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Enforcements!$A$6:$AC$66</definedName>
    <definedName name="_xlnm._FilterDatabase" localSheetId="2" hidden="1">'Missing Trips'!$B$2:$I$2</definedName>
    <definedName name="_xlnm._FilterDatabase" localSheetId="0" hidden="1">'Train Runs'!$A$12:$AG$267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2" i="1" l="1"/>
  <c r="X193" i="1"/>
  <c r="X194" i="1"/>
  <c r="X195" i="1"/>
  <c r="X196" i="1"/>
  <c r="X197" i="1"/>
  <c r="X191" i="1"/>
  <c r="K192" i="1"/>
  <c r="L192" i="1"/>
  <c r="M192" i="1"/>
  <c r="V192" i="1"/>
  <c r="AA192" i="1"/>
  <c r="AB192" i="1"/>
  <c r="AC192" i="1"/>
  <c r="AD192" i="1"/>
  <c r="AE192" i="1"/>
  <c r="AF192" i="1"/>
  <c r="AH192" i="1"/>
  <c r="K193" i="1"/>
  <c r="L193" i="1"/>
  <c r="M193" i="1"/>
  <c r="V193" i="1"/>
  <c r="AA193" i="1"/>
  <c r="AB193" i="1"/>
  <c r="AC193" i="1"/>
  <c r="AD193" i="1"/>
  <c r="T193" i="1" s="1"/>
  <c r="AE193" i="1"/>
  <c r="AF193" i="1"/>
  <c r="AH193" i="1"/>
  <c r="P191" i="1"/>
  <c r="K191" i="1"/>
  <c r="L191" i="1"/>
  <c r="M191" i="1"/>
  <c r="V191" i="1"/>
  <c r="AA191" i="1"/>
  <c r="AB191" i="1"/>
  <c r="AC191" i="1"/>
  <c r="AD191" i="1"/>
  <c r="T191" i="1" s="1"/>
  <c r="AE191" i="1"/>
  <c r="AF191" i="1"/>
  <c r="AH191" i="1"/>
  <c r="AG193" i="1" l="1"/>
  <c r="AG192" i="1"/>
  <c r="T192" i="1"/>
  <c r="W192" i="1"/>
  <c r="AG191" i="1"/>
  <c r="AE140" i="1"/>
  <c r="AF140" i="1"/>
  <c r="AE141" i="1"/>
  <c r="AF141" i="1"/>
  <c r="AE142" i="1"/>
  <c r="AF142" i="1"/>
  <c r="AE143" i="1"/>
  <c r="AF143" i="1"/>
  <c r="AE144" i="1"/>
  <c r="AF144" i="1"/>
  <c r="AE145" i="1"/>
  <c r="AF145" i="1"/>
  <c r="AE146" i="1"/>
  <c r="AF146" i="1"/>
  <c r="AE147" i="1"/>
  <c r="AF147" i="1"/>
  <c r="AE148" i="1"/>
  <c r="AF148" i="1"/>
  <c r="AE149" i="1"/>
  <c r="AF149" i="1"/>
  <c r="AE150" i="1"/>
  <c r="AF150" i="1"/>
  <c r="AE151" i="1"/>
  <c r="AF151" i="1"/>
  <c r="AE152" i="1"/>
  <c r="AF152" i="1"/>
  <c r="AH141" i="1"/>
  <c r="AH142" i="1"/>
  <c r="AH143" i="1"/>
  <c r="AI143" i="1"/>
  <c r="AH144" i="1"/>
  <c r="AH145" i="1"/>
  <c r="AH146" i="1"/>
  <c r="AH147" i="1"/>
  <c r="AI147" i="1"/>
  <c r="AH148" i="1"/>
  <c r="AH149" i="1"/>
  <c r="AH150" i="1"/>
  <c r="AH151" i="1"/>
  <c r="AH152" i="1"/>
  <c r="AH153" i="1"/>
  <c r="AD139" i="1"/>
  <c r="T139" i="1" s="1"/>
  <c r="AD140" i="1"/>
  <c r="X140" i="1" s="1"/>
  <c r="AD141" i="1"/>
  <c r="AG141" i="1" s="1"/>
  <c r="AI141" i="1" s="1"/>
  <c r="AD142" i="1"/>
  <c r="AG142" i="1" s="1"/>
  <c r="AI142" i="1" s="1"/>
  <c r="AD143" i="1"/>
  <c r="AD144" i="1"/>
  <c r="X144" i="1" s="1"/>
  <c r="AD145" i="1"/>
  <c r="AG145" i="1" s="1"/>
  <c r="AI145" i="1" s="1"/>
  <c r="AD146" i="1"/>
  <c r="AG146" i="1" s="1"/>
  <c r="AI146" i="1" s="1"/>
  <c r="AD147" i="1"/>
  <c r="AG147" i="1" s="1"/>
  <c r="AD148" i="1"/>
  <c r="X148" i="1" s="1"/>
  <c r="AD149" i="1"/>
  <c r="AG149" i="1" s="1"/>
  <c r="AI149" i="1" s="1"/>
  <c r="AD150" i="1"/>
  <c r="AG150" i="1" s="1"/>
  <c r="AI150" i="1" s="1"/>
  <c r="AD151" i="1"/>
  <c r="AD152" i="1"/>
  <c r="X152" i="1" s="1"/>
  <c r="AD153" i="1"/>
  <c r="X153" i="1" s="1"/>
  <c r="AD154" i="1"/>
  <c r="X154" i="1" s="1"/>
  <c r="AG143" i="1"/>
  <c r="AG144" i="1"/>
  <c r="AI144" i="1" s="1"/>
  <c r="AG148" i="1"/>
  <c r="AI148" i="1" s="1"/>
  <c r="AG151" i="1"/>
  <c r="P139" i="1"/>
  <c r="K139" i="1"/>
  <c r="L139" i="1"/>
  <c r="M139" i="1"/>
  <c r="V139" i="1"/>
  <c r="AA139" i="1"/>
  <c r="AB139" i="1"/>
  <c r="AC139" i="1"/>
  <c r="AE139" i="1"/>
  <c r="AF139" i="1"/>
  <c r="AH139" i="1"/>
  <c r="AI193" i="1" l="1"/>
  <c r="U193" i="1"/>
  <c r="S193" i="1" s="1"/>
  <c r="W193" i="1"/>
  <c r="AI192" i="1"/>
  <c r="U192" i="1"/>
  <c r="S192" i="1" s="1"/>
  <c r="AG152" i="1"/>
  <c r="X151" i="1"/>
  <c r="X143" i="1"/>
  <c r="AI191" i="1"/>
  <c r="U191" i="1"/>
  <c r="S191" i="1" s="1"/>
  <c r="W191" i="1"/>
  <c r="X147" i="1"/>
  <c r="X149" i="1"/>
  <c r="X145" i="1"/>
  <c r="X141" i="1"/>
  <c r="X150" i="1"/>
  <c r="X146" i="1"/>
  <c r="X142" i="1"/>
  <c r="T141" i="1"/>
  <c r="AG13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AA23" i="1" s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S13" i="3" s="1"/>
  <c r="Y27" i="1"/>
  <c r="Z27" i="1"/>
  <c r="AB27" i="1"/>
  <c r="AC27" i="1"/>
  <c r="AD27" i="1"/>
  <c r="AE27" i="1"/>
  <c r="R13" i="3" s="1"/>
  <c r="AF27" i="1"/>
  <c r="AH27" i="1"/>
  <c r="K28" i="1"/>
  <c r="L28" i="1"/>
  <c r="M28" i="1"/>
  <c r="N28" i="1" s="1"/>
  <c r="V28" i="1"/>
  <c r="Y28" i="1"/>
  <c r="Z28" i="1"/>
  <c r="AA28" i="1" s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S21" i="3" s="1"/>
  <c r="Y32" i="1"/>
  <c r="Z32" i="1"/>
  <c r="AB32" i="1"/>
  <c r="AC32" i="1"/>
  <c r="AD32" i="1"/>
  <c r="AG32" i="1" s="1"/>
  <c r="AE32" i="1"/>
  <c r="R21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P35" i="1" s="1"/>
  <c r="V35" i="1"/>
  <c r="S17" i="3" s="1"/>
  <c r="Y35" i="1"/>
  <c r="Z35" i="1"/>
  <c r="AB35" i="1"/>
  <c r="AC35" i="1"/>
  <c r="AD35" i="1"/>
  <c r="T35" i="1" s="1"/>
  <c r="AE35" i="1"/>
  <c r="R17" i="3" s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P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S10" i="3" s="1"/>
  <c r="Y51" i="1"/>
  <c r="Z51" i="1"/>
  <c r="AB51" i="1"/>
  <c r="AC51" i="1"/>
  <c r="AD51" i="1"/>
  <c r="AE51" i="1"/>
  <c r="R10" i="3" s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A55" i="1" s="1"/>
  <c r="AB55" i="1"/>
  <c r="AC55" i="1"/>
  <c r="AD55" i="1"/>
  <c r="AE55" i="1"/>
  <c r="AF55" i="1"/>
  <c r="AH55" i="1"/>
  <c r="K56" i="1"/>
  <c r="L56" i="1"/>
  <c r="M56" i="1"/>
  <c r="N56" i="1" s="1"/>
  <c r="V56" i="1"/>
  <c r="S7" i="3" s="1"/>
  <c r="Y56" i="1"/>
  <c r="Z56" i="1"/>
  <c r="AA56" i="1" s="1"/>
  <c r="AB56" i="1"/>
  <c r="AC56" i="1"/>
  <c r="AD56" i="1"/>
  <c r="T56" i="1" s="1"/>
  <c r="AE56" i="1"/>
  <c r="R7" i="3" s="1"/>
  <c r="AF56" i="1"/>
  <c r="AH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S12" i="3" s="1"/>
  <c r="Y59" i="1"/>
  <c r="Z59" i="1"/>
  <c r="AB59" i="1"/>
  <c r="AC59" i="1"/>
  <c r="AD59" i="1"/>
  <c r="T59" i="1" s="1"/>
  <c r="AE59" i="1"/>
  <c r="R12" i="3" s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S16" i="3" s="1"/>
  <c r="Y65" i="1"/>
  <c r="Z65" i="1"/>
  <c r="AA65" i="1" s="1"/>
  <c r="AB65" i="1"/>
  <c r="AC65" i="1"/>
  <c r="AD65" i="1"/>
  <c r="T65" i="1" s="1"/>
  <c r="AE65" i="1"/>
  <c r="R16" i="3" s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R11" i="3" s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S18" i="3" s="1"/>
  <c r="Y70" i="1"/>
  <c r="Z70" i="1"/>
  <c r="AB70" i="1"/>
  <c r="AC70" i="1"/>
  <c r="AD70" i="1"/>
  <c r="T70" i="1" s="1"/>
  <c r="AE70" i="1"/>
  <c r="R18" i="3" s="1"/>
  <c r="AF70" i="1"/>
  <c r="AH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S22" i="3" s="1"/>
  <c r="Y73" i="1"/>
  <c r="Z73" i="1"/>
  <c r="AB73" i="1"/>
  <c r="AC73" i="1"/>
  <c r="AD73" i="1"/>
  <c r="T73" i="1" s="1"/>
  <c r="AE73" i="1"/>
  <c r="R22" i="3" s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A80" i="1" s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A81" i="1" s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S14" i="3" s="1"/>
  <c r="Y84" i="1"/>
  <c r="Z84" i="1"/>
  <c r="AB84" i="1"/>
  <c r="AC84" i="1"/>
  <c r="AD84" i="1"/>
  <c r="AE84" i="1"/>
  <c r="R14" i="3" s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S8" i="3" s="1"/>
  <c r="Y89" i="1"/>
  <c r="Z89" i="1"/>
  <c r="AB89" i="1"/>
  <c r="AC89" i="1"/>
  <c r="AD89" i="1"/>
  <c r="AG89" i="1" s="1"/>
  <c r="AE89" i="1"/>
  <c r="R8" i="3" s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4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5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8" i="1"/>
  <c r="K165" i="1"/>
  <c r="L165" i="1"/>
  <c r="M165" i="1"/>
  <c r="V165" i="1"/>
  <c r="S25" i="3" s="1"/>
  <c r="Y165" i="1"/>
  <c r="Z165" i="1"/>
  <c r="AB165" i="1"/>
  <c r="AC165" i="1"/>
  <c r="AD165" i="1"/>
  <c r="AE165" i="1"/>
  <c r="R25" i="3" s="1"/>
  <c r="AF165" i="1"/>
  <c r="AH99" i="1"/>
  <c r="AH10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2" i="1"/>
  <c r="K168" i="1"/>
  <c r="L168" i="1"/>
  <c r="M168" i="1"/>
  <c r="N168" i="1" s="1"/>
  <c r="V168" i="1"/>
  <c r="Y168" i="1"/>
  <c r="Z168" i="1"/>
  <c r="AB168" i="1"/>
  <c r="AC168" i="1"/>
  <c r="AD168" i="1"/>
  <c r="AE168" i="1"/>
  <c r="R26" i="3" s="1"/>
  <c r="AF168" i="1"/>
  <c r="AH103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4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0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8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10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1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112" i="1"/>
  <c r="K177" i="1"/>
  <c r="L177" i="1"/>
  <c r="M177" i="1"/>
  <c r="N177" i="1" s="1"/>
  <c r="V177" i="1"/>
  <c r="S28" i="3" s="1"/>
  <c r="Y177" i="1"/>
  <c r="Z177" i="1"/>
  <c r="AB177" i="1"/>
  <c r="AC177" i="1"/>
  <c r="AD177" i="1"/>
  <c r="AG177" i="1" s="1"/>
  <c r="AE177" i="1"/>
  <c r="R28" i="3" s="1"/>
  <c r="AF177" i="1"/>
  <c r="AH113" i="1"/>
  <c r="K178" i="1"/>
  <c r="L178" i="1"/>
  <c r="M178" i="1"/>
  <c r="N178" i="1" s="1"/>
  <c r="V178" i="1"/>
  <c r="S27" i="3" s="1"/>
  <c r="Y178" i="1"/>
  <c r="Z178" i="1"/>
  <c r="AB178" i="1"/>
  <c r="AC178" i="1"/>
  <c r="AD178" i="1"/>
  <c r="T178" i="1" s="1"/>
  <c r="AE178" i="1"/>
  <c r="R27" i="3" s="1"/>
  <c r="AF178" i="1"/>
  <c r="AH1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5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6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17" i="1"/>
  <c r="K181" i="1"/>
  <c r="L181" i="1"/>
  <c r="M181" i="1"/>
  <c r="N181" i="1" s="1"/>
  <c r="V181" i="1"/>
  <c r="S30" i="3" s="1"/>
  <c r="Y181" i="1"/>
  <c r="Z181" i="1"/>
  <c r="AB181" i="1"/>
  <c r="AC181" i="1"/>
  <c r="AD181" i="1"/>
  <c r="AE181" i="1"/>
  <c r="R30" i="3" s="1"/>
  <c r="AF181" i="1"/>
  <c r="AH11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0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1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2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4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5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6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2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8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29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0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1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2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3" i="1"/>
  <c r="K103" i="1"/>
  <c r="L103" i="1"/>
  <c r="M103" i="1"/>
  <c r="N103" i="1" s="1"/>
  <c r="V103" i="1"/>
  <c r="Y103" i="1"/>
  <c r="Z103" i="1"/>
  <c r="AA103" i="1" s="1"/>
  <c r="AB103" i="1"/>
  <c r="AC103" i="1"/>
  <c r="AD103" i="1"/>
  <c r="AG103" i="1" s="1"/>
  <c r="AE103" i="1"/>
  <c r="AF103" i="1"/>
  <c r="AH134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35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36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37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38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0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K111" i="1"/>
  <c r="L111" i="1"/>
  <c r="M111" i="1"/>
  <c r="N111" i="1" s="1"/>
  <c r="V111" i="1"/>
  <c r="S19" i="3" s="1"/>
  <c r="Y111" i="1"/>
  <c r="Z111" i="1"/>
  <c r="AB111" i="1"/>
  <c r="AC111" i="1"/>
  <c r="AD111" i="1"/>
  <c r="T111" i="1" s="1"/>
  <c r="AE111" i="1"/>
  <c r="R19" i="3" s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4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55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56" i="1"/>
  <c r="K115" i="1"/>
  <c r="L115" i="1"/>
  <c r="M115" i="1"/>
  <c r="N115" i="1" s="1"/>
  <c r="V115" i="1"/>
  <c r="S20" i="3" s="1"/>
  <c r="Y115" i="1"/>
  <c r="Z115" i="1"/>
  <c r="AB115" i="1"/>
  <c r="AC115" i="1"/>
  <c r="AD115" i="1"/>
  <c r="T115" i="1" s="1"/>
  <c r="AE115" i="1"/>
  <c r="R20" i="3" s="1"/>
  <c r="AF115" i="1"/>
  <c r="AH157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8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9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60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61" i="1"/>
  <c r="K121" i="1"/>
  <c r="L121" i="1"/>
  <c r="M121" i="1"/>
  <c r="N121" i="1" s="1"/>
  <c r="V121" i="1"/>
  <c r="S23" i="3" s="1"/>
  <c r="Y121" i="1"/>
  <c r="Z121" i="1"/>
  <c r="AB121" i="1"/>
  <c r="AC121" i="1"/>
  <c r="AD121" i="1"/>
  <c r="AG121" i="1" s="1"/>
  <c r="AE121" i="1"/>
  <c r="R23" i="3" s="1"/>
  <c r="AF121" i="1"/>
  <c r="AH162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63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64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5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6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7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7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2" i="1"/>
  <c r="AH173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4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5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76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7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8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9" i="1"/>
  <c r="K140" i="1"/>
  <c r="L140" i="1"/>
  <c r="M140" i="1"/>
  <c r="N140" i="1" s="1"/>
  <c r="V140" i="1"/>
  <c r="Y140" i="1"/>
  <c r="Z140" i="1"/>
  <c r="AB140" i="1"/>
  <c r="AC140" i="1"/>
  <c r="AH180" i="1"/>
  <c r="K142" i="1"/>
  <c r="L142" i="1"/>
  <c r="M142" i="1"/>
  <c r="P142" i="1" s="1"/>
  <c r="V142" i="1"/>
  <c r="Y142" i="1"/>
  <c r="AB142" i="1"/>
  <c r="AC142" i="1"/>
  <c r="T142" i="1"/>
  <c r="AH181" i="1"/>
  <c r="K151" i="1"/>
  <c r="L151" i="1"/>
  <c r="M151" i="1"/>
  <c r="N151" i="1" s="1"/>
  <c r="V151" i="1"/>
  <c r="Y151" i="1"/>
  <c r="Z151" i="1"/>
  <c r="AI151" i="1" s="1"/>
  <c r="AB151" i="1"/>
  <c r="AC151" i="1"/>
  <c r="AH182" i="1"/>
  <c r="K152" i="1"/>
  <c r="L152" i="1"/>
  <c r="M152" i="1"/>
  <c r="N152" i="1" s="1"/>
  <c r="V152" i="1"/>
  <c r="Y152" i="1"/>
  <c r="Z152" i="1"/>
  <c r="AI152" i="1" s="1"/>
  <c r="AB152" i="1"/>
  <c r="AC152" i="1"/>
  <c r="AH183" i="1"/>
  <c r="K153" i="1"/>
  <c r="L153" i="1"/>
  <c r="M153" i="1"/>
  <c r="N153" i="1" s="1"/>
  <c r="T153" i="1"/>
  <c r="V153" i="1"/>
  <c r="Y153" i="1"/>
  <c r="Z153" i="1"/>
  <c r="AB153" i="1"/>
  <c r="AC153" i="1"/>
  <c r="AG153" i="1"/>
  <c r="AE153" i="1"/>
  <c r="AF153" i="1"/>
  <c r="AH184" i="1"/>
  <c r="K154" i="1"/>
  <c r="L154" i="1"/>
  <c r="M154" i="1"/>
  <c r="N154" i="1" s="1"/>
  <c r="V154" i="1"/>
  <c r="Y154" i="1"/>
  <c r="Z154" i="1"/>
  <c r="AB154" i="1"/>
  <c r="AC154" i="1"/>
  <c r="T154" i="1"/>
  <c r="AE154" i="1"/>
  <c r="AF154" i="1"/>
  <c r="AH185" i="1"/>
  <c r="K155" i="1"/>
  <c r="L155" i="1"/>
  <c r="M155" i="1"/>
  <c r="N155" i="1" s="1"/>
  <c r="V155" i="1"/>
  <c r="S24" i="3" s="1"/>
  <c r="Y155" i="1"/>
  <c r="Z155" i="1"/>
  <c r="AB155" i="1"/>
  <c r="AC155" i="1"/>
  <c r="AD155" i="1"/>
  <c r="AE155" i="1"/>
  <c r="R24" i="3" s="1"/>
  <c r="AF155" i="1"/>
  <c r="AH186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87" i="1"/>
  <c r="K157" i="1"/>
  <c r="L157" i="1"/>
  <c r="M157" i="1"/>
  <c r="N157" i="1" s="1"/>
  <c r="V157" i="1"/>
  <c r="S15" i="3" s="1"/>
  <c r="Y157" i="1"/>
  <c r="Z157" i="1"/>
  <c r="AB157" i="1"/>
  <c r="AC157" i="1"/>
  <c r="AD157" i="1"/>
  <c r="X157" i="1" s="1"/>
  <c r="AE157" i="1"/>
  <c r="R15" i="3" s="1"/>
  <c r="AF157" i="1"/>
  <c r="AH188" i="1"/>
  <c r="K158" i="1"/>
  <c r="L158" i="1"/>
  <c r="M158" i="1"/>
  <c r="N158" i="1" s="1"/>
  <c r="V158" i="1"/>
  <c r="Y158" i="1"/>
  <c r="Z158" i="1"/>
  <c r="AB158" i="1"/>
  <c r="AC158" i="1"/>
  <c r="AD158" i="1"/>
  <c r="X158" i="1" s="1"/>
  <c r="AE158" i="1"/>
  <c r="AF158" i="1"/>
  <c r="AH189" i="1"/>
  <c r="AH190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4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AH195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6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7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8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19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5" i="1"/>
  <c r="K205" i="1"/>
  <c r="L205" i="1"/>
  <c r="M205" i="1"/>
  <c r="N205" i="1" s="1"/>
  <c r="V205" i="1"/>
  <c r="Y205" i="1"/>
  <c r="Z205" i="1"/>
  <c r="AB205" i="1"/>
  <c r="AC205" i="1"/>
  <c r="AD205" i="1"/>
  <c r="X205" i="1" s="1"/>
  <c r="AE205" i="1"/>
  <c r="AF205" i="1"/>
  <c r="AH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7" i="1"/>
  <c r="K208" i="1"/>
  <c r="L208" i="1"/>
  <c r="M208" i="1"/>
  <c r="N208" i="1"/>
  <c r="V208" i="1"/>
  <c r="S33" i="3" s="1"/>
  <c r="Y208" i="1"/>
  <c r="Z208" i="1"/>
  <c r="AA208" i="1" s="1"/>
  <c r="AB208" i="1"/>
  <c r="AC208" i="1"/>
  <c r="AD208" i="1"/>
  <c r="T208" i="1" s="1"/>
  <c r="AE208" i="1"/>
  <c r="AF208" i="1"/>
  <c r="AH208" i="1"/>
  <c r="K209" i="1"/>
  <c r="L209" i="1"/>
  <c r="M209" i="1"/>
  <c r="N209" i="1" s="1"/>
  <c r="V209" i="1"/>
  <c r="Y209" i="1"/>
  <c r="Z209" i="1"/>
  <c r="AA209" i="1" s="1"/>
  <c r="AB209" i="1"/>
  <c r="AC209" i="1"/>
  <c r="AD209" i="1"/>
  <c r="T209" i="1" s="1"/>
  <c r="AE209" i="1"/>
  <c r="AF209" i="1"/>
  <c r="AH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R32" i="3" s="1"/>
  <c r="AF211" i="1"/>
  <c r="AH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K214" i="1"/>
  <c r="L214" i="1"/>
  <c r="M214" i="1"/>
  <c r="N214" i="1" s="1"/>
  <c r="V214" i="1"/>
  <c r="Y214" i="1"/>
  <c r="Z214" i="1"/>
  <c r="AA214" i="1" s="1"/>
  <c r="AB214" i="1"/>
  <c r="AC214" i="1"/>
  <c r="AD214" i="1"/>
  <c r="X214" i="1" s="1"/>
  <c r="AE214" i="1"/>
  <c r="AF214" i="1"/>
  <c r="AH214" i="1"/>
  <c r="M13" i="3"/>
  <c r="N13" i="3"/>
  <c r="U13" i="3"/>
  <c r="T13" i="3" s="1"/>
  <c r="V13" i="3"/>
  <c r="W13" i="3"/>
  <c r="Y13" i="3" s="1"/>
  <c r="X13" i="3"/>
  <c r="M17" i="3"/>
  <c r="N17" i="3"/>
  <c r="U17" i="3"/>
  <c r="T17" i="3" s="1"/>
  <c r="V17" i="3"/>
  <c r="W17" i="3"/>
  <c r="Y17" i="3" s="1"/>
  <c r="X17" i="3"/>
  <c r="AC17" i="3"/>
  <c r="M21" i="3"/>
  <c r="N21" i="3"/>
  <c r="U21" i="3"/>
  <c r="T21" i="3" s="1"/>
  <c r="V21" i="3"/>
  <c r="W21" i="3"/>
  <c r="X21" i="3"/>
  <c r="AC21" i="3"/>
  <c r="M25" i="3"/>
  <c r="N25" i="3"/>
  <c r="T25" i="3"/>
  <c r="U25" i="3"/>
  <c r="V25" i="3"/>
  <c r="W25" i="3"/>
  <c r="Y25" i="3" s="1"/>
  <c r="X25" i="3"/>
  <c r="AC25" i="3"/>
  <c r="M7" i="3"/>
  <c r="N7" i="3"/>
  <c r="U7" i="3"/>
  <c r="T7" i="3" s="1"/>
  <c r="V7" i="3"/>
  <c r="W7" i="3"/>
  <c r="X7" i="3"/>
  <c r="Y7" i="3"/>
  <c r="M10" i="3"/>
  <c r="N10" i="3"/>
  <c r="U10" i="3"/>
  <c r="T10" i="3" s="1"/>
  <c r="V10" i="3"/>
  <c r="W10" i="3"/>
  <c r="X10" i="3"/>
  <c r="Y10" i="3"/>
  <c r="M26" i="3"/>
  <c r="N26" i="3"/>
  <c r="S26" i="3"/>
  <c r="U26" i="3"/>
  <c r="T26" i="3" s="1"/>
  <c r="V26" i="3"/>
  <c r="W26" i="3"/>
  <c r="Y26" i="3" s="1"/>
  <c r="X26" i="3"/>
  <c r="AC26" i="3"/>
  <c r="M12" i="3"/>
  <c r="N12" i="3"/>
  <c r="U12" i="3"/>
  <c r="T12" i="3" s="1"/>
  <c r="V12" i="3"/>
  <c r="W12" i="3"/>
  <c r="X12" i="3"/>
  <c r="AC12" i="3"/>
  <c r="M11" i="3"/>
  <c r="N11" i="3"/>
  <c r="S11" i="3"/>
  <c r="U11" i="3"/>
  <c r="T11" i="3" s="1"/>
  <c r="V11" i="3"/>
  <c r="W11" i="3"/>
  <c r="X11" i="3"/>
  <c r="M18" i="3"/>
  <c r="N18" i="3"/>
  <c r="U18" i="3"/>
  <c r="T18" i="3" s="1"/>
  <c r="V18" i="3"/>
  <c r="W18" i="3"/>
  <c r="X18" i="3"/>
  <c r="AC18" i="3"/>
  <c r="M16" i="3"/>
  <c r="N16" i="3"/>
  <c r="U16" i="3"/>
  <c r="T16" i="3" s="1"/>
  <c r="V16" i="3"/>
  <c r="W16" i="3"/>
  <c r="X16" i="3"/>
  <c r="AC16" i="3"/>
  <c r="M33" i="3"/>
  <c r="N33" i="3"/>
  <c r="R33" i="3"/>
  <c r="T33" i="3"/>
  <c r="U33" i="3"/>
  <c r="V33" i="3"/>
  <c r="W33" i="3"/>
  <c r="Y33" i="3" s="1"/>
  <c r="X33" i="3"/>
  <c r="AC33" i="3"/>
  <c r="M22" i="3"/>
  <c r="N22" i="3"/>
  <c r="U22" i="3"/>
  <c r="T22" i="3" s="1"/>
  <c r="V22" i="3"/>
  <c r="W22" i="3"/>
  <c r="X22" i="3"/>
  <c r="Y22" i="3"/>
  <c r="M14" i="3"/>
  <c r="N14" i="3"/>
  <c r="U14" i="3"/>
  <c r="T14" i="3" s="1"/>
  <c r="V14" i="3"/>
  <c r="W14" i="3"/>
  <c r="X14" i="3"/>
  <c r="Y14" i="3"/>
  <c r="M8" i="3"/>
  <c r="N8" i="3"/>
  <c r="U8" i="3"/>
  <c r="T8" i="3" s="1"/>
  <c r="V8" i="3"/>
  <c r="W8" i="3"/>
  <c r="Y8" i="3" s="1"/>
  <c r="X8" i="3"/>
  <c r="AC8" i="3"/>
  <c r="M9" i="3"/>
  <c r="N9" i="3"/>
  <c r="U9" i="3"/>
  <c r="T9" i="3" s="1"/>
  <c r="V9" i="3"/>
  <c r="W9" i="3"/>
  <c r="X9" i="3"/>
  <c r="AC9" i="3"/>
  <c r="M28" i="3"/>
  <c r="N28" i="3"/>
  <c r="U28" i="3"/>
  <c r="T28" i="3" s="1"/>
  <c r="V28" i="3"/>
  <c r="W28" i="3"/>
  <c r="X28" i="3"/>
  <c r="M29" i="3"/>
  <c r="N29" i="3"/>
  <c r="U29" i="3"/>
  <c r="T29" i="3" s="1"/>
  <c r="V29" i="3"/>
  <c r="W29" i="3"/>
  <c r="X29" i="3"/>
  <c r="AC29" i="3"/>
  <c r="M27" i="3"/>
  <c r="N27" i="3"/>
  <c r="U27" i="3"/>
  <c r="T27" i="3" s="1"/>
  <c r="V27" i="3"/>
  <c r="W27" i="3"/>
  <c r="X27" i="3"/>
  <c r="AC27" i="3"/>
  <c r="M30" i="3"/>
  <c r="N30" i="3"/>
  <c r="U30" i="3"/>
  <c r="T30" i="3" s="1"/>
  <c r="V30" i="3"/>
  <c r="W30" i="3"/>
  <c r="Y30" i="3" s="1"/>
  <c r="X30" i="3"/>
  <c r="AC30" i="3"/>
  <c r="M19" i="3"/>
  <c r="N19" i="3"/>
  <c r="U19" i="3"/>
  <c r="AC19" i="3" s="1"/>
  <c r="V19" i="3"/>
  <c r="W19" i="3"/>
  <c r="X19" i="3"/>
  <c r="M20" i="3"/>
  <c r="N20" i="3"/>
  <c r="U20" i="3"/>
  <c r="T20" i="3" s="1"/>
  <c r="V20" i="3"/>
  <c r="W20" i="3"/>
  <c r="X20" i="3"/>
  <c r="Y20" i="3"/>
  <c r="M32" i="3"/>
  <c r="N32" i="3"/>
  <c r="S32" i="3"/>
  <c r="U32" i="3"/>
  <c r="T32" i="3" s="1"/>
  <c r="V32" i="3"/>
  <c r="W32" i="3"/>
  <c r="Y32" i="3" s="1"/>
  <c r="X32" i="3"/>
  <c r="AC32" i="3"/>
  <c r="M23" i="3"/>
  <c r="N23" i="3"/>
  <c r="U23" i="3"/>
  <c r="T23" i="3" s="1"/>
  <c r="V23" i="3"/>
  <c r="W23" i="3"/>
  <c r="X23" i="3"/>
  <c r="AC23" i="3"/>
  <c r="M15" i="3"/>
  <c r="N15" i="3"/>
  <c r="U15" i="3"/>
  <c r="AC15" i="3" s="1"/>
  <c r="V15" i="3"/>
  <c r="W15" i="3"/>
  <c r="X15" i="3"/>
  <c r="M24" i="3"/>
  <c r="N24" i="3"/>
  <c r="U24" i="3"/>
  <c r="T24" i="3" s="1"/>
  <c r="V24" i="3"/>
  <c r="W24" i="3"/>
  <c r="X24" i="3"/>
  <c r="AC24" i="3"/>
  <c r="X207" i="1" l="1"/>
  <c r="AG197" i="1"/>
  <c r="T196" i="1"/>
  <c r="T195" i="1"/>
  <c r="AG194" i="1"/>
  <c r="W103" i="1"/>
  <c r="X190" i="1"/>
  <c r="T190" i="1"/>
  <c r="X177" i="1"/>
  <c r="AA163" i="1"/>
  <c r="W163" i="1" s="1"/>
  <c r="S29" i="3"/>
  <c r="AA186" i="1"/>
  <c r="T165" i="1"/>
  <c r="X165" i="1"/>
  <c r="T164" i="1"/>
  <c r="X164" i="1"/>
  <c r="AG163" i="1"/>
  <c r="X163" i="1"/>
  <c r="T161" i="1"/>
  <c r="X161" i="1"/>
  <c r="T160" i="1"/>
  <c r="X160" i="1"/>
  <c r="AA79" i="1"/>
  <c r="AA200" i="1"/>
  <c r="AA199" i="1"/>
  <c r="AI153" i="1"/>
  <c r="AA153" i="1"/>
  <c r="W153" i="1" s="1"/>
  <c r="T168" i="1"/>
  <c r="X168" i="1"/>
  <c r="T167" i="1"/>
  <c r="X167" i="1"/>
  <c r="X166" i="1"/>
  <c r="AA16" i="1"/>
  <c r="AG159" i="1"/>
  <c r="X159" i="1"/>
  <c r="AA105" i="1"/>
  <c r="W105" i="1" s="1"/>
  <c r="W186" i="1"/>
  <c r="AA106" i="1"/>
  <c r="W106" i="1" s="1"/>
  <c r="AG200" i="1"/>
  <c r="W200" i="1" s="1"/>
  <c r="T194" i="1"/>
  <c r="T158" i="1"/>
  <c r="AG157" i="1"/>
  <c r="W157" i="1" s="1"/>
  <c r="AA157" i="1"/>
  <c r="AG156" i="1"/>
  <c r="T155" i="1"/>
  <c r="X155" i="1"/>
  <c r="AA97" i="1"/>
  <c r="AI180" i="1"/>
  <c r="AA180" i="1"/>
  <c r="W180" i="1" s="1"/>
  <c r="AA166" i="1"/>
  <c r="AA44" i="1"/>
  <c r="W44" i="1" s="1"/>
  <c r="AA43" i="1"/>
  <c r="AA42" i="1"/>
  <c r="W42" i="1" s="1"/>
  <c r="AA39" i="1"/>
  <c r="AA202" i="1"/>
  <c r="AA102" i="1"/>
  <c r="W102" i="1" s="1"/>
  <c r="AA96" i="1"/>
  <c r="T151" i="1"/>
  <c r="U151" i="1" s="1"/>
  <c r="S151" i="1" s="1"/>
  <c r="T173" i="1"/>
  <c r="S9" i="3"/>
  <c r="T131" i="1"/>
  <c r="AG166" i="1"/>
  <c r="U166" i="1" s="1"/>
  <c r="S166" i="1" s="1"/>
  <c r="W16" i="1"/>
  <c r="T37" i="1"/>
  <c r="T140" i="1"/>
  <c r="AG138" i="1"/>
  <c r="AI138" i="1" s="1"/>
  <c r="X138" i="1"/>
  <c r="X139" i="1"/>
  <c r="T62" i="1"/>
  <c r="U62" i="1" s="1"/>
  <c r="S62" i="1" s="1"/>
  <c r="X125" i="1"/>
  <c r="AA115" i="1"/>
  <c r="AA114" i="1"/>
  <c r="W114" i="1" s="1"/>
  <c r="AA113" i="1"/>
  <c r="W113" i="1" s="1"/>
  <c r="AA110" i="1"/>
  <c r="W110" i="1" s="1"/>
  <c r="AA109" i="1"/>
  <c r="W109" i="1" s="1"/>
  <c r="X42" i="1"/>
  <c r="X26" i="1"/>
  <c r="T101" i="1"/>
  <c r="U101" i="1" s="1"/>
  <c r="S101" i="1" s="1"/>
  <c r="AI139" i="1"/>
  <c r="U139" i="1"/>
  <c r="S139" i="1" s="1"/>
  <c r="T135" i="1"/>
  <c r="U135" i="1" s="1"/>
  <c r="S135" i="1" s="1"/>
  <c r="X135" i="1"/>
  <c r="AG134" i="1"/>
  <c r="AI134" i="1" s="1"/>
  <c r="X134" i="1"/>
  <c r="T134" i="1"/>
  <c r="T133" i="1"/>
  <c r="X133" i="1"/>
  <c r="AA140" i="1"/>
  <c r="AA135" i="1"/>
  <c r="W135" i="1" s="1"/>
  <c r="AA134" i="1"/>
  <c r="T132" i="1"/>
  <c r="X132" i="1"/>
  <c r="AA128" i="1"/>
  <c r="T117" i="1"/>
  <c r="U117" i="1" s="1"/>
  <c r="S117" i="1" s="1"/>
  <c r="AG97" i="1"/>
  <c r="AI97" i="1" s="1"/>
  <c r="T42" i="1"/>
  <c r="U42" i="1" s="1"/>
  <c r="S42" i="1" s="1"/>
  <c r="W139" i="1"/>
  <c r="AA155" i="1"/>
  <c r="W155" i="1" s="1"/>
  <c r="AA154" i="1"/>
  <c r="AA132" i="1"/>
  <c r="AA131" i="1"/>
  <c r="W131" i="1" s="1"/>
  <c r="AA122" i="1"/>
  <c r="W122" i="1" s="1"/>
  <c r="AA118" i="1"/>
  <c r="W118" i="1" s="1"/>
  <c r="AA117" i="1"/>
  <c r="W117" i="1" s="1"/>
  <c r="AG108" i="1"/>
  <c r="U108" i="1" s="1"/>
  <c r="S108" i="1" s="1"/>
  <c r="AA101" i="1"/>
  <c r="AI184" i="1"/>
  <c r="AA177" i="1"/>
  <c r="W177" i="1" s="1"/>
  <c r="AA176" i="1"/>
  <c r="AA173" i="1"/>
  <c r="AA161" i="1"/>
  <c r="AA160" i="1"/>
  <c r="AA89" i="1"/>
  <c r="W89" i="1" s="1"/>
  <c r="AA88" i="1"/>
  <c r="AG82" i="1"/>
  <c r="U82" i="1" s="1"/>
  <c r="S82" i="1" s="1"/>
  <c r="X82" i="1"/>
  <c r="AG66" i="1"/>
  <c r="U66" i="1" s="1"/>
  <c r="S66" i="1" s="1"/>
  <c r="X66" i="1"/>
  <c r="AA62" i="1"/>
  <c r="AG53" i="1"/>
  <c r="U53" i="1" s="1"/>
  <c r="AG33" i="1"/>
  <c r="U33" i="1" s="1"/>
  <c r="AA19" i="1"/>
  <c r="R29" i="3"/>
  <c r="AG202" i="1"/>
  <c r="W202" i="1" s="1"/>
  <c r="X202" i="1"/>
  <c r="AA27" i="1"/>
  <c r="AA26" i="1"/>
  <c r="T26" i="1"/>
  <c r="U26" i="1" s="1"/>
  <c r="S26" i="1" s="1"/>
  <c r="T21" i="1"/>
  <c r="U21" i="1" s="1"/>
  <c r="S21" i="1" s="1"/>
  <c r="T157" i="1"/>
  <c r="AG211" i="1"/>
  <c r="AI211" i="1" s="1"/>
  <c r="AA207" i="1"/>
  <c r="AA205" i="1"/>
  <c r="AA198" i="1"/>
  <c r="W198" i="1" s="1"/>
  <c r="AA158" i="1"/>
  <c r="AG155" i="1"/>
  <c r="AG182" i="1"/>
  <c r="U182" i="1" s="1"/>
  <c r="AA95" i="1"/>
  <c r="AA94" i="1"/>
  <c r="W94" i="1" s="1"/>
  <c r="AA168" i="1"/>
  <c r="AA167" i="1"/>
  <c r="AG161" i="1"/>
  <c r="AA53" i="1"/>
  <c r="AA52" i="1"/>
  <c r="AA51" i="1"/>
  <c r="AA50" i="1"/>
  <c r="W50" i="1" s="1"/>
  <c r="AA48" i="1"/>
  <c r="AA47" i="1"/>
  <c r="AG210" i="1"/>
  <c r="U210" i="1" s="1"/>
  <c r="S210" i="1" s="1"/>
  <c r="X210" i="1"/>
  <c r="AG196" i="1"/>
  <c r="W196" i="1" s="1"/>
  <c r="U153" i="1"/>
  <c r="S153" i="1" s="1"/>
  <c r="AG130" i="1"/>
  <c r="AI130" i="1" s="1"/>
  <c r="AG120" i="1"/>
  <c r="AI120" i="1" s="1"/>
  <c r="AG112" i="1"/>
  <c r="U112" i="1" s="1"/>
  <c r="S112" i="1" s="1"/>
  <c r="AI105" i="1"/>
  <c r="AA98" i="1"/>
  <c r="AA189" i="1"/>
  <c r="AG171" i="1"/>
  <c r="AG165" i="1"/>
  <c r="AG93" i="1"/>
  <c r="U93" i="1" s="1"/>
  <c r="S93" i="1" s="1"/>
  <c r="X93" i="1"/>
  <c r="AG91" i="1"/>
  <c r="U91" i="1" s="1"/>
  <c r="S91" i="1" s="1"/>
  <c r="AI89" i="1"/>
  <c r="AG87" i="1"/>
  <c r="U87" i="1" s="1"/>
  <c r="S87" i="1" s="1"/>
  <c r="AG75" i="1"/>
  <c r="W75" i="1" s="1"/>
  <c r="X75" i="1"/>
  <c r="AG73" i="1"/>
  <c r="AI73" i="1" s="1"/>
  <c r="AG49" i="1"/>
  <c r="U49" i="1" s="1"/>
  <c r="S49" i="1" s="1"/>
  <c r="X49" i="1"/>
  <c r="X34" i="1"/>
  <c r="AA17" i="1"/>
  <c r="R9" i="3"/>
  <c r="U194" i="1"/>
  <c r="S194" i="1" s="1"/>
  <c r="AA151" i="1"/>
  <c r="W151" i="1" s="1"/>
  <c r="AG140" i="1"/>
  <c r="AG201" i="1"/>
  <c r="AI201" i="1" s="1"/>
  <c r="X201" i="1"/>
  <c r="AA137" i="1"/>
  <c r="X131" i="1"/>
  <c r="AI122" i="1"/>
  <c r="AI121" i="1"/>
  <c r="AI117" i="1"/>
  <c r="X102" i="1"/>
  <c r="AI101" i="1"/>
  <c r="AG98" i="1"/>
  <c r="U98" i="1" s="1"/>
  <c r="S98" i="1" s="1"/>
  <c r="X98" i="1"/>
  <c r="AG183" i="1"/>
  <c r="U183" i="1" s="1"/>
  <c r="S183" i="1" s="1"/>
  <c r="X183" i="1"/>
  <c r="X95" i="1"/>
  <c r="X89" i="1"/>
  <c r="AG83" i="1"/>
  <c r="U83" i="1" s="1"/>
  <c r="S83" i="1" s="1"/>
  <c r="X83" i="1"/>
  <c r="AG81" i="1"/>
  <c r="W81" i="1" s="1"/>
  <c r="AG67" i="1"/>
  <c r="W67" i="1" s="1"/>
  <c r="X67" i="1"/>
  <c r="AG65" i="1"/>
  <c r="W65" i="1" s="1"/>
  <c r="AG39" i="1"/>
  <c r="AA31" i="1"/>
  <c r="AG23" i="1"/>
  <c r="W23" i="1" s="1"/>
  <c r="AG124" i="1"/>
  <c r="U124" i="1" s="1"/>
  <c r="S124" i="1" s="1"/>
  <c r="AI109" i="1"/>
  <c r="T214" i="1"/>
  <c r="AG209" i="1"/>
  <c r="U209" i="1" s="1"/>
  <c r="S209" i="1" s="1"/>
  <c r="T205" i="1"/>
  <c r="T198" i="1"/>
  <c r="U198" i="1" s="1"/>
  <c r="S198" i="1" s="1"/>
  <c r="AA196" i="1"/>
  <c r="AA195" i="1"/>
  <c r="AA129" i="1"/>
  <c r="X121" i="1"/>
  <c r="AA120" i="1"/>
  <c r="AG104" i="1"/>
  <c r="U104" i="1" s="1"/>
  <c r="S104" i="1" s="1"/>
  <c r="AA99" i="1"/>
  <c r="W99" i="1" s="1"/>
  <c r="AG188" i="1"/>
  <c r="AI188" i="1" s="1"/>
  <c r="AA185" i="1"/>
  <c r="AA184" i="1"/>
  <c r="W184" i="1" s="1"/>
  <c r="T176" i="1"/>
  <c r="AA171" i="1"/>
  <c r="W171" i="1" s="1"/>
  <c r="AA170" i="1"/>
  <c r="AG168" i="1"/>
  <c r="AI168" i="1" s="1"/>
  <c r="AA165" i="1"/>
  <c r="W165" i="1" s="1"/>
  <c r="AA164" i="1"/>
  <c r="AG92" i="1"/>
  <c r="U92" i="1" s="1"/>
  <c r="X92" i="1"/>
  <c r="AA91" i="1"/>
  <c r="AA90" i="1"/>
  <c r="AA75" i="1"/>
  <c r="AG74" i="1"/>
  <c r="U74" i="1" s="1"/>
  <c r="S74" i="1" s="1"/>
  <c r="X74" i="1"/>
  <c r="AA73" i="1"/>
  <c r="W73" i="1" s="1"/>
  <c r="AA72" i="1"/>
  <c r="AA59" i="1"/>
  <c r="AG57" i="1"/>
  <c r="AI57" i="1" s="1"/>
  <c r="AA45" i="1"/>
  <c r="AG41" i="1"/>
  <c r="U41" i="1" s="1"/>
  <c r="S41" i="1" s="1"/>
  <c r="U37" i="1"/>
  <c r="S37" i="1" s="1"/>
  <c r="AA37" i="1"/>
  <c r="W37" i="1" s="1"/>
  <c r="AA36" i="1"/>
  <c r="W36" i="1" s="1"/>
  <c r="AA35" i="1"/>
  <c r="AA34" i="1"/>
  <c r="W34" i="1" s="1"/>
  <c r="T34" i="1"/>
  <c r="U34" i="1" s="1"/>
  <c r="S34" i="1" s="1"/>
  <c r="AG31" i="1"/>
  <c r="AA29" i="1"/>
  <c r="AG25" i="1"/>
  <c r="AI25" i="1" s="1"/>
  <c r="AA21" i="1"/>
  <c r="W21" i="1" s="1"/>
  <c r="AA20" i="1"/>
  <c r="W20" i="1" s="1"/>
  <c r="T17" i="1"/>
  <c r="U17" i="1" s="1"/>
  <c r="S17" i="1" s="1"/>
  <c r="AI207" i="1"/>
  <c r="W207" i="1"/>
  <c r="X211" i="1"/>
  <c r="AG204" i="1"/>
  <c r="U204" i="1" s="1"/>
  <c r="S204" i="1" s="1"/>
  <c r="AG137" i="1"/>
  <c r="AI137" i="1" s="1"/>
  <c r="AA133" i="1"/>
  <c r="AG132" i="1"/>
  <c r="U132" i="1" s="1"/>
  <c r="S132" i="1" s="1"/>
  <c r="AA126" i="1"/>
  <c r="AA125" i="1"/>
  <c r="W125" i="1" s="1"/>
  <c r="T125" i="1"/>
  <c r="U125" i="1" s="1"/>
  <c r="S125" i="1" s="1"/>
  <c r="AA124" i="1"/>
  <c r="AA121" i="1"/>
  <c r="W121" i="1" s="1"/>
  <c r="T121" i="1"/>
  <c r="U121" i="1" s="1"/>
  <c r="S121" i="1" s="1"/>
  <c r="AA119" i="1"/>
  <c r="AG116" i="1"/>
  <c r="U116" i="1" s="1"/>
  <c r="S116" i="1" s="1"/>
  <c r="X113" i="1"/>
  <c r="X109" i="1"/>
  <c r="X105" i="1"/>
  <c r="T102" i="1"/>
  <c r="U102" i="1" s="1"/>
  <c r="S102" i="1" s="1"/>
  <c r="AA100" i="1"/>
  <c r="AG189" i="1"/>
  <c r="U189" i="1" s="1"/>
  <c r="S189" i="1" s="1"/>
  <c r="X189" i="1"/>
  <c r="X184" i="1"/>
  <c r="T180" i="1"/>
  <c r="U180" i="1" s="1"/>
  <c r="S180" i="1" s="1"/>
  <c r="AG179" i="1"/>
  <c r="U179" i="1" s="1"/>
  <c r="S179" i="1" s="1"/>
  <c r="T177" i="1"/>
  <c r="U177" i="1" s="1"/>
  <c r="S177" i="1" s="1"/>
  <c r="AG175" i="1"/>
  <c r="AI175" i="1" s="1"/>
  <c r="AG172" i="1"/>
  <c r="X172" i="1"/>
  <c r="T163" i="1"/>
  <c r="U163" i="1" s="1"/>
  <c r="S163" i="1" s="1"/>
  <c r="X88" i="1"/>
  <c r="AG88" i="1"/>
  <c r="U88" i="1" s="1"/>
  <c r="X71" i="1"/>
  <c r="AG71" i="1"/>
  <c r="W71" i="1" s="1"/>
  <c r="AG55" i="1"/>
  <c r="W55" i="1" s="1"/>
  <c r="X55" i="1"/>
  <c r="U211" i="1"/>
  <c r="S211" i="1" s="1"/>
  <c r="W194" i="1"/>
  <c r="AG213" i="1"/>
  <c r="U213" i="1" s="1"/>
  <c r="S213" i="1" s="1"/>
  <c r="W209" i="1"/>
  <c r="T207" i="1"/>
  <c r="U207" i="1" s="1"/>
  <c r="S207" i="1" s="1"/>
  <c r="AG214" i="1"/>
  <c r="AI214" i="1" s="1"/>
  <c r="AA210" i="1"/>
  <c r="AG205" i="1"/>
  <c r="AI205" i="1" s="1"/>
  <c r="AA201" i="1"/>
  <c r="AA197" i="1"/>
  <c r="W197" i="1" s="1"/>
  <c r="T197" i="1"/>
  <c r="U197" i="1" s="1"/>
  <c r="S197" i="1" s="1"/>
  <c r="AA159" i="1"/>
  <c r="T159" i="1"/>
  <c r="AA156" i="1"/>
  <c r="W156" i="1" s="1"/>
  <c r="T156" i="1"/>
  <c r="U156" i="1" s="1"/>
  <c r="S156" i="1" s="1"/>
  <c r="AA152" i="1"/>
  <c r="W152" i="1" s="1"/>
  <c r="T152" i="1"/>
  <c r="AA142" i="1"/>
  <c r="AG133" i="1"/>
  <c r="AI133" i="1" s="1"/>
  <c r="AA130" i="1"/>
  <c r="AG128" i="1"/>
  <c r="U128" i="1" s="1"/>
  <c r="AA123" i="1"/>
  <c r="X117" i="1"/>
  <c r="AA112" i="1"/>
  <c r="AA108" i="1"/>
  <c r="AA104" i="1"/>
  <c r="AA190" i="1"/>
  <c r="AA188" i="1"/>
  <c r="AA181" i="1"/>
  <c r="AG95" i="1"/>
  <c r="U95" i="1" s="1"/>
  <c r="S95" i="1" s="1"/>
  <c r="AG176" i="1"/>
  <c r="AG173" i="1"/>
  <c r="X94" i="1"/>
  <c r="AA169" i="1"/>
  <c r="T162" i="1"/>
  <c r="AA93" i="1"/>
  <c r="T89" i="1"/>
  <c r="U89" i="1" s="1"/>
  <c r="S89" i="1" s="1"/>
  <c r="AA87" i="1"/>
  <c r="AA86" i="1"/>
  <c r="X79" i="1"/>
  <c r="AG79" i="1"/>
  <c r="W79" i="1" s="1"/>
  <c r="AA70" i="1"/>
  <c r="AG69" i="1"/>
  <c r="U69" i="1" s="1"/>
  <c r="S69" i="1" s="1"/>
  <c r="T54" i="1"/>
  <c r="X54" i="1"/>
  <c r="AG54" i="1"/>
  <c r="AA213" i="1"/>
  <c r="AA212" i="1"/>
  <c r="AA204" i="1"/>
  <c r="W204" i="1" s="1"/>
  <c r="AA203" i="1"/>
  <c r="AA138" i="1"/>
  <c r="T138" i="1"/>
  <c r="AA136" i="1"/>
  <c r="AA116" i="1"/>
  <c r="T113" i="1"/>
  <c r="AA111" i="1"/>
  <c r="T109" i="1"/>
  <c r="U109" i="1" s="1"/>
  <c r="S109" i="1" s="1"/>
  <c r="AA107" i="1"/>
  <c r="T105" i="1"/>
  <c r="U105" i="1" s="1"/>
  <c r="S105" i="1" s="1"/>
  <c r="AA206" i="1"/>
  <c r="AA187" i="1"/>
  <c r="T184" i="1"/>
  <c r="U184" i="1" s="1"/>
  <c r="S184" i="1" s="1"/>
  <c r="X180" i="1"/>
  <c r="AA179" i="1"/>
  <c r="AA178" i="1"/>
  <c r="AA175" i="1"/>
  <c r="AA174" i="1"/>
  <c r="X169" i="1"/>
  <c r="AG169" i="1"/>
  <c r="U169" i="1" s="1"/>
  <c r="S169" i="1" s="1"/>
  <c r="AA162" i="1"/>
  <c r="AA83" i="1"/>
  <c r="AA78" i="1"/>
  <c r="AG77" i="1"/>
  <c r="U77" i="1" s="1"/>
  <c r="S77" i="1" s="1"/>
  <c r="X70" i="1"/>
  <c r="AG70" i="1"/>
  <c r="U70" i="1" s="1"/>
  <c r="S70" i="1" s="1"/>
  <c r="AI67" i="1"/>
  <c r="AA63" i="1"/>
  <c r="AG59" i="1"/>
  <c r="AI59" i="1" s="1"/>
  <c r="X59" i="1"/>
  <c r="T55" i="1"/>
  <c r="U55" i="1" s="1"/>
  <c r="S55" i="1" s="1"/>
  <c r="AG46" i="1"/>
  <c r="AI46" i="1" s="1"/>
  <c r="T46" i="1"/>
  <c r="X46" i="1"/>
  <c r="AG30" i="1"/>
  <c r="AI30" i="1" s="1"/>
  <c r="T30" i="1"/>
  <c r="X30" i="1"/>
  <c r="W101" i="1"/>
  <c r="W185" i="1"/>
  <c r="T94" i="1"/>
  <c r="U94" i="1" s="1"/>
  <c r="S94" i="1" s="1"/>
  <c r="AG162" i="1"/>
  <c r="AI162" i="1" s="1"/>
  <c r="X78" i="1"/>
  <c r="AG78" i="1"/>
  <c r="U78" i="1" s="1"/>
  <c r="S78" i="1" s="1"/>
  <c r="X63" i="1"/>
  <c r="AG63" i="1"/>
  <c r="AI63" i="1" s="1"/>
  <c r="T58" i="1"/>
  <c r="X58" i="1"/>
  <c r="AG58" i="1"/>
  <c r="AI58" i="1" s="1"/>
  <c r="T45" i="1"/>
  <c r="AG45" i="1"/>
  <c r="AI45" i="1" s="1"/>
  <c r="T43" i="1"/>
  <c r="AG43" i="1"/>
  <c r="AI43" i="1" s="1"/>
  <c r="T29" i="1"/>
  <c r="AG29" i="1"/>
  <c r="T27" i="1"/>
  <c r="AG27" i="1"/>
  <c r="AA172" i="1"/>
  <c r="AA92" i="1"/>
  <c r="AA82" i="1"/>
  <c r="AA74" i="1"/>
  <c r="AA66" i="1"/>
  <c r="AA49" i="1"/>
  <c r="AA41" i="1"/>
  <c r="W41" i="1" s="1"/>
  <c r="AA40" i="1"/>
  <c r="W40" i="1" s="1"/>
  <c r="AA38" i="1"/>
  <c r="T38" i="1"/>
  <c r="U38" i="1" s="1"/>
  <c r="S38" i="1" s="1"/>
  <c r="AA25" i="1"/>
  <c r="AA24" i="1"/>
  <c r="W24" i="1" s="1"/>
  <c r="AA22" i="1"/>
  <c r="T22" i="1"/>
  <c r="U22" i="1" s="1"/>
  <c r="S22" i="1" s="1"/>
  <c r="AA18" i="1"/>
  <c r="W18" i="1" s="1"/>
  <c r="T18" i="1"/>
  <c r="U18" i="1" s="1"/>
  <c r="S18" i="1" s="1"/>
  <c r="AA15" i="1"/>
  <c r="AA14" i="1"/>
  <c r="AA84" i="1"/>
  <c r="AA77" i="1"/>
  <c r="W77" i="1" s="1"/>
  <c r="AA76" i="1"/>
  <c r="AA69" i="1"/>
  <c r="AA68" i="1"/>
  <c r="W62" i="1"/>
  <c r="W17" i="1"/>
  <c r="AA61" i="1"/>
  <c r="W61" i="1" s="1"/>
  <c r="AA60" i="1"/>
  <c r="AA58" i="1"/>
  <c r="AA54" i="1"/>
  <c r="AI50" i="1"/>
  <c r="AG47" i="1"/>
  <c r="AI47" i="1" s="1"/>
  <c r="AA46" i="1"/>
  <c r="X38" i="1"/>
  <c r="AG35" i="1"/>
  <c r="AI35" i="1" s="1"/>
  <c r="AA33" i="1"/>
  <c r="AA32" i="1"/>
  <c r="W32" i="1" s="1"/>
  <c r="AA30" i="1"/>
  <c r="X22" i="1"/>
  <c r="AG19" i="1"/>
  <c r="AI19" i="1" s="1"/>
  <c r="X18" i="1"/>
  <c r="AG15" i="1"/>
  <c r="AI15" i="1" s="1"/>
  <c r="U131" i="1"/>
  <c r="S131" i="1" s="1"/>
  <c r="AI171" i="1"/>
  <c r="AI198" i="1"/>
  <c r="AI194" i="1"/>
  <c r="U152" i="1"/>
  <c r="S152" i="1" s="1"/>
  <c r="U196" i="1"/>
  <c r="S196" i="1" s="1"/>
  <c r="T127" i="1"/>
  <c r="X213" i="1"/>
  <c r="AG212" i="1"/>
  <c r="X209" i="1"/>
  <c r="AG208" i="1"/>
  <c r="X204" i="1"/>
  <c r="AG203" i="1"/>
  <c r="AI203" i="1" s="1"/>
  <c r="X200" i="1"/>
  <c r="AG199" i="1"/>
  <c r="AG195" i="1"/>
  <c r="AI195" i="1" s="1"/>
  <c r="AG158" i="1"/>
  <c r="AI158" i="1" s="1"/>
  <c r="AG154" i="1"/>
  <c r="AI154" i="1" s="1"/>
  <c r="X137" i="1"/>
  <c r="AG136" i="1"/>
  <c r="AI136" i="1" s="1"/>
  <c r="X130" i="1"/>
  <c r="AG129" i="1"/>
  <c r="AI129" i="1" s="1"/>
  <c r="AG127" i="1"/>
  <c r="AI127" i="1" s="1"/>
  <c r="AG126" i="1"/>
  <c r="AI126" i="1" s="1"/>
  <c r="T126" i="1"/>
  <c r="X126" i="1"/>
  <c r="AI165" i="1"/>
  <c r="AI156" i="1"/>
  <c r="AI213" i="1"/>
  <c r="X212" i="1"/>
  <c r="AI209" i="1"/>
  <c r="X208" i="1"/>
  <c r="X203" i="1"/>
  <c r="X199" i="1"/>
  <c r="AI197" i="1"/>
  <c r="AI186" i="1"/>
  <c r="X136" i="1"/>
  <c r="X129" i="1"/>
  <c r="AI155" i="1"/>
  <c r="U113" i="1"/>
  <c r="S113" i="1" s="1"/>
  <c r="AI131" i="1"/>
  <c r="W96" i="1"/>
  <c r="X198" i="1"/>
  <c r="X128" i="1"/>
  <c r="AA127" i="1"/>
  <c r="AI163" i="1"/>
  <c r="X122" i="1"/>
  <c r="T122" i="1"/>
  <c r="U122" i="1" s="1"/>
  <c r="S122" i="1" s="1"/>
  <c r="X118" i="1"/>
  <c r="T118" i="1"/>
  <c r="U118" i="1" s="1"/>
  <c r="S118" i="1" s="1"/>
  <c r="X114" i="1"/>
  <c r="T114" i="1"/>
  <c r="U114" i="1" s="1"/>
  <c r="S114" i="1" s="1"/>
  <c r="X110" i="1"/>
  <c r="T110" i="1"/>
  <c r="U110" i="1" s="1"/>
  <c r="S110" i="1" s="1"/>
  <c r="X106" i="1"/>
  <c r="T106" i="1"/>
  <c r="U106" i="1" s="1"/>
  <c r="S106" i="1" s="1"/>
  <c r="X103" i="1"/>
  <c r="T103" i="1"/>
  <c r="U103" i="1" s="1"/>
  <c r="S103" i="1" s="1"/>
  <c r="X99" i="1"/>
  <c r="T99" i="1"/>
  <c r="U99" i="1" s="1"/>
  <c r="S99" i="1" s="1"/>
  <c r="X96" i="1"/>
  <c r="T96" i="1"/>
  <c r="U96" i="1" s="1"/>
  <c r="S96" i="1" s="1"/>
  <c r="X186" i="1"/>
  <c r="T186" i="1"/>
  <c r="U186" i="1" s="1"/>
  <c r="S186" i="1" s="1"/>
  <c r="T181" i="1"/>
  <c r="X181" i="1"/>
  <c r="AG181" i="1"/>
  <c r="AI113" i="1"/>
  <c r="U97" i="1"/>
  <c r="S97" i="1" s="1"/>
  <c r="X124" i="1"/>
  <c r="AG123" i="1"/>
  <c r="AI123" i="1" s="1"/>
  <c r="X120" i="1"/>
  <c r="AG119" i="1"/>
  <c r="X116" i="1"/>
  <c r="AG115" i="1"/>
  <c r="AI115" i="1" s="1"/>
  <c r="X112" i="1"/>
  <c r="AG111" i="1"/>
  <c r="AI111" i="1" s="1"/>
  <c r="X108" i="1"/>
  <c r="AG107" i="1"/>
  <c r="AI107" i="1" s="1"/>
  <c r="X104" i="1"/>
  <c r="AG206" i="1"/>
  <c r="AI206" i="1" s="1"/>
  <c r="X101" i="1"/>
  <c r="AG100" i="1"/>
  <c r="AI100" i="1" s="1"/>
  <c r="X97" i="1"/>
  <c r="AG190" i="1"/>
  <c r="X188" i="1"/>
  <c r="AG187" i="1"/>
  <c r="AI187" i="1" s="1"/>
  <c r="AA183" i="1"/>
  <c r="W183" i="1" s="1"/>
  <c r="AA182" i="1"/>
  <c r="W182" i="1" s="1"/>
  <c r="X123" i="1"/>
  <c r="X119" i="1"/>
  <c r="X115" i="1"/>
  <c r="X111" i="1"/>
  <c r="X107" i="1"/>
  <c r="X206" i="1"/>
  <c r="X100" i="1"/>
  <c r="AI125" i="1"/>
  <c r="X187" i="1"/>
  <c r="T185" i="1"/>
  <c r="U185" i="1" s="1"/>
  <c r="S185" i="1" s="1"/>
  <c r="X185" i="1"/>
  <c r="U171" i="1"/>
  <c r="S171" i="1" s="1"/>
  <c r="U165" i="1"/>
  <c r="S165" i="1" s="1"/>
  <c r="T85" i="1"/>
  <c r="X85" i="1"/>
  <c r="AI61" i="1"/>
  <c r="AI55" i="1"/>
  <c r="X182" i="1"/>
  <c r="X179" i="1"/>
  <c r="AG178" i="1"/>
  <c r="X175" i="1"/>
  <c r="AG174" i="1"/>
  <c r="X171" i="1"/>
  <c r="AG170" i="1"/>
  <c r="W170" i="1" s="1"/>
  <c r="AG167" i="1"/>
  <c r="AG164" i="1"/>
  <c r="AI96" i="1"/>
  <c r="AG160" i="1"/>
  <c r="AI92" i="1"/>
  <c r="S92" i="1"/>
  <c r="X91" i="1"/>
  <c r="AG90" i="1"/>
  <c r="W90" i="1" s="1"/>
  <c r="X87" i="1"/>
  <c r="AG86" i="1"/>
  <c r="AG85" i="1"/>
  <c r="X178" i="1"/>
  <c r="X174" i="1"/>
  <c r="X170" i="1"/>
  <c r="AI103" i="1"/>
  <c r="AI99" i="1"/>
  <c r="AI91" i="1"/>
  <c r="X90" i="1"/>
  <c r="X86" i="1"/>
  <c r="U73" i="1"/>
  <c r="S73" i="1" s="1"/>
  <c r="AA85" i="1"/>
  <c r="T84" i="1"/>
  <c r="X84" i="1"/>
  <c r="AG84" i="1"/>
  <c r="X81" i="1"/>
  <c r="AG80" i="1"/>
  <c r="W80" i="1" s="1"/>
  <c r="X77" i="1"/>
  <c r="AG76" i="1"/>
  <c r="W76" i="1" s="1"/>
  <c r="X73" i="1"/>
  <c r="AG72" i="1"/>
  <c r="X69" i="1"/>
  <c r="AG68" i="1"/>
  <c r="X65" i="1"/>
  <c r="AG64" i="1"/>
  <c r="W64" i="1" s="1"/>
  <c r="AI62" i="1"/>
  <c r="X61" i="1"/>
  <c r="T61" i="1"/>
  <c r="U61" i="1" s="1"/>
  <c r="S61" i="1" s="1"/>
  <c r="AG60" i="1"/>
  <c r="X57" i="1"/>
  <c r="AG56" i="1"/>
  <c r="X53" i="1"/>
  <c r="AG52" i="1"/>
  <c r="T51" i="1"/>
  <c r="X51" i="1"/>
  <c r="X50" i="1"/>
  <c r="AI32" i="1"/>
  <c r="W28" i="1"/>
  <c r="W26" i="1"/>
  <c r="X80" i="1"/>
  <c r="X76" i="1"/>
  <c r="X72" i="1"/>
  <c r="AI69" i="1"/>
  <c r="X68" i="1"/>
  <c r="X64" i="1"/>
  <c r="X60" i="1"/>
  <c r="X56" i="1"/>
  <c r="X52" i="1"/>
  <c r="AG51" i="1"/>
  <c r="AG48" i="1"/>
  <c r="W48" i="1" s="1"/>
  <c r="T48" i="1"/>
  <c r="X48" i="1"/>
  <c r="AI44" i="1"/>
  <c r="U43" i="1"/>
  <c r="S43" i="1" s="1"/>
  <c r="AI42" i="1"/>
  <c r="W38" i="1"/>
  <c r="AI28" i="1"/>
  <c r="AI26" i="1"/>
  <c r="W22" i="1"/>
  <c r="AI40" i="1"/>
  <c r="AI38" i="1"/>
  <c r="AI24" i="1"/>
  <c r="AI22" i="1"/>
  <c r="AI18" i="1"/>
  <c r="X62" i="1"/>
  <c r="T50" i="1"/>
  <c r="U50" i="1" s="1"/>
  <c r="S50" i="1" s="1"/>
  <c r="AI36" i="1"/>
  <c r="AI34" i="1"/>
  <c r="AI20" i="1"/>
  <c r="AI16" i="1"/>
  <c r="X44" i="1"/>
  <c r="T44" i="1"/>
  <c r="U44" i="1" s="1"/>
  <c r="S44" i="1" s="1"/>
  <c r="AI41" i="1"/>
  <c r="X40" i="1"/>
  <c r="T40" i="1"/>
  <c r="U40" i="1" s="1"/>
  <c r="S40" i="1" s="1"/>
  <c r="AI37" i="1"/>
  <c r="X36" i="1"/>
  <c r="T36" i="1"/>
  <c r="U36" i="1" s="1"/>
  <c r="S36" i="1" s="1"/>
  <c r="S33" i="1"/>
  <c r="X32" i="1"/>
  <c r="T32" i="1"/>
  <c r="U32" i="1" s="1"/>
  <c r="S32" i="1" s="1"/>
  <c r="X28" i="1"/>
  <c r="T28" i="1"/>
  <c r="U28" i="1" s="1"/>
  <c r="S28" i="1" s="1"/>
  <c r="X24" i="1"/>
  <c r="T24" i="1"/>
  <c r="U24" i="1" s="1"/>
  <c r="S24" i="1" s="1"/>
  <c r="AI21" i="1"/>
  <c r="X20" i="1"/>
  <c r="T20" i="1"/>
  <c r="U20" i="1" s="1"/>
  <c r="S20" i="1" s="1"/>
  <c r="AI17" i="1"/>
  <c r="X16" i="1"/>
  <c r="T16" i="1"/>
  <c r="U16" i="1" s="1"/>
  <c r="S16" i="1" s="1"/>
  <c r="U15" i="1"/>
  <c r="S15" i="1" s="1"/>
  <c r="X47" i="1"/>
  <c r="X43" i="1"/>
  <c r="X39" i="1"/>
  <c r="X35" i="1"/>
  <c r="X31" i="1"/>
  <c r="X27" i="1"/>
  <c r="X23" i="1"/>
  <c r="X19" i="1"/>
  <c r="X15" i="1"/>
  <c r="AG14" i="1"/>
  <c r="W14" i="1" s="1"/>
  <c r="X45" i="1"/>
  <c r="X41" i="1"/>
  <c r="X37" i="1"/>
  <c r="X33" i="1"/>
  <c r="X29" i="1"/>
  <c r="X25" i="1"/>
  <c r="X21" i="1"/>
  <c r="X17" i="1"/>
  <c r="Y24" i="3"/>
  <c r="Y15" i="3"/>
  <c r="Y29" i="3"/>
  <c r="Y28" i="3"/>
  <c r="Y18" i="3"/>
  <c r="Y11" i="3"/>
  <c r="Y19" i="3"/>
  <c r="Y23" i="3"/>
  <c r="Y27" i="3"/>
  <c r="Y9" i="3"/>
  <c r="Y16" i="3"/>
  <c r="Y12" i="3"/>
  <c r="Y21" i="3"/>
  <c r="AC20" i="3"/>
  <c r="AC14" i="3"/>
  <c r="AC10" i="3"/>
  <c r="T19" i="3"/>
  <c r="T15" i="3"/>
  <c r="AC28" i="3"/>
  <c r="AC22" i="3"/>
  <c r="AC11" i="3"/>
  <c r="AC7" i="3"/>
  <c r="AC13" i="3"/>
  <c r="M31" i="3"/>
  <c r="N31" i="3"/>
  <c r="R31" i="3"/>
  <c r="S31" i="3"/>
  <c r="U31" i="3"/>
  <c r="T31" i="3" s="1"/>
  <c r="V31" i="3"/>
  <c r="W31" i="3"/>
  <c r="X31" i="3"/>
  <c r="AI179" i="1" l="1"/>
  <c r="W112" i="1"/>
  <c r="W166" i="1"/>
  <c r="U159" i="1"/>
  <c r="S159" i="1" s="1"/>
  <c r="AI81" i="1"/>
  <c r="W164" i="1"/>
  <c r="AI33" i="1"/>
  <c r="U35" i="1"/>
  <c r="S35" i="1" s="1"/>
  <c r="AI66" i="1"/>
  <c r="AI108" i="1"/>
  <c r="U175" i="1"/>
  <c r="S175" i="1" s="1"/>
  <c r="W159" i="1"/>
  <c r="W189" i="1"/>
  <c r="W161" i="1"/>
  <c r="W95" i="1"/>
  <c r="U157" i="1"/>
  <c r="S157" i="1" s="1"/>
  <c r="U19" i="1"/>
  <c r="S19" i="1" s="1"/>
  <c r="AI159" i="1"/>
  <c r="U200" i="1"/>
  <c r="S200" i="1" s="1"/>
  <c r="W211" i="1"/>
  <c r="U155" i="1"/>
  <c r="S155" i="1" s="1"/>
  <c r="AI74" i="1"/>
  <c r="U168" i="1"/>
  <c r="S168" i="1" s="1"/>
  <c r="W212" i="1"/>
  <c r="W58" i="1"/>
  <c r="W172" i="1"/>
  <c r="U138" i="1"/>
  <c r="S138" i="1" s="1"/>
  <c r="W74" i="1"/>
  <c r="W138" i="1"/>
  <c r="U25" i="1"/>
  <c r="S25" i="1" s="1"/>
  <c r="W25" i="1"/>
  <c r="U201" i="1"/>
  <c r="S201" i="1" s="1"/>
  <c r="U67" i="1"/>
  <c r="S67" i="1" s="1"/>
  <c r="W72" i="1"/>
  <c r="U81" i="1"/>
  <c r="S81" i="1" s="1"/>
  <c r="W160" i="1"/>
  <c r="AI116" i="1"/>
  <c r="AI182" i="1"/>
  <c r="W92" i="1"/>
  <c r="W59" i="1"/>
  <c r="W201" i="1"/>
  <c r="U214" i="1"/>
  <c r="S214" i="1" s="1"/>
  <c r="W97" i="1"/>
  <c r="W31" i="1"/>
  <c r="U134" i="1"/>
  <c r="S134" i="1" s="1"/>
  <c r="AI88" i="1"/>
  <c r="U161" i="1"/>
  <c r="S161" i="1" s="1"/>
  <c r="AI161" i="1"/>
  <c r="W178" i="1"/>
  <c r="W190" i="1"/>
  <c r="U188" i="1"/>
  <c r="S188" i="1" s="1"/>
  <c r="AI183" i="1"/>
  <c r="W53" i="1"/>
  <c r="W29" i="1"/>
  <c r="W93" i="1"/>
  <c r="W188" i="1"/>
  <c r="W120" i="1"/>
  <c r="U140" i="1"/>
  <c r="S140" i="1" s="1"/>
  <c r="W108" i="1"/>
  <c r="U173" i="1"/>
  <c r="S173" i="1" s="1"/>
  <c r="W128" i="1"/>
  <c r="AI77" i="1"/>
  <c r="W33" i="1"/>
  <c r="W179" i="1"/>
  <c r="U137" i="1"/>
  <c r="S137" i="1" s="1"/>
  <c r="W91" i="1"/>
  <c r="U63" i="1"/>
  <c r="S63" i="1" s="1"/>
  <c r="AI112" i="1"/>
  <c r="W137" i="1"/>
  <c r="W134" i="1"/>
  <c r="W124" i="1"/>
  <c r="W46" i="1"/>
  <c r="AI29" i="1"/>
  <c r="U30" i="1"/>
  <c r="S30" i="1" s="1"/>
  <c r="W119" i="1"/>
  <c r="W82" i="1"/>
  <c r="AI31" i="1"/>
  <c r="U54" i="1"/>
  <c r="S54" i="1" s="1"/>
  <c r="AI83" i="1"/>
  <c r="W30" i="1"/>
  <c r="AI82" i="1"/>
  <c r="U133" i="1"/>
  <c r="S133" i="1" s="1"/>
  <c r="U46" i="1"/>
  <c r="S46" i="1" s="1"/>
  <c r="W83" i="1"/>
  <c r="W104" i="1"/>
  <c r="W98" i="1"/>
  <c r="W45" i="1"/>
  <c r="U45" i="1"/>
  <c r="S45" i="1" s="1"/>
  <c r="S53" i="1"/>
  <c r="AI54" i="1"/>
  <c r="AI70" i="1"/>
  <c r="AI78" i="1"/>
  <c r="AI87" i="1"/>
  <c r="AI95" i="1"/>
  <c r="U57" i="1"/>
  <c r="S57" i="1" s="1"/>
  <c r="S182" i="1"/>
  <c r="AI210" i="1"/>
  <c r="S128" i="1"/>
  <c r="W57" i="1"/>
  <c r="W69" i="1"/>
  <c r="W49" i="1"/>
  <c r="U31" i="1"/>
  <c r="S31" i="1" s="1"/>
  <c r="AI75" i="1"/>
  <c r="W88" i="1"/>
  <c r="W175" i="1"/>
  <c r="W130" i="1"/>
  <c r="U47" i="1"/>
  <c r="S47" i="1" s="1"/>
  <c r="AI49" i="1"/>
  <c r="AI53" i="1"/>
  <c r="AI65" i="1"/>
  <c r="W84" i="1"/>
  <c r="S88" i="1"/>
  <c r="AI104" i="1"/>
  <c r="W174" i="1"/>
  <c r="U59" i="1"/>
  <c r="S59" i="1" s="1"/>
  <c r="U120" i="1"/>
  <c r="S120" i="1" s="1"/>
  <c r="W181" i="1"/>
  <c r="AI202" i="1"/>
  <c r="U130" i="1"/>
  <c r="S130" i="1" s="1"/>
  <c r="W54" i="1"/>
  <c r="W66" i="1"/>
  <c r="U75" i="1"/>
  <c r="S75" i="1" s="1"/>
  <c r="AI93" i="1"/>
  <c r="W116" i="1"/>
  <c r="W213" i="1"/>
  <c r="W87" i="1"/>
  <c r="W176" i="1"/>
  <c r="U205" i="1"/>
  <c r="S205" i="1" s="1"/>
  <c r="U202" i="1"/>
  <c r="S202" i="1" s="1"/>
  <c r="U65" i="1"/>
  <c r="S65" i="1" s="1"/>
  <c r="W210" i="1"/>
  <c r="U58" i="1"/>
  <c r="S58" i="1" s="1"/>
  <c r="W173" i="1"/>
  <c r="U162" i="1"/>
  <c r="S162" i="1" s="1"/>
  <c r="U39" i="1"/>
  <c r="S39" i="1" s="1"/>
  <c r="AI39" i="1"/>
  <c r="W85" i="1"/>
  <c r="W19" i="1"/>
  <c r="U23" i="1"/>
  <c r="S23" i="1" s="1"/>
  <c r="AI23" i="1"/>
  <c r="W39" i="1"/>
  <c r="W168" i="1"/>
  <c r="W140" i="1"/>
  <c r="U29" i="1"/>
  <c r="S29" i="1" s="1"/>
  <c r="W35" i="1"/>
  <c r="W205" i="1"/>
  <c r="AI170" i="1"/>
  <c r="AI178" i="1"/>
  <c r="U27" i="1"/>
  <c r="S27" i="1" s="1"/>
  <c r="AI27" i="1"/>
  <c r="W27" i="1"/>
  <c r="W63" i="1"/>
  <c r="W162" i="1"/>
  <c r="U79" i="1"/>
  <c r="S79" i="1" s="1"/>
  <c r="AI79" i="1"/>
  <c r="U176" i="1"/>
  <c r="S176" i="1" s="1"/>
  <c r="AI176" i="1"/>
  <c r="W47" i="1"/>
  <c r="W199" i="1"/>
  <c r="AI199" i="1"/>
  <c r="W43" i="1"/>
  <c r="W70" i="1"/>
  <c r="W169" i="1"/>
  <c r="U71" i="1"/>
  <c r="S71" i="1" s="1"/>
  <c r="AI71" i="1"/>
  <c r="W214" i="1"/>
  <c r="AI119" i="1"/>
  <c r="AI174" i="1"/>
  <c r="AI190" i="1"/>
  <c r="W15" i="1"/>
  <c r="W78" i="1"/>
  <c r="U172" i="1"/>
  <c r="S172" i="1" s="1"/>
  <c r="AI172" i="1"/>
  <c r="W133" i="1"/>
  <c r="W132" i="1"/>
  <c r="AI52" i="1"/>
  <c r="U52" i="1"/>
  <c r="S52" i="1" s="1"/>
  <c r="AI56" i="1"/>
  <c r="U56" i="1"/>
  <c r="S56" i="1" s="1"/>
  <c r="AI60" i="1"/>
  <c r="U60" i="1"/>
  <c r="S60" i="1" s="1"/>
  <c r="AI64" i="1"/>
  <c r="U64" i="1"/>
  <c r="S64" i="1" s="1"/>
  <c r="AI68" i="1"/>
  <c r="U68" i="1"/>
  <c r="S68" i="1" s="1"/>
  <c r="AI72" i="1"/>
  <c r="U72" i="1"/>
  <c r="S72" i="1" s="1"/>
  <c r="AI76" i="1"/>
  <c r="U76" i="1"/>
  <c r="S76" i="1" s="1"/>
  <c r="AI80" i="1"/>
  <c r="U80" i="1"/>
  <c r="S80" i="1" s="1"/>
  <c r="W68" i="1"/>
  <c r="W127" i="1"/>
  <c r="AI169" i="1"/>
  <c r="U129" i="1"/>
  <c r="S129" i="1" s="1"/>
  <c r="AI177" i="1"/>
  <c r="U136" i="1"/>
  <c r="S136" i="1" s="1"/>
  <c r="AI185" i="1"/>
  <c r="U154" i="1"/>
  <c r="S154" i="1" s="1"/>
  <c r="AI196" i="1"/>
  <c r="U195" i="1"/>
  <c r="S195" i="1" s="1"/>
  <c r="AI51" i="1"/>
  <c r="W51" i="1"/>
  <c r="U51" i="1"/>
  <c r="S51" i="1" s="1"/>
  <c r="W60" i="1"/>
  <c r="U187" i="1"/>
  <c r="S187" i="1" s="1"/>
  <c r="AI124" i="1"/>
  <c r="U100" i="1"/>
  <c r="S100" i="1" s="1"/>
  <c r="AI132" i="1"/>
  <c r="U107" i="1"/>
  <c r="S107" i="1" s="1"/>
  <c r="AI140" i="1"/>
  <c r="U115" i="1"/>
  <c r="S115" i="1" s="1"/>
  <c r="AI157" i="1"/>
  <c r="U123" i="1"/>
  <c r="S123" i="1" s="1"/>
  <c r="AI164" i="1"/>
  <c r="W187" i="1"/>
  <c r="W123" i="1"/>
  <c r="W136" i="1"/>
  <c r="W154" i="1"/>
  <c r="AI14" i="1"/>
  <c r="U14" i="1"/>
  <c r="S14" i="1" s="1"/>
  <c r="U84" i="1"/>
  <c r="S84" i="1" s="1"/>
  <c r="AI84" i="1"/>
  <c r="W52" i="1"/>
  <c r="AI85" i="1"/>
  <c r="U85" i="1"/>
  <c r="S85" i="1" s="1"/>
  <c r="U126" i="1"/>
  <c r="S126" i="1" s="1"/>
  <c r="AI166" i="1"/>
  <c r="AI173" i="1"/>
  <c r="AI181" i="1"/>
  <c r="U142" i="1"/>
  <c r="S142" i="1" s="1"/>
  <c r="AI189" i="1"/>
  <c r="U158" i="1"/>
  <c r="S158" i="1" s="1"/>
  <c r="AI200" i="1"/>
  <c r="U199" i="1"/>
  <c r="S199" i="1" s="1"/>
  <c r="AI204" i="1"/>
  <c r="U203" i="1"/>
  <c r="S203" i="1" s="1"/>
  <c r="AI208" i="1"/>
  <c r="U208" i="1"/>
  <c r="S208" i="1" s="1"/>
  <c r="AI212" i="1"/>
  <c r="U212" i="1"/>
  <c r="S212" i="1" s="1"/>
  <c r="W126" i="1"/>
  <c r="W158" i="1"/>
  <c r="W208" i="1"/>
  <c r="U48" i="1"/>
  <c r="AI48" i="1"/>
  <c r="W56" i="1"/>
  <c r="AI86" i="1"/>
  <c r="U86" i="1"/>
  <c r="S86" i="1" s="1"/>
  <c r="AI90" i="1"/>
  <c r="U90" i="1"/>
  <c r="S90" i="1" s="1"/>
  <c r="AI94" i="1"/>
  <c r="U160" i="1"/>
  <c r="S160" i="1" s="1"/>
  <c r="AI98" i="1"/>
  <c r="U164" i="1"/>
  <c r="S164" i="1" s="1"/>
  <c r="AI102" i="1"/>
  <c r="U167" i="1"/>
  <c r="S167" i="1" s="1"/>
  <c r="AI106" i="1"/>
  <c r="U170" i="1"/>
  <c r="S170" i="1" s="1"/>
  <c r="AI110" i="1"/>
  <c r="U174" i="1"/>
  <c r="S174" i="1" s="1"/>
  <c r="AI114" i="1"/>
  <c r="U178" i="1"/>
  <c r="S178" i="1" s="1"/>
  <c r="W86" i="1"/>
  <c r="W167" i="1"/>
  <c r="U190" i="1"/>
  <c r="S190" i="1" s="1"/>
  <c r="AI128" i="1"/>
  <c r="U206" i="1"/>
  <c r="S206" i="1" s="1"/>
  <c r="AI135" i="1"/>
  <c r="U111" i="1"/>
  <c r="S111" i="1" s="1"/>
  <c r="U119" i="1"/>
  <c r="S119" i="1" s="1"/>
  <c r="AI160" i="1"/>
  <c r="AI118" i="1"/>
  <c r="U181" i="1"/>
  <c r="S181" i="1" s="1"/>
  <c r="W115" i="1"/>
  <c r="W206" i="1"/>
  <c r="W107" i="1"/>
  <c r="W111" i="1"/>
  <c r="AI167" i="1"/>
  <c r="U127" i="1"/>
  <c r="S127" i="1" s="1"/>
  <c r="W100" i="1"/>
  <c r="W203" i="1"/>
  <c r="W142" i="1"/>
  <c r="W129" i="1"/>
  <c r="W195" i="1"/>
  <c r="Y31" i="3"/>
  <c r="AC31" i="3"/>
  <c r="M30" i="5" l="1"/>
  <c r="M29" i="5"/>
  <c r="M28" i="5"/>
  <c r="M27" i="5"/>
  <c r="K23" i="6" l="1"/>
  <c r="B23" i="6"/>
  <c r="K22" i="6"/>
  <c r="B22" i="6"/>
  <c r="J22" i="6" s="1"/>
  <c r="K21" i="6"/>
  <c r="B21" i="6"/>
  <c r="I21" i="6" s="1"/>
  <c r="K20" i="6"/>
  <c r="B20" i="6"/>
  <c r="I20" i="6" s="1"/>
  <c r="K19" i="6"/>
  <c r="B19" i="6"/>
  <c r="K18" i="6"/>
  <c r="B18" i="6"/>
  <c r="J18" i="6" s="1"/>
  <c r="K17" i="6"/>
  <c r="B17" i="6"/>
  <c r="I17" i="6" s="1"/>
  <c r="K16" i="6"/>
  <c r="B16" i="6"/>
  <c r="I16" i="6" s="1"/>
  <c r="K15" i="6"/>
  <c r="B15" i="6"/>
  <c r="K14" i="6"/>
  <c r="B14" i="6"/>
  <c r="J14" i="6" s="1"/>
  <c r="K13" i="6"/>
  <c r="B13" i="6"/>
  <c r="I13" i="6" s="1"/>
  <c r="K12" i="6"/>
  <c r="B12" i="6"/>
  <c r="I12" i="6" s="1"/>
  <c r="K11" i="6"/>
  <c r="B11" i="6"/>
  <c r="K10" i="6"/>
  <c r="B10" i="6"/>
  <c r="J10" i="6" s="1"/>
  <c r="K9" i="6"/>
  <c r="B9" i="6"/>
  <c r="I9" i="6" s="1"/>
  <c r="K8" i="6"/>
  <c r="B8" i="6"/>
  <c r="I8" i="6" s="1"/>
  <c r="K7" i="6"/>
  <c r="B7" i="6"/>
  <c r="K6" i="6"/>
  <c r="B6" i="6"/>
  <c r="J6" i="6" s="1"/>
  <c r="K5" i="6"/>
  <c r="B5" i="6"/>
  <c r="I5" i="6" s="1"/>
  <c r="K4" i="6"/>
  <c r="B4" i="6"/>
  <c r="I4" i="6" s="1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16" i="6" l="1"/>
  <c r="AA13" i="1"/>
  <c r="F20" i="6"/>
  <c r="AG13" i="1"/>
  <c r="AI13" i="1" s="1"/>
  <c r="J8" i="6"/>
  <c r="F12" i="6"/>
  <c r="J4" i="6"/>
  <c r="F8" i="6"/>
  <c r="J20" i="6"/>
  <c r="F4" i="6"/>
  <c r="J16" i="6"/>
  <c r="J12" i="6"/>
  <c r="I7" i="6"/>
  <c r="I11" i="6"/>
  <c r="I15" i="6"/>
  <c r="I19" i="6"/>
  <c r="I6" i="6"/>
  <c r="F7" i="6"/>
  <c r="J7" i="6"/>
  <c r="I14" i="6"/>
  <c r="F15" i="6"/>
  <c r="J15" i="6"/>
  <c r="J23" i="6"/>
  <c r="F5" i="6"/>
  <c r="J5" i="6"/>
  <c r="F9" i="6"/>
  <c r="J9" i="6"/>
  <c r="F13" i="6"/>
  <c r="J13" i="6"/>
  <c r="F17" i="6"/>
  <c r="J17" i="6"/>
  <c r="F21" i="6"/>
  <c r="J21" i="6"/>
  <c r="I3" i="6"/>
  <c r="I23" i="6"/>
  <c r="F3" i="6"/>
  <c r="I10" i="6"/>
  <c r="F11" i="6"/>
  <c r="J11" i="6"/>
  <c r="I18" i="6"/>
  <c r="F19" i="6"/>
  <c r="J19" i="6"/>
  <c r="I22" i="6"/>
  <c r="F23" i="6"/>
  <c r="F6" i="6"/>
  <c r="F10" i="6"/>
  <c r="F14" i="6"/>
  <c r="F18" i="6"/>
  <c r="F22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3" i="6" s="1"/>
  <c r="G26" i="4"/>
  <c r="H3" i="6" s="1"/>
  <c r="F27" i="4"/>
  <c r="G27" i="4"/>
  <c r="F28" i="4"/>
  <c r="G28" i="4"/>
  <c r="F29" i="4"/>
  <c r="G29" i="4"/>
  <c r="F30" i="4"/>
  <c r="G30" i="4"/>
  <c r="F31" i="4"/>
  <c r="G6" i="6" s="1"/>
  <c r="G31" i="4"/>
  <c r="H6" i="6" s="1"/>
  <c r="F32" i="4"/>
  <c r="G32" i="4"/>
  <c r="F33" i="4"/>
  <c r="G33" i="4"/>
  <c r="F34" i="4"/>
  <c r="G8" i="6" s="1"/>
  <c r="G34" i="4"/>
  <c r="H8" i="6" s="1"/>
  <c r="F35" i="4"/>
  <c r="G35" i="4"/>
  <c r="F36" i="4"/>
  <c r="G36" i="4"/>
  <c r="F37" i="4"/>
  <c r="G5" i="6" s="1"/>
  <c r="G37" i="4"/>
  <c r="H5" i="6" s="1"/>
  <c r="F38" i="4"/>
  <c r="G4" i="6" s="1"/>
  <c r="G38" i="4"/>
  <c r="H4" i="6" s="1"/>
  <c r="F39" i="4"/>
  <c r="G9" i="6" s="1"/>
  <c r="G39" i="4"/>
  <c r="H9" i="6" s="1"/>
  <c r="F40" i="4"/>
  <c r="G40" i="4"/>
  <c r="F41" i="4"/>
  <c r="G41" i="4"/>
  <c r="F42" i="4"/>
  <c r="G42" i="4"/>
  <c r="F43" i="4"/>
  <c r="G43" i="4"/>
  <c r="F44" i="4"/>
  <c r="G7" i="6" s="1"/>
  <c r="G44" i="4"/>
  <c r="H7" i="6" s="1"/>
  <c r="F45" i="4"/>
  <c r="G12" i="6" s="1"/>
  <c r="G45" i="4"/>
  <c r="H12" i="6" s="1"/>
  <c r="F46" i="4"/>
  <c r="G46" i="4"/>
  <c r="F47" i="4"/>
  <c r="G47" i="4"/>
  <c r="F48" i="4"/>
  <c r="G48" i="4"/>
  <c r="F49" i="4"/>
  <c r="G49" i="4"/>
  <c r="F50" i="4"/>
  <c r="G10" i="6" s="1"/>
  <c r="G50" i="4"/>
  <c r="H10" i="6" s="1"/>
  <c r="F51" i="4"/>
  <c r="G51" i="4"/>
  <c r="F52" i="4"/>
  <c r="G52" i="4"/>
  <c r="F53" i="4"/>
  <c r="G11" i="6" s="1"/>
  <c r="G53" i="4"/>
  <c r="H11" i="6" s="1"/>
  <c r="F54" i="4"/>
  <c r="G14" i="6" s="1"/>
  <c r="G54" i="4"/>
  <c r="H14" i="6" s="1"/>
  <c r="F55" i="4"/>
  <c r="G55" i="4"/>
  <c r="F56" i="4"/>
  <c r="G56" i="4"/>
  <c r="F57" i="4"/>
  <c r="G57" i="4"/>
  <c r="F58" i="4"/>
  <c r="G15" i="6" s="1"/>
  <c r="G58" i="4"/>
  <c r="H15" i="6" s="1"/>
  <c r="F59" i="4"/>
  <c r="G59" i="4"/>
  <c r="F60" i="4"/>
  <c r="G13" i="6" s="1"/>
  <c r="G60" i="4"/>
  <c r="H13" i="6" s="1"/>
  <c r="F61" i="4"/>
  <c r="G61" i="4"/>
  <c r="F62" i="4"/>
  <c r="G62" i="4"/>
  <c r="F63" i="4"/>
  <c r="G63" i="4"/>
  <c r="F64" i="4"/>
  <c r="G17" i="6" s="1"/>
  <c r="G64" i="4"/>
  <c r="H17" i="6" s="1"/>
  <c r="F65" i="4"/>
  <c r="G65" i="4"/>
  <c r="F66" i="4"/>
  <c r="G66" i="4"/>
  <c r="F67" i="4"/>
  <c r="G67" i="4"/>
  <c r="F68" i="4"/>
  <c r="G68" i="4"/>
  <c r="F69" i="4"/>
  <c r="G16" i="6" s="1"/>
  <c r="G69" i="4"/>
  <c r="H16" i="6" s="1"/>
  <c r="F70" i="4"/>
  <c r="G20" i="6" s="1"/>
  <c r="G70" i="4"/>
  <c r="H20" i="6" s="1"/>
  <c r="F71" i="4"/>
  <c r="G71" i="4"/>
  <c r="F72" i="4"/>
  <c r="G72" i="4"/>
  <c r="F73" i="4"/>
  <c r="G73" i="4"/>
  <c r="F74" i="4"/>
  <c r="G18" i="6" s="1"/>
  <c r="G74" i="4"/>
  <c r="H18" i="6" s="1"/>
  <c r="F75" i="4"/>
  <c r="G21" i="6" s="1"/>
  <c r="G75" i="4"/>
  <c r="H21" i="6" s="1"/>
  <c r="F76" i="4"/>
  <c r="G19" i="6" s="1"/>
  <c r="G76" i="4"/>
  <c r="H19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22" i="6" s="1"/>
  <c r="G84" i="4"/>
  <c r="H22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3" i="6" s="1"/>
  <c r="G223" i="4"/>
  <c r="H23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<sst xmlns="http://schemas.openxmlformats.org/spreadsheetml/2006/main" count="2125" uniqueCount="771">
  <si>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</si>
  <si>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</si>
  <si>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</si>
  <si>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</si>
  <si>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</si>
  <si>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</si>
  <si>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</si>
  <si>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</si>
  <si>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</si>
  <si>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</si>
  <si>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</si>
  <si>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</si>
  <si>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</si>
  <si>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</si>
  <si>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</si>
  <si>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</si>
  <si>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</si>
  <si>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</si>
  <si>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</si>
  <si>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</si>
  <si>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</si>
  <si>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</si>
  <si>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</si>
  <si>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</si>
  <si>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</si>
  <si>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</si>
  <si>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</si>
  <si>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</si>
  <si>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</si>
  <si>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</si>
  <si>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</si>
  <si>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</si>
  <si>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</si>
  <si>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</si>
  <si>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</si>
  <si>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</si>
  <si>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</si>
  <si>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</si>
  <si>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</si>
  <si>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</si>
  <si>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</si>
  <si>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</si>
  <si>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</si>
  <si>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</si>
  <si>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</si>
  <si>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</si>
  <si>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</si>
  <si>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</si>
  <si>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</si>
  <si>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</si>
  <si>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</si>
  <si>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</si>
  <si>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</si>
  <si>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</si>
  <si>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</si>
  <si>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</si>
  <si>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</si>
  <si>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</si>
  <si>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</si>
  <si>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</si>
  <si>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</si>
  <si>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</si>
  <si>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</si>
  <si>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</si>
  <si>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</si>
  <si>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</si>
  <si>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</si>
  <si>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</si>
  <si>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</si>
  <si>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</si>
  <si>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</si>
  <si>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</si>
  <si>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</si>
  <si>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</si>
  <si>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</si>
  <si>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</si>
  <si>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</si>
  <si>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</si>
  <si>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</si>
  <si>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</si>
  <si>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</si>
  <si>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</si>
  <si>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</si>
  <si>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</si>
  <si>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</si>
  <si>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</si>
  <si>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</si>
  <si>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</si>
  <si>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</si>
  <si>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</si>
  <si>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</si>
  <si>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</si>
  <si>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</si>
  <si>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</si>
  <si>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</si>
  <si>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</si>
  <si>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</si>
  <si>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</si>
  <si>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</si>
  <si>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</si>
  <si>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</si>
  <si>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</si>
  <si>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</si>
  <si>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</si>
  <si>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</si>
  <si>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</si>
  <si>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</si>
  <si>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</si>
  <si>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</si>
  <si>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</si>
  <si>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</si>
  <si>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</si>
  <si>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</si>
  <si>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</si>
  <si>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</si>
  <si>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</si>
  <si>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</si>
  <si>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</si>
  <si>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</si>
  <si>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</si>
  <si>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</si>
  <si>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</si>
  <si>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</si>
  <si>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</si>
  <si>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</si>
  <si>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</si>
  <si>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</si>
  <si>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</si>
  <si>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</si>
  <si>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</si>
  <si>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</si>
  <si>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</si>
  <si>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</si>
  <si>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</si>
  <si>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</si>
  <si>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</si>
  <si>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</si>
  <si>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</si>
  <si>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</si>
  <si>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</si>
  <si>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</si>
  <si>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</si>
  <si>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</si>
  <si>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</si>
  <si>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</si>
  <si>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</si>
  <si>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</si>
  <si>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</si>
  <si>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</si>
  <si>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</si>
  <si>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</si>
  <si>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</si>
  <si>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</si>
  <si>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</si>
  <si>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</si>
  <si>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</si>
  <si>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</si>
  <si>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</si>
  <si>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</si>
  <si>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</si>
  <si>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</si>
  <si>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</si>
  <si>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</si>
  <si>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</si>
  <si>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</si>
  <si>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</si>
  <si>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</si>
  <si>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</si>
  <si>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</si>
  <si>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</si>
  <si>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</si>
  <si>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</si>
  <si>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</si>
  <si>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</si>
  <si>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</si>
  <si>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</si>
  <si>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</si>
  <si>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</si>
  <si>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</si>
  <si>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</si>
  <si>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</si>
  <si>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</si>
  <si>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</si>
  <si>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</si>
  <si>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</si>
  <si>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</si>
  <si>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</si>
  <si>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</si>
  <si>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</si>
  <si>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Reactive Warning (1)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</si>
  <si>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</si>
  <si>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</si>
  <si>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</si>
  <si>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</si>
  <si>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</si>
  <si>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</si>
  <si>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rtdc.l.rtdc.4003:itc</t>
  </si>
  <si>
    <t>rtdc.l.rtdc.4004:itc</t>
  </si>
  <si>
    <t>204:233297</t>
  </si>
  <si>
    <t>rtdc.l.rtdc.4008:itc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</si>
  <si>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</si>
  <si>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</si>
  <si>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</si>
  <si>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</si>
  <si>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</si>
  <si>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</si>
  <si>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</si>
  <si>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</si>
  <si>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Y</t>
  </si>
  <si>
    <t>246-07</t>
  </si>
  <si>
    <t>311-07</t>
  </si>
  <si>
    <t>313-07</t>
  </si>
  <si>
    <t>315-07</t>
  </si>
  <si>
    <t>56-08</t>
  </si>
  <si>
    <t>62-07</t>
  </si>
  <si>
    <t>rtdc.l.rtdc.4020:itc</t>
  </si>
  <si>
    <t>rtdc.l.rtdc.4038:itc</t>
  </si>
  <si>
    <t>CHANDLER</t>
  </si>
  <si>
    <t>Powered by darksky [darksky.net]</t>
  </si>
  <si>
    <t>rtdc.l.rtdc.4043:itc</t>
  </si>
  <si>
    <t>Partly Cloudy</t>
  </si>
  <si>
    <t>partly-cloudy-night</t>
  </si>
  <si>
    <t>rtdc.l.rtdc.4039:itc</t>
  </si>
  <si>
    <t>rtdc.l.rtdc.4037:itc</t>
  </si>
  <si>
    <t>YANAI</t>
  </si>
  <si>
    <t>rtdc.l.rtdc.4015:itc</t>
  </si>
  <si>
    <t>rtdc.l.rtdc.4032:itc</t>
  </si>
  <si>
    <t>rtdc.l.rtdc.4031:itc</t>
  </si>
  <si>
    <t>HELVIE</t>
  </si>
  <si>
    <t>STORY</t>
  </si>
  <si>
    <t>BRANDNER</t>
  </si>
  <si>
    <t>204:233314</t>
  </si>
  <si>
    <t>Enforcements Text</t>
  </si>
  <si>
    <t>Runs-Refined Text</t>
  </si>
  <si>
    <t>Trips Text</t>
  </si>
  <si>
    <t>Weather Text</t>
  </si>
  <si>
    <t>MAELZER</t>
  </si>
  <si>
    <t>STRICKLAND</t>
  </si>
  <si>
    <t>GEBRETEKLE</t>
  </si>
  <si>
    <t>204:232985</t>
  </si>
  <si>
    <t>204:161</t>
  </si>
  <si>
    <t>204:154</t>
  </si>
  <si>
    <t>204:145</t>
  </si>
  <si>
    <t>204:458</t>
  </si>
  <si>
    <t>204:149</t>
  </si>
  <si>
    <t>204:233293</t>
  </si>
  <si>
    <t>204:143</t>
  </si>
  <si>
    <t>204:233286</t>
  </si>
  <si>
    <t>204:232990</t>
  </si>
  <si>
    <t>204:150</t>
  </si>
  <si>
    <t>204:233276</t>
  </si>
  <si>
    <t>204:447</t>
  </si>
  <si>
    <t>204:132</t>
  </si>
  <si>
    <t>204:453</t>
  </si>
  <si>
    <t>204:233300</t>
  </si>
  <si>
    <t>204:163</t>
  </si>
  <si>
    <t>204:464</t>
  </si>
  <si>
    <t>204:455</t>
  </si>
  <si>
    <t>204:232982</t>
  </si>
  <si>
    <t>204:136</t>
  </si>
  <si>
    <t>204:467</t>
  </si>
  <si>
    <t>204:233298</t>
  </si>
  <si>
    <t>204:232976</t>
  </si>
  <si>
    <t>204:134</t>
  </si>
  <si>
    <t>204:457</t>
  </si>
  <si>
    <t>204:462</t>
  </si>
  <si>
    <t>204:232978</t>
  </si>
  <si>
    <t>204:466</t>
  </si>
  <si>
    <t>204:478</t>
  </si>
  <si>
    <t>204:233295</t>
  </si>
  <si>
    <t>204:446</t>
  </si>
  <si>
    <t>204:232996</t>
  </si>
  <si>
    <t>204:233299</t>
  </si>
  <si>
    <t>204:167</t>
  </si>
  <si>
    <t>204:232989</t>
  </si>
  <si>
    <t>204:160</t>
  </si>
  <si>
    <t>204:232979</t>
  </si>
  <si>
    <t>204:460</t>
  </si>
  <si>
    <t>204:233306</t>
  </si>
  <si>
    <t>204:233289</t>
  </si>
  <si>
    <t>204:232986</t>
  </si>
  <si>
    <t>204:233291</t>
  </si>
  <si>
    <t>204:169</t>
  </si>
  <si>
    <t>204:469</t>
  </si>
  <si>
    <t>204:482</t>
  </si>
  <si>
    <t>204:440</t>
  </si>
  <si>
    <t>204:451</t>
  </si>
  <si>
    <t>N</t>
  </si>
  <si>
    <t>PERMANENT SPEED RESTRICTION</t>
  </si>
  <si>
    <t>Speed (6)</t>
  </si>
  <si>
    <t>rtdc.l.rtdc.4016:itc</t>
  </si>
  <si>
    <t>rtdc.l.rtdc.4017:itc</t>
  </si>
  <si>
    <t>SIGNAL</t>
  </si>
  <si>
    <t>Signal based authority (5)</t>
  </si>
  <si>
    <t>TRACK WARRANT AUTHORITY</t>
  </si>
  <si>
    <t>Form based authority (4)</t>
  </si>
  <si>
    <t>rtdc.l.rtdc.4040:itc</t>
  </si>
  <si>
    <t>rtdc.l.rtdc.4019:itc</t>
  </si>
  <si>
    <t>rtdc.l.rtdc.4028:itc</t>
  </si>
  <si>
    <t>partly-cloudy-day</t>
  </si>
  <si>
    <t>clear-night</t>
  </si>
  <si>
    <t>Clear</t>
  </si>
  <si>
    <t>Summary for DUS 2016-10-12: Partly cloudy until night.</t>
  </si>
  <si>
    <t>rtdc.l.rtdc.4042:itc</t>
  </si>
  <si>
    <t>rtdc.l.rtdc.4002:itc</t>
  </si>
  <si>
    <t>rtdc.l.rtdc.4001:itc</t>
  </si>
  <si>
    <t>rtdc.l.rtdc.4041:itc</t>
  </si>
  <si>
    <t>MALAVE</t>
  </si>
  <si>
    <t>SANTIZO</t>
  </si>
  <si>
    <t>MOSES</t>
  </si>
  <si>
    <t>NEWELL</t>
  </si>
  <si>
    <t>rtdc.l.rtdc.4027:itc</t>
  </si>
  <si>
    <t>204:766</t>
  </si>
  <si>
    <t>204:232977</t>
  </si>
  <si>
    <t>204:232998</t>
  </si>
  <si>
    <t>204:748</t>
  </si>
  <si>
    <t>204:172</t>
  </si>
  <si>
    <t>204:232966</t>
  </si>
  <si>
    <t>204:232980</t>
  </si>
  <si>
    <t>204:232970</t>
  </si>
  <si>
    <t>204:233301</t>
  </si>
  <si>
    <t>204:232994</t>
  </si>
  <si>
    <t>204:232984</t>
  </si>
  <si>
    <t>204:233002</t>
  </si>
  <si>
    <t>204:233310</t>
  </si>
  <si>
    <t>204:232988</t>
  </si>
  <si>
    <t>204:475</t>
  </si>
  <si>
    <t>204:233315</t>
  </si>
  <si>
    <t>204:232971</t>
  </si>
  <si>
    <t>204:497</t>
  </si>
  <si>
    <t>204:233323</t>
  </si>
  <si>
    <t>204:232991</t>
  </si>
  <si>
    <t>204:119</t>
  </si>
  <si>
    <t>204:471</t>
  </si>
  <si>
    <t>300:23310</t>
  </si>
  <si>
    <t>300:58604</t>
  </si>
  <si>
    <t>300:58608</t>
  </si>
  <si>
    <t>AWS CP Commands</t>
  </si>
  <si>
    <t>rtdc.l.rtdc.4045:itc</t>
  </si>
  <si>
    <t>rtdc.l.rtdc.4012:itc</t>
  </si>
  <si>
    <t>rtdc.l.rtdc.4021:itc</t>
  </si>
  <si>
    <t>216-14</t>
  </si>
  <si>
    <t>844-14</t>
  </si>
  <si>
    <t>234-14</t>
  </si>
  <si>
    <t>DAVIS</t>
  </si>
  <si>
    <t>ISHMAEL</t>
  </si>
  <si>
    <t>rtdc.l.rtdc.4011:itc</t>
  </si>
  <si>
    <t>STEWART</t>
  </si>
  <si>
    <t>CLARK</t>
  </si>
  <si>
    <t>rtdc.l.rtdc.4022:itc</t>
  </si>
  <si>
    <t>SMITH</t>
  </si>
  <si>
    <t>SHOOK</t>
  </si>
  <si>
    <t>221-14</t>
  </si>
  <si>
    <t>69-14</t>
  </si>
  <si>
    <t>218-14</t>
  </si>
  <si>
    <t>906-14</t>
  </si>
  <si>
    <t>220-14</t>
  </si>
  <si>
    <t>841-14</t>
  </si>
  <si>
    <t>223-14</t>
  </si>
  <si>
    <t>840-14</t>
  </si>
  <si>
    <t>307-14</t>
  </si>
  <si>
    <t>222-14</t>
  </si>
  <si>
    <t>225-14</t>
  </si>
  <si>
    <t>843-14</t>
  </si>
  <si>
    <t>227-14</t>
  </si>
  <si>
    <t>224-14</t>
  </si>
  <si>
    <t>842-14</t>
  </si>
  <si>
    <t>229-14</t>
  </si>
  <si>
    <t>226-14</t>
  </si>
  <si>
    <t>845-14</t>
  </si>
  <si>
    <t>231-14</t>
  </si>
  <si>
    <t>228-14</t>
  </si>
  <si>
    <t>230-14</t>
  </si>
  <si>
    <t>233-14</t>
  </si>
  <si>
    <t>847-14</t>
  </si>
  <si>
    <t>232-14</t>
  </si>
  <si>
    <t>235-14</t>
  </si>
  <si>
    <t>908-14</t>
  </si>
  <si>
    <t>237-14</t>
  </si>
  <si>
    <t>239-14</t>
  </si>
  <si>
    <t>236-14</t>
  </si>
  <si>
    <t>238-14</t>
  </si>
  <si>
    <t>241-14</t>
  </si>
  <si>
    <t>243-14</t>
  </si>
  <si>
    <t>240-14</t>
  </si>
  <si>
    <t>242-14</t>
  </si>
  <si>
    <t>245-14</t>
  </si>
  <si>
    <t>309-14</t>
  </si>
  <si>
    <t>244-14</t>
  </si>
  <si>
    <t>311-14</t>
  </si>
  <si>
    <t>246-14</t>
  </si>
  <si>
    <t>313-14</t>
  </si>
  <si>
    <t>315-14</t>
  </si>
  <si>
    <t>Mostly Cloudy</t>
  </si>
  <si>
    <t>204:232955</t>
  </si>
  <si>
    <t>204:233284</t>
  </si>
  <si>
    <t>204:232965</t>
  </si>
  <si>
    <t>204:442</t>
  </si>
  <si>
    <t>204:444</t>
  </si>
  <si>
    <t>204:233307</t>
  </si>
  <si>
    <t>204:232963</t>
  </si>
  <si>
    <t>204:232953</t>
  </si>
  <si>
    <t>204:232975</t>
  </si>
  <si>
    <t>204:232987</t>
  </si>
  <si>
    <t>204:480</t>
  </si>
  <si>
    <t>204:233319</t>
  </si>
  <si>
    <t>204:427</t>
  </si>
  <si>
    <t>204:233355</t>
  </si>
  <si>
    <t>204:138</t>
  </si>
  <si>
    <t>204:232967</t>
  </si>
  <si>
    <t>204:233336</t>
  </si>
  <si>
    <t>204:233305</t>
  </si>
  <si>
    <t>204:232962</t>
  </si>
  <si>
    <t>300:23312</t>
  </si>
  <si>
    <t>300:23308</t>
  </si>
  <si>
    <t>300:58929</t>
  </si>
  <si>
    <t>204:724</t>
  </si>
  <si>
    <t>300:58926</t>
  </si>
  <si>
    <t>300:58606</t>
  </si>
  <si>
    <t>204:1018</t>
  </si>
  <si>
    <t>300:58965</t>
  </si>
  <si>
    <t>300:58645</t>
  </si>
  <si>
    <t>300:58636</t>
  </si>
  <si>
    <t>300:58619</t>
  </si>
  <si>
    <t>204:752</t>
  </si>
  <si>
    <t>300:58600</t>
  </si>
  <si>
    <t>308-15</t>
  </si>
  <si>
    <t>rtdc.l.rtdc.4053:itc</t>
  </si>
  <si>
    <t>115-15</t>
  </si>
  <si>
    <t>123-15</t>
  </si>
  <si>
    <t>120-15</t>
  </si>
  <si>
    <t>1805-15</t>
  </si>
  <si>
    <t>143-15</t>
  </si>
  <si>
    <t>138-15</t>
  </si>
  <si>
    <t>1808-15</t>
  </si>
  <si>
    <t>146-15</t>
  </si>
  <si>
    <t>155-15</t>
  </si>
  <si>
    <t>157-15</t>
  </si>
  <si>
    <t>152-15</t>
  </si>
  <si>
    <t>52-15</t>
  </si>
  <si>
    <t>160-15</t>
  </si>
  <si>
    <t>171-15</t>
  </si>
  <si>
    <t>176-15</t>
  </si>
  <si>
    <t>1817-15</t>
  </si>
  <si>
    <t>1818-15</t>
  </si>
  <si>
    <t>1821-15</t>
  </si>
  <si>
    <t>198-15</t>
  </si>
  <si>
    <t>202-15</t>
  </si>
  <si>
    <t>56-15</t>
  </si>
  <si>
    <t>208-15</t>
  </si>
  <si>
    <t>244-15</t>
  </si>
  <si>
    <t>242-15</t>
  </si>
  <si>
    <t>302-15</t>
  </si>
  <si>
    <t>101-15</t>
  </si>
  <si>
    <t>304-15</t>
  </si>
  <si>
    <t>103-15</t>
  </si>
  <si>
    <t>306-15</t>
  </si>
  <si>
    <t>102-15</t>
  </si>
  <si>
    <t>105-15</t>
  </si>
  <si>
    <t>310-15</t>
  </si>
  <si>
    <t>KILLION</t>
  </si>
  <si>
    <t>107-15</t>
  </si>
  <si>
    <t>109-15</t>
  </si>
  <si>
    <t>104-15</t>
  </si>
  <si>
    <t>111-15</t>
  </si>
  <si>
    <t>106-15</t>
  </si>
  <si>
    <t>113-15</t>
  </si>
  <si>
    <t>108-15</t>
  </si>
  <si>
    <t>1901-15</t>
  </si>
  <si>
    <t>YORK</t>
  </si>
  <si>
    <t>1800-15</t>
  </si>
  <si>
    <t>110-15</t>
  </si>
  <si>
    <t>117-15</t>
  </si>
  <si>
    <t>112-15</t>
  </si>
  <si>
    <t>119-15</t>
  </si>
  <si>
    <t>1801-15</t>
  </si>
  <si>
    <t>114-15</t>
  </si>
  <si>
    <t>121-15</t>
  </si>
  <si>
    <t>rtdc.l.rtdc.4054:itc</t>
  </si>
  <si>
    <t>116-15</t>
  </si>
  <si>
    <t>1802-15</t>
  </si>
  <si>
    <t>118-15</t>
  </si>
  <si>
    <t>125-15</t>
  </si>
  <si>
    <t>127-15</t>
  </si>
  <si>
    <t>55-15</t>
  </si>
  <si>
    <t>BEAM</t>
  </si>
  <si>
    <t>129-15</t>
  </si>
  <si>
    <t>122-15</t>
  </si>
  <si>
    <t>1803-15</t>
  </si>
  <si>
    <t>50-15</t>
  </si>
  <si>
    <t>124-15</t>
  </si>
  <si>
    <t>131-15</t>
  </si>
  <si>
    <t>1804-15</t>
  </si>
  <si>
    <t>126-15</t>
  </si>
  <si>
    <t>128-15</t>
  </si>
  <si>
    <t>133-15</t>
  </si>
  <si>
    <t>NATION</t>
  </si>
  <si>
    <t>135-15</t>
  </si>
  <si>
    <t>130-15</t>
  </si>
  <si>
    <t>137-15</t>
  </si>
  <si>
    <t>132-15</t>
  </si>
  <si>
    <t>139-15</t>
  </si>
  <si>
    <t>1806-15</t>
  </si>
  <si>
    <t>134-15</t>
  </si>
  <si>
    <t>141-15</t>
  </si>
  <si>
    <t>136-15</t>
  </si>
  <si>
    <t>145-15</t>
  </si>
  <si>
    <t>1807-15</t>
  </si>
  <si>
    <t>140-15</t>
  </si>
  <si>
    <t>147-15</t>
  </si>
  <si>
    <t>142-15</t>
  </si>
  <si>
    <t>149-15</t>
  </si>
  <si>
    <t>151-15</t>
  </si>
  <si>
    <t>144-15</t>
  </si>
  <si>
    <t>148-15</t>
  </si>
  <si>
    <t>153-15</t>
  </si>
  <si>
    <t>1809-15</t>
  </si>
  <si>
    <t>150-15</t>
  </si>
  <si>
    <t>1810-15</t>
  </si>
  <si>
    <t>159-15</t>
  </si>
  <si>
    <t>154-15</t>
  </si>
  <si>
    <t>161-15</t>
  </si>
  <si>
    <t>1811-15</t>
  </si>
  <si>
    <t>156-15</t>
  </si>
  <si>
    <t>163-15</t>
  </si>
  <si>
    <t>158-15</t>
  </si>
  <si>
    <t>1812-15</t>
  </si>
  <si>
    <t>165-15</t>
  </si>
  <si>
    <t>167-15</t>
  </si>
  <si>
    <t>BRUDER</t>
  </si>
  <si>
    <t>162-15</t>
  </si>
  <si>
    <t>169-15</t>
  </si>
  <si>
    <t>1813-15</t>
  </si>
  <si>
    <t>164-15</t>
  </si>
  <si>
    <t>166-15</t>
  </si>
  <si>
    <t>59-15</t>
  </si>
  <si>
    <t>1814-15</t>
  </si>
  <si>
    <t>173-15</t>
  </si>
  <si>
    <t>168-15</t>
  </si>
  <si>
    <t>175-15</t>
  </si>
  <si>
    <t>170-15</t>
  </si>
  <si>
    <t>177-15</t>
  </si>
  <si>
    <t>1815-15</t>
  </si>
  <si>
    <t>172-15</t>
  </si>
  <si>
    <t>179-15</t>
  </si>
  <si>
    <t>1816-15</t>
  </si>
  <si>
    <t>174-15</t>
  </si>
  <si>
    <t>181-15</t>
  </si>
  <si>
    <t>183-15</t>
  </si>
  <si>
    <t>BROWN</t>
  </si>
  <si>
    <t>178-15</t>
  </si>
  <si>
    <t>185-15</t>
  </si>
  <si>
    <t>180-15</t>
  </si>
  <si>
    <t>187-15</t>
  </si>
  <si>
    <t>182-15</t>
  </si>
  <si>
    <t>189-15</t>
  </si>
  <si>
    <t>184-15</t>
  </si>
  <si>
    <t>191-15</t>
  </si>
  <si>
    <t>186-15</t>
  </si>
  <si>
    <t>1819-15</t>
  </si>
  <si>
    <t>193-15</t>
  </si>
  <si>
    <t>188-15</t>
  </si>
  <si>
    <t>195-15</t>
  </si>
  <si>
    <t>190-15</t>
  </si>
  <si>
    <t>1820-15</t>
  </si>
  <si>
    <t>197-15</t>
  </si>
  <si>
    <t>PUGH</t>
  </si>
  <si>
    <t>192-15</t>
  </si>
  <si>
    <t>199-15</t>
  </si>
  <si>
    <t>194-15</t>
  </si>
  <si>
    <t>201-15</t>
  </si>
  <si>
    <t>196-15</t>
  </si>
  <si>
    <t>203-15</t>
  </si>
  <si>
    <t>1822-15</t>
  </si>
  <si>
    <t>205-15</t>
  </si>
  <si>
    <t>200-15</t>
  </si>
  <si>
    <t>207-15</t>
  </si>
  <si>
    <t>54-15</t>
  </si>
  <si>
    <t>209-15</t>
  </si>
  <si>
    <t>1823-15</t>
  </si>
  <si>
    <t>204-15</t>
  </si>
  <si>
    <t>211-15</t>
  </si>
  <si>
    <t>206-15</t>
  </si>
  <si>
    <t>1824-15</t>
  </si>
  <si>
    <t>213-15</t>
  </si>
  <si>
    <t>215-15</t>
  </si>
  <si>
    <t>210-15</t>
  </si>
  <si>
    <t>217-15</t>
  </si>
  <si>
    <t>1825-15</t>
  </si>
  <si>
    <t>57-15</t>
  </si>
  <si>
    <t>212-15</t>
  </si>
  <si>
    <t>219-15</t>
  </si>
  <si>
    <t>214-15</t>
  </si>
  <si>
    <t>61-15</t>
  </si>
  <si>
    <t>1826-15</t>
  </si>
  <si>
    <t>216-15</t>
  </si>
  <si>
    <t>221-15</t>
  </si>
  <si>
    <t>1827-15</t>
  </si>
  <si>
    <t>218-15</t>
  </si>
  <si>
    <t>305-15</t>
  </si>
  <si>
    <t>220-15</t>
  </si>
  <si>
    <t>223-15</t>
  </si>
  <si>
    <t>1828-15</t>
  </si>
  <si>
    <t>307-15</t>
  </si>
  <si>
    <t>222-15</t>
  </si>
  <si>
    <t>225-15</t>
  </si>
  <si>
    <t>1829-15</t>
  </si>
  <si>
    <t>224-15</t>
  </si>
  <si>
    <t>227-15</t>
  </si>
  <si>
    <t>1830-15</t>
  </si>
  <si>
    <t>226-15</t>
  </si>
  <si>
    <t>229-15</t>
  </si>
  <si>
    <t>1831-15</t>
  </si>
  <si>
    <t>239-15</t>
  </si>
  <si>
    <t>1902-15</t>
  </si>
  <si>
    <t>238-15</t>
  </si>
  <si>
    <t>241-15</t>
  </si>
  <si>
    <t>ARVIDSON</t>
  </si>
  <si>
    <t>243-15</t>
  </si>
  <si>
    <t>240-15</t>
  </si>
  <si>
    <t>245-15</t>
  </si>
  <si>
    <t>HAUSER</t>
  </si>
  <si>
    <t>246-15</t>
  </si>
  <si>
    <t>311-15</t>
  </si>
  <si>
    <t>313-15</t>
  </si>
  <si>
    <t>315-15</t>
  </si>
  <si>
    <t>clear-day</t>
  </si>
  <si>
    <t>204:755</t>
  </si>
  <si>
    <t>204:233325</t>
  </si>
  <si>
    <t>204:232696</t>
  </si>
  <si>
    <t>204:728</t>
  </si>
  <si>
    <t>204:232660</t>
  </si>
  <si>
    <t>204:719</t>
  </si>
  <si>
    <t>204:232689</t>
  </si>
  <si>
    <t>204:156</t>
  </si>
  <si>
    <t>204:741</t>
  </si>
  <si>
    <t>204:433</t>
  </si>
  <si>
    <t>204:232969</t>
  </si>
  <si>
    <t>204:138581</t>
  </si>
  <si>
    <t>204:233322</t>
  </si>
  <si>
    <t>204:233000</t>
  </si>
  <si>
    <t>204:233015</t>
  </si>
  <si>
    <t>204:486</t>
  </si>
  <si>
    <t>204:19151</t>
  </si>
  <si>
    <t>204:6762</t>
  </si>
  <si>
    <t>204:233308</t>
  </si>
  <si>
    <t>204:233316</t>
  </si>
  <si>
    <t>204:233302</t>
  </si>
  <si>
    <t>204:158</t>
  </si>
  <si>
    <t>204:233263</t>
  </si>
  <si>
    <t>204:473</t>
  </si>
  <si>
    <t>204:233282</t>
  </si>
  <si>
    <t>204:189</t>
  </si>
  <si>
    <t>204:489</t>
  </si>
  <si>
    <t>204:233360</t>
  </si>
  <si>
    <t>204:233044</t>
  </si>
  <si>
    <t>204:174</t>
  </si>
  <si>
    <t>204:233376</t>
  </si>
  <si>
    <t>204:233059</t>
  </si>
  <si>
    <t>204:233261</t>
  </si>
  <si>
    <t>204:233368</t>
  </si>
  <si>
    <t>204:233045</t>
  </si>
  <si>
    <t>204:1182</t>
  </si>
  <si>
    <t>204:799</t>
  </si>
  <si>
    <t>204:1091</t>
  </si>
  <si>
    <t>204:148</t>
  </si>
  <si>
    <t>204:985</t>
  </si>
  <si>
    <t>204:1023</t>
  </si>
  <si>
    <t>204:1973</t>
  </si>
  <si>
    <t>204:1014</t>
  </si>
  <si>
    <t>204:797</t>
  </si>
  <si>
    <t>204:1107</t>
  </si>
  <si>
    <t>300:58931</t>
  </si>
  <si>
    <t>204:233259</t>
  </si>
  <si>
    <t>204:736</t>
  </si>
  <si>
    <t>204:1030</t>
  </si>
  <si>
    <t>300:58907</t>
  </si>
  <si>
    <t>204:726</t>
  </si>
  <si>
    <t>204:1021</t>
  </si>
  <si>
    <t>204:727</t>
  </si>
  <si>
    <t>204:1032</t>
  </si>
  <si>
    <t>300:58924</t>
  </si>
  <si>
    <t>204:1027</t>
  </si>
  <si>
    <t>300:58952</t>
  </si>
  <si>
    <t>300:58640</t>
  </si>
  <si>
    <t>204:1046</t>
  </si>
  <si>
    <t>300:58944</t>
  </si>
  <si>
    <t>204:1011</t>
  </si>
  <si>
    <t>300:58638</t>
  </si>
  <si>
    <t>204:1016</t>
  </si>
  <si>
    <t>300:58967</t>
  </si>
  <si>
    <t>204:1009</t>
  </si>
  <si>
    <t>300:58958</t>
  </si>
  <si>
    <t>300:58961</t>
  </si>
  <si>
    <t>300:58656</t>
  </si>
  <si>
    <t>204:1020</t>
  </si>
  <si>
    <t>300:58653</t>
  </si>
  <si>
    <t>204:717</t>
  </si>
  <si>
    <t>204:233268</t>
  </si>
  <si>
    <t>204:232957</t>
  </si>
  <si>
    <t>300:29744</t>
  </si>
  <si>
    <t>204:233326</t>
  </si>
  <si>
    <t>204:232973</t>
  </si>
  <si>
    <t>204:233274</t>
  </si>
  <si>
    <t>204:233381</t>
  </si>
  <si>
    <t>204:233049</t>
  </si>
  <si>
    <t>204:1128</t>
  </si>
  <si>
    <t>204:233287</t>
  </si>
  <si>
    <t>204:233320</t>
  </si>
  <si>
    <t>204:233321</t>
  </si>
  <si>
    <t>204:233017</t>
  </si>
  <si>
    <t>204:232807</t>
  </si>
  <si>
    <t>204:232653</t>
  </si>
  <si>
    <t>204:875</t>
  </si>
  <si>
    <t>204:233303</t>
  </si>
  <si>
    <t>204:431</t>
  </si>
  <si>
    <t>300:23271</t>
  </si>
  <si>
    <t>300:15272</t>
  </si>
  <si>
    <t>300:22835</t>
  </si>
  <si>
    <t>300:21295</t>
  </si>
  <si>
    <t>204:107</t>
  </si>
  <si>
    <t>300:23306</t>
  </si>
  <si>
    <t>300:23313</t>
  </si>
  <si>
    <t>300:23192</t>
  </si>
  <si>
    <t>204:1516</t>
  </si>
  <si>
    <t>204:1860</t>
  </si>
  <si>
    <t>300:23301</t>
  </si>
  <si>
    <t>300:20585</t>
  </si>
  <si>
    <t>204:1177</t>
  </si>
  <si>
    <t>300:23286</t>
  </si>
  <si>
    <t>204:874</t>
  </si>
  <si>
    <t>300:23294</t>
  </si>
  <si>
    <t>204:151</t>
  </si>
  <si>
    <t>204:459</t>
  </si>
  <si>
    <t>300:23586</t>
  </si>
  <si>
    <t>204:1473</t>
  </si>
  <si>
    <t>204:1184</t>
  </si>
  <si>
    <t>300:24212</t>
  </si>
  <si>
    <t>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 &amp; aws s3 cp s3://rtdc.mdm.uploadarchive.raw/RTDC4011/ "%USERPROFILE%\AppData\Local\Temp\OnboardLogs"\RTDC4011\2016-10-16 --exclude "*" --recursive --include "*20161016*" &amp; "%USERPROFILE%\Documents\GitHub\mrs-test-scripts\Headless Mode &amp; Sideloading\WalkAndUnGZ.bat" "%USERPROFILE%\AppData\Local\Temp\OnboardLogs"\RTDC4011\2016-10-16</t>
  </si>
  <si>
    <t>aws s3 cp s3://rtdc.mdm.uploadarchive.raw/RTDC4016/ "%USERPROFILE%\AppData\Local\Temp\OnboardLogs"\RTDC4016\2016-10-15 --exclude "*" --recursive --include "*20161015*" &amp; "%USERPROFILE%\Documents\GitHub\mrs-test-scripts\Headless Mode &amp; Sideloading\WalkAndUnGZ.bat" "%USERPROFILE%\AppData\Local\Temp\OnboardLogs"\RTDC4016\2016-10-15 &amp; aws s3 cp s3://rtdc.mdm.uploadarchive.raw/RTDC4016/ "%USERPROFILE%\AppData\Local\Temp\OnboardLogs"\RTDC4016\2016-10-16 --exclude "*" --recursive --include "*20161016*" &amp; "%USERPROFILE%\Documents\GitHub\mrs-test-scripts\Headless Mode &amp; Sideloading\WalkAndUnGZ.bat" "%USERPROFILE%\AppData\Local\Temp\OnboardLogs"\RTDC4016\2016-10-16</t>
  </si>
  <si>
    <t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t>
  </si>
  <si>
    <t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t>
  </si>
  <si>
    <t>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 &amp; aws s3 cp s3://rtdc.mdm.uploadarchive.raw/RTDC4004/ "%USERPROFILE%\AppData\Local\Temp\OnboardLogs"\RTDC4004\2016-10-16 --exclude "*" --recursive --include "*20161016*" &amp; "%USERPROFILE%\Documents\GitHub\mrs-test-scripts\Headless Mode &amp; Sideloading\WalkAndUnGZ.bat" "%USERPROFILE%\AppData\Local\Temp\OnboardLogs"\RTDC4004\2016-10-16</t>
  </si>
  <si>
    <t>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 &amp; aws s3 cp s3://rtdc.mdm.uploadarchive.raw/RTDC4012/ "%USERPROFILE%\AppData\Local\Temp\OnboardLogs"\RTDC4012\2016-10-16 --exclude "*" --recursive --include "*20161016*" &amp; "%USERPROFILE%\Documents\GitHub\mrs-test-scripts\Headless Mode &amp; Sideloading\WalkAndUnGZ.bat" "%USERPROFILE%\AppData\Local\Temp\OnboardLogs"\RTDC4012\2016-10-16</t>
  </si>
  <si>
    <t>aws s3 cp s3://rtdc.mdm.uploadarchive.raw/RTDC4043/ "%USERPROFILE%\AppData\Local\Temp\OnboardLogs"\RTDC4043\2016-10-15 --exclude "*" --recursive --include "*20161015*" &amp; "%USERPROFILE%\Documents\GitHub\mrs-test-scripts\Headless Mode &amp; Sideloading\WalkAndUnGZ.bat" "%USERPROFILE%\AppData\Local\Temp\OnboardLogs"\RTDC4043\2016-10-15 &amp; 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</t>
  </si>
  <si>
    <t>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 &amp; aws s3 cp s3://rtdc.mdm.uploadarchive.raw/RTDC4037/ "%USERPROFILE%\AppData\Local\Temp\OnboardLogs"\RTDC4037\2016-10-16 --exclude "*" --recursive --include "*20161016*" &amp; "%USERPROFILE%\Documents\GitHub\mrs-test-scripts\Headless Mode &amp; Sideloading\WalkAndUnGZ.bat" "%USERPROFILE%\AppData\Local\Temp\OnboardLogs"\RTDC4037\2016-10-16</t>
  </si>
  <si>
    <t>CP 61st Reset</t>
  </si>
  <si>
    <t>10/15/2016 06:54:52 - 06:57:16 - CP 61st was offline. ELXS reset?</t>
  </si>
  <si>
    <t>Bright 2N STOP, cleared 1 minute after cut out</t>
  </si>
  <si>
    <t>Seems like there was no clear request sent to Bright 2N until a minute after the train was cut out. Likely an unfortunate interaction between traffic conditions and dispatch, but will assign to STMS for a double check</t>
  </si>
  <si>
    <t>228-15</t>
  </si>
  <si>
    <t>230-15</t>
  </si>
  <si>
    <t>231-15</t>
  </si>
  <si>
    <t>232-15</t>
  </si>
  <si>
    <t>233-15</t>
  </si>
  <si>
    <t>234-15</t>
  </si>
  <si>
    <t>235-15</t>
  </si>
  <si>
    <t>236-15</t>
  </si>
  <si>
    <t>237-15</t>
  </si>
  <si>
    <t>All back-office virtual machines down from 10/15/2016 21:14:48 - 10/15/2016 23:00:00</t>
  </si>
  <si>
    <t>See title</t>
  </si>
  <si>
    <t>Onboard in-route failure</t>
  </si>
  <si>
    <t>Slice vote outs at 2016-10-15 08:00:12</t>
  </si>
  <si>
    <t>1832-15</t>
  </si>
  <si>
    <t>1833-15</t>
  </si>
  <si>
    <t>Early arrival</t>
  </si>
  <si>
    <t>CP 61st reset</t>
  </si>
  <si>
    <t>EC0816RH 88-2T 2S downgraded from 270 to STOP &amp; PROCEED</t>
  </si>
  <si>
    <t>11:21:14 - 88-2T 2S downgraded from 270 to STOP &amp; PROCEED - was there any problems at this time?</t>
  </si>
  <si>
    <t>61st 2N STOP, cleared afterward</t>
  </si>
  <si>
    <t>Pena 4S STOP, cleared afterward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</si>
</sst>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0" fontId="0" fillId="0" borderId="0" xfId="0" applyNumberForma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0" fontId="0" fillId="0" borderId="5" xfId="0" applyNumberFormat="1" applyBorder="1"/>
    <xf numFmtId="0" fontId="0" fillId="2" borderId="11" xfId="0" applyNumberFormat="1" applyFill="1" applyBorder="1" applyAlignment="1">
      <alignment vertical="center"/>
    </xf>
    <xf numFmtId="0" fontId="0" fillId="2" borderId="12" xfId="0" applyNumberFormat="1" applyFill="1" applyBorder="1" applyAlignment="1">
      <alignment horizontal="left" vertical="center"/>
    </xf>
    <xf numFmtId="0" fontId="0" fillId="0" borderId="14" xfId="0" applyNumberFormat="1" applyBorder="1" applyAlignment="1">
      <alignment vertical="center"/>
    </xf>
    <xf numFmtId="0" fontId="0" fillId="0" borderId="15" xfId="0" applyNumberFormat="1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167" fontId="1" fillId="0" borderId="0" xfId="0" applyNumberFormat="1" applyFont="1"/>
    <xf numFmtId="2" fontId="1" fillId="0" borderId="0" xfId="0" applyNumberFormat="1" applyFo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7"/>
  <sheetViews>
    <sheetView tabSelected="1" topLeftCell="A127" workbookViewId="0">
      <selection activeCell="R135" sqref="R135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42" customWidth="1"/>
    <col min="22" max="22" width="5.7109375" style="96" customWidth="1"/>
    <col min="23" max="23" width="3.85546875" style="20" customWidth="1"/>
    <col min="24" max="24" width="6.140625" style="147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38"/>
      <c r="V1" s="40"/>
      <c r="W1" s="41"/>
      <c r="X1" s="142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42658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42658</v>
      </c>
      <c r="S2" s="72"/>
      <c r="T2" s="73"/>
      <c r="U2" s="139"/>
      <c r="V2" s="94" t="s">
        <v>8</v>
      </c>
      <c r="W2" s="75"/>
      <c r="X2" s="145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40"/>
      <c r="V3" s="42" t="s">
        <v>11</v>
      </c>
      <c r="W3" s="43" t="s">
        <v>12</v>
      </c>
      <c r="X3" s="146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41"/>
      <c r="V4" s="45" t="s">
        <v>15</v>
      </c>
      <c r="W4" s="43" t="s">
        <v>15</v>
      </c>
      <c r="X4" s="146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COUNTIFS($N$13:$N$9400,"&gt;0",$AG$13:$AG$9400,I1)</f>
        <v>133</v>
      </c>
      <c r="K5" s="44"/>
      <c r="L5" s="44"/>
      <c r="M5" s="45">
        <f>AVERAGEIFS($N$13:$N$9400,$AG$13:$AG$9400,I1)</f>
        <v>38.960651629621907</v>
      </c>
      <c r="N5" s="43">
        <f t="array" ref="N5">MIN(IF($AG$13:$AG$9400=I1,IF(ISNUMBER($N$13:$N$9400),IF($N$13:$N$9400&gt;0,$N$13:$N$9400))))</f>
        <v>35.066666660131887</v>
      </c>
      <c r="O5" s="3">
        <f t="array" ref="O5">MAX(IF($AG$13:$AG$9400=I1,IF(ISNUMBER($N$13:$N$9400),IF($N$13:$N$9400&gt;0,$N$13:$N$9400))))</f>
        <v>51.716666665161029</v>
      </c>
      <c r="P5" s="2"/>
      <c r="R5" s="80" t="s">
        <v>17</v>
      </c>
      <c r="S5" s="55">
        <f>COUNTIFS($N$13:$N$9400,"&gt;0",$AG$13:$AG$9400,R1)</f>
        <v>30</v>
      </c>
      <c r="T5" s="44"/>
      <c r="U5" s="141"/>
      <c r="V5" s="45">
        <f>AVERAGEIFS($N$13:$N$9400,$AG$13:$AG$9400,R1)</f>
        <v>14.412777777062729</v>
      </c>
      <c r="W5" s="43">
        <f t="array" ref="W5">MIN(IF($AG$13:$AG$9400=R1,IF(ISNUMBER($N$13:$N$9400),IF($N$13:$N$9400&gt;0,$N$13:$N$9400))))</f>
        <v>12.399999996414408</v>
      </c>
      <c r="X5" s="146">
        <f t="array" ref="X5">MAX(IF($AG$13:$AG$9400=R1,IF(ISNUMBER($N$13:$N$9400),IF($N$13:$N$9400&gt;0,$N$13:$N$9400))))</f>
        <v>18.099999998230487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COUNT($O$13:$O$177)</f>
        <v>0</v>
      </c>
      <c r="K6" s="44"/>
      <c r="L6" s="44"/>
      <c r="M6" s="45">
        <f>IFERROR(AVERAGE($O$13:$O$177),0)</f>
        <v>0</v>
      </c>
      <c r="N6" s="43">
        <f>MIN($O$13:$O$177)</f>
        <v>0</v>
      </c>
      <c r="O6" s="3">
        <f>MAX($O$13:$O$177)</f>
        <v>0</v>
      </c>
      <c r="P6" s="2"/>
      <c r="R6" s="81" t="s">
        <v>43</v>
      </c>
      <c r="S6" s="55">
        <f>COUNT($O$13:$O$177)</f>
        <v>0</v>
      </c>
      <c r="T6" s="44"/>
      <c r="U6" s="141"/>
      <c r="V6" s="45">
        <f>IFERROR(AVERAGE($O$13:$O$177),0)</f>
        <v>0</v>
      </c>
      <c r="W6" s="43">
        <f>MIN($O$13:$O$177)</f>
        <v>0</v>
      </c>
      <c r="X6" s="146">
        <f>MAX($O$13:$O$177)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COUNTIFS($P$13:$P$9400,"&gt;0",$AG$13:$AG$9400,I1)</f>
        <v>13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COUNTIFS($P$13:$P$9400,"&gt;0",$AG$13:$AG$9400,R1)</f>
        <v>4</v>
      </c>
      <c r="T7" s="44"/>
      <c r="U7" s="141"/>
      <c r="V7" s="45" t="s">
        <v>15</v>
      </c>
      <c r="W7" s="43" t="s">
        <v>15</v>
      </c>
      <c r="X7" s="146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133</v>
      </c>
      <c r="K8" s="44"/>
      <c r="L8" s="44"/>
      <c r="M8" s="45">
        <f>M5</f>
        <v>38.960651629621907</v>
      </c>
      <c r="N8" s="43">
        <f>N5</f>
        <v>35.066666660131887</v>
      </c>
      <c r="O8" s="3">
        <f>O5</f>
        <v>51.716666665161029</v>
      </c>
      <c r="P8" s="2"/>
      <c r="R8" s="80" t="s">
        <v>16</v>
      </c>
      <c r="S8" s="55">
        <f>S5</f>
        <v>30</v>
      </c>
      <c r="T8" s="44"/>
      <c r="U8" s="141"/>
      <c r="V8" s="45">
        <f>V5</f>
        <v>14.412777777062729</v>
      </c>
      <c r="W8" s="43">
        <f>W5</f>
        <v>12.399999996414408</v>
      </c>
      <c r="X8" s="146">
        <f>X5</f>
        <v>18.099999998230487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63">
        <f>J8/J4</f>
        <v>0.91095890410958902</v>
      </c>
      <c r="K9" s="46"/>
      <c r="L9" s="46"/>
      <c r="M9" s="83"/>
      <c r="N9" s="41"/>
      <c r="O9" s="84"/>
      <c r="P9" s="2"/>
      <c r="R9" s="80" t="s">
        <v>19</v>
      </c>
      <c r="S9" s="163">
        <f>S8/S4</f>
        <v>0.88235294117647056</v>
      </c>
      <c r="T9" s="46"/>
      <c r="U9" s="138"/>
      <c r="V9" s="83"/>
      <c r="W9" s="41"/>
      <c r="X9" s="136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42"/>
      <c r="V10" s="95"/>
      <c r="W10" s="20"/>
      <c r="X10" s="147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1" t="str">
        <f>"Eagle P3 System Performance - "&amp;TEXT(Variables!A2,"yyyy-mm-dd")</f>
        <v>Eagle P3 System Performance - 2016-10-15</v>
      </c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S11" s="69">
        <f>AVERAGE(S13:S113)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43" t="s">
        <v>65</v>
      </c>
      <c r="V12" s="97" t="s">
        <v>45</v>
      </c>
      <c r="W12" s="51" t="s">
        <v>23</v>
      </c>
      <c r="X12" s="148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453</v>
      </c>
      <c r="B13" s="7">
        <v>4020</v>
      </c>
      <c r="C13" s="22" t="s">
        <v>99</v>
      </c>
      <c r="D13" s="22" t="s">
        <v>627</v>
      </c>
      <c r="E13" s="13">
        <v>42658.131481481483</v>
      </c>
      <c r="F13" s="13">
        <v>42658.135706018518</v>
      </c>
      <c r="G13" s="7">
        <v>2</v>
      </c>
      <c r="H13" s="13" t="s">
        <v>628</v>
      </c>
      <c r="I13" s="13">
        <v>42658.161365740743</v>
      </c>
      <c r="J13" s="7">
        <v>0</v>
      </c>
      <c r="K13" s="112" t="str">
        <f t="shared" ref="K13:K44" si="0">IF(ISEVEN(B13),(B13-1)&amp;"/"&amp;B13,B13&amp;"/"&amp;(B13+1))</f>
        <v>4019/4020</v>
      </c>
      <c r="L13" s="22" t="str">
        <f>VLOOKUP(A13,'Trips&amp;Operators'!$C$1:$E$10000,3,FALSE)</f>
        <v>MAELZER</v>
      </c>
      <c r="M13" s="6">
        <f t="shared" ref="M13:M44" si="1">I13-F13</f>
        <v>2.5659722225100268E-2</v>
      </c>
      <c r="N13" s="7">
        <f t="shared" ref="N13:P44" si="2">24*60*SUM($M13:$M13)</f>
        <v>36.950000004144385</v>
      </c>
      <c r="O13" s="7"/>
      <c r="P13" s="7"/>
      <c r="Q13" s="23"/>
      <c r="R13" s="23"/>
      <c r="S13" s="35">
        <f t="shared" ref="S13:S44" si="3">SUM(U13:U13)/IF(AG13="EC",12,1)</f>
        <v>1</v>
      </c>
      <c r="T13" s="50" t="str">
        <f t="shared" ref="T13:T44" si="4">IF(ISEVEN(LEFT(AD13,4)),"Southbound","NorthBound")</f>
        <v>NorthBound</v>
      </c>
      <c r="U13" s="144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https://search-rtdc-monitor-bjffxe2xuh6vdkpspy63sjmuny.us-east-1.es.amazonaws.com/_plugin/kibana/#/discover/Steve-Slow-Train-Analysis-(2080s-and-2083s)?_g=(refreshInterval:(display:Off,section:0,value:0),time:(from:'2016-10-15 02:09:20-0600',mode:absolute,to:'2016-10-15 04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" s="52" t="str">
        <f t="shared" ref="W13:W44" si="6">IF(AA13&lt;IF(AG13="EC",23,5.65),"Y","N")</f>
        <v>N</v>
      </c>
      <c r="X13" s="149" t="e">
        <f t="shared" ref="X13:X44" si="7">VALUE(LEFT(AD13,4))-VALUE(LEFT(AD12,4))</f>
        <v>#VALUE!</v>
      </c>
      <c r="Y13" s="67">
        <f t="shared" ref="Y13:Y44" si="8">RIGHT(D13,LEN(D13)-4)/10000</f>
        <v>7.5499999999999998E-2</v>
      </c>
      <c r="Z13" s="67">
        <f t="shared" ref="Z13:Z44" si="9">RIGHT(H13,LEN(H13)-4)/10000</f>
        <v>23.3325</v>
      </c>
      <c r="AA13" s="67">
        <f t="shared" ref="AA13:AA44" si="10">ABS(Z13-Y13)</f>
        <v>23.256999999999998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44" si="11">IF(LEN(A13)=6,"0"&amp;A13,A13)</f>
        <v>0101-15</v>
      </c>
      <c r="AE13" s="91" t="str">
        <f t="shared" ref="AE13:AE4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 &amp; aws s3 cp s3://rtdc.mdm.uploadarchive.raw/RTDC4020/ "%USERPROFILE%\AppData\Local\Temp\OnboardLogs"\RTDC4020\2016-10-16 --exclude "*" --recursive --include "*20161016*" &amp; "%USERPROFILE%\Documents\GitHub\mrs-test-scripts\Headless Mode &amp; Sideloading\WalkAndUnGZ.bat" "%USERPROFILE%\AppData\Local\Temp\OnboardLogs"\RTDC4020\2016-10-16</v>
      </c>
      <c r="AF13" s="88" t="str">
        <f t="shared" ref="AF13:AF4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/stypes="app*4020*20161015*" /stext=" 09:.+((SYSTEM_STATE.+slice.+state.+changed )|(ment ac)|(system.+state.+changed )|(\[timeout)|(PRM\|1\|D)|(kpr)|(kdp)|(\|lc)|(penalty))" /e /r /s</v>
      </c>
      <c r="AG13" s="1" t="str">
        <f t="shared" ref="AG13:AG44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4020 --swversion DE.1.0.7.0 --startMP 204:755 --initTime 2016-10-15T03:09:20 --startdatetime 2016-10-15T03:15:25 --delay 2 --endMP 204:233325 --enddatetime 2016-10-15T03:52:22 --enforcementcount 0 &gt;&gt;C:\Users\stu\Documents\GitHub\eaglep3-reporting\EC\2016-10-15-refined-times.txt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{"issue":{"subject":"","project_id":79,"tracker_id":40,"status_id":1,"priority_id":2,"assigned_to_id":23,"start_date":"2016-10-15","description":"","custom_fields":[{"id":1,"name":"Subdivision","value":"EC"},{"id":4,"name":"Milepost","value":"23.3325"},{"id":17,"name":"Train ID","value":"101-15"},{"id":16,"name":"Locomotive ID","value":"4020"},{"id":130,"name":"Impact","value":""},{"id":150,"name":"Time of Event (Mountain Time)","value":"03:52:22"},{"id":151,"name":"Denver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457</v>
      </c>
      <c r="B14" s="7">
        <v>4043</v>
      </c>
      <c r="C14" s="22" t="s">
        <v>99</v>
      </c>
      <c r="D14" s="22" t="s">
        <v>629</v>
      </c>
      <c r="E14" s="13">
        <v>42658.167708333334</v>
      </c>
      <c r="F14" s="13">
        <v>42658.174664351849</v>
      </c>
      <c r="G14" s="7">
        <v>1</v>
      </c>
      <c r="H14" s="13" t="s">
        <v>246</v>
      </c>
      <c r="I14" s="13">
        <v>42658.201122685183</v>
      </c>
      <c r="J14" s="7">
        <v>0</v>
      </c>
      <c r="K14" s="112" t="str">
        <f t="shared" si="0"/>
        <v>4043/4044</v>
      </c>
      <c r="L14" s="22" t="str">
        <f>VLOOKUP(A14,'Trips&amp;Operators'!$C$1:$E$10000,3,FALSE)</f>
        <v>MAELZER</v>
      </c>
      <c r="M14" s="6">
        <f t="shared" si="1"/>
        <v>2.6458333333721384E-2</v>
      </c>
      <c r="N14" s="7">
        <f t="shared" si="2"/>
        <v>38.100000000558794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44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03:01:30-0600',mode:absolute,to:'2016-10-15 05:49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" s="52" t="str">
        <f t="shared" si="6"/>
        <v>N</v>
      </c>
      <c r="X14" s="149">
        <f t="shared" si="7"/>
        <v>1</v>
      </c>
      <c r="Y14" s="67">
        <f t="shared" si="8"/>
        <v>23.269600000000001</v>
      </c>
      <c r="Z14" s="67">
        <f t="shared" si="9"/>
        <v>1.43E-2</v>
      </c>
      <c r="AA14" s="67">
        <f t="shared" si="10"/>
        <v>23.255300000000002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1"/>
        <v>0102-15</v>
      </c>
      <c r="AE14" s="91" t="str">
        <f t="shared" si="12"/>
        <v>aws s3 cp s3://rtdc.mdm.uploadarchive.raw/RTDC4043/ "%USERPROFILE%\AppData\Local\Temp\OnboardLogs"\RTDC4043\2016-10-15 --exclude "*" --recursive --include "*20161015*" &amp; "%USERPROFILE%\Documents\GitHub\mrs-test-scripts\Headless Mode &amp; Sideloading\WalkAndUnGZ.bat" "%USERPROFILE%\AppData\Local\Temp\OnboardLogs"\RTDC4043\2016-10-15 &amp; 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</v>
      </c>
      <c r="AF14" s="88" t="str">
        <f t="shared" si="13"/>
        <v>"C:\Program Files (x86)\AstroGrep\AstroGrep.exe" /spath="%USERPROFILE%\AppData\Local\Temp\OnboardLogs" /stypes="app*4043*20161015*"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4043 --swversion DE.1.0.7.0 --startMP 204:232696 --initTime 2016-10-15T04:01:30 --startdatetime 2016-10-15T04:11:31 --delay 1 --endMP 204:143 --enddatetime 2016-10-15T04:49:37 --enforcementcount 0 &gt;&gt;C:\Users\stu\Documents\GitHub\eaglep3-reporting\EC\2016-10-15-refined-times.txt</v>
      </c>
      <c r="AI14" s="122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{"issue":{"subject":"","project_id":79,"tracker_id":40,"status_id":1,"priority_id":2,"assigned_to_id":23,"start_date":"2016-10-15","description":"","custom_fields":[{"id":1,"name":"Subdivision","value":"EC"},{"id":4,"name":"Milepost","value":"0.0143"},{"id":17,"name":"Train ID","value":"102-15"},{"id":16,"name":"Locomotive ID","value":"4043"},{"id":130,"name":"Impact","value":""},{"id":150,"name":"Time of Event (Mountain Time)","value":"04:49:37"},{"id":151,"name":"Denver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455</v>
      </c>
      <c r="B15" s="7">
        <v>4053</v>
      </c>
      <c r="C15" s="22" t="s">
        <v>99</v>
      </c>
      <c r="D15" s="22" t="s">
        <v>630</v>
      </c>
      <c r="E15" s="13">
        <v>42658.158784722225</v>
      </c>
      <c r="F15" s="13">
        <v>42658.160011574073</v>
      </c>
      <c r="G15" s="7">
        <v>1</v>
      </c>
      <c r="H15" s="13" t="s">
        <v>254</v>
      </c>
      <c r="I15" s="13">
        <v>42658.187604166669</v>
      </c>
      <c r="J15" s="7">
        <v>0</v>
      </c>
      <c r="K15" s="112" t="str">
        <f t="shared" si="0"/>
        <v>4053/4054</v>
      </c>
      <c r="L15" s="22" t="str">
        <f>VLOOKUP(A15,'Trips&amp;Operators'!$C$1:$E$10000,3,FALSE)</f>
        <v>MALAVE</v>
      </c>
      <c r="M15" s="6">
        <f t="shared" si="1"/>
        <v>2.7592592596192844E-2</v>
      </c>
      <c r="N15" s="7">
        <f t="shared" si="2"/>
        <v>39.733333338517696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44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02:48:39-0600',mode:absolute,to:'2016-10-15 05:30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" s="52" t="str">
        <f t="shared" si="6"/>
        <v>N</v>
      </c>
      <c r="X15" s="149">
        <f t="shared" si="7"/>
        <v>1</v>
      </c>
      <c r="Y15" s="67">
        <f t="shared" si="8"/>
        <v>7.2800000000000004E-2</v>
      </c>
      <c r="Z15" s="67">
        <f t="shared" si="9"/>
        <v>23.33</v>
      </c>
      <c r="AA15" s="67">
        <f t="shared" si="10"/>
        <v>23.257199999999997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0103-15</v>
      </c>
      <c r="AE15" s="91" t="str">
        <f t="shared" si="12"/>
        <v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v>
      </c>
      <c r="AF15" s="88" t="str">
        <f t="shared" si="13"/>
        <v>"C:\Program Files (x86)\AstroGrep\AstroGrep.exe" /spath="%USERPROFILE%\AppData\Local\Temp\OnboardLogs" /stypes="app*4053*20161015*"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103-15 --locoid 4053 --swversion DE.1.0.7.0 --startMP 204:728 --initTime 2016-10-15T03:48:39 --startdatetime 2016-10-15T03:50:25 --delay 1 --endMP 204:233300 --enddatetime 2016-10-15T04:30:09 --enforcementcount 0 &gt;&gt;C:\Users\stu\Documents\GitHub\eaglep3-reporting\EC\2016-10-15-refined-times.txt</v>
      </c>
      <c r="AI15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{"issue":{"subject":"","project_id":79,"tracker_id":40,"status_id":1,"priority_id":2,"assigned_to_id":23,"start_date":"2016-10-15","description":"","custom_fields":[{"id":1,"name":"Subdivision","value":"EC"},{"id":4,"name":"Milepost","value":"23.33"},{"id":17,"name":"Train ID","value":"103-15"},{"id":16,"name":"Locomotive ID","value":"4053"},{"id":130,"name":"Impact","value":""},{"id":150,"name":"Time of Event (Mountain Time)","value":"04:30:09"},{"id":151,"name":"Denver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463</v>
      </c>
      <c r="B16" s="7">
        <v>4037</v>
      </c>
      <c r="C16" s="22" t="s">
        <v>99</v>
      </c>
      <c r="D16" s="22" t="s">
        <v>631</v>
      </c>
      <c r="E16" s="13">
        <v>42658.191851851851</v>
      </c>
      <c r="F16" s="13">
        <v>42658.195462962962</v>
      </c>
      <c r="G16" s="7">
        <v>5</v>
      </c>
      <c r="H16" s="13" t="s">
        <v>242</v>
      </c>
      <c r="I16" s="13">
        <v>42658.223194444443</v>
      </c>
      <c r="J16" s="7">
        <v>0</v>
      </c>
      <c r="K16" s="112" t="str">
        <f t="shared" si="0"/>
        <v>4037/4038</v>
      </c>
      <c r="L16" s="22" t="str">
        <f>VLOOKUP(A16,'Trips&amp;Operators'!$C$1:$E$10000,3,FALSE)</f>
        <v>MALAVE</v>
      </c>
      <c r="M16" s="6">
        <f t="shared" si="1"/>
        <v>2.7731481481168885E-2</v>
      </c>
      <c r="N16" s="7">
        <f t="shared" si="2"/>
        <v>39.933333332883194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44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03:36:16-0600',mode:absolute,to:'2016-10-15 06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" s="52" t="str">
        <f t="shared" si="6"/>
        <v>N</v>
      </c>
      <c r="X16" s="149">
        <f t="shared" si="7"/>
        <v>1</v>
      </c>
      <c r="Y16" s="67">
        <f t="shared" si="8"/>
        <v>23.265999999999998</v>
      </c>
      <c r="Z16" s="67">
        <f t="shared" si="9"/>
        <v>1.4500000000000001E-2</v>
      </c>
      <c r="AA16" s="67">
        <f t="shared" si="10"/>
        <v>23.251499999999997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0104-15</v>
      </c>
      <c r="AE16" s="91" t="str">
        <f t="shared" si="12"/>
        <v>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 &amp; aws s3 cp s3://rtdc.mdm.uploadarchive.raw/RTDC4037/ "%USERPROFILE%\AppData\Local\Temp\OnboardLogs"\RTDC4037\2016-10-16 --exclude "*" --recursive --include "*20161016*" &amp; "%USERPROFILE%\Documents\GitHub\mrs-test-scripts\Headless Mode &amp; Sideloading\WalkAndUnGZ.bat" "%USERPROFILE%\AppData\Local\Temp\OnboardLogs"\RTDC4037\2016-10-16</v>
      </c>
      <c r="AF16" s="88" t="str">
        <f t="shared" si="13"/>
        <v>"C:\Program Files (x86)\AstroGrep\AstroGrep.exe" /spath="%USERPROFILE%\AppData\Local\Temp\OnboardLogs" /stypes="app*4037*20161015*"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104-15 --locoid 4037 --swversion DE.1.0.7.0 --startMP 204:232660 --initTime 2016-10-15T04:36:16 --startdatetime 2016-10-15T04:41:28 --delay 5 --endMP 204:145 --enddatetime 2016-10-15T05:21:24 --enforcementcount 0 &gt;&gt;C:\Users\stu\Documents\GitHub\eaglep3-reporting\EC\2016-10-15-refined-times.txt</v>
      </c>
      <c r="AI16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{"issue":{"subject":"","project_id":79,"tracker_id":40,"status_id":1,"priority_id":2,"assigned_to_id":23,"start_date":"2016-10-15","description":"","custom_fields":[{"id":1,"name":"Subdivision","value":"EC"},{"id":4,"name":"Milepost","value":"0.0145"},{"id":17,"name":"Train ID","value":"104-15"},{"id":16,"name":"Locomotive ID","value":"4037"},{"id":130,"name":"Impact","value":""},{"id":150,"name":"Time of Event (Mountain Time)","value":"05:21:24"},{"id":151,"name":"Denver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458</v>
      </c>
      <c r="B17" s="7">
        <v>4003</v>
      </c>
      <c r="C17" s="22" t="s">
        <v>99</v>
      </c>
      <c r="D17" s="22" t="s">
        <v>632</v>
      </c>
      <c r="E17" s="13">
        <v>42658.169085648151</v>
      </c>
      <c r="F17" s="13">
        <v>42658.177337962959</v>
      </c>
      <c r="G17" s="7">
        <v>1</v>
      </c>
      <c r="H17" s="13" t="s">
        <v>405</v>
      </c>
      <c r="I17" s="13">
        <v>42658.202673611115</v>
      </c>
      <c r="J17" s="7">
        <v>0</v>
      </c>
      <c r="K17" s="112" t="str">
        <f t="shared" si="0"/>
        <v>4003/4004</v>
      </c>
      <c r="L17" s="22" t="str">
        <f>VLOOKUP(A17,'Trips&amp;Operators'!$C$1:$E$10000,3,FALSE)</f>
        <v>SANTIZO</v>
      </c>
      <c r="M17" s="6">
        <f t="shared" si="1"/>
        <v>2.5335648155305535E-2</v>
      </c>
      <c r="N17" s="7">
        <f t="shared" si="2"/>
        <v>36.48333334363997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44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03:03:29-0600',mode:absolute,to:'2016-10-15 05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" s="52" t="str">
        <f t="shared" si="6"/>
        <v>N</v>
      </c>
      <c r="X17" s="149">
        <f t="shared" si="7"/>
        <v>1</v>
      </c>
      <c r="Y17" s="67">
        <f t="shared" si="8"/>
        <v>7.1900000000000006E-2</v>
      </c>
      <c r="Z17" s="67">
        <f t="shared" si="9"/>
        <v>23.331900000000001</v>
      </c>
      <c r="AA17" s="67">
        <f t="shared" si="10"/>
        <v>23.26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0105-15</v>
      </c>
      <c r="AE17" s="91" t="str">
        <f t="shared" si="12"/>
        <v>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 &amp; aws s3 cp s3://rtdc.mdm.uploadarchive.raw/RTDC4003/ "%USERPROFILE%\AppData\Local\Temp\OnboardLogs"\RTDC4003\2016-10-16 --exclude "*" --recursive --include "*20161016*" &amp; "%USERPROFILE%\Documents\GitHub\mrs-test-scripts\Headless Mode &amp; Sideloading\WalkAndUnGZ.bat" "%USERPROFILE%\AppData\Local\Temp\OnboardLogs"\RTDC4003\2016-10-16</v>
      </c>
      <c r="AF17" s="88" t="str">
        <f t="shared" si="13"/>
        <v>"C:\Program Files (x86)\AstroGrep\AstroGrep.exe" /spath="%USERPROFILE%\AppData\Local\Temp\OnboardLogs" /stypes="app*4003*20161015*"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105-15 --locoid 4003 --swversion DE.1.0.7.0 --startMP 204:719 --initTime 2016-10-15T04:03:29 --startdatetime 2016-10-15T04:15:22 --delay 1 --endMP 204:233319 --enddatetime 2016-10-15T04:51:51 --enforcementcount 0 &gt;&gt;C:\Users\stu\Documents\GitHub\eaglep3-reporting\EC\2016-10-15-refined-times.txt</v>
      </c>
      <c r="AI17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{"issue":{"subject":"","project_id":79,"tracker_id":40,"status_id":1,"priority_id":2,"assigned_to_id":23,"start_date":"2016-10-15","description":"","custom_fields":[{"id":1,"name":"Subdivision","value":"EC"},{"id":4,"name":"Milepost","value":"23.3319"},{"id":17,"name":"Train ID","value":"105-15"},{"id":16,"name":"Locomotive ID","value":"4003"},{"id":130,"name":"Impact","value":""},{"id":150,"name":"Time of Event (Mountain Time)","value":"04:51:51"},{"id":151,"name":"Denver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465</v>
      </c>
      <c r="B18" s="7">
        <v>4017</v>
      </c>
      <c r="C18" s="22" t="s">
        <v>99</v>
      </c>
      <c r="D18" s="22" t="s">
        <v>633</v>
      </c>
      <c r="E18" s="13">
        <v>42658.204317129632</v>
      </c>
      <c r="F18" s="13">
        <v>42658.216157407405</v>
      </c>
      <c r="G18" s="7">
        <v>1</v>
      </c>
      <c r="H18" s="13" t="s">
        <v>182</v>
      </c>
      <c r="I18" s="13">
        <v>42658.242418981485</v>
      </c>
      <c r="J18" s="7">
        <v>0</v>
      </c>
      <c r="K18" s="112" t="str">
        <f t="shared" si="0"/>
        <v>4017/4018</v>
      </c>
      <c r="L18" s="22" t="str">
        <f>VLOOKUP(A18,'Trips&amp;Operators'!$C$1:$E$10000,3,FALSE)</f>
        <v>SANTIZO</v>
      </c>
      <c r="M18" s="6">
        <f t="shared" si="1"/>
        <v>2.6261574079398997E-2</v>
      </c>
      <c r="N18" s="7">
        <f t="shared" si="2"/>
        <v>37.816666674334556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44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03:54:13-0600',mode:absolute,to:'2016-10-15 06:49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" s="52" t="str">
        <f t="shared" si="6"/>
        <v>N</v>
      </c>
      <c r="X18" s="149">
        <f t="shared" si="7"/>
        <v>1</v>
      </c>
      <c r="Y18" s="67">
        <f t="shared" si="8"/>
        <v>23.268899999999999</v>
      </c>
      <c r="Z18" s="67">
        <f t="shared" si="9"/>
        <v>1.41E-2</v>
      </c>
      <c r="AA18" s="67">
        <f t="shared" si="10"/>
        <v>23.254799999999999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11"/>
        <v>0106-15</v>
      </c>
      <c r="AE18" s="91" t="str">
        <f t="shared" si="12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8" s="88" t="str">
        <f t="shared" si="13"/>
        <v>"C:\Program Files (x86)\AstroGrep\AstroGrep.exe" /spath="%USERPROFILE%\AppData\Local\Temp\OnboardLogs" /stypes="app*4017*20161015*"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106-15 --locoid 4017 --swversion DE.1.0.7.0 --startMP 204:232689 --initTime 2016-10-15T04:54:13 --startdatetime 2016-10-15T05:11:16 --delay 1 --endMP 204:141 --enddatetime 2016-10-15T05:49:05 --enforcementcount 0 &gt;&gt;C:\Users\stu\Documents\GitHub\eaglep3-reporting\EC\2016-10-15-refined-times.txt</v>
      </c>
      <c r="AI18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{"issue":{"subject":"","project_id":79,"tracker_id":40,"status_id":1,"priority_id":2,"assigned_to_id":23,"start_date":"2016-10-15","description":"","custom_fields":[{"id":1,"name":"Subdivision","value":"EC"},{"id":4,"name":"Milepost","value":"0.0141"},{"id":17,"name":"Train ID","value":"106-15"},{"id":16,"name":"Locomotive ID","value":"4017"},{"id":130,"name":"Impact","value":""},{"id":150,"name":"Time of Event (Mountain Time)","value":"05:49:05"},{"id":151,"name":"Denver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461</v>
      </c>
      <c r="B19" s="7">
        <v>4016</v>
      </c>
      <c r="C19" s="22" t="s">
        <v>99</v>
      </c>
      <c r="D19" s="22" t="s">
        <v>264</v>
      </c>
      <c r="E19" s="13">
        <v>42658.183032407411</v>
      </c>
      <c r="F19" s="13">
        <v>42658.187696759262</v>
      </c>
      <c r="G19" s="7">
        <v>1</v>
      </c>
      <c r="H19" s="13" t="s">
        <v>399</v>
      </c>
      <c r="I19" s="13">
        <v>42658.215868055559</v>
      </c>
      <c r="J19" s="7">
        <v>0</v>
      </c>
      <c r="K19" s="112" t="str">
        <f t="shared" si="0"/>
        <v>4015/4016</v>
      </c>
      <c r="L19" s="22" t="str">
        <f>VLOOKUP(A19,'Trips&amp;Operators'!$C$1:$E$10000,3,FALSE)</f>
        <v>DAVIS</v>
      </c>
      <c r="M19" s="6">
        <f t="shared" si="1"/>
        <v>2.8171296296932269E-2</v>
      </c>
      <c r="N19" s="7">
        <f t="shared" si="2"/>
        <v>40.566666667582467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44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03:23:34-0600',mode:absolute,to:'2016-10-15 06:10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" s="52" t="str">
        <f t="shared" si="6"/>
        <v>N</v>
      </c>
      <c r="X19" s="149">
        <f t="shared" si="7"/>
        <v>1</v>
      </c>
      <c r="Y19" s="67">
        <f t="shared" si="8"/>
        <v>4.5699999999999998E-2</v>
      </c>
      <c r="Z19" s="67">
        <f t="shared" si="9"/>
        <v>23.3307</v>
      </c>
      <c r="AA19" s="67">
        <f t="shared" si="10"/>
        <v>23.285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0107-15</v>
      </c>
      <c r="AE19" s="91" t="str">
        <f t="shared" si="12"/>
        <v>aws s3 cp s3://rtdc.mdm.uploadarchive.raw/RTDC4016/ "%USERPROFILE%\AppData\Local\Temp\OnboardLogs"\RTDC4016\2016-10-15 --exclude "*" --recursive --include "*20161015*" &amp; "%USERPROFILE%\Documents\GitHub\mrs-test-scripts\Headless Mode &amp; Sideloading\WalkAndUnGZ.bat" "%USERPROFILE%\AppData\Local\Temp\OnboardLogs"\RTDC4016\2016-10-15 &amp; aws s3 cp s3://rtdc.mdm.uploadarchive.raw/RTDC4016/ "%USERPROFILE%\AppData\Local\Temp\OnboardLogs"\RTDC4016\2016-10-16 --exclude "*" --recursive --include "*20161016*" &amp; "%USERPROFILE%\Documents\GitHub\mrs-test-scripts\Headless Mode &amp; Sideloading\WalkAndUnGZ.bat" "%USERPROFILE%\AppData\Local\Temp\OnboardLogs"\RTDC4016\2016-10-16</v>
      </c>
      <c r="AF19" s="88" t="str">
        <f t="shared" si="13"/>
        <v>"C:\Program Files (x86)\AstroGrep\AstroGrep.exe" /spath="%USERPROFILE%\AppData\Local\Temp\OnboardLogs" /stypes="app*4016*20161015*"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107-15 --locoid 4016 --swversion DE.1.0.7.0 --startMP 204:457 --initTime 2016-10-15T04:23:34 --startdatetime 2016-10-15T04:30:17 --delay 1 --endMP 204:233307 --enddatetime 2016-10-15T05:10:51 --enforcementcount 0 &gt;&gt;C:\Users\stu\Documents\GitHub\eaglep3-reporting\EC\2016-10-15-refined-times.txt</v>
      </c>
      <c r="AI19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{"issue":{"subject":"","project_id":79,"tracker_id":40,"status_id":1,"priority_id":2,"assigned_to_id":23,"start_date":"2016-10-15","description":"","custom_fields":[{"id":1,"name":"Subdivision","value":"EC"},{"id":4,"name":"Milepost","value":"23.3307"},{"id":17,"name":"Train ID","value":"107-15"},{"id":16,"name":"Locomotive ID","value":"4016"},{"id":130,"name":"Impact","value":""},{"id":150,"name":"Time of Event (Mountain Time)","value":"05:10:51"},{"id":151,"name":"Denver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467</v>
      </c>
      <c r="B20" s="7">
        <v>4015</v>
      </c>
      <c r="C20" s="22" t="s">
        <v>99</v>
      </c>
      <c r="D20" s="22" t="s">
        <v>248</v>
      </c>
      <c r="E20" s="13">
        <v>42658.222581018519</v>
      </c>
      <c r="F20" s="13">
        <v>42658.226574074077</v>
      </c>
      <c r="G20" s="7">
        <v>1</v>
      </c>
      <c r="H20" s="13" t="s">
        <v>255</v>
      </c>
      <c r="I20" s="13">
        <v>42658.255833333336</v>
      </c>
      <c r="J20" s="7">
        <v>0</v>
      </c>
      <c r="K20" s="112" t="str">
        <f t="shared" si="0"/>
        <v>4015/4016</v>
      </c>
      <c r="L20" s="22" t="str">
        <f>VLOOKUP(A20,'Trips&amp;Operators'!$C$1:$E$10000,3,FALSE)</f>
        <v>DAVIS</v>
      </c>
      <c r="M20" s="6">
        <f t="shared" si="1"/>
        <v>2.9259259259561077E-2</v>
      </c>
      <c r="N20" s="7">
        <f t="shared" si="2"/>
        <v>42.133333333767951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44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04:20:31-0600',mode:absolute,to:'2016-10-15 07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0" s="52" t="str">
        <f t="shared" si="6"/>
        <v>N</v>
      </c>
      <c r="X20" s="149">
        <f t="shared" si="7"/>
        <v>1</v>
      </c>
      <c r="Y20" s="67">
        <f t="shared" si="8"/>
        <v>23.298999999999999</v>
      </c>
      <c r="Z20" s="67">
        <f t="shared" si="9"/>
        <v>1.6299999999999999E-2</v>
      </c>
      <c r="AA20" s="67">
        <f t="shared" si="10"/>
        <v>23.282699999999998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0108-15</v>
      </c>
      <c r="AE20" s="91" t="str">
        <f t="shared" si="12"/>
        <v>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 &amp; aws s3 cp s3://rtdc.mdm.uploadarchive.raw/RTDC4015/ "%USERPROFILE%\AppData\Local\Temp\OnboardLogs"\RTDC4015\2016-10-16 --exclude "*" --recursive --include "*20161016*" &amp; "%USERPROFILE%\Documents\GitHub\mrs-test-scripts\Headless Mode &amp; Sideloading\WalkAndUnGZ.bat" "%USERPROFILE%\AppData\Local\Temp\OnboardLogs"\RTDC4015\2016-10-16</v>
      </c>
      <c r="AF20" s="88" t="str">
        <f t="shared" si="13"/>
        <v>"C:\Program Files (x86)\AstroGrep\AstroGrep.exe" /spath="%USERPROFILE%\AppData\Local\Temp\OnboardLogs" /stypes="app*4015*20161015*"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108-15 --locoid 4015 --swversion DE.1.0.7.0 --startMP 204:232990 --initTime 2016-10-15T05:20:31 --startdatetime 2016-10-15T05:26:16 --delay 1 --endMP 204:163 --enddatetime 2016-10-15T06:08:24 --enforcementcount 0 &gt;&gt;C:\Users\stu\Documents\GitHub\eaglep3-reporting\EC\2016-10-15-refined-times.txt</v>
      </c>
      <c r="AI20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{"issue":{"subject":"","project_id":79,"tracker_id":40,"status_id":1,"priority_id":2,"assigned_to_id":23,"start_date":"2016-10-15","description":"","custom_fields":[{"id":1,"name":"Subdivision","value":"EC"},{"id":4,"name":"Milepost","value":"0.0163"},{"id":17,"name":"Train ID","value":"108-15"},{"id":16,"name":"Locomotive ID","value":"4015"},{"id":130,"name":"Impact","value":""},{"id":150,"name":"Time of Event (Mountain Time)","value":"06:08:24"},{"id":151,"name":"Denver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462</v>
      </c>
      <c r="B21" s="7">
        <v>4011</v>
      </c>
      <c r="C21" s="22" t="s">
        <v>99</v>
      </c>
      <c r="D21" s="22" t="s">
        <v>265</v>
      </c>
      <c r="E21" s="13">
        <v>42658.187974537039</v>
      </c>
      <c r="F21" s="13">
        <v>42658.198113425926</v>
      </c>
      <c r="G21" s="7">
        <v>1</v>
      </c>
      <c r="H21" s="13" t="s">
        <v>269</v>
      </c>
      <c r="I21" s="13">
        <v>42658.223263888889</v>
      </c>
      <c r="J21" s="7">
        <v>0</v>
      </c>
      <c r="K21" s="112" t="str">
        <f t="shared" si="0"/>
        <v>4011/4012</v>
      </c>
      <c r="L21" s="22" t="str">
        <f>VLOOKUP(A21,'Trips&amp;Operators'!$C$1:$E$10000,3,FALSE)</f>
        <v>KILLION</v>
      </c>
      <c r="M21" s="6">
        <f t="shared" si="1"/>
        <v>2.5150462963210884E-2</v>
      </c>
      <c r="N21" s="7">
        <f t="shared" si="2"/>
        <v>36.216666667023674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44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03:30:41-0600',mode:absolute,to:'2016-10-15 06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" s="52" t="str">
        <f t="shared" si="6"/>
        <v>N</v>
      </c>
      <c r="X21" s="149">
        <f t="shared" si="7"/>
        <v>1</v>
      </c>
      <c r="Y21" s="67">
        <f t="shared" si="8"/>
        <v>4.6199999999999998E-2</v>
      </c>
      <c r="Z21" s="67">
        <f t="shared" si="9"/>
        <v>23.329499999999999</v>
      </c>
      <c r="AA21" s="67">
        <f t="shared" si="10"/>
        <v>23.283300000000001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0109-15</v>
      </c>
      <c r="AE21" s="91" t="str">
        <f t="shared" si="12"/>
        <v>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 &amp; aws s3 cp s3://rtdc.mdm.uploadarchive.raw/RTDC4011/ "%USERPROFILE%\AppData\Local\Temp\OnboardLogs"\RTDC4011\2016-10-16 --exclude "*" --recursive --include "*20161016*" &amp; "%USERPROFILE%\Documents\GitHub\mrs-test-scripts\Headless Mode &amp; Sideloading\WalkAndUnGZ.bat" "%USERPROFILE%\AppData\Local\Temp\OnboardLogs"\RTDC4011\2016-10-16</v>
      </c>
      <c r="AF21" s="88" t="str">
        <f t="shared" si="13"/>
        <v>"C:\Program Files (x86)\AstroGrep\AstroGrep.exe" /spath="%USERPROFILE%\AppData\Local\Temp\OnboardLogs" /stypes="app*4011*20161015*"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109-15 --locoid 4011 --swversion DE.1.0.7.0 --startMP 204:462 --initTime 2016-10-15T04:30:41 --startdatetime 2016-10-15T04:45:17 --delay 1 --endMP 204:233295 --enddatetime 2016-10-15T05:21:30 --enforcementcount 0 &gt;&gt;C:\Users\stu\Documents\GitHub\eaglep3-reporting\EC\2016-10-15-refined-times.txt</v>
      </c>
      <c r="AI21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{"issue":{"subject":"","project_id":79,"tracker_id":40,"status_id":1,"priority_id":2,"assigned_to_id":23,"start_date":"2016-10-15","description":"","custom_fields":[{"id":1,"name":"Subdivision","value":"EC"},{"id":4,"name":"Milepost","value":"23.3295"},{"id":17,"name":"Train ID","value":"109-15"},{"id":16,"name":"Locomotive ID","value":"4011"},{"id":130,"name":"Impact","value":""},{"id":150,"name":"Time of Event (Mountain Time)","value":"05:21:30"},{"id":151,"name":"Denver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471</v>
      </c>
      <c r="B22" s="7">
        <v>4012</v>
      </c>
      <c r="C22" s="22" t="s">
        <v>99</v>
      </c>
      <c r="D22" s="22" t="s">
        <v>276</v>
      </c>
      <c r="E22" s="13">
        <v>42658.23159722222</v>
      </c>
      <c r="F22" s="13">
        <v>42658.23704861111</v>
      </c>
      <c r="G22" s="7">
        <v>1</v>
      </c>
      <c r="H22" s="13" t="s">
        <v>634</v>
      </c>
      <c r="I22" s="13">
        <v>42658.263449074075</v>
      </c>
      <c r="J22" s="7">
        <v>0</v>
      </c>
      <c r="K22" s="112" t="str">
        <f t="shared" si="0"/>
        <v>4011/4012</v>
      </c>
      <c r="L22" s="22" t="str">
        <f>VLOOKUP(A22,'Trips&amp;Operators'!$C$1:$E$10000,3,FALSE)</f>
        <v>KILLION</v>
      </c>
      <c r="M22" s="6">
        <f t="shared" si="1"/>
        <v>2.6400462964375038E-2</v>
      </c>
      <c r="N22" s="7">
        <f t="shared" si="2"/>
        <v>38.016666668700054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44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04:33:30-0600',mode:absolute,to:'2016-10-15 07:19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" s="52" t="str">
        <f t="shared" si="6"/>
        <v>N</v>
      </c>
      <c r="X22" s="149">
        <f t="shared" si="7"/>
        <v>1</v>
      </c>
      <c r="Y22" s="67">
        <f t="shared" si="8"/>
        <v>23.297899999999998</v>
      </c>
      <c r="Z22" s="67">
        <f t="shared" si="9"/>
        <v>1.5599999999999999E-2</v>
      </c>
      <c r="AA22" s="67">
        <f t="shared" si="10"/>
        <v>23.282299999999999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1"/>
        <v>0110-15</v>
      </c>
      <c r="AE22" s="91" t="str">
        <f t="shared" si="12"/>
        <v>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 &amp; aws s3 cp s3://rtdc.mdm.uploadarchive.raw/RTDC4012/ "%USERPROFILE%\AppData\Local\Temp\OnboardLogs"\RTDC4012\2016-10-16 --exclude "*" --recursive --include "*20161016*" &amp; "%USERPROFILE%\Documents\GitHub\mrs-test-scripts\Headless Mode &amp; Sideloading\WalkAndUnGZ.bat" "%USERPROFILE%\AppData\Local\Temp\OnboardLogs"\RTDC4012\2016-10-16</v>
      </c>
      <c r="AF22" s="88" t="str">
        <f t="shared" si="13"/>
        <v>"C:\Program Files (x86)\AstroGrep\AstroGrep.exe" /spath="%USERPROFILE%\AppData\Local\Temp\OnboardLogs" /stypes="app*4012*20161015*"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110-15 --locoid 4012 --swversion DE.1.0.7.0 --startMP 204:232979 --initTime 2016-10-15T05:33:30 --startdatetime 2016-10-15T05:41:21 --delay 1 --endMP 204:156 --enddatetime 2016-10-15T06:19:22 --enforcementcount 0 &gt;&gt;C:\Users\stu\Documents\GitHub\eaglep3-reporting\EC\2016-10-15-refined-times.txt</v>
      </c>
      <c r="AI22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{"issue":{"subject":"","project_id":79,"tracker_id":40,"status_id":1,"priority_id":2,"assigned_to_id":23,"start_date":"2016-10-15","description":"","custom_fields":[{"id":1,"name":"Subdivision","value":"EC"},{"id":4,"name":"Milepost","value":"0.0156"},{"id":17,"name":"Train ID","value":"110-15"},{"id":16,"name":"Locomotive ID","value":"4012"},{"id":130,"name":"Impact","value":""},{"id":150,"name":"Time of Event (Mountain Time)","value":"06:19:22"},{"id":151,"name":"Denver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464</v>
      </c>
      <c r="B23" s="7">
        <v>4020</v>
      </c>
      <c r="C23" s="22" t="s">
        <v>99</v>
      </c>
      <c r="D23" s="22" t="s">
        <v>635</v>
      </c>
      <c r="E23" s="13">
        <v>42658.202928240738</v>
      </c>
      <c r="F23" s="13">
        <v>42658.20857638889</v>
      </c>
      <c r="G23" s="7">
        <v>6</v>
      </c>
      <c r="H23" s="13" t="s">
        <v>281</v>
      </c>
      <c r="I23" s="13">
        <v>42658.233310185184</v>
      </c>
      <c r="J23" s="7">
        <v>0</v>
      </c>
      <c r="K23" s="112" t="str">
        <f t="shared" si="0"/>
        <v>4019/4020</v>
      </c>
      <c r="L23" s="22" t="str">
        <f>VLOOKUP(A23,'Trips&amp;Operators'!$C$1:$E$10000,3,FALSE)</f>
        <v>GEBRETEKLE</v>
      </c>
      <c r="M23" s="6">
        <f t="shared" si="1"/>
        <v>2.4733796293730848E-2</v>
      </c>
      <c r="N23" s="7">
        <f t="shared" si="2"/>
        <v>35.61666666297242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44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03:52:13-0600',mode:absolute,to:'2016-10-15 06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3" s="52" t="str">
        <f t="shared" si="6"/>
        <v>N</v>
      </c>
      <c r="X23" s="149">
        <f t="shared" si="7"/>
        <v>1</v>
      </c>
      <c r="Y23" s="67">
        <f t="shared" si="8"/>
        <v>7.4099999999999999E-2</v>
      </c>
      <c r="Z23" s="67">
        <f t="shared" si="9"/>
        <v>23.3291</v>
      </c>
      <c r="AA23" s="67">
        <f t="shared" si="10"/>
        <v>23.254999999999999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0111-15</v>
      </c>
      <c r="AE23" s="91" t="str">
        <f t="shared" si="12"/>
        <v>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 &amp; aws s3 cp s3://rtdc.mdm.uploadarchive.raw/RTDC4020/ "%USERPROFILE%\AppData\Local\Temp\OnboardLogs"\RTDC4020\2016-10-16 --exclude "*" --recursive --include "*20161016*" &amp; "%USERPROFILE%\Documents\GitHub\mrs-test-scripts\Headless Mode &amp; Sideloading\WalkAndUnGZ.bat" "%USERPROFILE%\AppData\Local\Temp\OnboardLogs"\RTDC4020\2016-10-16</v>
      </c>
      <c r="AF23" s="88" t="str">
        <f t="shared" si="13"/>
        <v>"C:\Program Files (x86)\AstroGrep\AstroGrep.exe" /spath="%USERPROFILE%\AppData\Local\Temp\OnboardLogs" /stypes="app*4020*20161015*"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111-15 --locoid 4020 --swversion DE.1.0.7.0 --startMP 204:741 --initTime 2016-10-15T04:52:13 --startdatetime 2016-10-15T05:00:21 --delay 6 --endMP 204:233291 --enddatetime 2016-10-15T05:35:58 --enforcementcount 0 &gt;&gt;C:\Users\stu\Documents\GitHub\eaglep3-reporting\EC\2016-10-15-refined-times.txt</v>
      </c>
      <c r="AI23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{"issue":{"subject":"","project_id":79,"tracker_id":40,"status_id":1,"priority_id":2,"assigned_to_id":23,"start_date":"2016-10-15","description":"","custom_fields":[{"id":1,"name":"Subdivision","value":"EC"},{"id":4,"name":"Milepost","value":"23.3291"},{"id":17,"name":"Train ID","value":"111-15"},{"id":16,"name":"Locomotive ID","value":"4020"},{"id":130,"name":"Impact","value":""},{"id":150,"name":"Time of Event (Mountain Time)","value":"05:35:58"},{"id":151,"name":"Denver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473</v>
      </c>
      <c r="B24" s="7">
        <v>4019</v>
      </c>
      <c r="C24" s="22" t="s">
        <v>99</v>
      </c>
      <c r="D24" s="22" t="s">
        <v>402</v>
      </c>
      <c r="E24" s="13">
        <v>42658.244664351849</v>
      </c>
      <c r="F24" s="13">
        <v>42658.247789351852</v>
      </c>
      <c r="G24" s="7">
        <v>1</v>
      </c>
      <c r="H24" s="13" t="s">
        <v>176</v>
      </c>
      <c r="I24" s="13">
        <v>42658.275393518517</v>
      </c>
      <c r="J24" s="7">
        <v>0</v>
      </c>
      <c r="K24" s="112" t="str">
        <f t="shared" si="0"/>
        <v>4019/4020</v>
      </c>
      <c r="L24" s="22" t="str">
        <f>VLOOKUP(A24,'Trips&amp;Operators'!$C$1:$E$10000,3,FALSE)</f>
        <v>GEBRETEKLE</v>
      </c>
      <c r="M24" s="6">
        <f t="shared" si="1"/>
        <v>2.7604166665696539E-2</v>
      </c>
      <c r="N24" s="7">
        <f t="shared" si="2"/>
        <v>39.749999998603016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44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04:52:19-0600',mode:absolute,to:'2016-10-15 07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4" s="52" t="str">
        <f t="shared" si="6"/>
        <v>N</v>
      </c>
      <c r="X24" s="149">
        <f t="shared" si="7"/>
        <v>1</v>
      </c>
      <c r="Y24" s="67">
        <f t="shared" si="8"/>
        <v>23.297499999999999</v>
      </c>
      <c r="Z24" s="67">
        <f t="shared" si="9"/>
        <v>1.47E-2</v>
      </c>
      <c r="AA24" s="67">
        <f t="shared" si="10"/>
        <v>23.282799999999998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1"/>
        <v>0112-15</v>
      </c>
      <c r="AE24" s="91" t="str">
        <f t="shared" si="12"/>
        <v>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 &amp; aws s3 cp s3://rtdc.mdm.uploadarchive.raw/RTDC4019/ "%USERPROFILE%\AppData\Local\Temp\OnboardLogs"\RTDC4019\2016-10-16 --exclude "*" --recursive --include "*20161016*" &amp; "%USERPROFILE%\Documents\GitHub\mrs-test-scripts\Headless Mode &amp; Sideloading\WalkAndUnGZ.bat" "%USERPROFILE%\AppData\Local\Temp\OnboardLogs"\RTDC4019\2016-10-16</v>
      </c>
      <c r="AF24" s="88" t="str">
        <f t="shared" si="13"/>
        <v>"C:\Program Files (x86)\AstroGrep\AstroGrep.exe" /spath="%USERPROFILE%\AppData\Local\Temp\OnboardLogs" /stypes="app*4019*20161015*"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112-15 --locoid 4019 --swversion DE.1.0.7.0 --startMP 204:232975 --initTime 2016-10-15T05:52:19 --startdatetime 2016-10-15T05:56:49 --delay 1 --endMP 204:147 --enddatetime 2016-10-15T06:36:34 --enforcementcount 0 &gt;&gt;C:\Users\stu\Documents\GitHub\eaglep3-reporting\EC\2016-10-15-refined-times.txt</v>
      </c>
      <c r="AI24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{"issue":{"subject":"","project_id":79,"tracker_id":40,"status_id":1,"priority_id":2,"assigned_to_id":23,"start_date":"2016-10-15","description":"","custom_fields":[{"id":1,"name":"Subdivision","value":"EC"},{"id":4,"name":"Milepost","value":"0.0147"},{"id":17,"name":"Train ID","value":"112-15"},{"id":16,"name":"Locomotive ID","value":"4019"},{"id":130,"name":"Impact","value":""},{"id":150,"name":"Time of Event (Mountain Time)","value":"06:36:34"},{"id":151,"name":"Denver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466</v>
      </c>
      <c r="B25" s="7">
        <v>4044</v>
      </c>
      <c r="C25" s="22" t="s">
        <v>99</v>
      </c>
      <c r="D25" s="22" t="s">
        <v>251</v>
      </c>
      <c r="E25" s="13">
        <v>42658.213159722225</v>
      </c>
      <c r="F25" s="13">
        <v>42658.2190162037</v>
      </c>
      <c r="G25" s="7">
        <v>1</v>
      </c>
      <c r="H25" s="13" t="s">
        <v>261</v>
      </c>
      <c r="I25" s="13">
        <v>42658.244363425925</v>
      </c>
      <c r="J25" s="7">
        <v>0</v>
      </c>
      <c r="K25" s="112" t="str">
        <f t="shared" si="0"/>
        <v>4043/4044</v>
      </c>
      <c r="L25" s="22" t="str">
        <f>VLOOKUP(A25,'Trips&amp;Operators'!$C$1:$E$10000,3,FALSE)</f>
        <v>MAELZER</v>
      </c>
      <c r="M25" s="6">
        <f t="shared" si="1"/>
        <v>2.5347222224809229E-2</v>
      </c>
      <c r="N25" s="7">
        <f t="shared" si="2"/>
        <v>36.50000000372529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44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04:06:57-0600',mode:absolute,to:'2016-10-15 06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5" s="52" t="str">
        <f t="shared" si="6"/>
        <v>N</v>
      </c>
      <c r="X25" s="149">
        <f t="shared" si="7"/>
        <v>1</v>
      </c>
      <c r="Y25" s="67">
        <f t="shared" si="8"/>
        <v>4.4699999999999997E-2</v>
      </c>
      <c r="Z25" s="67">
        <f t="shared" si="9"/>
        <v>23.329799999999999</v>
      </c>
      <c r="AA25" s="67">
        <f t="shared" si="10"/>
        <v>23.2851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0113-15</v>
      </c>
      <c r="AE25" s="91" t="str">
        <f t="shared" si="12"/>
        <v>aws s3 cp s3://rtdc.mdm.uploadarchive.raw/RTDC4044/ "%USERPROFILE%\AppData\Local\Temp\OnboardLogs"\RTDC4044\2016-10-15 --exclude "*" --recursive --include "*20161015*" &amp; "%USERPROFILE%\Documents\GitHub\mrs-test-scripts\Headless Mode &amp; Sideloading\WalkAndUnGZ.bat" "%USERPROFILE%\AppData\Local\Temp\OnboardLogs"\RTDC4044\2016-10-15 &amp; 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</v>
      </c>
      <c r="AF25" s="88" t="str">
        <f t="shared" si="13"/>
        <v>"C:\Program Files (x86)\AstroGrep\AstroGrep.exe" /spath="%USERPROFILE%\AppData\Local\Temp\OnboardLogs" /stypes="app*4044*20161015*"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113-15 --locoid 4044 --swversion DE.1.0.7.0 --startMP 204:447 --initTime 2016-10-15T05:06:57 --startdatetime 2016-10-15T05:15:23 --delay 1 --endMP 204:233298 --enddatetime 2016-10-15T05:51:53 --enforcementcount 0 &gt;&gt;C:\Users\stu\Documents\GitHub\eaglep3-reporting\EC\2016-10-15-refined-times.txt</v>
      </c>
      <c r="AI25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{"issue":{"subject":"","project_id":79,"tracker_id":40,"status_id":1,"priority_id":2,"assigned_to_id":23,"start_date":"2016-10-15","description":"","custom_fields":[{"id":1,"name":"Subdivision","value":"EC"},{"id":4,"name":"Milepost","value":"23.3298"},{"id":17,"name":"Train ID","value":"113-15"},{"id":16,"name":"Locomotive ID","value":"4044"},{"id":130,"name":"Impact","value":""},{"id":150,"name":"Time of Event (Mountain Time)","value":"05:51:53"},{"id":151,"name":"Denver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476</v>
      </c>
      <c r="B26" s="7">
        <v>4043</v>
      </c>
      <c r="C26" s="22" t="s">
        <v>99</v>
      </c>
      <c r="D26" s="22" t="s">
        <v>323</v>
      </c>
      <c r="E26" s="13">
        <v>42658.254548611112</v>
      </c>
      <c r="F26" s="13">
        <v>42658.257939814815</v>
      </c>
      <c r="G26" s="7">
        <v>1</v>
      </c>
      <c r="H26" s="13" t="s">
        <v>244</v>
      </c>
      <c r="I26" s="13">
        <v>42658.284537037034</v>
      </c>
      <c r="J26" s="7">
        <v>0</v>
      </c>
      <c r="K26" s="112" t="str">
        <f t="shared" si="0"/>
        <v>4043/4044</v>
      </c>
      <c r="L26" s="22" t="str">
        <f>VLOOKUP(A26,'Trips&amp;Operators'!$C$1:$E$10000,3,FALSE)</f>
        <v>MAELZER</v>
      </c>
      <c r="M26" s="6">
        <f t="shared" si="1"/>
        <v>2.6597222218697425E-2</v>
      </c>
      <c r="N26" s="7">
        <f t="shared" si="2"/>
        <v>38.299999994924292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44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05:06:33-0600',mode:absolute,to:'2016-10-15 07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6" s="52" t="str">
        <f t="shared" si="6"/>
        <v>N</v>
      </c>
      <c r="X26" s="149">
        <f t="shared" si="7"/>
        <v>1</v>
      </c>
      <c r="Y26" s="67">
        <f t="shared" si="8"/>
        <v>23.3002</v>
      </c>
      <c r="Z26" s="67">
        <f t="shared" si="9"/>
        <v>1.49E-2</v>
      </c>
      <c r="AA26" s="67">
        <f t="shared" si="10"/>
        <v>23.285299999999999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0114-15</v>
      </c>
      <c r="AE26" s="91" t="str">
        <f t="shared" si="12"/>
        <v>aws s3 cp s3://rtdc.mdm.uploadarchive.raw/RTDC4043/ "%USERPROFILE%\AppData\Local\Temp\OnboardLogs"\RTDC4043\2016-10-15 --exclude "*" --recursive --include "*20161015*" &amp; "%USERPROFILE%\Documents\GitHub\mrs-test-scripts\Headless Mode &amp; Sideloading\WalkAndUnGZ.bat" "%USERPROFILE%\AppData\Local\Temp\OnboardLogs"\RTDC4043\2016-10-15 &amp; 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</v>
      </c>
      <c r="AF26" s="88" t="str">
        <f t="shared" si="13"/>
        <v>"C:\Program Files (x86)\AstroGrep\AstroGrep.exe" /spath="%USERPROFILE%\AppData\Local\Temp\OnboardLogs" /stypes="app*4043*20161015*"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114-15 --locoid 4043 --swversion DE.1.0.7.0 --startMP 204:233002 --initTime 2016-10-15T06:06:33 --startdatetime 2016-10-15T06:11:26 --delay 1 --endMP 204:149 --enddatetime 2016-10-15T06:49:44 --enforcementcount 0 &gt;&gt;C:\Users\stu\Documents\GitHub\eaglep3-reporting\EC\2016-10-15-refined-times.txt</v>
      </c>
      <c r="AI26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{"issue":{"subject":"","project_id":79,"tracker_id":40,"status_id":1,"priority_id":2,"assigned_to_id":23,"start_date":"2016-10-15","description":"","custom_fields":[{"id":1,"name":"Subdivision","value":"EC"},{"id":4,"name":"Milepost","value":"0.0149"},{"id":17,"name":"Train ID","value":"114-15"},{"id":16,"name":"Locomotive ID","value":"4043"},{"id":130,"name":"Impact","value":""},{"id":150,"name":"Time of Event (Mountain Time)","value":"06:49:44"},{"id":151,"name":"Denver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428</v>
      </c>
      <c r="B27" s="7">
        <v>4053</v>
      </c>
      <c r="C27" s="22" t="s">
        <v>99</v>
      </c>
      <c r="D27" s="22" t="s">
        <v>312</v>
      </c>
      <c r="E27" s="13">
        <v>42658.224479166667</v>
      </c>
      <c r="F27" s="13">
        <v>42658.229664351849</v>
      </c>
      <c r="G27" s="7">
        <v>2</v>
      </c>
      <c r="H27" s="13" t="s">
        <v>231</v>
      </c>
      <c r="I27" s="13">
        <v>42658.256574074076</v>
      </c>
      <c r="J27" s="7">
        <v>0</v>
      </c>
      <c r="K27" s="112" t="str">
        <f t="shared" si="0"/>
        <v>4053/4054</v>
      </c>
      <c r="L27" s="22" t="str">
        <f>VLOOKUP(A27,'Trips&amp;Operators'!$C$1:$E$10000,3,FALSE)</f>
        <v>STRICKLAND</v>
      </c>
      <c r="M27" s="6">
        <f t="shared" si="1"/>
        <v>2.6909722226264421E-2</v>
      </c>
      <c r="N27" s="7">
        <f t="shared" si="2"/>
        <v>38.750000005820766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44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04:23:15-0600',mode:absolute,to:'2016-10-15 07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7" s="52" t="str">
        <f t="shared" si="6"/>
        <v>N</v>
      </c>
      <c r="X27" s="149">
        <f t="shared" si="7"/>
        <v>1</v>
      </c>
      <c r="Y27" s="67">
        <f t="shared" si="8"/>
        <v>7.6600000000000001E-2</v>
      </c>
      <c r="Z27" s="67">
        <f t="shared" si="9"/>
        <v>23.331399999999999</v>
      </c>
      <c r="AA27" s="67">
        <f t="shared" si="10"/>
        <v>23.254799999999999</v>
      </c>
      <c r="AB27" s="64" t="str">
        <f>VLOOKUP(A27,Enforcements!$C$7:$K$21,8,0)</f>
        <v>Speed (6)</v>
      </c>
      <c r="AC27" s="60" t="str">
        <f>VLOOKUP(A27,Enforcements!$C$7:$E$21,3,0)</f>
        <v>PERMANENT SPEED RESTRICTION</v>
      </c>
      <c r="AD27" s="61" t="str">
        <f t="shared" si="11"/>
        <v>0115-15</v>
      </c>
      <c r="AE27" s="91" t="str">
        <f t="shared" si="12"/>
        <v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v>
      </c>
      <c r="AF27" s="88" t="str">
        <f t="shared" si="13"/>
        <v>"C:\Program Files (x86)\AstroGrep\AstroGrep.exe" /spath="%USERPROFILE%\AppData\Local\Temp\OnboardLogs" /stypes="app*4053*20161015*"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115-15 --locoid 4053 --swversion DE.1.0.7.0 --startMP 204:766 --initTime 2016-10-15T05:23:15 --startdatetime 2016-10-15T05:30:43 --delay 2 --endMP 204:233314 --enddatetime 2016-10-15T06:09:28 --enforcementcount 0 &gt;&gt;C:\Users\stu\Documents\GitHub\eaglep3-reporting\EC\2016-10-15-refined-times.txt</v>
      </c>
      <c r="AI27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{"issue":{"subject":"","project_id":79,"tracker_id":40,"status_id":1,"priority_id":2,"assigned_to_id":23,"start_date":"2016-10-15","description":"","custom_fields":[{"id":1,"name":"Subdivision","value":"EC"},{"id":4,"name":"Milepost","value":"23.3314"},{"id":17,"name":"Train ID","value":"115-15"},{"id":16,"name":"Locomotive ID","value":"4053"},{"id":130,"name":"Impact","value":""},{"id":150,"name":"Time of Event (Mountain Time)","value":"06:09:28"},{"id":151,"name":"Denver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479</v>
      </c>
      <c r="B28" s="7">
        <v>4054</v>
      </c>
      <c r="C28" s="22" t="s">
        <v>99</v>
      </c>
      <c r="D28" s="22" t="s">
        <v>248</v>
      </c>
      <c r="E28" s="13">
        <v>42658.264814814815</v>
      </c>
      <c r="F28" s="13">
        <v>42658.268310185187</v>
      </c>
      <c r="G28" s="7">
        <v>1</v>
      </c>
      <c r="H28" s="13" t="s">
        <v>246</v>
      </c>
      <c r="I28" s="13">
        <v>42658.296736111108</v>
      </c>
      <c r="J28" s="7">
        <v>0</v>
      </c>
      <c r="K28" s="112" t="str">
        <f t="shared" si="0"/>
        <v>4053/4054</v>
      </c>
      <c r="L28" s="22" t="str">
        <f>VLOOKUP(A28,'Trips&amp;Operators'!$C$1:$E$10000,3,FALSE)</f>
        <v>STRICKLAND</v>
      </c>
      <c r="M28" s="6">
        <f t="shared" si="1"/>
        <v>2.8425925920601003E-2</v>
      </c>
      <c r="N28" s="7">
        <f t="shared" si="2"/>
        <v>40.933333325665444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44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05:21:20-0600',mode:absolute,to:'2016-10-15 08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8" s="52" t="str">
        <f t="shared" si="6"/>
        <v>N</v>
      </c>
      <c r="X28" s="149">
        <f t="shared" si="7"/>
        <v>1</v>
      </c>
      <c r="Y28" s="67">
        <f t="shared" si="8"/>
        <v>23.298999999999999</v>
      </c>
      <c r="Z28" s="67">
        <f t="shared" si="9"/>
        <v>1.43E-2</v>
      </c>
      <c r="AA28" s="67">
        <f t="shared" si="10"/>
        <v>23.284700000000001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0116-15</v>
      </c>
      <c r="AE28" s="91" t="str">
        <f t="shared" si="12"/>
        <v>aws s3 cp s3://rtdc.mdm.uploadarchive.raw/RTDC4054/ "%USERPROFILE%\AppData\Local\Temp\OnboardLogs"\RTDC4054\2016-10-15 --exclude "*" --recursive --include "*20161015*" &amp; "%USERPROFILE%\Documents\GitHub\mrs-test-scripts\Headless Mode &amp; Sideloading\WalkAndUnGZ.bat" "%USERPROFILE%\AppData\Local\Temp\OnboardLogs"\RTDC4054\2016-10-15 &amp; aws s3 cp s3://rtdc.mdm.uploadarchive.raw/RTDC4054/ "%USERPROFILE%\AppData\Local\Temp\OnboardLogs"\RTDC4054\2016-10-16 --exclude "*" --recursive --include "*20161016*" &amp; "%USERPROFILE%\Documents\GitHub\mrs-test-scripts\Headless Mode &amp; Sideloading\WalkAndUnGZ.bat" "%USERPROFILE%\AppData\Local\Temp\OnboardLogs"\RTDC4054\2016-10-16</v>
      </c>
      <c r="AF28" s="88" t="str">
        <f t="shared" si="13"/>
        <v>"C:\Program Files (x86)\AstroGrep\AstroGrep.exe" /spath="%USERPROFILE%\AppData\Local\Temp\OnboardLogs" /stypes="app*4054*20161015*"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116-15 --locoid 4054 --swversion DE.1.0.7.0 --startMP 204:232990 --initTime 2016-10-15T06:21:20 --startdatetime 2016-10-15T06:26:22 --delay 1 --endMP 204:143 --enddatetime 2016-10-15T07:07:18 --enforcementcount 0 &gt;&gt;C:\Users\stu\Documents\GitHub\eaglep3-reporting\EC\2016-10-15-refined-times.txt</v>
      </c>
      <c r="AI28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{"issue":{"subject":"","project_id":79,"tracker_id":40,"status_id":1,"priority_id":2,"assigned_to_id":23,"start_date":"2016-10-15","description":"","custom_fields":[{"id":1,"name":"Subdivision","value":"EC"},{"id":4,"name":"Milepost","value":"0.0143"},{"id":17,"name":"Train ID","value":"116-15"},{"id":16,"name":"Locomotive ID","value":"4054"},{"id":130,"name":"Impact","value":""},{"id":150,"name":"Time of Event (Mountain Time)","value":"07:07:18"},{"id":151,"name":"Denver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472</v>
      </c>
      <c r="B29" s="7">
        <v>4038</v>
      </c>
      <c r="C29" s="22" t="s">
        <v>99</v>
      </c>
      <c r="D29" s="22" t="s">
        <v>636</v>
      </c>
      <c r="E29" s="13">
        <v>42658.237129629626</v>
      </c>
      <c r="F29" s="13">
        <v>42658.23982638889</v>
      </c>
      <c r="G29" s="7">
        <v>1</v>
      </c>
      <c r="H29" s="13" t="s">
        <v>281</v>
      </c>
      <c r="I29" s="13">
        <v>42658.264999999999</v>
      </c>
      <c r="J29" s="7">
        <v>0</v>
      </c>
      <c r="K29" s="112" t="str">
        <f t="shared" si="0"/>
        <v>4037/4038</v>
      </c>
      <c r="L29" s="22" t="str">
        <f>VLOOKUP(A29,'Trips&amp;Operators'!$C$1:$E$10000,3,FALSE)</f>
        <v>MALAVE</v>
      </c>
      <c r="M29" s="6">
        <f t="shared" si="1"/>
        <v>2.5173611109494232E-2</v>
      </c>
      <c r="N29" s="7">
        <f t="shared" si="2"/>
        <v>36.249999997671694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44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04:41:28-0600',mode:absolute,to:'2016-10-15 07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9" s="52" t="str">
        <f t="shared" si="6"/>
        <v>N</v>
      </c>
      <c r="X29" s="149">
        <f t="shared" si="7"/>
        <v>1</v>
      </c>
      <c r="Y29" s="67">
        <f t="shared" si="8"/>
        <v>4.3299999999999998E-2</v>
      </c>
      <c r="Z29" s="67">
        <f t="shared" si="9"/>
        <v>23.3291</v>
      </c>
      <c r="AA29" s="67">
        <f t="shared" si="10"/>
        <v>23.285800000000002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0117-15</v>
      </c>
      <c r="AE29" s="91" t="str">
        <f t="shared" si="12"/>
        <v>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 &amp; aws s3 cp s3://rtdc.mdm.uploadarchive.raw/RTDC4038/ "%USERPROFILE%\AppData\Local\Temp\OnboardLogs"\RTDC4038\2016-10-16 --exclude "*" --recursive --include "*20161016*" &amp; "%USERPROFILE%\Documents\GitHub\mrs-test-scripts\Headless Mode &amp; Sideloading\WalkAndUnGZ.bat" "%USERPROFILE%\AppData\Local\Temp\OnboardLogs"\RTDC4038\2016-10-16</v>
      </c>
      <c r="AF29" s="88" t="str">
        <f t="shared" si="13"/>
        <v>"C:\Program Files (x86)\AstroGrep\AstroGrep.exe" /spath="%USERPROFILE%\AppData\Local\Temp\OnboardLogs" /stypes="app*4038*20161015*"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117-15 --locoid 4038 --swversion DE.1.0.7.0 --startMP 204:433 --initTime 2016-10-15T05:41:28 --startdatetime 2016-10-15T05:45:21 --delay 1 --endMP 204:233291 --enddatetime 2016-10-15T06:21:36 --enforcementcount 0 &gt;&gt;C:\Users\stu\Documents\GitHub\eaglep3-reporting\EC\2016-10-15-refined-times.txt</v>
      </c>
      <c r="AI29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{"issue":{"subject":"","project_id":79,"tracker_id":40,"status_id":1,"priority_id":2,"assigned_to_id":23,"start_date":"2016-10-15","description":"","custom_fields":[{"id":1,"name":"Subdivision","value":"EC"},{"id":4,"name":"Milepost","value":"23.3291"},{"id":17,"name":"Train ID","value":"117-15"},{"id":16,"name":"Locomotive ID","value":"4038"},{"id":130,"name":"Impact","value":""},{"id":150,"name":"Time of Event (Mountain Time)","value":"06:21:36"},{"id":151,"name":"Denver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481</v>
      </c>
      <c r="B30" s="7">
        <v>4037</v>
      </c>
      <c r="C30" s="22" t="s">
        <v>99</v>
      </c>
      <c r="D30" s="22" t="s">
        <v>412</v>
      </c>
      <c r="E30" s="13">
        <v>42658.277511574073</v>
      </c>
      <c r="F30" s="13">
        <v>42658.279502314814</v>
      </c>
      <c r="G30" s="7">
        <v>1</v>
      </c>
      <c r="H30" s="13" t="s">
        <v>240</v>
      </c>
      <c r="I30" s="13">
        <v>42658.306944444441</v>
      </c>
      <c r="J30" s="7">
        <v>0</v>
      </c>
      <c r="K30" s="112" t="str">
        <f t="shared" si="0"/>
        <v>4037/4038</v>
      </c>
      <c r="L30" s="22" t="str">
        <f>VLOOKUP(A30,'Trips&amp;Operators'!$C$1:$E$10000,3,FALSE)</f>
        <v>MALAVE</v>
      </c>
      <c r="M30" s="6">
        <f t="shared" si="1"/>
        <v>2.7442129627161194E-2</v>
      </c>
      <c r="N30" s="7">
        <f t="shared" si="2"/>
        <v>39.516666663112119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44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05:39:37-0600',mode:absolute,to:'2016-10-15 08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0" s="52" t="str">
        <f t="shared" si="6"/>
        <v>N</v>
      </c>
      <c r="X30" s="149">
        <f t="shared" si="7"/>
        <v>1</v>
      </c>
      <c r="Y30" s="67">
        <f t="shared" si="8"/>
        <v>23.296199999999999</v>
      </c>
      <c r="Z30" s="67">
        <f t="shared" si="9"/>
        <v>1.61E-2</v>
      </c>
      <c r="AA30" s="67">
        <f t="shared" si="10"/>
        <v>23.280099999999997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0118-15</v>
      </c>
      <c r="AE30" s="91" t="str">
        <f t="shared" si="12"/>
        <v>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 &amp; aws s3 cp s3://rtdc.mdm.uploadarchive.raw/RTDC4037/ "%USERPROFILE%\AppData\Local\Temp\OnboardLogs"\RTDC4037\2016-10-16 --exclude "*" --recursive --include "*20161016*" &amp; "%USERPROFILE%\Documents\GitHub\mrs-test-scripts\Headless Mode &amp; Sideloading\WalkAndUnGZ.bat" "%USERPROFILE%\AppData\Local\Temp\OnboardLogs"\RTDC4037\2016-10-16</v>
      </c>
      <c r="AF30" s="88" t="str">
        <f t="shared" si="13"/>
        <v>"C:\Program Files (x86)\AstroGrep\AstroGrep.exe" /spath="%USERPROFILE%\AppData\Local\Temp\OnboardLogs" /stypes="app*4037*20161015*"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118-15 --locoid 4037 --swversion DE.1.0.7.0 --startMP 204:232962 --initTime 2016-10-15T06:39:37 --startdatetime 2016-10-15T06:42:29 --delay 1 --endMP 204:161 --enddatetime 2016-10-15T07:22:00 --enforcementcount 0 &gt;&gt;C:\Users\stu\Documents\GitHub\eaglep3-reporting\EC\2016-10-15-refined-times.txt</v>
      </c>
      <c r="AI30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{"issue":{"subject":"","project_id":79,"tracker_id":40,"status_id":1,"priority_id":2,"assigned_to_id":23,"start_date":"2016-10-15","description":"","custom_fields":[{"id":1,"name":"Subdivision","value":"EC"},{"id":4,"name":"Milepost","value":"0.0161"},{"id":17,"name":"Train ID","value":"118-15"},{"id":16,"name":"Locomotive ID","value":"4037"},{"id":130,"name":"Impact","value":""},{"id":150,"name":"Time of Event (Mountain Time)","value":"07:22:00"},{"id":151,"name":"Denver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474</v>
      </c>
      <c r="B31" s="7">
        <v>4003</v>
      </c>
      <c r="C31" s="22" t="s">
        <v>99</v>
      </c>
      <c r="D31" s="22" t="s">
        <v>315</v>
      </c>
      <c r="E31" s="13">
        <v>42658.245706018519</v>
      </c>
      <c r="F31" s="13">
        <v>42658.250405092593</v>
      </c>
      <c r="G31" s="7">
        <v>1</v>
      </c>
      <c r="H31" s="13" t="s">
        <v>250</v>
      </c>
      <c r="I31" s="13">
        <v>42658.274768518517</v>
      </c>
      <c r="J31" s="7">
        <v>0</v>
      </c>
      <c r="K31" s="112" t="str">
        <f t="shared" si="0"/>
        <v>4003/4004</v>
      </c>
      <c r="L31" s="22" t="str">
        <f>VLOOKUP(A31,'Trips&amp;Operators'!$C$1:$E$10000,3,FALSE)</f>
        <v>SANTIZO</v>
      </c>
      <c r="M31" s="6">
        <f t="shared" si="1"/>
        <v>2.4363425924093463E-2</v>
      </c>
      <c r="N31" s="7">
        <f t="shared" si="2"/>
        <v>35.083333330694586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44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04:53:49-0600',mode:absolute,to:'2016-10-15 07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1" s="52" t="str">
        <f t="shared" si="6"/>
        <v>N</v>
      </c>
      <c r="X31" s="149">
        <f t="shared" si="7"/>
        <v>1</v>
      </c>
      <c r="Y31" s="67">
        <f t="shared" si="8"/>
        <v>7.4800000000000005E-2</v>
      </c>
      <c r="Z31" s="67">
        <f t="shared" si="9"/>
        <v>23.3276</v>
      </c>
      <c r="AA31" s="67">
        <f t="shared" si="10"/>
        <v>23.252800000000001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0119-15</v>
      </c>
      <c r="AE31" s="91" t="str">
        <f t="shared" si="12"/>
        <v>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 &amp; aws s3 cp s3://rtdc.mdm.uploadarchive.raw/RTDC4003/ "%USERPROFILE%\AppData\Local\Temp\OnboardLogs"\RTDC4003\2016-10-16 --exclude "*" --recursive --include "*20161016*" &amp; "%USERPROFILE%\Documents\GitHub\mrs-test-scripts\Headless Mode &amp; Sideloading\WalkAndUnGZ.bat" "%USERPROFILE%\AppData\Local\Temp\OnboardLogs"\RTDC4003\2016-10-16</v>
      </c>
      <c r="AF31" s="88" t="str">
        <f t="shared" si="13"/>
        <v>"C:\Program Files (x86)\AstroGrep\AstroGrep.exe" /spath="%USERPROFILE%\AppData\Local\Temp\OnboardLogs" /stypes="app*4003*20161015*"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119-15 --locoid 4003 --swversion DE.1.0.7.0 --startMP 204:748 --initTime 2016-10-15T05:53:49 --startdatetime 2016-10-15T06:00:35 --delay 1 --endMP 204:233276 --enddatetime 2016-10-15T06:35:40 --enforcementcount 0 &gt;&gt;C:\Users\stu\Documents\GitHub\eaglep3-reporting\EC\2016-10-15-refined-times.txt</v>
      </c>
      <c r="AI31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{"issue":{"subject":"","project_id":79,"tracker_id":40,"status_id":1,"priority_id":2,"assigned_to_id":23,"start_date":"2016-10-15","description":"","custom_fields":[{"id":1,"name":"Subdivision","value":"EC"},{"id":4,"name":"Milepost","value":"23.3276"},{"id":17,"name":"Train ID","value":"119-15"},{"id":16,"name":"Locomotive ID","value":"4003"},{"id":130,"name":"Impact","value":""},{"id":150,"name":"Time of Event (Mountain Time)","value":"06:35:40"},{"id":151,"name":"Denver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430</v>
      </c>
      <c r="B32" s="7">
        <v>4004</v>
      </c>
      <c r="C32" s="22" t="s">
        <v>99</v>
      </c>
      <c r="D32" s="22" t="s">
        <v>637</v>
      </c>
      <c r="E32" s="13">
        <v>42658.276423611111</v>
      </c>
      <c r="F32" s="13">
        <v>42658.289097222223</v>
      </c>
      <c r="G32" s="7">
        <v>1</v>
      </c>
      <c r="H32" s="13" t="s">
        <v>177</v>
      </c>
      <c r="I32" s="13">
        <v>42658.32340277778</v>
      </c>
      <c r="J32" s="7">
        <v>0</v>
      </c>
      <c r="K32" s="112" t="str">
        <f t="shared" si="0"/>
        <v>4003/4004</v>
      </c>
      <c r="L32" s="22" t="str">
        <f>VLOOKUP(A32,'Trips&amp;Operators'!$C$1:$E$10000,3,FALSE)</f>
        <v>SANTIZO</v>
      </c>
      <c r="M32" s="6">
        <f t="shared" si="1"/>
        <v>3.4305555556784384E-2</v>
      </c>
      <c r="N32" s="7">
        <f t="shared" si="2"/>
        <v>49.400000001769513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44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05:38:03-0600',mode:absolute,to:'2016-10-15 08:45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2" s="52" t="str">
        <f t="shared" si="6"/>
        <v>N</v>
      </c>
      <c r="X32" s="149">
        <f t="shared" si="7"/>
        <v>1</v>
      </c>
      <c r="Y32" s="67">
        <f t="shared" si="8"/>
        <v>23.296900000000001</v>
      </c>
      <c r="Z32" s="67">
        <f t="shared" si="9"/>
        <v>1.52E-2</v>
      </c>
      <c r="AA32" s="67">
        <f t="shared" si="10"/>
        <v>23.281700000000001</v>
      </c>
      <c r="AB32" s="64" t="str">
        <f>VLOOKUP(A32,Enforcements!$C$7:$K$21,8,0)</f>
        <v>Form based authority (4)</v>
      </c>
      <c r="AC32" s="60" t="str">
        <f>VLOOKUP(A32,Enforcements!$C$7:$E$21,3,0)</f>
        <v>TRACK WARRANT AUTHORITY</v>
      </c>
      <c r="AD32" s="61" t="str">
        <f t="shared" si="11"/>
        <v>0120-15</v>
      </c>
      <c r="AE32" s="91" t="str">
        <f t="shared" si="12"/>
        <v>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 &amp; aws s3 cp s3://rtdc.mdm.uploadarchive.raw/RTDC4004/ "%USERPROFILE%\AppData\Local\Temp\OnboardLogs"\RTDC4004\2016-10-16 --exclude "*" --recursive --include "*20161016*" &amp; "%USERPROFILE%\Documents\GitHub\mrs-test-scripts\Headless Mode &amp; Sideloading\WalkAndUnGZ.bat" "%USERPROFILE%\AppData\Local\Temp\OnboardLogs"\RTDC4004\2016-10-16</v>
      </c>
      <c r="AF32" s="88" t="str">
        <f t="shared" si="13"/>
        <v>"C:\Program Files (x86)\AstroGrep\AstroGrep.exe" /spath="%USERPROFILE%\AppData\Local\Temp\OnboardLogs" /stypes="app*4004*20161015*"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120-15 --locoid 4004 --swversion DE.1.0.7.0 --startMP 204:232969 --initTime 2016-10-15T06:38:03 --startdatetime 2016-10-15T06:56:18 --delay 1 --endMP 204:152 --enddatetime 2016-10-15T07:45:42 --enforcementcount 0 &gt;&gt;C:\Users\stu\Documents\GitHub\eaglep3-reporting\EC\2016-10-15-refined-times.txt</v>
      </c>
      <c r="AI32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{"issue":{"subject":"","project_id":79,"tracker_id":40,"status_id":1,"priority_id":2,"assigned_to_id":23,"start_date":"2016-10-15","description":"","custom_fields":[{"id":1,"name":"Subdivision","value":"EC"},{"id":4,"name":"Milepost","value":"0.0152"},{"id":17,"name":"Train ID","value":"120-15"},{"id":16,"name":"Locomotive ID","value":"4004"},{"id":130,"name":"Impact","value":""},{"id":150,"name":"Time of Event (Mountain Time)","value":"07:45:42"},{"id":151,"name":"Denver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477</v>
      </c>
      <c r="B33" s="7">
        <v>4016</v>
      </c>
      <c r="C33" s="22" t="s">
        <v>99</v>
      </c>
      <c r="D33" s="22" t="s">
        <v>283</v>
      </c>
      <c r="E33" s="13">
        <v>42658.257557870369</v>
      </c>
      <c r="F33" s="13">
        <v>42658.260613425926</v>
      </c>
      <c r="G33" s="7">
        <v>1</v>
      </c>
      <c r="H33" s="13" t="s">
        <v>278</v>
      </c>
      <c r="I33" s="13">
        <v>42658.287604166668</v>
      </c>
      <c r="J33" s="7">
        <v>0</v>
      </c>
      <c r="K33" s="112" t="str">
        <f t="shared" si="0"/>
        <v>4015/4016</v>
      </c>
      <c r="L33" s="22" t="str">
        <f>VLOOKUP(A33,'Trips&amp;Operators'!$C$1:$E$10000,3,FALSE)</f>
        <v>DAVIS</v>
      </c>
      <c r="M33" s="6">
        <f t="shared" si="1"/>
        <v>2.6990740741894115E-2</v>
      </c>
      <c r="N33" s="7">
        <f t="shared" si="2"/>
        <v>38.866666668327525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44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05:10:53-0600',mode:absolute,to:'2016-10-15 07:54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3" s="52" t="str">
        <f t="shared" si="6"/>
        <v>N</v>
      </c>
      <c r="X33" s="149">
        <f t="shared" si="7"/>
        <v>1</v>
      </c>
      <c r="Y33" s="67">
        <f t="shared" si="8"/>
        <v>4.6899999999999997E-2</v>
      </c>
      <c r="Z33" s="67">
        <f t="shared" si="9"/>
        <v>23.3306</v>
      </c>
      <c r="AA33" s="67">
        <f t="shared" si="10"/>
        <v>23.2837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0121-15</v>
      </c>
      <c r="AE33" s="91" t="str">
        <f t="shared" si="12"/>
        <v>aws s3 cp s3://rtdc.mdm.uploadarchive.raw/RTDC4016/ "%USERPROFILE%\AppData\Local\Temp\OnboardLogs"\RTDC4016\2016-10-15 --exclude "*" --recursive --include "*20161015*" &amp; "%USERPROFILE%\Documents\GitHub\mrs-test-scripts\Headless Mode &amp; Sideloading\WalkAndUnGZ.bat" "%USERPROFILE%\AppData\Local\Temp\OnboardLogs"\RTDC4016\2016-10-15 &amp; aws s3 cp s3://rtdc.mdm.uploadarchive.raw/RTDC4016/ "%USERPROFILE%\AppData\Local\Temp\OnboardLogs"\RTDC4016\2016-10-16 --exclude "*" --recursive --include "*20161016*" &amp; "%USERPROFILE%\Documents\GitHub\mrs-test-scripts\Headless Mode &amp; Sideloading\WalkAndUnGZ.bat" "%USERPROFILE%\AppData\Local\Temp\OnboardLogs"\RTDC4016\2016-10-16</v>
      </c>
      <c r="AF33" s="88" t="str">
        <f t="shared" si="13"/>
        <v>"C:\Program Files (x86)\AstroGrep\AstroGrep.exe" /spath="%USERPROFILE%\AppData\Local\Temp\OnboardLogs" /stypes="app*4016*20161015*"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121-15 --locoid 4016 --swversion DE.1.0.7.0 --startMP 204:469 --initTime 2016-10-15T06:10:53 --startdatetime 2016-10-15T06:15:17 --delay 1 --endMP 204:233306 --enddatetime 2016-10-15T06:54:09 --enforcementcount 0 &gt;&gt;C:\Users\stu\Documents\GitHub\eaglep3-reporting\EC\2016-10-15-refined-times.txt</v>
      </c>
      <c r="AI33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{"issue":{"subject":"","project_id":79,"tracker_id":40,"status_id":1,"priority_id":2,"assigned_to_id":23,"start_date":"2016-10-15","description":"","custom_fields":[{"id":1,"name":"Subdivision","value":"EC"},{"id":4,"name":"Milepost","value":"23.3306"},{"id":17,"name":"Train ID","value":"121-15"},{"id":16,"name":"Locomotive ID","value":"4016"},{"id":130,"name":"Impact","value":""},{"id":150,"name":"Time of Event (Mountain Time)","value":"06:54:09"},{"id":151,"name":"Denver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487</v>
      </c>
      <c r="B34" s="7">
        <v>4015</v>
      </c>
      <c r="C34" s="22" t="s">
        <v>99</v>
      </c>
      <c r="D34" s="22" t="s">
        <v>239</v>
      </c>
      <c r="E34" s="13">
        <v>42658.29960648148</v>
      </c>
      <c r="F34" s="13">
        <v>42658.30096064815</v>
      </c>
      <c r="G34" s="7">
        <v>1</v>
      </c>
      <c r="H34" s="13" t="s">
        <v>241</v>
      </c>
      <c r="I34" s="13">
        <v>42658.33084490741</v>
      </c>
      <c r="J34" s="7">
        <v>0</v>
      </c>
      <c r="K34" s="112" t="str">
        <f t="shared" si="0"/>
        <v>4015/4016</v>
      </c>
      <c r="L34" s="22" t="str">
        <f>VLOOKUP(A34,'Trips&amp;Operators'!$C$1:$E$10000,3,FALSE)</f>
        <v>DAVIS</v>
      </c>
      <c r="M34" s="6">
        <f t="shared" si="1"/>
        <v>2.9884259260143153E-2</v>
      </c>
      <c r="N34" s="7">
        <f t="shared" si="2"/>
        <v>43.033333334606141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44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06:11:26-0600',mode:absolute,to:'2016-10-15 08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4" s="52" t="str">
        <f t="shared" si="6"/>
        <v>N</v>
      </c>
      <c r="X34" s="149">
        <f t="shared" si="7"/>
        <v>1</v>
      </c>
      <c r="Y34" s="67">
        <f t="shared" si="8"/>
        <v>23.298500000000001</v>
      </c>
      <c r="Z34" s="67">
        <f t="shared" si="9"/>
        <v>1.54E-2</v>
      </c>
      <c r="AA34" s="67">
        <f t="shared" si="10"/>
        <v>23.283100000000001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0122-15</v>
      </c>
      <c r="AE34" s="91" t="str">
        <f t="shared" si="12"/>
        <v>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 &amp; aws s3 cp s3://rtdc.mdm.uploadarchive.raw/RTDC4015/ "%USERPROFILE%\AppData\Local\Temp\OnboardLogs"\RTDC4015\2016-10-16 --exclude "*" --recursive --include "*20161016*" &amp; "%USERPROFILE%\Documents\GitHub\mrs-test-scripts\Headless Mode &amp; Sideloading\WalkAndUnGZ.bat" "%USERPROFILE%\AppData\Local\Temp\OnboardLogs"\RTDC4015\2016-10-16</v>
      </c>
      <c r="AF34" s="88" t="str">
        <f t="shared" si="13"/>
        <v>"C:\Program Files (x86)\AstroGrep\AstroGrep.exe" /spath="%USERPROFILE%\AppData\Local\Temp\OnboardLogs" /stypes="app*4015*20161015*"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122-15 --locoid 4015 --swversion DE.1.0.7.0 --startMP 204:232985 --initTime 2016-10-15T07:11:26 --startdatetime 2016-10-15T07:13:23 --delay 1 --endMP 204:154 --enddatetime 2016-10-15T07:56:25 --enforcementcount 0 &gt;&gt;C:\Users\stu\Documents\GitHub\eaglep3-reporting\EC\2016-10-15-refined-times.txt</v>
      </c>
      <c r="AI34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{"issue":{"subject":"","project_id":79,"tracker_id":40,"status_id":1,"priority_id":2,"assigned_to_id":23,"start_date":"2016-10-15","description":"","custom_fields":[{"id":1,"name":"Subdivision","value":"EC"},{"id":4,"name":"Milepost","value":"0.0154"},{"id":17,"name":"Train ID","value":"122-15"},{"id":16,"name":"Locomotive ID","value":"4015"},{"id":130,"name":"Impact","value":""},{"id":150,"name":"Time of Event (Mountain Time)","value":"07:56:25"},{"id":151,"name":"Denver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429</v>
      </c>
      <c r="B35" s="7">
        <v>4011</v>
      </c>
      <c r="C35" s="22" t="s">
        <v>99</v>
      </c>
      <c r="D35" s="22" t="s">
        <v>265</v>
      </c>
      <c r="E35" s="13">
        <v>42658.26525462963</v>
      </c>
      <c r="F35" s="13">
        <v>42658.271018518521</v>
      </c>
      <c r="G35" s="7">
        <v>1</v>
      </c>
      <c r="H35" s="13" t="s">
        <v>638</v>
      </c>
      <c r="I35" s="13">
        <v>42658.291990740741</v>
      </c>
      <c r="J35" s="7">
        <v>0</v>
      </c>
      <c r="K35" s="112" t="str">
        <f t="shared" si="0"/>
        <v>4011/4012</v>
      </c>
      <c r="L35" s="22" t="str">
        <f>VLOOKUP(A35,'Trips&amp;Operators'!$C$1:$E$10000,3,FALSE)</f>
        <v>KILLION</v>
      </c>
      <c r="M35" s="6">
        <f t="shared" si="1"/>
        <v>2.0972222220734693E-2</v>
      </c>
      <c r="N35" s="7"/>
      <c r="O35" s="7"/>
      <c r="P35" s="7">
        <f t="shared" si="2"/>
        <v>30.199999997857958</v>
      </c>
      <c r="Q35" s="23"/>
      <c r="R35" s="23" t="s">
        <v>746</v>
      </c>
      <c r="S35" s="35">
        <f t="shared" si="3"/>
        <v>1</v>
      </c>
      <c r="T35" s="50" t="str">
        <f t="shared" si="4"/>
        <v>NorthBound</v>
      </c>
      <c r="U35" s="144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05:21:58-0600',mode:absolute,to:'2016-10-15 08:00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5" s="52" t="str">
        <f t="shared" si="6"/>
        <v>Y</v>
      </c>
      <c r="X35" s="149">
        <f t="shared" si="7"/>
        <v>1</v>
      </c>
      <c r="Y35" s="67">
        <f t="shared" si="8"/>
        <v>4.6199999999999998E-2</v>
      </c>
      <c r="Z35" s="67">
        <f t="shared" si="9"/>
        <v>13.8581</v>
      </c>
      <c r="AA35" s="67">
        <f t="shared" si="10"/>
        <v>13.8119</v>
      </c>
      <c r="AB35" s="64" t="str">
        <f>VLOOKUP(A35,Enforcements!$C$7:$K$21,8,0)</f>
        <v>Signal based authority (5)</v>
      </c>
      <c r="AC35" s="60" t="str">
        <f>VLOOKUP(A35,Enforcements!$C$7:$E$21,3,0)</f>
        <v>SIGNAL</v>
      </c>
      <c r="AD35" s="61" t="str">
        <f t="shared" si="11"/>
        <v>0123-15</v>
      </c>
      <c r="AE35" s="91" t="str">
        <f t="shared" si="12"/>
        <v>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 &amp; aws s3 cp s3://rtdc.mdm.uploadarchive.raw/RTDC4011/ "%USERPROFILE%\AppData\Local\Temp\OnboardLogs"\RTDC4011\2016-10-16 --exclude "*" --recursive --include "*20161016*" &amp; "%USERPROFILE%\Documents\GitHub\mrs-test-scripts\Headless Mode &amp; Sideloading\WalkAndUnGZ.bat" "%USERPROFILE%\AppData\Local\Temp\OnboardLogs"\RTDC4011\2016-10-16</v>
      </c>
      <c r="AF35" s="88" t="str">
        <f t="shared" si="13"/>
        <v>"C:\Program Files (x86)\AstroGrep\AstroGrep.exe" /spath="%USERPROFILE%\AppData\Local\Temp\OnboardLogs" /stypes="app*4011*20161015*"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123-15 --locoid 4011 --swversion DE.1.0.7.0 --startMP 204:462 --initTime 2016-10-15T06:21:58 --startdatetime 2016-10-15T06:30:16 --delay 1 --endMP 204:138581 --enddatetime 2016-10-15T07:00:28 --enforcementcount 0 &gt;&gt;C:\Users\stu\Documents\GitHub\eaglep3-reporting\EC\2016-10-15-refined-times.txt</v>
      </c>
      <c r="AI35" s="122" t="str">
        <f t="shared" si="18"/>
        <v>echo {"issue":{"subject":"CP 61st Reset","project_id":79,"tracker_id":40,"status_id":1,"priority_id":2,"assigned_to_id":23,"start_date":"2016-10-15","description":"10/15/2016 06:54:52 - 06:57:16 - CP 61st was offline. ELXS reset?","custom_fields":[{"id":1,"name":"Subdivision","value":"EC"},{"id":4,"name":"Milepost","value":"13.8581"},{"id":17,"name":"Train ID","value":"123-15"},{"id":16,"name":"Locomotive ID","value":"4011"},{"id":130,"name":"Impact","value":"Enforcement"},{"id":150,"name":"Time of Event (Mountain Time)","value":"07:00:28"},{"id":151,"name":"Denver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35" s="53" t="s">
        <v>747</v>
      </c>
      <c r="AK35" s="53" t="s">
        <v>126</v>
      </c>
      <c r="AL35" s="53" t="s">
        <v>131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490</v>
      </c>
      <c r="B36" s="7">
        <v>4012</v>
      </c>
      <c r="C36" s="22" t="s">
        <v>99</v>
      </c>
      <c r="D36" s="22" t="s">
        <v>328</v>
      </c>
      <c r="E36" s="13">
        <v>42658.30877314815</v>
      </c>
      <c r="F36" s="13">
        <v>42658.310196759259</v>
      </c>
      <c r="G36" s="7">
        <v>1</v>
      </c>
      <c r="H36" s="13" t="s">
        <v>634</v>
      </c>
      <c r="I36" s="13">
        <v>42658.338391203702</v>
      </c>
      <c r="J36" s="7">
        <v>0</v>
      </c>
      <c r="K36" s="112" t="str">
        <f t="shared" si="0"/>
        <v>4011/4012</v>
      </c>
      <c r="L36" s="22" t="str">
        <f>VLOOKUP(A36,'Trips&amp;Operators'!$C$1:$E$10000,3,FALSE)</f>
        <v>KILLION</v>
      </c>
      <c r="M36" s="6">
        <f t="shared" si="1"/>
        <v>2.8194444443215616E-2</v>
      </c>
      <c r="N36" s="7">
        <f t="shared" si="2"/>
        <v>40.599999998230487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44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06:24:38-0600',mode:absolute,to:'2016-10-15 09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6" s="52" t="str">
        <f t="shared" si="6"/>
        <v>N</v>
      </c>
      <c r="X36" s="149">
        <f t="shared" si="7"/>
        <v>1</v>
      </c>
      <c r="Y36" s="67">
        <f t="shared" si="8"/>
        <v>23.2971</v>
      </c>
      <c r="Z36" s="67">
        <f t="shared" si="9"/>
        <v>1.5599999999999999E-2</v>
      </c>
      <c r="AA36" s="67">
        <f t="shared" si="10"/>
        <v>23.281500000000001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0124-15</v>
      </c>
      <c r="AE36" s="91" t="str">
        <f t="shared" si="12"/>
        <v>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 &amp; aws s3 cp s3://rtdc.mdm.uploadarchive.raw/RTDC4012/ "%USERPROFILE%\AppData\Local\Temp\OnboardLogs"\RTDC4012\2016-10-16 --exclude "*" --recursive --include "*20161016*" &amp; "%USERPROFILE%\Documents\GitHub\mrs-test-scripts\Headless Mode &amp; Sideloading\WalkAndUnGZ.bat" "%USERPROFILE%\AppData\Local\Temp\OnboardLogs"\RTDC4012\2016-10-16</v>
      </c>
      <c r="AF36" s="88" t="str">
        <f t="shared" si="13"/>
        <v>"C:\Program Files (x86)\AstroGrep\AstroGrep.exe" /spath="%USERPROFILE%\AppData\Local\Temp\OnboardLogs" /stypes="app*4012*20161015*"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124-15 --locoid 4012 --swversion DE.1.0.7.0 --startMP 204:232971 --initTime 2016-10-15T07:24:38 --startdatetime 2016-10-15T07:26:41 --delay 1 --endMP 204:156 --enddatetime 2016-10-15T08:07:17 --enforcementcount 0 &gt;&gt;C:\Users\stu\Documents\GitHub\eaglep3-reporting\EC\2016-10-15-refined-times.txt</v>
      </c>
      <c r="AI36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{"issue":{"subject":"","project_id":79,"tracker_id":40,"status_id":1,"priority_id":2,"assigned_to_id":23,"start_date":"2016-10-15","description":"","custom_fields":[{"id":1,"name":"Subdivision","value":"EC"},{"id":4,"name":"Milepost","value":"0.0156"},{"id":17,"name":"Train ID","value":"124-15"},{"id":16,"name":"Locomotive ID","value":"4012"},{"id":130,"name":"Impact","value":""},{"id":150,"name":"Time of Event (Mountain Time)","value":"08:07:17"},{"id":151,"name":"Denver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482</v>
      </c>
      <c r="B37" s="7">
        <v>4020</v>
      </c>
      <c r="C37" s="22" t="s">
        <v>99</v>
      </c>
      <c r="D37" s="22" t="s">
        <v>286</v>
      </c>
      <c r="E37" s="13">
        <v>42658.277824074074</v>
      </c>
      <c r="F37" s="13">
        <v>42658.281539351854</v>
      </c>
      <c r="G37" s="7">
        <v>5</v>
      </c>
      <c r="H37" s="13" t="s">
        <v>279</v>
      </c>
      <c r="I37" s="13">
        <v>42658.310127314813</v>
      </c>
      <c r="J37" s="7">
        <v>0</v>
      </c>
      <c r="K37" s="112" t="str">
        <f t="shared" si="0"/>
        <v>4019/4020</v>
      </c>
      <c r="L37" s="22" t="str">
        <f>VLOOKUP(A37,'Trips&amp;Operators'!$C$1:$E$10000,3,FALSE)</f>
        <v>GEBRETEKLE</v>
      </c>
      <c r="M37" s="6">
        <f t="shared" si="1"/>
        <v>2.8587962959136348E-2</v>
      </c>
      <c r="N37" s="7">
        <f t="shared" si="2"/>
        <v>41.166666661156341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44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05:40:04-0600',mode:absolute,to:'2016-10-15 08:26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7" s="52" t="str">
        <f t="shared" si="6"/>
        <v>N</v>
      </c>
      <c r="X37" s="149">
        <f t="shared" si="7"/>
        <v>1</v>
      </c>
      <c r="Y37" s="67">
        <f t="shared" si="8"/>
        <v>4.5100000000000001E-2</v>
      </c>
      <c r="Z37" s="67">
        <f t="shared" si="9"/>
        <v>23.328900000000001</v>
      </c>
      <c r="AA37" s="67">
        <f t="shared" si="10"/>
        <v>23.283799999999999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0125-15</v>
      </c>
      <c r="AE37" s="91" t="str">
        <f t="shared" si="12"/>
        <v>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 &amp; aws s3 cp s3://rtdc.mdm.uploadarchive.raw/RTDC4020/ "%USERPROFILE%\AppData\Local\Temp\OnboardLogs"\RTDC4020\2016-10-16 --exclude "*" --recursive --include "*20161016*" &amp; "%USERPROFILE%\Documents\GitHub\mrs-test-scripts\Headless Mode &amp; Sideloading\WalkAndUnGZ.bat" "%USERPROFILE%\AppData\Local\Temp\OnboardLogs"\RTDC4020\2016-10-16</v>
      </c>
      <c r="AF37" s="88" t="str">
        <f t="shared" si="13"/>
        <v>"C:\Program Files (x86)\AstroGrep\AstroGrep.exe" /spath="%USERPROFILE%\AppData\Local\Temp\OnboardLogs" /stypes="app*4020*20161015*"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125-15 --locoid 4020 --swversion DE.1.0.7.0 --startMP 204:451 --initTime 2016-10-15T06:40:04 --startdatetime 2016-10-15T06:45:25 --delay 5 --endMP 204:233289 --enddatetime 2016-10-15T07:26:35 --enforcementcount 0 &gt;&gt;C:\Users\stu\Documents\GitHub\eaglep3-reporting\EC\2016-10-15-refined-times.txt</v>
      </c>
      <c r="AI37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{"issue":{"subject":"","project_id":79,"tracker_id":40,"status_id":1,"priority_id":2,"assigned_to_id":23,"start_date":"2016-10-15","description":"","custom_fields":[{"id":1,"name":"Subdivision","value":"EC"},{"id":4,"name":"Milepost","value":"23.3289"},{"id":17,"name":"Train ID","value":"125-15"},{"id":16,"name":"Locomotive ID","value":"4020"},{"id":130,"name":"Impact","value":""},{"id":150,"name":"Time of Event (Mountain Time)","value":"07:26:35"},{"id":151,"name":"Denver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493</v>
      </c>
      <c r="B38" s="7">
        <v>4019</v>
      </c>
      <c r="C38" s="22" t="s">
        <v>99</v>
      </c>
      <c r="D38" s="22" t="s">
        <v>319</v>
      </c>
      <c r="E38" s="13">
        <v>42658.317557870374</v>
      </c>
      <c r="F38" s="13">
        <v>42658.320335648146</v>
      </c>
      <c r="G38" s="7">
        <v>1</v>
      </c>
      <c r="H38" s="13" t="s">
        <v>634</v>
      </c>
      <c r="I38" s="13">
        <v>42658.347395833334</v>
      </c>
      <c r="J38" s="7">
        <v>0</v>
      </c>
      <c r="K38" s="112" t="str">
        <f t="shared" si="0"/>
        <v>4019/4020</v>
      </c>
      <c r="L38" s="22" t="str">
        <f>VLOOKUP(A38,'Trips&amp;Operators'!$C$1:$E$10000,3,FALSE)</f>
        <v>GEBRETEKLE</v>
      </c>
      <c r="M38" s="6">
        <f t="shared" si="1"/>
        <v>2.7060185188020114E-2</v>
      </c>
      <c r="N38" s="7">
        <f t="shared" si="2"/>
        <v>38.966666670748964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44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06:37:17-0600',mode:absolute,to:'2016-10-15 09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8" s="52" t="str">
        <f t="shared" si="6"/>
        <v>N</v>
      </c>
      <c r="X38" s="149">
        <f t="shared" si="7"/>
        <v>1</v>
      </c>
      <c r="Y38" s="67">
        <f t="shared" si="8"/>
        <v>23.297000000000001</v>
      </c>
      <c r="Z38" s="67">
        <f t="shared" si="9"/>
        <v>1.5599999999999999E-2</v>
      </c>
      <c r="AA38" s="67">
        <f t="shared" si="10"/>
        <v>23.281400000000001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0126-15</v>
      </c>
      <c r="AE38" s="91" t="str">
        <f t="shared" si="12"/>
        <v>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 &amp; aws s3 cp s3://rtdc.mdm.uploadarchive.raw/RTDC4019/ "%USERPROFILE%\AppData\Local\Temp\OnboardLogs"\RTDC4019\2016-10-16 --exclude "*" --recursive --include "*20161016*" &amp; "%USERPROFILE%\Documents\GitHub\mrs-test-scripts\Headless Mode &amp; Sideloading\WalkAndUnGZ.bat" "%USERPROFILE%\AppData\Local\Temp\OnboardLogs"\RTDC4019\2016-10-16</v>
      </c>
      <c r="AF38" s="88" t="str">
        <f t="shared" si="13"/>
        <v>"C:\Program Files (x86)\AstroGrep\AstroGrep.exe" /spath="%USERPROFILE%\AppData\Local\Temp\OnboardLogs" /stypes="app*4019*20161015*"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126-15 --locoid 4019 --swversion DE.1.0.7.0 --startMP 204:232970 --initTime 2016-10-15T07:37:17 --startdatetime 2016-10-15T07:41:17 --delay 1 --endMP 204:156 --enddatetime 2016-10-15T08:20:15 --enforcementcount 0 &gt;&gt;C:\Users\stu\Documents\GitHub\eaglep3-reporting\EC\2016-10-15-refined-times.txt</v>
      </c>
      <c r="AI38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{"issue":{"subject":"","project_id":79,"tracker_id":40,"status_id":1,"priority_id":2,"assigned_to_id":23,"start_date":"2016-10-15","description":"","custom_fields":[{"id":1,"name":"Subdivision","value":"EC"},{"id":4,"name":"Milepost","value":"0.0156"},{"id":17,"name":"Train ID","value":"126-15"},{"id":16,"name":"Locomotive ID","value":"4019"},{"id":130,"name":"Impact","value":""},{"id":150,"name":"Time of Event (Mountain Time)","value":"08:20:15"},{"id":151,"name":"Denver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483</v>
      </c>
      <c r="B39" s="7">
        <v>4044</v>
      </c>
      <c r="C39" s="22" t="s">
        <v>99</v>
      </c>
      <c r="D39" s="22" t="s">
        <v>285</v>
      </c>
      <c r="E39" s="13">
        <v>42658.289120370369</v>
      </c>
      <c r="F39" s="13">
        <v>42658.291909722226</v>
      </c>
      <c r="G39" s="7">
        <v>1</v>
      </c>
      <c r="H39" s="13" t="s">
        <v>639</v>
      </c>
      <c r="I39" s="13">
        <v>42658.319918981484</v>
      </c>
      <c r="J39" s="7">
        <v>0</v>
      </c>
      <c r="K39" s="112" t="str">
        <f t="shared" si="0"/>
        <v>4043/4044</v>
      </c>
      <c r="L39" s="22" t="str">
        <f>VLOOKUP(A39,'Trips&amp;Operators'!$C$1:$E$10000,3,FALSE)</f>
        <v>MAELZER</v>
      </c>
      <c r="M39" s="6">
        <f t="shared" si="1"/>
        <v>2.8009259258396924E-2</v>
      </c>
      <c r="N39" s="7">
        <f t="shared" si="2"/>
        <v>40.33333333209157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44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05:56:20-0600',mode:absolute,to:'2016-10-15 08:40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9" s="52" t="str">
        <f t="shared" si="6"/>
        <v>N</v>
      </c>
      <c r="X39" s="149">
        <f t="shared" si="7"/>
        <v>1</v>
      </c>
      <c r="Y39" s="67">
        <f t="shared" si="8"/>
        <v>4.3999999999999997E-2</v>
      </c>
      <c r="Z39" s="67">
        <f t="shared" si="9"/>
        <v>23.3322</v>
      </c>
      <c r="AA39" s="67">
        <f t="shared" si="10"/>
        <v>23.2882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0127-15</v>
      </c>
      <c r="AE39" s="91" t="str">
        <f t="shared" si="12"/>
        <v>aws s3 cp s3://rtdc.mdm.uploadarchive.raw/RTDC4044/ "%USERPROFILE%\AppData\Local\Temp\OnboardLogs"\RTDC4044\2016-10-15 --exclude "*" --recursive --include "*20161015*" &amp; "%USERPROFILE%\Documents\GitHub\mrs-test-scripts\Headless Mode &amp; Sideloading\WalkAndUnGZ.bat" "%USERPROFILE%\AppData\Local\Temp\OnboardLogs"\RTDC4044\2016-10-15 &amp; 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</v>
      </c>
      <c r="AF39" s="88" t="str">
        <f t="shared" si="13"/>
        <v>"C:\Program Files (x86)\AstroGrep\AstroGrep.exe" /spath="%USERPROFILE%\AppData\Local\Temp\OnboardLogs" /stypes="app*4044*20161015*"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127-15 --locoid 4044 --swversion DE.1.0.7.0 --startMP 204:440 --initTime 2016-10-15T06:56:20 --startdatetime 2016-10-15T07:00:21 --delay 1 --endMP 204:233322 --enddatetime 2016-10-15T07:40:41 --enforcementcount 0 &gt;&gt;C:\Users\stu\Documents\GitHub\eaglep3-reporting\EC\2016-10-15-refined-times.txt</v>
      </c>
      <c r="AI39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{"issue":{"subject":"","project_id":79,"tracker_id":40,"status_id":1,"priority_id":2,"assigned_to_id":23,"start_date":"2016-10-15","description":"","custom_fields":[{"id":1,"name":"Subdivision","value":"EC"},{"id":4,"name":"Milepost","value":"23.3322"},{"id":17,"name":"Train ID","value":"127-15"},{"id":16,"name":"Locomotive ID","value":"4044"},{"id":130,"name":"Impact","value":""},{"id":150,"name":"Time of Event (Mountain Time)","value":"07:40:41"},{"id":151,"name":"Denver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494</v>
      </c>
      <c r="B40" s="7">
        <v>4043</v>
      </c>
      <c r="C40" s="22" t="s">
        <v>99</v>
      </c>
      <c r="D40" s="22" t="s">
        <v>640</v>
      </c>
      <c r="E40" s="13">
        <v>42658.324675925927</v>
      </c>
      <c r="F40" s="13">
        <v>42658.33085648148</v>
      </c>
      <c r="G40" s="7">
        <v>1</v>
      </c>
      <c r="H40" s="13" t="s">
        <v>408</v>
      </c>
      <c r="I40" s="13">
        <v>42658.357442129629</v>
      </c>
      <c r="J40" s="7">
        <v>0</v>
      </c>
      <c r="K40" s="112" t="str">
        <f t="shared" si="0"/>
        <v>4043/4044</v>
      </c>
      <c r="L40" s="22" t="str">
        <f>VLOOKUP(A40,'Trips&amp;Operators'!$C$1:$E$10000,3,FALSE)</f>
        <v>MAELZER</v>
      </c>
      <c r="M40" s="6">
        <f t="shared" si="1"/>
        <v>2.658564814919373E-2</v>
      </c>
      <c r="N40" s="7">
        <f t="shared" si="2"/>
        <v>38.283333334838971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44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06:47:32-0600',mode:absolute,to:'2016-10-15 09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0" s="52" t="str">
        <f t="shared" si="6"/>
        <v>N</v>
      </c>
      <c r="X40" s="149">
        <f t="shared" si="7"/>
        <v>1</v>
      </c>
      <c r="Y40" s="67">
        <f t="shared" si="8"/>
        <v>23.3</v>
      </c>
      <c r="Z40" s="67">
        <f t="shared" si="9"/>
        <v>1.38E-2</v>
      </c>
      <c r="AA40" s="67">
        <f t="shared" si="10"/>
        <v>23.286200000000001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0128-15</v>
      </c>
      <c r="AE40" s="91" t="str">
        <f t="shared" si="12"/>
        <v>aws s3 cp s3://rtdc.mdm.uploadarchive.raw/RTDC4043/ "%USERPROFILE%\AppData\Local\Temp\OnboardLogs"\RTDC4043\2016-10-15 --exclude "*" --recursive --include "*20161015*" &amp; "%USERPROFILE%\Documents\GitHub\mrs-test-scripts\Headless Mode &amp; Sideloading\WalkAndUnGZ.bat" "%USERPROFILE%\AppData\Local\Temp\OnboardLogs"\RTDC4043\2016-10-15 &amp; 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</v>
      </c>
      <c r="AF40" s="88" t="str">
        <f t="shared" si="13"/>
        <v>"C:\Program Files (x86)\AstroGrep\AstroGrep.exe" /spath="%USERPROFILE%\AppData\Local\Temp\OnboardLogs" /stypes="app*4043*20161015*"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128-15 --locoid 4043 --swversion DE.1.0.7.0 --startMP 204:233000 --initTime 2016-10-15T07:47:32 --startdatetime 2016-10-15T07:56:26 --delay 1 --endMP 204:138 --enddatetime 2016-10-15T08:34:43 --enforcementcount 0 &gt;&gt;C:\Users\stu\Documents\GitHub\eaglep3-reporting\EC\2016-10-15-refined-times.txt</v>
      </c>
      <c r="AI40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{"issue":{"subject":"","project_id":79,"tracker_id":40,"status_id":1,"priority_id":2,"assigned_to_id":23,"start_date":"2016-10-15","description":"","custom_fields":[{"id":1,"name":"Subdivision","value":"EC"},{"id":4,"name":"Milepost","value":"0.0138"},{"id":17,"name":"Train ID","value":"128-15"},{"id":16,"name":"Locomotive ID","value":"4043"},{"id":130,"name":"Impact","value":""},{"id":150,"name":"Time of Event (Mountain Time)","value":"08:34:43"},{"id":151,"name":"Denver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486</v>
      </c>
      <c r="B41" s="7">
        <v>4053</v>
      </c>
      <c r="C41" s="22" t="s">
        <v>99</v>
      </c>
      <c r="D41" s="22" t="s">
        <v>251</v>
      </c>
      <c r="E41" s="13">
        <v>42658.298761574071</v>
      </c>
      <c r="F41" s="13">
        <v>42658.302546296298</v>
      </c>
      <c r="G41" s="7">
        <v>2</v>
      </c>
      <c r="H41" s="13" t="s">
        <v>231</v>
      </c>
      <c r="I41" s="13">
        <v>42658.329097222224</v>
      </c>
      <c r="J41" s="7">
        <v>0</v>
      </c>
      <c r="K41" s="112" t="str">
        <f t="shared" si="0"/>
        <v>4053/4054</v>
      </c>
      <c r="L41" s="22" t="str">
        <f>VLOOKUP(A41,'Trips&amp;Operators'!$C$1:$E$10000,3,FALSE)</f>
        <v>STRICKLAND</v>
      </c>
      <c r="M41" s="6">
        <f t="shared" si="1"/>
        <v>2.6550925926130731E-2</v>
      </c>
      <c r="N41" s="7">
        <f t="shared" si="2"/>
        <v>38.233333333628252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44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06:10:13-0600',mode:absolute,to:'2016-10-15 08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41" s="52" t="str">
        <f t="shared" si="6"/>
        <v>N</v>
      </c>
      <c r="X41" s="149">
        <f t="shared" si="7"/>
        <v>1</v>
      </c>
      <c r="Y41" s="67">
        <f t="shared" si="8"/>
        <v>4.4699999999999997E-2</v>
      </c>
      <c r="Z41" s="67">
        <f t="shared" si="9"/>
        <v>23.331399999999999</v>
      </c>
      <c r="AA41" s="67">
        <f t="shared" si="10"/>
        <v>23.2867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1"/>
        <v>0129-15</v>
      </c>
      <c r="AE41" s="91" t="str">
        <f t="shared" si="12"/>
        <v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v>
      </c>
      <c r="AF41" s="88" t="str">
        <f t="shared" si="13"/>
        <v>"C:\Program Files (x86)\AstroGrep\AstroGrep.exe" /spath="%USERPROFILE%\AppData\Local\Temp\OnboardLogs" /stypes="app*4053*20161015*"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129-15 --locoid 4053 --swversion DE.1.0.7.0 --startMP 204:447 --initTime 2016-10-15T07:10:13 --startdatetime 2016-10-15T07:15:40 --delay 2 --endMP 204:233314 --enddatetime 2016-10-15T07:53:54 --enforcementcount 0 &gt;&gt;C:\Users\stu\Documents\GitHub\eaglep3-reporting\EC\2016-10-15-refined-times.txt</v>
      </c>
      <c r="AI41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{"issue":{"subject":"","project_id":79,"tracker_id":40,"status_id":1,"priority_id":2,"assigned_to_id":23,"start_date":"2016-10-15","description":"","custom_fields":[{"id":1,"name":"Subdivision","value":"EC"},{"id":4,"name":"Milepost","value":"23.3314"},{"id":17,"name":"Train ID","value":"129-15"},{"id":16,"name":"Locomotive ID","value":"4053"},{"id":130,"name":"Impact","value":""},{"id":150,"name":"Time of Event (Mountain Time)","value":"07:53:54"},{"id":151,"name":"Denver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498</v>
      </c>
      <c r="B42" s="7">
        <v>4054</v>
      </c>
      <c r="C42" s="22" t="s">
        <v>99</v>
      </c>
      <c r="D42" s="22" t="s">
        <v>641</v>
      </c>
      <c r="E42" s="13">
        <v>42658.337800925925</v>
      </c>
      <c r="F42" s="13">
        <v>42658.341296296298</v>
      </c>
      <c r="G42" s="7">
        <v>1</v>
      </c>
      <c r="H42" s="13" t="s">
        <v>634</v>
      </c>
      <c r="I42" s="13">
        <v>42658.367708333331</v>
      </c>
      <c r="J42" s="7">
        <v>0</v>
      </c>
      <c r="K42" s="112" t="str">
        <f t="shared" si="0"/>
        <v>4053/4054</v>
      </c>
      <c r="L42" s="22" t="str">
        <f>VLOOKUP(A42,'Trips&amp;Operators'!$C$1:$E$10000,3,FALSE)</f>
        <v>STRICKLAND</v>
      </c>
      <c r="M42" s="6">
        <f t="shared" si="1"/>
        <v>2.6412037033878732E-2</v>
      </c>
      <c r="N42" s="7">
        <f t="shared" si="2"/>
        <v>38.033333328785375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44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07:06:26-0600',mode:absolute,to:'2016-10-15 09:49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42" s="52" t="str">
        <f t="shared" si="6"/>
        <v>N</v>
      </c>
      <c r="X42" s="149">
        <f t="shared" si="7"/>
        <v>1</v>
      </c>
      <c r="Y42" s="67">
        <f t="shared" si="8"/>
        <v>23.301500000000001</v>
      </c>
      <c r="Z42" s="67">
        <f t="shared" si="9"/>
        <v>1.5599999999999999E-2</v>
      </c>
      <c r="AA42" s="67">
        <f t="shared" si="10"/>
        <v>23.285900000000002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0130-15</v>
      </c>
      <c r="AE42" s="91" t="str">
        <f t="shared" si="12"/>
        <v>aws s3 cp s3://rtdc.mdm.uploadarchive.raw/RTDC4054/ "%USERPROFILE%\AppData\Local\Temp\OnboardLogs"\RTDC4054\2016-10-15 --exclude "*" --recursive --include "*20161015*" &amp; "%USERPROFILE%\Documents\GitHub\mrs-test-scripts\Headless Mode &amp; Sideloading\WalkAndUnGZ.bat" "%USERPROFILE%\AppData\Local\Temp\OnboardLogs"\RTDC4054\2016-10-15 &amp; aws s3 cp s3://rtdc.mdm.uploadarchive.raw/RTDC4054/ "%USERPROFILE%\AppData\Local\Temp\OnboardLogs"\RTDC4054\2016-10-16 --exclude "*" --recursive --include "*20161016*" &amp; "%USERPROFILE%\Documents\GitHub\mrs-test-scripts\Headless Mode &amp; Sideloading\WalkAndUnGZ.bat" "%USERPROFILE%\AppData\Local\Temp\OnboardLogs"\RTDC4054\2016-10-16</v>
      </c>
      <c r="AF42" s="88" t="str">
        <f t="shared" si="13"/>
        <v>"C:\Program Files (x86)\AstroGrep\AstroGrep.exe" /spath="%USERPROFILE%\AppData\Local\Temp\OnboardLogs" /stypes="app*4054*20161015*"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130-15 --locoid 4054 --swversion DE.1.0.7.0 --startMP 204:233015 --initTime 2016-10-15T08:06:26 --startdatetime 2016-10-15T08:11:28 --delay 1 --endMP 204:156 --enddatetime 2016-10-15T08:49:30 --enforcementcount 0 &gt;&gt;C:\Users\stu\Documents\GitHub\eaglep3-reporting\EC\2016-10-15-refined-times.txt</v>
      </c>
      <c r="AI42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{"issue":{"subject":"","project_id":79,"tracker_id":40,"status_id":1,"priority_id":2,"assigned_to_id":23,"start_date":"2016-10-15","description":"","custom_fields":[{"id":1,"name":"Subdivision","value":"EC"},{"id":4,"name":"Milepost","value":"0.0156"},{"id":17,"name":"Train ID","value":"130-15"},{"id":16,"name":"Locomotive ID","value":"4054"},{"id":130,"name":"Impact","value":""},{"id":150,"name":"Time of Event (Mountain Time)","value":"08:49:30"},{"id":151,"name":"Denver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491</v>
      </c>
      <c r="B43" s="7">
        <v>4038</v>
      </c>
      <c r="C43" s="22" t="s">
        <v>99</v>
      </c>
      <c r="D43" s="22" t="s">
        <v>243</v>
      </c>
      <c r="E43" s="13">
        <v>42658.311574074076</v>
      </c>
      <c r="F43" s="13">
        <v>42658.312777777777</v>
      </c>
      <c r="G43" s="7">
        <v>1</v>
      </c>
      <c r="H43" s="13" t="s">
        <v>247</v>
      </c>
      <c r="I43" s="13">
        <v>42658.338171296295</v>
      </c>
      <c r="J43" s="7">
        <v>0</v>
      </c>
      <c r="K43" s="112" t="str">
        <f t="shared" si="0"/>
        <v>4037/4038</v>
      </c>
      <c r="L43" s="22" t="str">
        <f>VLOOKUP(A43,'Trips&amp;Operators'!$C$1:$E$10000,3,FALSE)</f>
        <v>MALAVE</v>
      </c>
      <c r="M43" s="6">
        <f t="shared" si="1"/>
        <v>2.5393518517375924E-2</v>
      </c>
      <c r="N43" s="7">
        <f t="shared" si="2"/>
        <v>36.56666666502133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44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06:28:40-0600',mode:absolute,to:'2016-10-15 09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43" s="52" t="str">
        <f t="shared" si="6"/>
        <v>N</v>
      </c>
      <c r="X43" s="149">
        <f t="shared" si="7"/>
        <v>1</v>
      </c>
      <c r="Y43" s="67">
        <f t="shared" si="8"/>
        <v>4.58E-2</v>
      </c>
      <c r="Z43" s="67">
        <f t="shared" si="9"/>
        <v>23.328600000000002</v>
      </c>
      <c r="AA43" s="67">
        <f t="shared" si="10"/>
        <v>23.282800000000002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0131-15</v>
      </c>
      <c r="AE43" s="91" t="str">
        <f t="shared" si="12"/>
        <v>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 &amp; aws s3 cp s3://rtdc.mdm.uploadarchive.raw/RTDC4038/ "%USERPROFILE%\AppData\Local\Temp\OnboardLogs"\RTDC4038\2016-10-16 --exclude "*" --recursive --include "*20161016*" &amp; "%USERPROFILE%\Documents\GitHub\mrs-test-scripts\Headless Mode &amp; Sideloading\WalkAndUnGZ.bat" "%USERPROFILE%\AppData\Local\Temp\OnboardLogs"\RTDC4038\2016-10-16</v>
      </c>
      <c r="AF43" s="88" t="str">
        <f t="shared" si="13"/>
        <v>"C:\Program Files (x86)\AstroGrep\AstroGrep.exe" /spath="%USERPROFILE%\AppData\Local\Temp\OnboardLogs" /stypes="app*4038*20161015*"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131-15 --locoid 4038 --swversion DE.1.0.7.0 --startMP 204:458 --initTime 2016-10-15T07:28:40 --startdatetime 2016-10-15T07:30:24 --delay 1 --endMP 204:233286 --enddatetime 2016-10-15T08:06:58 --enforcementcount 0 &gt;&gt;C:\Users\stu\Documents\GitHub\eaglep3-reporting\EC\2016-10-15-refined-times.txt</v>
      </c>
      <c r="AI43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{"issue":{"subject":"","project_id":79,"tracker_id":40,"status_id":1,"priority_id":2,"assigned_to_id":23,"start_date":"2016-10-15","description":"","custom_fields":[{"id":1,"name":"Subdivision","value":"EC"},{"id":4,"name":"Milepost","value":"23.3286"},{"id":17,"name":"Train ID","value":"131-15"},{"id":16,"name":"Locomotive ID","value":"4038"},{"id":130,"name":"Impact","value":""},{"id":150,"name":"Time of Event (Mountain Time)","value":"08:06:58"},{"id":151,"name":"Denver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500</v>
      </c>
      <c r="B44" s="7">
        <v>4037</v>
      </c>
      <c r="C44" s="22" t="s">
        <v>99</v>
      </c>
      <c r="D44" s="22" t="s">
        <v>400</v>
      </c>
      <c r="E44" s="13">
        <v>42658.350335648145</v>
      </c>
      <c r="F44" s="13">
        <v>42658.3516087963</v>
      </c>
      <c r="G44" s="7">
        <v>1</v>
      </c>
      <c r="H44" s="13" t="s">
        <v>240</v>
      </c>
      <c r="I44" s="13">
        <v>42658.378020833334</v>
      </c>
      <c r="J44" s="7">
        <v>0</v>
      </c>
      <c r="K44" s="112" t="str">
        <f t="shared" si="0"/>
        <v>4037/4038</v>
      </c>
      <c r="L44" s="22" t="str">
        <f>VLOOKUP(A44,'Trips&amp;Operators'!$C$1:$E$10000,3,FALSE)</f>
        <v>MALAVE</v>
      </c>
      <c r="M44" s="6">
        <f t="shared" si="1"/>
        <v>2.6412037033878732E-2</v>
      </c>
      <c r="N44" s="7">
        <f t="shared" si="2"/>
        <v>38.033333328785375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44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https://search-rtdc-monitor-bjffxe2xuh6vdkpspy63sjmuny.us-east-1.es.amazonaws.com/_plugin/kibana/#/discover/Steve-Slow-Train-Analysis-(2080s-and-2083s)?_g=(refreshInterval:(display:Off,section:0,value:0),time:(from:'2016-10-15 07:24:29-0600',mode:absolute,to:'2016-10-15 10:04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4" s="52" t="str">
        <f t="shared" si="6"/>
        <v>N</v>
      </c>
      <c r="X44" s="149">
        <f t="shared" si="7"/>
        <v>1</v>
      </c>
      <c r="Y44" s="67">
        <f t="shared" si="8"/>
        <v>23.296299999999999</v>
      </c>
      <c r="Z44" s="67">
        <f t="shared" si="9"/>
        <v>1.61E-2</v>
      </c>
      <c r="AA44" s="67">
        <f t="shared" si="10"/>
        <v>23.280199999999997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0132-15</v>
      </c>
      <c r="AE44" s="91" t="str">
        <f t="shared" si="12"/>
        <v>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 &amp; aws s3 cp s3://rtdc.mdm.uploadarchive.raw/RTDC4037/ "%USERPROFILE%\AppData\Local\Temp\OnboardLogs"\RTDC4037\2016-10-16 --exclude "*" --recursive --include "*20161016*" &amp; "%USERPROFILE%\Documents\GitHub\mrs-test-scripts\Headless Mode &amp; Sideloading\WalkAndUnGZ.bat" "%USERPROFILE%\AppData\Local\Temp\OnboardLogs"\RTDC4037\2016-10-16</v>
      </c>
      <c r="AF44" s="88" t="str">
        <f t="shared" si="13"/>
        <v>"C:\Program Files (x86)\AstroGrep\AstroGrep.exe" /spath="%USERPROFILE%\AppData\Local\Temp\OnboardLogs" /stypes="app*4037*20161015*"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132-15 --locoid 4037 --swversion DE.1.0.7.0 --startMP 204:232963 --initTime 2016-10-15T08:24:29 --startdatetime 2016-10-15T08:26:19 --delay 1 --endMP 204:161 --enddatetime 2016-10-15T09:04:21 --enforcementcount 0 &gt;&gt;C:\Users\stu\Documents\GitHub\eaglep3-reporting\EC\2016-10-15-refined-times.txt</v>
      </c>
      <c r="AI44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{"issue":{"subject":"","project_id":79,"tracker_id":40,"status_id":1,"priority_id":2,"assigned_to_id":23,"start_date":"2016-10-15","description":"","custom_fields":[{"id":1,"name":"Subdivision","value":"EC"},{"id":4,"name":"Milepost","value":"0.0161"},{"id":17,"name":"Train ID","value":"132-15"},{"id":16,"name":"Locomotive ID","value":"4037"},{"id":130,"name":"Impact","value":""},{"id":150,"name":"Time of Event (Mountain Time)","value":"09:04:21"},{"id":151,"name":"Denver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495</v>
      </c>
      <c r="B45" s="7">
        <v>4003</v>
      </c>
      <c r="C45" s="22" t="s">
        <v>99</v>
      </c>
      <c r="D45" s="22" t="s">
        <v>642</v>
      </c>
      <c r="E45" s="13">
        <v>42658.325115740743</v>
      </c>
      <c r="F45" s="13">
        <v>42658.329270833332</v>
      </c>
      <c r="G45" s="7">
        <v>2</v>
      </c>
      <c r="H45" s="13" t="s">
        <v>324</v>
      </c>
      <c r="I45" s="13">
        <v>42658.358043981483</v>
      </c>
      <c r="J45" s="7">
        <v>0</v>
      </c>
      <c r="K45" s="112" t="str">
        <f t="shared" ref="K45:K76" si="19">IF(ISEVEN(B45),(B45-1)&amp;"/"&amp;B45,B45&amp;"/"&amp;(B45+1))</f>
        <v>4003/4004</v>
      </c>
      <c r="L45" s="22" t="str">
        <f>VLOOKUP(A45,'Trips&amp;Operators'!$C$1:$E$10000,3,FALSE)</f>
        <v>NATION</v>
      </c>
      <c r="M45" s="6">
        <f t="shared" ref="M45:M76" si="20">I45-F45</f>
        <v>2.8773148151230998E-2</v>
      </c>
      <c r="N45" s="7">
        <f t="shared" ref="N45:P76" si="21">24*60*SUM($M45:$M45)</f>
        <v>41.433333337772638</v>
      </c>
      <c r="O45" s="7"/>
      <c r="P45" s="7"/>
      <c r="Q45" s="23"/>
      <c r="R45" s="23"/>
      <c r="S45" s="35">
        <f t="shared" ref="S45:S76" si="22">SUM(U45:U45)/IF(AG45="EC",12,1)</f>
        <v>1</v>
      </c>
      <c r="T45" s="50" t="str">
        <f t="shared" ref="T45:T76" si="23">IF(ISEVEN(LEFT(AD45,4)),"Southbound","NorthBound")</f>
        <v>NorthBound</v>
      </c>
      <c r="U45" s="144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ref="V45:V76" si="24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https://search-rtdc-monitor-bjffxe2xuh6vdkpspy63sjmuny.us-east-1.es.amazonaws.com/_plugin/kibana/#/discover/Steve-Slow-Train-Analysis-(2080s-and-2083s)?_g=(refreshInterval:(display:Off,section:0,value:0),time:(from:'2016-10-15 06:48:10-0600',mode:absolute,to:'2016-10-15 09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5" s="52" t="str">
        <f t="shared" ref="W45:W76" si="25">IF(AA45&lt;IF(AG45="EC",23,5.65),"Y","N")</f>
        <v>N</v>
      </c>
      <c r="X45" s="149">
        <f t="shared" ref="X45:X76" si="26">VALUE(LEFT(AD45,4))-VALUE(LEFT(AD44,4))</f>
        <v>1</v>
      </c>
      <c r="Y45" s="67">
        <f t="shared" ref="Y45:Y76" si="27">RIGHT(D45,LEN(D45)-4)/10000</f>
        <v>4.8599999999999997E-2</v>
      </c>
      <c r="Z45" s="67">
        <f t="shared" ref="Z45:Z76" si="28">RIGHT(H45,LEN(H45)-4)/10000</f>
        <v>23.331</v>
      </c>
      <c r="AA45" s="67">
        <f t="shared" ref="AA45:AA76" si="29">ABS(Z45-Y45)</f>
        <v>23.282399999999999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ref="AD45:AD76" si="30">IF(LEN(A45)=6,"0"&amp;A45,A45)</f>
        <v>0133-15</v>
      </c>
      <c r="AE45" s="91" t="str">
        <f t="shared" ref="AE45:AE76" si="31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 &amp; aws s3 cp s3://rtdc.mdm.uploadarchive.raw/RTDC4003/ "%USERPROFILE%\AppData\Local\Temp\OnboardLogs"\RTDC4003\2016-10-16 --exclude "*" --recursive --include "*20161016*" &amp; "%USERPROFILE%\Documents\GitHub\mrs-test-scripts\Headless Mode &amp; Sideloading\WalkAndUnGZ.bat" "%USERPROFILE%\AppData\Local\Temp\OnboardLogs"\RTDC4003\2016-10-16</v>
      </c>
      <c r="AF45" s="88" t="str">
        <f t="shared" ref="AF45:AF76" si="32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/stypes="app*4003*20161015*" /stext=" 14:.+((SYSTEM_STATE.+slice.+state.+changed )|(ment ac)|(system.+state.+changed )|(\[timeout)|(PRM\|1\|D)|(kpr)|(kdp)|(\|lc)|(penalty))" /e /r /s</v>
      </c>
      <c r="AG45" s="1" t="str">
        <f t="shared" ref="AG45:AG76" si="33">IFERROR(IF(VALUE(LEFT(AD45,2))&lt;=2,"EC",IF(OR(VALUE(LEFT(AD45,2))=8,VALUE(LEFT(AD45,2))=18),"NW","Other")),"Other")</f>
        <v>EC</v>
      </c>
      <c r="AH45" s="92" t="str">
        <f t="shared" si="17"/>
        <v>"%USERPROFILE%\Documents\GitHub\eaglep3\Utilities\RefineRTDCRunTimes.py" --tripid 133-15 --locoid 4003 --swversion DE.1.0.7.0 --startMP 204:486 --initTime 2016-10-15T07:48:10 --startdatetime 2016-10-15T07:54:09 --delay 2 --endMP 204:233310 --enddatetime 2016-10-15T08:35:35 --enforcementcount 0 &gt;&gt;C:\Users\stu\Documents\GitHub\eaglep3-reporting\EC\2016-10-15-refined-times.txt</v>
      </c>
      <c r="AI45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{"issue":{"subject":"","project_id":79,"tracker_id":40,"status_id":1,"priority_id":2,"assigned_to_id":23,"start_date":"2016-10-15","description":"","custom_fields":[{"id":1,"name":"Subdivision","value":"EC"},{"id":4,"name":"Milepost","value":"23.331"},{"id":17,"name":"Train ID","value":"133-15"},{"id":16,"name":"Locomotive ID","value":"4003"},{"id":130,"name":"Impact","value":""},{"id":150,"name":"Time of Event (Mountain Time)","value":"08:35:35"},{"id":151,"name":"Denver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503</v>
      </c>
      <c r="B46" s="7">
        <v>4004</v>
      </c>
      <c r="C46" s="22" t="s">
        <v>99</v>
      </c>
      <c r="D46" s="22" t="s">
        <v>276</v>
      </c>
      <c r="E46" s="13">
        <v>42658.359953703701</v>
      </c>
      <c r="F46" s="13">
        <v>42658.362638888888</v>
      </c>
      <c r="G46" s="7">
        <v>2</v>
      </c>
      <c r="H46" s="13" t="s">
        <v>255</v>
      </c>
      <c r="I46" s="13">
        <v>42658.390011574076</v>
      </c>
      <c r="J46" s="7">
        <v>0</v>
      </c>
      <c r="K46" s="112" t="str">
        <f t="shared" si="19"/>
        <v>4003/4004</v>
      </c>
      <c r="L46" s="22" t="str">
        <f>VLOOKUP(A46,'Trips&amp;Operators'!$C$1:$E$10000,3,FALSE)</f>
        <v>NATION</v>
      </c>
      <c r="M46" s="6">
        <f t="shared" si="20"/>
        <v>2.7372685188311152E-2</v>
      </c>
      <c r="N46" s="7">
        <f t="shared" si="21"/>
        <v>39.416666671168059</v>
      </c>
      <c r="O46" s="7"/>
      <c r="P46" s="7"/>
      <c r="Q46" s="23"/>
      <c r="R46" s="23"/>
      <c r="S46" s="35">
        <f t="shared" si="22"/>
        <v>1</v>
      </c>
      <c r="T46" s="50" t="str">
        <f t="shared" si="23"/>
        <v>Southbound</v>
      </c>
      <c r="U46" s="144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07:38:20-0600',mode:absolute,to:'2016-10-15 10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6" s="52" t="str">
        <f t="shared" si="25"/>
        <v>N</v>
      </c>
      <c r="X46" s="149">
        <f t="shared" si="26"/>
        <v>1</v>
      </c>
      <c r="Y46" s="67">
        <f t="shared" si="27"/>
        <v>23.297899999999998</v>
      </c>
      <c r="Z46" s="67">
        <f t="shared" si="28"/>
        <v>1.6299999999999999E-2</v>
      </c>
      <c r="AA46" s="67">
        <f t="shared" si="29"/>
        <v>23.281599999999997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30"/>
        <v>0134-15</v>
      </c>
      <c r="AE46" s="91" t="str">
        <f t="shared" si="31"/>
        <v>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 &amp; aws s3 cp s3://rtdc.mdm.uploadarchive.raw/RTDC4004/ "%USERPROFILE%\AppData\Local\Temp\OnboardLogs"\RTDC4004\2016-10-16 --exclude "*" --recursive --include "*20161016*" &amp; "%USERPROFILE%\Documents\GitHub\mrs-test-scripts\Headless Mode &amp; Sideloading\WalkAndUnGZ.bat" "%USERPROFILE%\AppData\Local\Temp\OnboardLogs"\RTDC4004\2016-10-16</v>
      </c>
      <c r="AF46" s="88" t="str">
        <f t="shared" si="32"/>
        <v>"C:\Program Files (x86)\AstroGrep\AstroGrep.exe" /spath="%USERPROFILE%\AppData\Local\Temp\OnboardLogs" /stypes="app*4004*20161015*" /stext=" 15:.+((SYSTEM_STATE.+slice.+state.+changed )|(ment ac)|(system.+state.+changed )|(\[timeout)|(PRM\|1\|D)|(kpr)|(kdp)|(\|lc)|(penalty))" /e /r /s</v>
      </c>
      <c r="AG46" s="1" t="str">
        <f t="shared" si="33"/>
        <v>EC</v>
      </c>
      <c r="AH46" s="92" t="str">
        <f t="shared" si="17"/>
        <v>"%USERPROFILE%\Documents\GitHub\eaglep3\Utilities\RefineRTDCRunTimes.py" --tripid 134-15 --locoid 4004 --swversion DE.1.0.7.0 --startMP 204:232979 --initTime 2016-10-15T08:38:20 --startdatetime 2016-10-15T08:42:12 --delay 2 --endMP 204:163 --enddatetime 2016-10-15T09:21:37 --enforcementcount 0 &gt;&gt;C:\Users\stu\Documents\GitHub\eaglep3-reporting\EC\2016-10-15-refined-times.txt</v>
      </c>
      <c r="AI46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{"issue":{"subject":"","project_id":79,"tracker_id":40,"status_id":1,"priority_id":2,"assigned_to_id":23,"start_date":"2016-10-15","description":"","custom_fields":[{"id":1,"name":"Subdivision","value":"EC"},{"id":4,"name":"Milepost","value":"0.0163"},{"id":17,"name":"Train ID","value":"134-15"},{"id":16,"name":"Locomotive ID","value":"4004"},{"id":130,"name":"Impact","value":""},{"id":150,"name":"Time of Event (Mountain Time)","value":"09:21:37"},{"id":151,"name":"Denver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497</v>
      </c>
      <c r="B47" s="7">
        <v>4016</v>
      </c>
      <c r="C47" s="22" t="s">
        <v>99</v>
      </c>
      <c r="D47" s="22" t="s">
        <v>643</v>
      </c>
      <c r="E47" s="13">
        <v>42658.340578703705</v>
      </c>
      <c r="F47" s="13">
        <v>42658.34138888889</v>
      </c>
      <c r="G47" s="7">
        <v>1</v>
      </c>
      <c r="H47" s="13" t="s">
        <v>320</v>
      </c>
      <c r="I47" s="13">
        <v>42658.365416666667</v>
      </c>
      <c r="J47" s="7">
        <v>0</v>
      </c>
      <c r="K47" s="112" t="str">
        <f t="shared" si="19"/>
        <v>4015/4016</v>
      </c>
      <c r="L47" s="22" t="str">
        <f>VLOOKUP(A47,'Trips&amp;Operators'!$C$1:$E$10000,3,FALSE)</f>
        <v>DAVIS</v>
      </c>
      <c r="M47" s="6">
        <f t="shared" si="20"/>
        <v>2.4027777777519077E-2</v>
      </c>
      <c r="N47" s="7"/>
      <c r="O47" s="7"/>
      <c r="P47" s="7">
        <f t="shared" si="21"/>
        <v>34.599999999627471</v>
      </c>
      <c r="Q47" s="23"/>
      <c r="R47" s="23" t="s">
        <v>748</v>
      </c>
      <c r="S47" s="35">
        <f t="shared" si="22"/>
        <v>1</v>
      </c>
      <c r="T47" s="50" t="str">
        <f t="shared" si="23"/>
        <v>NorthBound</v>
      </c>
      <c r="U47" s="144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07:10:26-0600',mode:absolute,to:'2016-10-15 09:46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7" s="52" t="str">
        <f t="shared" si="25"/>
        <v>Y</v>
      </c>
      <c r="X47" s="149">
        <f t="shared" si="26"/>
        <v>1</v>
      </c>
      <c r="Y47" s="67">
        <f t="shared" si="27"/>
        <v>1.9151</v>
      </c>
      <c r="Z47" s="67">
        <f t="shared" si="28"/>
        <v>23.330100000000002</v>
      </c>
      <c r="AA47" s="67">
        <f t="shared" si="29"/>
        <v>21.415000000000003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30"/>
        <v>0135-15</v>
      </c>
      <c r="AE47" s="91" t="str">
        <f t="shared" si="31"/>
        <v>aws s3 cp s3://rtdc.mdm.uploadarchive.raw/RTDC4016/ "%USERPROFILE%\AppData\Local\Temp\OnboardLogs"\RTDC4016\2016-10-15 --exclude "*" --recursive --include "*20161015*" &amp; "%USERPROFILE%\Documents\GitHub\mrs-test-scripts\Headless Mode &amp; Sideloading\WalkAndUnGZ.bat" "%USERPROFILE%\AppData\Local\Temp\OnboardLogs"\RTDC4016\2016-10-15 &amp; aws s3 cp s3://rtdc.mdm.uploadarchive.raw/RTDC4016/ "%USERPROFILE%\AppData\Local\Temp\OnboardLogs"\RTDC4016\2016-10-16 --exclude "*" --recursive --include "*20161016*" &amp; "%USERPROFILE%\Documents\GitHub\mrs-test-scripts\Headless Mode &amp; Sideloading\WalkAndUnGZ.bat" "%USERPROFILE%\AppData\Local\Temp\OnboardLogs"\RTDC4016\2016-10-16</v>
      </c>
      <c r="AF47" s="88" t="str">
        <f t="shared" si="32"/>
        <v>"C:\Program Files (x86)\AstroGrep\AstroGrep.exe" /spath="%USERPROFILE%\AppData\Local\Temp\OnboardLogs" /stypes="app*4016*20161015*" /stext=" 14:.+((SYSTEM_STATE.+slice.+state.+changed )|(ment ac)|(system.+state.+changed )|(\[timeout)|(PRM\|1\|D)|(kpr)|(kdp)|(\|lc)|(penalty))" /e /r /s</v>
      </c>
      <c r="AG47" s="1" t="str">
        <f t="shared" si="33"/>
        <v>EC</v>
      </c>
      <c r="AH47" s="92" t="str">
        <f t="shared" si="17"/>
        <v>"%USERPROFILE%\Documents\GitHub\eaglep3\Utilities\RefineRTDCRunTimes.py" --tripid 135-15 --locoid 4016 --swversion DE.1.0.7.0 --startMP 204:19151 --initTime 2016-10-15T08:10:26 --startdatetime 2016-10-15T08:11:36 --delay 1 --endMP 204:233301 --enddatetime 2016-10-15T08:46:12 --enforcementcount 0 &gt;&gt;C:\Users\stu\Documents\GitHub\eaglep3-reporting\EC\2016-10-15-refined-times.txt</v>
      </c>
      <c r="AI47" s="122" t="str">
        <f t="shared" si="18"/>
        <v>echo {"issue":{"subject":"Bright 2N STOP, cleared 1 minute after cut out","project_id":79,"tracker_id":40,"status_id":1,"priority_id":2,"assigned_to_id":23,"start_date":"2016-10-15","description":"Seems like there was no clear request sent to Bright 2N until a minute after the train was cut out. Likely an unfortunate interaction between traffic conditions and dispatch, but will assign to STMS for a double check","custom_fields":[{"id":1,"name":"Subdivision","value":"EC"},{"id":4,"name":"Milepost","value":"23.3301"},{"id":17,"name":"Train ID","value":"135-15"},{"id":16,"name":"Locomotive ID","value":"4016"},{"id":130,"name":"Impact","value":"Unexpected Cut-Out or Disengaged"},{"id":150,"name":"Time of Event (Mountain Time)","value":"08:46:12"},{"id":151,"name":"Denver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47" s="53" t="s">
        <v>749</v>
      </c>
      <c r="AK47" s="53" t="s">
        <v>132</v>
      </c>
      <c r="AL47" s="53" t="s">
        <v>144</v>
      </c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497</v>
      </c>
      <c r="B48" s="7">
        <v>4016</v>
      </c>
      <c r="C48" s="22" t="s">
        <v>99</v>
      </c>
      <c r="D48" s="22" t="s">
        <v>286</v>
      </c>
      <c r="E48" s="13">
        <v>42658.332071759258</v>
      </c>
      <c r="F48" s="13">
        <v>42658.34138888889</v>
      </c>
      <c r="G48" s="7">
        <v>1</v>
      </c>
      <c r="H48" s="13" t="s">
        <v>644</v>
      </c>
      <c r="I48" s="13">
        <v>42658.365416666667</v>
      </c>
      <c r="J48" s="7">
        <v>0</v>
      </c>
      <c r="K48" s="112" t="str">
        <f t="shared" si="19"/>
        <v>4015/4016</v>
      </c>
      <c r="L48" s="22" t="str">
        <f>VLOOKUP(A48,'Trips&amp;Operators'!$C$1:$E$10000,3,FALSE)</f>
        <v>DAVIS</v>
      </c>
      <c r="M48" s="6">
        <f t="shared" si="20"/>
        <v>2.4027777777519077E-2</v>
      </c>
      <c r="N48" s="7"/>
      <c r="O48" s="7"/>
      <c r="P48" s="7"/>
      <c r="Q48" s="23"/>
      <c r="R48" s="23"/>
      <c r="S48" s="35"/>
      <c r="T48" s="50" t="str">
        <f t="shared" si="23"/>
        <v>NorthBound</v>
      </c>
      <c r="U48" s="144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0</v>
      </c>
      <c r="V4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06:58:11-0600',mode:absolute,to:'2016-10-15 09:46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8" s="52" t="str">
        <f t="shared" si="25"/>
        <v>Y</v>
      </c>
      <c r="X48" s="149">
        <f t="shared" si="26"/>
        <v>0</v>
      </c>
      <c r="Y48" s="67">
        <f t="shared" si="27"/>
        <v>4.5100000000000001E-2</v>
      </c>
      <c r="Z48" s="67">
        <f t="shared" si="28"/>
        <v>0.67620000000000002</v>
      </c>
      <c r="AA48" s="67">
        <f t="shared" si="29"/>
        <v>0.63109999999999999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30"/>
        <v>0135-15</v>
      </c>
      <c r="AE48" s="91" t="str">
        <f t="shared" si="31"/>
        <v>aws s3 cp s3://rtdc.mdm.uploadarchive.raw/RTDC4016/ "%USERPROFILE%\AppData\Local\Temp\OnboardLogs"\RTDC4016\2016-10-15 --exclude "*" --recursive --include "*20161015*" &amp; "%USERPROFILE%\Documents\GitHub\mrs-test-scripts\Headless Mode &amp; Sideloading\WalkAndUnGZ.bat" "%USERPROFILE%\AppData\Local\Temp\OnboardLogs"\RTDC4016\2016-10-15 &amp; aws s3 cp s3://rtdc.mdm.uploadarchive.raw/RTDC4016/ "%USERPROFILE%\AppData\Local\Temp\OnboardLogs"\RTDC4016\2016-10-16 --exclude "*" --recursive --include "*20161016*" &amp; "%USERPROFILE%\Documents\GitHub\mrs-test-scripts\Headless Mode &amp; Sideloading\WalkAndUnGZ.bat" "%USERPROFILE%\AppData\Local\Temp\OnboardLogs"\RTDC4016\2016-10-16</v>
      </c>
      <c r="AF48" s="88" t="str">
        <f t="shared" si="32"/>
        <v>"C:\Program Files (x86)\AstroGrep\AstroGrep.exe" /spath="%USERPROFILE%\AppData\Local\Temp\OnboardLogs" /stypes="app*4016*20161015*" /stext=" 14:.+((SYSTEM_STATE.+slice.+state.+changed )|(ment ac)|(system.+state.+changed )|(\[timeout)|(PRM\|1\|D)|(kpr)|(kdp)|(\|lc)|(penalty))" /e /r /s</v>
      </c>
      <c r="AG48" s="1" t="str">
        <f t="shared" si="33"/>
        <v>EC</v>
      </c>
      <c r="AH48" s="92" t="str">
        <f t="shared" si="17"/>
        <v>"%USERPROFILE%\Documents\GitHub\eaglep3\Utilities\RefineRTDCRunTimes.py" --tripid 135-15 --locoid 4016 --swversion DE.1.0.7.0 --startMP 204:451 --initTime 2016-10-15T07:58:11 --startdatetime 2016-10-15T08:11:36 --delay 1 --endMP 204:6762 --enddatetime 2016-10-15T08:46:12 --enforcementcount 0 &gt;&gt;C:\Users\stu\Documents\GitHub\eaglep3-reporting\EC\2016-10-15-refined-times.txt</v>
      </c>
      <c r="AI48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{"issue":{"subject":"","project_id":79,"tracker_id":40,"status_id":1,"priority_id":2,"assigned_to_id":23,"start_date":"2016-10-15","description":"","custom_fields":[{"id":1,"name":"Subdivision","value":"EC"},{"id":4,"name":"Milepost","value":"0.6762"},{"id":17,"name":"Train ID","value":"135-15"},{"id":16,"name":"Locomotive ID","value":"4016"},{"id":130,"name":"Impact","value":""},{"id":150,"name":"Time of Event (Mountain Time)","value":"08:46:12"},{"id":151,"name":"Denver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29" customFormat="1" x14ac:dyDescent="0.25">
      <c r="A49" s="37" t="s">
        <v>505</v>
      </c>
      <c r="B49" s="7">
        <v>4015</v>
      </c>
      <c r="C49" s="22" t="s">
        <v>99</v>
      </c>
      <c r="D49" s="22" t="s">
        <v>318</v>
      </c>
      <c r="E49" s="13">
        <v>42658.366608796299</v>
      </c>
      <c r="F49" s="13">
        <v>42658.372361111113</v>
      </c>
      <c r="G49" s="7">
        <v>1</v>
      </c>
      <c r="H49" s="13" t="s">
        <v>634</v>
      </c>
      <c r="I49" s="13">
        <v>42658.400185185186</v>
      </c>
      <c r="J49" s="7">
        <v>0</v>
      </c>
      <c r="K49" s="112" t="str">
        <f t="shared" si="19"/>
        <v>4015/4016</v>
      </c>
      <c r="L49" s="22" t="str">
        <f>VLOOKUP(A49,'Trips&amp;Operators'!$C$1:$E$10000,3,FALSE)</f>
        <v>DAVIS</v>
      </c>
      <c r="M49" s="6">
        <f t="shared" si="20"/>
        <v>2.7824074073578231E-2</v>
      </c>
      <c r="N49" s="7">
        <f t="shared" si="21"/>
        <v>40.066666665952653</v>
      </c>
      <c r="O49" s="7"/>
      <c r="P49" s="7"/>
      <c r="Q49" s="23"/>
      <c r="R49" s="23"/>
      <c r="S49" s="35">
        <f t="shared" si="22"/>
        <v>1</v>
      </c>
      <c r="T49" s="50" t="str">
        <f t="shared" si="23"/>
        <v>Southbound</v>
      </c>
      <c r="U49" s="144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07:47:55-0600',mode:absolute,to:'2016-10-15 10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9" s="52" t="str">
        <f t="shared" si="25"/>
        <v>N</v>
      </c>
      <c r="X49" s="149">
        <f t="shared" si="26"/>
        <v>1</v>
      </c>
      <c r="Y49" s="67">
        <f t="shared" si="27"/>
        <v>23.297999999999998</v>
      </c>
      <c r="Z49" s="67">
        <f t="shared" si="28"/>
        <v>1.5599999999999999E-2</v>
      </c>
      <c r="AA49" s="67">
        <f t="shared" si="29"/>
        <v>23.282399999999999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30"/>
        <v>0136-15</v>
      </c>
      <c r="AE49" s="91" t="str">
        <f t="shared" si="31"/>
        <v>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 &amp; aws s3 cp s3://rtdc.mdm.uploadarchive.raw/RTDC4015/ "%USERPROFILE%\AppData\Local\Temp\OnboardLogs"\RTDC4015\2016-10-16 --exclude "*" --recursive --include "*20161016*" &amp; "%USERPROFILE%\Documents\GitHub\mrs-test-scripts\Headless Mode &amp; Sideloading\WalkAndUnGZ.bat" "%USERPROFILE%\AppData\Local\Temp\OnboardLogs"\RTDC4015\2016-10-16</v>
      </c>
      <c r="AF49" s="88" t="str">
        <f t="shared" si="32"/>
        <v>"C:\Program Files (x86)\AstroGrep\AstroGrep.exe" /spath="%USERPROFILE%\AppData\Local\Temp\OnboardLogs" /stypes="app*4015*20161015*" /stext=" 15:.+((SYSTEM_STATE.+slice.+state.+changed )|(ment ac)|(system.+state.+changed )|(\[timeout)|(PRM\|1\|D)|(kpr)|(kdp)|(\|lc)|(penalty))" /e /r /s</v>
      </c>
      <c r="AG49" s="1" t="str">
        <f t="shared" si="33"/>
        <v>EC</v>
      </c>
      <c r="AH49" s="92" t="str">
        <f t="shared" si="17"/>
        <v>"%USERPROFILE%\Documents\GitHub\eaglep3\Utilities\RefineRTDCRunTimes.py" --tripid 136-15 --locoid 4015 --swversion DE.1.0.7.0 --startMP 204:232980 --initTime 2016-10-15T08:47:55 --startdatetime 2016-10-15T08:56:12 --delay 1 --endMP 204:156 --enddatetime 2016-10-15T09:36:16 --enforcementcount 0 &gt;&gt;C:\Users\stu\Documents\GitHub\eaglep3-reporting\EC\2016-10-15-refined-times.txt</v>
      </c>
      <c r="AI49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{"issue":{"subject":"","project_id":79,"tracker_id":40,"status_id":1,"priority_id":2,"assigned_to_id":23,"start_date":"2016-10-15","description":"","custom_fields":[{"id":1,"name":"Subdivision","value":"EC"},{"id":4,"name":"Milepost","value":"0.0156"},{"id":17,"name":"Train ID","value":"136-15"},{"id":16,"name":"Locomotive ID","value":"4015"},{"id":130,"name":"Impact","value":""},{"id":150,"name":"Time of Event (Mountain Time)","value":"09:36:16"},{"id":151,"name":"Denver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499</v>
      </c>
      <c r="B50" s="7">
        <v>4011</v>
      </c>
      <c r="C50" s="22" t="s">
        <v>99</v>
      </c>
      <c r="D50" s="22" t="s">
        <v>267</v>
      </c>
      <c r="E50" s="13">
        <v>42658.341215277775</v>
      </c>
      <c r="F50" s="13">
        <v>42658.343935185185</v>
      </c>
      <c r="G50" s="7">
        <v>1</v>
      </c>
      <c r="H50" s="13" t="s">
        <v>645</v>
      </c>
      <c r="I50" s="13">
        <v>42658.368692129632</v>
      </c>
      <c r="J50" s="7">
        <v>0</v>
      </c>
      <c r="K50" s="112" t="str">
        <f t="shared" si="19"/>
        <v>4011/4012</v>
      </c>
      <c r="L50" s="22" t="str">
        <f>VLOOKUP(A50,'Trips&amp;Operators'!$C$1:$E$10000,3,FALSE)</f>
        <v>KILLION</v>
      </c>
      <c r="M50" s="6">
        <f t="shared" si="20"/>
        <v>2.4756944447290152E-2</v>
      </c>
      <c r="N50" s="7">
        <f t="shared" si="21"/>
        <v>35.650000004097819</v>
      </c>
      <c r="O50" s="7"/>
      <c r="P50" s="7"/>
      <c r="Q50" s="23"/>
      <c r="R50" s="23"/>
      <c r="S50" s="35">
        <f t="shared" si="22"/>
        <v>1</v>
      </c>
      <c r="T50" s="50" t="str">
        <f t="shared" si="23"/>
        <v>NorthBound</v>
      </c>
      <c r="U50" s="144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07:11:21-0600',mode:absolute,to:'2016-10-15 09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0" s="52" t="str">
        <f t="shared" si="25"/>
        <v>N</v>
      </c>
      <c r="X50" s="149">
        <f t="shared" si="26"/>
        <v>1</v>
      </c>
      <c r="Y50" s="67">
        <f t="shared" si="27"/>
        <v>4.6600000000000003E-2</v>
      </c>
      <c r="Z50" s="67">
        <f t="shared" si="28"/>
        <v>23.3308</v>
      </c>
      <c r="AA50" s="67">
        <f t="shared" si="29"/>
        <v>23.284199999999998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30"/>
        <v>0137-15</v>
      </c>
      <c r="AE50" s="91" t="str">
        <f t="shared" si="31"/>
        <v>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 &amp; aws s3 cp s3://rtdc.mdm.uploadarchive.raw/RTDC4011/ "%USERPROFILE%\AppData\Local\Temp\OnboardLogs"\RTDC4011\2016-10-16 --exclude "*" --recursive --include "*20161016*" &amp; "%USERPROFILE%\Documents\GitHub\mrs-test-scripts\Headless Mode &amp; Sideloading\WalkAndUnGZ.bat" "%USERPROFILE%\AppData\Local\Temp\OnboardLogs"\RTDC4011\2016-10-16</v>
      </c>
      <c r="AF50" s="88" t="str">
        <f t="shared" si="32"/>
        <v>"C:\Program Files (x86)\AstroGrep\AstroGrep.exe" /spath="%USERPROFILE%\AppData\Local\Temp\OnboardLogs" /stypes="app*4011*20161015*" /stext=" 14:.+((SYSTEM_STATE.+slice.+state.+changed )|(ment ac)|(system.+state.+changed )|(\[timeout)|(PRM\|1\|D)|(kpr)|(kdp)|(\|lc)|(penalty))" /e /r /s</v>
      </c>
      <c r="AG50" s="1" t="str">
        <f t="shared" si="33"/>
        <v>EC</v>
      </c>
      <c r="AH50" s="92" t="str">
        <f t="shared" si="17"/>
        <v>"%USERPROFILE%\Documents\GitHub\eaglep3\Utilities\RefineRTDCRunTimes.py" --tripid 137-15 --locoid 4011 --swversion DE.1.0.7.0 --startMP 204:466 --initTime 2016-10-15T08:11:21 --startdatetime 2016-10-15T08:15:16 --delay 1 --endMP 204:233308 --enddatetime 2016-10-15T08:50:55 --enforcementcount 0 &gt;&gt;C:\Users\stu\Documents\GitHub\eaglep3-reporting\EC\2016-10-15-refined-times.txt</v>
      </c>
      <c r="AI50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{"issue":{"subject":"","project_id":79,"tracker_id":40,"status_id":1,"priority_id":2,"assigned_to_id":23,"start_date":"2016-10-15","description":"","custom_fields":[{"id":1,"name":"Subdivision","value":"EC"},{"id":4,"name":"Milepost","value":"23.3308"},{"id":17,"name":"Train ID","value":"137-15"},{"id":16,"name":"Locomotive ID","value":"4011"},{"id":130,"name":"Impact","value":""},{"id":150,"name":"Time of Event (Mountain Time)","value":"08:50:55"},{"id":151,"name":"Denver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433</v>
      </c>
      <c r="B51" s="7">
        <v>4012</v>
      </c>
      <c r="C51" s="22" t="s">
        <v>99</v>
      </c>
      <c r="D51" s="22" t="s">
        <v>403</v>
      </c>
      <c r="E51" s="13">
        <v>42658.373692129629</v>
      </c>
      <c r="F51" s="13">
        <v>42658.382835648146</v>
      </c>
      <c r="G51" s="7">
        <v>1</v>
      </c>
      <c r="H51" s="13" t="s">
        <v>242</v>
      </c>
      <c r="I51" s="13">
        <v>42658.409918981481</v>
      </c>
      <c r="J51" s="7">
        <v>0</v>
      </c>
      <c r="K51" s="112" t="str">
        <f t="shared" si="19"/>
        <v>4011/4012</v>
      </c>
      <c r="L51" s="22" t="str">
        <f>VLOOKUP(A51,'Trips&amp;Operators'!$C$1:$E$10000,3,FALSE)</f>
        <v>KILLION</v>
      </c>
      <c r="M51" s="6">
        <f t="shared" si="20"/>
        <v>2.7083333334303461E-2</v>
      </c>
      <c r="N51" s="7">
        <f t="shared" si="21"/>
        <v>39.000000001396984</v>
      </c>
      <c r="O51" s="7"/>
      <c r="P51" s="7"/>
      <c r="Q51" s="23"/>
      <c r="R51" s="23"/>
      <c r="S51" s="35">
        <f t="shared" si="22"/>
        <v>1</v>
      </c>
      <c r="T51" s="50" t="str">
        <f t="shared" si="23"/>
        <v>Southbound</v>
      </c>
      <c r="U51" s="144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07:58:07-0600',mode:absolute,to:'2016-10-15 10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1" s="52" t="str">
        <f t="shared" si="25"/>
        <v>N</v>
      </c>
      <c r="X51" s="149">
        <f t="shared" si="26"/>
        <v>1</v>
      </c>
      <c r="Y51" s="67">
        <f t="shared" si="27"/>
        <v>23.2987</v>
      </c>
      <c r="Z51" s="67">
        <f t="shared" si="28"/>
        <v>1.4500000000000001E-2</v>
      </c>
      <c r="AA51" s="67">
        <f t="shared" si="29"/>
        <v>23.284199999999998</v>
      </c>
      <c r="AB51" s="64" t="str">
        <f>VLOOKUP(A51,Enforcements!$C$7:$K$21,8,0)</f>
        <v>Bulletin (2)</v>
      </c>
      <c r="AC51" s="60" t="str">
        <f>VLOOKUP(A51,Enforcements!$C$7:$E$21,3,0)</f>
        <v>GRADE CROSSING</v>
      </c>
      <c r="AD51" s="61" t="str">
        <f t="shared" si="30"/>
        <v>0138-15</v>
      </c>
      <c r="AE51" s="91" t="str">
        <f t="shared" si="31"/>
        <v>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 &amp; aws s3 cp s3://rtdc.mdm.uploadarchive.raw/RTDC4012/ "%USERPROFILE%\AppData\Local\Temp\OnboardLogs"\RTDC4012\2016-10-16 --exclude "*" --recursive --include "*20161016*" &amp; "%USERPROFILE%\Documents\GitHub\mrs-test-scripts\Headless Mode &amp; Sideloading\WalkAndUnGZ.bat" "%USERPROFILE%\AppData\Local\Temp\OnboardLogs"\RTDC4012\2016-10-16</v>
      </c>
      <c r="AF51" s="88" t="str">
        <f t="shared" si="32"/>
        <v>"C:\Program Files (x86)\AstroGrep\AstroGrep.exe" /spath="%USERPROFILE%\AppData\Local\Temp\OnboardLogs" /stypes="app*4012*20161015*" /stext=" 15:.+((SYSTEM_STATE.+slice.+state.+changed )|(ment ac)|(system.+state.+changed )|(\[timeout)|(PRM\|1\|D)|(kpr)|(kdp)|(\|lc)|(penalty))" /e /r /s</v>
      </c>
      <c r="AG51" s="1" t="str">
        <f t="shared" si="33"/>
        <v>EC</v>
      </c>
      <c r="AH51" s="92" t="str">
        <f t="shared" si="17"/>
        <v>"%USERPROFILE%\Documents\GitHub\eaglep3\Utilities\RefineRTDCRunTimes.py" --tripid 138-15 --locoid 4012 --swversion DE.1.0.7.0 --startMP 204:232987 --initTime 2016-10-15T08:58:07 --startdatetime 2016-10-15T09:11:17 --delay 1 --endMP 204:145 --enddatetime 2016-10-15T09:50:17 --enforcementcount 0 &gt;&gt;C:\Users\stu\Documents\GitHub\eaglep3-reporting\EC\2016-10-15-refined-times.txt</v>
      </c>
      <c r="AI51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{"issue":{"subject":"","project_id":79,"tracker_id":40,"status_id":1,"priority_id":2,"assigned_to_id":23,"start_date":"2016-10-15","description":"","custom_fields":[{"id":1,"name":"Subdivision","value":"EC"},{"id":4,"name":"Milepost","value":"0.0145"},{"id":17,"name":"Train ID","value":"138-15"},{"id":16,"name":"Locomotive ID","value":"4012"},{"id":130,"name":"Impact","value":""},{"id":150,"name":"Time of Event (Mountain Time)","value":"09:50:17"},{"id":151,"name":"Denver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501</v>
      </c>
      <c r="B52" s="7">
        <v>4020</v>
      </c>
      <c r="C52" s="22" t="s">
        <v>99</v>
      </c>
      <c r="D52" s="22" t="s">
        <v>256</v>
      </c>
      <c r="E52" s="13">
        <v>42658.350451388891</v>
      </c>
      <c r="F52" s="13">
        <v>42658.354467592595</v>
      </c>
      <c r="G52" s="7">
        <v>1</v>
      </c>
      <c r="H52" s="13" t="s">
        <v>646</v>
      </c>
      <c r="I52" s="13">
        <v>42658.378819444442</v>
      </c>
      <c r="J52" s="7">
        <v>0</v>
      </c>
      <c r="K52" s="112" t="str">
        <f t="shared" si="19"/>
        <v>4019/4020</v>
      </c>
      <c r="L52" s="22" t="str">
        <f>VLOOKUP(A52,'Trips&amp;Operators'!$C$1:$E$10000,3,FALSE)</f>
        <v>GEBRETEKLE</v>
      </c>
      <c r="M52" s="6">
        <f t="shared" si="20"/>
        <v>2.435185184731381E-2</v>
      </c>
      <c r="N52" s="7">
        <f t="shared" si="21"/>
        <v>35.066666660131887</v>
      </c>
      <c r="O52" s="7"/>
      <c r="P52" s="7"/>
      <c r="Q52" s="23"/>
      <c r="R52" s="23"/>
      <c r="S52" s="35">
        <f t="shared" si="22"/>
        <v>1</v>
      </c>
      <c r="T52" s="50" t="str">
        <f t="shared" si="23"/>
        <v>NorthBound</v>
      </c>
      <c r="U52" s="144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07:24:39-0600',mode:absolute,to:'2016-10-15 10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2" s="52" t="str">
        <f t="shared" si="25"/>
        <v>N</v>
      </c>
      <c r="X52" s="149">
        <f t="shared" si="26"/>
        <v>1</v>
      </c>
      <c r="Y52" s="67">
        <f t="shared" si="27"/>
        <v>4.6399999999999997E-2</v>
      </c>
      <c r="Z52" s="67">
        <f t="shared" si="28"/>
        <v>23.331600000000002</v>
      </c>
      <c r="AA52" s="67">
        <f t="shared" si="29"/>
        <v>23.285200000000003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30"/>
        <v>0139-15</v>
      </c>
      <c r="AE52" s="91" t="str">
        <f t="shared" si="31"/>
        <v>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 &amp; aws s3 cp s3://rtdc.mdm.uploadarchive.raw/RTDC4020/ "%USERPROFILE%\AppData\Local\Temp\OnboardLogs"\RTDC4020\2016-10-16 --exclude "*" --recursive --include "*20161016*" &amp; "%USERPROFILE%\Documents\GitHub\mrs-test-scripts\Headless Mode &amp; Sideloading\WalkAndUnGZ.bat" "%USERPROFILE%\AppData\Local\Temp\OnboardLogs"\RTDC4020\2016-10-16</v>
      </c>
      <c r="AF52" s="88" t="str">
        <f t="shared" si="32"/>
        <v>"C:\Program Files (x86)\AstroGrep\AstroGrep.exe" /spath="%USERPROFILE%\AppData\Local\Temp\OnboardLogs" /stypes="app*4020*20161015*" /stext=" 15:.+((SYSTEM_STATE.+slice.+state.+changed )|(ment ac)|(system.+state.+changed )|(\[timeout)|(PRM\|1\|D)|(kpr)|(kdp)|(\|lc)|(penalty))" /e /r /s</v>
      </c>
      <c r="AG52" s="1" t="str">
        <f t="shared" si="33"/>
        <v>EC</v>
      </c>
      <c r="AH52" s="92" t="str">
        <f t="shared" si="17"/>
        <v>"%USERPROFILE%\Documents\GitHub\eaglep3\Utilities\RefineRTDCRunTimes.py" --tripid 139-15 --locoid 4020 --swversion DE.1.0.7.0 --startMP 204:464 --initTime 2016-10-15T08:24:39 --startdatetime 2016-10-15T08:30:26 --delay 1 --endMP 204:233316 --enddatetime 2016-10-15T09:05:30 --enforcementcount 0 &gt;&gt;C:\Users\stu\Documents\GitHub\eaglep3-reporting\EC\2016-10-15-refined-times.txt</v>
      </c>
      <c r="AI52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{"issue":{"subject":"","project_id":79,"tracker_id":40,"status_id":1,"priority_id":2,"assigned_to_id":23,"start_date":"2016-10-15","description":"","custom_fields":[{"id":1,"name":"Subdivision","value":"EC"},{"id":4,"name":"Milepost","value":"23.3316"},{"id":17,"name":"Train ID","value":"139-15"},{"id":16,"name":"Locomotive ID","value":"4020"},{"id":130,"name":"Impact","value":""},{"id":150,"name":"Time of Event (Mountain Time)","value":"09:05:30"},{"id":151,"name":"Denver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508</v>
      </c>
      <c r="B53" s="7">
        <v>4019</v>
      </c>
      <c r="C53" s="22" t="s">
        <v>99</v>
      </c>
      <c r="D53" s="22" t="s">
        <v>318</v>
      </c>
      <c r="E53" s="13">
        <v>42658.390231481484</v>
      </c>
      <c r="F53" s="13">
        <v>42658.393217592595</v>
      </c>
      <c r="G53" s="7">
        <v>1</v>
      </c>
      <c r="H53" s="13" t="s">
        <v>182</v>
      </c>
      <c r="I53" s="13">
        <v>42658.420671296299</v>
      </c>
      <c r="J53" s="7">
        <v>0</v>
      </c>
      <c r="K53" s="112" t="str">
        <f t="shared" si="19"/>
        <v>4019/4020</v>
      </c>
      <c r="L53" s="22" t="str">
        <f>VLOOKUP(A53,'Trips&amp;Operators'!$C$1:$E$10000,3,FALSE)</f>
        <v>GEBRETEKLE</v>
      </c>
      <c r="M53" s="6">
        <f t="shared" si="20"/>
        <v>2.7453703703940846E-2</v>
      </c>
      <c r="N53" s="7">
        <f t="shared" si="21"/>
        <v>39.533333333674818</v>
      </c>
      <c r="O53" s="7"/>
      <c r="P53" s="7"/>
      <c r="Q53" s="23"/>
      <c r="R53" s="23"/>
      <c r="S53" s="35">
        <f t="shared" si="22"/>
        <v>1</v>
      </c>
      <c r="T53" s="50" t="str">
        <f t="shared" si="23"/>
        <v>Southbound</v>
      </c>
      <c r="U53" s="144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08:21:56-0600',mode:absolute,to:'2016-10-15 11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3" s="52" t="str">
        <f t="shared" si="25"/>
        <v>N</v>
      </c>
      <c r="X53" s="149">
        <f t="shared" si="26"/>
        <v>1</v>
      </c>
      <c r="Y53" s="67">
        <f t="shared" si="27"/>
        <v>23.297999999999998</v>
      </c>
      <c r="Z53" s="67">
        <f t="shared" si="28"/>
        <v>1.41E-2</v>
      </c>
      <c r="AA53" s="67">
        <f t="shared" si="29"/>
        <v>23.283899999999999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30"/>
        <v>0140-15</v>
      </c>
      <c r="AE53" s="91" t="str">
        <f t="shared" si="31"/>
        <v>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 &amp; aws s3 cp s3://rtdc.mdm.uploadarchive.raw/RTDC4019/ "%USERPROFILE%\AppData\Local\Temp\OnboardLogs"\RTDC4019\2016-10-16 --exclude "*" --recursive --include "*20161016*" &amp; "%USERPROFILE%\Documents\GitHub\mrs-test-scripts\Headless Mode &amp; Sideloading\WalkAndUnGZ.bat" "%USERPROFILE%\AppData\Local\Temp\OnboardLogs"\RTDC4019\2016-10-16</v>
      </c>
      <c r="AF53" s="88" t="str">
        <f t="shared" si="32"/>
        <v>"C:\Program Files (x86)\AstroGrep\AstroGrep.exe" /spath="%USERPROFILE%\AppData\Local\Temp\OnboardLogs" /stypes="app*4019*20161015*" /stext=" 16:.+((SYSTEM_STATE.+slice.+state.+changed )|(ment ac)|(system.+state.+changed )|(\[timeout)|(PRM\|1\|D)|(kpr)|(kdp)|(\|lc)|(penalty))" /e /r /s</v>
      </c>
      <c r="AG53" s="1" t="str">
        <f t="shared" si="33"/>
        <v>EC</v>
      </c>
      <c r="AH53" s="92" t="str">
        <f t="shared" si="17"/>
        <v>"%USERPROFILE%\Documents\GitHub\eaglep3\Utilities\RefineRTDCRunTimes.py" --tripid 140-15 --locoid 4019 --swversion DE.1.0.7.0 --startMP 204:232980 --initTime 2016-10-15T09:21:56 --startdatetime 2016-10-15T09:26:14 --delay 1 --endMP 204:141 --enddatetime 2016-10-15T10:05:46 --enforcementcount 0 &gt;&gt;C:\Users\stu\Documents\GitHub\eaglep3-reporting\EC\2016-10-15-refined-times.txt</v>
      </c>
      <c r="AI53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{"issue":{"subject":"","project_id":79,"tracker_id":40,"status_id":1,"priority_id":2,"assigned_to_id":23,"start_date":"2016-10-15","description":"","custom_fields":[{"id":1,"name":"Subdivision","value":"EC"},{"id":4,"name":"Milepost","value":"0.0141"},{"id":17,"name":"Train ID","value":"140-15"},{"id":16,"name":"Locomotive ID","value":"4019"},{"id":130,"name":"Impact","value":""},{"id":150,"name":"Time of Event (Mountain Time)","value":"10:05:46"},{"id":151,"name":"Denver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504</v>
      </c>
      <c r="B54" s="7">
        <v>4044</v>
      </c>
      <c r="C54" s="22" t="s">
        <v>99</v>
      </c>
      <c r="D54" s="22" t="s">
        <v>406</v>
      </c>
      <c r="E54" s="13">
        <v>42658.360891203702</v>
      </c>
      <c r="F54" s="13">
        <v>42658.364884259259</v>
      </c>
      <c r="G54" s="7">
        <v>1</v>
      </c>
      <c r="H54" s="13" t="s">
        <v>647</v>
      </c>
      <c r="I54" s="13">
        <v>42658.389791666668</v>
      </c>
      <c r="J54" s="7">
        <v>0</v>
      </c>
      <c r="K54" s="112" t="str">
        <f t="shared" si="19"/>
        <v>4043/4044</v>
      </c>
      <c r="L54" s="22" t="str">
        <f>VLOOKUP(A54,'Trips&amp;Operators'!$C$1:$E$10000,3,FALSE)</f>
        <v>MAELZER</v>
      </c>
      <c r="M54" s="6">
        <f t="shared" si="20"/>
        <v>2.4907407409045845E-2</v>
      </c>
      <c r="N54" s="7">
        <f t="shared" si="21"/>
        <v>35.866666669026017</v>
      </c>
      <c r="O54" s="7"/>
      <c r="P54" s="7"/>
      <c r="Q54" s="23"/>
      <c r="R54" s="23"/>
      <c r="S54" s="35">
        <f t="shared" si="22"/>
        <v>1</v>
      </c>
      <c r="T54" s="50" t="str">
        <f t="shared" si="23"/>
        <v>NorthBound</v>
      </c>
      <c r="U54" s="144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07:39:41-0600',mode:absolute,to:'2016-10-15 10:21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4" s="52" t="str">
        <f t="shared" si="25"/>
        <v>N</v>
      </c>
      <c r="X54" s="149">
        <f t="shared" si="26"/>
        <v>1</v>
      </c>
      <c r="Y54" s="67">
        <f t="shared" si="27"/>
        <v>4.2700000000000002E-2</v>
      </c>
      <c r="Z54" s="67">
        <f t="shared" si="28"/>
        <v>23.330200000000001</v>
      </c>
      <c r="AA54" s="67">
        <f t="shared" si="29"/>
        <v>23.287500000000001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30"/>
        <v>0141-15</v>
      </c>
      <c r="AE54" s="91" t="str">
        <f t="shared" si="31"/>
        <v>aws s3 cp s3://rtdc.mdm.uploadarchive.raw/RTDC4044/ "%USERPROFILE%\AppData\Local\Temp\OnboardLogs"\RTDC4044\2016-10-15 --exclude "*" --recursive --include "*20161015*" &amp; "%USERPROFILE%\Documents\GitHub\mrs-test-scripts\Headless Mode &amp; Sideloading\WalkAndUnGZ.bat" "%USERPROFILE%\AppData\Local\Temp\OnboardLogs"\RTDC4044\2016-10-15 &amp; 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</v>
      </c>
      <c r="AF54" s="88" t="str">
        <f t="shared" si="32"/>
        <v>"C:\Program Files (x86)\AstroGrep\AstroGrep.exe" /spath="%USERPROFILE%\AppData\Local\Temp\OnboardLogs" /stypes="app*4044*20161015*" /stext=" 15:.+((SYSTEM_STATE.+slice.+state.+changed )|(ment ac)|(system.+state.+changed )|(\[timeout)|(PRM\|1\|D)|(kpr)|(kdp)|(\|lc)|(penalty))" /e /r /s</v>
      </c>
      <c r="AG54" s="1" t="str">
        <f t="shared" si="33"/>
        <v>EC</v>
      </c>
      <c r="AH54" s="92" t="str">
        <f t="shared" si="17"/>
        <v>"%USERPROFILE%\Documents\GitHub\eaglep3\Utilities\RefineRTDCRunTimes.py" --tripid 141-15 --locoid 4044 --swversion DE.1.0.7.0 --startMP 204:427 --initTime 2016-10-15T08:39:41 --startdatetime 2016-10-15T08:45:26 --delay 1 --endMP 204:233302 --enddatetime 2016-10-15T09:21:18 --enforcementcount 0 &gt;&gt;C:\Users\stu\Documents\GitHub\eaglep3-reporting\EC\2016-10-15-refined-times.txt</v>
      </c>
      <c r="AI54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{"issue":{"subject":"","project_id":79,"tracker_id":40,"status_id":1,"priority_id":2,"assigned_to_id":23,"start_date":"2016-10-15","description":"","custom_fields":[{"id":1,"name":"Subdivision","value":"EC"},{"id":4,"name":"Milepost","value":"23.3302"},{"id":17,"name":"Train ID","value":"141-15"},{"id":16,"name":"Locomotive ID","value":"4044"},{"id":130,"name":"Impact","value":""},{"id":150,"name":"Time of Event (Mountain Time)","value":"09:21:18"},{"id":151,"name":"Denver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510</v>
      </c>
      <c r="B55" s="7">
        <v>4043</v>
      </c>
      <c r="C55" s="22" t="s">
        <v>99</v>
      </c>
      <c r="D55" s="22" t="s">
        <v>274</v>
      </c>
      <c r="E55" s="13">
        <v>42658.395277777781</v>
      </c>
      <c r="F55" s="13">
        <v>42658.403784722221</v>
      </c>
      <c r="G55" s="7">
        <v>0</v>
      </c>
      <c r="H55" s="13" t="s">
        <v>275</v>
      </c>
      <c r="I55" s="13">
        <v>42658.430798611109</v>
      </c>
      <c r="J55" s="7">
        <v>0</v>
      </c>
      <c r="K55" s="112" t="str">
        <f t="shared" si="19"/>
        <v>4043/4044</v>
      </c>
      <c r="L55" s="22" t="str">
        <f>VLOOKUP(A55,'Trips&amp;Operators'!$C$1:$E$10000,3,FALSE)</f>
        <v>MAELZER</v>
      </c>
      <c r="M55" s="6">
        <f t="shared" si="20"/>
        <v>2.7013888888177462E-2</v>
      </c>
      <c r="N55" s="7">
        <f t="shared" si="21"/>
        <v>38.899999998975545</v>
      </c>
      <c r="O55" s="7"/>
      <c r="P55" s="7"/>
      <c r="Q55" s="23"/>
      <c r="R55" s="23"/>
      <c r="S55" s="35">
        <f t="shared" si="22"/>
        <v>1</v>
      </c>
      <c r="T55" s="50" t="str">
        <f t="shared" si="23"/>
        <v>Southbound</v>
      </c>
      <c r="U55" s="144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08:29:12-0600',mode:absolute,to:'2016-10-15 11:20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5" s="52" t="str">
        <f t="shared" si="25"/>
        <v>N</v>
      </c>
      <c r="X55" s="149">
        <f t="shared" si="26"/>
        <v>1</v>
      </c>
      <c r="Y55" s="67">
        <f t="shared" si="27"/>
        <v>23.2989</v>
      </c>
      <c r="Z55" s="67">
        <f t="shared" si="28"/>
        <v>1.6E-2</v>
      </c>
      <c r="AA55" s="67">
        <f t="shared" si="29"/>
        <v>23.282900000000001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30"/>
        <v>0142-15</v>
      </c>
      <c r="AE55" s="91" t="str">
        <f t="shared" si="31"/>
        <v>aws s3 cp s3://rtdc.mdm.uploadarchive.raw/RTDC4043/ "%USERPROFILE%\AppData\Local\Temp\OnboardLogs"\RTDC4043\2016-10-15 --exclude "*" --recursive --include "*20161015*" &amp; "%USERPROFILE%\Documents\GitHub\mrs-test-scripts\Headless Mode &amp; Sideloading\WalkAndUnGZ.bat" "%USERPROFILE%\AppData\Local\Temp\OnboardLogs"\RTDC4043\2016-10-15 &amp; 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</v>
      </c>
      <c r="AF55" s="88" t="str">
        <f t="shared" si="32"/>
        <v>"C:\Program Files (x86)\AstroGrep\AstroGrep.exe" /spath="%USERPROFILE%\AppData\Local\Temp\OnboardLogs" /stypes="app*4043*20161015*" /stext=" 16:.+((SYSTEM_STATE.+slice.+state.+changed )|(ment ac)|(system.+state.+changed )|(\[timeout)|(PRM\|1\|D)|(kpr)|(kdp)|(\|lc)|(penalty))" /e /r /s</v>
      </c>
      <c r="AG55" s="1" t="str">
        <f t="shared" si="33"/>
        <v>EC</v>
      </c>
      <c r="AH55" s="92" t="str">
        <f t="shared" si="17"/>
        <v>"%USERPROFILE%\Documents\GitHub\eaglep3\Utilities\RefineRTDCRunTimes.py" --tripid 142-15 --locoid 4043 --swversion DE.1.0.7.0 --startMP 204:232989 --initTime 2016-10-15T09:29:12 --startdatetime 2016-10-15T09:41:27 --delay 0 --endMP 204:160 --enddatetime 2016-10-15T10:20:21 --enforcementcount 0 &gt;&gt;C:\Users\stu\Documents\GitHub\eaglep3-reporting\EC\2016-10-15-refined-times.txt</v>
      </c>
      <c r="AI55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{"issue":{"subject":"","project_id":79,"tracker_id":40,"status_id":1,"priority_id":2,"assigned_to_id":23,"start_date":"2016-10-15","description":"","custom_fields":[{"id":1,"name":"Subdivision","value":"EC"},{"id":4,"name":"Milepost","value":"0.016"},{"id":17,"name":"Train ID","value":"142-15"},{"id":16,"name":"Locomotive ID","value":"4043"},{"id":130,"name":"Impact","value":""},{"id":150,"name":"Time of Event (Mountain Time)","value":"10:20:21"},{"id":151,"name":"Denver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432</v>
      </c>
      <c r="B56" s="7">
        <v>4053</v>
      </c>
      <c r="C56" s="22" t="s">
        <v>99</v>
      </c>
      <c r="D56" s="22" t="s">
        <v>404</v>
      </c>
      <c r="E56" s="13">
        <v>42658.370613425926</v>
      </c>
      <c r="F56" s="13">
        <v>42658.375173611108</v>
      </c>
      <c r="G56" s="7">
        <v>1</v>
      </c>
      <c r="H56" s="13" t="s">
        <v>320</v>
      </c>
      <c r="I56" s="13">
        <v>42658.402048611111</v>
      </c>
      <c r="J56" s="7">
        <v>0</v>
      </c>
      <c r="K56" s="112" t="str">
        <f t="shared" si="19"/>
        <v>4053/4054</v>
      </c>
      <c r="L56" s="22" t="str">
        <f>VLOOKUP(A56,'Trips&amp;Operators'!$C$1:$E$10000,3,FALSE)</f>
        <v>STRICKLAND</v>
      </c>
      <c r="M56" s="6">
        <f t="shared" si="20"/>
        <v>2.6875000003201421E-2</v>
      </c>
      <c r="N56" s="7">
        <f t="shared" si="21"/>
        <v>38.700000004610047</v>
      </c>
      <c r="O56" s="7"/>
      <c r="P56" s="7"/>
      <c r="Q56" s="23"/>
      <c r="R56" s="23"/>
      <c r="S56" s="35">
        <f t="shared" si="22"/>
        <v>1</v>
      </c>
      <c r="T56" s="50" t="str">
        <f t="shared" si="23"/>
        <v>NorthBound</v>
      </c>
      <c r="U56" s="144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07:53:41-0600',mode:absolute,to:'2016-10-15 10:38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6" s="52" t="str">
        <f t="shared" si="25"/>
        <v>N</v>
      </c>
      <c r="X56" s="149">
        <f t="shared" si="26"/>
        <v>1</v>
      </c>
      <c r="Y56" s="67">
        <f t="shared" si="27"/>
        <v>4.8000000000000001E-2</v>
      </c>
      <c r="Z56" s="67">
        <f t="shared" si="28"/>
        <v>23.330100000000002</v>
      </c>
      <c r="AA56" s="67">
        <f t="shared" si="29"/>
        <v>23.282100000000003</v>
      </c>
      <c r="AB56" s="64" t="str">
        <f>VLOOKUP(A56,Enforcements!$C$7:$K$21,8,0)</f>
        <v>Bulletin (2)</v>
      </c>
      <c r="AC56" s="60" t="str">
        <f>VLOOKUP(A56,Enforcements!$C$7:$E$21,3,0)</f>
        <v>GRADE CROSSING</v>
      </c>
      <c r="AD56" s="61" t="str">
        <f t="shared" si="30"/>
        <v>0143-15</v>
      </c>
      <c r="AE56" s="91" t="str">
        <f t="shared" si="31"/>
        <v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v>
      </c>
      <c r="AF56" s="88" t="str">
        <f t="shared" si="32"/>
        <v>"C:\Program Files (x86)\AstroGrep\AstroGrep.exe" /spath="%USERPROFILE%\AppData\Local\Temp\OnboardLogs" /stypes="app*4053*20161015*" /stext=" 15:.+((SYSTEM_STATE.+slice.+state.+changed )|(ment ac)|(system.+state.+changed )|(\[timeout)|(PRM\|1\|D)|(kpr)|(kdp)|(\|lc)|(penalty))" /e /r /s</v>
      </c>
      <c r="AG56" s="1" t="str">
        <f t="shared" si="33"/>
        <v>EC</v>
      </c>
      <c r="AH56" s="92" t="str">
        <f t="shared" si="17"/>
        <v>"%USERPROFILE%\Documents\GitHub\eaglep3\Utilities\RefineRTDCRunTimes.py" --tripid 143-15 --locoid 4053 --swversion DE.1.0.7.0 --startMP 204:480 --initTime 2016-10-15T08:53:41 --startdatetime 2016-10-15T09:00:15 --delay 1 --endMP 204:233301 --enddatetime 2016-10-15T09:38:57 --enforcementcount 0 &gt;&gt;C:\Users\stu\Documents\GitHub\eaglep3-reporting\EC\2016-10-15-refined-times.txt</v>
      </c>
      <c r="AI56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{"issue":{"subject":"","project_id":79,"tracker_id":40,"status_id":1,"priority_id":2,"assigned_to_id":23,"start_date":"2016-10-15","description":"","custom_fields":[{"id":1,"name":"Subdivision","value":"EC"},{"id":4,"name":"Milepost","value":"23.3301"},{"id":17,"name":"Train ID","value":"143-15"},{"id":16,"name":"Locomotive ID","value":"4053"},{"id":130,"name":"Impact","value":""},{"id":150,"name":"Time of Event (Mountain Time)","value":"09:38:57"},{"id":151,"name":"Denver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513</v>
      </c>
      <c r="B57" s="7">
        <v>4054</v>
      </c>
      <c r="C57" s="22" t="s">
        <v>99</v>
      </c>
      <c r="D57" s="22" t="s">
        <v>322</v>
      </c>
      <c r="E57" s="13">
        <v>42658.411087962966</v>
      </c>
      <c r="F57" s="13">
        <v>42658.414386574077</v>
      </c>
      <c r="G57" s="7">
        <v>2</v>
      </c>
      <c r="H57" s="13" t="s">
        <v>177</v>
      </c>
      <c r="I57" s="13">
        <v>42658.441527777781</v>
      </c>
      <c r="J57" s="7">
        <v>0</v>
      </c>
      <c r="K57" s="112" t="str">
        <f t="shared" si="19"/>
        <v>4053/4054</v>
      </c>
      <c r="L57" s="22" t="str">
        <f>VLOOKUP(A57,'Trips&amp;Operators'!$C$1:$E$10000,3,FALSE)</f>
        <v>STRICKLAND</v>
      </c>
      <c r="M57" s="6">
        <f t="shared" si="20"/>
        <v>2.7141203703649808E-2</v>
      </c>
      <c r="N57" s="7">
        <f t="shared" si="21"/>
        <v>39.083333333255723</v>
      </c>
      <c r="O57" s="7"/>
      <c r="P57" s="7"/>
      <c r="Q57" s="23"/>
      <c r="R57" s="23"/>
      <c r="S57" s="35">
        <f t="shared" si="22"/>
        <v>1</v>
      </c>
      <c r="T57" s="50" t="str">
        <f t="shared" si="23"/>
        <v>Southbound</v>
      </c>
      <c r="U57" s="144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08:51:58-0600',mode:absolute,to:'2016-10-15 11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7" s="52" t="str">
        <f t="shared" si="25"/>
        <v>N</v>
      </c>
      <c r="X57" s="149">
        <f t="shared" si="26"/>
        <v>1</v>
      </c>
      <c r="Y57" s="67">
        <f t="shared" si="27"/>
        <v>23.298400000000001</v>
      </c>
      <c r="Z57" s="67">
        <f t="shared" si="28"/>
        <v>1.52E-2</v>
      </c>
      <c r="AA57" s="67">
        <f t="shared" si="29"/>
        <v>23.283200000000001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30"/>
        <v>0144-15</v>
      </c>
      <c r="AE57" s="91" t="str">
        <f t="shared" si="31"/>
        <v>aws s3 cp s3://rtdc.mdm.uploadarchive.raw/RTDC4054/ "%USERPROFILE%\AppData\Local\Temp\OnboardLogs"\RTDC4054\2016-10-15 --exclude "*" --recursive --include "*20161015*" &amp; "%USERPROFILE%\Documents\GitHub\mrs-test-scripts\Headless Mode &amp; Sideloading\WalkAndUnGZ.bat" "%USERPROFILE%\AppData\Local\Temp\OnboardLogs"\RTDC4054\2016-10-15 &amp; aws s3 cp s3://rtdc.mdm.uploadarchive.raw/RTDC4054/ "%USERPROFILE%\AppData\Local\Temp\OnboardLogs"\RTDC4054\2016-10-16 --exclude "*" --recursive --include "*20161016*" &amp; "%USERPROFILE%\Documents\GitHub\mrs-test-scripts\Headless Mode &amp; Sideloading\WalkAndUnGZ.bat" "%USERPROFILE%\AppData\Local\Temp\OnboardLogs"\RTDC4054\2016-10-16</v>
      </c>
      <c r="AF57" s="88" t="str">
        <f t="shared" si="32"/>
        <v>"C:\Program Files (x86)\AstroGrep\AstroGrep.exe" /spath="%USERPROFILE%\AppData\Local\Temp\OnboardLogs" /stypes="app*4054*20161015*" /stext=" 16:.+((SYSTEM_STATE.+slice.+state.+changed )|(ment ac)|(system.+state.+changed )|(\[timeout)|(PRM\|1\|D)|(kpr)|(kdp)|(\|lc)|(penalty))" /e /r /s</v>
      </c>
      <c r="AG57" s="1" t="str">
        <f t="shared" si="33"/>
        <v>EC</v>
      </c>
      <c r="AH57" s="92" t="str">
        <f t="shared" si="17"/>
        <v>"%USERPROFILE%\Documents\GitHub\eaglep3\Utilities\RefineRTDCRunTimes.py" --tripid 144-15 --locoid 4054 --swversion DE.1.0.7.0 --startMP 204:232984 --initTime 2016-10-15T09:51:58 --startdatetime 2016-10-15T09:56:43 --delay 2 --endMP 204:152 --enddatetime 2016-10-15T10:35:48 --enforcementcount 0 &gt;&gt;C:\Users\stu\Documents\GitHub\eaglep3-reporting\EC\2016-10-15-refined-times.txt</v>
      </c>
      <c r="AI57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{"issue":{"subject":"","project_id":79,"tracker_id":40,"status_id":1,"priority_id":2,"assigned_to_id":23,"start_date":"2016-10-15","description":"","custom_fields":[{"id":1,"name":"Subdivision","value":"EC"},{"id":4,"name":"Milepost","value":"0.0152"},{"id":17,"name":"Train ID","value":"144-15"},{"id":16,"name":"Locomotive ID","value":"4054"},{"id":130,"name":"Impact","value":""},{"id":150,"name":"Time of Event (Mountain Time)","value":"10:35:48"},{"id":151,"name":"Denver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506</v>
      </c>
      <c r="B58" s="7">
        <v>4038</v>
      </c>
      <c r="C58" s="22" t="s">
        <v>99</v>
      </c>
      <c r="D58" s="22" t="s">
        <v>268</v>
      </c>
      <c r="E58" s="13">
        <v>42658.383414351854</v>
      </c>
      <c r="F58" s="13">
        <v>42658.385682870372</v>
      </c>
      <c r="G58" s="7">
        <v>1</v>
      </c>
      <c r="H58" s="13" t="s">
        <v>269</v>
      </c>
      <c r="I58" s="13">
        <v>42658.412002314813</v>
      </c>
      <c r="J58" s="7">
        <v>0</v>
      </c>
      <c r="K58" s="112" t="str">
        <f t="shared" si="19"/>
        <v>4037/4038</v>
      </c>
      <c r="L58" s="22" t="str">
        <f>VLOOKUP(A58,'Trips&amp;Operators'!$C$1:$E$10000,3,FALSE)</f>
        <v>MALAVE</v>
      </c>
      <c r="M58" s="6">
        <f t="shared" si="20"/>
        <v>2.6319444441469386E-2</v>
      </c>
      <c r="N58" s="7">
        <f t="shared" si="21"/>
        <v>37.899999995715916</v>
      </c>
      <c r="O58" s="7"/>
      <c r="P58" s="7"/>
      <c r="Q58" s="23"/>
      <c r="R58" s="23"/>
      <c r="S58" s="35">
        <f t="shared" si="22"/>
        <v>1</v>
      </c>
      <c r="T58" s="50" t="str">
        <f t="shared" si="23"/>
        <v>NorthBound</v>
      </c>
      <c r="U58" s="144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08:12:07-0600',mode:absolute,to:'2016-10-15 10:53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8" s="52" t="str">
        <f t="shared" si="25"/>
        <v>N</v>
      </c>
      <c r="X58" s="149">
        <f t="shared" si="26"/>
        <v>1</v>
      </c>
      <c r="Y58" s="67">
        <f t="shared" si="27"/>
        <v>4.7800000000000002E-2</v>
      </c>
      <c r="Z58" s="67">
        <f t="shared" si="28"/>
        <v>23.329499999999999</v>
      </c>
      <c r="AA58" s="67">
        <f t="shared" si="29"/>
        <v>23.281700000000001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30"/>
        <v>0145-15</v>
      </c>
      <c r="AE58" s="91" t="str">
        <f t="shared" si="31"/>
        <v>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 &amp; aws s3 cp s3://rtdc.mdm.uploadarchive.raw/RTDC4038/ "%USERPROFILE%\AppData\Local\Temp\OnboardLogs"\RTDC4038\2016-10-16 --exclude "*" --recursive --include "*20161016*" &amp; "%USERPROFILE%\Documents\GitHub\mrs-test-scripts\Headless Mode &amp; Sideloading\WalkAndUnGZ.bat" "%USERPROFILE%\AppData\Local\Temp\OnboardLogs"\RTDC4038\2016-10-16</v>
      </c>
      <c r="AF58" s="88" t="str">
        <f t="shared" si="32"/>
        <v>"C:\Program Files (x86)\AstroGrep\AstroGrep.exe" /spath="%USERPROFILE%\AppData\Local\Temp\OnboardLogs" /stypes="app*4038*20161015*" /stext=" 15:.+((SYSTEM_STATE.+slice.+state.+changed )|(ment ac)|(system.+state.+changed )|(\[timeout)|(PRM\|1\|D)|(kpr)|(kdp)|(\|lc)|(penalty))" /e /r /s</v>
      </c>
      <c r="AG58" s="1" t="str">
        <f t="shared" si="33"/>
        <v>EC</v>
      </c>
      <c r="AH58" s="92" t="str">
        <f t="shared" si="17"/>
        <v>"%USERPROFILE%\Documents\GitHub\eaglep3\Utilities\RefineRTDCRunTimes.py" --tripid 145-15 --locoid 4038 --swversion DE.1.0.7.0 --startMP 204:478 --initTime 2016-10-15T09:12:07 --startdatetime 2016-10-15T09:15:23 --delay 1 --endMP 204:233295 --enddatetime 2016-10-15T09:53:17 --enforcementcount 0 &gt;&gt;C:\Users\stu\Documents\GitHub\eaglep3-reporting\EC\2016-10-15-refined-times.txt</v>
      </c>
      <c r="AI58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{"issue":{"subject":"","project_id":79,"tracker_id":40,"status_id":1,"priority_id":2,"assigned_to_id":23,"start_date":"2016-10-15","description":"","custom_fields":[{"id":1,"name":"Subdivision","value":"EC"},{"id":4,"name":"Milepost","value":"23.3295"},{"id":17,"name":"Train ID","value":"145-15"},{"id":16,"name":"Locomotive ID","value":"4038"},{"id":130,"name":"Impact","value":""},{"id":150,"name":"Time of Event (Mountain Time)","value":"09:53:17"},{"id":151,"name":"Denver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435</v>
      </c>
      <c r="B59" s="7">
        <v>4037</v>
      </c>
      <c r="C59" s="22" t="s">
        <v>99</v>
      </c>
      <c r="D59" s="22" t="s">
        <v>262</v>
      </c>
      <c r="E59" s="13">
        <v>42658.422384259262</v>
      </c>
      <c r="F59" s="13">
        <v>42658.424699074072</v>
      </c>
      <c r="G59" s="7">
        <v>3</v>
      </c>
      <c r="H59" s="13" t="s">
        <v>634</v>
      </c>
      <c r="I59" s="13">
        <v>42658.451770833337</v>
      </c>
      <c r="J59" s="7">
        <v>0</v>
      </c>
      <c r="K59" s="112" t="str">
        <f t="shared" si="19"/>
        <v>4037/4038</v>
      </c>
      <c r="L59" s="22" t="str">
        <f>VLOOKUP(A59,'Trips&amp;Operators'!$C$1:$E$10000,3,FALSE)</f>
        <v>MALAVE</v>
      </c>
      <c r="M59" s="6">
        <f t="shared" si="20"/>
        <v>2.7071759264799766E-2</v>
      </c>
      <c r="N59" s="7">
        <f t="shared" si="21"/>
        <v>38.983333341311663</v>
      </c>
      <c r="O59" s="7"/>
      <c r="P59" s="7"/>
      <c r="Q59" s="23"/>
      <c r="R59" s="23"/>
      <c r="S59" s="35">
        <f t="shared" si="22"/>
        <v>1</v>
      </c>
      <c r="T59" s="50" t="str">
        <f t="shared" si="23"/>
        <v>Southbound</v>
      </c>
      <c r="U59" s="144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09:08:14-0600',mode:absolute,to:'2016-10-15 11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9" s="52" t="str">
        <f t="shared" si="25"/>
        <v>N</v>
      </c>
      <c r="X59" s="149">
        <f t="shared" si="26"/>
        <v>1</v>
      </c>
      <c r="Y59" s="67">
        <f t="shared" si="27"/>
        <v>23.297599999999999</v>
      </c>
      <c r="Z59" s="67">
        <f t="shared" si="28"/>
        <v>1.5599999999999999E-2</v>
      </c>
      <c r="AA59" s="67">
        <f t="shared" si="29"/>
        <v>23.282</v>
      </c>
      <c r="AB59" s="64" t="str">
        <f>VLOOKUP(A59,Enforcements!$C$7:$K$21,8,0)</f>
        <v>Speed (6)</v>
      </c>
      <c r="AC59" s="60" t="str">
        <f>VLOOKUP(A59,Enforcements!$C$7:$E$21,3,0)</f>
        <v>PERMANENT SPEED RESTRICTION</v>
      </c>
      <c r="AD59" s="61" t="str">
        <f t="shared" si="30"/>
        <v>0146-15</v>
      </c>
      <c r="AE59" s="91" t="str">
        <f t="shared" si="31"/>
        <v>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 &amp; aws s3 cp s3://rtdc.mdm.uploadarchive.raw/RTDC4037/ "%USERPROFILE%\AppData\Local\Temp\OnboardLogs"\RTDC4037\2016-10-16 --exclude "*" --recursive --include "*20161016*" &amp; "%USERPROFILE%\Documents\GitHub\mrs-test-scripts\Headless Mode &amp; Sideloading\WalkAndUnGZ.bat" "%USERPROFILE%\AppData\Local\Temp\OnboardLogs"\RTDC4037\2016-10-16</v>
      </c>
      <c r="AF59" s="88" t="str">
        <f t="shared" si="32"/>
        <v>"C:\Program Files (x86)\AstroGrep\AstroGrep.exe" /spath="%USERPROFILE%\AppData\Local\Temp\OnboardLogs" /stypes="app*4037*20161015*" /stext=" 16:.+((SYSTEM_STATE.+slice.+state.+changed )|(ment ac)|(system.+state.+changed )|(\[timeout)|(PRM\|1\|D)|(kpr)|(kdp)|(\|lc)|(penalty))" /e /r /s</v>
      </c>
      <c r="AG59" s="1" t="str">
        <f t="shared" si="33"/>
        <v>EC</v>
      </c>
      <c r="AH59" s="92" t="str">
        <f t="shared" si="17"/>
        <v>"%USERPROFILE%\Documents\GitHub\eaglep3\Utilities\RefineRTDCRunTimes.py" --tripid 146-15 --locoid 4037 --swversion DE.1.0.7.0 --startMP 204:232976 --initTime 2016-10-15T10:08:14 --startdatetime 2016-10-15T10:11:34 --delay 3 --endMP 204:156 --enddatetime 2016-10-15T10:50:33 --enforcementcount 0 &gt;&gt;C:\Users\stu\Documents\GitHub\eaglep3-reporting\EC\2016-10-15-refined-times.txt</v>
      </c>
      <c r="AI59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{"issue":{"subject":"","project_id":79,"tracker_id":40,"status_id":1,"priority_id":2,"assigned_to_id":23,"start_date":"2016-10-15","description":"","custom_fields":[{"id":1,"name":"Subdivision","value":"EC"},{"id":4,"name":"Milepost","value":"0.0156"},{"id":17,"name":"Train ID","value":"146-15"},{"id":16,"name":"Locomotive ID","value":"4037"},{"id":130,"name":"Impact","value":""},{"id":150,"name":"Time of Event (Mountain Time)","value":"10:50:33"},{"id":151,"name":"Denver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509</v>
      </c>
      <c r="B60" s="7">
        <v>4003</v>
      </c>
      <c r="C60" s="22" t="s">
        <v>99</v>
      </c>
      <c r="D60" s="22" t="s">
        <v>265</v>
      </c>
      <c r="E60" s="13">
        <v>42658.391446759262</v>
      </c>
      <c r="F60" s="13">
        <v>42658.39607638889</v>
      </c>
      <c r="G60" s="7">
        <v>1</v>
      </c>
      <c r="H60" s="13" t="s">
        <v>183</v>
      </c>
      <c r="I60" s="13">
        <v>42658.42087962963</v>
      </c>
      <c r="J60" s="7">
        <v>0</v>
      </c>
      <c r="K60" s="112" t="str">
        <f t="shared" si="19"/>
        <v>4003/4004</v>
      </c>
      <c r="L60" s="22" t="str">
        <f>VLOOKUP(A60,'Trips&amp;Operators'!$C$1:$E$10000,3,FALSE)</f>
        <v>SANTIZO</v>
      </c>
      <c r="M60" s="6">
        <f t="shared" si="20"/>
        <v>2.4803240739856847E-2</v>
      </c>
      <c r="N60" s="7">
        <f t="shared" si="21"/>
        <v>35.716666665393859</v>
      </c>
      <c r="O60" s="7"/>
      <c r="P60" s="7"/>
      <c r="Q60" s="23"/>
      <c r="R60" s="23"/>
      <c r="S60" s="35">
        <f t="shared" si="22"/>
        <v>1</v>
      </c>
      <c r="T60" s="50" t="str">
        <f t="shared" si="23"/>
        <v>NorthBound</v>
      </c>
      <c r="U60" s="144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08:23:41-0600',mode:absolute,to:'2016-10-15 11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0" s="52" t="str">
        <f t="shared" si="25"/>
        <v>N</v>
      </c>
      <c r="X60" s="149">
        <f t="shared" si="26"/>
        <v>1</v>
      </c>
      <c r="Y60" s="67">
        <f t="shared" si="27"/>
        <v>4.6199999999999998E-2</v>
      </c>
      <c r="Z60" s="67">
        <f t="shared" si="28"/>
        <v>23.331199999999999</v>
      </c>
      <c r="AA60" s="67">
        <f t="shared" si="29"/>
        <v>23.285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30"/>
        <v>0147-15</v>
      </c>
      <c r="AE60" s="91" t="str">
        <f t="shared" si="31"/>
        <v>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 &amp; aws s3 cp s3://rtdc.mdm.uploadarchive.raw/RTDC4003/ "%USERPROFILE%\AppData\Local\Temp\OnboardLogs"\RTDC4003\2016-10-16 --exclude "*" --recursive --include "*20161016*" &amp; "%USERPROFILE%\Documents\GitHub\mrs-test-scripts\Headless Mode &amp; Sideloading\WalkAndUnGZ.bat" "%USERPROFILE%\AppData\Local\Temp\OnboardLogs"\RTDC4003\2016-10-16</v>
      </c>
      <c r="AF60" s="88" t="str">
        <f t="shared" si="32"/>
        <v>"C:\Program Files (x86)\AstroGrep\AstroGrep.exe" /spath="%USERPROFILE%\AppData\Local\Temp\OnboardLogs" /stypes="app*4003*20161015*" /stext=" 16:.+((SYSTEM_STATE.+slice.+state.+changed )|(ment ac)|(system.+state.+changed )|(\[timeout)|(PRM\|1\|D)|(kpr)|(kdp)|(\|lc)|(penalty))" /e /r /s</v>
      </c>
      <c r="AG60" s="1" t="str">
        <f t="shared" si="33"/>
        <v>EC</v>
      </c>
      <c r="AH60" s="92" t="str">
        <f t="shared" si="17"/>
        <v>"%USERPROFILE%\Documents\GitHub\eaglep3\Utilities\RefineRTDCRunTimes.py" --tripid 147-15 --locoid 4003 --swversion DE.1.0.7.0 --startMP 204:462 --initTime 2016-10-15T09:23:41 --startdatetime 2016-10-15T09:30:21 --delay 1 --endMP 204:233312 --enddatetime 2016-10-15T10:06:04 --enforcementcount 0 &gt;&gt;C:\Users\stu\Documents\GitHub\eaglep3-reporting\EC\2016-10-15-refined-times.txt</v>
      </c>
      <c r="AI60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{"issue":{"subject":"","project_id":79,"tracker_id":40,"status_id":1,"priority_id":2,"assigned_to_id":23,"start_date":"2016-10-15","description":"","custom_fields":[{"id":1,"name":"Subdivision","value":"EC"},{"id":4,"name":"Milepost","value":"23.3312"},{"id":17,"name":"Train ID","value":"147-15"},{"id":16,"name":"Locomotive ID","value":"4003"},{"id":130,"name":"Impact","value":""},{"id":150,"name":"Time of Event (Mountain Time)","value":"10:06:04"},{"id":151,"name":"Denver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514</v>
      </c>
      <c r="B61" s="7">
        <v>4004</v>
      </c>
      <c r="C61" s="22" t="s">
        <v>99</v>
      </c>
      <c r="D61" s="22" t="s">
        <v>322</v>
      </c>
      <c r="E61" s="13">
        <v>42658.422118055554</v>
      </c>
      <c r="F61" s="13">
        <v>42658.435081018521</v>
      </c>
      <c r="G61" s="7">
        <v>1</v>
      </c>
      <c r="H61" s="13" t="s">
        <v>634</v>
      </c>
      <c r="I61" s="13">
        <v>42658.461030092592</v>
      </c>
      <c r="J61" s="7">
        <v>0</v>
      </c>
      <c r="K61" s="112" t="str">
        <f t="shared" si="19"/>
        <v>4003/4004</v>
      </c>
      <c r="L61" s="22" t="str">
        <f>VLOOKUP(A61,'Trips&amp;Operators'!$C$1:$E$10000,3,FALSE)</f>
        <v>SANTIZO</v>
      </c>
      <c r="M61" s="6">
        <f t="shared" si="20"/>
        <v>2.5949074071832001E-2</v>
      </c>
      <c r="N61" s="7">
        <f t="shared" si="21"/>
        <v>37.366666663438082</v>
      </c>
      <c r="O61" s="7"/>
      <c r="P61" s="7"/>
      <c r="Q61" s="23"/>
      <c r="R61" s="23"/>
      <c r="S61" s="35">
        <f t="shared" si="22"/>
        <v>1</v>
      </c>
      <c r="T61" s="50" t="str">
        <f t="shared" si="23"/>
        <v>Southbound</v>
      </c>
      <c r="U61" s="144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09:07:51-0600',mode:absolute,to:'2016-10-15 12:03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1" s="52" t="str">
        <f t="shared" si="25"/>
        <v>N</v>
      </c>
      <c r="X61" s="149">
        <f t="shared" si="26"/>
        <v>1</v>
      </c>
      <c r="Y61" s="67">
        <f t="shared" si="27"/>
        <v>23.298400000000001</v>
      </c>
      <c r="Z61" s="67">
        <f t="shared" si="28"/>
        <v>1.5599999999999999E-2</v>
      </c>
      <c r="AA61" s="67">
        <f t="shared" si="29"/>
        <v>23.282800000000002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30"/>
        <v>0148-15</v>
      </c>
      <c r="AE61" s="91" t="str">
        <f t="shared" si="31"/>
        <v>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 &amp; aws s3 cp s3://rtdc.mdm.uploadarchive.raw/RTDC4004/ "%USERPROFILE%\AppData\Local\Temp\OnboardLogs"\RTDC4004\2016-10-16 --exclude "*" --recursive --include "*20161016*" &amp; "%USERPROFILE%\Documents\GitHub\mrs-test-scripts\Headless Mode &amp; Sideloading\WalkAndUnGZ.bat" "%USERPROFILE%\AppData\Local\Temp\OnboardLogs"\RTDC4004\2016-10-16</v>
      </c>
      <c r="AF61" s="88" t="str">
        <f t="shared" si="32"/>
        <v>"C:\Program Files (x86)\AstroGrep\AstroGrep.exe" /spath="%USERPROFILE%\AppData\Local\Temp\OnboardLogs" /stypes="app*4004*20161015*" /stext=" 17:.+((SYSTEM_STATE.+slice.+state.+changed )|(ment ac)|(system.+state.+changed )|(\[timeout)|(PRM\|1\|D)|(kpr)|(kdp)|(\|lc)|(penalty))" /e /r /s</v>
      </c>
      <c r="AG61" s="1" t="str">
        <f t="shared" si="33"/>
        <v>EC</v>
      </c>
      <c r="AH61" s="92" t="str">
        <f t="shared" si="17"/>
        <v>"%USERPROFILE%\Documents\GitHub\eaglep3\Utilities\RefineRTDCRunTimes.py" --tripid 148-15 --locoid 4004 --swversion DE.1.0.7.0 --startMP 204:232984 --initTime 2016-10-15T10:07:51 --startdatetime 2016-10-15T10:26:31 --delay 1 --endMP 204:156 --enddatetime 2016-10-15T11:03:53 --enforcementcount 0 &gt;&gt;C:\Users\stu\Documents\GitHub\eaglep3-reporting\EC\2016-10-15-refined-times.txt</v>
      </c>
      <c r="AI61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{"issue":{"subject":"","project_id":79,"tracker_id":40,"status_id":1,"priority_id":2,"assigned_to_id":23,"start_date":"2016-10-15","description":"","custom_fields":[{"id":1,"name":"Subdivision","value":"EC"},{"id":4,"name":"Milepost","value":"0.0156"},{"id":17,"name":"Train ID","value":"148-15"},{"id":16,"name":"Locomotive ID","value":"4004"},{"id":130,"name":"Impact","value":""},{"id":150,"name":"Time of Event (Mountain Time)","value":"11:03:53"},{"id":151,"name":"Denver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511</v>
      </c>
      <c r="B62" s="7">
        <v>4016</v>
      </c>
      <c r="C62" s="22" t="s">
        <v>99</v>
      </c>
      <c r="D62" s="22" t="s">
        <v>398</v>
      </c>
      <c r="E62" s="13">
        <v>42658.401643518519</v>
      </c>
      <c r="F62" s="13">
        <v>42658.406574074077</v>
      </c>
      <c r="G62" s="7">
        <v>1</v>
      </c>
      <c r="H62" s="13" t="s">
        <v>183</v>
      </c>
      <c r="I62" s="13">
        <v>42658.432395833333</v>
      </c>
      <c r="J62" s="7">
        <v>0</v>
      </c>
      <c r="K62" s="112" t="str">
        <f t="shared" si="19"/>
        <v>4015/4016</v>
      </c>
      <c r="L62" s="22" t="str">
        <f>VLOOKUP(A62,'Trips&amp;Operators'!$C$1:$E$10000,3,FALSE)</f>
        <v>DAVIS</v>
      </c>
      <c r="M62" s="6">
        <f t="shared" si="20"/>
        <v>2.5821759256359655E-2</v>
      </c>
      <c r="N62" s="7">
        <f t="shared" si="21"/>
        <v>37.183333329157904</v>
      </c>
      <c r="O62" s="7"/>
      <c r="P62" s="7"/>
      <c r="Q62" s="23"/>
      <c r="R62" s="23"/>
      <c r="S62" s="35">
        <f t="shared" si="22"/>
        <v>1</v>
      </c>
      <c r="T62" s="50" t="str">
        <f t="shared" si="23"/>
        <v>NorthBound</v>
      </c>
      <c r="U62" s="144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08:38:22-0600',mode:absolute,to:'2016-10-15 11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2" s="52" t="str">
        <f t="shared" si="25"/>
        <v>N</v>
      </c>
      <c r="X62" s="149">
        <f t="shared" si="26"/>
        <v>1</v>
      </c>
      <c r="Y62" s="67">
        <f t="shared" si="27"/>
        <v>4.4400000000000002E-2</v>
      </c>
      <c r="Z62" s="67">
        <f t="shared" si="28"/>
        <v>23.331199999999999</v>
      </c>
      <c r="AA62" s="67">
        <f t="shared" si="29"/>
        <v>23.286799999999999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30"/>
        <v>0149-15</v>
      </c>
      <c r="AE62" s="91" t="str">
        <f t="shared" si="31"/>
        <v>aws s3 cp s3://rtdc.mdm.uploadarchive.raw/RTDC4016/ "%USERPROFILE%\AppData\Local\Temp\OnboardLogs"\RTDC4016\2016-10-15 --exclude "*" --recursive --include "*20161015*" &amp; "%USERPROFILE%\Documents\GitHub\mrs-test-scripts\Headless Mode &amp; Sideloading\WalkAndUnGZ.bat" "%USERPROFILE%\AppData\Local\Temp\OnboardLogs"\RTDC4016\2016-10-15 &amp; aws s3 cp s3://rtdc.mdm.uploadarchive.raw/RTDC4016/ "%USERPROFILE%\AppData\Local\Temp\OnboardLogs"\RTDC4016\2016-10-16 --exclude "*" --recursive --include "*20161016*" &amp; "%USERPROFILE%\Documents\GitHub\mrs-test-scripts\Headless Mode &amp; Sideloading\WalkAndUnGZ.bat" "%USERPROFILE%\AppData\Local\Temp\OnboardLogs"\RTDC4016\2016-10-16</v>
      </c>
      <c r="AF62" s="88" t="str">
        <f t="shared" si="32"/>
        <v>"C:\Program Files (x86)\AstroGrep\AstroGrep.exe" /spath="%USERPROFILE%\AppData\Local\Temp\OnboardLogs" /stypes="app*4016*20161015*" /stext=" 16:.+((SYSTEM_STATE.+slice.+state.+changed )|(ment ac)|(system.+state.+changed )|(\[timeout)|(PRM\|1\|D)|(kpr)|(kdp)|(\|lc)|(penalty))" /e /r /s</v>
      </c>
      <c r="AG62" s="1" t="str">
        <f t="shared" si="33"/>
        <v>EC</v>
      </c>
      <c r="AH62" s="92" t="str">
        <f t="shared" si="17"/>
        <v>"%USERPROFILE%\Documents\GitHub\eaglep3\Utilities\RefineRTDCRunTimes.py" --tripid 149-15 --locoid 4016 --swversion DE.1.0.7.0 --startMP 204:444 --initTime 2016-10-15T09:38:22 --startdatetime 2016-10-15T09:45:28 --delay 1 --endMP 204:233312 --enddatetime 2016-10-15T10:22:39 --enforcementcount 0 &gt;&gt;C:\Users\stu\Documents\GitHub\eaglep3-reporting\EC\2016-10-15-refined-times.txt</v>
      </c>
      <c r="AI62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{"issue":{"subject":"","project_id":79,"tracker_id":40,"status_id":1,"priority_id":2,"assigned_to_id":23,"start_date":"2016-10-15","description":"","custom_fields":[{"id":1,"name":"Subdivision","value":"EC"},{"id":4,"name":"Milepost","value":"23.3312"},{"id":17,"name":"Train ID","value":"149-15"},{"id":16,"name":"Locomotive ID","value":"4016"},{"id":130,"name":"Impact","value":""},{"id":150,"name":"Time of Event (Mountain Time)","value":"10:22:39"},{"id":151,"name":"Denver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517</v>
      </c>
      <c r="B63" s="7">
        <v>4015</v>
      </c>
      <c r="C63" s="22" t="s">
        <v>99</v>
      </c>
      <c r="D63" s="22" t="s">
        <v>314</v>
      </c>
      <c r="E63" s="13">
        <v>42658.438101851854</v>
      </c>
      <c r="F63" s="13">
        <v>42658.445381944446</v>
      </c>
      <c r="G63" s="7">
        <v>1</v>
      </c>
      <c r="H63" s="13" t="s">
        <v>177</v>
      </c>
      <c r="I63" s="13">
        <v>42658.481296296297</v>
      </c>
      <c r="J63" s="7">
        <v>0</v>
      </c>
      <c r="K63" s="112" t="str">
        <f t="shared" si="19"/>
        <v>4015/4016</v>
      </c>
      <c r="L63" s="22" t="str">
        <f>VLOOKUP(A63,'Trips&amp;Operators'!$C$1:$E$10000,3,FALSE)</f>
        <v>DAVIS</v>
      </c>
      <c r="M63" s="6">
        <f t="shared" si="20"/>
        <v>3.591435185080627E-2</v>
      </c>
      <c r="N63" s="7">
        <f t="shared" si="21"/>
        <v>51.716666665161029</v>
      </c>
      <c r="O63" s="7"/>
      <c r="P63" s="7"/>
      <c r="Q63" s="23"/>
      <c r="R63" s="23"/>
      <c r="S63" s="35">
        <f t="shared" si="22"/>
        <v>1</v>
      </c>
      <c r="T63" s="50" t="str">
        <f t="shared" si="23"/>
        <v>Southbound</v>
      </c>
      <c r="U63" s="144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09:30:52-0600',mode:absolute,to:'2016-10-15 12:33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3" s="52" t="str">
        <f t="shared" si="25"/>
        <v>N</v>
      </c>
      <c r="X63" s="149">
        <f t="shared" si="26"/>
        <v>1</v>
      </c>
      <c r="Y63" s="67">
        <f t="shared" si="27"/>
        <v>23.299800000000001</v>
      </c>
      <c r="Z63" s="67">
        <f t="shared" si="28"/>
        <v>1.52E-2</v>
      </c>
      <c r="AA63" s="67">
        <f t="shared" si="29"/>
        <v>23.284600000000001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30"/>
        <v>0150-15</v>
      </c>
      <c r="AE63" s="91" t="str">
        <f t="shared" si="31"/>
        <v>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 &amp; aws s3 cp s3://rtdc.mdm.uploadarchive.raw/RTDC4015/ "%USERPROFILE%\AppData\Local\Temp\OnboardLogs"\RTDC4015\2016-10-16 --exclude "*" --recursive --include "*20161016*" &amp; "%USERPROFILE%\Documents\GitHub\mrs-test-scripts\Headless Mode &amp; Sideloading\WalkAndUnGZ.bat" "%USERPROFILE%\AppData\Local\Temp\OnboardLogs"\RTDC4015\2016-10-16</v>
      </c>
      <c r="AF63" s="88" t="str">
        <f t="shared" si="32"/>
        <v>"C:\Program Files (x86)\AstroGrep\AstroGrep.exe" /spath="%USERPROFILE%\AppData\Local\Temp\OnboardLogs" /stypes="app*4015*20161015*" /stext=" 17:.+((SYSTEM_STATE.+slice.+state.+changed )|(ment ac)|(system.+state.+changed )|(\[timeout)|(PRM\|1\|D)|(kpr)|(kdp)|(\|lc)|(penalty))" /e /r /s</v>
      </c>
      <c r="AG63" s="1" t="str">
        <f t="shared" si="33"/>
        <v>EC</v>
      </c>
      <c r="AH63" s="92" t="str">
        <f t="shared" si="17"/>
        <v>"%USERPROFILE%\Documents\GitHub\eaglep3\Utilities\RefineRTDCRunTimes.py" --tripid 150-15 --locoid 4015 --swversion DE.1.0.7.0 --startMP 204:232998 --initTime 2016-10-15T10:30:52 --startdatetime 2016-10-15T10:41:21 --delay 1 --endMP 204:152 --enddatetime 2016-10-15T11:33:04 --enforcementcount 0 &gt;&gt;C:\Users\stu\Documents\GitHub\eaglep3-reporting\EC\2016-10-15-refined-times.txt</v>
      </c>
      <c r="AI63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{"issue":{"subject":"","project_id":79,"tracker_id":40,"status_id":1,"priority_id":2,"assigned_to_id":23,"start_date":"2016-10-15","description":"","custom_fields":[{"id":1,"name":"Subdivision","value":"EC"},{"id":4,"name":"Milepost","value":"0.0152"},{"id":17,"name":"Train ID","value":"150-15"},{"id":16,"name":"Locomotive ID","value":"4015"},{"id":130,"name":"Impact","value":""},{"id":150,"name":"Time of Event (Mountain Time)","value":"11:33:04"},{"id":151,"name":"Denver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512</v>
      </c>
      <c r="B64" s="7">
        <v>4011</v>
      </c>
      <c r="C64" s="22" t="s">
        <v>99</v>
      </c>
      <c r="D64" s="22" t="s">
        <v>243</v>
      </c>
      <c r="E64" s="13">
        <v>42658.411423611113</v>
      </c>
      <c r="F64" s="13">
        <v>42658.416967592595</v>
      </c>
      <c r="G64" s="7">
        <v>1</v>
      </c>
      <c r="H64" s="13" t="s">
        <v>410</v>
      </c>
      <c r="I64" s="13">
        <v>42658.441886574074</v>
      </c>
      <c r="J64" s="7">
        <v>0</v>
      </c>
      <c r="K64" s="112" t="str">
        <f t="shared" si="19"/>
        <v>4011/4012</v>
      </c>
      <c r="L64" s="22" t="str">
        <f>VLOOKUP(A64,'Trips&amp;Operators'!$C$1:$E$10000,3,FALSE)</f>
        <v>KILLION</v>
      </c>
      <c r="M64" s="6">
        <f t="shared" si="20"/>
        <v>2.491898147854954E-2</v>
      </c>
      <c r="N64" s="7">
        <f t="shared" si="21"/>
        <v>35.883333329111338</v>
      </c>
      <c r="O64" s="7"/>
      <c r="P64" s="7"/>
      <c r="Q64" s="23"/>
      <c r="R64" s="23"/>
      <c r="S64" s="35">
        <f t="shared" si="22"/>
        <v>1</v>
      </c>
      <c r="T64" s="50" t="str">
        <f t="shared" si="23"/>
        <v>NorthBound</v>
      </c>
      <c r="U64" s="144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08:52:27-0600',mode:absolute,to:'2016-10-15 11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4" s="52" t="str">
        <f t="shared" si="25"/>
        <v>N</v>
      </c>
      <c r="X64" s="149">
        <f t="shared" si="26"/>
        <v>1</v>
      </c>
      <c r="Y64" s="67">
        <f t="shared" si="27"/>
        <v>4.58E-2</v>
      </c>
      <c r="Z64" s="67">
        <f t="shared" si="28"/>
        <v>23.333600000000001</v>
      </c>
      <c r="AA64" s="67">
        <f t="shared" si="29"/>
        <v>23.287800000000001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30"/>
        <v>0151-15</v>
      </c>
      <c r="AE64" s="91" t="str">
        <f t="shared" si="31"/>
        <v>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 &amp; aws s3 cp s3://rtdc.mdm.uploadarchive.raw/RTDC4011/ "%USERPROFILE%\AppData\Local\Temp\OnboardLogs"\RTDC4011\2016-10-16 --exclude "*" --recursive --include "*20161016*" &amp; "%USERPROFILE%\Documents\GitHub\mrs-test-scripts\Headless Mode &amp; Sideloading\WalkAndUnGZ.bat" "%USERPROFILE%\AppData\Local\Temp\OnboardLogs"\RTDC4011\2016-10-16</v>
      </c>
      <c r="AF64" s="88" t="str">
        <f t="shared" si="32"/>
        <v>"C:\Program Files (x86)\AstroGrep\AstroGrep.exe" /spath="%USERPROFILE%\AppData\Local\Temp\OnboardLogs" /stypes="app*4011*20161015*" /stext=" 16:.+((SYSTEM_STATE.+slice.+state.+changed )|(ment ac)|(system.+state.+changed )|(\[timeout)|(PRM\|1\|D)|(kpr)|(kdp)|(\|lc)|(penalty))" /e /r /s</v>
      </c>
      <c r="AG64" s="1" t="str">
        <f t="shared" si="33"/>
        <v>EC</v>
      </c>
      <c r="AH64" s="92" t="str">
        <f t="shared" si="17"/>
        <v>"%USERPROFILE%\Documents\GitHub\eaglep3\Utilities\RefineRTDCRunTimes.py" --tripid 151-15 --locoid 4011 --swversion DE.1.0.7.0 --startMP 204:458 --initTime 2016-10-15T09:52:27 --startdatetime 2016-10-15T10:00:26 --delay 1 --endMP 204:233336 --enddatetime 2016-10-15T10:36:19 --enforcementcount 0 &gt;&gt;C:\Users\stu\Documents\GitHub\eaglep3-reporting\EC\2016-10-15-refined-times.txt</v>
      </c>
      <c r="AI64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{"issue":{"subject":"","project_id":79,"tracker_id":40,"status_id":1,"priority_id":2,"assigned_to_id":23,"start_date":"2016-10-15","description":"","custom_fields":[{"id":1,"name":"Subdivision","value":"EC"},{"id":4,"name":"Milepost","value":"23.3336"},{"id":17,"name":"Train ID","value":"151-15"},{"id":16,"name":"Locomotive ID","value":"4011"},{"id":130,"name":"Impact","value":""},{"id":150,"name":"Time of Event (Mountain Time)","value":"10:36:19"},{"id":151,"name":"Denver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438</v>
      </c>
      <c r="B65" s="7">
        <v>4012</v>
      </c>
      <c r="C65" s="22" t="s">
        <v>99</v>
      </c>
      <c r="D65" s="22" t="s">
        <v>313</v>
      </c>
      <c r="E65" s="13">
        <v>42658.447534722225</v>
      </c>
      <c r="F65" s="13">
        <v>42658.455763888887</v>
      </c>
      <c r="G65" s="7">
        <v>1</v>
      </c>
      <c r="H65" s="13" t="s">
        <v>648</v>
      </c>
      <c r="I65" s="13">
        <v>42658.485613425924</v>
      </c>
      <c r="J65" s="7">
        <v>0</v>
      </c>
      <c r="K65" s="112" t="str">
        <f t="shared" si="19"/>
        <v>4011/4012</v>
      </c>
      <c r="L65" s="22" t="str">
        <f>VLOOKUP(A65,'Trips&amp;Operators'!$C$1:$E$10000,3,FALSE)</f>
        <v>KILLION</v>
      </c>
      <c r="M65" s="6">
        <f t="shared" si="20"/>
        <v>2.9849537037080154E-2</v>
      </c>
      <c r="N65" s="7">
        <f t="shared" si="21"/>
        <v>42.983333333395422</v>
      </c>
      <c r="O65" s="7"/>
      <c r="P65" s="7"/>
      <c r="Q65" s="23"/>
      <c r="R65" s="23"/>
      <c r="S65" s="35">
        <f t="shared" si="22"/>
        <v>1</v>
      </c>
      <c r="T65" s="50" t="str">
        <f t="shared" si="23"/>
        <v>Southbound</v>
      </c>
      <c r="U65" s="144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09:44:27-0600',mode:absolute,to:'2016-10-15 12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5" s="52" t="str">
        <f t="shared" si="25"/>
        <v>N</v>
      </c>
      <c r="X65" s="149">
        <f t="shared" si="26"/>
        <v>1</v>
      </c>
      <c r="Y65" s="67">
        <f t="shared" si="27"/>
        <v>23.297699999999999</v>
      </c>
      <c r="Z65" s="67">
        <f t="shared" si="28"/>
        <v>1.5800000000000002E-2</v>
      </c>
      <c r="AA65" s="67">
        <f t="shared" si="29"/>
        <v>23.2819</v>
      </c>
      <c r="AB65" s="64" t="str">
        <f>VLOOKUP(A65,Enforcements!$C$7:$K$21,8,0)</f>
        <v>Signal based authority (5)</v>
      </c>
      <c r="AC65" s="60" t="str">
        <f>VLOOKUP(A65,Enforcements!$C$7:$E$21,3,0)</f>
        <v>SIGNAL</v>
      </c>
      <c r="AD65" s="61" t="str">
        <f t="shared" si="30"/>
        <v>0152-15</v>
      </c>
      <c r="AE65" s="91" t="str">
        <f t="shared" si="31"/>
        <v>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 &amp; aws s3 cp s3://rtdc.mdm.uploadarchive.raw/RTDC4012/ "%USERPROFILE%\AppData\Local\Temp\OnboardLogs"\RTDC4012\2016-10-16 --exclude "*" --recursive --include "*20161016*" &amp; "%USERPROFILE%\Documents\GitHub\mrs-test-scripts\Headless Mode &amp; Sideloading\WalkAndUnGZ.bat" "%USERPROFILE%\AppData\Local\Temp\OnboardLogs"\RTDC4012\2016-10-16</v>
      </c>
      <c r="AF65" s="88" t="str">
        <f t="shared" si="32"/>
        <v>"C:\Program Files (x86)\AstroGrep\AstroGrep.exe" /spath="%USERPROFILE%\AppData\Local\Temp\OnboardLogs" /stypes="app*4012*20161015*" /stext=" 17:.+((SYSTEM_STATE.+slice.+state.+changed )|(ment ac)|(system.+state.+changed )|(\[timeout)|(PRM\|1\|D)|(kpr)|(kdp)|(\|lc)|(penalty))" /e /r /s</v>
      </c>
      <c r="AG65" s="1" t="str">
        <f t="shared" si="33"/>
        <v>EC</v>
      </c>
      <c r="AH65" s="92" t="str">
        <f t="shared" si="17"/>
        <v>"%USERPROFILE%\Documents\GitHub\eaglep3\Utilities\RefineRTDCRunTimes.py" --tripid 152-15 --locoid 4012 --swversion DE.1.0.7.0 --startMP 204:232977 --initTime 2016-10-15T10:44:27 --startdatetime 2016-10-15T10:56:18 --delay 1 --endMP 204:158 --enddatetime 2016-10-15T11:39:17 --enforcementcount 0 &gt;&gt;C:\Users\stu\Documents\GitHub\eaglep3-reporting\EC\2016-10-15-refined-times.txt</v>
      </c>
      <c r="AI65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{"issue":{"subject":"","project_id":79,"tracker_id":40,"status_id":1,"priority_id":2,"assigned_to_id":23,"start_date":"2016-10-15","description":"","custom_fields":[{"id":1,"name":"Subdivision","value":"EC"},{"id":4,"name":"Milepost","value":"0.0158"},{"id":17,"name":"Train ID","value":"152-15"},{"id":16,"name":"Locomotive ID","value":"4012"},{"id":130,"name":"Impact","value":""},{"id":150,"name":"Time of Event (Mountain Time)","value":"11:39:17"},{"id":151,"name":"Denver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515</v>
      </c>
      <c r="B66" s="7">
        <v>4020</v>
      </c>
      <c r="C66" s="22" t="s">
        <v>99</v>
      </c>
      <c r="D66" s="22" t="s">
        <v>398</v>
      </c>
      <c r="E66" s="13">
        <v>42658.424328703702</v>
      </c>
      <c r="F66" s="13">
        <v>42658.427256944444</v>
      </c>
      <c r="G66" s="7">
        <v>1</v>
      </c>
      <c r="H66" s="13" t="s">
        <v>324</v>
      </c>
      <c r="I66" s="13">
        <v>42658.451678240737</v>
      </c>
      <c r="J66" s="7">
        <v>0</v>
      </c>
      <c r="K66" s="112" t="str">
        <f t="shared" si="19"/>
        <v>4019/4020</v>
      </c>
      <c r="L66" s="22" t="str">
        <f>VLOOKUP(A66,'Trips&amp;Operators'!$C$1:$E$10000,3,FALSE)</f>
        <v>GEBRETEKLE</v>
      </c>
      <c r="M66" s="6">
        <f t="shared" si="20"/>
        <v>2.4421296293439809E-2</v>
      </c>
      <c r="N66" s="7">
        <f t="shared" si="21"/>
        <v>35.166666662553325</v>
      </c>
      <c r="O66" s="7"/>
      <c r="P66" s="7"/>
      <c r="Q66" s="23"/>
      <c r="R66" s="23"/>
      <c r="S66" s="35">
        <f t="shared" si="22"/>
        <v>1</v>
      </c>
      <c r="T66" s="50" t="str">
        <f t="shared" si="23"/>
        <v>NorthBound</v>
      </c>
      <c r="U66" s="144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09:11:02-0600',mode:absolute,to:'2016-10-15 11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6" s="52" t="str">
        <f t="shared" si="25"/>
        <v>N</v>
      </c>
      <c r="X66" s="149">
        <f t="shared" si="26"/>
        <v>1</v>
      </c>
      <c r="Y66" s="67">
        <f t="shared" si="27"/>
        <v>4.4400000000000002E-2</v>
      </c>
      <c r="Z66" s="67">
        <f t="shared" si="28"/>
        <v>23.331</v>
      </c>
      <c r="AA66" s="67">
        <f t="shared" si="29"/>
        <v>23.2866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30"/>
        <v>0153-15</v>
      </c>
      <c r="AE66" s="91" t="str">
        <f t="shared" si="31"/>
        <v>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 &amp; aws s3 cp s3://rtdc.mdm.uploadarchive.raw/RTDC4020/ "%USERPROFILE%\AppData\Local\Temp\OnboardLogs"\RTDC4020\2016-10-16 --exclude "*" --recursive --include "*20161016*" &amp; "%USERPROFILE%\Documents\GitHub\mrs-test-scripts\Headless Mode &amp; Sideloading\WalkAndUnGZ.bat" "%USERPROFILE%\AppData\Local\Temp\OnboardLogs"\RTDC4020\2016-10-16</v>
      </c>
      <c r="AF66" s="88" t="str">
        <f t="shared" si="32"/>
        <v>"C:\Program Files (x86)\AstroGrep\AstroGrep.exe" /spath="%USERPROFILE%\AppData\Local\Temp\OnboardLogs" /stypes="app*4020*20161015*" /stext=" 16:.+((SYSTEM_STATE.+slice.+state.+changed )|(ment ac)|(system.+state.+changed )|(\[timeout)|(PRM\|1\|D)|(kpr)|(kdp)|(\|lc)|(penalty))" /e /r /s</v>
      </c>
      <c r="AG66" s="1" t="str">
        <f t="shared" si="33"/>
        <v>EC</v>
      </c>
      <c r="AH66" s="92" t="str">
        <f t="shared" si="17"/>
        <v>"%USERPROFILE%\Documents\GitHub\eaglep3\Utilities\RefineRTDCRunTimes.py" --tripid 153-15 --locoid 4020 --swversion DE.1.0.7.0 --startMP 204:444 --initTime 2016-10-15T10:11:02 --startdatetime 2016-10-15T10:15:15 --delay 1 --endMP 204:233310 --enddatetime 2016-10-15T10:50:25 --enforcementcount 0 &gt;&gt;C:\Users\stu\Documents\GitHub\eaglep3-reporting\EC\2016-10-15-refined-times.txt</v>
      </c>
      <c r="AI66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{"issue":{"subject":"","project_id":79,"tracker_id":40,"status_id":1,"priority_id":2,"assigned_to_id":23,"start_date":"2016-10-15","description":"","custom_fields":[{"id":1,"name":"Subdivision","value":"EC"},{"id":4,"name":"Milepost","value":"23.331"},{"id":17,"name":"Train ID","value":"153-15"},{"id":16,"name":"Locomotive ID","value":"4020"},{"id":130,"name":"Impact","value":""},{"id":150,"name":"Time of Event (Mountain Time)","value":"10:50:25"},{"id":151,"name":"Denver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520</v>
      </c>
      <c r="B67" s="7">
        <v>4019</v>
      </c>
      <c r="C67" s="22" t="s">
        <v>99</v>
      </c>
      <c r="D67" s="22" t="s">
        <v>403</v>
      </c>
      <c r="E67" s="13">
        <v>42658.457743055558</v>
      </c>
      <c r="F67" s="13">
        <v>42658.466307870367</v>
      </c>
      <c r="G67" s="7">
        <v>1</v>
      </c>
      <c r="H67" s="13" t="s">
        <v>177</v>
      </c>
      <c r="I67" s="13">
        <v>42658.492337962962</v>
      </c>
      <c r="J67" s="7">
        <v>0</v>
      </c>
      <c r="K67" s="112" t="str">
        <f t="shared" si="19"/>
        <v>4019/4020</v>
      </c>
      <c r="L67" s="22" t="str">
        <f>VLOOKUP(A67,'Trips&amp;Operators'!$C$1:$E$10000,3,FALSE)</f>
        <v>GEBRETEKLE</v>
      </c>
      <c r="M67" s="6">
        <f t="shared" si="20"/>
        <v>2.6030092594737653E-2</v>
      </c>
      <c r="N67" s="7">
        <f t="shared" si="21"/>
        <v>37.48333333642222</v>
      </c>
      <c r="O67" s="7"/>
      <c r="P67" s="7"/>
      <c r="Q67" s="23"/>
      <c r="R67" s="23"/>
      <c r="S67" s="35">
        <f t="shared" si="22"/>
        <v>1</v>
      </c>
      <c r="T67" s="50" t="str">
        <f t="shared" si="23"/>
        <v>Southbound</v>
      </c>
      <c r="U67" s="144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09:59:09-0600',mode:absolute,to:'2016-10-15 12:48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7" s="52" t="str">
        <f t="shared" si="25"/>
        <v>N</v>
      </c>
      <c r="X67" s="149">
        <f t="shared" si="26"/>
        <v>1</v>
      </c>
      <c r="Y67" s="67">
        <f t="shared" si="27"/>
        <v>23.2987</v>
      </c>
      <c r="Z67" s="67">
        <f t="shared" si="28"/>
        <v>1.52E-2</v>
      </c>
      <c r="AA67" s="67">
        <f t="shared" si="29"/>
        <v>23.2835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30"/>
        <v>0154-15</v>
      </c>
      <c r="AE67" s="91" t="str">
        <f t="shared" si="31"/>
        <v>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 &amp; aws s3 cp s3://rtdc.mdm.uploadarchive.raw/RTDC4019/ "%USERPROFILE%\AppData\Local\Temp\OnboardLogs"\RTDC4019\2016-10-16 --exclude "*" --recursive --include "*20161016*" &amp; "%USERPROFILE%\Documents\GitHub\mrs-test-scripts\Headless Mode &amp; Sideloading\WalkAndUnGZ.bat" "%USERPROFILE%\AppData\Local\Temp\OnboardLogs"\RTDC4019\2016-10-16</v>
      </c>
      <c r="AF67" s="88" t="str">
        <f t="shared" si="32"/>
        <v>"C:\Program Files (x86)\AstroGrep\AstroGrep.exe" /spath="%USERPROFILE%\AppData\Local\Temp\OnboardLogs" /stypes="app*4019*20161015*" /stext=" 17:.+((SYSTEM_STATE.+slice.+state.+changed )|(ment ac)|(system.+state.+changed )|(\[timeout)|(PRM\|1\|D)|(kpr)|(kdp)|(\|lc)|(penalty))" /e /r /s</v>
      </c>
      <c r="AG67" s="1" t="str">
        <f t="shared" si="33"/>
        <v>EC</v>
      </c>
      <c r="AH67" s="92" t="str">
        <f t="shared" si="17"/>
        <v>"%USERPROFILE%\Documents\GitHub\eaglep3\Utilities\RefineRTDCRunTimes.py" --tripid 154-15 --locoid 4019 --swversion DE.1.0.7.0 --startMP 204:232987 --initTime 2016-10-15T10:59:09 --startdatetime 2016-10-15T11:11:29 --delay 1 --endMP 204:152 --enddatetime 2016-10-15T11:48:58 --enforcementcount 0 &gt;&gt;C:\Users\stu\Documents\GitHub\eaglep3-reporting\EC\2016-10-15-refined-times.txt</v>
      </c>
      <c r="AI67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{"issue":{"subject":"","project_id":79,"tracker_id":40,"status_id":1,"priority_id":2,"assigned_to_id":23,"start_date":"2016-10-15","description":"","custom_fields":[{"id":1,"name":"Subdivision","value":"EC"},{"id":4,"name":"Milepost","value":"0.0152"},{"id":17,"name":"Train ID","value":"154-15"},{"id":16,"name":"Locomotive ID","value":"4019"},{"id":130,"name":"Impact","value":""},{"id":150,"name":"Time of Event (Mountain Time)","value":"11:48:58"},{"id":151,"name":"Denver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436</v>
      </c>
      <c r="B68" s="7">
        <v>4044</v>
      </c>
      <c r="C68" s="22" t="s">
        <v>99</v>
      </c>
      <c r="D68" s="22" t="s">
        <v>257</v>
      </c>
      <c r="E68" s="13">
        <v>42658.433379629627</v>
      </c>
      <c r="F68" s="13">
        <v>42658.437662037039</v>
      </c>
      <c r="G68" s="7">
        <v>1</v>
      </c>
      <c r="H68" s="13" t="s">
        <v>649</v>
      </c>
      <c r="I68" s="13">
        <v>42658.47216435185</v>
      </c>
      <c r="J68" s="7">
        <v>0</v>
      </c>
      <c r="K68" s="112" t="str">
        <f t="shared" si="19"/>
        <v>4043/4044</v>
      </c>
      <c r="L68" s="22" t="str">
        <f>VLOOKUP(A68,'Trips&amp;Operators'!$C$1:$E$10000,3,FALSE)</f>
        <v>CLARK</v>
      </c>
      <c r="M68" s="6">
        <f t="shared" si="20"/>
        <v>3.4502314811106771E-2</v>
      </c>
      <c r="N68" s="7">
        <f t="shared" si="21"/>
        <v>49.683333327993751</v>
      </c>
      <c r="O68" s="7"/>
      <c r="P68" s="7"/>
      <c r="Q68" s="23"/>
      <c r="R68" s="23"/>
      <c r="S68" s="35">
        <f t="shared" si="22"/>
        <v>1</v>
      </c>
      <c r="T68" s="50" t="str">
        <f t="shared" si="23"/>
        <v>NorthBound</v>
      </c>
      <c r="U68" s="144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09:24:04-0600',mode:absolute,to:'2016-10-15 12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8" s="52" t="str">
        <f t="shared" si="25"/>
        <v>N</v>
      </c>
      <c r="X68" s="149">
        <f t="shared" si="26"/>
        <v>1</v>
      </c>
      <c r="Y68" s="67">
        <f t="shared" si="27"/>
        <v>4.5499999999999999E-2</v>
      </c>
      <c r="Z68" s="67">
        <f t="shared" si="28"/>
        <v>23.3263</v>
      </c>
      <c r="AA68" s="67">
        <f t="shared" si="29"/>
        <v>23.280799999999999</v>
      </c>
      <c r="AB68" s="64" t="str">
        <f>VLOOKUP(A68,Enforcements!$C$7:$K$21,8,0)</f>
        <v>Speed (6)</v>
      </c>
      <c r="AC68" s="60" t="str">
        <f>VLOOKUP(A68,Enforcements!$C$7:$E$21,3,0)</f>
        <v>PERMANENT SPEED RESTRICTION</v>
      </c>
      <c r="AD68" s="61" t="str">
        <f t="shared" si="30"/>
        <v>0155-15</v>
      </c>
      <c r="AE68" s="91" t="str">
        <f t="shared" si="31"/>
        <v>aws s3 cp s3://rtdc.mdm.uploadarchive.raw/RTDC4044/ "%USERPROFILE%\AppData\Local\Temp\OnboardLogs"\RTDC4044\2016-10-15 --exclude "*" --recursive --include "*20161015*" &amp; "%USERPROFILE%\Documents\GitHub\mrs-test-scripts\Headless Mode &amp; Sideloading\WalkAndUnGZ.bat" "%USERPROFILE%\AppData\Local\Temp\OnboardLogs"\RTDC4044\2016-10-15 &amp; 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</v>
      </c>
      <c r="AF68" s="88" t="str">
        <f t="shared" si="32"/>
        <v>"C:\Program Files (x86)\AstroGrep\AstroGrep.exe" /spath="%USERPROFILE%\AppData\Local\Temp\OnboardLogs" /stypes="app*4044*20161015*" /stext=" 17:.+((SYSTEM_STATE.+slice.+state.+changed )|(ment ac)|(system.+state.+changed )|(\[timeout)|(PRM\|1\|D)|(kpr)|(kdp)|(\|lc)|(penalty))" /e /r /s</v>
      </c>
      <c r="AG68" s="1" t="str">
        <f t="shared" si="33"/>
        <v>EC</v>
      </c>
      <c r="AH68" s="92" t="str">
        <f t="shared" si="17"/>
        <v>"%USERPROFILE%\Documents\GitHub\eaglep3\Utilities\RefineRTDCRunTimes.py" --tripid 155-15 --locoid 4044 --swversion DE.1.0.7.0 --startMP 204:455 --initTime 2016-10-15T10:24:04 --startdatetime 2016-10-15T10:30:14 --delay 1 --endMP 204:233263 --enddatetime 2016-10-15T11:19:55 --enforcementcount 0 &gt;&gt;C:\Users\stu\Documents\GitHub\eaglep3-reporting\EC\2016-10-15-refined-times.txt</v>
      </c>
      <c r="AI68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{"issue":{"subject":"","project_id":79,"tracker_id":40,"status_id":1,"priority_id":2,"assigned_to_id":23,"start_date":"2016-10-15","description":"","custom_fields":[{"id":1,"name":"Subdivision","value":"EC"},{"id":4,"name":"Milepost","value":"23.3263"},{"id":17,"name":"Train ID","value":"155-15"},{"id":16,"name":"Locomotive ID","value":"4044"},{"id":130,"name":"Impact","value":""},{"id":150,"name":"Time of Event (Mountain Time)","value":"11:19:55"},{"id":151,"name":"Denver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523</v>
      </c>
      <c r="B69" s="7">
        <v>4043</v>
      </c>
      <c r="C69" s="22" t="s">
        <v>99</v>
      </c>
      <c r="D69" s="22" t="s">
        <v>401</v>
      </c>
      <c r="E69" s="13">
        <v>42658.474189814813</v>
      </c>
      <c r="F69" s="13">
        <v>42658.476585648146</v>
      </c>
      <c r="G69" s="7">
        <v>1</v>
      </c>
      <c r="H69" s="13" t="s">
        <v>634</v>
      </c>
      <c r="I69" s="13">
        <v>42658.504525462966</v>
      </c>
      <c r="J69" s="7">
        <v>0</v>
      </c>
      <c r="K69" s="112" t="str">
        <f t="shared" si="19"/>
        <v>4043/4044</v>
      </c>
      <c r="L69" s="22" t="str">
        <f>VLOOKUP(A69,'Trips&amp;Operators'!$C$1:$E$10000,3,FALSE)</f>
        <v>CLARK</v>
      </c>
      <c r="M69" s="6">
        <f t="shared" si="20"/>
        <v>2.7939814819546882E-2</v>
      </c>
      <c r="N69" s="7">
        <f t="shared" si="21"/>
        <v>40.23333334014751</v>
      </c>
      <c r="O69" s="7"/>
      <c r="P69" s="7"/>
      <c r="Q69" s="23"/>
      <c r="R69" s="23"/>
      <c r="S69" s="35">
        <f t="shared" si="22"/>
        <v>1</v>
      </c>
      <c r="T69" s="50" t="str">
        <f t="shared" si="23"/>
        <v>Southbound</v>
      </c>
      <c r="U69" s="144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10:22:50-0600',mode:absolute,to:'2016-10-15 13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9" s="52" t="str">
        <f t="shared" si="25"/>
        <v>N</v>
      </c>
      <c r="X69" s="149">
        <f t="shared" si="26"/>
        <v>1</v>
      </c>
      <c r="Y69" s="67">
        <f t="shared" si="27"/>
        <v>23.295300000000001</v>
      </c>
      <c r="Z69" s="67">
        <f t="shared" si="28"/>
        <v>1.5599999999999999E-2</v>
      </c>
      <c r="AA69" s="67">
        <f t="shared" si="29"/>
        <v>23.279700000000002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30"/>
        <v>0156-15</v>
      </c>
      <c r="AE69" s="91" t="str">
        <f t="shared" si="31"/>
        <v>aws s3 cp s3://rtdc.mdm.uploadarchive.raw/RTDC4043/ "%USERPROFILE%\AppData\Local\Temp\OnboardLogs"\RTDC4043\2016-10-15 --exclude "*" --recursive --include "*20161015*" &amp; "%USERPROFILE%\Documents\GitHub\mrs-test-scripts\Headless Mode &amp; Sideloading\WalkAndUnGZ.bat" "%USERPROFILE%\AppData\Local\Temp\OnboardLogs"\RTDC4043\2016-10-15 &amp; 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</v>
      </c>
      <c r="AF69" s="88" t="str">
        <f t="shared" si="32"/>
        <v>"C:\Program Files (x86)\AstroGrep\AstroGrep.exe" /spath="%USERPROFILE%\AppData\Local\Temp\OnboardLogs" /stypes="app*4043*20161015*" /stext=" 18:.+((SYSTEM_STATE.+slice.+state.+changed )|(ment ac)|(system.+state.+changed )|(\[timeout)|(PRM\|1\|D)|(kpr)|(kdp)|(\|lc)|(penalty))" /e /r /s</v>
      </c>
      <c r="AG69" s="1" t="str">
        <f t="shared" si="33"/>
        <v>EC</v>
      </c>
      <c r="AH69" s="92" t="str">
        <f t="shared" si="17"/>
        <v>"%USERPROFILE%\Documents\GitHub\eaglep3\Utilities\RefineRTDCRunTimes.py" --tripid 156-15 --locoid 4043 --swversion DE.1.0.7.0 --startMP 204:232953 --initTime 2016-10-15T11:22:50 --startdatetime 2016-10-15T11:26:17 --delay 1 --endMP 204:156 --enddatetime 2016-10-15T12:06:31 --enforcementcount 0 &gt;&gt;C:\Users\stu\Documents\GitHub\eaglep3-reporting\EC\2016-10-15-refined-times.txt</v>
      </c>
      <c r="AI69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{"issue":{"subject":"","project_id":79,"tracker_id":40,"status_id":1,"priority_id":2,"assigned_to_id":23,"start_date":"2016-10-15","description":"","custom_fields":[{"id":1,"name":"Subdivision","value":"EC"},{"id":4,"name":"Milepost","value":"0.0156"},{"id":17,"name":"Train ID","value":"156-15"},{"id":16,"name":"Locomotive ID","value":"4043"},{"id":130,"name":"Impact","value":""},{"id":150,"name":"Time of Event (Mountain Time)","value":"12:06:31"},{"id":151,"name":"Denver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437</v>
      </c>
      <c r="B70" s="7">
        <v>4053</v>
      </c>
      <c r="C70" s="22" t="s">
        <v>99</v>
      </c>
      <c r="D70" s="22" t="s">
        <v>650</v>
      </c>
      <c r="E70" s="13">
        <v>42658.443738425929</v>
      </c>
      <c r="F70" s="13">
        <v>42658.448171296295</v>
      </c>
      <c r="G70" s="7">
        <v>1</v>
      </c>
      <c r="H70" s="13" t="s">
        <v>651</v>
      </c>
      <c r="I70" s="13">
        <v>42658.47923611111</v>
      </c>
      <c r="J70" s="7">
        <v>0</v>
      </c>
      <c r="K70" s="112" t="str">
        <f t="shared" si="19"/>
        <v>4053/4054</v>
      </c>
      <c r="L70" s="22" t="str">
        <f>VLOOKUP(A70,'Trips&amp;Operators'!$C$1:$E$10000,3,FALSE)</f>
        <v>STRICKLAND</v>
      </c>
      <c r="M70" s="6">
        <f t="shared" si="20"/>
        <v>3.1064814815181307E-2</v>
      </c>
      <c r="N70" s="7">
        <f t="shared" si="21"/>
        <v>44.733333333861083</v>
      </c>
      <c r="O70" s="7"/>
      <c r="P70" s="7"/>
      <c r="Q70" s="23"/>
      <c r="R70" s="23"/>
      <c r="S70" s="35">
        <f t="shared" si="22"/>
        <v>1</v>
      </c>
      <c r="T70" s="50" t="str">
        <f t="shared" si="23"/>
        <v>NorthBound</v>
      </c>
      <c r="U70" s="144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09:38:59-0600',mode:absolute,to:'2016-10-15 12:30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0" s="52" t="str">
        <f t="shared" si="25"/>
        <v>N</v>
      </c>
      <c r="X70" s="149">
        <f t="shared" si="26"/>
        <v>1</v>
      </c>
      <c r="Y70" s="67">
        <f t="shared" si="27"/>
        <v>4.7300000000000002E-2</v>
      </c>
      <c r="Z70" s="67">
        <f t="shared" si="28"/>
        <v>23.328199999999999</v>
      </c>
      <c r="AA70" s="67">
        <f t="shared" si="29"/>
        <v>23.280899999999999</v>
      </c>
      <c r="AB70" s="64" t="str">
        <f>VLOOKUP(A70,Enforcements!$C$7:$K$21,8,0)</f>
        <v>Signal based authority (5)</v>
      </c>
      <c r="AC70" s="60" t="str">
        <f>VLOOKUP(A70,Enforcements!$C$7:$E$21,3,0)</f>
        <v>SIGNAL</v>
      </c>
      <c r="AD70" s="61" t="str">
        <f t="shared" si="30"/>
        <v>0157-15</v>
      </c>
      <c r="AE70" s="91" t="str">
        <f t="shared" si="31"/>
        <v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v>
      </c>
      <c r="AF70" s="88" t="str">
        <f t="shared" si="32"/>
        <v>"C:\Program Files (x86)\AstroGrep\AstroGrep.exe" /spath="%USERPROFILE%\AppData\Local\Temp\OnboardLogs" /stypes="app*4053*20161015*" /stext=" 17:.+((SYSTEM_STATE.+slice.+state.+changed )|(ment ac)|(system.+state.+changed )|(\[timeout)|(PRM\|1\|D)|(kpr)|(kdp)|(\|lc)|(penalty))" /e /r /s</v>
      </c>
      <c r="AG70" s="1" t="str">
        <f t="shared" si="33"/>
        <v>EC</v>
      </c>
      <c r="AH70" s="92" t="str">
        <f t="shared" si="17"/>
        <v>"%USERPROFILE%\Documents\GitHub\eaglep3\Utilities\RefineRTDCRunTimes.py" --tripid 157-15 --locoid 4053 --swversion DE.1.0.7.0 --startMP 204:473 --initTime 2016-10-15T10:38:59 --startdatetime 2016-10-15T10:45:22 --delay 1 --endMP 204:233282 --enddatetime 2016-10-15T11:30:06 --enforcementcount 0 &gt;&gt;C:\Users\stu\Documents\GitHub\eaglep3-reporting\EC\2016-10-15-refined-times.txt</v>
      </c>
      <c r="AI70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{"issue":{"subject":"","project_id":79,"tracker_id":40,"status_id":1,"priority_id":2,"assigned_to_id":23,"start_date":"2016-10-15","description":"","custom_fields":[{"id":1,"name":"Subdivision","value":"EC"},{"id":4,"name":"Milepost","value":"23.3282"},{"id":17,"name":"Train ID","value":"157-15"},{"id":16,"name":"Locomotive ID","value":"4053"},{"id":130,"name":"Impact","value":""},{"id":150,"name":"Time of Event (Mountain Time)","value":"11:30:06"},{"id":151,"name":"Denver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525</v>
      </c>
      <c r="B71" s="7">
        <v>4054</v>
      </c>
      <c r="C71" s="22" t="s">
        <v>99</v>
      </c>
      <c r="D71" s="22" t="s">
        <v>325</v>
      </c>
      <c r="E71" s="13">
        <v>42658.483356481483</v>
      </c>
      <c r="F71" s="13">
        <v>42658.48715277778</v>
      </c>
      <c r="G71" s="7">
        <v>1</v>
      </c>
      <c r="H71" s="13" t="s">
        <v>648</v>
      </c>
      <c r="I71" s="13">
        <v>42658.51458333333</v>
      </c>
      <c r="J71" s="7">
        <v>0</v>
      </c>
      <c r="K71" s="112" t="str">
        <f t="shared" si="19"/>
        <v>4053/4054</v>
      </c>
      <c r="L71" s="22" t="str">
        <f>VLOOKUP(A71,'Trips&amp;Operators'!$C$1:$E$10000,3,FALSE)</f>
        <v>STRICKLAND</v>
      </c>
      <c r="M71" s="6">
        <f t="shared" si="20"/>
        <v>2.7430555550381541E-2</v>
      </c>
      <c r="N71" s="7">
        <f t="shared" si="21"/>
        <v>39.499999992549419</v>
      </c>
      <c r="O71" s="7"/>
      <c r="P71" s="7"/>
      <c r="Q71" s="23"/>
      <c r="R71" s="23"/>
      <c r="S71" s="35">
        <f t="shared" si="22"/>
        <v>1</v>
      </c>
      <c r="T71" s="50" t="str">
        <f t="shared" si="23"/>
        <v>Southbound</v>
      </c>
      <c r="U71" s="144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10:36:02-0600',mode:absolute,to:'2016-10-15 13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1" s="52" t="str">
        <f t="shared" si="25"/>
        <v>N</v>
      </c>
      <c r="X71" s="149">
        <f t="shared" si="26"/>
        <v>1</v>
      </c>
      <c r="Y71" s="67">
        <f t="shared" si="27"/>
        <v>23.2988</v>
      </c>
      <c r="Z71" s="67">
        <f t="shared" si="28"/>
        <v>1.5800000000000002E-2</v>
      </c>
      <c r="AA71" s="67">
        <f t="shared" si="29"/>
        <v>23.283000000000001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30"/>
        <v>0158-15</v>
      </c>
      <c r="AE71" s="91" t="str">
        <f t="shared" si="31"/>
        <v>aws s3 cp s3://rtdc.mdm.uploadarchive.raw/RTDC4054/ "%USERPROFILE%\AppData\Local\Temp\OnboardLogs"\RTDC4054\2016-10-15 --exclude "*" --recursive --include "*20161015*" &amp; "%USERPROFILE%\Documents\GitHub\mrs-test-scripts\Headless Mode &amp; Sideloading\WalkAndUnGZ.bat" "%USERPROFILE%\AppData\Local\Temp\OnboardLogs"\RTDC4054\2016-10-15 &amp; aws s3 cp s3://rtdc.mdm.uploadarchive.raw/RTDC4054/ "%USERPROFILE%\AppData\Local\Temp\OnboardLogs"\RTDC4054\2016-10-16 --exclude "*" --recursive --include "*20161016*" &amp; "%USERPROFILE%\Documents\GitHub\mrs-test-scripts\Headless Mode &amp; Sideloading\WalkAndUnGZ.bat" "%USERPROFILE%\AppData\Local\Temp\OnboardLogs"\RTDC4054\2016-10-16</v>
      </c>
      <c r="AF71" s="88" t="str">
        <f t="shared" si="32"/>
        <v>"C:\Program Files (x86)\AstroGrep\AstroGrep.exe" /spath="%USERPROFILE%\AppData\Local\Temp\OnboardLogs" /stypes="app*4054*20161015*" /stext=" 18:.+((SYSTEM_STATE.+slice.+state.+changed )|(ment ac)|(system.+state.+changed )|(\[timeout)|(PRM\|1\|D)|(kpr)|(kdp)|(\|lc)|(penalty))" /e /r /s</v>
      </c>
      <c r="AG71" s="1" t="str">
        <f t="shared" si="33"/>
        <v>EC</v>
      </c>
      <c r="AH71" s="92" t="str">
        <f t="shared" si="17"/>
        <v>"%USERPROFILE%\Documents\GitHub\eaglep3\Utilities\RefineRTDCRunTimes.py" --tripid 158-15 --locoid 4054 --swversion DE.1.0.7.0 --startMP 204:232988 --initTime 2016-10-15T11:36:02 --startdatetime 2016-10-15T11:41:30 --delay 1 --endMP 204:158 --enddatetime 2016-10-15T12:21:00 --enforcementcount 0 &gt;&gt;C:\Users\stu\Documents\GitHub\eaglep3-reporting\EC\2016-10-15-refined-times.txt</v>
      </c>
      <c r="AI71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{"issue":{"subject":"","project_id":79,"tracker_id":40,"status_id":1,"priority_id":2,"assigned_to_id":23,"start_date":"2016-10-15","description":"","custom_fields":[{"id":1,"name":"Subdivision","value":"EC"},{"id":4,"name":"Milepost","value":"0.0158"},{"id":17,"name":"Train ID","value":"158-15"},{"id":16,"name":"Locomotive ID","value":"4054"},{"id":130,"name":"Impact","value":""},{"id":150,"name":"Time of Event (Mountain Time)","value":"12:21:00"},{"id":151,"name":"Denver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519</v>
      </c>
      <c r="B72" s="7">
        <v>4038</v>
      </c>
      <c r="C72" s="22" t="s">
        <v>99</v>
      </c>
      <c r="D72" s="22" t="s">
        <v>329</v>
      </c>
      <c r="E72" s="13">
        <v>42658.456388888888</v>
      </c>
      <c r="F72" s="13">
        <v>42658.458761574075</v>
      </c>
      <c r="G72" s="7">
        <v>1</v>
      </c>
      <c r="H72" s="13" t="s">
        <v>330</v>
      </c>
      <c r="I72" s="13">
        <v>42658.484340277777</v>
      </c>
      <c r="J72" s="7">
        <v>0</v>
      </c>
      <c r="K72" s="112" t="str">
        <f t="shared" si="19"/>
        <v>4037/4038</v>
      </c>
      <c r="L72" s="22" t="str">
        <f>VLOOKUP(A72,'Trips&amp;Operators'!$C$1:$E$10000,3,FALSE)</f>
        <v>STEWART</v>
      </c>
      <c r="M72" s="6">
        <f t="shared" si="20"/>
        <v>2.5578703702194616E-2</v>
      </c>
      <c r="N72" s="7">
        <f t="shared" si="21"/>
        <v>36.833333331160247</v>
      </c>
      <c r="O72" s="7"/>
      <c r="P72" s="7"/>
      <c r="Q72" s="23"/>
      <c r="R72" s="23"/>
      <c r="S72" s="35">
        <f t="shared" si="22"/>
        <v>1</v>
      </c>
      <c r="T72" s="50" t="str">
        <f t="shared" si="23"/>
        <v>NorthBound</v>
      </c>
      <c r="U72" s="144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09:57:12-0600',mode:absolute,to:'2016-10-15 12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2" s="52" t="str">
        <f t="shared" si="25"/>
        <v>N</v>
      </c>
      <c r="X72" s="149">
        <f t="shared" si="26"/>
        <v>1</v>
      </c>
      <c r="Y72" s="67">
        <f t="shared" si="27"/>
        <v>4.9700000000000001E-2</v>
      </c>
      <c r="Z72" s="67">
        <f t="shared" si="28"/>
        <v>23.3323</v>
      </c>
      <c r="AA72" s="67">
        <f t="shared" si="29"/>
        <v>23.282599999999999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30"/>
        <v>0159-15</v>
      </c>
      <c r="AE72" s="91" t="str">
        <f t="shared" si="31"/>
        <v>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 &amp; aws s3 cp s3://rtdc.mdm.uploadarchive.raw/RTDC4038/ "%USERPROFILE%\AppData\Local\Temp\OnboardLogs"\RTDC4038\2016-10-16 --exclude "*" --recursive --include "*20161016*" &amp; "%USERPROFILE%\Documents\GitHub\mrs-test-scripts\Headless Mode &amp; Sideloading\WalkAndUnGZ.bat" "%USERPROFILE%\AppData\Local\Temp\OnboardLogs"\RTDC4038\2016-10-16</v>
      </c>
      <c r="AF72" s="88" t="str">
        <f t="shared" si="32"/>
        <v>"C:\Program Files (x86)\AstroGrep\AstroGrep.exe" /spath="%USERPROFILE%\AppData\Local\Temp\OnboardLogs" /stypes="app*4038*20161015*" /stext=" 17:.+((SYSTEM_STATE.+slice.+state.+changed )|(ment ac)|(system.+state.+changed )|(\[timeout)|(PRM\|1\|D)|(kpr)|(kdp)|(\|lc)|(penalty))" /e /r /s</v>
      </c>
      <c r="AG72" s="1" t="str">
        <f t="shared" si="33"/>
        <v>EC</v>
      </c>
      <c r="AH72" s="92" t="str">
        <f t="shared" si="17"/>
        <v>"%USERPROFILE%\Documents\GitHub\eaglep3\Utilities\RefineRTDCRunTimes.py" --tripid 159-15 --locoid 4038 --swversion DE.1.0.7.0 --startMP 204:497 --initTime 2016-10-15T10:57:12 --startdatetime 2016-10-15T11:00:37 --delay 1 --endMP 204:233323 --enddatetime 2016-10-15T11:37:27 --enforcementcount 0 &gt;&gt;C:\Users\stu\Documents\GitHub\eaglep3-reporting\EC\2016-10-15-refined-times.txt</v>
      </c>
      <c r="AI72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{"issue":{"subject":"","project_id":79,"tracker_id":40,"status_id":1,"priority_id":2,"assigned_to_id":23,"start_date":"2016-10-15","description":"","custom_fields":[{"id":1,"name":"Subdivision","value":"EC"},{"id":4,"name":"Milepost","value":"23.3323"},{"id":17,"name":"Train ID","value":"159-15"},{"id":16,"name":"Locomotive ID","value":"4038"},{"id":130,"name":"Impact","value":""},{"id":150,"name":"Time of Event (Mountain Time)","value":"11:37:27"},{"id":151,"name":"Denver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440</v>
      </c>
      <c r="B73" s="7">
        <v>4037</v>
      </c>
      <c r="C73" s="22" t="s">
        <v>99</v>
      </c>
      <c r="D73" s="22" t="s">
        <v>239</v>
      </c>
      <c r="E73" s="13">
        <v>42658.493090277778</v>
      </c>
      <c r="F73" s="13">
        <v>42658.531597222223</v>
      </c>
      <c r="G73" s="7">
        <v>1</v>
      </c>
      <c r="H73" s="13" t="s">
        <v>652</v>
      </c>
      <c r="I73" s="13">
        <v>42658.556875000002</v>
      </c>
      <c r="J73" s="7">
        <v>0</v>
      </c>
      <c r="K73" s="112" t="str">
        <f t="shared" si="19"/>
        <v>4037/4038</v>
      </c>
      <c r="L73" s="22" t="str">
        <f>VLOOKUP(A73,'Trips&amp;Operators'!$C$1:$E$10000,3,FALSE)</f>
        <v>STEWART</v>
      </c>
      <c r="M73" s="6">
        <f t="shared" si="20"/>
        <v>2.527777777868323E-2</v>
      </c>
      <c r="N73" s="7">
        <f t="shared" si="21"/>
        <v>36.400000001303852</v>
      </c>
      <c r="O73" s="7"/>
      <c r="P73" s="7"/>
      <c r="Q73" s="23"/>
      <c r="R73" s="23"/>
      <c r="S73" s="35">
        <f t="shared" si="22"/>
        <v>1</v>
      </c>
      <c r="T73" s="50" t="str">
        <f t="shared" si="23"/>
        <v>Southbound</v>
      </c>
      <c r="U73" s="144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10:50:03-0600',mode:absolute,to:'2016-10-15 14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3" s="52" t="str">
        <f t="shared" si="25"/>
        <v>N</v>
      </c>
      <c r="X73" s="149">
        <f t="shared" si="26"/>
        <v>1</v>
      </c>
      <c r="Y73" s="67">
        <f t="shared" si="27"/>
        <v>23.298500000000001</v>
      </c>
      <c r="Z73" s="67">
        <f t="shared" si="28"/>
        <v>1.89E-2</v>
      </c>
      <c r="AA73" s="67">
        <f t="shared" si="29"/>
        <v>23.279600000000002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30"/>
        <v>0160-15</v>
      </c>
      <c r="AE73" s="91" t="str">
        <f t="shared" si="31"/>
        <v>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 &amp; aws s3 cp s3://rtdc.mdm.uploadarchive.raw/RTDC4037/ "%USERPROFILE%\AppData\Local\Temp\OnboardLogs"\RTDC4037\2016-10-16 --exclude "*" --recursive --include "*20161016*" &amp; "%USERPROFILE%\Documents\GitHub\mrs-test-scripts\Headless Mode &amp; Sideloading\WalkAndUnGZ.bat" "%USERPROFILE%\AppData\Local\Temp\OnboardLogs"\RTDC4037\2016-10-16</v>
      </c>
      <c r="AF73" s="88" t="str">
        <f t="shared" si="32"/>
        <v>"C:\Program Files (x86)\AstroGrep\AstroGrep.exe" /spath="%USERPROFILE%\AppData\Local\Temp\OnboardLogs" /stypes="app*4037*20161015*" /stext=" 19:.+((SYSTEM_STATE.+slice.+state.+changed )|(ment ac)|(system.+state.+changed )|(\[timeout)|(PRM\|1\|D)|(kpr)|(kdp)|(\|lc)|(penalty))" /e /r /s</v>
      </c>
      <c r="AG73" s="1" t="str">
        <f t="shared" si="33"/>
        <v>EC</v>
      </c>
      <c r="AH73" s="92" t="str">
        <f t="shared" si="17"/>
        <v>"%USERPROFILE%\Documents\GitHub\eaglep3\Utilities\RefineRTDCRunTimes.py" --tripid 160-15 --locoid 4037 --swversion DE.1.0.7.0 --startMP 204:232985 --initTime 2016-10-15T11:50:03 --startdatetime 2016-10-15T12:45:30 --delay 1 --endMP 204:189 --enddatetime 2016-10-15T13:21:54 --enforcementcount 0 &gt;&gt;C:\Users\stu\Documents\GitHub\eaglep3-reporting\EC\2016-10-15-refined-times.txt</v>
      </c>
      <c r="AI73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{"issue":{"subject":"","project_id":79,"tracker_id":40,"status_id":1,"priority_id":2,"assigned_to_id":23,"start_date":"2016-10-15","description":"","custom_fields":[{"id":1,"name":"Subdivision","value":"EC"},{"id":4,"name":"Milepost","value":"0.0189"},{"id":17,"name":"Train ID","value":"160-15"},{"id":16,"name":"Locomotive ID","value":"4037"},{"id":130,"name":"Impact","value":""},{"id":150,"name":"Time of Event (Mountain Time)","value":"13:21:54"},{"id":151,"name":"Denver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521</v>
      </c>
      <c r="B74" s="7">
        <v>4003</v>
      </c>
      <c r="C74" s="22" t="s">
        <v>99</v>
      </c>
      <c r="D74" s="22" t="s">
        <v>653</v>
      </c>
      <c r="E74" s="13">
        <v>42658.46303240741</v>
      </c>
      <c r="F74" s="13">
        <v>42658.468946759262</v>
      </c>
      <c r="G74" s="7">
        <v>1</v>
      </c>
      <c r="H74" s="13" t="s">
        <v>411</v>
      </c>
      <c r="I74" s="13">
        <v>42658.494074074071</v>
      </c>
      <c r="J74" s="7">
        <v>0</v>
      </c>
      <c r="K74" s="112" t="str">
        <f t="shared" si="19"/>
        <v>4003/4004</v>
      </c>
      <c r="L74" s="22" t="str">
        <f>VLOOKUP(A74,'Trips&amp;Operators'!$C$1:$E$10000,3,FALSE)</f>
        <v>ISHMAEL</v>
      </c>
      <c r="M74" s="6">
        <f t="shared" si="20"/>
        <v>2.512731480965158E-2</v>
      </c>
      <c r="N74" s="7">
        <f t="shared" si="21"/>
        <v>36.183333325898275</v>
      </c>
      <c r="O74" s="7"/>
      <c r="P74" s="7"/>
      <c r="Q74" s="23"/>
      <c r="R74" s="23"/>
      <c r="S74" s="35">
        <f t="shared" si="22"/>
        <v>1</v>
      </c>
      <c r="T74" s="50" t="str">
        <f t="shared" si="23"/>
        <v>NorthBound</v>
      </c>
      <c r="U74" s="144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10:06:46-0600',mode:absolute,to:'2016-10-15 12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4" s="52" t="str">
        <f t="shared" si="25"/>
        <v>N</v>
      </c>
      <c r="X74" s="149">
        <f t="shared" si="26"/>
        <v>1</v>
      </c>
      <c r="Y74" s="67">
        <f t="shared" si="27"/>
        <v>4.8899999999999999E-2</v>
      </c>
      <c r="Z74" s="67">
        <f t="shared" si="28"/>
        <v>23.330500000000001</v>
      </c>
      <c r="AA74" s="67">
        <f t="shared" si="29"/>
        <v>23.281600000000001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30"/>
        <v>0161-15</v>
      </c>
      <c r="AE74" s="91" t="str">
        <f t="shared" si="31"/>
        <v>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 &amp; aws s3 cp s3://rtdc.mdm.uploadarchive.raw/RTDC4003/ "%USERPROFILE%\AppData\Local\Temp\OnboardLogs"\RTDC4003\2016-10-16 --exclude "*" --recursive --include "*20161016*" &amp; "%USERPROFILE%\Documents\GitHub\mrs-test-scripts\Headless Mode &amp; Sideloading\WalkAndUnGZ.bat" "%USERPROFILE%\AppData\Local\Temp\OnboardLogs"\RTDC4003\2016-10-16</v>
      </c>
      <c r="AF74" s="88" t="str">
        <f t="shared" si="32"/>
        <v>"C:\Program Files (x86)\AstroGrep\AstroGrep.exe" /spath="%USERPROFILE%\AppData\Local\Temp\OnboardLogs" /stypes="app*4003*20161015*" /stext=" 17:.+((SYSTEM_STATE.+slice.+state.+changed )|(ment ac)|(system.+state.+changed )|(\[timeout)|(PRM\|1\|D)|(kpr)|(kdp)|(\|lc)|(penalty))" /e /r /s</v>
      </c>
      <c r="AG74" s="1" t="str">
        <f t="shared" si="33"/>
        <v>EC</v>
      </c>
      <c r="AH74" s="92" t="str">
        <f t="shared" si="17"/>
        <v>"%USERPROFILE%\Documents\GitHub\eaglep3\Utilities\RefineRTDCRunTimes.py" --tripid 161-15 --locoid 4003 --swversion DE.1.0.7.0 --startMP 204:489 --initTime 2016-10-15T11:06:46 --startdatetime 2016-10-15T11:15:17 --delay 1 --endMP 204:233305 --enddatetime 2016-10-15T11:51:28 --enforcementcount 0 &gt;&gt;C:\Users\stu\Documents\GitHub\eaglep3-reporting\EC\2016-10-15-refined-times.txt</v>
      </c>
      <c r="AI74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{"issue":{"subject":"","project_id":79,"tracker_id":40,"status_id":1,"priority_id":2,"assigned_to_id":23,"start_date":"2016-10-15","description":"","custom_fields":[{"id":1,"name":"Subdivision","value":"EC"},{"id":4,"name":"Milepost","value":"23.3305"},{"id":17,"name":"Train ID","value":"161-15"},{"id":16,"name":"Locomotive ID","value":"4003"},{"id":130,"name":"Impact","value":""},{"id":150,"name":"Time of Event (Mountain Time)","value":"11:51:28"},{"id":151,"name":"Denver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530</v>
      </c>
      <c r="B75" s="7">
        <v>4004</v>
      </c>
      <c r="C75" s="22" t="s">
        <v>99</v>
      </c>
      <c r="D75" s="22" t="s">
        <v>313</v>
      </c>
      <c r="E75" s="13">
        <v>42658.499976851854</v>
      </c>
      <c r="F75" s="13">
        <v>42658.507800925923</v>
      </c>
      <c r="G75" s="7">
        <v>1</v>
      </c>
      <c r="H75" s="13" t="s">
        <v>244</v>
      </c>
      <c r="I75" s="13">
        <v>42658.535312499997</v>
      </c>
      <c r="J75" s="7">
        <v>0</v>
      </c>
      <c r="K75" s="112" t="str">
        <f t="shared" si="19"/>
        <v>4003/4004</v>
      </c>
      <c r="L75" s="22" t="str">
        <f>VLOOKUP(A75,'Trips&amp;Operators'!$C$1:$E$10000,3,FALSE)</f>
        <v>ISHMAEL</v>
      </c>
      <c r="M75" s="6">
        <f t="shared" si="20"/>
        <v>2.7511574073287193E-2</v>
      </c>
      <c r="N75" s="7">
        <f t="shared" si="21"/>
        <v>39.616666665533558</v>
      </c>
      <c r="O75" s="7"/>
      <c r="P75" s="7"/>
      <c r="Q75" s="23"/>
      <c r="R75" s="23"/>
      <c r="S75" s="35">
        <f t="shared" si="22"/>
        <v>1</v>
      </c>
      <c r="T75" s="50" t="str">
        <f t="shared" si="23"/>
        <v>Southbound</v>
      </c>
      <c r="U75" s="144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10:59:58-0600',mode:absolute,to:'2016-10-15 13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5" s="52" t="str">
        <f t="shared" si="25"/>
        <v>N</v>
      </c>
      <c r="X75" s="149">
        <f t="shared" si="26"/>
        <v>1</v>
      </c>
      <c r="Y75" s="67">
        <f t="shared" si="27"/>
        <v>23.297699999999999</v>
      </c>
      <c r="Z75" s="67">
        <f t="shared" si="28"/>
        <v>1.49E-2</v>
      </c>
      <c r="AA75" s="67">
        <f t="shared" si="29"/>
        <v>23.282799999999998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30"/>
        <v>0162-15</v>
      </c>
      <c r="AE75" s="91" t="str">
        <f t="shared" si="31"/>
        <v>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 &amp; aws s3 cp s3://rtdc.mdm.uploadarchive.raw/RTDC4004/ "%USERPROFILE%\AppData\Local\Temp\OnboardLogs"\RTDC4004\2016-10-16 --exclude "*" --recursive --include "*20161016*" &amp; "%USERPROFILE%\Documents\GitHub\mrs-test-scripts\Headless Mode &amp; Sideloading\WalkAndUnGZ.bat" "%USERPROFILE%\AppData\Local\Temp\OnboardLogs"\RTDC4004\2016-10-16</v>
      </c>
      <c r="AF75" s="88" t="str">
        <f t="shared" si="32"/>
        <v>"C:\Program Files (x86)\AstroGrep\AstroGrep.exe" /spath="%USERPROFILE%\AppData\Local\Temp\OnboardLogs" /stypes="app*4004*20161015*" /stext=" 18:.+((SYSTEM_STATE.+slice.+state.+changed )|(ment ac)|(system.+state.+changed )|(\[timeout)|(PRM\|1\|D)|(kpr)|(kdp)|(\|lc)|(penalty))" /e /r /s</v>
      </c>
      <c r="AG75" s="1" t="str">
        <f t="shared" si="33"/>
        <v>EC</v>
      </c>
      <c r="AH75" s="92" t="str">
        <f t="shared" si="17"/>
        <v>"%USERPROFILE%\Documents\GitHub\eaglep3\Utilities\RefineRTDCRunTimes.py" --tripid 162-15 --locoid 4004 --swversion DE.1.0.7.0 --startMP 204:232977 --initTime 2016-10-15T11:59:58 --startdatetime 2016-10-15T12:11:14 --delay 1 --endMP 204:149 --enddatetime 2016-10-15T12:50:51 --enforcementcount 0 &gt;&gt;C:\Users\stu\Documents\GitHub\eaglep3-reporting\EC\2016-10-15-refined-times.txt</v>
      </c>
      <c r="AI75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{"issue":{"subject":"","project_id":79,"tracker_id":40,"status_id":1,"priority_id":2,"assigned_to_id":23,"start_date":"2016-10-15","description":"","custom_fields":[{"id":1,"name":"Subdivision","value":"EC"},{"id":4,"name":"Milepost","value":"0.0149"},{"id":17,"name":"Train ID","value":"162-15"},{"id":16,"name":"Locomotive ID","value":"4004"},{"id":130,"name":"Impact","value":""},{"id":150,"name":"Time of Event (Mountain Time)","value":"12:50:51"},{"id":151,"name":"Denver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524</v>
      </c>
      <c r="B76" s="7">
        <v>4016</v>
      </c>
      <c r="C76" s="22" t="s">
        <v>99</v>
      </c>
      <c r="D76" s="22" t="s">
        <v>257</v>
      </c>
      <c r="E76" s="13">
        <v>42658.482974537037</v>
      </c>
      <c r="F76" s="13">
        <v>42658.485081018516</v>
      </c>
      <c r="G76" s="7">
        <v>1</v>
      </c>
      <c r="H76" s="13" t="s">
        <v>645</v>
      </c>
      <c r="I76" s="13">
        <v>42658.511493055557</v>
      </c>
      <c r="J76" s="7">
        <v>0</v>
      </c>
      <c r="K76" s="112" t="str">
        <f t="shared" si="19"/>
        <v>4015/4016</v>
      </c>
      <c r="L76" s="22" t="str">
        <f>VLOOKUP(A76,'Trips&amp;Operators'!$C$1:$E$10000,3,FALSE)</f>
        <v>MOSES</v>
      </c>
      <c r="M76" s="6">
        <f t="shared" si="20"/>
        <v>2.641203704115469E-2</v>
      </c>
      <c r="N76" s="7">
        <f t="shared" si="21"/>
        <v>38.033333339262754</v>
      </c>
      <c r="O76" s="7"/>
      <c r="P76" s="7"/>
      <c r="Q76" s="23"/>
      <c r="R76" s="23"/>
      <c r="S76" s="35">
        <f t="shared" si="22"/>
        <v>1</v>
      </c>
      <c r="T76" s="50" t="str">
        <f t="shared" si="23"/>
        <v>NorthBound</v>
      </c>
      <c r="U76" s="144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https://search-rtdc-monitor-bjffxe2xuh6vdkpspy63sjmuny.us-east-1.es.amazonaws.com/_plugin/kibana/#/discover/Steve-Slow-Train-Analysis-(2080s-and-2083s)?_g=(refreshInterval:(display:Off,section:0,value:0),time:(from:'2016-10-15 10:35:29-0600',mode:absolute,to:'2016-10-15 13:16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6" s="52" t="str">
        <f t="shared" si="25"/>
        <v>N</v>
      </c>
      <c r="X76" s="149">
        <f t="shared" si="26"/>
        <v>1</v>
      </c>
      <c r="Y76" s="67">
        <f t="shared" si="27"/>
        <v>4.5499999999999999E-2</v>
      </c>
      <c r="Z76" s="67">
        <f t="shared" si="28"/>
        <v>23.3308</v>
      </c>
      <c r="AA76" s="67">
        <f t="shared" si="29"/>
        <v>23.285299999999999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30"/>
        <v>0163-15</v>
      </c>
      <c r="AE76" s="91" t="str">
        <f t="shared" si="31"/>
        <v>aws s3 cp s3://rtdc.mdm.uploadarchive.raw/RTDC4016/ "%USERPROFILE%\AppData\Local\Temp\OnboardLogs"\RTDC4016\2016-10-15 --exclude "*" --recursive --include "*20161015*" &amp; "%USERPROFILE%\Documents\GitHub\mrs-test-scripts\Headless Mode &amp; Sideloading\WalkAndUnGZ.bat" "%USERPROFILE%\AppData\Local\Temp\OnboardLogs"\RTDC4016\2016-10-15 &amp; aws s3 cp s3://rtdc.mdm.uploadarchive.raw/RTDC4016/ "%USERPROFILE%\AppData\Local\Temp\OnboardLogs"\RTDC4016\2016-10-16 --exclude "*" --recursive --include "*20161016*" &amp; "%USERPROFILE%\Documents\GitHub\mrs-test-scripts\Headless Mode &amp; Sideloading\WalkAndUnGZ.bat" "%USERPROFILE%\AppData\Local\Temp\OnboardLogs"\RTDC4016\2016-10-16</v>
      </c>
      <c r="AF76" s="88" t="str">
        <f t="shared" si="32"/>
        <v>"C:\Program Files (x86)\AstroGrep\AstroGrep.exe" /spath="%USERPROFILE%\AppData\Local\Temp\OnboardLogs" /stypes="app*4016*20161015*" /stext=" 18:.+((SYSTEM_STATE.+slice.+state.+changed )|(ment ac)|(system.+state.+changed )|(\[timeout)|(PRM\|1\|D)|(kpr)|(kdp)|(\|lc)|(penalty))" /e /r /s</v>
      </c>
      <c r="AG76" s="1" t="str">
        <f t="shared" si="33"/>
        <v>EC</v>
      </c>
      <c r="AH76" s="92" t="str">
        <f t="shared" si="17"/>
        <v>"%USERPROFILE%\Documents\GitHub\eaglep3\Utilities\RefineRTDCRunTimes.py" --tripid 163-15 --locoid 4016 --swversion DE.1.0.7.0 --startMP 204:455 --initTime 2016-10-15T11:35:29 --startdatetime 2016-10-15T11:38:31 --delay 1 --endMP 204:233308 --enddatetime 2016-10-15T12:16:33 --enforcementcount 0 &gt;&gt;C:\Users\stu\Documents\GitHub\eaglep3-reporting\EC\2016-10-15-refined-times.txt</v>
      </c>
      <c r="AI76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{"issue":{"subject":"","project_id":79,"tracker_id":40,"status_id":1,"priority_id":2,"assigned_to_id":23,"start_date":"2016-10-15","description":"","custom_fields":[{"id":1,"name":"Subdivision","value":"EC"},{"id":4,"name":"Milepost","value":"23.3308"},{"id":17,"name":"Train ID","value":"163-15"},{"id":16,"name":"Locomotive ID","value":"4016"},{"id":130,"name":"Impact","value":""},{"id":150,"name":"Time of Event (Mountain Time)","value":"12:16:33"},{"id":151,"name":"Denver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533</v>
      </c>
      <c r="B77" s="7">
        <v>4015</v>
      </c>
      <c r="C77" s="22" t="s">
        <v>99</v>
      </c>
      <c r="D77" s="22" t="s">
        <v>321</v>
      </c>
      <c r="E77" s="13">
        <v>42658.514988425923</v>
      </c>
      <c r="F77" s="13">
        <v>42658.518310185187</v>
      </c>
      <c r="G77" s="7">
        <v>1</v>
      </c>
      <c r="H77" s="13" t="s">
        <v>275</v>
      </c>
      <c r="I77" s="13">
        <v>42658.545925925922</v>
      </c>
      <c r="J77" s="7">
        <v>0</v>
      </c>
      <c r="K77" s="112" t="str">
        <f t="shared" ref="K77:K108" si="34">IF(ISEVEN(B77),(B77-1)&amp;"/"&amp;B77,B77&amp;"/"&amp;(B77+1))</f>
        <v>4015/4016</v>
      </c>
      <c r="L77" s="22" t="str">
        <f>VLOOKUP(A77,'Trips&amp;Operators'!$C$1:$E$10000,3,FALSE)</f>
        <v>MOSES</v>
      </c>
      <c r="M77" s="6">
        <f t="shared" ref="M77:M108" si="35">I77-F77</f>
        <v>2.7615740735200234E-2</v>
      </c>
      <c r="N77" s="7">
        <f t="shared" ref="N77:N108" si="36">24*60*SUM($M77:$M77)</f>
        <v>39.766666658688337</v>
      </c>
      <c r="O77" s="7"/>
      <c r="P77" s="7"/>
      <c r="Q77" s="23"/>
      <c r="R77" s="23"/>
      <c r="S77" s="35">
        <f t="shared" ref="S77:S108" si="37">SUM(U77:U77)/IF(AG77="EC",12,1)</f>
        <v>1</v>
      </c>
      <c r="T77" s="50" t="str">
        <f t="shared" ref="T77:T108" si="38">IF(ISEVEN(LEFT(AD77,4)),"Southbound","NorthBound")</f>
        <v>Southbound</v>
      </c>
      <c r="U77" s="144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08" si="39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https://search-rtdc-monitor-bjffxe2xuh6vdkpspy63sjmuny.us-east-1.es.amazonaws.com/_plugin/kibana/#/discover/Steve-Slow-Train-Analysis-(2080s-and-2083s)?_g=(refreshInterval:(display:Off,section:0,value:0),time:(from:'2016-10-15 11:21:35-0600',mode:absolute,to:'2016-10-15 14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7" s="52" t="str">
        <f t="shared" ref="W77:W108" si="40">IF(AA77&lt;IF(AG77="EC",23,5.65),"Y","N")</f>
        <v>N</v>
      </c>
      <c r="X77" s="149">
        <f t="shared" ref="X77:X108" si="41">VALUE(LEFT(AD77,4))-VALUE(LEFT(AD76,4))</f>
        <v>1</v>
      </c>
      <c r="Y77" s="67">
        <f t="shared" ref="Y77:Y108" si="42">RIGHT(D77,LEN(D77)-4)/10000</f>
        <v>23.299399999999999</v>
      </c>
      <c r="Z77" s="67">
        <f t="shared" ref="Z77:Z108" si="43">RIGHT(H77,LEN(H77)-4)/10000</f>
        <v>1.6E-2</v>
      </c>
      <c r="AA77" s="67">
        <f t="shared" ref="AA77:AA108" si="44">ABS(Z77-Y77)</f>
        <v>23.2834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08" si="45">IF(LEN(A77)=6,"0"&amp;A77,A77)</f>
        <v>0164-15</v>
      </c>
      <c r="AE77" s="91" t="str">
        <f t="shared" ref="AE77:AE108" si="4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 &amp; aws s3 cp s3://rtdc.mdm.uploadarchive.raw/RTDC4015/ "%USERPROFILE%\AppData\Local\Temp\OnboardLogs"\RTDC4015\2016-10-16 --exclude "*" --recursive --include "*20161016*" &amp; "%USERPROFILE%\Documents\GitHub\mrs-test-scripts\Headless Mode &amp; Sideloading\WalkAndUnGZ.bat" "%USERPROFILE%\AppData\Local\Temp\OnboardLogs"\RTDC4015\2016-10-16</v>
      </c>
      <c r="AF77" s="88" t="str">
        <f t="shared" ref="AF77:AF108" si="4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/stypes="app*4015*20161015*" /stext=" 19:.+((SYSTEM_STATE.+slice.+state.+changed )|(ment ac)|(system.+state.+changed )|(\[timeout)|(PRM\|1\|D)|(kpr)|(kdp)|(\|lc)|(penalty))" /e /r /s</v>
      </c>
      <c r="AG77" s="1" t="str">
        <f t="shared" ref="AG77:AG108" si="48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164-15 --locoid 4015 --swversion DE.1.0.7.0 --startMP 204:232994 --initTime 2016-10-15T12:21:35 --startdatetime 2016-10-15T12:26:22 --delay 1 --endMP 204:160 --enddatetime 2016-10-15T13:06:08 --enforcementcount 0 &gt;&gt;C:\Users\stu\Documents\GitHub\eaglep3-reporting\EC\2016-10-15-refined-times.txt</v>
      </c>
      <c r="AI77" s="122" t="str">
        <f t="shared" si="18"/>
        <v>echo {"issue":{"subject":"","project_id":79,"tracker_id":40,"status_id":1,"priority_id":2,"assigned_to_id":23,"start_date":"2016-10-15","description":"","custom_fields":[{"id":1,"name":"Subdivision","value":"EC"},{"id":4,"name":"Milepost","value":"0.016"},{"id":17,"name":"Train ID","value":"164-15"},{"id":16,"name":"Locomotive ID","value":"4015"},{"id":130,"name":"Impact","value":""},{"id":150,"name":"Time of Event (Mountain Time)","value":"13:06:08"},{"id":151,"name":"Denver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527</v>
      </c>
      <c r="B78" s="7">
        <v>4011</v>
      </c>
      <c r="C78" s="22" t="s">
        <v>99</v>
      </c>
      <c r="D78" s="22" t="s">
        <v>398</v>
      </c>
      <c r="E78" s="13">
        <v>42658.487812500003</v>
      </c>
      <c r="F78" s="13">
        <v>42658.490034722221</v>
      </c>
      <c r="G78" s="7">
        <v>1</v>
      </c>
      <c r="H78" s="13" t="s">
        <v>654</v>
      </c>
      <c r="I78" s="13">
        <v>42658.515381944446</v>
      </c>
      <c r="J78" s="7">
        <v>0</v>
      </c>
      <c r="K78" s="112" t="str">
        <f t="shared" si="34"/>
        <v>4011/4012</v>
      </c>
      <c r="L78" s="22" t="str">
        <f>VLOOKUP(A78,'Trips&amp;Operators'!$C$1:$E$10000,3,FALSE)</f>
        <v>SHOOK</v>
      </c>
      <c r="M78" s="6">
        <f t="shared" si="35"/>
        <v>2.5347222224809229E-2</v>
      </c>
      <c r="N78" s="7">
        <f t="shared" si="36"/>
        <v>36.50000000372529</v>
      </c>
      <c r="O78" s="7"/>
      <c r="P78" s="7"/>
      <c r="Q78" s="23"/>
      <c r="R78" s="23"/>
      <c r="S78" s="35">
        <f t="shared" si="37"/>
        <v>1</v>
      </c>
      <c r="T78" s="50" t="str">
        <f t="shared" si="38"/>
        <v>NorthBound</v>
      </c>
      <c r="U78" s="144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10:42:27-0600',mode:absolute,to:'2016-10-15 13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8" s="52" t="str">
        <f t="shared" si="40"/>
        <v>N</v>
      </c>
      <c r="X78" s="149">
        <f t="shared" si="41"/>
        <v>1</v>
      </c>
      <c r="Y78" s="67">
        <f t="shared" si="42"/>
        <v>4.4400000000000002E-2</v>
      </c>
      <c r="Z78" s="67">
        <f t="shared" si="43"/>
        <v>23.335999999999999</v>
      </c>
      <c r="AA78" s="67">
        <f t="shared" si="44"/>
        <v>23.291599999999999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45"/>
        <v>0165-15</v>
      </c>
      <c r="AE78" s="91" t="str">
        <f t="shared" si="46"/>
        <v>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 &amp; aws s3 cp s3://rtdc.mdm.uploadarchive.raw/RTDC4011/ "%USERPROFILE%\AppData\Local\Temp\OnboardLogs"\RTDC4011\2016-10-16 --exclude "*" --recursive --include "*20161016*" &amp; "%USERPROFILE%\Documents\GitHub\mrs-test-scripts\Headless Mode &amp; Sideloading\WalkAndUnGZ.bat" "%USERPROFILE%\AppData\Local\Temp\OnboardLogs"\RTDC4011\2016-10-16</v>
      </c>
      <c r="AF78" s="88" t="str">
        <f t="shared" si="47"/>
        <v>"C:\Program Files (x86)\AstroGrep\AstroGrep.exe" /spath="%USERPROFILE%\AppData\Local\Temp\OnboardLogs" /stypes="app*4011*20161015*" /stext=" 18:.+((SYSTEM_STATE.+slice.+state.+changed )|(ment ac)|(system.+state.+changed )|(\[timeout)|(PRM\|1\|D)|(kpr)|(kdp)|(\|lc)|(penalty))" /e /r /s</v>
      </c>
      <c r="AG78" s="1" t="str">
        <f t="shared" si="48"/>
        <v>EC</v>
      </c>
      <c r="AH78" s="92" t="str">
        <f t="shared" ref="AH78:AH140" si="4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165-15 --locoid 4011 --swversion DE.1.0.7.0 --startMP 204:444 --initTime 2016-10-15T11:42:27 --startdatetime 2016-10-15T11:45:39 --delay 1 --endMP 204:233360 --enddatetime 2016-10-15T12:22:09 --enforcementcount 0 &gt;&gt;C:\Users\stu\Documents\GitHub\eaglep3-reporting\EC\2016-10-15-refined-times.txt</v>
      </c>
      <c r="AI78" s="122" t="str">
        <f t="shared" ref="AI78:AI140" si="5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{"issue":{"subject":"","project_id":79,"tracker_id":40,"status_id":1,"priority_id":2,"assigned_to_id":23,"start_date":"2016-10-15","description":"","custom_fields":[{"id":1,"name":"Subdivision","value":"EC"},{"id":4,"name":"Milepost","value":"23.336"},{"id":17,"name":"Train ID","value":"165-15"},{"id":16,"name":"Locomotive ID","value":"4011"},{"id":130,"name":"Impact","value":""},{"id":150,"name":"Time of Event (Mountain Time)","value":"12:22:09"},{"id":151,"name":"Denver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534</v>
      </c>
      <c r="B79" s="7">
        <v>4012</v>
      </c>
      <c r="C79" s="22" t="s">
        <v>99</v>
      </c>
      <c r="D79" s="22" t="s">
        <v>655</v>
      </c>
      <c r="E79" s="13">
        <v>42658.52202546296</v>
      </c>
      <c r="F79" s="13">
        <v>42658.528749999998</v>
      </c>
      <c r="G79" s="7">
        <v>1</v>
      </c>
      <c r="H79" s="13" t="s">
        <v>408</v>
      </c>
      <c r="I79" s="13">
        <v>42658.555717592593</v>
      </c>
      <c r="J79" s="7">
        <v>0</v>
      </c>
      <c r="K79" s="112" t="str">
        <f t="shared" si="34"/>
        <v>4011/4012</v>
      </c>
      <c r="L79" s="22" t="str">
        <f>VLOOKUP(A79,'Trips&amp;Operators'!$C$1:$E$10000,3,FALSE)</f>
        <v>SHOOK</v>
      </c>
      <c r="M79" s="6">
        <f t="shared" si="35"/>
        <v>2.6967592595610768E-2</v>
      </c>
      <c r="N79" s="7">
        <f t="shared" si="36"/>
        <v>38.833333337679505</v>
      </c>
      <c r="O79" s="7"/>
      <c r="P79" s="7"/>
      <c r="Q79" s="23"/>
      <c r="R79" s="23"/>
      <c r="S79" s="35">
        <f t="shared" si="37"/>
        <v>1</v>
      </c>
      <c r="T79" s="50" t="str">
        <f t="shared" si="38"/>
        <v>Southbound</v>
      </c>
      <c r="U79" s="144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11:31:43-0600',mode:absolute,to:'2016-10-15 14:20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9" s="52" t="str">
        <f t="shared" si="40"/>
        <v>N</v>
      </c>
      <c r="X79" s="149">
        <f t="shared" si="41"/>
        <v>1</v>
      </c>
      <c r="Y79" s="67">
        <f t="shared" si="42"/>
        <v>23.304400000000001</v>
      </c>
      <c r="Z79" s="67">
        <f t="shared" si="43"/>
        <v>1.38E-2</v>
      </c>
      <c r="AA79" s="67">
        <f t="shared" si="44"/>
        <v>23.290600000000001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5"/>
        <v>0166-15</v>
      </c>
      <c r="AE79" s="91" t="str">
        <f t="shared" si="46"/>
        <v>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 &amp; aws s3 cp s3://rtdc.mdm.uploadarchive.raw/RTDC4012/ "%USERPROFILE%\AppData\Local\Temp\OnboardLogs"\RTDC4012\2016-10-16 --exclude "*" --recursive --include "*20161016*" &amp; "%USERPROFILE%\Documents\GitHub\mrs-test-scripts\Headless Mode &amp; Sideloading\WalkAndUnGZ.bat" "%USERPROFILE%\AppData\Local\Temp\OnboardLogs"\RTDC4012\2016-10-16</v>
      </c>
      <c r="AF79" s="88" t="str">
        <f t="shared" si="47"/>
        <v>"C:\Program Files (x86)\AstroGrep\AstroGrep.exe" /spath="%USERPROFILE%\AppData\Local\Temp\OnboardLogs" /stypes="app*4012*20161015*" /stext=" 19:.+((SYSTEM_STATE.+slice.+state.+changed )|(ment ac)|(system.+state.+changed )|(\[timeout)|(PRM\|1\|D)|(kpr)|(kdp)|(\|lc)|(penalty))" /e /r /s</v>
      </c>
      <c r="AG79" s="1" t="str">
        <f t="shared" si="48"/>
        <v>EC</v>
      </c>
      <c r="AH79" s="92" t="str">
        <f t="shared" si="49"/>
        <v>"%USERPROFILE%\Documents\GitHub\eaglep3\Utilities\RefineRTDCRunTimes.py" --tripid 166-15 --locoid 4012 --swversion DE.1.0.7.0 --startMP 204:233044 --initTime 2016-10-15T12:31:43 --startdatetime 2016-10-15T12:41:24 --delay 1 --endMP 204:138 --enddatetime 2016-10-15T13:20:14 --enforcementcount 0 &gt;&gt;C:\Users\stu\Documents\GitHub\eaglep3-reporting\EC\2016-10-15-refined-times.txt</v>
      </c>
      <c r="AI79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{"issue":{"subject":"","project_id":79,"tracker_id":40,"status_id":1,"priority_id":2,"assigned_to_id":23,"start_date":"2016-10-15","description":"","custom_fields":[{"id":1,"name":"Subdivision","value":"EC"},{"id":4,"name":"Milepost","value":"0.0138"},{"id":17,"name":"Train ID","value":"166-15"},{"id":16,"name":"Locomotive ID","value":"4012"},{"id":130,"name":"Impact","value":""},{"id":150,"name":"Time of Event (Mountain Time)","value":"13:20:14"},{"id":151,"name":"Denver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528</v>
      </c>
      <c r="B80" s="7">
        <v>4020</v>
      </c>
      <c r="C80" s="22" t="s">
        <v>99</v>
      </c>
      <c r="D80" s="22" t="s">
        <v>326</v>
      </c>
      <c r="E80" s="13">
        <v>42658.496851851851</v>
      </c>
      <c r="F80" s="13">
        <v>42658.500219907408</v>
      </c>
      <c r="G80" s="7">
        <v>3</v>
      </c>
      <c r="H80" s="13" t="s">
        <v>645</v>
      </c>
      <c r="I80" s="13">
        <v>42658.526747685188</v>
      </c>
      <c r="J80" s="7">
        <v>0</v>
      </c>
      <c r="K80" s="112" t="str">
        <f t="shared" si="34"/>
        <v>4019/4020</v>
      </c>
      <c r="L80" s="22" t="str">
        <f>VLOOKUP(A80,'Trips&amp;Operators'!$C$1:$E$10000,3,FALSE)</f>
        <v>BRUDER</v>
      </c>
      <c r="M80" s="6">
        <f t="shared" si="35"/>
        <v>2.6527777779847383E-2</v>
      </c>
      <c r="N80" s="7">
        <f t="shared" si="36"/>
        <v>38.200000002980232</v>
      </c>
      <c r="O80" s="7"/>
      <c r="P80" s="7"/>
      <c r="Q80" s="23"/>
      <c r="R80" s="23"/>
      <c r="S80" s="35">
        <f t="shared" si="37"/>
        <v>1</v>
      </c>
      <c r="T80" s="50" t="str">
        <f t="shared" si="38"/>
        <v>NorthBound</v>
      </c>
      <c r="U80" s="144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10:55:28-0600',mode:absolute,to:'2016-10-15 13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80" s="52" t="str">
        <f t="shared" si="40"/>
        <v>N</v>
      </c>
      <c r="X80" s="149">
        <f t="shared" si="41"/>
        <v>1</v>
      </c>
      <c r="Y80" s="67">
        <f t="shared" si="42"/>
        <v>4.7500000000000001E-2</v>
      </c>
      <c r="Z80" s="67">
        <f t="shared" si="43"/>
        <v>23.3308</v>
      </c>
      <c r="AA80" s="67">
        <f t="shared" si="44"/>
        <v>23.283300000000001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45"/>
        <v>0167-15</v>
      </c>
      <c r="AE80" s="91" t="str">
        <f t="shared" si="46"/>
        <v>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 &amp; aws s3 cp s3://rtdc.mdm.uploadarchive.raw/RTDC4020/ "%USERPROFILE%\AppData\Local\Temp\OnboardLogs"\RTDC4020\2016-10-16 --exclude "*" --recursive --include "*20161016*" &amp; "%USERPROFILE%\Documents\GitHub\mrs-test-scripts\Headless Mode &amp; Sideloading\WalkAndUnGZ.bat" "%USERPROFILE%\AppData\Local\Temp\OnboardLogs"\RTDC4020\2016-10-16</v>
      </c>
      <c r="AF80" s="88" t="str">
        <f t="shared" si="47"/>
        <v>"C:\Program Files (x86)\AstroGrep\AstroGrep.exe" /spath="%USERPROFILE%\AppData\Local\Temp\OnboardLogs" /stypes="app*4020*20161015*" /stext=" 18:.+((SYSTEM_STATE.+slice.+state.+changed )|(ment ac)|(system.+state.+changed )|(\[timeout)|(PRM\|1\|D)|(kpr)|(kdp)|(\|lc)|(penalty))" /e /r /s</v>
      </c>
      <c r="AG80" s="1" t="str">
        <f t="shared" si="48"/>
        <v>EC</v>
      </c>
      <c r="AH80" s="92" t="str">
        <f t="shared" si="49"/>
        <v>"%USERPROFILE%\Documents\GitHub\eaglep3\Utilities\RefineRTDCRunTimes.py" --tripid 167-15 --locoid 4020 --swversion DE.1.0.7.0 --startMP 204:475 --initTime 2016-10-15T11:55:28 --startdatetime 2016-10-15T12:00:19 --delay 3 --endMP 204:233308 --enddatetime 2016-10-15T12:38:31 --enforcementcount 0 &gt;&gt;C:\Users\stu\Documents\GitHub\eaglep3-reporting\EC\2016-10-15-refined-times.txt</v>
      </c>
      <c r="AI80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{"issue":{"subject":"","project_id":79,"tracker_id":40,"status_id":1,"priority_id":2,"assigned_to_id":23,"start_date":"2016-10-15","description":"","custom_fields":[{"id":1,"name":"Subdivision","value":"EC"},{"id":4,"name":"Milepost","value":"23.3308"},{"id":17,"name":"Train ID","value":"167-15"},{"id":16,"name":"Locomotive ID","value":"4020"},{"id":130,"name":"Impact","value":""},{"id":150,"name":"Time of Event (Mountain Time)","value":"12:38:31"},{"id":151,"name":"Denver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538</v>
      </c>
      <c r="B81" s="7">
        <v>4019</v>
      </c>
      <c r="C81" s="22" t="s">
        <v>99</v>
      </c>
      <c r="D81" s="22" t="s">
        <v>403</v>
      </c>
      <c r="E81" s="13">
        <v>42658.534456018519</v>
      </c>
      <c r="F81" s="13">
        <v>42658.539143518516</v>
      </c>
      <c r="G81" s="7">
        <v>1</v>
      </c>
      <c r="H81" s="13" t="s">
        <v>249</v>
      </c>
      <c r="I81" s="13">
        <v>42658.569050925929</v>
      </c>
      <c r="J81" s="7">
        <v>0</v>
      </c>
      <c r="K81" s="112" t="str">
        <f t="shared" si="34"/>
        <v>4019/4020</v>
      </c>
      <c r="L81" s="22" t="str">
        <f>VLOOKUP(A81,'Trips&amp;Operators'!$C$1:$E$10000,3,FALSE)</f>
        <v>BRUDER</v>
      </c>
      <c r="M81" s="6">
        <f t="shared" si="35"/>
        <v>2.9907407413702458E-2</v>
      </c>
      <c r="N81" s="7">
        <f t="shared" si="36"/>
        <v>43.06666667573154</v>
      </c>
      <c r="O81" s="7"/>
      <c r="P81" s="7"/>
      <c r="Q81" s="23"/>
      <c r="R81" s="23"/>
      <c r="S81" s="35">
        <f t="shared" si="37"/>
        <v>1</v>
      </c>
      <c r="T81" s="50" t="str">
        <f t="shared" si="38"/>
        <v>Southbound</v>
      </c>
      <c r="U81" s="144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11:49:37-0600',mode:absolute,to:'2016-10-15 14:39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1" s="52" t="str">
        <f t="shared" si="40"/>
        <v>N</v>
      </c>
      <c r="X81" s="149">
        <f t="shared" si="41"/>
        <v>1</v>
      </c>
      <c r="Y81" s="67">
        <f t="shared" si="42"/>
        <v>23.2987</v>
      </c>
      <c r="Z81" s="67">
        <f t="shared" si="43"/>
        <v>1.4999999999999999E-2</v>
      </c>
      <c r="AA81" s="67">
        <f t="shared" si="44"/>
        <v>23.2837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5"/>
        <v>0168-15</v>
      </c>
      <c r="AE81" s="91" t="str">
        <f t="shared" si="46"/>
        <v>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 &amp; aws s3 cp s3://rtdc.mdm.uploadarchive.raw/RTDC4019/ "%USERPROFILE%\AppData\Local\Temp\OnboardLogs"\RTDC4019\2016-10-16 --exclude "*" --recursive --include "*20161016*" &amp; "%USERPROFILE%\Documents\GitHub\mrs-test-scripts\Headless Mode &amp; Sideloading\WalkAndUnGZ.bat" "%USERPROFILE%\AppData\Local\Temp\OnboardLogs"\RTDC4019\2016-10-16</v>
      </c>
      <c r="AF81" s="88" t="str">
        <f t="shared" si="47"/>
        <v>"C:\Program Files (x86)\AstroGrep\AstroGrep.exe" /spath="%USERPROFILE%\AppData\Local\Temp\OnboardLogs" /stypes="app*4019*20161015*" /stext=" 19:.+((SYSTEM_STATE.+slice.+state.+changed )|(ment ac)|(system.+state.+changed )|(\[timeout)|(PRM\|1\|D)|(kpr)|(kdp)|(\|lc)|(penalty))" /e /r /s</v>
      </c>
      <c r="AG81" s="1" t="str">
        <f t="shared" si="48"/>
        <v>EC</v>
      </c>
      <c r="AH81" s="92" t="str">
        <f t="shared" si="49"/>
        <v>"%USERPROFILE%\Documents\GitHub\eaglep3\Utilities\RefineRTDCRunTimes.py" --tripid 168-15 --locoid 4019 --swversion DE.1.0.7.0 --startMP 204:232987 --initTime 2016-10-15T12:49:37 --startdatetime 2016-10-15T12:56:22 --delay 1 --endMP 204:150 --enddatetime 2016-10-15T13:39:26 --enforcementcount 0 &gt;&gt;C:\Users\stu\Documents\GitHub\eaglep3-reporting\EC\2016-10-15-refined-times.txt</v>
      </c>
      <c r="AI81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{"issue":{"subject":"","project_id":79,"tracker_id":40,"status_id":1,"priority_id":2,"assigned_to_id":23,"start_date":"2016-10-15","description":"","custom_fields":[{"id":1,"name":"Subdivision","value":"EC"},{"id":4,"name":"Milepost","value":"0.015"},{"id":17,"name":"Train ID","value":"168-15"},{"id":16,"name":"Locomotive ID","value":"4019"},{"id":130,"name":"Impact","value":""},{"id":150,"name":"Time of Event (Mountain Time)","value":"13:39:26"},{"id":151,"name":"Denver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531</v>
      </c>
      <c r="B82" s="7">
        <v>4044</v>
      </c>
      <c r="C82" s="22" t="s">
        <v>99</v>
      </c>
      <c r="D82" s="22" t="s">
        <v>265</v>
      </c>
      <c r="E82" s="13">
        <v>42658.507407407407</v>
      </c>
      <c r="F82" s="13">
        <v>42658.510578703703</v>
      </c>
      <c r="G82" s="7">
        <v>1</v>
      </c>
      <c r="H82" s="13" t="s">
        <v>245</v>
      </c>
      <c r="I82" s="13">
        <v>42658.536180555559</v>
      </c>
      <c r="J82" s="7">
        <v>0</v>
      </c>
      <c r="K82" s="112" t="str">
        <f t="shared" si="34"/>
        <v>4043/4044</v>
      </c>
      <c r="L82" s="22" t="str">
        <f>VLOOKUP(A82,'Trips&amp;Operators'!$C$1:$E$10000,3,FALSE)</f>
        <v>CLARK</v>
      </c>
      <c r="M82" s="6">
        <f t="shared" si="35"/>
        <v>2.5601851855753921E-2</v>
      </c>
      <c r="N82" s="7">
        <f t="shared" si="36"/>
        <v>36.866666672285646</v>
      </c>
      <c r="O82" s="7"/>
      <c r="P82" s="7"/>
      <c r="Q82" s="23"/>
      <c r="R82" s="23"/>
      <c r="S82" s="35">
        <f t="shared" si="37"/>
        <v>1</v>
      </c>
      <c r="T82" s="50" t="str">
        <f t="shared" si="38"/>
        <v>NorthBound</v>
      </c>
      <c r="U82" s="144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11:10:40-0600',mode:absolute,to:'2016-10-15 13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2" s="52" t="str">
        <f t="shared" si="40"/>
        <v>N</v>
      </c>
      <c r="X82" s="149">
        <f t="shared" si="41"/>
        <v>1</v>
      </c>
      <c r="Y82" s="67">
        <f t="shared" si="42"/>
        <v>4.6199999999999998E-2</v>
      </c>
      <c r="Z82" s="67">
        <f t="shared" si="43"/>
        <v>23.3293</v>
      </c>
      <c r="AA82" s="67">
        <f t="shared" si="44"/>
        <v>23.283100000000001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45"/>
        <v>0169-15</v>
      </c>
      <c r="AE82" s="91" t="str">
        <f t="shared" si="46"/>
        <v>aws s3 cp s3://rtdc.mdm.uploadarchive.raw/RTDC4044/ "%USERPROFILE%\AppData\Local\Temp\OnboardLogs"\RTDC4044\2016-10-15 --exclude "*" --recursive --include "*20161015*" &amp; "%USERPROFILE%\Documents\GitHub\mrs-test-scripts\Headless Mode &amp; Sideloading\WalkAndUnGZ.bat" "%USERPROFILE%\AppData\Local\Temp\OnboardLogs"\RTDC4044\2016-10-15 &amp; 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</v>
      </c>
      <c r="AF82" s="88" t="str">
        <f t="shared" si="47"/>
        <v>"C:\Program Files (x86)\AstroGrep\AstroGrep.exe" /spath="%USERPROFILE%\AppData\Local\Temp\OnboardLogs" /stypes="app*4044*20161015*" /stext=" 18:.+((SYSTEM_STATE.+slice.+state.+changed )|(ment ac)|(system.+state.+changed )|(\[timeout)|(PRM\|1\|D)|(kpr)|(kdp)|(\|lc)|(penalty))" /e /r /s</v>
      </c>
      <c r="AG82" s="1" t="str">
        <f t="shared" si="48"/>
        <v>EC</v>
      </c>
      <c r="AH82" s="92" t="str">
        <f t="shared" si="49"/>
        <v>"%USERPROFILE%\Documents\GitHub\eaglep3\Utilities\RefineRTDCRunTimes.py" --tripid 169-15 --locoid 4044 --swversion DE.1.0.7.0 --startMP 204:462 --initTime 2016-10-15T12:10:40 --startdatetime 2016-10-15T12:15:14 --delay 1 --endMP 204:233293 --enddatetime 2016-10-15T12:52:06 --enforcementcount 0 &gt;&gt;C:\Users\stu\Documents\GitHub\eaglep3-reporting\EC\2016-10-15-refined-times.txt</v>
      </c>
      <c r="AI82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{"issue":{"subject":"","project_id":79,"tracker_id":40,"status_id":1,"priority_id":2,"assigned_to_id":23,"start_date":"2016-10-15","description":"","custom_fields":[{"id":1,"name":"Subdivision","value":"EC"},{"id":4,"name":"Milepost","value":"23.3293"},{"id":17,"name":"Train ID","value":"169-15"},{"id":16,"name":"Locomotive ID","value":"4044"},{"id":130,"name":"Impact","value":""},{"id":150,"name":"Time of Event (Mountain Time)","value":"12:52:06"},{"id":151,"name":"Denver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540</v>
      </c>
      <c r="B83" s="7">
        <v>4043</v>
      </c>
      <c r="C83" s="22" t="s">
        <v>99</v>
      </c>
      <c r="D83" s="22" t="s">
        <v>394</v>
      </c>
      <c r="E83" s="13">
        <v>42658.545347222222</v>
      </c>
      <c r="F83" s="13">
        <v>42658.549479166664</v>
      </c>
      <c r="G83" s="7">
        <v>1</v>
      </c>
      <c r="H83" s="13" t="s">
        <v>656</v>
      </c>
      <c r="I83" s="13">
        <v>42658.578958333332</v>
      </c>
      <c r="J83" s="7">
        <v>0</v>
      </c>
      <c r="K83" s="112" t="str">
        <f t="shared" si="34"/>
        <v>4043/4044</v>
      </c>
      <c r="L83" s="22" t="str">
        <f>VLOOKUP(A83,'Trips&amp;Operators'!$C$1:$E$10000,3,FALSE)</f>
        <v>CLARK</v>
      </c>
      <c r="M83" s="6">
        <f t="shared" si="35"/>
        <v>2.9479166667442769E-2</v>
      </c>
      <c r="N83" s="7">
        <f t="shared" si="36"/>
        <v>42.450000001117587</v>
      </c>
      <c r="O83" s="7"/>
      <c r="P83" s="7"/>
      <c r="Q83" s="23"/>
      <c r="R83" s="23"/>
      <c r="S83" s="35">
        <f t="shared" si="37"/>
        <v>1</v>
      </c>
      <c r="T83" s="50" t="str">
        <f t="shared" si="38"/>
        <v>Southbound</v>
      </c>
      <c r="U83" s="144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12:05:18-0600',mode:absolute,to:'2016-10-15 14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3" s="52" t="str">
        <f t="shared" si="40"/>
        <v>N</v>
      </c>
      <c r="X83" s="149">
        <f t="shared" si="41"/>
        <v>1</v>
      </c>
      <c r="Y83" s="67">
        <f t="shared" si="42"/>
        <v>23.295500000000001</v>
      </c>
      <c r="Z83" s="67">
        <f t="shared" si="43"/>
        <v>1.7399999999999999E-2</v>
      </c>
      <c r="AA83" s="67">
        <f t="shared" si="44"/>
        <v>23.278100000000002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45"/>
        <v>0170-15</v>
      </c>
      <c r="AE83" s="91" t="str">
        <f t="shared" si="46"/>
        <v>aws s3 cp s3://rtdc.mdm.uploadarchive.raw/RTDC4043/ "%USERPROFILE%\AppData\Local\Temp\OnboardLogs"\RTDC4043\2016-10-15 --exclude "*" --recursive --include "*20161015*" &amp; "%USERPROFILE%\Documents\GitHub\mrs-test-scripts\Headless Mode &amp; Sideloading\WalkAndUnGZ.bat" "%USERPROFILE%\AppData\Local\Temp\OnboardLogs"\RTDC4043\2016-10-15 &amp; 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</v>
      </c>
      <c r="AF83" s="88" t="str">
        <f t="shared" si="47"/>
        <v>"C:\Program Files (x86)\AstroGrep\AstroGrep.exe" /spath="%USERPROFILE%\AppData\Local\Temp\OnboardLogs" /stypes="app*4043*20161015*" /stext=" 19:.+((SYSTEM_STATE.+slice.+state.+changed )|(ment ac)|(system.+state.+changed )|(\[timeout)|(PRM\|1\|D)|(kpr)|(kdp)|(\|lc)|(penalty))" /e /r /s</v>
      </c>
      <c r="AG83" s="1" t="str">
        <f t="shared" si="48"/>
        <v>EC</v>
      </c>
      <c r="AH83" s="92" t="str">
        <f t="shared" si="49"/>
        <v>"%USERPROFILE%\Documents\GitHub\eaglep3\Utilities\RefineRTDCRunTimes.py" --tripid 170-15 --locoid 4043 --swversion DE.1.0.7.0 --startMP 204:232955 --initTime 2016-10-15T13:05:18 --startdatetime 2016-10-15T13:11:15 --delay 1 --endMP 204:174 --enddatetime 2016-10-15T13:53:42 --enforcementcount 0 &gt;&gt;C:\Users\stu\Documents\GitHub\eaglep3-reporting\EC\2016-10-15-refined-times.txt</v>
      </c>
      <c r="AI83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{"issue":{"subject":"","project_id":79,"tracker_id":40,"status_id":1,"priority_id":2,"assigned_to_id":23,"start_date":"2016-10-15","description":"","custom_fields":[{"id":1,"name":"Subdivision","value":"EC"},{"id":4,"name":"Milepost","value":"0.0174"},{"id":17,"name":"Train ID","value":"170-15"},{"id":16,"name":"Locomotive ID","value":"4043"},{"id":130,"name":"Impact","value":""},{"id":150,"name":"Time of Event (Mountain Time)","value":"13:53:42"},{"id":151,"name":"Denver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441</v>
      </c>
      <c r="B84" s="7">
        <v>4053</v>
      </c>
      <c r="C84" s="22" t="s">
        <v>99</v>
      </c>
      <c r="D84" s="22" t="s">
        <v>267</v>
      </c>
      <c r="E84" s="13">
        <v>42658.517824074072</v>
      </c>
      <c r="F84" s="13">
        <v>42658.521238425928</v>
      </c>
      <c r="G84" s="7">
        <v>1</v>
      </c>
      <c r="H84" s="13" t="s">
        <v>657</v>
      </c>
      <c r="I84" s="13">
        <v>42658.547534722224</v>
      </c>
      <c r="J84" s="7">
        <v>0</v>
      </c>
      <c r="K84" s="112" t="str">
        <f t="shared" si="34"/>
        <v>4053/4054</v>
      </c>
      <c r="L84" s="22" t="str">
        <f>VLOOKUP(A84,'Trips&amp;Operators'!$C$1:$E$10000,3,FALSE)</f>
        <v>STRICKLAND</v>
      </c>
      <c r="M84" s="6">
        <f t="shared" si="35"/>
        <v>2.6296296295186039E-2</v>
      </c>
      <c r="N84" s="7">
        <f t="shared" si="36"/>
        <v>37.866666665067896</v>
      </c>
      <c r="O84" s="7"/>
      <c r="P84" s="7"/>
      <c r="Q84" s="23"/>
      <c r="R84" s="23"/>
      <c r="S84" s="35">
        <f t="shared" si="37"/>
        <v>1</v>
      </c>
      <c r="T84" s="50" t="str">
        <f t="shared" si="38"/>
        <v>NorthBound</v>
      </c>
      <c r="U84" s="144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11:25:40-0600',mode:absolute,to:'2016-10-15 14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4" s="52" t="str">
        <f t="shared" si="40"/>
        <v>N</v>
      </c>
      <c r="X84" s="149">
        <f t="shared" si="41"/>
        <v>1</v>
      </c>
      <c r="Y84" s="67">
        <f t="shared" si="42"/>
        <v>4.6600000000000003E-2</v>
      </c>
      <c r="Z84" s="67">
        <f t="shared" si="43"/>
        <v>23.337599999999998</v>
      </c>
      <c r="AA84" s="67">
        <f t="shared" si="44"/>
        <v>23.290999999999997</v>
      </c>
      <c r="AB84" s="64" t="str">
        <f>VLOOKUP(A84,Enforcements!$C$7:$K$21,8,0)</f>
        <v>Speed (6)</v>
      </c>
      <c r="AC84" s="60" t="str">
        <f>VLOOKUP(A84,Enforcements!$C$7:$E$21,3,0)</f>
        <v>PERMANENT SPEED RESTRICTION</v>
      </c>
      <c r="AD84" s="61" t="str">
        <f t="shared" si="45"/>
        <v>0171-15</v>
      </c>
      <c r="AE84" s="91" t="str">
        <f t="shared" si="46"/>
        <v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v>
      </c>
      <c r="AF84" s="88" t="str">
        <f t="shared" si="47"/>
        <v>"C:\Program Files (x86)\AstroGrep\AstroGrep.exe" /spath="%USERPROFILE%\AppData\Local\Temp\OnboardLogs" /stypes="app*4053*20161015*" /stext=" 19:.+((SYSTEM_STATE.+slice.+state.+changed )|(ment ac)|(system.+state.+changed )|(\[timeout)|(PRM\|1\|D)|(kpr)|(kdp)|(\|lc)|(penalty))" /e /r /s</v>
      </c>
      <c r="AG84" s="1" t="str">
        <f t="shared" si="48"/>
        <v>EC</v>
      </c>
      <c r="AH84" s="92" t="str">
        <f t="shared" si="49"/>
        <v>"%USERPROFILE%\Documents\GitHub\eaglep3\Utilities\RefineRTDCRunTimes.py" --tripid 171-15 --locoid 4053 --swversion DE.1.0.7.0 --startMP 204:466 --initTime 2016-10-15T12:25:40 --startdatetime 2016-10-15T12:30:35 --delay 1 --endMP 204:233376 --enddatetime 2016-10-15T13:08:27 --enforcementcount 0 &gt;&gt;C:\Users\stu\Documents\GitHub\eaglep3-reporting\EC\2016-10-15-refined-times.txt</v>
      </c>
      <c r="AI84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{"issue":{"subject":"","project_id":79,"tracker_id":40,"status_id":1,"priority_id":2,"assigned_to_id":23,"start_date":"2016-10-15","description":"","custom_fields":[{"id":1,"name":"Subdivision","value":"EC"},{"id":4,"name":"Milepost","value":"23.3376"},{"id":17,"name":"Train ID","value":"171-15"},{"id":16,"name":"Locomotive ID","value":"4053"},{"id":130,"name":"Impact","value":""},{"id":150,"name":"Time of Event (Mountain Time)","value":"13:08:27"},{"id":151,"name":"Denver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543</v>
      </c>
      <c r="B85" s="7">
        <v>4054</v>
      </c>
      <c r="C85" s="22" t="s">
        <v>99</v>
      </c>
      <c r="D85" s="22" t="s">
        <v>658</v>
      </c>
      <c r="E85" s="13">
        <v>42658.554212962961</v>
      </c>
      <c r="F85" s="13">
        <v>42658.560231481482</v>
      </c>
      <c r="G85" s="7">
        <v>2</v>
      </c>
      <c r="H85" s="13" t="s">
        <v>273</v>
      </c>
      <c r="I85" s="13">
        <v>42658.588159722225</v>
      </c>
      <c r="J85" s="7">
        <v>0</v>
      </c>
      <c r="K85" s="112" t="str">
        <f t="shared" si="34"/>
        <v>4053/4054</v>
      </c>
      <c r="L85" s="22" t="str">
        <f>VLOOKUP(A85,'Trips&amp;Operators'!$C$1:$E$10000,3,FALSE)</f>
        <v>STORY</v>
      </c>
      <c r="M85" s="6">
        <f t="shared" si="35"/>
        <v>2.792824074276723E-2</v>
      </c>
      <c r="N85" s="7">
        <f t="shared" si="36"/>
        <v>40.216666669584811</v>
      </c>
      <c r="O85" s="7"/>
      <c r="P85" s="7"/>
      <c r="Q85" s="23"/>
      <c r="R85" s="23"/>
      <c r="S85" s="35">
        <f t="shared" si="37"/>
        <v>1</v>
      </c>
      <c r="T85" s="50" t="str">
        <f t="shared" si="38"/>
        <v>Southbound</v>
      </c>
      <c r="U85" s="144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12:18:04-0600',mode:absolute,to:'2016-10-15 15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5" s="52" t="str">
        <f t="shared" si="40"/>
        <v>N</v>
      </c>
      <c r="X85" s="149">
        <f t="shared" si="41"/>
        <v>1</v>
      </c>
      <c r="Y85" s="67">
        <f t="shared" si="42"/>
        <v>23.305900000000001</v>
      </c>
      <c r="Z85" s="67">
        <f t="shared" si="43"/>
        <v>1.67E-2</v>
      </c>
      <c r="AA85" s="67">
        <f t="shared" si="44"/>
        <v>23.289200000000001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45"/>
        <v>0172-15</v>
      </c>
      <c r="AE85" s="91" t="str">
        <f t="shared" si="46"/>
        <v>aws s3 cp s3://rtdc.mdm.uploadarchive.raw/RTDC4054/ "%USERPROFILE%\AppData\Local\Temp\OnboardLogs"\RTDC4054\2016-10-15 --exclude "*" --recursive --include "*20161015*" &amp; "%USERPROFILE%\Documents\GitHub\mrs-test-scripts\Headless Mode &amp; Sideloading\WalkAndUnGZ.bat" "%USERPROFILE%\AppData\Local\Temp\OnboardLogs"\RTDC4054\2016-10-15 &amp; aws s3 cp s3://rtdc.mdm.uploadarchive.raw/RTDC4054/ "%USERPROFILE%\AppData\Local\Temp\OnboardLogs"\RTDC4054\2016-10-16 --exclude "*" --recursive --include "*20161016*" &amp; "%USERPROFILE%\Documents\GitHub\mrs-test-scripts\Headless Mode &amp; Sideloading\WalkAndUnGZ.bat" "%USERPROFILE%\AppData\Local\Temp\OnboardLogs"\RTDC4054\2016-10-16</v>
      </c>
      <c r="AF85" s="88" t="str">
        <f t="shared" si="47"/>
        <v>"C:\Program Files (x86)\AstroGrep\AstroGrep.exe" /spath="%USERPROFILE%\AppData\Local\Temp\OnboardLogs" /stypes="app*4054*20161015*" /stext=" 20:.+((SYSTEM_STATE.+slice.+state.+changed )|(ment ac)|(system.+state.+changed )|(\[timeout)|(PRM\|1\|D)|(kpr)|(kdp)|(\|lc)|(penalty))" /e /r /s</v>
      </c>
      <c r="AG85" s="1" t="str">
        <f t="shared" si="48"/>
        <v>EC</v>
      </c>
      <c r="AH85" s="92" t="str">
        <f t="shared" si="49"/>
        <v>"%USERPROFILE%\Documents\GitHub\eaglep3\Utilities\RefineRTDCRunTimes.py" --tripid 172-15 --locoid 4054 --swversion DE.1.0.7.0 --startMP 204:233059 --initTime 2016-10-15T13:18:04 --startdatetime 2016-10-15T13:26:44 --delay 2 --endMP 204:167 --enddatetime 2016-10-15T14:06:57 --enforcementcount 0 &gt;&gt;C:\Users\stu\Documents\GitHub\eaglep3-reporting\EC\2016-10-15-refined-times.txt</v>
      </c>
      <c r="AI85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{"issue":{"subject":"","project_id":79,"tracker_id":40,"status_id":1,"priority_id":2,"assigned_to_id":23,"start_date":"2016-10-15","description":"","custom_fields":[{"id":1,"name":"Subdivision","value":"EC"},{"id":4,"name":"Milepost","value":"0.0167"},{"id":17,"name":"Train ID","value":"172-15"},{"id":16,"name":"Locomotive ID","value":"4054"},{"id":130,"name":"Impact","value":""},{"id":150,"name":"Time of Event (Mountain Time)","value":"14:06:57"},{"id":151,"name":"Denver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537</v>
      </c>
      <c r="B86" s="7">
        <v>4038</v>
      </c>
      <c r="C86" s="22" t="s">
        <v>99</v>
      </c>
      <c r="D86" s="22" t="s">
        <v>277</v>
      </c>
      <c r="E86" s="13">
        <v>42658.526585648149</v>
      </c>
      <c r="F86" s="13">
        <v>42658.531597222223</v>
      </c>
      <c r="G86" s="7">
        <v>1</v>
      </c>
      <c r="H86" s="13" t="s">
        <v>272</v>
      </c>
      <c r="I86" s="13">
        <v>42658.556875000002</v>
      </c>
      <c r="J86" s="7">
        <v>0</v>
      </c>
      <c r="K86" s="112" t="str">
        <f t="shared" si="34"/>
        <v>4037/4038</v>
      </c>
      <c r="L86" s="22" t="str">
        <f>VLOOKUP(A86,'Trips&amp;Operators'!$C$1:$E$10000,3,FALSE)</f>
        <v>STEWART</v>
      </c>
      <c r="M86" s="6">
        <f t="shared" si="35"/>
        <v>2.527777777868323E-2</v>
      </c>
      <c r="N86" s="7">
        <f t="shared" si="36"/>
        <v>36.400000001303852</v>
      </c>
      <c r="O86" s="7"/>
      <c r="P86" s="7"/>
      <c r="Q86" s="23"/>
      <c r="R86" s="23"/>
      <c r="S86" s="35">
        <f t="shared" si="37"/>
        <v>1</v>
      </c>
      <c r="T86" s="50" t="str">
        <f t="shared" si="38"/>
        <v>NorthBound</v>
      </c>
      <c r="U86" s="144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11:38:17-0600',mode:absolute,to:'2016-10-15 14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6" s="52" t="str">
        <f t="shared" si="40"/>
        <v>N</v>
      </c>
      <c r="X86" s="149">
        <f t="shared" si="41"/>
        <v>1</v>
      </c>
      <c r="Y86" s="67">
        <f t="shared" si="42"/>
        <v>4.5999999999999999E-2</v>
      </c>
      <c r="Z86" s="67">
        <f t="shared" si="43"/>
        <v>23.329899999999999</v>
      </c>
      <c r="AA86" s="67">
        <f t="shared" si="44"/>
        <v>23.283899999999999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45"/>
        <v>0173-15</v>
      </c>
      <c r="AE86" s="91" t="str">
        <f t="shared" si="46"/>
        <v>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 &amp; aws s3 cp s3://rtdc.mdm.uploadarchive.raw/RTDC4038/ "%USERPROFILE%\AppData\Local\Temp\OnboardLogs"\RTDC4038\2016-10-16 --exclude "*" --recursive --include "*20161016*" &amp; "%USERPROFILE%\Documents\GitHub\mrs-test-scripts\Headless Mode &amp; Sideloading\WalkAndUnGZ.bat" "%USERPROFILE%\AppData\Local\Temp\OnboardLogs"\RTDC4038\2016-10-16</v>
      </c>
      <c r="AF86" s="88" t="str">
        <f t="shared" si="47"/>
        <v>"C:\Program Files (x86)\AstroGrep\AstroGrep.exe" /spath="%USERPROFILE%\AppData\Local\Temp\OnboardLogs" /stypes="app*4038*20161015*" /stext=" 19:.+((SYSTEM_STATE.+slice.+state.+changed )|(ment ac)|(system.+state.+changed )|(\[timeout)|(PRM\|1\|D)|(kpr)|(kdp)|(\|lc)|(penalty))" /e /r /s</v>
      </c>
      <c r="AG86" s="1" t="str">
        <f t="shared" si="48"/>
        <v>EC</v>
      </c>
      <c r="AH86" s="92" t="str">
        <f t="shared" si="49"/>
        <v>"%USERPROFILE%\Documents\GitHub\eaglep3\Utilities\RefineRTDCRunTimes.py" --tripid 173-15 --locoid 4038 --swversion DE.1.0.7.0 --startMP 204:460 --initTime 2016-10-15T12:38:17 --startdatetime 2016-10-15T12:45:30 --delay 1 --endMP 204:233299 --enddatetime 2016-10-15T13:21:54 --enforcementcount 0 &gt;&gt;C:\Users\stu\Documents\GitHub\eaglep3-reporting\EC\2016-10-15-refined-times.txt</v>
      </c>
      <c r="AI86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{"issue":{"subject":"","project_id":79,"tracker_id":40,"status_id":1,"priority_id":2,"assigned_to_id":23,"start_date":"2016-10-15","description":"","custom_fields":[{"id":1,"name":"Subdivision","value":"EC"},{"id":4,"name":"Milepost","value":"23.3299"},{"id":17,"name":"Train ID","value":"173-15"},{"id":16,"name":"Locomotive ID","value":"4038"},{"id":130,"name":"Impact","value":""},{"id":150,"name":"Time of Event (Mountain Time)","value":"13:21:54"},{"id":151,"name":"Denver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546</v>
      </c>
      <c r="B87" s="7">
        <v>4037</v>
      </c>
      <c r="C87" s="22" t="s">
        <v>99</v>
      </c>
      <c r="D87" s="22" t="s">
        <v>258</v>
      </c>
      <c r="E87" s="13">
        <v>42658.567187499997</v>
      </c>
      <c r="F87" s="13">
        <v>42658.570752314816</v>
      </c>
      <c r="G87" s="7">
        <v>3</v>
      </c>
      <c r="H87" s="13" t="s">
        <v>648</v>
      </c>
      <c r="I87" s="13">
        <v>42658.598506944443</v>
      </c>
      <c r="J87" s="7">
        <v>0</v>
      </c>
      <c r="K87" s="112" t="str">
        <f t="shared" si="34"/>
        <v>4037/4038</v>
      </c>
      <c r="L87" s="22" t="str">
        <f>VLOOKUP(A87,'Trips&amp;Operators'!$C$1:$E$10000,3,FALSE)</f>
        <v>STEWART</v>
      </c>
      <c r="M87" s="6">
        <f t="shared" si="35"/>
        <v>2.7754629627452232E-2</v>
      </c>
      <c r="N87" s="7">
        <f t="shared" si="36"/>
        <v>39.966666663531214</v>
      </c>
      <c r="O87" s="7"/>
      <c r="P87" s="7"/>
      <c r="Q87" s="23"/>
      <c r="R87" s="23"/>
      <c r="S87" s="35">
        <f t="shared" si="37"/>
        <v>1</v>
      </c>
      <c r="T87" s="50" t="str">
        <f t="shared" si="38"/>
        <v>Southbound</v>
      </c>
      <c r="U87" s="144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12:36:45-0600',mode:absolute,to:'2016-10-15 15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7" s="52" t="str">
        <f t="shared" si="40"/>
        <v>N</v>
      </c>
      <c r="X87" s="149">
        <f t="shared" si="41"/>
        <v>1</v>
      </c>
      <c r="Y87" s="67">
        <f t="shared" si="42"/>
        <v>23.298200000000001</v>
      </c>
      <c r="Z87" s="67">
        <f t="shared" si="43"/>
        <v>1.5800000000000002E-2</v>
      </c>
      <c r="AA87" s="67">
        <f t="shared" si="44"/>
        <v>23.282400000000003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45"/>
        <v>0174-15</v>
      </c>
      <c r="AE87" s="91" t="str">
        <f t="shared" si="46"/>
        <v>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 &amp; aws s3 cp s3://rtdc.mdm.uploadarchive.raw/RTDC4037/ "%USERPROFILE%\AppData\Local\Temp\OnboardLogs"\RTDC4037\2016-10-16 --exclude "*" --recursive --include "*20161016*" &amp; "%USERPROFILE%\Documents\GitHub\mrs-test-scripts\Headless Mode &amp; Sideloading\WalkAndUnGZ.bat" "%USERPROFILE%\AppData\Local\Temp\OnboardLogs"\RTDC4037\2016-10-16</v>
      </c>
      <c r="AF87" s="88" t="str">
        <f t="shared" si="47"/>
        <v>"C:\Program Files (x86)\AstroGrep\AstroGrep.exe" /spath="%USERPROFILE%\AppData\Local\Temp\OnboardLogs" /stypes="app*4037*20161015*" /stext=" 20:.+((SYSTEM_STATE.+slice.+state.+changed )|(ment ac)|(system.+state.+changed )|(\[timeout)|(PRM\|1\|D)|(kpr)|(kdp)|(\|lc)|(penalty))" /e /r /s</v>
      </c>
      <c r="AG87" s="1" t="str">
        <f t="shared" si="48"/>
        <v>EC</v>
      </c>
      <c r="AH87" s="92" t="str">
        <f t="shared" si="49"/>
        <v>"%USERPROFILE%\Documents\GitHub\eaglep3\Utilities\RefineRTDCRunTimes.py" --tripid 174-15 --locoid 4037 --swversion DE.1.0.7.0 --startMP 204:232982 --initTime 2016-10-15T13:36:45 --startdatetime 2016-10-15T13:41:53 --delay 3 --endMP 204:158 --enddatetime 2016-10-15T14:21:51 --enforcementcount 0 &gt;&gt;C:\Users\stu\Documents\GitHub\eaglep3-reporting\EC\2016-10-15-refined-times.txt</v>
      </c>
      <c r="AI87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{"issue":{"subject":"","project_id":79,"tracker_id":40,"status_id":1,"priority_id":2,"assigned_to_id":23,"start_date":"2016-10-15","description":"","custom_fields":[{"id":1,"name":"Subdivision","value":"EC"},{"id":4,"name":"Milepost","value":"0.0158"},{"id":17,"name":"Train ID","value":"174-15"},{"id":16,"name":"Locomotive ID","value":"4037"},{"id":130,"name":"Impact","value":""},{"id":150,"name":"Time of Event (Mountain Time)","value":"14:21:51"},{"id":151,"name":"Denver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539</v>
      </c>
      <c r="B88" s="7">
        <v>4003</v>
      </c>
      <c r="C88" s="22" t="s">
        <v>99</v>
      </c>
      <c r="D88" s="22" t="s">
        <v>270</v>
      </c>
      <c r="E88" s="13">
        <v>42658.53665509259</v>
      </c>
      <c r="F88" s="13">
        <v>42658.541979166665</v>
      </c>
      <c r="G88" s="7">
        <v>0</v>
      </c>
      <c r="H88" s="13" t="s">
        <v>327</v>
      </c>
      <c r="I88" s="13">
        <v>42658.567870370367</v>
      </c>
      <c r="J88" s="7">
        <v>0</v>
      </c>
      <c r="K88" s="112" t="str">
        <f t="shared" si="34"/>
        <v>4003/4004</v>
      </c>
      <c r="L88" s="22" t="str">
        <f>VLOOKUP(A88,'Trips&amp;Operators'!$C$1:$E$10000,3,FALSE)</f>
        <v>ISHMAEL</v>
      </c>
      <c r="M88" s="6">
        <f t="shared" si="35"/>
        <v>2.5891203702485655E-2</v>
      </c>
      <c r="N88" s="7">
        <f t="shared" si="36"/>
        <v>37.283333331579342</v>
      </c>
      <c r="O88" s="7"/>
      <c r="P88" s="7"/>
      <c r="Q88" s="23"/>
      <c r="R88" s="23"/>
      <c r="S88" s="35">
        <f t="shared" si="37"/>
        <v>1</v>
      </c>
      <c r="T88" s="50" t="str">
        <f t="shared" si="38"/>
        <v>NorthBound</v>
      </c>
      <c r="U88" s="144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11:52:47-0600',mode:absolute,to:'2016-10-15 14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8" s="52" t="str">
        <f t="shared" si="40"/>
        <v>N</v>
      </c>
      <c r="X88" s="149">
        <f t="shared" si="41"/>
        <v>1</v>
      </c>
      <c r="Y88" s="67">
        <f t="shared" si="42"/>
        <v>4.4600000000000001E-2</v>
      </c>
      <c r="Z88" s="67">
        <f t="shared" si="43"/>
        <v>23.331499999999998</v>
      </c>
      <c r="AA88" s="67">
        <f t="shared" si="44"/>
        <v>23.286899999999999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45"/>
        <v>0175-15</v>
      </c>
      <c r="AE88" s="91" t="str">
        <f t="shared" si="46"/>
        <v>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 &amp; aws s3 cp s3://rtdc.mdm.uploadarchive.raw/RTDC4003/ "%USERPROFILE%\AppData\Local\Temp\OnboardLogs"\RTDC4003\2016-10-16 --exclude "*" --recursive --include "*20161016*" &amp; "%USERPROFILE%\Documents\GitHub\mrs-test-scripts\Headless Mode &amp; Sideloading\WalkAndUnGZ.bat" "%USERPROFILE%\AppData\Local\Temp\OnboardLogs"\RTDC4003\2016-10-16</v>
      </c>
      <c r="AF88" s="88" t="str">
        <f t="shared" si="47"/>
        <v>"C:\Program Files (x86)\AstroGrep\AstroGrep.exe" /spath="%USERPROFILE%\AppData\Local\Temp\OnboardLogs" /stypes="app*4003*20161015*" /stext=" 19:.+((SYSTEM_STATE.+slice.+state.+changed )|(ment ac)|(system.+state.+changed )|(\[timeout)|(PRM\|1\|D)|(kpr)|(kdp)|(\|lc)|(penalty))" /e /r /s</v>
      </c>
      <c r="AG88" s="1" t="str">
        <f t="shared" si="48"/>
        <v>EC</v>
      </c>
      <c r="AH88" s="92" t="str">
        <f t="shared" si="49"/>
        <v>"%USERPROFILE%\Documents\GitHub\eaglep3\Utilities\RefineRTDCRunTimes.py" --tripid 175-15 --locoid 4003 --swversion DE.1.0.7.0 --startMP 204:446 --initTime 2016-10-15T12:52:47 --startdatetime 2016-10-15T13:00:27 --delay 0 --endMP 204:233315 --enddatetime 2016-10-15T13:37:44 --enforcementcount 0 &gt;&gt;C:\Users\stu\Documents\GitHub\eaglep3-reporting\EC\2016-10-15-refined-times.txt</v>
      </c>
      <c r="AI88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{"issue":{"subject":"","project_id":79,"tracker_id":40,"status_id":1,"priority_id":2,"assigned_to_id":23,"start_date":"2016-10-15","description":"","custom_fields":[{"id":1,"name":"Subdivision","value":"EC"},{"id":4,"name":"Milepost","value":"23.3315"},{"id":17,"name":"Train ID","value":"175-15"},{"id":16,"name":"Locomotive ID","value":"4003"},{"id":130,"name":"Impact","value":""},{"id":150,"name":"Time of Event (Mountain Time)","value":"13:37:44"},{"id":151,"name":"Denver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442</v>
      </c>
      <c r="B89" s="7">
        <v>4004</v>
      </c>
      <c r="C89" s="22" t="s">
        <v>99</v>
      </c>
      <c r="D89" s="22" t="s">
        <v>331</v>
      </c>
      <c r="E89" s="13">
        <v>42658.575138888889</v>
      </c>
      <c r="F89" s="13">
        <v>42658.580729166664</v>
      </c>
      <c r="G89" s="7">
        <v>1</v>
      </c>
      <c r="H89" s="13" t="s">
        <v>249</v>
      </c>
      <c r="I89" s="13">
        <v>42658.611990740741</v>
      </c>
      <c r="J89" s="7">
        <v>0</v>
      </c>
      <c r="K89" s="112" t="str">
        <f t="shared" si="34"/>
        <v>4003/4004</v>
      </c>
      <c r="L89" s="22" t="str">
        <f>VLOOKUP(A89,'Trips&amp;Operators'!$C$1:$E$10000,3,FALSE)</f>
        <v>ISHMAEL</v>
      </c>
      <c r="M89" s="6">
        <f t="shared" si="35"/>
        <v>3.1261574076779652E-2</v>
      </c>
      <c r="N89" s="7">
        <f t="shared" si="36"/>
        <v>45.016666670562699</v>
      </c>
      <c r="O89" s="7"/>
      <c r="P89" s="7"/>
      <c r="Q89" s="23"/>
      <c r="R89" s="23"/>
      <c r="S89" s="35">
        <f t="shared" si="37"/>
        <v>1</v>
      </c>
      <c r="T89" s="50" t="str">
        <f t="shared" si="38"/>
        <v>Southbound</v>
      </c>
      <c r="U89" s="144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12:48:12-0600',mode:absolute,to:'2016-10-15 15:41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9" s="52" t="str">
        <f t="shared" si="40"/>
        <v>N</v>
      </c>
      <c r="X89" s="149">
        <f t="shared" si="41"/>
        <v>1</v>
      </c>
      <c r="Y89" s="67">
        <f t="shared" si="42"/>
        <v>23.299099999999999</v>
      </c>
      <c r="Z89" s="67">
        <f t="shared" si="43"/>
        <v>1.4999999999999999E-2</v>
      </c>
      <c r="AA89" s="67">
        <f t="shared" si="44"/>
        <v>23.284099999999999</v>
      </c>
      <c r="AB89" s="64" t="str">
        <f>VLOOKUP(A89,Enforcements!$C$7:$K$21,8,0)</f>
        <v>Bulletin (2)</v>
      </c>
      <c r="AC89" s="60" t="str">
        <f>VLOOKUP(A89,Enforcements!$C$7:$E$21,3,0)</f>
        <v>GRADE CROSSING</v>
      </c>
      <c r="AD89" s="61" t="str">
        <f t="shared" si="45"/>
        <v>0176-15</v>
      </c>
      <c r="AE89" s="91" t="str">
        <f t="shared" si="46"/>
        <v>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 &amp; aws s3 cp s3://rtdc.mdm.uploadarchive.raw/RTDC4004/ "%USERPROFILE%\AppData\Local\Temp\OnboardLogs"\RTDC4004\2016-10-16 --exclude "*" --recursive --include "*20161016*" &amp; "%USERPROFILE%\Documents\GitHub\mrs-test-scripts\Headless Mode &amp; Sideloading\WalkAndUnGZ.bat" "%USERPROFILE%\AppData\Local\Temp\OnboardLogs"\RTDC4004\2016-10-16</v>
      </c>
      <c r="AF89" s="88" t="str">
        <f t="shared" si="47"/>
        <v>"C:\Program Files (x86)\AstroGrep\AstroGrep.exe" /spath="%USERPROFILE%\AppData\Local\Temp\OnboardLogs" /stypes="app*4004*20161015*" /stext=" 20:.+((SYSTEM_STATE.+slice.+state.+changed )|(ment ac)|(system.+state.+changed )|(\[timeout)|(PRM\|1\|D)|(kpr)|(kdp)|(\|lc)|(penalty))" /e /r /s</v>
      </c>
      <c r="AG89" s="1" t="str">
        <f t="shared" si="48"/>
        <v>EC</v>
      </c>
      <c r="AH89" s="92" t="str">
        <f t="shared" si="49"/>
        <v>"%USERPROFILE%\Documents\GitHub\eaglep3\Utilities\RefineRTDCRunTimes.py" --tripid 176-15 --locoid 4004 --swversion DE.1.0.7.0 --startMP 204:232991 --initTime 2016-10-15T13:48:12 --startdatetime 2016-10-15T13:56:15 --delay 1 --endMP 204:150 --enddatetime 2016-10-15T14:41:16 --enforcementcount 0 &gt;&gt;C:\Users\stu\Documents\GitHub\eaglep3-reporting\EC\2016-10-15-refined-times.txt</v>
      </c>
      <c r="AI89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{"issue":{"subject":"","project_id":79,"tracker_id":40,"status_id":1,"priority_id":2,"assigned_to_id":23,"start_date":"2016-10-15","description":"","custom_fields":[{"id":1,"name":"Subdivision","value":"EC"},{"id":4,"name":"Milepost","value":"0.015"},{"id":17,"name":"Train ID","value":"176-15"},{"id":16,"name":"Locomotive ID","value":"4004"},{"id":130,"name":"Impact","value":""},{"id":150,"name":"Time of Event (Mountain Time)","value":"14:41:16"},{"id":151,"name":"Denver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541</v>
      </c>
      <c r="B90" s="7">
        <v>4016</v>
      </c>
      <c r="C90" s="22" t="s">
        <v>99</v>
      </c>
      <c r="D90" s="22" t="s">
        <v>243</v>
      </c>
      <c r="E90" s="13">
        <v>42658.55028935185</v>
      </c>
      <c r="F90" s="13">
        <v>42658.552615740744</v>
      </c>
      <c r="G90" s="7">
        <v>1</v>
      </c>
      <c r="H90" s="13" t="s">
        <v>659</v>
      </c>
      <c r="I90" s="13">
        <v>42658.578043981484</v>
      </c>
      <c r="J90" s="7">
        <v>0</v>
      </c>
      <c r="K90" s="112" t="str">
        <f t="shared" si="34"/>
        <v>4015/4016</v>
      </c>
      <c r="L90" s="22" t="str">
        <f>VLOOKUP(A90,'Trips&amp;Operators'!$C$1:$E$10000,3,FALSE)</f>
        <v>MOSES</v>
      </c>
      <c r="M90" s="6">
        <f t="shared" si="35"/>
        <v>2.5428240740438923E-2</v>
      </c>
      <c r="N90" s="7">
        <f t="shared" si="36"/>
        <v>36.616666666232049</v>
      </c>
      <c r="O90" s="7"/>
      <c r="P90" s="7"/>
      <c r="Q90" s="23"/>
      <c r="R90" s="23"/>
      <c r="S90" s="35">
        <f t="shared" si="37"/>
        <v>1</v>
      </c>
      <c r="T90" s="50" t="str">
        <f t="shared" si="38"/>
        <v>NorthBound</v>
      </c>
      <c r="U90" s="144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12:12:25-0600',mode:absolute,to:'2016-10-15 14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0" s="52" t="str">
        <f t="shared" si="40"/>
        <v>N</v>
      </c>
      <c r="X90" s="149">
        <f t="shared" si="41"/>
        <v>1</v>
      </c>
      <c r="Y90" s="67">
        <f t="shared" si="42"/>
        <v>4.58E-2</v>
      </c>
      <c r="Z90" s="67">
        <f t="shared" si="43"/>
        <v>23.3261</v>
      </c>
      <c r="AA90" s="67">
        <f t="shared" si="44"/>
        <v>23.2803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45"/>
        <v>0177-15</v>
      </c>
      <c r="AE90" s="91" t="str">
        <f t="shared" si="46"/>
        <v>aws s3 cp s3://rtdc.mdm.uploadarchive.raw/RTDC4016/ "%USERPROFILE%\AppData\Local\Temp\OnboardLogs"\RTDC4016\2016-10-15 --exclude "*" --recursive --include "*20161015*" &amp; "%USERPROFILE%\Documents\GitHub\mrs-test-scripts\Headless Mode &amp; Sideloading\WalkAndUnGZ.bat" "%USERPROFILE%\AppData\Local\Temp\OnboardLogs"\RTDC4016\2016-10-15 &amp; aws s3 cp s3://rtdc.mdm.uploadarchive.raw/RTDC4016/ "%USERPROFILE%\AppData\Local\Temp\OnboardLogs"\RTDC4016\2016-10-16 --exclude "*" --recursive --include "*20161016*" &amp; "%USERPROFILE%\Documents\GitHub\mrs-test-scripts\Headless Mode &amp; Sideloading\WalkAndUnGZ.bat" "%USERPROFILE%\AppData\Local\Temp\OnboardLogs"\RTDC4016\2016-10-16</v>
      </c>
      <c r="AF90" s="88" t="str">
        <f t="shared" si="47"/>
        <v>"C:\Program Files (x86)\AstroGrep\AstroGrep.exe" /spath="%USERPROFILE%\AppData\Local\Temp\OnboardLogs" /stypes="app*4016*20161015*" /stext=" 19:.+((SYSTEM_STATE.+slice.+state.+changed )|(ment ac)|(system.+state.+changed )|(\[timeout)|(PRM\|1\|D)|(kpr)|(kdp)|(\|lc)|(penalty))" /e /r /s</v>
      </c>
      <c r="AG90" s="1" t="str">
        <f t="shared" si="48"/>
        <v>EC</v>
      </c>
      <c r="AH90" s="92" t="str">
        <f t="shared" si="49"/>
        <v>"%USERPROFILE%\Documents\GitHub\eaglep3\Utilities\RefineRTDCRunTimes.py" --tripid 177-15 --locoid 4016 --swversion DE.1.0.7.0 --startMP 204:458 --initTime 2016-10-15T13:12:25 --startdatetime 2016-10-15T13:15:46 --delay 1 --endMP 204:233261 --enddatetime 2016-10-15T13:52:23 --enforcementcount 0 &gt;&gt;C:\Users\stu\Documents\GitHub\eaglep3-reporting\EC\2016-10-15-refined-times.txt</v>
      </c>
      <c r="AI90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{"issue":{"subject":"","project_id":79,"tracker_id":40,"status_id":1,"priority_id":2,"assigned_to_id":23,"start_date":"2016-10-15","description":"","custom_fields":[{"id":1,"name":"Subdivision","value":"EC"},{"id":4,"name":"Milepost","value":"23.3261"},{"id":17,"name":"Train ID","value":"177-15"},{"id":16,"name":"Locomotive ID","value":"4016"},{"id":130,"name":"Impact","value":""},{"id":150,"name":"Time of Event (Mountain Time)","value":"13:52:23"},{"id":151,"name":"Denver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550</v>
      </c>
      <c r="B91" s="7">
        <v>4015</v>
      </c>
      <c r="C91" s="22" t="s">
        <v>99</v>
      </c>
      <c r="D91" s="22" t="s">
        <v>401</v>
      </c>
      <c r="E91" s="13">
        <v>42658.586770833332</v>
      </c>
      <c r="F91" s="13">
        <v>42658.594409722224</v>
      </c>
      <c r="G91" s="7">
        <v>2</v>
      </c>
      <c r="H91" s="13" t="s">
        <v>242</v>
      </c>
      <c r="I91" s="13">
        <v>42658.623206018521</v>
      </c>
      <c r="J91" s="7">
        <v>0</v>
      </c>
      <c r="K91" s="112" t="str">
        <f t="shared" si="34"/>
        <v>4015/4016</v>
      </c>
      <c r="L91" s="22" t="str">
        <f>VLOOKUP(A91,'Trips&amp;Operators'!$C$1:$E$10000,3,FALSE)</f>
        <v>MOSES</v>
      </c>
      <c r="M91" s="6">
        <f t="shared" si="35"/>
        <v>2.8796296297514345E-2</v>
      </c>
      <c r="N91" s="7">
        <f t="shared" si="36"/>
        <v>41.466666668420658</v>
      </c>
      <c r="O91" s="7"/>
      <c r="P91" s="7"/>
      <c r="Q91" s="23"/>
      <c r="R91" s="23"/>
      <c r="S91" s="35">
        <f t="shared" si="37"/>
        <v>1</v>
      </c>
      <c r="T91" s="50" t="str">
        <f t="shared" si="38"/>
        <v>Southbound</v>
      </c>
      <c r="U91" s="144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13:04:57-0600',mode:absolute,to:'2016-10-15 15:57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1" s="52" t="str">
        <f t="shared" si="40"/>
        <v>N</v>
      </c>
      <c r="X91" s="149">
        <f t="shared" si="41"/>
        <v>1</v>
      </c>
      <c r="Y91" s="67">
        <f t="shared" si="42"/>
        <v>23.295300000000001</v>
      </c>
      <c r="Z91" s="67">
        <f t="shared" si="43"/>
        <v>1.4500000000000001E-2</v>
      </c>
      <c r="AA91" s="67">
        <f t="shared" si="44"/>
        <v>23.280799999999999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45"/>
        <v>0178-15</v>
      </c>
      <c r="AE91" s="91" t="str">
        <f t="shared" si="46"/>
        <v>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 &amp; aws s3 cp s3://rtdc.mdm.uploadarchive.raw/RTDC4015/ "%USERPROFILE%\AppData\Local\Temp\OnboardLogs"\RTDC4015\2016-10-16 --exclude "*" --recursive --include "*20161016*" &amp; "%USERPROFILE%\Documents\GitHub\mrs-test-scripts\Headless Mode &amp; Sideloading\WalkAndUnGZ.bat" "%USERPROFILE%\AppData\Local\Temp\OnboardLogs"\RTDC4015\2016-10-16</v>
      </c>
      <c r="AF91" s="88" t="str">
        <f t="shared" si="47"/>
        <v>"C:\Program Files (x86)\AstroGrep\AstroGrep.exe" /spath="%USERPROFILE%\AppData\Local\Temp\OnboardLogs" /stypes="app*4015*20161015*" /stext=" 20:.+((SYSTEM_STATE.+slice.+state.+changed )|(ment ac)|(system.+state.+changed )|(\[timeout)|(PRM\|1\|D)|(kpr)|(kdp)|(\|lc)|(penalty))" /e /r /s</v>
      </c>
      <c r="AG91" s="1" t="str">
        <f t="shared" si="48"/>
        <v>EC</v>
      </c>
      <c r="AH91" s="92" t="str">
        <f t="shared" si="49"/>
        <v>"%USERPROFILE%\Documents\GitHub\eaglep3\Utilities\RefineRTDCRunTimes.py" --tripid 178-15 --locoid 4015 --swversion DE.1.0.7.0 --startMP 204:232953 --initTime 2016-10-15T14:04:57 --startdatetime 2016-10-15T14:15:57 --delay 2 --endMP 204:145 --enddatetime 2016-10-15T14:57:25 --enforcementcount 0 &gt;&gt;C:\Users\stu\Documents\GitHub\eaglep3-reporting\EC\2016-10-15-refined-times.txt</v>
      </c>
      <c r="AI91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{"issue":{"subject":"","project_id":79,"tracker_id":40,"status_id":1,"priority_id":2,"assigned_to_id":23,"start_date":"2016-10-15","description":"","custom_fields":[{"id":1,"name":"Subdivision","value":"EC"},{"id":4,"name":"Milepost","value":"0.0145"},{"id":17,"name":"Train ID","value":"178-15"},{"id":16,"name":"Locomotive ID","value":"4015"},{"id":130,"name":"Impact","value":""},{"id":150,"name":"Time of Event (Mountain Time)","value":"14:57:25"},{"id":151,"name":"Denver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544</v>
      </c>
      <c r="B92" s="7">
        <v>4011</v>
      </c>
      <c r="C92" s="22" t="s">
        <v>99</v>
      </c>
      <c r="D92" s="22" t="s">
        <v>270</v>
      </c>
      <c r="E92" s="13">
        <v>42658.557719907411</v>
      </c>
      <c r="F92" s="13">
        <v>42658.562743055554</v>
      </c>
      <c r="G92" s="7">
        <v>1</v>
      </c>
      <c r="H92" s="13" t="s">
        <v>660</v>
      </c>
      <c r="I92" s="13">
        <v>42658.594375000001</v>
      </c>
      <c r="J92" s="7">
        <v>0</v>
      </c>
      <c r="K92" s="112" t="str">
        <f t="shared" si="34"/>
        <v>4011/4012</v>
      </c>
      <c r="L92" s="22" t="str">
        <f>VLOOKUP(A92,'Trips&amp;Operators'!$C$1:$E$10000,3,FALSE)</f>
        <v>SHOOK</v>
      </c>
      <c r="M92" s="6">
        <f t="shared" si="35"/>
        <v>3.1631944446417037E-2</v>
      </c>
      <c r="N92" s="7">
        <f t="shared" si="36"/>
        <v>45.550000002840534</v>
      </c>
      <c r="O92" s="7"/>
      <c r="P92" s="7"/>
      <c r="Q92" s="23"/>
      <c r="R92" s="23"/>
      <c r="S92" s="35">
        <f t="shared" si="37"/>
        <v>1</v>
      </c>
      <c r="T92" s="50" t="str">
        <f t="shared" si="38"/>
        <v>NorthBound</v>
      </c>
      <c r="U92" s="144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12:23:07-0600',mode:absolute,to:'2016-10-15 15:15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2" s="52" t="str">
        <f t="shared" si="40"/>
        <v>N</v>
      </c>
      <c r="X92" s="149">
        <f t="shared" si="41"/>
        <v>1</v>
      </c>
      <c r="Y92" s="67">
        <f t="shared" si="42"/>
        <v>4.4600000000000001E-2</v>
      </c>
      <c r="Z92" s="67">
        <f t="shared" si="43"/>
        <v>23.3368</v>
      </c>
      <c r="AA92" s="67">
        <f t="shared" si="44"/>
        <v>23.292200000000001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45"/>
        <v>0179-15</v>
      </c>
      <c r="AE92" s="91" t="str">
        <f t="shared" si="46"/>
        <v>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 &amp; aws s3 cp s3://rtdc.mdm.uploadarchive.raw/RTDC4011/ "%USERPROFILE%\AppData\Local\Temp\OnboardLogs"\RTDC4011\2016-10-16 --exclude "*" --recursive --include "*20161016*" &amp; "%USERPROFILE%\Documents\GitHub\mrs-test-scripts\Headless Mode &amp; Sideloading\WalkAndUnGZ.bat" "%USERPROFILE%\AppData\Local\Temp\OnboardLogs"\RTDC4011\2016-10-16</v>
      </c>
      <c r="AF92" s="88" t="str">
        <f t="shared" si="47"/>
        <v>"C:\Program Files (x86)\AstroGrep\AstroGrep.exe" /spath="%USERPROFILE%\AppData\Local\Temp\OnboardLogs" /stypes="app*4011*20161015*" /stext=" 20:.+((SYSTEM_STATE.+slice.+state.+changed )|(ment ac)|(system.+state.+changed )|(\[timeout)|(PRM\|1\|D)|(kpr)|(kdp)|(\|lc)|(penalty))" /e /r /s</v>
      </c>
      <c r="AG92" s="1" t="str">
        <f t="shared" si="48"/>
        <v>EC</v>
      </c>
      <c r="AH92" s="92" t="str">
        <f t="shared" si="49"/>
        <v>"%USERPROFILE%\Documents\GitHub\eaglep3\Utilities\RefineRTDCRunTimes.py" --tripid 179-15 --locoid 4011 --swversion DE.1.0.7.0 --startMP 204:446 --initTime 2016-10-15T13:23:07 --startdatetime 2016-10-15T13:30:21 --delay 1 --endMP 204:233368 --enddatetime 2016-10-15T14:15:54 --enforcementcount 0 &gt;&gt;C:\Users\stu\Documents\GitHub\eaglep3-reporting\EC\2016-10-15-refined-times.txt</v>
      </c>
      <c r="AI92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{"issue":{"subject":"","project_id":79,"tracker_id":40,"status_id":1,"priority_id":2,"assigned_to_id":23,"start_date":"2016-10-15","description":"","custom_fields":[{"id":1,"name":"Subdivision","value":"EC"},{"id":4,"name":"Milepost","value":"23.3368"},{"id":17,"name":"Train ID","value":"179-15"},{"id":16,"name":"Locomotive ID","value":"4011"},{"id":130,"name":"Impact","value":""},{"id":150,"name":"Time of Event (Mountain Time)","value":"14:15:54"},{"id":151,"name":"Denver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552</v>
      </c>
      <c r="B93" s="7">
        <v>4012</v>
      </c>
      <c r="C93" s="22" t="s">
        <v>99</v>
      </c>
      <c r="D93" s="22" t="s">
        <v>661</v>
      </c>
      <c r="E93" s="13">
        <v>42658.597928240742</v>
      </c>
      <c r="F93" s="13">
        <v>42658.602164351854</v>
      </c>
      <c r="G93" s="7">
        <v>1</v>
      </c>
      <c r="H93" s="13" t="s">
        <v>662</v>
      </c>
      <c r="I93" s="13">
        <v>42658.630983796298</v>
      </c>
      <c r="J93" s="7">
        <v>0</v>
      </c>
      <c r="K93" s="112" t="str">
        <f t="shared" si="34"/>
        <v>4011/4012</v>
      </c>
      <c r="L93" s="22" t="str">
        <f>VLOOKUP(A93,'Trips&amp;Operators'!$C$1:$E$10000,3,FALSE)</f>
        <v>SHOOK</v>
      </c>
      <c r="M93" s="6">
        <f t="shared" si="35"/>
        <v>2.8819444443797693E-2</v>
      </c>
      <c r="N93" s="7">
        <f t="shared" si="36"/>
        <v>41.499999999068677</v>
      </c>
      <c r="O93" s="7"/>
      <c r="P93" s="7"/>
      <c r="Q93" s="23"/>
      <c r="R93" s="23"/>
      <c r="S93" s="35">
        <f t="shared" si="37"/>
        <v>1</v>
      </c>
      <c r="T93" s="50" t="str">
        <f t="shared" si="38"/>
        <v>Southbound</v>
      </c>
      <c r="U93" s="144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13:21:01-0600',mode:absolute,to:'2016-10-15 16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3" s="52" t="str">
        <f t="shared" si="40"/>
        <v>N</v>
      </c>
      <c r="X93" s="149">
        <f t="shared" si="41"/>
        <v>1</v>
      </c>
      <c r="Y93" s="67">
        <f t="shared" si="42"/>
        <v>23.304500000000001</v>
      </c>
      <c r="Z93" s="67">
        <f t="shared" si="43"/>
        <v>0.1182</v>
      </c>
      <c r="AA93" s="67">
        <f t="shared" si="44"/>
        <v>23.186299999999999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45"/>
        <v>0180-15</v>
      </c>
      <c r="AE93" s="91" t="str">
        <f t="shared" si="46"/>
        <v>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 &amp; aws s3 cp s3://rtdc.mdm.uploadarchive.raw/RTDC4012/ "%USERPROFILE%\AppData\Local\Temp\OnboardLogs"\RTDC4012\2016-10-16 --exclude "*" --recursive --include "*20161016*" &amp; "%USERPROFILE%\Documents\GitHub\mrs-test-scripts\Headless Mode &amp; Sideloading\WalkAndUnGZ.bat" "%USERPROFILE%\AppData\Local\Temp\OnboardLogs"\RTDC4012\2016-10-16</v>
      </c>
      <c r="AF93" s="88" t="str">
        <f t="shared" si="47"/>
        <v>"C:\Program Files (x86)\AstroGrep\AstroGrep.exe" /spath="%USERPROFILE%\AppData\Local\Temp\OnboardLogs" /stypes="app*4012*20161015*" /stext=" 21:.+((SYSTEM_STATE.+slice.+state.+changed )|(ment ac)|(system.+state.+changed )|(\[timeout)|(PRM\|1\|D)|(kpr)|(kdp)|(\|lc)|(penalty))" /e /r /s</v>
      </c>
      <c r="AG93" s="1" t="str">
        <f t="shared" si="48"/>
        <v>EC</v>
      </c>
      <c r="AH93" s="92" t="str">
        <f t="shared" si="49"/>
        <v>"%USERPROFILE%\Documents\GitHub\eaglep3\Utilities\RefineRTDCRunTimes.py" --tripid 180-15 --locoid 4012 --swversion DE.1.0.7.0 --startMP 204:233045 --initTime 2016-10-15T14:21:01 --startdatetime 2016-10-15T14:27:07 --delay 1 --endMP 204:1182 --enddatetime 2016-10-15T15:08:37 --enforcementcount 0 &gt;&gt;C:\Users\stu\Documents\GitHub\eaglep3-reporting\EC\2016-10-15-refined-times.txt</v>
      </c>
      <c r="AI93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{"issue":{"subject":"","project_id":79,"tracker_id":40,"status_id":1,"priority_id":2,"assigned_to_id":23,"start_date":"2016-10-15","description":"","custom_fields":[{"id":1,"name":"Subdivision","value":"EC"},{"id":4,"name":"Milepost","value":"0.1182"},{"id":17,"name":"Train ID","value":"180-15"},{"id":16,"name":"Locomotive ID","value":"4012"},{"id":130,"name":"Impact","value":""},{"id":150,"name":"Time of Event (Mountain Time)","value":"15:08:37"},{"id":151,"name":"Denver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547</v>
      </c>
      <c r="B94" s="7">
        <v>4020</v>
      </c>
      <c r="C94" s="22" t="s">
        <v>99</v>
      </c>
      <c r="D94" s="22" t="s">
        <v>257</v>
      </c>
      <c r="E94" s="13">
        <v>42658.570127314815</v>
      </c>
      <c r="F94" s="13">
        <v>42658.573148148149</v>
      </c>
      <c r="G94" s="7">
        <v>4</v>
      </c>
      <c r="H94" s="13" t="s">
        <v>673</v>
      </c>
      <c r="I94" s="13">
        <v>42658.599606481483</v>
      </c>
      <c r="J94" s="7">
        <v>0</v>
      </c>
      <c r="K94" s="112" t="str">
        <f t="shared" si="34"/>
        <v>4019/4020</v>
      </c>
      <c r="L94" s="22" t="str">
        <f>VLOOKUP(A94,'Trips&amp;Operators'!$C$1:$E$10000,3,FALSE)</f>
        <v>BRUDER</v>
      </c>
      <c r="M94" s="6">
        <f t="shared" si="35"/>
        <v>2.6458333333721384E-2</v>
      </c>
      <c r="N94" s="7">
        <f t="shared" si="36"/>
        <v>38.100000000558794</v>
      </c>
      <c r="O94" s="7"/>
      <c r="P94" s="7"/>
      <c r="Q94" s="23"/>
      <c r="R94" s="23"/>
      <c r="S94" s="35">
        <f t="shared" si="37"/>
        <v>1</v>
      </c>
      <c r="T94" s="50" t="str">
        <f t="shared" si="38"/>
        <v>NorthBound</v>
      </c>
      <c r="U94" s="144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12:40:59-0600',mode:absolute,to:'2016-10-15 15:23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4" s="52" t="str">
        <f t="shared" si="40"/>
        <v>N</v>
      </c>
      <c r="X94" s="149">
        <f t="shared" si="41"/>
        <v>1</v>
      </c>
      <c r="Y94" s="67">
        <f t="shared" si="42"/>
        <v>4.5499999999999999E-2</v>
      </c>
      <c r="Z94" s="67">
        <f t="shared" si="43"/>
        <v>23.325900000000001</v>
      </c>
      <c r="AA94" s="67">
        <f t="shared" si="44"/>
        <v>23.2804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45"/>
        <v>0181-15</v>
      </c>
      <c r="AE94" s="91" t="str">
        <f t="shared" si="46"/>
        <v>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 &amp; aws s3 cp s3://rtdc.mdm.uploadarchive.raw/RTDC4020/ "%USERPROFILE%\AppData\Local\Temp\OnboardLogs"\RTDC4020\2016-10-16 --exclude "*" --recursive --include "*20161016*" &amp; "%USERPROFILE%\Documents\GitHub\mrs-test-scripts\Headless Mode &amp; Sideloading\WalkAndUnGZ.bat" "%USERPROFILE%\AppData\Local\Temp\OnboardLogs"\RTDC4020\2016-10-16</v>
      </c>
      <c r="AF94" s="88" t="str">
        <f t="shared" si="47"/>
        <v>"C:\Program Files (x86)\AstroGrep\AstroGrep.exe" /spath="%USERPROFILE%\AppData\Local\Temp\OnboardLogs" /stypes="app*4020*20161015*" /stext=" 20:.+((SYSTEM_STATE.+slice.+state.+changed )|(ment ac)|(system.+state.+changed )|(\[timeout)|(PRM\|1\|D)|(kpr)|(kdp)|(\|lc)|(penalty))" /e /r /s</v>
      </c>
      <c r="AG94" s="1" t="str">
        <f t="shared" si="48"/>
        <v>EC</v>
      </c>
      <c r="AH94" s="92" t="str">
        <f t="shared" si="49"/>
        <v>"%USERPROFILE%\Documents\GitHub\eaglep3\Utilities\RefineRTDCRunTimes.py" --tripid 181-15 --locoid 4020 --swversion DE.1.0.7.0 --startMP 204:455 --initTime 2016-10-15T13:40:59 --startdatetime 2016-10-15T13:45:20 --delay 4 --endMP 204:233259 --enddatetime 2016-10-15T14:23:26 --enforcementcount 0 &gt;&gt;C:\Users\stu\Documents\GitHub\eaglep3-reporting\EC\2016-10-15-refined-times.txt</v>
      </c>
      <c r="AI94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{"issue":{"subject":"","project_id":79,"tracker_id":40,"status_id":1,"priority_id":2,"assigned_to_id":23,"start_date":"2016-10-15","description":"","custom_fields":[{"id":1,"name":"Subdivision","value":"EC"},{"id":4,"name":"Milepost","value":"23.3259"},{"id":17,"name":"Train ID","value":"181-15"},{"id":16,"name":"Locomotive ID","value":"4020"},{"id":130,"name":"Impact","value":""},{"id":150,"name":"Time of Event (Mountain Time)","value":"14:23:26"},{"id":151,"name":"Denver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554</v>
      </c>
      <c r="B95" s="7">
        <v>4019</v>
      </c>
      <c r="C95" s="22" t="s">
        <v>99</v>
      </c>
      <c r="D95" s="22" t="s">
        <v>266</v>
      </c>
      <c r="E95" s="13">
        <v>42658.604733796295</v>
      </c>
      <c r="F95" s="13">
        <v>42658.612164351849</v>
      </c>
      <c r="G95" s="7">
        <v>1</v>
      </c>
      <c r="H95" s="13" t="s">
        <v>249</v>
      </c>
      <c r="I95" s="13">
        <v>42658.64135416667</v>
      </c>
      <c r="J95" s="7">
        <v>0</v>
      </c>
      <c r="K95" s="112" t="str">
        <f t="shared" si="34"/>
        <v>4019/4020</v>
      </c>
      <c r="L95" s="22" t="str">
        <f>VLOOKUP(A95,'Trips&amp;Operators'!$C$1:$E$10000,3,FALSE)</f>
        <v>BRUDER</v>
      </c>
      <c r="M95" s="6">
        <f t="shared" si="35"/>
        <v>2.9189814820711035E-2</v>
      </c>
      <c r="N95" s="7">
        <f t="shared" si="36"/>
        <v>42.033333341823891</v>
      </c>
      <c r="O95" s="7"/>
      <c r="P95" s="7"/>
      <c r="Q95" s="23"/>
      <c r="R95" s="23"/>
      <c r="S95" s="35">
        <f t="shared" si="37"/>
        <v>1</v>
      </c>
      <c r="T95" s="50" t="str">
        <f t="shared" si="38"/>
        <v>Southbound</v>
      </c>
      <c r="U95" s="144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13:30:49-0600',mode:absolute,to:'2016-10-15 16:23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5" s="52" t="str">
        <f t="shared" si="40"/>
        <v>N</v>
      </c>
      <c r="X95" s="149">
        <f t="shared" si="41"/>
        <v>1</v>
      </c>
      <c r="Y95" s="67">
        <f t="shared" si="42"/>
        <v>23.297799999999999</v>
      </c>
      <c r="Z95" s="67">
        <f t="shared" si="43"/>
        <v>1.4999999999999999E-2</v>
      </c>
      <c r="AA95" s="67">
        <f t="shared" si="44"/>
        <v>23.282799999999998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45"/>
        <v>0182-15</v>
      </c>
      <c r="AE95" s="91" t="str">
        <f t="shared" si="46"/>
        <v>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 &amp; aws s3 cp s3://rtdc.mdm.uploadarchive.raw/RTDC4019/ "%USERPROFILE%\AppData\Local\Temp\OnboardLogs"\RTDC4019\2016-10-16 --exclude "*" --recursive --include "*20161016*" &amp; "%USERPROFILE%\Documents\GitHub\mrs-test-scripts\Headless Mode &amp; Sideloading\WalkAndUnGZ.bat" "%USERPROFILE%\AppData\Local\Temp\OnboardLogs"\RTDC4019\2016-10-16</v>
      </c>
      <c r="AF95" s="88" t="str">
        <f t="shared" si="47"/>
        <v>"C:\Program Files (x86)\AstroGrep\AstroGrep.exe" /spath="%USERPROFILE%\AppData\Local\Temp\OnboardLogs" /stypes="app*4019*20161015*" /stext=" 21:.+((SYSTEM_STATE.+slice.+state.+changed )|(ment ac)|(system.+state.+changed )|(\[timeout)|(PRM\|1\|D)|(kpr)|(kdp)|(\|lc)|(penalty))" /e /r /s</v>
      </c>
      <c r="AG95" s="1" t="str">
        <f t="shared" si="48"/>
        <v>EC</v>
      </c>
      <c r="AH95" s="92" t="str">
        <f t="shared" si="49"/>
        <v>"%USERPROFILE%\Documents\GitHub\eaglep3\Utilities\RefineRTDCRunTimes.py" --tripid 182-15 --locoid 4019 --swversion DE.1.0.7.0 --startMP 204:232978 --initTime 2016-10-15T14:30:49 --startdatetime 2016-10-15T14:41:31 --delay 1 --endMP 204:150 --enddatetime 2016-10-15T15:23:33 --enforcementcount 0 &gt;&gt;C:\Users\stu\Documents\GitHub\eaglep3-reporting\EC\2016-10-15-refined-times.txt</v>
      </c>
      <c r="AI95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{"issue":{"subject":"","project_id":79,"tracker_id":40,"status_id":1,"priority_id":2,"assigned_to_id":23,"start_date":"2016-10-15","description":"","custom_fields":[{"id":1,"name":"Subdivision","value":"EC"},{"id":4,"name":"Milepost","value":"0.015"},{"id":17,"name":"Train ID","value":"182-15"},{"id":16,"name":"Locomotive ID","value":"4019"},{"id":130,"name":"Impact","value":""},{"id":150,"name":"Time of Event (Mountain Time)","value":"15:23:33"},{"id":151,"name":"Denver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548</v>
      </c>
      <c r="B96" s="7">
        <v>4044</v>
      </c>
      <c r="C96" s="22" t="s">
        <v>99</v>
      </c>
      <c r="D96" s="22" t="s">
        <v>650</v>
      </c>
      <c r="E96" s="13">
        <v>42658.580787037034</v>
      </c>
      <c r="F96" s="13">
        <v>42658.583564814813</v>
      </c>
      <c r="G96" s="7">
        <v>1</v>
      </c>
      <c r="H96" s="13" t="s">
        <v>279</v>
      </c>
      <c r="I96" s="13">
        <v>42658.610543981478</v>
      </c>
      <c r="J96" s="7">
        <v>0</v>
      </c>
      <c r="K96" s="112" t="str">
        <f t="shared" si="34"/>
        <v>4043/4044</v>
      </c>
      <c r="L96" s="22" t="str">
        <f>VLOOKUP(A96,'Trips&amp;Operators'!$C$1:$E$10000,3,FALSE)</f>
        <v>CLARK</v>
      </c>
      <c r="M96" s="6">
        <f t="shared" si="35"/>
        <v>2.6979166665114462E-2</v>
      </c>
      <c r="N96" s="7">
        <f t="shared" si="36"/>
        <v>38.849999997764826</v>
      </c>
      <c r="O96" s="7"/>
      <c r="P96" s="7"/>
      <c r="Q96" s="23"/>
      <c r="R96" s="23"/>
      <c r="S96" s="35">
        <f t="shared" si="37"/>
        <v>1</v>
      </c>
      <c r="T96" s="50" t="str">
        <f t="shared" si="38"/>
        <v>NorthBound</v>
      </c>
      <c r="U96" s="144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12:56:20-0600',mode:absolute,to:'2016-10-15 15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6" s="52" t="str">
        <f t="shared" si="40"/>
        <v>N</v>
      </c>
      <c r="X96" s="149">
        <f t="shared" si="41"/>
        <v>1</v>
      </c>
      <c r="Y96" s="67">
        <f t="shared" si="42"/>
        <v>4.7300000000000002E-2</v>
      </c>
      <c r="Z96" s="67">
        <f t="shared" si="43"/>
        <v>23.328900000000001</v>
      </c>
      <c r="AA96" s="67">
        <f t="shared" si="44"/>
        <v>23.281600000000001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45"/>
        <v>0183-15</v>
      </c>
      <c r="AE96" s="91" t="str">
        <f t="shared" si="46"/>
        <v>aws s3 cp s3://rtdc.mdm.uploadarchive.raw/RTDC4044/ "%USERPROFILE%\AppData\Local\Temp\OnboardLogs"\RTDC4044\2016-10-15 --exclude "*" --recursive --include "*20161015*" &amp; "%USERPROFILE%\Documents\GitHub\mrs-test-scripts\Headless Mode &amp; Sideloading\WalkAndUnGZ.bat" "%USERPROFILE%\AppData\Local\Temp\OnboardLogs"\RTDC4044\2016-10-15 &amp; 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</v>
      </c>
      <c r="AF96" s="88" t="str">
        <f t="shared" si="47"/>
        <v>"C:\Program Files (x86)\AstroGrep\AstroGrep.exe" /spath="%USERPROFILE%\AppData\Local\Temp\OnboardLogs" /stypes="app*4044*20161015*" /stext=" 20:.+((SYSTEM_STATE.+slice.+state.+changed )|(ment ac)|(system.+state.+changed )|(\[timeout)|(PRM\|1\|D)|(kpr)|(kdp)|(\|lc)|(penalty))" /e /r /s</v>
      </c>
      <c r="AG96" s="1" t="str">
        <f t="shared" si="48"/>
        <v>EC</v>
      </c>
      <c r="AH96" s="92" t="str">
        <f t="shared" si="49"/>
        <v>"%USERPROFILE%\Documents\GitHub\eaglep3\Utilities\RefineRTDCRunTimes.py" --tripid 183-15 --locoid 4044 --swversion DE.1.0.7.0 --startMP 204:473 --initTime 2016-10-15T13:56:20 --startdatetime 2016-10-15T14:00:20 --delay 1 --endMP 204:233289 --enddatetime 2016-10-15T14:39:11 --enforcementcount 0 &gt;&gt;C:\Users\stu\Documents\GitHub\eaglep3-reporting\EC\2016-10-15-refined-times.txt</v>
      </c>
      <c r="AI96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{"issue":{"subject":"","project_id":79,"tracker_id":40,"status_id":1,"priority_id":2,"assigned_to_id":23,"start_date":"2016-10-15","description":"","custom_fields":[{"id":1,"name":"Subdivision","value":"EC"},{"id":4,"name":"Milepost","value":"23.3289"},{"id":17,"name":"Train ID","value":"183-15"},{"id":16,"name":"Locomotive ID","value":"4044"},{"id":130,"name":"Impact","value":""},{"id":150,"name":"Time of Event (Mountain Time)","value":"14:39:11"},{"id":151,"name":"Denver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556</v>
      </c>
      <c r="B97" s="7">
        <v>4043</v>
      </c>
      <c r="C97" s="22" t="s">
        <v>99</v>
      </c>
      <c r="D97" s="22" t="s">
        <v>313</v>
      </c>
      <c r="E97" s="13">
        <v>42658.617222222223</v>
      </c>
      <c r="F97" s="13">
        <v>42658.622395833336</v>
      </c>
      <c r="G97" s="7">
        <v>1</v>
      </c>
      <c r="H97" s="13" t="s">
        <v>273</v>
      </c>
      <c r="I97" s="13">
        <v>42658.652118055557</v>
      </c>
      <c r="J97" s="7">
        <v>0</v>
      </c>
      <c r="K97" s="112" t="str">
        <f t="shared" si="34"/>
        <v>4043/4044</v>
      </c>
      <c r="L97" s="22" t="str">
        <f>VLOOKUP(A97,'Trips&amp;Operators'!$C$1:$E$10000,3,FALSE)</f>
        <v>CLARK</v>
      </c>
      <c r="M97" s="6">
        <f t="shared" si="35"/>
        <v>2.9722222221607808E-2</v>
      </c>
      <c r="N97" s="7">
        <f t="shared" si="36"/>
        <v>42.799999999115244</v>
      </c>
      <c r="O97" s="7"/>
      <c r="P97" s="7"/>
      <c r="Q97" s="23"/>
      <c r="R97" s="23"/>
      <c r="S97" s="35">
        <f t="shared" si="37"/>
        <v>1</v>
      </c>
      <c r="T97" s="50" t="str">
        <f t="shared" si="38"/>
        <v>Southbound</v>
      </c>
      <c r="U97" s="144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13:48:48-0600',mode:absolute,to:'2016-10-15 16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7" s="52" t="str">
        <f t="shared" si="40"/>
        <v>N</v>
      </c>
      <c r="X97" s="149">
        <f t="shared" si="41"/>
        <v>1</v>
      </c>
      <c r="Y97" s="67">
        <f t="shared" si="42"/>
        <v>23.297699999999999</v>
      </c>
      <c r="Z97" s="67">
        <f t="shared" si="43"/>
        <v>1.67E-2</v>
      </c>
      <c r="AA97" s="67">
        <f t="shared" si="44"/>
        <v>23.280999999999999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45"/>
        <v>0184-15</v>
      </c>
      <c r="AE97" s="91" t="str">
        <f t="shared" si="46"/>
        <v>aws s3 cp s3://rtdc.mdm.uploadarchive.raw/RTDC4043/ "%USERPROFILE%\AppData\Local\Temp\OnboardLogs"\RTDC4043\2016-10-15 --exclude "*" --recursive --include "*20161015*" &amp; "%USERPROFILE%\Documents\GitHub\mrs-test-scripts\Headless Mode &amp; Sideloading\WalkAndUnGZ.bat" "%USERPROFILE%\AppData\Local\Temp\OnboardLogs"\RTDC4043\2016-10-15 &amp; 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</v>
      </c>
      <c r="AF97" s="88" t="str">
        <f t="shared" si="47"/>
        <v>"C:\Program Files (x86)\AstroGrep\AstroGrep.exe" /spath="%USERPROFILE%\AppData\Local\Temp\OnboardLogs" /stypes="app*4043*20161015*" /stext=" 21:.+((SYSTEM_STATE.+slice.+state.+changed )|(ment ac)|(system.+state.+changed )|(\[timeout)|(PRM\|1\|D)|(kpr)|(kdp)|(\|lc)|(penalty))" /e /r /s</v>
      </c>
      <c r="AG97" s="1" t="str">
        <f t="shared" si="48"/>
        <v>EC</v>
      </c>
      <c r="AH97" s="92" t="str">
        <f t="shared" si="49"/>
        <v>"%USERPROFILE%\Documents\GitHub\eaglep3\Utilities\RefineRTDCRunTimes.py" --tripid 184-15 --locoid 4043 --swversion DE.1.0.7.0 --startMP 204:232977 --initTime 2016-10-15T14:48:48 --startdatetime 2016-10-15T14:56:15 --delay 1 --endMP 204:167 --enddatetime 2016-10-15T15:39:03 --enforcementcount 0 &gt;&gt;C:\Users\stu\Documents\GitHub\eaglep3-reporting\EC\2016-10-15-refined-times.txt</v>
      </c>
      <c r="AI97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{"issue":{"subject":"","project_id":79,"tracker_id":40,"status_id":1,"priority_id":2,"assigned_to_id":23,"start_date":"2016-10-15","description":"","custom_fields":[{"id":1,"name":"Subdivision","value":"EC"},{"id":4,"name":"Milepost","value":"0.0167"},{"id":17,"name":"Train ID","value":"184-15"},{"id":16,"name":"Locomotive ID","value":"4043"},{"id":130,"name":"Impact","value":""},{"id":150,"name":"Time of Event (Mountain Time)","value":"15:39:03"},{"id":151,"name":"Denver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551</v>
      </c>
      <c r="B98" s="7">
        <v>4053</v>
      </c>
      <c r="C98" s="22" t="s">
        <v>99</v>
      </c>
      <c r="D98" s="22" t="s">
        <v>650</v>
      </c>
      <c r="E98" s="13">
        <v>42658.590196759258</v>
      </c>
      <c r="F98" s="13">
        <v>42658.632974537039</v>
      </c>
      <c r="G98" s="7">
        <v>1</v>
      </c>
      <c r="H98" s="13" t="s">
        <v>698</v>
      </c>
      <c r="I98" s="13">
        <v>42658.660300925927</v>
      </c>
      <c r="J98" s="7">
        <v>0</v>
      </c>
      <c r="K98" s="112" t="str">
        <f t="shared" si="34"/>
        <v>4053/4054</v>
      </c>
      <c r="L98" s="22" t="str">
        <f>VLOOKUP(A98,'Trips&amp;Operators'!$C$1:$E$10000,3,FALSE)</f>
        <v>STORY</v>
      </c>
      <c r="M98" s="6">
        <f t="shared" si="35"/>
        <v>2.73263888884685E-2</v>
      </c>
      <c r="N98" s="7">
        <f t="shared" si="36"/>
        <v>39.34999999939464</v>
      </c>
      <c r="O98" s="7"/>
      <c r="P98" s="7"/>
      <c r="Q98" s="23"/>
      <c r="R98" s="23"/>
      <c r="S98" s="35">
        <f t="shared" si="37"/>
        <v>1</v>
      </c>
      <c r="T98" s="50" t="str">
        <f t="shared" si="38"/>
        <v>NorthBound</v>
      </c>
      <c r="U98" s="144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13:09:53-0600',mode:absolute,to:'2016-10-15 16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8" s="52" t="str">
        <f t="shared" si="40"/>
        <v>N</v>
      </c>
      <c r="X98" s="149">
        <f t="shared" si="41"/>
        <v>1</v>
      </c>
      <c r="Y98" s="67">
        <f t="shared" si="42"/>
        <v>4.7300000000000002E-2</v>
      </c>
      <c r="Z98" s="67">
        <f t="shared" si="43"/>
        <v>23.326799999999999</v>
      </c>
      <c r="AA98" s="67">
        <f t="shared" si="44"/>
        <v>23.279499999999999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45"/>
        <v>0185-15</v>
      </c>
      <c r="AE98" s="91" t="str">
        <f t="shared" si="46"/>
        <v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v>
      </c>
      <c r="AF98" s="88" t="str">
        <f t="shared" si="47"/>
        <v>"C:\Program Files (x86)\AstroGrep\AstroGrep.exe" /spath="%USERPROFILE%\AppData\Local\Temp\OnboardLogs" /stypes="app*4053*20161015*" /stext=" 21:.+((SYSTEM_STATE.+slice.+state.+changed )|(ment ac)|(system.+state.+changed )|(\[timeout)|(PRM\|1\|D)|(kpr)|(kdp)|(\|lc)|(penalty))" /e /r /s</v>
      </c>
      <c r="AG98" s="1" t="str">
        <f t="shared" si="48"/>
        <v>EC</v>
      </c>
      <c r="AH98" s="92" t="str">
        <f t="shared" si="49"/>
        <v>"%USERPROFILE%\Documents\GitHub\eaglep3\Utilities\RefineRTDCRunTimes.py" --tripid 185-15 --locoid 4053 --swversion DE.1.0.7.0 --startMP 204:473 --initTime 2016-10-15T14:09:53 --startdatetime 2016-10-15T15:11:29 --delay 1 --endMP 204:233268 --enddatetime 2016-10-15T15:50:50 --enforcementcount 0 &gt;&gt;C:\Users\stu\Documents\GitHub\eaglep3-reporting\EC\2016-10-15-refined-times.txt</v>
      </c>
      <c r="AI98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{"issue":{"subject":"","project_id":79,"tracker_id":40,"status_id":1,"priority_id":2,"assigned_to_id":23,"start_date":"2016-10-15","description":"","custom_fields":[{"id":1,"name":"Subdivision","value":"EC"},{"id":4,"name":"Milepost","value":"23.3268"},{"id":17,"name":"Train ID","value":"185-15"},{"id":16,"name":"Locomotive ID","value":"4053"},{"id":130,"name":"Impact","value":""},{"id":150,"name":"Time of Event (Mountain Time)","value":"15:50:50"},{"id":151,"name":"Denver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7" t="s">
        <v>558</v>
      </c>
      <c r="B99" s="7">
        <v>4054</v>
      </c>
      <c r="C99" s="22" t="s">
        <v>99</v>
      </c>
      <c r="D99" s="22" t="s">
        <v>699</v>
      </c>
      <c r="E99" s="13">
        <v>42658.627928240741</v>
      </c>
      <c r="F99" s="13">
        <v>42658.632974537039</v>
      </c>
      <c r="G99" s="7">
        <v>2</v>
      </c>
      <c r="H99" s="13" t="s">
        <v>259</v>
      </c>
      <c r="I99" s="13">
        <v>42658.660300925927</v>
      </c>
      <c r="J99" s="7">
        <v>0</v>
      </c>
      <c r="K99" s="112" t="str">
        <f t="shared" si="34"/>
        <v>4053/4054</v>
      </c>
      <c r="L99" s="22" t="str">
        <f>VLOOKUP(A99,'Trips&amp;Operators'!$C$1:$E$10000,3,FALSE)</f>
        <v>STORY</v>
      </c>
      <c r="M99" s="6">
        <f t="shared" si="35"/>
        <v>2.73263888884685E-2</v>
      </c>
      <c r="N99" s="7">
        <f t="shared" si="36"/>
        <v>39.34999999939464</v>
      </c>
      <c r="O99" s="7"/>
      <c r="P99" s="7"/>
      <c r="Q99" s="23"/>
      <c r="R99" s="23"/>
      <c r="S99" s="35">
        <f t="shared" si="37"/>
        <v>1</v>
      </c>
      <c r="T99" s="50" t="str">
        <f t="shared" si="38"/>
        <v>Southbound</v>
      </c>
      <c r="U99" s="144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14:04:13-0600',mode:absolute,to:'2016-10-15 16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9" s="52" t="str">
        <f t="shared" si="40"/>
        <v>N</v>
      </c>
      <c r="X99" s="149">
        <f t="shared" si="41"/>
        <v>1</v>
      </c>
      <c r="Y99" s="67">
        <f t="shared" si="42"/>
        <v>23.2957</v>
      </c>
      <c r="Z99" s="67">
        <f t="shared" si="43"/>
        <v>1.3599999999999999E-2</v>
      </c>
      <c r="AA99" s="67">
        <f t="shared" si="44"/>
        <v>23.2821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45"/>
        <v>0186-15</v>
      </c>
      <c r="AE99" s="91" t="str">
        <f t="shared" si="46"/>
        <v>aws s3 cp s3://rtdc.mdm.uploadarchive.raw/RTDC4054/ "%USERPROFILE%\AppData\Local\Temp\OnboardLogs"\RTDC4054\2016-10-15 --exclude "*" --recursive --include "*20161015*" &amp; "%USERPROFILE%\Documents\GitHub\mrs-test-scripts\Headless Mode &amp; Sideloading\WalkAndUnGZ.bat" "%USERPROFILE%\AppData\Local\Temp\OnboardLogs"\RTDC4054\2016-10-15 &amp; aws s3 cp s3://rtdc.mdm.uploadarchive.raw/RTDC4054/ "%USERPROFILE%\AppData\Local\Temp\OnboardLogs"\RTDC4054\2016-10-16 --exclude "*" --recursive --include "*20161016*" &amp; "%USERPROFILE%\Documents\GitHub\mrs-test-scripts\Headless Mode &amp; Sideloading\WalkAndUnGZ.bat" "%USERPROFILE%\AppData\Local\Temp\OnboardLogs"\RTDC4054\2016-10-16</v>
      </c>
      <c r="AF99" s="88" t="str">
        <f t="shared" si="47"/>
        <v>"C:\Program Files (x86)\AstroGrep\AstroGrep.exe" /spath="%USERPROFILE%\AppData\Local\Temp\OnboardLogs" /stypes="app*4054*20161015*" /stext=" 21:.+((SYSTEM_STATE.+slice.+state.+changed )|(ment ac)|(system.+state.+changed )|(\[timeout)|(PRM\|1\|D)|(kpr)|(kdp)|(\|lc)|(penalty))" /e /r /s</v>
      </c>
      <c r="AG99" s="1" t="str">
        <f t="shared" si="48"/>
        <v>EC</v>
      </c>
      <c r="AH99" s="92" t="str">
        <f t="shared" si="49"/>
        <v>"%USERPROFILE%\Documents\GitHub\eaglep3\Utilities\RefineRTDCRunTimes.py" --tripid 186-15 --locoid 4054 --swversion DE.1.0.7.0 --startMP 204:232957 --initTime 2016-10-15T15:04:13 --startdatetime 2016-10-15T15:11:29 --delay 2 --endMP 204:136 --enddatetime 2016-10-15T15:50:50 --enforcementcount 0 &gt;&gt;C:\Users\stu\Documents\GitHub\eaglep3-reporting\EC\2016-10-15-refined-times.txt</v>
      </c>
      <c r="AI99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{"issue":{"subject":"","project_id":79,"tracker_id":40,"status_id":1,"priority_id":2,"assigned_to_id":23,"start_date":"2016-10-15","description":"","custom_fields":[{"id":1,"name":"Subdivision","value":"EC"},{"id":4,"name":"Milepost","value":"0.0136"},{"id":17,"name":"Train ID","value":"186-15"},{"id":16,"name":"Locomotive ID","value":"4054"},{"id":130,"name":"Impact","value":""},{"id":150,"name":"Time of Event (Mountain Time)","value":"15:50:50"},{"id":151,"name":"Denver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s="21" customFormat="1" x14ac:dyDescent="0.25">
      <c r="A100" s="37" t="s">
        <v>553</v>
      </c>
      <c r="B100" s="7">
        <v>4038</v>
      </c>
      <c r="C100" s="22" t="s">
        <v>99</v>
      </c>
      <c r="D100" s="22" t="s">
        <v>256</v>
      </c>
      <c r="E100" s="13">
        <v>42658.600624999999</v>
      </c>
      <c r="F100" s="13">
        <v>42658.604386574072</v>
      </c>
      <c r="G100" s="7">
        <v>2</v>
      </c>
      <c r="H100" s="13" t="s">
        <v>198</v>
      </c>
      <c r="I100" s="13">
        <v>42658.63077546296</v>
      </c>
      <c r="J100" s="7">
        <v>0</v>
      </c>
      <c r="K100" s="112" t="str">
        <f t="shared" si="34"/>
        <v>4037/4038</v>
      </c>
      <c r="L100" s="22" t="str">
        <f>VLOOKUP(A100,'Trips&amp;Operators'!$C$1:$E$10000,3,FALSE)</f>
        <v>STEWART</v>
      </c>
      <c r="M100" s="6">
        <f t="shared" si="35"/>
        <v>2.6388888887595385E-2</v>
      </c>
      <c r="N100" s="7">
        <f t="shared" si="36"/>
        <v>37.999999998137355</v>
      </c>
      <c r="O100" s="7"/>
      <c r="P100" s="7"/>
      <c r="Q100" s="23"/>
      <c r="R100" s="23"/>
      <c r="S100" s="35">
        <f t="shared" si="37"/>
        <v>1</v>
      </c>
      <c r="T100" s="50" t="str">
        <f t="shared" si="38"/>
        <v>NorthBound</v>
      </c>
      <c r="U100" s="144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13:24:54-0600',mode:absolute,to:'2016-10-15 16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0" s="52" t="str">
        <f t="shared" si="40"/>
        <v>N</v>
      </c>
      <c r="X100" s="149">
        <f t="shared" si="41"/>
        <v>1</v>
      </c>
      <c r="Y100" s="67">
        <f t="shared" si="42"/>
        <v>4.6399999999999997E-2</v>
      </c>
      <c r="Z100" s="67">
        <f t="shared" si="43"/>
        <v>23.329699999999999</v>
      </c>
      <c r="AA100" s="67">
        <f t="shared" si="44"/>
        <v>23.283300000000001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45"/>
        <v>0187-15</v>
      </c>
      <c r="AE100" s="91" t="str">
        <f t="shared" si="46"/>
        <v>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 &amp; aws s3 cp s3://rtdc.mdm.uploadarchive.raw/RTDC4038/ "%USERPROFILE%\AppData\Local\Temp\OnboardLogs"\RTDC4038\2016-10-16 --exclude "*" --recursive --include "*20161016*" &amp; "%USERPROFILE%\Documents\GitHub\mrs-test-scripts\Headless Mode &amp; Sideloading\WalkAndUnGZ.bat" "%USERPROFILE%\AppData\Local\Temp\OnboardLogs"\RTDC4038\2016-10-16</v>
      </c>
      <c r="AF100" s="88" t="str">
        <f t="shared" si="47"/>
        <v>"C:\Program Files (x86)\AstroGrep\AstroGrep.exe" /spath="%USERPROFILE%\AppData\Local\Temp\OnboardLogs" /stypes="app*4038*20161015*" /stext=" 21:.+((SYSTEM_STATE.+slice.+state.+changed )|(ment ac)|(system.+state.+changed )|(\[timeout)|(PRM\|1\|D)|(kpr)|(kdp)|(\|lc)|(penalty))" /e /r /s</v>
      </c>
      <c r="AG100" s="1" t="str">
        <f t="shared" si="48"/>
        <v>EC</v>
      </c>
      <c r="AH100" s="92" t="str">
        <f t="shared" si="49"/>
        <v>"%USERPROFILE%\Documents\GitHub\eaglep3\Utilities\RefineRTDCRunTimes.py" --tripid 187-15 --locoid 4038 --swversion DE.1.0.7.0 --startMP 204:464 --initTime 2016-10-15T14:24:54 --startdatetime 2016-10-15T14:30:19 --delay 2 --endMP 204:233297 --enddatetime 2016-10-15T15:08:19 --enforcementcount 0 &gt;&gt;C:\Users\stu\Documents\GitHub\eaglep3-reporting\EC\2016-10-15-refined-times.txt</v>
      </c>
      <c r="AI100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{"issue":{"subject":"","project_id":79,"tracker_id":40,"status_id":1,"priority_id":2,"assigned_to_id":23,"start_date":"2016-10-15","description":"","custom_fields":[{"id":1,"name":"Subdivision","value":"EC"},{"id":4,"name":"Milepost","value":"23.3297"},{"id":17,"name":"Train ID","value":"187-15"},{"id":16,"name":"Locomotive ID","value":"4038"},{"id":130,"name":"Impact","value":""},{"id":150,"name":"Time of Event (Mountain Time)","value":"15:08:19"},{"id":151,"name":"Denver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561</v>
      </c>
      <c r="B101" s="7">
        <v>4037</v>
      </c>
      <c r="C101" s="22" t="s">
        <v>99</v>
      </c>
      <c r="D101" s="22" t="s">
        <v>274</v>
      </c>
      <c r="E101" s="13">
        <v>42658.639097222222</v>
      </c>
      <c r="F101" s="13">
        <v>42658.643414351849</v>
      </c>
      <c r="G101" s="7">
        <v>2</v>
      </c>
      <c r="H101" s="13" t="s">
        <v>246</v>
      </c>
      <c r="I101" s="13">
        <v>42658.670173611114</v>
      </c>
      <c r="J101" s="7">
        <v>0</v>
      </c>
      <c r="K101" s="112" t="str">
        <f t="shared" si="34"/>
        <v>4037/4038</v>
      </c>
      <c r="L101" s="22" t="str">
        <f>VLOOKUP(A101,'Trips&amp;Operators'!$C$1:$E$10000,3,FALSE)</f>
        <v>STEWART</v>
      </c>
      <c r="M101" s="6">
        <f t="shared" si="35"/>
        <v>2.6759259264508728E-2</v>
      </c>
      <c r="N101" s="7">
        <f t="shared" si="36"/>
        <v>38.533333340892568</v>
      </c>
      <c r="O101" s="7"/>
      <c r="P101" s="7"/>
      <c r="Q101" s="23"/>
      <c r="R101" s="23"/>
      <c r="S101" s="35">
        <f t="shared" si="37"/>
        <v>1</v>
      </c>
      <c r="T101" s="50" t="str">
        <f t="shared" si="38"/>
        <v>Southbound</v>
      </c>
      <c r="U101" s="144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14:20:18-0600',mode:absolute,to:'2016-10-15 17:05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1" s="52" t="str">
        <f t="shared" si="40"/>
        <v>N</v>
      </c>
      <c r="X101" s="149">
        <f t="shared" si="41"/>
        <v>1</v>
      </c>
      <c r="Y101" s="67">
        <f t="shared" si="42"/>
        <v>23.2989</v>
      </c>
      <c r="Z101" s="67">
        <f t="shared" si="43"/>
        <v>1.43E-2</v>
      </c>
      <c r="AA101" s="67">
        <f t="shared" si="44"/>
        <v>23.284600000000001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45"/>
        <v>0188-15</v>
      </c>
      <c r="AE101" s="91" t="str">
        <f t="shared" si="46"/>
        <v>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 &amp; aws s3 cp s3://rtdc.mdm.uploadarchive.raw/RTDC4037/ "%USERPROFILE%\AppData\Local\Temp\OnboardLogs"\RTDC4037\2016-10-16 --exclude "*" --recursive --include "*20161016*" &amp; "%USERPROFILE%\Documents\GitHub\mrs-test-scripts\Headless Mode &amp; Sideloading\WalkAndUnGZ.bat" "%USERPROFILE%\AppData\Local\Temp\OnboardLogs"\RTDC4037\2016-10-16</v>
      </c>
      <c r="AF101" s="88" t="str">
        <f t="shared" si="47"/>
        <v>"C:\Program Files (x86)\AstroGrep\AstroGrep.exe" /spath="%USERPROFILE%\AppData\Local\Temp\OnboardLogs" /stypes="app*4037*20161015*" /stext=" 22:.+((SYSTEM_STATE.+slice.+state.+changed )|(ment ac)|(system.+state.+changed )|(\[timeout)|(PRM\|1\|D)|(kpr)|(kdp)|(\|lc)|(penalty))" /e /r /s</v>
      </c>
      <c r="AG101" s="1" t="str">
        <f t="shared" si="48"/>
        <v>EC</v>
      </c>
      <c r="AH101" s="92" t="str">
        <f t="shared" si="49"/>
        <v>"%USERPROFILE%\Documents\GitHub\eaglep3\Utilities\RefineRTDCRunTimes.py" --tripid 188-15 --locoid 4037 --swversion DE.1.0.7.0 --startMP 204:232989 --initTime 2016-10-15T15:20:18 --startdatetime 2016-10-15T15:26:31 --delay 2 --endMP 204:143 --enddatetime 2016-10-15T16:05:03 --enforcementcount 0 &gt;&gt;C:\Users\stu\Documents\GitHub\eaglep3-reporting\EC\2016-10-15-refined-times.txt</v>
      </c>
      <c r="AI101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{"issue":{"subject":"","project_id":79,"tracker_id":40,"status_id":1,"priority_id":2,"assigned_to_id":23,"start_date":"2016-10-15","description":"","custom_fields":[{"id":1,"name":"Subdivision","value":"EC"},{"id":4,"name":"Milepost","value":"0.0143"},{"id":17,"name":"Train ID","value":"188-15"},{"id":16,"name":"Locomotive ID","value":"4037"},{"id":130,"name":"Impact","value":""},{"id":150,"name":"Time of Event (Mountain Time)","value":"16:05:03"},{"id":151,"name":"Denver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555</v>
      </c>
      <c r="B102" s="7">
        <v>4003</v>
      </c>
      <c r="C102" s="22" t="s">
        <v>99</v>
      </c>
      <c r="D102" s="22" t="s">
        <v>256</v>
      </c>
      <c r="E102" s="13">
        <v>42658.613287037035</v>
      </c>
      <c r="F102" s="13">
        <v>42658.61482638889</v>
      </c>
      <c r="G102" s="7">
        <v>0</v>
      </c>
      <c r="H102" s="13" t="s">
        <v>272</v>
      </c>
      <c r="I102" s="13">
        <v>42658.640879629631</v>
      </c>
      <c r="J102" s="7">
        <v>0</v>
      </c>
      <c r="K102" s="112" t="str">
        <f t="shared" si="34"/>
        <v>4003/4004</v>
      </c>
      <c r="L102" s="22" t="str">
        <f>VLOOKUP(A102,'Trips&amp;Operators'!$C$1:$E$10000,3,FALSE)</f>
        <v>ISHMAEL</v>
      </c>
      <c r="M102" s="6">
        <f t="shared" si="35"/>
        <v>2.6053240741021E-2</v>
      </c>
      <c r="N102" s="7">
        <f t="shared" si="36"/>
        <v>37.51666666707024</v>
      </c>
      <c r="O102" s="7"/>
      <c r="P102" s="7"/>
      <c r="Q102" s="23"/>
      <c r="R102" s="23"/>
      <c r="S102" s="35">
        <f t="shared" si="37"/>
        <v>1</v>
      </c>
      <c r="T102" s="50" t="str">
        <f t="shared" si="38"/>
        <v>NorthBound</v>
      </c>
      <c r="U102" s="144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13:43:08-0600',mode:absolute,to:'2016-10-15 16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2" s="52" t="str">
        <f t="shared" si="40"/>
        <v>N</v>
      </c>
      <c r="X102" s="149">
        <f t="shared" si="41"/>
        <v>1</v>
      </c>
      <c r="Y102" s="67">
        <f t="shared" si="42"/>
        <v>4.6399999999999997E-2</v>
      </c>
      <c r="Z102" s="67">
        <f t="shared" si="43"/>
        <v>23.329899999999999</v>
      </c>
      <c r="AA102" s="67">
        <f t="shared" si="44"/>
        <v>23.2835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45"/>
        <v>0189-15</v>
      </c>
      <c r="AE102" s="91" t="str">
        <f t="shared" si="46"/>
        <v>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 &amp; aws s3 cp s3://rtdc.mdm.uploadarchive.raw/RTDC4003/ "%USERPROFILE%\AppData\Local\Temp\OnboardLogs"\RTDC4003\2016-10-16 --exclude "*" --recursive --include "*20161016*" &amp; "%USERPROFILE%\Documents\GitHub\mrs-test-scripts\Headless Mode &amp; Sideloading\WalkAndUnGZ.bat" "%USERPROFILE%\AppData\Local\Temp\OnboardLogs"\RTDC4003\2016-10-16</v>
      </c>
      <c r="AF102" s="88" t="str">
        <f t="shared" si="47"/>
        <v>"C:\Program Files (x86)\AstroGrep\AstroGrep.exe" /spath="%USERPROFILE%\AppData\Local\Temp\OnboardLogs" /stypes="app*4003*20161015*" /stext=" 21:.+((SYSTEM_STATE.+slice.+state.+changed )|(ment ac)|(system.+state.+changed )|(\[timeout)|(PRM\|1\|D)|(kpr)|(kdp)|(\|lc)|(penalty))" /e /r /s</v>
      </c>
      <c r="AG102" s="1" t="str">
        <f t="shared" si="48"/>
        <v>EC</v>
      </c>
      <c r="AH102" s="92" t="str">
        <f t="shared" si="49"/>
        <v>"%USERPROFILE%\Documents\GitHub\eaglep3\Utilities\RefineRTDCRunTimes.py" --tripid 189-15 --locoid 4003 --swversion DE.1.0.7.0 --startMP 204:464 --initTime 2016-10-15T14:43:08 --startdatetime 2016-10-15T14:45:21 --delay 0 --endMP 204:233299 --enddatetime 2016-10-15T15:22:52 --enforcementcount 0 &gt;&gt;C:\Users\stu\Documents\GitHub\eaglep3-reporting\EC\2016-10-15-refined-times.txt</v>
      </c>
      <c r="AI102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{"issue":{"subject":"","project_id":79,"tracker_id":40,"status_id":1,"priority_id":2,"assigned_to_id":23,"start_date":"2016-10-15","description":"","custom_fields":[{"id":1,"name":"Subdivision","value":"EC"},{"id":4,"name":"Milepost","value":"23.3299"},{"id":17,"name":"Train ID","value":"189-15"},{"id":16,"name":"Locomotive ID","value":"4003"},{"id":130,"name":"Impact","value":""},{"id":150,"name":"Time of Event (Mountain Time)","value":"15:22:52"},{"id":151,"name":"Denver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563</v>
      </c>
      <c r="B103" s="7">
        <v>4004</v>
      </c>
      <c r="C103" s="22" t="s">
        <v>99</v>
      </c>
      <c r="D103" s="22" t="s">
        <v>318</v>
      </c>
      <c r="E103" s="13">
        <v>42658.646550925929</v>
      </c>
      <c r="F103" s="13">
        <v>42658.653726851851</v>
      </c>
      <c r="G103" s="7">
        <v>5</v>
      </c>
      <c r="H103" s="13" t="s">
        <v>634</v>
      </c>
      <c r="I103" s="13">
        <v>42658.680995370371</v>
      </c>
      <c r="J103" s="7">
        <v>0</v>
      </c>
      <c r="K103" s="112" t="str">
        <f t="shared" si="34"/>
        <v>4003/4004</v>
      </c>
      <c r="L103" s="22" t="str">
        <f>VLOOKUP(A103,'Trips&amp;Operators'!$C$1:$E$10000,3,FALSE)</f>
        <v>ISHMAEL</v>
      </c>
      <c r="M103" s="6">
        <f t="shared" si="35"/>
        <v>2.7268518519122154E-2</v>
      </c>
      <c r="N103" s="7">
        <f t="shared" si="36"/>
        <v>39.266666667535901</v>
      </c>
      <c r="O103" s="7"/>
      <c r="P103" s="7"/>
      <c r="Q103" s="23"/>
      <c r="R103" s="23"/>
      <c r="S103" s="35">
        <f t="shared" si="37"/>
        <v>1</v>
      </c>
      <c r="T103" s="50" t="str">
        <f t="shared" si="38"/>
        <v>Southbound</v>
      </c>
      <c r="U103" s="144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14:31:02-0600',mode:absolute,to:'2016-10-15 17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3" s="52" t="str">
        <f t="shared" si="40"/>
        <v>N</v>
      </c>
      <c r="X103" s="149">
        <f t="shared" si="41"/>
        <v>1</v>
      </c>
      <c r="Y103" s="67">
        <f t="shared" si="42"/>
        <v>23.297999999999998</v>
      </c>
      <c r="Z103" s="67">
        <f t="shared" si="43"/>
        <v>1.5599999999999999E-2</v>
      </c>
      <c r="AA103" s="67">
        <f t="shared" si="44"/>
        <v>23.282399999999999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45"/>
        <v>0190-15</v>
      </c>
      <c r="AE103" s="91" t="str">
        <f t="shared" si="46"/>
        <v>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 &amp; aws s3 cp s3://rtdc.mdm.uploadarchive.raw/RTDC4004/ "%USERPROFILE%\AppData\Local\Temp\OnboardLogs"\RTDC4004\2016-10-16 --exclude "*" --recursive --include "*20161016*" &amp; "%USERPROFILE%\Documents\GitHub\mrs-test-scripts\Headless Mode &amp; Sideloading\WalkAndUnGZ.bat" "%USERPROFILE%\AppData\Local\Temp\OnboardLogs"\RTDC4004\2016-10-16</v>
      </c>
      <c r="AF103" s="88" t="str">
        <f t="shared" si="47"/>
        <v>"C:\Program Files (x86)\AstroGrep\AstroGrep.exe" /spath="%USERPROFILE%\AppData\Local\Temp\OnboardLogs" /stypes="app*4004*20161015*" /stext=" 22:.+((SYSTEM_STATE.+slice.+state.+changed )|(ment ac)|(system.+state.+changed )|(\[timeout)|(PRM\|1\|D)|(kpr)|(kdp)|(\|lc)|(penalty))" /e /r /s</v>
      </c>
      <c r="AG103" s="1" t="str">
        <f t="shared" si="48"/>
        <v>EC</v>
      </c>
      <c r="AH103" s="92" t="str">
        <f t="shared" si="49"/>
        <v>"%USERPROFILE%\Documents\GitHub\eaglep3\Utilities\RefineRTDCRunTimes.py" --tripid 190-15 --locoid 4004 --swversion DE.1.0.7.0 --startMP 204:232980 --initTime 2016-10-15T15:31:02 --startdatetime 2016-10-15T15:41:22 --delay 5 --endMP 204:156 --enddatetime 2016-10-15T16:20:38 --enforcementcount 0 &gt;&gt;C:\Users\stu\Documents\GitHub\eaglep3-reporting\EC\2016-10-15-refined-times.txt</v>
      </c>
      <c r="AI103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{"issue":{"subject":"","project_id":79,"tracker_id":40,"status_id":1,"priority_id":2,"assigned_to_id":23,"start_date":"2016-10-15","description":"","custom_fields":[{"id":1,"name":"Subdivision","value":"EC"},{"id":4,"name":"Milepost","value":"0.0156"},{"id":17,"name":"Train ID","value":"190-15"},{"id":16,"name":"Locomotive ID","value":"4004"},{"id":130,"name":"Impact","value":""},{"id":150,"name":"Time of Event (Mountain Time)","value":"16:20:38"},{"id":151,"name":"Denver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557</v>
      </c>
      <c r="B104" s="7">
        <v>4016</v>
      </c>
      <c r="C104" s="22" t="s">
        <v>99</v>
      </c>
      <c r="D104" s="22" t="s">
        <v>256</v>
      </c>
      <c r="E104" s="13">
        <v>42658.624618055554</v>
      </c>
      <c r="F104" s="13">
        <v>42658.631516203706</v>
      </c>
      <c r="G104" s="7">
        <v>1</v>
      </c>
      <c r="H104" s="13" t="s">
        <v>647</v>
      </c>
      <c r="I104" s="13">
        <v>42658.657719907409</v>
      </c>
      <c r="J104" s="7">
        <v>0</v>
      </c>
      <c r="K104" s="112" t="str">
        <f t="shared" si="34"/>
        <v>4015/4016</v>
      </c>
      <c r="L104" s="22" t="str">
        <f>VLOOKUP(A104,'Trips&amp;Operators'!$C$1:$E$10000,3,FALSE)</f>
        <v>MOSES</v>
      </c>
      <c r="M104" s="6">
        <f t="shared" si="35"/>
        <v>2.6203703702776693E-2</v>
      </c>
      <c r="N104" s="7">
        <f t="shared" si="36"/>
        <v>37.733333331998438</v>
      </c>
      <c r="O104" s="7"/>
      <c r="P104" s="7"/>
      <c r="Q104" s="23"/>
      <c r="R104" s="23"/>
      <c r="S104" s="35">
        <f t="shared" si="37"/>
        <v>1</v>
      </c>
      <c r="T104" s="50" t="str">
        <f t="shared" si="38"/>
        <v>NorthBound</v>
      </c>
      <c r="U104" s="144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13:59:27-0600',mode:absolute,to:'2016-10-15 16:47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4" s="52" t="str">
        <f t="shared" si="40"/>
        <v>N</v>
      </c>
      <c r="X104" s="149">
        <f t="shared" si="41"/>
        <v>1</v>
      </c>
      <c r="Y104" s="67">
        <f t="shared" si="42"/>
        <v>4.6399999999999997E-2</v>
      </c>
      <c r="Z104" s="67">
        <f t="shared" si="43"/>
        <v>23.330200000000001</v>
      </c>
      <c r="AA104" s="67">
        <f t="shared" si="44"/>
        <v>23.283800000000003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45"/>
        <v>0191-15</v>
      </c>
      <c r="AE104" s="91" t="str">
        <f t="shared" si="46"/>
        <v>aws s3 cp s3://rtdc.mdm.uploadarchive.raw/RTDC4016/ "%USERPROFILE%\AppData\Local\Temp\OnboardLogs"\RTDC4016\2016-10-15 --exclude "*" --recursive --include "*20161015*" &amp; "%USERPROFILE%\Documents\GitHub\mrs-test-scripts\Headless Mode &amp; Sideloading\WalkAndUnGZ.bat" "%USERPROFILE%\AppData\Local\Temp\OnboardLogs"\RTDC4016\2016-10-15 &amp; aws s3 cp s3://rtdc.mdm.uploadarchive.raw/RTDC4016/ "%USERPROFILE%\AppData\Local\Temp\OnboardLogs"\RTDC4016\2016-10-16 --exclude "*" --recursive --include "*20161016*" &amp; "%USERPROFILE%\Documents\GitHub\mrs-test-scripts\Headless Mode &amp; Sideloading\WalkAndUnGZ.bat" "%USERPROFILE%\AppData\Local\Temp\OnboardLogs"\RTDC4016\2016-10-16</v>
      </c>
      <c r="AF104" s="88" t="str">
        <f t="shared" si="47"/>
        <v>"C:\Program Files (x86)\AstroGrep\AstroGrep.exe" /spath="%USERPROFILE%\AppData\Local\Temp\OnboardLogs" /stypes="app*4016*20161015*" /stext=" 21:.+((SYSTEM_STATE.+slice.+state.+changed )|(ment ac)|(system.+state.+changed )|(\[timeout)|(PRM\|1\|D)|(kpr)|(kdp)|(\|lc)|(penalty))" /e /r /s</v>
      </c>
      <c r="AG104" s="1" t="str">
        <f t="shared" si="48"/>
        <v>EC</v>
      </c>
      <c r="AH104" s="92" t="str">
        <f t="shared" si="49"/>
        <v>"%USERPROFILE%\Documents\GitHub\eaglep3\Utilities\RefineRTDCRunTimes.py" --tripid 191-15 --locoid 4016 --swversion DE.1.0.7.0 --startMP 204:464 --initTime 2016-10-15T14:59:27 --startdatetime 2016-10-15T15:09:23 --delay 1 --endMP 204:233302 --enddatetime 2016-10-15T15:47:07 --enforcementcount 0 &gt;&gt;C:\Users\stu\Documents\GitHub\eaglep3-reporting\EC\2016-10-15-refined-times.txt</v>
      </c>
      <c r="AI104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{"issue":{"subject":"","project_id":79,"tracker_id":40,"status_id":1,"priority_id":2,"assigned_to_id":23,"start_date":"2016-10-15","description":"","custom_fields":[{"id":1,"name":"Subdivision","value":"EC"},{"id":4,"name":"Milepost","value":"23.3302"},{"id":17,"name":"Train ID","value":"191-15"},{"id":16,"name":"Locomotive ID","value":"4016"},{"id":130,"name":"Impact","value":""},{"id":150,"name":"Time of Event (Mountain Time)","value":"15:47:07"},{"id":151,"name":"Denver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x14ac:dyDescent="0.25">
      <c r="A105" s="37" t="s">
        <v>567</v>
      </c>
      <c r="B105" s="7">
        <v>4015</v>
      </c>
      <c r="C105" s="22" t="s">
        <v>99</v>
      </c>
      <c r="D105" s="22" t="s">
        <v>323</v>
      </c>
      <c r="E105" s="13">
        <v>42658.661817129629</v>
      </c>
      <c r="F105" s="13">
        <v>42658.6643287037</v>
      </c>
      <c r="G105" s="7">
        <v>1</v>
      </c>
      <c r="H105" s="13" t="s">
        <v>241</v>
      </c>
      <c r="I105" s="13">
        <v>42658.69295138889</v>
      </c>
      <c r="J105" s="7">
        <v>0</v>
      </c>
      <c r="K105" s="112" t="str">
        <f t="shared" si="34"/>
        <v>4015/4016</v>
      </c>
      <c r="L105" s="22" t="str">
        <f>VLOOKUP(A105,'Trips&amp;Operators'!$C$1:$E$10000,3,FALSE)</f>
        <v>MOSES</v>
      </c>
      <c r="M105" s="6">
        <f t="shared" si="35"/>
        <v>2.8622685189475305E-2</v>
      </c>
      <c r="N105" s="7">
        <f t="shared" si="36"/>
        <v>41.21666667284444</v>
      </c>
      <c r="O105" s="7"/>
      <c r="P105" s="7"/>
      <c r="Q105" s="23"/>
      <c r="R105" s="23"/>
      <c r="S105" s="35">
        <f t="shared" si="37"/>
        <v>1</v>
      </c>
      <c r="T105" s="50" t="str">
        <f t="shared" si="38"/>
        <v>Southbound</v>
      </c>
      <c r="U105" s="144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14:53:01-0600',mode:absolute,to:'2016-10-15 17:37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5" s="52" t="str">
        <f t="shared" si="40"/>
        <v>N</v>
      </c>
      <c r="X105" s="149">
        <f t="shared" si="41"/>
        <v>1</v>
      </c>
      <c r="Y105" s="67">
        <f t="shared" si="42"/>
        <v>23.3002</v>
      </c>
      <c r="Z105" s="67">
        <f t="shared" si="43"/>
        <v>1.54E-2</v>
      </c>
      <c r="AA105" s="67">
        <f t="shared" si="44"/>
        <v>23.284800000000001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45"/>
        <v>0192-15</v>
      </c>
      <c r="AE105" s="91" t="str">
        <f t="shared" si="46"/>
        <v>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 &amp; aws s3 cp s3://rtdc.mdm.uploadarchive.raw/RTDC4015/ "%USERPROFILE%\AppData\Local\Temp\OnboardLogs"\RTDC4015\2016-10-16 --exclude "*" --recursive --include "*20161016*" &amp; "%USERPROFILE%\Documents\GitHub\mrs-test-scripts\Headless Mode &amp; Sideloading\WalkAndUnGZ.bat" "%USERPROFILE%\AppData\Local\Temp\OnboardLogs"\RTDC4015\2016-10-16</v>
      </c>
      <c r="AF105" s="88" t="str">
        <f t="shared" si="47"/>
        <v>"C:\Program Files (x86)\AstroGrep\AstroGrep.exe" /spath="%USERPROFILE%\AppData\Local\Temp\OnboardLogs" /stypes="app*4015*20161015*" /stext=" 22:.+((SYSTEM_STATE.+slice.+state.+changed )|(ment ac)|(system.+state.+changed )|(\[timeout)|(PRM\|1\|D)|(kpr)|(kdp)|(\|lc)|(penalty))" /e /r /s</v>
      </c>
      <c r="AG105" s="1" t="str">
        <f t="shared" si="48"/>
        <v>EC</v>
      </c>
      <c r="AH105" s="92" t="str">
        <f t="shared" si="49"/>
        <v>"%USERPROFILE%\Documents\GitHub\eaglep3\Utilities\RefineRTDCRunTimes.py" --tripid 192-15 --locoid 4015 --swversion DE.1.0.7.0 --startMP 204:233002 --initTime 2016-10-15T15:53:01 --startdatetime 2016-10-15T15:56:38 --delay 1 --endMP 204:154 --enddatetime 2016-10-15T16:37:51 --enforcementcount 0 &gt;&gt;C:\Users\stu\Documents\GitHub\eaglep3-reporting\EC\2016-10-15-refined-times.txt</v>
      </c>
      <c r="AI105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{"issue":{"subject":"","project_id":79,"tracker_id":40,"status_id":1,"priority_id":2,"assigned_to_id":23,"start_date":"2016-10-15","description":"","custom_fields":[{"id":1,"name":"Subdivision","value":"EC"},{"id":4,"name":"Milepost","value":"0.0154"},{"id":17,"name":"Train ID","value":"192-15"},{"id":16,"name":"Locomotive ID","value":"4015"},{"id":130,"name":"Impact","value":""},{"id":150,"name":"Time of Event (Mountain Time)","value":"16:37:51"},{"id":151,"name":"Denver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x14ac:dyDescent="0.25">
      <c r="A106" s="37" t="s">
        <v>560</v>
      </c>
      <c r="B106" s="7">
        <v>4002</v>
      </c>
      <c r="C106" s="22" t="s">
        <v>99</v>
      </c>
      <c r="D106" s="22" t="s">
        <v>642</v>
      </c>
      <c r="E106" s="13">
        <v>42658.629143518519</v>
      </c>
      <c r="F106" s="13">
        <v>42658.636874999997</v>
      </c>
      <c r="G106" s="7">
        <v>9</v>
      </c>
      <c r="H106" s="13" t="s">
        <v>407</v>
      </c>
      <c r="I106" s="13">
        <v>42658.662708333337</v>
      </c>
      <c r="J106" s="7">
        <v>0</v>
      </c>
      <c r="K106" s="112" t="str">
        <f t="shared" si="34"/>
        <v>4001/4002</v>
      </c>
      <c r="L106" s="22" t="str">
        <f>VLOOKUP(A106,'Trips&amp;Operators'!$C$1:$E$10000,3,FALSE)</f>
        <v>SHOOK</v>
      </c>
      <c r="M106" s="6">
        <f t="shared" si="35"/>
        <v>2.5833333340415265E-2</v>
      </c>
      <c r="N106" s="7">
        <f t="shared" si="36"/>
        <v>37.200000010197982</v>
      </c>
      <c r="O106" s="7"/>
      <c r="P106" s="7"/>
      <c r="Q106" s="23"/>
      <c r="R106" s="23"/>
      <c r="S106" s="35">
        <f t="shared" si="37"/>
        <v>1</v>
      </c>
      <c r="T106" s="50" t="str">
        <f t="shared" si="38"/>
        <v>NorthBound</v>
      </c>
      <c r="U106" s="144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14:05:58-0600',mode:absolute,to:'2016-10-15 16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6" s="52" t="str">
        <f t="shared" si="40"/>
        <v>N</v>
      </c>
      <c r="X106" s="149">
        <f t="shared" si="41"/>
        <v>1</v>
      </c>
      <c r="Y106" s="67">
        <f t="shared" si="42"/>
        <v>4.8599999999999997E-2</v>
      </c>
      <c r="Z106" s="67">
        <f t="shared" si="43"/>
        <v>23.3355</v>
      </c>
      <c r="AA106" s="67">
        <f t="shared" si="44"/>
        <v>23.286899999999999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45"/>
        <v>0193-15</v>
      </c>
      <c r="AE106" s="91" t="str">
        <f t="shared" si="46"/>
        <v>aws s3 cp s3://rtdc.mdm.uploadarchive.raw/RTDC4002/ "%USERPROFILE%\AppData\Local\Temp\OnboardLogs"\RTDC4002\2016-10-15 --exclude "*" --recursive --include "*20161015*" &amp; "%USERPROFILE%\Documents\GitHub\mrs-test-scripts\Headless Mode &amp; Sideloading\WalkAndUnGZ.bat" "%USERPROFILE%\AppData\Local\Temp\OnboardLogs"\RTDC4002\2016-10-15 &amp; aws s3 cp s3://rtdc.mdm.uploadarchive.raw/RTDC4002/ "%USERPROFILE%\AppData\Local\Temp\OnboardLogs"\RTDC4002\2016-10-16 --exclude "*" --recursive --include "*20161016*" &amp; "%USERPROFILE%\Documents\GitHub\mrs-test-scripts\Headless Mode &amp; Sideloading\WalkAndUnGZ.bat" "%USERPROFILE%\AppData\Local\Temp\OnboardLogs"\RTDC4002\2016-10-16</v>
      </c>
      <c r="AF106" s="88" t="str">
        <f t="shared" si="47"/>
        <v>"C:\Program Files (x86)\AstroGrep\AstroGrep.exe" /spath="%USERPROFILE%\AppData\Local\Temp\OnboardLogs" /stypes="app*4002*20161015*" /stext=" 21:.+((SYSTEM_STATE.+slice.+state.+changed )|(ment ac)|(system.+state.+changed )|(\[timeout)|(PRM\|1\|D)|(kpr)|(kdp)|(\|lc)|(penalty))" /e /r /s</v>
      </c>
      <c r="AG106" s="1" t="str">
        <f t="shared" si="48"/>
        <v>EC</v>
      </c>
      <c r="AH106" s="92" t="str">
        <f t="shared" si="49"/>
        <v>"%USERPROFILE%\Documents\GitHub\eaglep3\Utilities\RefineRTDCRunTimes.py" --tripid 193-15 --locoid 4002 --swversion DE.1.0.7.0 --startMP 204:486 --initTime 2016-10-15T15:05:58 --startdatetime 2016-10-15T15:17:06 --delay 9 --endMP 204:233355 --enddatetime 2016-10-15T15:54:18 --enforcementcount 0 &gt;&gt;C:\Users\stu\Documents\GitHub\eaglep3-reporting\EC\2016-10-15-refined-times.txt</v>
      </c>
      <c r="AI106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{"issue":{"subject":"","project_id":79,"tracker_id":40,"status_id":1,"priority_id":2,"assigned_to_id":23,"start_date":"2016-10-15","description":"","custom_fields":[{"id":1,"name":"Subdivision","value":"EC"},{"id":4,"name":"Milepost","value":"23.3355"},{"id":17,"name":"Train ID","value":"193-15"},{"id":16,"name":"Locomotive ID","value":"4002"},{"id":130,"name":"Impact","value":""},{"id":150,"name":"Time of Event (Mountain Time)","value":"15:54:18"},{"id":151,"name":"Denver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569</v>
      </c>
      <c r="B107" s="7">
        <v>4001</v>
      </c>
      <c r="C107" s="22" t="s">
        <v>99</v>
      </c>
      <c r="D107" s="22" t="s">
        <v>655</v>
      </c>
      <c r="E107" s="13">
        <v>42658.669004629628</v>
      </c>
      <c r="F107" s="13">
        <v>42658.674513888887</v>
      </c>
      <c r="G107" s="7">
        <v>1</v>
      </c>
      <c r="H107" s="13" t="s">
        <v>176</v>
      </c>
      <c r="I107" s="13">
        <v>42658.701574074075</v>
      </c>
      <c r="J107" s="7">
        <v>0</v>
      </c>
      <c r="K107" s="112" t="str">
        <f t="shared" si="34"/>
        <v>4001/4002</v>
      </c>
      <c r="L107" s="22" t="str">
        <f>VLOOKUP(A107,'Trips&amp;Operators'!$C$1:$E$10000,3,FALSE)</f>
        <v>SHOOK</v>
      </c>
      <c r="M107" s="6">
        <f t="shared" si="35"/>
        <v>2.7060185188020114E-2</v>
      </c>
      <c r="N107" s="7">
        <f t="shared" si="36"/>
        <v>38.966666670748964</v>
      </c>
      <c r="O107" s="7"/>
      <c r="P107" s="7"/>
      <c r="Q107" s="23"/>
      <c r="R107" s="23"/>
      <c r="S107" s="35">
        <f t="shared" si="37"/>
        <v>1</v>
      </c>
      <c r="T107" s="50" t="str">
        <f t="shared" si="38"/>
        <v>Southbound</v>
      </c>
      <c r="U107" s="144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15:03:22-0600',mode:absolute,to:'2016-10-15 17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7" s="52" t="str">
        <f t="shared" si="40"/>
        <v>N</v>
      </c>
      <c r="X107" s="149">
        <f t="shared" si="41"/>
        <v>1</v>
      </c>
      <c r="Y107" s="67">
        <f t="shared" si="42"/>
        <v>23.304400000000001</v>
      </c>
      <c r="Z107" s="67">
        <f t="shared" si="43"/>
        <v>1.47E-2</v>
      </c>
      <c r="AA107" s="67">
        <f t="shared" si="44"/>
        <v>23.2897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45"/>
        <v>0194-15</v>
      </c>
      <c r="AE107" s="91" t="str">
        <f t="shared" si="46"/>
        <v>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 &amp; aws s3 cp s3://rtdc.mdm.uploadarchive.raw/RTDC4001/ "%USERPROFILE%\AppData\Local\Temp\OnboardLogs"\RTDC4001\2016-10-16 --exclude "*" --recursive --include "*20161016*" &amp; "%USERPROFILE%\Documents\GitHub\mrs-test-scripts\Headless Mode &amp; Sideloading\WalkAndUnGZ.bat" "%USERPROFILE%\AppData\Local\Temp\OnboardLogs"\RTDC4001\2016-10-16</v>
      </c>
      <c r="AF107" s="88" t="str">
        <f t="shared" si="47"/>
        <v>"C:\Program Files (x86)\AstroGrep\AstroGrep.exe" /spath="%USERPROFILE%\AppData\Local\Temp\OnboardLogs" /stypes="app*4001*20161015*" /stext=" 22:.+((SYSTEM_STATE.+slice.+state.+changed )|(ment ac)|(system.+state.+changed )|(\[timeout)|(PRM\|1\|D)|(kpr)|(kdp)|(\|lc)|(penalty))" /e /r /s</v>
      </c>
      <c r="AG107" s="1" t="str">
        <f t="shared" si="48"/>
        <v>EC</v>
      </c>
      <c r="AH107" s="92" t="str">
        <f t="shared" si="49"/>
        <v>"%USERPROFILE%\Documents\GitHub\eaglep3\Utilities\RefineRTDCRunTimes.py" --tripid 194-15 --locoid 4001 --swversion DE.1.0.7.0 --startMP 204:233044 --initTime 2016-10-15T16:03:22 --startdatetime 2016-10-15T16:11:18 --delay 1 --endMP 204:147 --enddatetime 2016-10-15T16:50:16 --enforcementcount 0 &gt;&gt;C:\Users\stu\Documents\GitHub\eaglep3-reporting\EC\2016-10-15-refined-times.txt</v>
      </c>
      <c r="AI107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{"issue":{"subject":"","project_id":79,"tracker_id":40,"status_id":1,"priority_id":2,"assigned_to_id":23,"start_date":"2016-10-15","description":"","custom_fields":[{"id":1,"name":"Subdivision","value":"EC"},{"id":4,"name":"Milepost","value":"0.0147"},{"id":17,"name":"Train ID","value":"194-15"},{"id":16,"name":"Locomotive ID","value":"4001"},{"id":130,"name":"Impact","value":""},{"id":150,"name":"Time of Event (Mountain Time)","value":"16:50:16"},{"id":151,"name":"Denver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562</v>
      </c>
      <c r="B108" s="7">
        <v>4020</v>
      </c>
      <c r="C108" s="22" t="s">
        <v>99</v>
      </c>
      <c r="D108" s="22" t="s">
        <v>277</v>
      </c>
      <c r="E108" s="13">
        <v>42658.643078703702</v>
      </c>
      <c r="F108" s="13">
        <v>42658.646087962959</v>
      </c>
      <c r="G108" s="7">
        <v>1</v>
      </c>
      <c r="H108" s="13" t="s">
        <v>279</v>
      </c>
      <c r="I108" s="13">
        <v>42658.672430555554</v>
      </c>
      <c r="J108" s="7">
        <v>0</v>
      </c>
      <c r="K108" s="112" t="str">
        <f t="shared" si="34"/>
        <v>4019/4020</v>
      </c>
      <c r="L108" s="22" t="str">
        <f>VLOOKUP(A108,'Trips&amp;Operators'!$C$1:$E$10000,3,FALSE)</f>
        <v>BRUDER</v>
      </c>
      <c r="M108" s="6">
        <f t="shared" si="35"/>
        <v>2.6342592595028691E-2</v>
      </c>
      <c r="N108" s="7">
        <f t="shared" si="36"/>
        <v>37.933333336841315</v>
      </c>
      <c r="O108" s="7"/>
      <c r="P108" s="7"/>
      <c r="Q108" s="23"/>
      <c r="R108" s="23"/>
      <c r="S108" s="35">
        <f t="shared" si="37"/>
        <v>1</v>
      </c>
      <c r="T108" s="50" t="str">
        <f t="shared" si="38"/>
        <v>NorthBound</v>
      </c>
      <c r="U108" s="144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https://search-rtdc-monitor-bjffxe2xuh6vdkpspy63sjmuny.us-east-1.es.amazonaws.com/_plugin/kibana/#/discover/Steve-Slow-Train-Analysis-(2080s-and-2083s)?_g=(refreshInterval:(display:Off,section:0,value:0),time:(from:'2016-10-15 14:26:02-0600',mode:absolute,to:'2016-10-15 17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8" s="52" t="str">
        <f t="shared" si="40"/>
        <v>N</v>
      </c>
      <c r="X108" s="149">
        <f t="shared" si="41"/>
        <v>1</v>
      </c>
      <c r="Y108" s="67">
        <f t="shared" si="42"/>
        <v>4.5999999999999999E-2</v>
      </c>
      <c r="Z108" s="67">
        <f t="shared" si="43"/>
        <v>23.328900000000001</v>
      </c>
      <c r="AA108" s="67">
        <f t="shared" si="44"/>
        <v>23.282900000000001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45"/>
        <v>0195-15</v>
      </c>
      <c r="AE108" s="91" t="str">
        <f t="shared" si="46"/>
        <v>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 &amp; aws s3 cp s3://rtdc.mdm.uploadarchive.raw/RTDC4020/ "%USERPROFILE%\AppData\Local\Temp\OnboardLogs"\RTDC4020\2016-10-16 --exclude "*" --recursive --include "*20161016*" &amp; "%USERPROFILE%\Documents\GitHub\mrs-test-scripts\Headless Mode &amp; Sideloading\WalkAndUnGZ.bat" "%USERPROFILE%\AppData\Local\Temp\OnboardLogs"\RTDC4020\2016-10-16</v>
      </c>
      <c r="AF108" s="88" t="str">
        <f t="shared" si="47"/>
        <v>"C:\Program Files (x86)\AstroGrep\AstroGrep.exe" /spath="%USERPROFILE%\AppData\Local\Temp\OnboardLogs" /stypes="app*4020*20161015*" /stext=" 22:.+((SYSTEM_STATE.+slice.+state.+changed )|(ment ac)|(system.+state.+changed )|(\[timeout)|(PRM\|1\|D)|(kpr)|(kdp)|(\|lc)|(penalty))" /e /r /s</v>
      </c>
      <c r="AG108" s="1" t="str">
        <f t="shared" si="48"/>
        <v>EC</v>
      </c>
      <c r="AH108" s="92" t="str">
        <f t="shared" si="49"/>
        <v>"%USERPROFILE%\Documents\GitHub\eaglep3\Utilities\RefineRTDCRunTimes.py" --tripid 195-15 --locoid 4020 --swversion DE.1.0.7.0 --startMP 204:460 --initTime 2016-10-15T15:26:02 --startdatetime 2016-10-15T15:30:22 --delay 1 --endMP 204:233289 --enddatetime 2016-10-15T16:08:18 --enforcementcount 0 &gt;&gt;C:\Users\stu\Documents\GitHub\eaglep3-reporting\EC\2016-10-15-refined-times.txt</v>
      </c>
      <c r="AI108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{"issue":{"subject":"","project_id":79,"tracker_id":40,"status_id":1,"priority_id":2,"assigned_to_id":23,"start_date":"2016-10-15","description":"","custom_fields":[{"id":1,"name":"Subdivision","value":"EC"},{"id":4,"name":"Milepost","value":"23.3289"},{"id":17,"name":"Train ID","value":"195-15"},{"id":16,"name":"Locomotive ID","value":"4020"},{"id":130,"name":"Impact","value":""},{"id":150,"name":"Time of Event (Mountain Time)","value":"16:08:18"},{"id":151,"name":"Denver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x14ac:dyDescent="0.25">
      <c r="A109" s="37" t="s">
        <v>571</v>
      </c>
      <c r="B109" s="7">
        <v>4019</v>
      </c>
      <c r="C109" s="22" t="s">
        <v>99</v>
      </c>
      <c r="D109" s="22" t="s">
        <v>403</v>
      </c>
      <c r="E109" s="13">
        <v>42658.679548611108</v>
      </c>
      <c r="F109" s="13">
        <v>42658.684953703705</v>
      </c>
      <c r="G109" s="7">
        <v>6</v>
      </c>
      <c r="H109" s="13" t="s">
        <v>176</v>
      </c>
      <c r="I109" s="13">
        <v>42658.712777777779</v>
      </c>
      <c r="J109" s="7">
        <v>0</v>
      </c>
      <c r="K109" s="112" t="str">
        <f t="shared" ref="K109:K140" si="51">IF(ISEVEN(B109),(B109-1)&amp;"/"&amp;B109,B109&amp;"/"&amp;(B109+1))</f>
        <v>4019/4020</v>
      </c>
      <c r="L109" s="22" t="str">
        <f>VLOOKUP(A109,'Trips&amp;Operators'!$C$1:$E$10000,3,FALSE)</f>
        <v>BRUDER</v>
      </c>
      <c r="M109" s="6">
        <f t="shared" ref="M109:M140" si="52">I109-F109</f>
        <v>2.7824074073578231E-2</v>
      </c>
      <c r="N109" s="7">
        <f t="shared" ref="N109:P140" si="53">24*60*SUM($M109:$M109)</f>
        <v>40.066666665952653</v>
      </c>
      <c r="O109" s="7"/>
      <c r="P109" s="7"/>
      <c r="Q109" s="23"/>
      <c r="R109" s="23"/>
      <c r="S109" s="35">
        <f t="shared" ref="S109:S140" si="54">SUM(U109:U109)/IF(AG109="EC",12,1)</f>
        <v>1</v>
      </c>
      <c r="T109" s="50" t="str">
        <f t="shared" ref="T109:T141" si="55">IF(ISEVEN(LEFT(AD109,4)),"Southbound","NorthBound")</f>
        <v>Southbound</v>
      </c>
      <c r="U109" s="144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ref="V109:V140" si="56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https://search-rtdc-monitor-bjffxe2xuh6vdkpspy63sjmuny.us-east-1.es.amazonaws.com/_plugin/kibana/#/discover/Steve-Slow-Train-Analysis-(2080s-and-2083s)?_g=(refreshInterval:(display:Off,section:0,value:0),time:(from:'2016-10-15 15:18:33-0600',mode:absolute,to:'2016-10-15 18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9" s="52" t="str">
        <f t="shared" ref="W109:W140" si="57">IF(AA109&lt;IF(AG109="EC",23,5.65),"Y","N")</f>
        <v>N</v>
      </c>
      <c r="X109" s="149">
        <f t="shared" ref="X109:X168" si="58">VALUE(LEFT(AD109,4))-VALUE(LEFT(AD108,4))</f>
        <v>1</v>
      </c>
      <c r="Y109" s="67">
        <f t="shared" ref="Y109:Y140" si="59">RIGHT(D109,LEN(D109)-4)/10000</f>
        <v>23.2987</v>
      </c>
      <c r="Z109" s="67">
        <f t="shared" ref="Z109:Z140" si="60">RIGHT(H109,LEN(H109)-4)/10000</f>
        <v>1.47E-2</v>
      </c>
      <c r="AA109" s="67">
        <f t="shared" ref="AA109:AA140" si="61">ABS(Z109-Y109)</f>
        <v>23.283999999999999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ref="AD109:AD154" si="62">IF(LEN(A109)=6,"0"&amp;A109,A109)</f>
        <v>0196-15</v>
      </c>
      <c r="AE109" s="91" t="str">
        <f t="shared" ref="AE109:AE138" si="63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 &amp; aws s3 cp s3://rtdc.mdm.uploadarchive.raw/RTDC4019/ "%USERPROFILE%\AppData\Local\Temp\OnboardLogs"\RTDC4019\2016-10-16 --exclude "*" --recursive --include "*20161016*" &amp; "%USERPROFILE%\Documents\GitHub\mrs-test-scripts\Headless Mode &amp; Sideloading\WalkAndUnGZ.bat" "%USERPROFILE%\AppData\Local\Temp\OnboardLogs"\RTDC4019\2016-10-16</v>
      </c>
      <c r="AF109" s="88" t="str">
        <f t="shared" ref="AF109:AF138" si="64"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/stypes="app*4019*20161015*" /stext=" 23:.+((SYSTEM_STATE.+slice.+state.+changed )|(ment ac)|(system.+state.+changed )|(\[timeout)|(PRM\|1\|D)|(kpr)|(kdp)|(\|lc)|(penalty))" /e /r /s</v>
      </c>
      <c r="AG109" s="1" t="str">
        <f t="shared" ref="AG109:AG152" si="65">IFERROR(IF(VALUE(LEFT(AD109,2))&lt;=2,"EC",IF(OR(VALUE(LEFT(AD109,2))=8,VALUE(LEFT(AD109,2))=18),"NW","Other")),"Other")</f>
        <v>EC</v>
      </c>
      <c r="AH109" s="92" t="str">
        <f t="shared" si="49"/>
        <v>"%USERPROFILE%\Documents\GitHub\eaglep3\Utilities\RefineRTDCRunTimes.py" --tripid 196-15 --locoid 4019 --swversion DE.1.0.7.0 --startMP 204:232987 --initTime 2016-10-15T16:18:33 --startdatetime 2016-10-15T16:26:20 --delay 6 --endMP 204:147 --enddatetime 2016-10-15T17:06:24 --enforcementcount 0 &gt;&gt;C:\Users\stu\Documents\GitHub\eaglep3-reporting\EC\2016-10-15-refined-times.txt</v>
      </c>
      <c r="AI109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{"issue":{"subject":"","project_id":79,"tracker_id":40,"status_id":1,"priority_id":2,"assigned_to_id":23,"start_date":"2016-10-15","description":"","custom_fields":[{"id":1,"name":"Subdivision","value":"EC"},{"id":4,"name":"Milepost","value":"0.0147"},{"id":17,"name":"Train ID","value":"196-15"},{"id":16,"name":"Locomotive ID","value":"4019"},{"id":130,"name":"Impact","value":""},{"id":150,"name":"Time of Event (Mountain Time)","value":"17:06:24"},{"id":151,"name":"Denver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565</v>
      </c>
      <c r="B110" s="7">
        <v>4044</v>
      </c>
      <c r="C110" s="22" t="s">
        <v>99</v>
      </c>
      <c r="D110" s="22" t="s">
        <v>283</v>
      </c>
      <c r="E110" s="13">
        <v>42658.654826388891</v>
      </c>
      <c r="F110" s="13">
        <v>42658.657025462962</v>
      </c>
      <c r="G110" s="7">
        <v>1</v>
      </c>
      <c r="H110" s="13" t="s">
        <v>701</v>
      </c>
      <c r="I110" s="13">
        <v>42658.6875</v>
      </c>
      <c r="J110" s="7">
        <v>0</v>
      </c>
      <c r="K110" s="112" t="str">
        <f t="shared" si="51"/>
        <v>4043/4044</v>
      </c>
      <c r="L110" s="22" t="str">
        <f>VLOOKUP(A110,'Trips&amp;Operators'!$C$1:$E$10000,3,FALSE)</f>
        <v>PUGH</v>
      </c>
      <c r="M110" s="6">
        <f t="shared" si="52"/>
        <v>3.047453703766223E-2</v>
      </c>
      <c r="N110" s="7">
        <f t="shared" si="53"/>
        <v>43.883333334233612</v>
      </c>
      <c r="O110" s="7"/>
      <c r="P110" s="7"/>
      <c r="Q110" s="23"/>
      <c r="R110" s="23"/>
      <c r="S110" s="35">
        <f t="shared" si="54"/>
        <v>1</v>
      </c>
      <c r="T110" s="50" t="str">
        <f t="shared" si="55"/>
        <v>NorthBound</v>
      </c>
      <c r="U110" s="144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14:42:57-0600',mode:absolute,to:'2016-10-15 17:30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0" s="52" t="str">
        <f t="shared" si="57"/>
        <v>N</v>
      </c>
      <c r="X110" s="149">
        <f t="shared" si="58"/>
        <v>1</v>
      </c>
      <c r="Y110" s="67">
        <f t="shared" si="59"/>
        <v>4.6899999999999997E-2</v>
      </c>
      <c r="Z110" s="67">
        <f t="shared" si="60"/>
        <v>23.332599999999999</v>
      </c>
      <c r="AA110" s="67">
        <f t="shared" si="61"/>
        <v>23.285699999999999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62"/>
        <v>0197-15</v>
      </c>
      <c r="AE110" s="91" t="str">
        <f t="shared" si="63"/>
        <v>aws s3 cp s3://rtdc.mdm.uploadarchive.raw/RTDC4044/ "%USERPROFILE%\AppData\Local\Temp\OnboardLogs"\RTDC4044\2016-10-15 --exclude "*" --recursive --include "*20161015*" &amp; "%USERPROFILE%\Documents\GitHub\mrs-test-scripts\Headless Mode &amp; Sideloading\WalkAndUnGZ.bat" "%USERPROFILE%\AppData\Local\Temp\OnboardLogs"\RTDC4044\2016-10-15 &amp; 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</v>
      </c>
      <c r="AF110" s="88" t="str">
        <f t="shared" si="64"/>
        <v>"C:\Program Files (x86)\AstroGrep\AstroGrep.exe" /spath="%USERPROFILE%\AppData\Local\Temp\OnboardLogs" /stypes="app*4044*20161015*" /stext=" 22:.+((SYSTEM_STATE.+slice.+state.+changed )|(ment ac)|(system.+state.+changed )|(\[timeout)|(PRM\|1\|D)|(kpr)|(kdp)|(\|lc)|(penalty))" /e /r /s</v>
      </c>
      <c r="AG110" s="1" t="str">
        <f t="shared" si="65"/>
        <v>EC</v>
      </c>
      <c r="AH110" s="92" t="str">
        <f t="shared" si="49"/>
        <v>"%USERPROFILE%\Documents\GitHub\eaglep3\Utilities\RefineRTDCRunTimes.py" --tripid 197-15 --locoid 4044 --swversion DE.1.0.7.0 --startMP 204:469 --initTime 2016-10-15T15:42:57 --startdatetime 2016-10-15T15:46:07 --delay 1 --endMP 204:233326 --enddatetime 2016-10-15T16:30:00 --enforcementcount 0 &gt;&gt;C:\Users\stu\Documents\GitHub\eaglep3-reporting\EC\2016-10-15-refined-times.txt</v>
      </c>
      <c r="AI110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{"issue":{"subject":"","project_id":79,"tracker_id":40,"status_id":1,"priority_id":2,"assigned_to_id":23,"start_date":"2016-10-15","description":"","custom_fields":[{"id":1,"name":"Subdivision","value":"EC"},{"id":4,"name":"Milepost","value":"23.3326"},{"id":17,"name":"Train ID","value":"197-15"},{"id":16,"name":"Locomotive ID","value":"4044"},{"id":130,"name":"Impact","value":""},{"id":150,"name":"Time of Event (Mountain Time)","value":"16:30:00"},{"id":151,"name":"Denver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446</v>
      </c>
      <c r="B111" s="7">
        <v>4043</v>
      </c>
      <c r="C111" s="22" t="s">
        <v>99</v>
      </c>
      <c r="D111" s="22" t="s">
        <v>322</v>
      </c>
      <c r="E111" s="13">
        <v>42658.689849537041</v>
      </c>
      <c r="F111" s="13">
        <v>42658.695381944446</v>
      </c>
      <c r="G111" s="7">
        <v>1</v>
      </c>
      <c r="H111" s="13" t="s">
        <v>648</v>
      </c>
      <c r="I111" s="13">
        <v>42658.722881944443</v>
      </c>
      <c r="J111" s="7">
        <v>0</v>
      </c>
      <c r="K111" s="112" t="str">
        <f t="shared" si="51"/>
        <v>4043/4044</v>
      </c>
      <c r="L111" s="22" t="str">
        <f>VLOOKUP(A111,'Trips&amp;Operators'!$C$1:$E$10000,3,FALSE)</f>
        <v>PUGH</v>
      </c>
      <c r="M111" s="6">
        <f t="shared" si="52"/>
        <v>2.749999999650754E-2</v>
      </c>
      <c r="N111" s="7">
        <f t="shared" si="53"/>
        <v>39.599999994970858</v>
      </c>
      <c r="O111" s="7"/>
      <c r="P111" s="7"/>
      <c r="Q111" s="23"/>
      <c r="R111" s="23"/>
      <c r="S111" s="35">
        <f t="shared" si="54"/>
        <v>1</v>
      </c>
      <c r="T111" s="50" t="str">
        <f t="shared" si="55"/>
        <v>Southbound</v>
      </c>
      <c r="U111" s="144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15:33:23-0600',mode:absolute,to:'2016-10-15 18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1" s="52" t="str">
        <f t="shared" si="57"/>
        <v>N</v>
      </c>
      <c r="X111" s="149">
        <f t="shared" si="58"/>
        <v>1</v>
      </c>
      <c r="Y111" s="67">
        <f t="shared" si="59"/>
        <v>23.298400000000001</v>
      </c>
      <c r="Z111" s="67">
        <f t="shared" si="60"/>
        <v>1.5800000000000002E-2</v>
      </c>
      <c r="AA111" s="67">
        <f t="shared" si="61"/>
        <v>23.282600000000002</v>
      </c>
      <c r="AB111" s="64" t="str">
        <f>VLOOKUP(A111,Enforcements!$C$7:$K$21,8,0)</f>
        <v>Signal based authority (5)</v>
      </c>
      <c r="AC111" s="60" t="str">
        <f>VLOOKUP(A111,Enforcements!$C$7:$E$21,3,0)</f>
        <v>SIGNAL</v>
      </c>
      <c r="AD111" s="61" t="str">
        <f t="shared" si="62"/>
        <v>0198-15</v>
      </c>
      <c r="AE111" s="91" t="str">
        <f t="shared" si="63"/>
        <v>aws s3 cp s3://rtdc.mdm.uploadarchive.raw/RTDC4043/ "%USERPROFILE%\AppData\Local\Temp\OnboardLogs"\RTDC4043\2016-10-15 --exclude "*" --recursive --include "*20161015*" &amp; "%USERPROFILE%\Documents\GitHub\mrs-test-scripts\Headless Mode &amp; Sideloading\WalkAndUnGZ.bat" "%USERPROFILE%\AppData\Local\Temp\OnboardLogs"\RTDC4043\2016-10-15 &amp; 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</v>
      </c>
      <c r="AF111" s="88" t="str">
        <f t="shared" si="64"/>
        <v>"C:\Program Files (x86)\AstroGrep\AstroGrep.exe" /spath="%USERPROFILE%\AppData\Local\Temp\OnboardLogs" /stypes="app*4043*20161015*" /stext=" 23:.+((SYSTEM_STATE.+slice.+state.+changed )|(ment ac)|(system.+state.+changed )|(\[timeout)|(PRM\|1\|D)|(kpr)|(kdp)|(\|lc)|(penalty))" /e /r /s</v>
      </c>
      <c r="AG111" s="1" t="str">
        <f t="shared" si="65"/>
        <v>EC</v>
      </c>
      <c r="AH111" s="92" t="str">
        <f t="shared" si="49"/>
        <v>"%USERPROFILE%\Documents\GitHub\eaglep3\Utilities\RefineRTDCRunTimes.py" --tripid 198-15 --locoid 4043 --swversion DE.1.0.7.0 --startMP 204:232984 --initTime 2016-10-15T16:33:23 --startdatetime 2016-10-15T16:41:21 --delay 1 --endMP 204:158 --enddatetime 2016-10-15T17:20:57 --enforcementcount 0 &gt;&gt;C:\Users\stu\Documents\GitHub\eaglep3-reporting\EC\2016-10-15-refined-times.txt</v>
      </c>
      <c r="AI111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{"issue":{"subject":"","project_id":79,"tracker_id":40,"status_id":1,"priority_id":2,"assigned_to_id":23,"start_date":"2016-10-15","description":"","custom_fields":[{"id":1,"name":"Subdivision","value":"EC"},{"id":4,"name":"Milepost","value":"0.0158"},{"id":17,"name":"Train ID","value":"198-15"},{"id":16,"name":"Locomotive ID","value":"4043"},{"id":130,"name":"Impact","value":""},{"id":150,"name":"Time of Event (Mountain Time)","value":"17:20:57"},{"id":151,"name":"Denver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568</v>
      </c>
      <c r="B112" s="7">
        <v>4053</v>
      </c>
      <c r="C112" s="22" t="s">
        <v>99</v>
      </c>
      <c r="D112" s="22" t="s">
        <v>398</v>
      </c>
      <c r="E112" s="13">
        <v>42658.661215277774</v>
      </c>
      <c r="F112" s="13">
        <v>42658.667083333334</v>
      </c>
      <c r="G112" s="7">
        <v>2</v>
      </c>
      <c r="H112" s="13" t="s">
        <v>183</v>
      </c>
      <c r="I112" s="13">
        <v>42658.692835648151</v>
      </c>
      <c r="J112" s="7">
        <v>0</v>
      </c>
      <c r="K112" s="112" t="str">
        <f t="shared" si="51"/>
        <v>4053/4054</v>
      </c>
      <c r="L112" s="22" t="str">
        <f>VLOOKUP(A112,'Trips&amp;Operators'!$C$1:$E$10000,3,FALSE)</f>
        <v>STORY</v>
      </c>
      <c r="M112" s="6">
        <f t="shared" si="52"/>
        <v>2.5752314817509614E-2</v>
      </c>
      <c r="N112" s="7">
        <f t="shared" si="53"/>
        <v>37.083333337213844</v>
      </c>
      <c r="O112" s="7"/>
      <c r="P112" s="7"/>
      <c r="Q112" s="23"/>
      <c r="R112" s="23"/>
      <c r="S112" s="35">
        <f t="shared" si="54"/>
        <v>1</v>
      </c>
      <c r="T112" s="50" t="str">
        <f t="shared" si="55"/>
        <v>NorthBound</v>
      </c>
      <c r="U112" s="144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14:52:09-0600',mode:absolute,to:'2016-10-15 17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2" s="52" t="str">
        <f t="shared" si="57"/>
        <v>N</v>
      </c>
      <c r="X112" s="149">
        <f t="shared" si="58"/>
        <v>1</v>
      </c>
      <c r="Y112" s="67">
        <f t="shared" si="59"/>
        <v>4.4400000000000002E-2</v>
      </c>
      <c r="Z112" s="67">
        <f t="shared" si="60"/>
        <v>23.331199999999999</v>
      </c>
      <c r="AA112" s="67">
        <f t="shared" si="61"/>
        <v>23.286799999999999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62"/>
        <v>0199-15</v>
      </c>
      <c r="AE112" s="91" t="str">
        <f t="shared" si="63"/>
        <v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v>
      </c>
      <c r="AF112" s="88" t="str">
        <f t="shared" si="64"/>
        <v>"C:\Program Files (x86)\AstroGrep\AstroGrep.exe" /spath="%USERPROFILE%\AppData\Local\Temp\OnboardLogs" /stypes="app*4053*20161015*" /stext=" 22:.+((SYSTEM_STATE.+slice.+state.+changed )|(ment ac)|(system.+state.+changed )|(\[timeout)|(PRM\|1\|D)|(kpr)|(kdp)|(\|lc)|(penalty))" /e /r /s</v>
      </c>
      <c r="AG112" s="1" t="str">
        <f t="shared" si="65"/>
        <v>EC</v>
      </c>
      <c r="AH112" s="92" t="str">
        <f t="shared" si="49"/>
        <v>"%USERPROFILE%\Documents\GitHub\eaglep3\Utilities\RefineRTDCRunTimes.py" --tripid 199-15 --locoid 4053 --swversion DE.1.0.7.0 --startMP 204:444 --initTime 2016-10-15T15:52:09 --startdatetime 2016-10-15T16:00:36 --delay 2 --endMP 204:233312 --enddatetime 2016-10-15T16:37:41 --enforcementcount 0 &gt;&gt;C:\Users\stu\Documents\GitHub\eaglep3-reporting\EC\2016-10-15-refined-times.txt</v>
      </c>
      <c r="AI112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{"issue":{"subject":"","project_id":79,"tracker_id":40,"status_id":1,"priority_id":2,"assigned_to_id":23,"start_date":"2016-10-15","description":"","custom_fields":[{"id":1,"name":"Subdivision","value":"EC"},{"id":4,"name":"Milepost","value":"23.3312"},{"id":17,"name":"Train ID","value":"199-15"},{"id":16,"name":"Locomotive ID","value":"4053"},{"id":130,"name":"Impact","value":""},{"id":150,"name":"Time of Event (Mountain Time)","value":"16:37:41"},{"id":151,"name":"Denver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575</v>
      </c>
      <c r="B113" s="7">
        <v>4054</v>
      </c>
      <c r="C113" s="22" t="s">
        <v>99</v>
      </c>
      <c r="D113" s="22" t="s">
        <v>271</v>
      </c>
      <c r="E113" s="13">
        <v>42658.69699074074</v>
      </c>
      <c r="F113" s="13">
        <v>42658.706030092595</v>
      </c>
      <c r="G113" s="7">
        <v>1</v>
      </c>
      <c r="H113" s="13" t="s">
        <v>246</v>
      </c>
      <c r="I113" s="13">
        <v>42658.732222222221</v>
      </c>
      <c r="J113" s="7">
        <v>0</v>
      </c>
      <c r="K113" s="112" t="str">
        <f t="shared" si="51"/>
        <v>4053/4054</v>
      </c>
      <c r="L113" s="22" t="str">
        <f>VLOOKUP(A113,'Trips&amp;Operators'!$C$1:$E$10000,3,FALSE)</f>
        <v>STORY</v>
      </c>
      <c r="M113" s="6">
        <f t="shared" si="52"/>
        <v>2.619212962599704E-2</v>
      </c>
      <c r="N113" s="7">
        <f t="shared" si="53"/>
        <v>37.716666661435738</v>
      </c>
      <c r="O113" s="7"/>
      <c r="P113" s="7"/>
      <c r="Q113" s="23"/>
      <c r="R113" s="23"/>
      <c r="S113" s="35">
        <f t="shared" si="54"/>
        <v>1</v>
      </c>
      <c r="T113" s="50" t="str">
        <f t="shared" si="55"/>
        <v>Southbound</v>
      </c>
      <c r="U113" s="144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15:43:40-0600',mode:absolute,to:'2016-10-15 18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3" s="52" t="str">
        <f t="shared" si="57"/>
        <v>N</v>
      </c>
      <c r="X113" s="149">
        <f t="shared" si="58"/>
        <v>1</v>
      </c>
      <c r="Y113" s="67">
        <f t="shared" si="59"/>
        <v>23.299600000000002</v>
      </c>
      <c r="Z113" s="67">
        <f t="shared" si="60"/>
        <v>1.43E-2</v>
      </c>
      <c r="AA113" s="67">
        <f t="shared" si="61"/>
        <v>23.285300000000003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62"/>
        <v>0200-15</v>
      </c>
      <c r="AE113" s="91" t="str">
        <f t="shared" si="63"/>
        <v>aws s3 cp s3://rtdc.mdm.uploadarchive.raw/RTDC4054/ "%USERPROFILE%\AppData\Local\Temp\OnboardLogs"\RTDC4054\2016-10-15 --exclude "*" --recursive --include "*20161015*" &amp; "%USERPROFILE%\Documents\GitHub\mrs-test-scripts\Headless Mode &amp; Sideloading\WalkAndUnGZ.bat" "%USERPROFILE%\AppData\Local\Temp\OnboardLogs"\RTDC4054\2016-10-15 &amp; aws s3 cp s3://rtdc.mdm.uploadarchive.raw/RTDC4054/ "%USERPROFILE%\AppData\Local\Temp\OnboardLogs"\RTDC4054\2016-10-16 --exclude "*" --recursive --include "*20161016*" &amp; "%USERPROFILE%\Documents\GitHub\mrs-test-scripts\Headless Mode &amp; Sideloading\WalkAndUnGZ.bat" "%USERPROFILE%\AppData\Local\Temp\OnboardLogs"\RTDC4054\2016-10-16</v>
      </c>
      <c r="AF113" s="88" t="str">
        <f t="shared" si="64"/>
        <v>"C:\Program Files (x86)\AstroGrep\AstroGrep.exe" /spath="%USERPROFILE%\AppData\Local\Temp\OnboardLogs" /stypes="app*4054*20161015*" /stext=" 23:.+((SYSTEM_STATE.+slice.+state.+changed )|(ment ac)|(system.+state.+changed )|(\[timeout)|(PRM\|1\|D)|(kpr)|(kdp)|(\|lc)|(penalty))" /e /r /s</v>
      </c>
      <c r="AG113" s="1" t="str">
        <f t="shared" si="65"/>
        <v>EC</v>
      </c>
      <c r="AH113" s="92" t="str">
        <f t="shared" si="49"/>
        <v>"%USERPROFILE%\Documents\GitHub\eaglep3\Utilities\RefineRTDCRunTimes.py" --tripid 200-15 --locoid 4054 --swversion DE.1.0.7.0 --startMP 204:232996 --initTime 2016-10-15T16:43:40 --startdatetime 2016-10-15T16:56:41 --delay 1 --endMP 204:143 --enddatetime 2016-10-15T17:34:24 --enforcementcount 0 &gt;&gt;C:\Users\stu\Documents\GitHub\eaglep3-reporting\EC\2016-10-15-refined-times.txt</v>
      </c>
      <c r="AI113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{"issue":{"subject":"","project_id":79,"tracker_id":40,"status_id":1,"priority_id":2,"assigned_to_id":23,"start_date":"2016-10-15","description":"","custom_fields":[{"id":1,"name":"Subdivision","value":"EC"},{"id":4,"name":"Milepost","value":"0.0143"},{"id":17,"name":"Train ID","value":"200-15"},{"id":16,"name":"Locomotive ID","value":"4054"},{"id":130,"name":"Impact","value":""},{"id":150,"name":"Time of Event (Mountain Time)","value":"17:34:24"},{"id":151,"name":"Denver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570</v>
      </c>
      <c r="B114" s="7">
        <v>4038</v>
      </c>
      <c r="C114" s="22" t="s">
        <v>99</v>
      </c>
      <c r="D114" s="22" t="s">
        <v>257</v>
      </c>
      <c r="E114" s="13">
        <v>42658.67224537037</v>
      </c>
      <c r="F114" s="13">
        <v>42658.677384259259</v>
      </c>
      <c r="G114" s="7">
        <v>2</v>
      </c>
      <c r="H114" s="13" t="s">
        <v>198</v>
      </c>
      <c r="I114" s="13">
        <v>42658.702465277776</v>
      </c>
      <c r="J114" s="7">
        <v>0</v>
      </c>
      <c r="K114" s="112" t="str">
        <f t="shared" si="51"/>
        <v>4037/4038</v>
      </c>
      <c r="L114" s="22" t="str">
        <f>VLOOKUP(A114,'Trips&amp;Operators'!$C$1:$E$10000,3,FALSE)</f>
        <v>STEWART</v>
      </c>
      <c r="M114" s="6">
        <f t="shared" si="52"/>
        <v>2.5081018517084885E-2</v>
      </c>
      <c r="N114" s="7">
        <f t="shared" si="53"/>
        <v>36.116666664602235</v>
      </c>
      <c r="O114" s="7"/>
      <c r="P114" s="7"/>
      <c r="Q114" s="23"/>
      <c r="R114" s="23"/>
      <c r="S114" s="35">
        <f t="shared" si="54"/>
        <v>1</v>
      </c>
      <c r="T114" s="50" t="str">
        <f t="shared" si="55"/>
        <v>NorthBound</v>
      </c>
      <c r="U114" s="144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15:08:02-0600',mode:absolute,to:'2016-10-15 17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4" s="52" t="str">
        <f t="shared" si="57"/>
        <v>N</v>
      </c>
      <c r="X114" s="149">
        <f t="shared" si="58"/>
        <v>1</v>
      </c>
      <c r="Y114" s="67">
        <f t="shared" si="59"/>
        <v>4.5499999999999999E-2</v>
      </c>
      <c r="Z114" s="67">
        <f t="shared" si="60"/>
        <v>23.329699999999999</v>
      </c>
      <c r="AA114" s="67">
        <f t="shared" si="61"/>
        <v>23.284199999999998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62"/>
        <v>0201-15</v>
      </c>
      <c r="AE114" s="91" t="str">
        <f t="shared" si="63"/>
        <v>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 &amp; aws s3 cp s3://rtdc.mdm.uploadarchive.raw/RTDC4038/ "%USERPROFILE%\AppData\Local\Temp\OnboardLogs"\RTDC4038\2016-10-16 --exclude "*" --recursive --include "*20161016*" &amp; "%USERPROFILE%\Documents\GitHub\mrs-test-scripts\Headless Mode &amp; Sideloading\WalkAndUnGZ.bat" "%USERPROFILE%\AppData\Local\Temp\OnboardLogs"\RTDC4038\2016-10-16</v>
      </c>
      <c r="AF114" s="88" t="str">
        <f t="shared" si="64"/>
        <v>"C:\Program Files (x86)\AstroGrep\AstroGrep.exe" /spath="%USERPROFILE%\AppData\Local\Temp\OnboardLogs" /stypes="app*4038*20161015*" /stext=" 22:.+((SYSTEM_STATE.+slice.+state.+changed )|(ment ac)|(system.+state.+changed )|(\[timeout)|(PRM\|1\|D)|(kpr)|(kdp)|(\|lc)|(penalty))" /e /r /s</v>
      </c>
      <c r="AG114" s="1" t="str">
        <f t="shared" si="65"/>
        <v>EC</v>
      </c>
      <c r="AH114" s="92" t="str">
        <f t="shared" si="49"/>
        <v>"%USERPROFILE%\Documents\GitHub\eaglep3\Utilities\RefineRTDCRunTimes.py" --tripid 201-15 --locoid 4038 --swversion DE.1.0.7.0 --startMP 204:455 --initTime 2016-10-15T16:08:02 --startdatetime 2016-10-15T16:15:26 --delay 2 --endMP 204:233297 --enddatetime 2016-10-15T16:51:33 --enforcementcount 0 &gt;&gt;C:\Users\stu\Documents\GitHub\eaglep3-reporting\EC\2016-10-15-refined-times.txt</v>
      </c>
      <c r="AI114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{"issue":{"subject":"","project_id":79,"tracker_id":40,"status_id":1,"priority_id":2,"assigned_to_id":23,"start_date":"2016-10-15","description":"","custom_fields":[{"id":1,"name":"Subdivision","value":"EC"},{"id":4,"name":"Milepost","value":"23.3297"},{"id":17,"name":"Train ID","value":"201-15"},{"id":16,"name":"Locomotive ID","value":"4038"},{"id":130,"name":"Impact","value":""},{"id":150,"name":"Time of Event (Mountain Time)","value":"16:51:33"},{"id":151,"name":"Denver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447</v>
      </c>
      <c r="B115" s="7">
        <v>4037</v>
      </c>
      <c r="C115" s="22" t="s">
        <v>99</v>
      </c>
      <c r="D115" s="22" t="s">
        <v>702</v>
      </c>
      <c r="E115" s="13">
        <v>42658.710300925923</v>
      </c>
      <c r="F115" s="13">
        <v>42658.716319444444</v>
      </c>
      <c r="G115" s="7">
        <v>2</v>
      </c>
      <c r="H115" s="13" t="s">
        <v>275</v>
      </c>
      <c r="I115" s="13">
        <v>42658.743796296294</v>
      </c>
      <c r="J115" s="7">
        <v>0</v>
      </c>
      <c r="K115" s="112" t="str">
        <f t="shared" si="51"/>
        <v>4037/4038</v>
      </c>
      <c r="L115" s="22" t="str">
        <f>VLOOKUP(A115,'Trips&amp;Operators'!$C$1:$E$10000,3,FALSE)</f>
        <v>STEWART</v>
      </c>
      <c r="M115" s="6">
        <f t="shared" si="52"/>
        <v>2.7476851850224193E-2</v>
      </c>
      <c r="N115" s="7">
        <f t="shared" si="53"/>
        <v>39.566666664322838</v>
      </c>
      <c r="O115" s="7"/>
      <c r="P115" s="7"/>
      <c r="Q115" s="23"/>
      <c r="R115" s="23"/>
      <c r="S115" s="35">
        <f t="shared" si="54"/>
        <v>1</v>
      </c>
      <c r="T115" s="50" t="str">
        <f t="shared" si="55"/>
        <v>Southbound</v>
      </c>
      <c r="U115" s="144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16:02:50-0600',mode:absolute,to:'2016-10-15 18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5" s="52" t="str">
        <f t="shared" si="57"/>
        <v>N</v>
      </c>
      <c r="X115" s="149">
        <f t="shared" si="58"/>
        <v>1</v>
      </c>
      <c r="Y115" s="67">
        <f t="shared" si="59"/>
        <v>23.2973</v>
      </c>
      <c r="Z115" s="67">
        <f t="shared" si="60"/>
        <v>1.6E-2</v>
      </c>
      <c r="AA115" s="67">
        <f t="shared" si="61"/>
        <v>23.281300000000002</v>
      </c>
      <c r="AB115" s="64" t="str">
        <f>VLOOKUP(A115,Enforcements!$C$7:$K$21,8,0)</f>
        <v>Signal based authority (5)</v>
      </c>
      <c r="AC115" s="60" t="str">
        <f>VLOOKUP(A115,Enforcements!$C$7:$E$21,3,0)</f>
        <v>SIGNAL</v>
      </c>
      <c r="AD115" s="61" t="str">
        <f t="shared" si="62"/>
        <v>0202-15</v>
      </c>
      <c r="AE115" s="91" t="str">
        <f t="shared" si="63"/>
        <v>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 &amp; aws s3 cp s3://rtdc.mdm.uploadarchive.raw/RTDC4037/ "%USERPROFILE%\AppData\Local\Temp\OnboardLogs"\RTDC4037\2016-10-16 --exclude "*" --recursive --include "*20161016*" &amp; "%USERPROFILE%\Documents\GitHub\mrs-test-scripts\Headless Mode &amp; Sideloading\WalkAndUnGZ.bat" "%USERPROFILE%\AppData\Local\Temp\OnboardLogs"\RTDC4037\2016-10-16</v>
      </c>
      <c r="AF115" s="88" t="str">
        <f t="shared" si="64"/>
        <v>"C:\Program Files (x86)\AstroGrep\AstroGrep.exe" /spath="%USERPROFILE%\AppData\Local\Temp\OnboardLogs" /stypes="app*4037*20161015*" /stext=" 23:.+((SYSTEM_STATE.+slice.+state.+changed )|(ment ac)|(system.+state.+changed )|(\[timeout)|(PRM\|1\|D)|(kpr)|(kdp)|(\|lc)|(penalty))" /e /r /s</v>
      </c>
      <c r="AG115" s="1" t="str">
        <f t="shared" si="65"/>
        <v>EC</v>
      </c>
      <c r="AH115" s="92" t="str">
        <f t="shared" si="49"/>
        <v>"%USERPROFILE%\Documents\GitHub\eaglep3\Utilities\RefineRTDCRunTimes.py" --tripid 202-15 --locoid 4037 --swversion DE.1.0.7.0 --startMP 204:232973 --initTime 2016-10-15T17:02:50 --startdatetime 2016-10-15T17:11:30 --delay 2 --endMP 204:160 --enddatetime 2016-10-15T17:51:04 --enforcementcount 0 &gt;&gt;C:\Users\stu\Documents\GitHub\eaglep3-reporting\EC\2016-10-15-refined-times.txt</v>
      </c>
      <c r="AI115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{"issue":{"subject":"","project_id":79,"tracker_id":40,"status_id":1,"priority_id":2,"assigned_to_id":23,"start_date":"2016-10-15","description":"","custom_fields":[{"id":1,"name":"Subdivision","value":"EC"},{"id":4,"name":"Milepost","value":"0.016"},{"id":17,"name":"Train ID","value":"202-15"},{"id":16,"name":"Locomotive ID","value":"4037"},{"id":130,"name":"Impact","value":""},{"id":150,"name":"Time of Event (Mountain Time)","value":"17:51:04"},{"id":151,"name":"Denver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572</v>
      </c>
      <c r="B116" s="7">
        <v>4003</v>
      </c>
      <c r="C116" s="22" t="s">
        <v>99</v>
      </c>
      <c r="D116" s="22" t="s">
        <v>277</v>
      </c>
      <c r="E116" s="13">
        <v>42658.682199074072</v>
      </c>
      <c r="F116" s="13">
        <v>42658.687685185185</v>
      </c>
      <c r="G116" s="7">
        <v>0</v>
      </c>
      <c r="H116" s="13" t="s">
        <v>645</v>
      </c>
      <c r="I116" s="13">
        <v>42658.712789351855</v>
      </c>
      <c r="J116" s="7">
        <v>0</v>
      </c>
      <c r="K116" s="112" t="str">
        <f t="shared" si="51"/>
        <v>4003/4004</v>
      </c>
      <c r="L116" s="22" t="str">
        <f>VLOOKUP(A116,'Trips&amp;Operators'!$C$1:$E$10000,3,FALSE)</f>
        <v>ISHMAEL</v>
      </c>
      <c r="M116" s="6">
        <f t="shared" si="52"/>
        <v>2.510416667064419E-2</v>
      </c>
      <c r="N116" s="7">
        <f t="shared" si="53"/>
        <v>36.150000005727634</v>
      </c>
      <c r="O116" s="7"/>
      <c r="P116" s="7"/>
      <c r="Q116" s="23"/>
      <c r="R116" s="23"/>
      <c r="S116" s="35">
        <f t="shared" si="54"/>
        <v>1</v>
      </c>
      <c r="T116" s="50" t="str">
        <f t="shared" si="55"/>
        <v>NorthBound</v>
      </c>
      <c r="U116" s="144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15:22:22-0600',mode:absolute,to:'2016-10-15 18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6" s="52" t="str">
        <f t="shared" si="57"/>
        <v>N</v>
      </c>
      <c r="X116" s="149">
        <f t="shared" si="58"/>
        <v>1</v>
      </c>
      <c r="Y116" s="67">
        <f t="shared" si="59"/>
        <v>4.5999999999999999E-2</v>
      </c>
      <c r="Z116" s="67">
        <f t="shared" si="60"/>
        <v>23.3308</v>
      </c>
      <c r="AA116" s="67">
        <f t="shared" si="61"/>
        <v>23.284800000000001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62"/>
        <v>0203-15</v>
      </c>
      <c r="AE116" s="91" t="str">
        <f t="shared" si="63"/>
        <v>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 &amp; aws s3 cp s3://rtdc.mdm.uploadarchive.raw/RTDC4003/ "%USERPROFILE%\AppData\Local\Temp\OnboardLogs"\RTDC4003\2016-10-16 --exclude "*" --recursive --include "*20161016*" &amp; "%USERPROFILE%\Documents\GitHub\mrs-test-scripts\Headless Mode &amp; Sideloading\WalkAndUnGZ.bat" "%USERPROFILE%\AppData\Local\Temp\OnboardLogs"\RTDC4003\2016-10-16</v>
      </c>
      <c r="AF116" s="88" t="str">
        <f t="shared" si="64"/>
        <v>"C:\Program Files (x86)\AstroGrep\AstroGrep.exe" /spath="%USERPROFILE%\AppData\Local\Temp\OnboardLogs" /stypes="app*4003*20161015*" /stext=" 23:.+((SYSTEM_STATE.+slice.+state.+changed )|(ment ac)|(system.+state.+changed )|(\[timeout)|(PRM\|1\|D)|(kpr)|(kdp)|(\|lc)|(penalty))" /e /r /s</v>
      </c>
      <c r="AG116" s="1" t="str">
        <f t="shared" si="65"/>
        <v>EC</v>
      </c>
      <c r="AH116" s="92" t="str">
        <f t="shared" si="49"/>
        <v>"%USERPROFILE%\Documents\GitHub\eaglep3\Utilities\RefineRTDCRunTimes.py" --tripid 203-15 --locoid 4003 --swversion DE.1.0.7.0 --startMP 204:460 --initTime 2016-10-15T16:22:22 --startdatetime 2016-10-15T16:30:16 --delay 0 --endMP 204:233308 --enddatetime 2016-10-15T17:06:25 --enforcementcount 0 &gt;&gt;C:\Users\stu\Documents\GitHub\eaglep3-reporting\EC\2016-10-15-refined-times.txt</v>
      </c>
      <c r="AI116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{"issue":{"subject":"","project_id":79,"tracker_id":40,"status_id":1,"priority_id":2,"assigned_to_id":23,"start_date":"2016-10-15","description":"","custom_fields":[{"id":1,"name":"Subdivision","value":"EC"},{"id":4,"name":"Milepost","value":"23.3308"},{"id":17,"name":"Train ID","value":"203-15"},{"id":16,"name":"Locomotive ID","value":"4003"},{"id":130,"name":"Impact","value":""},{"id":150,"name":"Time of Event (Mountain Time)","value":"17:06:25"},{"id":151,"name":"Denver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x14ac:dyDescent="0.25">
      <c r="A117" s="37" t="s">
        <v>580</v>
      </c>
      <c r="B117" s="7">
        <v>4004</v>
      </c>
      <c r="C117" s="22" t="s">
        <v>99</v>
      </c>
      <c r="D117" s="22" t="s">
        <v>239</v>
      </c>
      <c r="E117" s="13">
        <v>42658.718043981484</v>
      </c>
      <c r="F117" s="13">
        <v>42658.726585648146</v>
      </c>
      <c r="G117" s="7">
        <v>1</v>
      </c>
      <c r="H117" s="13" t="s">
        <v>275</v>
      </c>
      <c r="I117" s="13">
        <v>42658.753449074073</v>
      </c>
      <c r="J117" s="7">
        <v>0</v>
      </c>
      <c r="K117" s="112" t="str">
        <f t="shared" si="51"/>
        <v>4003/4004</v>
      </c>
      <c r="L117" s="22" t="str">
        <f>VLOOKUP(A117,'Trips&amp;Operators'!$C$1:$E$10000,3,FALSE)</f>
        <v>ISHMAEL</v>
      </c>
      <c r="M117" s="6">
        <f t="shared" si="52"/>
        <v>2.6863425926421769E-2</v>
      </c>
      <c r="N117" s="7">
        <f t="shared" si="53"/>
        <v>38.683333334047347</v>
      </c>
      <c r="O117" s="7"/>
      <c r="P117" s="7"/>
      <c r="Q117" s="23"/>
      <c r="R117" s="23"/>
      <c r="S117" s="35">
        <f t="shared" si="54"/>
        <v>1</v>
      </c>
      <c r="T117" s="50" t="str">
        <f t="shared" si="55"/>
        <v>Southbound</v>
      </c>
      <c r="U117" s="144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16:13:59-0600',mode:absolute,to:'2016-10-15 19:04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7" s="52" t="str">
        <f t="shared" si="57"/>
        <v>N</v>
      </c>
      <c r="X117" s="149">
        <f t="shared" si="58"/>
        <v>1</v>
      </c>
      <c r="Y117" s="67">
        <f t="shared" si="59"/>
        <v>23.298500000000001</v>
      </c>
      <c r="Z117" s="67">
        <f t="shared" si="60"/>
        <v>1.6E-2</v>
      </c>
      <c r="AA117" s="67">
        <f t="shared" si="61"/>
        <v>23.282500000000002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62"/>
        <v>0204-15</v>
      </c>
      <c r="AE117" s="91" t="str">
        <f t="shared" si="63"/>
        <v>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 &amp; aws s3 cp s3://rtdc.mdm.uploadarchive.raw/RTDC4004/ "%USERPROFILE%\AppData\Local\Temp\OnboardLogs"\RTDC4004\2016-10-16 --exclude "*" --recursive --include "*20161016*" &amp; "%USERPROFILE%\Documents\GitHub\mrs-test-scripts\Headless Mode &amp; Sideloading\WalkAndUnGZ.bat" "%USERPROFILE%\AppData\Local\Temp\OnboardLogs"\RTDC4004\2016-10-16</v>
      </c>
      <c r="AF117" s="88" t="str">
        <f t="shared" si="64"/>
        <v>"C:\Program Files (x86)\AstroGrep\AstroGrep.exe" /spath="%USERPROFILE%\AppData\Local\Temp\OnboardLogs" /stypes="app*4004*20161016*" /stext=" 00:.+((SYSTEM_STATE.+slice.+state.+changed )|(ment ac)|(system.+state.+changed )|(\[timeout)|(PRM\|1\|D)|(kpr)|(kdp)|(\|lc)|(penalty))" /e /r /s</v>
      </c>
      <c r="AG117" s="1" t="str">
        <f t="shared" si="65"/>
        <v>EC</v>
      </c>
      <c r="AH117" s="92" t="str">
        <f t="shared" si="49"/>
        <v>"%USERPROFILE%\Documents\GitHub\eaglep3\Utilities\RefineRTDCRunTimes.py" --tripid 204-15 --locoid 4004 --swversion DE.1.0.7.0 --startMP 204:232985 --initTime 2016-10-15T17:13:59 --startdatetime 2016-10-15T17:26:17 --delay 1 --endMP 204:160 --enddatetime 2016-10-15T18:04:58 --enforcementcount 0 &gt;&gt;C:\Users\stu\Documents\GitHub\eaglep3-reporting\EC\2016-10-15-refined-times.txt</v>
      </c>
      <c r="AI117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{"issue":{"subject":"","project_id":79,"tracker_id":40,"status_id":1,"priority_id":2,"assigned_to_id":23,"start_date":"2016-10-15","description":"","custom_fields":[{"id":1,"name":"Subdivision","value":"EC"},{"id":4,"name":"Milepost","value":"0.016"},{"id":17,"name":"Train ID","value":"204-15"},{"id":16,"name":"Locomotive ID","value":"4004"},{"id":130,"name":"Impact","value":""},{"id":150,"name":"Time of Event (Mountain Time)","value":"18:04:58"},{"id":151,"name":"Denver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</row>
    <row r="118" spans="1:91" s="21" customFormat="1" x14ac:dyDescent="0.25">
      <c r="A118" s="37" t="s">
        <v>574</v>
      </c>
      <c r="B118" s="7">
        <v>4016</v>
      </c>
      <c r="C118" s="22" t="s">
        <v>99</v>
      </c>
      <c r="D118" s="22" t="s">
        <v>251</v>
      </c>
      <c r="E118" s="13">
        <v>42658.69636574074</v>
      </c>
      <c r="F118" s="13">
        <v>42658.698263888888</v>
      </c>
      <c r="G118" s="7">
        <v>1</v>
      </c>
      <c r="H118" s="13" t="s">
        <v>703</v>
      </c>
      <c r="I118" s="13">
        <v>42658.723275462966</v>
      </c>
      <c r="J118" s="7">
        <v>0</v>
      </c>
      <c r="K118" s="112" t="str">
        <f t="shared" si="51"/>
        <v>4015/4016</v>
      </c>
      <c r="L118" s="22" t="str">
        <f>VLOOKUP(A118,'Trips&amp;Operators'!$C$1:$E$10000,3,FALSE)</f>
        <v>MOSES</v>
      </c>
      <c r="M118" s="6">
        <f t="shared" si="52"/>
        <v>2.5011574078234844E-2</v>
      </c>
      <c r="N118" s="7">
        <f t="shared" si="53"/>
        <v>36.016666672658175</v>
      </c>
      <c r="O118" s="7"/>
      <c r="P118" s="7"/>
      <c r="Q118" s="23"/>
      <c r="R118" s="23"/>
      <c r="S118" s="35">
        <f t="shared" si="54"/>
        <v>1</v>
      </c>
      <c r="T118" s="50" t="str">
        <f t="shared" si="55"/>
        <v>NorthBound</v>
      </c>
      <c r="U118" s="144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15:42:46-0600',mode:absolute,to:'2016-10-15 18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8" s="52" t="str">
        <f t="shared" si="57"/>
        <v>N</v>
      </c>
      <c r="X118" s="149">
        <f t="shared" si="58"/>
        <v>1</v>
      </c>
      <c r="Y118" s="67">
        <f t="shared" si="59"/>
        <v>4.4699999999999997E-2</v>
      </c>
      <c r="Z118" s="67">
        <f t="shared" si="60"/>
        <v>23.327400000000001</v>
      </c>
      <c r="AA118" s="67">
        <f t="shared" si="61"/>
        <v>23.282700000000002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62"/>
        <v>0205-15</v>
      </c>
      <c r="AE118" s="91" t="str">
        <f t="shared" si="63"/>
        <v>aws s3 cp s3://rtdc.mdm.uploadarchive.raw/RTDC4016/ "%USERPROFILE%\AppData\Local\Temp\OnboardLogs"\RTDC4016\2016-10-15 --exclude "*" --recursive --include "*20161015*" &amp; "%USERPROFILE%\Documents\GitHub\mrs-test-scripts\Headless Mode &amp; Sideloading\WalkAndUnGZ.bat" "%USERPROFILE%\AppData\Local\Temp\OnboardLogs"\RTDC4016\2016-10-15 &amp; aws s3 cp s3://rtdc.mdm.uploadarchive.raw/RTDC4016/ "%USERPROFILE%\AppData\Local\Temp\OnboardLogs"\RTDC4016\2016-10-16 --exclude "*" --recursive --include "*20161016*" &amp; "%USERPROFILE%\Documents\GitHub\mrs-test-scripts\Headless Mode &amp; Sideloading\WalkAndUnGZ.bat" "%USERPROFILE%\AppData\Local\Temp\OnboardLogs"\RTDC4016\2016-10-16</v>
      </c>
      <c r="AF118" s="88" t="str">
        <f t="shared" si="64"/>
        <v>"C:\Program Files (x86)\AstroGrep\AstroGrep.exe" /spath="%USERPROFILE%\AppData\Local\Temp\OnboardLogs" /stypes="app*4016*20161015*" /stext=" 23:.+((SYSTEM_STATE.+slice.+state.+changed )|(ment ac)|(system.+state.+changed )|(\[timeout)|(PRM\|1\|D)|(kpr)|(kdp)|(\|lc)|(penalty))" /e /r /s</v>
      </c>
      <c r="AG118" s="1" t="str">
        <f t="shared" si="65"/>
        <v>EC</v>
      </c>
      <c r="AH118" s="92" t="str">
        <f t="shared" si="49"/>
        <v>"%USERPROFILE%\Documents\GitHub\eaglep3\Utilities\RefineRTDCRunTimes.py" --tripid 205-15 --locoid 4016 --swversion DE.1.0.7.0 --startMP 204:447 --initTime 2016-10-15T16:42:46 --startdatetime 2016-10-15T16:45:30 --delay 1 --endMP 204:233274 --enddatetime 2016-10-15T17:21:31 --enforcementcount 0 &gt;&gt;C:\Users\stu\Documents\GitHub\eaglep3-reporting\EC\2016-10-15-refined-times.txt</v>
      </c>
      <c r="AI118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{"issue":{"subject":"","project_id":79,"tracker_id":40,"status_id":1,"priority_id":2,"assigned_to_id":23,"start_date":"2016-10-15","description":"","custom_fields":[{"id":1,"name":"Subdivision","value":"EC"},{"id":4,"name":"Milepost","value":"23.3274"},{"id":17,"name":"Train ID","value":"205-15"},{"id":16,"name":"Locomotive ID","value":"4016"},{"id":130,"name":"Impact","value":""},{"id":150,"name":"Time of Event (Mountain Time)","value":"17:21:31"},{"id":151,"name":"Denver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582</v>
      </c>
      <c r="B119" s="7">
        <v>4015</v>
      </c>
      <c r="C119" s="22" t="s">
        <v>99</v>
      </c>
      <c r="D119" s="22" t="s">
        <v>401</v>
      </c>
      <c r="E119" s="13">
        <v>42658.730162037034</v>
      </c>
      <c r="F119" s="13">
        <v>42658.737118055556</v>
      </c>
      <c r="G119" s="7">
        <v>2</v>
      </c>
      <c r="H119" s="13" t="s">
        <v>244</v>
      </c>
      <c r="I119" s="13">
        <v>42658.764675925922</v>
      </c>
      <c r="J119" s="7">
        <v>0</v>
      </c>
      <c r="K119" s="112" t="str">
        <f t="shared" si="51"/>
        <v>4015/4016</v>
      </c>
      <c r="L119" s="22" t="str">
        <f>VLOOKUP(A119,'Trips&amp;Operators'!$C$1:$E$10000,3,FALSE)</f>
        <v>MOSES</v>
      </c>
      <c r="M119" s="6">
        <f t="shared" si="52"/>
        <v>2.7557870365853887E-2</v>
      </c>
      <c r="N119" s="7">
        <f t="shared" si="53"/>
        <v>39.683333326829597</v>
      </c>
      <c r="O119" s="7"/>
      <c r="P119" s="7"/>
      <c r="Q119" s="23"/>
      <c r="R119" s="23"/>
      <c r="S119" s="35">
        <f t="shared" si="54"/>
        <v>1</v>
      </c>
      <c r="T119" s="50" t="str">
        <f t="shared" si="55"/>
        <v>Southbound</v>
      </c>
      <c r="U119" s="144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16:31:26-0600',mode:absolute,to:'2016-10-15 19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9" s="52" t="str">
        <f t="shared" si="57"/>
        <v>N</v>
      </c>
      <c r="X119" s="149">
        <f t="shared" si="58"/>
        <v>1</v>
      </c>
      <c r="Y119" s="67">
        <f t="shared" si="59"/>
        <v>23.295300000000001</v>
      </c>
      <c r="Z119" s="67">
        <f t="shared" si="60"/>
        <v>1.49E-2</v>
      </c>
      <c r="AA119" s="67">
        <f t="shared" si="61"/>
        <v>23.2804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62"/>
        <v>0206-15</v>
      </c>
      <c r="AE119" s="91" t="str">
        <f t="shared" si="63"/>
        <v>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 &amp; aws s3 cp s3://rtdc.mdm.uploadarchive.raw/RTDC4015/ "%USERPROFILE%\AppData\Local\Temp\OnboardLogs"\RTDC4015\2016-10-16 --exclude "*" --recursive --include "*20161016*" &amp; "%USERPROFILE%\Documents\GitHub\mrs-test-scripts\Headless Mode &amp; Sideloading\WalkAndUnGZ.bat" "%USERPROFILE%\AppData\Local\Temp\OnboardLogs"\RTDC4015\2016-10-16</v>
      </c>
      <c r="AF119" s="88" t="str">
        <f t="shared" si="64"/>
        <v>"C:\Program Files (x86)\AstroGrep\AstroGrep.exe" /spath="%USERPROFILE%\AppData\Local\Temp\OnboardLogs" /stypes="app*4015*20161016*" /stext=" 00:.+((SYSTEM_STATE.+slice.+state.+changed )|(ment ac)|(system.+state.+changed )|(\[timeout)|(PRM\|1\|D)|(kpr)|(kdp)|(\|lc)|(penalty))" /e /r /s</v>
      </c>
      <c r="AG119" s="1" t="str">
        <f t="shared" si="65"/>
        <v>EC</v>
      </c>
      <c r="AH119" s="92" t="str">
        <f t="shared" si="49"/>
        <v>"%USERPROFILE%\Documents\GitHub\eaglep3\Utilities\RefineRTDCRunTimes.py" --tripid 206-15 --locoid 4015 --swversion DE.1.0.7.0 --startMP 204:232953 --initTime 2016-10-15T17:31:26 --startdatetime 2016-10-15T17:41:27 --delay 2 --endMP 204:149 --enddatetime 2016-10-15T18:21:08 --enforcementcount 0 &gt;&gt;C:\Users\stu\Documents\GitHub\eaglep3-reporting\EC\2016-10-15-refined-times.txt</v>
      </c>
      <c r="AI119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{"issue":{"subject":"","project_id":79,"tracker_id":40,"status_id":1,"priority_id":2,"assigned_to_id":23,"start_date":"2016-10-15","description":"","custom_fields":[{"id":1,"name":"Subdivision","value":"EC"},{"id":4,"name":"Milepost","value":"0.0149"},{"id":17,"name":"Train ID","value":"206-15"},{"id":16,"name":"Locomotive ID","value":"4015"},{"id":130,"name":"Impact","value":""},{"id":150,"name":"Time of Event (Mountain Time)","value":"18:21:08"},{"id":151,"name":"Denver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576</v>
      </c>
      <c r="B120" s="7">
        <v>4002</v>
      </c>
      <c r="C120" s="22" t="s">
        <v>99</v>
      </c>
      <c r="D120" s="22" t="s">
        <v>333</v>
      </c>
      <c r="E120" s="13">
        <v>42658.703599537039</v>
      </c>
      <c r="F120" s="13">
        <v>42658.708634259259</v>
      </c>
      <c r="G120" s="7">
        <v>1</v>
      </c>
      <c r="H120" s="13" t="s">
        <v>704</v>
      </c>
      <c r="I120" s="13">
        <v>42658.734479166669</v>
      </c>
      <c r="J120" s="7">
        <v>0</v>
      </c>
      <c r="K120" s="112" t="str">
        <f t="shared" si="51"/>
        <v>4001/4002</v>
      </c>
      <c r="L120" s="22" t="str">
        <f>VLOOKUP(A120,'Trips&amp;Operators'!$C$1:$E$10000,3,FALSE)</f>
        <v>SHOOK</v>
      </c>
      <c r="M120" s="6">
        <f t="shared" si="52"/>
        <v>2.584490740991896E-2</v>
      </c>
      <c r="N120" s="7">
        <f t="shared" si="53"/>
        <v>37.216666670283303</v>
      </c>
      <c r="O120" s="7"/>
      <c r="P120" s="7"/>
      <c r="Q120" s="23"/>
      <c r="R120" s="23"/>
      <c r="S120" s="35">
        <f t="shared" si="54"/>
        <v>1</v>
      </c>
      <c r="T120" s="50" t="str">
        <f t="shared" si="55"/>
        <v>NorthBound</v>
      </c>
      <c r="U120" s="144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15:53:11-0600',mode:absolute,to:'2016-10-15 18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0" s="52" t="str">
        <f t="shared" si="57"/>
        <v>N</v>
      </c>
      <c r="X120" s="149">
        <f t="shared" si="58"/>
        <v>1</v>
      </c>
      <c r="Y120" s="67">
        <f t="shared" si="59"/>
        <v>4.7100000000000003E-2</v>
      </c>
      <c r="Z120" s="67">
        <f t="shared" si="60"/>
        <v>23.338100000000001</v>
      </c>
      <c r="AA120" s="67">
        <f t="shared" si="61"/>
        <v>23.291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62"/>
        <v>0207-15</v>
      </c>
      <c r="AE120" s="91" t="str">
        <f t="shared" si="63"/>
        <v>aws s3 cp s3://rtdc.mdm.uploadarchive.raw/RTDC4002/ "%USERPROFILE%\AppData\Local\Temp\OnboardLogs"\RTDC4002\2016-10-15 --exclude "*" --recursive --include "*20161015*" &amp; "%USERPROFILE%\Documents\GitHub\mrs-test-scripts\Headless Mode &amp; Sideloading\WalkAndUnGZ.bat" "%USERPROFILE%\AppData\Local\Temp\OnboardLogs"\RTDC4002\2016-10-15 &amp; aws s3 cp s3://rtdc.mdm.uploadarchive.raw/RTDC4002/ "%USERPROFILE%\AppData\Local\Temp\OnboardLogs"\RTDC4002\2016-10-16 --exclude "*" --recursive --include "*20161016*" &amp; "%USERPROFILE%\Documents\GitHub\mrs-test-scripts\Headless Mode &amp; Sideloading\WalkAndUnGZ.bat" "%USERPROFILE%\AppData\Local\Temp\OnboardLogs"\RTDC4002\2016-10-16</v>
      </c>
      <c r="AF120" s="88" t="str">
        <f t="shared" si="64"/>
        <v>"C:\Program Files (x86)\AstroGrep\AstroGrep.exe" /spath="%USERPROFILE%\AppData\Local\Temp\OnboardLogs" /stypes="app*4002*20161015*" /stext=" 23:.+((SYSTEM_STATE.+slice.+state.+changed )|(ment ac)|(system.+state.+changed )|(\[timeout)|(PRM\|1\|D)|(kpr)|(kdp)|(\|lc)|(penalty))" /e /r /s</v>
      </c>
      <c r="AG120" s="1" t="str">
        <f t="shared" si="65"/>
        <v>EC</v>
      </c>
      <c r="AH120" s="92" t="str">
        <f t="shared" si="49"/>
        <v>"%USERPROFILE%\Documents\GitHub\eaglep3\Utilities\RefineRTDCRunTimes.py" --tripid 207-15 --locoid 4002 --swversion DE.1.0.7.0 --startMP 204:471 --initTime 2016-10-15T16:53:11 --startdatetime 2016-10-15T17:00:26 --delay 1 --endMP 204:233381 --enddatetime 2016-10-15T17:37:39 --enforcementcount 0 &gt;&gt;C:\Users\stu\Documents\GitHub\eaglep3-reporting\EC\2016-10-15-refined-times.txt</v>
      </c>
      <c r="AI120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{"issue":{"subject":"","project_id":79,"tracker_id":40,"status_id":1,"priority_id":2,"assigned_to_id":23,"start_date":"2016-10-15","description":"","custom_fields":[{"id":1,"name":"Subdivision","value":"EC"},{"id":4,"name":"Milepost","value":"23.3381"},{"id":17,"name":"Train ID","value":"207-15"},{"id":16,"name":"Locomotive ID","value":"4002"},{"id":130,"name":"Impact","value":""},{"id":150,"name":"Time of Event (Mountain Time)","value":"17:37:39"},{"id":151,"name":"Denver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449</v>
      </c>
      <c r="B121" s="7">
        <v>4001</v>
      </c>
      <c r="C121" s="22" t="s">
        <v>99</v>
      </c>
      <c r="D121" s="22" t="s">
        <v>705</v>
      </c>
      <c r="E121" s="13">
        <v>42658.743113425924</v>
      </c>
      <c r="F121" s="13">
        <v>42658.747569444444</v>
      </c>
      <c r="G121" s="7">
        <v>1</v>
      </c>
      <c r="H121" s="13" t="s">
        <v>706</v>
      </c>
      <c r="I121" s="13">
        <v>42658.774699074071</v>
      </c>
      <c r="J121" s="7">
        <v>0</v>
      </c>
      <c r="K121" s="112" t="str">
        <f t="shared" si="51"/>
        <v>4001/4002</v>
      </c>
      <c r="L121" s="22" t="str">
        <f>VLOOKUP(A121,'Trips&amp;Operators'!$C$1:$E$10000,3,FALSE)</f>
        <v>SHOOK</v>
      </c>
      <c r="M121" s="6">
        <f t="shared" si="52"/>
        <v>2.7129629626870155E-2</v>
      </c>
      <c r="N121" s="7">
        <f t="shared" si="53"/>
        <v>39.066666662693024</v>
      </c>
      <c r="O121" s="7"/>
      <c r="P121" s="7"/>
      <c r="Q121" s="23"/>
      <c r="R121" s="23"/>
      <c r="S121" s="35">
        <f t="shared" si="54"/>
        <v>1</v>
      </c>
      <c r="T121" s="50" t="str">
        <f t="shared" si="55"/>
        <v>Southbound</v>
      </c>
      <c r="U121" s="144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16:50:05-0600',mode:absolute,to:'2016-10-15 19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1" s="52" t="str">
        <f t="shared" si="57"/>
        <v>N</v>
      </c>
      <c r="X121" s="149">
        <f t="shared" si="58"/>
        <v>1</v>
      </c>
      <c r="Y121" s="67">
        <f t="shared" si="59"/>
        <v>23.3049</v>
      </c>
      <c r="Z121" s="67">
        <f t="shared" si="60"/>
        <v>0.1128</v>
      </c>
      <c r="AA121" s="67">
        <f t="shared" si="61"/>
        <v>23.1921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62"/>
        <v>0208-15</v>
      </c>
      <c r="AE121" s="91" t="str">
        <f t="shared" si="63"/>
        <v>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 &amp; aws s3 cp s3://rtdc.mdm.uploadarchive.raw/RTDC4001/ "%USERPROFILE%\AppData\Local\Temp\OnboardLogs"\RTDC4001\2016-10-16 --exclude "*" --recursive --include "*20161016*" &amp; "%USERPROFILE%\Documents\GitHub\mrs-test-scripts\Headless Mode &amp; Sideloading\WalkAndUnGZ.bat" "%USERPROFILE%\AppData\Local\Temp\OnboardLogs"\RTDC4001\2016-10-16</v>
      </c>
      <c r="AF121" s="88" t="str">
        <f t="shared" si="64"/>
        <v>"C:\Program Files (x86)\AstroGrep\AstroGrep.exe" /spath="%USERPROFILE%\AppData\Local\Temp\OnboardLogs" /stypes="app*4001*20161016*" /stext=" 00:.+((SYSTEM_STATE.+slice.+state.+changed )|(ment ac)|(system.+state.+changed )|(\[timeout)|(PRM\|1\|D)|(kpr)|(kdp)|(\|lc)|(penalty))" /e /r /s</v>
      </c>
      <c r="AG121" s="1" t="str">
        <f t="shared" si="65"/>
        <v>EC</v>
      </c>
      <c r="AH121" s="92" t="str">
        <f t="shared" si="49"/>
        <v>"%USERPROFILE%\Documents\GitHub\eaglep3\Utilities\RefineRTDCRunTimes.py" --tripid 208-15 --locoid 4001 --swversion DE.1.0.7.0 --startMP 204:233049 --initTime 2016-10-15T17:50:05 --startdatetime 2016-10-15T17:56:30 --delay 1 --endMP 204:1128 --enddatetime 2016-10-15T18:35:34 --enforcementcount 0 &gt;&gt;C:\Users\stu\Documents\GitHub\eaglep3-reporting\EC\2016-10-15-refined-times.txt</v>
      </c>
      <c r="AI121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{"issue":{"subject":"","project_id":79,"tracker_id":40,"status_id":1,"priority_id":2,"assigned_to_id":23,"start_date":"2016-10-15","description":"","custom_fields":[{"id":1,"name":"Subdivision","value":"EC"},{"id":4,"name":"Milepost","value":"0.1128"},{"id":17,"name":"Train ID","value":"208-15"},{"id":16,"name":"Locomotive ID","value":"4001"},{"id":130,"name":"Impact","value":""},{"id":150,"name":"Time of Event (Mountain Time)","value":"18:35:34"},{"id":151,"name":"Denver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x14ac:dyDescent="0.25">
      <c r="A122" s="37" t="s">
        <v>578</v>
      </c>
      <c r="B122" s="7">
        <v>4020</v>
      </c>
      <c r="C122" s="22" t="s">
        <v>99</v>
      </c>
      <c r="D122" s="22" t="s">
        <v>257</v>
      </c>
      <c r="E122" s="13">
        <v>42658.714745370373</v>
      </c>
      <c r="F122" s="13">
        <v>42658.718935185185</v>
      </c>
      <c r="G122" s="7">
        <v>1</v>
      </c>
      <c r="H122" s="13" t="s">
        <v>395</v>
      </c>
      <c r="I122" s="13">
        <v>42658.744108796294</v>
      </c>
      <c r="J122" s="7">
        <v>0</v>
      </c>
      <c r="K122" s="112" t="str">
        <f t="shared" si="51"/>
        <v>4019/4020</v>
      </c>
      <c r="L122" s="22" t="str">
        <f>VLOOKUP(A122,'Trips&amp;Operators'!$C$1:$E$10000,3,FALSE)</f>
        <v>BRUDER</v>
      </c>
      <c r="M122" s="6">
        <f t="shared" si="52"/>
        <v>2.5173611109494232E-2</v>
      </c>
      <c r="N122" s="7">
        <f t="shared" si="53"/>
        <v>36.249999997671694</v>
      </c>
      <c r="O122" s="7"/>
      <c r="P122" s="7"/>
      <c r="Q122" s="23"/>
      <c r="R122" s="23"/>
      <c r="S122" s="35">
        <f t="shared" si="54"/>
        <v>1</v>
      </c>
      <c r="T122" s="50" t="str">
        <f t="shared" si="55"/>
        <v>NorthBound</v>
      </c>
      <c r="U122" s="144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16:09:14-0600',mode:absolute,to:'2016-10-15 18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2" s="52" t="str">
        <f t="shared" si="57"/>
        <v>N</v>
      </c>
      <c r="X122" s="149">
        <f t="shared" si="58"/>
        <v>1</v>
      </c>
      <c r="Y122" s="67">
        <f t="shared" si="59"/>
        <v>4.5499999999999999E-2</v>
      </c>
      <c r="Z122" s="67">
        <f t="shared" si="60"/>
        <v>23.328399999999998</v>
      </c>
      <c r="AA122" s="67">
        <f t="shared" si="61"/>
        <v>23.282899999999998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62"/>
        <v>0209-15</v>
      </c>
      <c r="AE122" s="91" t="str">
        <f t="shared" si="63"/>
        <v>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 &amp; aws s3 cp s3://rtdc.mdm.uploadarchive.raw/RTDC4020/ "%USERPROFILE%\AppData\Local\Temp\OnboardLogs"\RTDC4020\2016-10-16 --exclude "*" --recursive --include "*20161016*" &amp; "%USERPROFILE%\Documents\GitHub\mrs-test-scripts\Headless Mode &amp; Sideloading\WalkAndUnGZ.bat" "%USERPROFILE%\AppData\Local\Temp\OnboardLogs"\RTDC4020\2016-10-16</v>
      </c>
      <c r="AF122" s="88" t="str">
        <f t="shared" si="64"/>
        <v>"C:\Program Files (x86)\AstroGrep\AstroGrep.exe" /spath="%USERPROFILE%\AppData\Local\Temp\OnboardLogs" /stypes="app*4020*20161015*" /stext=" 23:.+((SYSTEM_STATE.+slice.+state.+changed )|(ment ac)|(system.+state.+changed )|(\[timeout)|(PRM\|1\|D)|(kpr)|(kdp)|(\|lc)|(penalty))" /e /r /s</v>
      </c>
      <c r="AG122" s="1" t="str">
        <f t="shared" si="65"/>
        <v>EC</v>
      </c>
      <c r="AH122" s="92" t="str">
        <f t="shared" si="49"/>
        <v>"%USERPROFILE%\Documents\GitHub\eaglep3\Utilities\RefineRTDCRunTimes.py" --tripid 209-15 --locoid 4020 --swversion DE.1.0.7.0 --startMP 204:455 --initTime 2016-10-15T17:09:14 --startdatetime 2016-10-15T17:15:16 --delay 1 --endMP 204:233284 --enddatetime 2016-10-15T17:51:31 --enforcementcount 0 &gt;&gt;C:\Users\stu\Documents\GitHub\eaglep3-reporting\EC\2016-10-15-refined-times.txt</v>
      </c>
      <c r="AI122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{"issue":{"subject":"","project_id":79,"tracker_id":40,"status_id":1,"priority_id":2,"assigned_to_id":23,"start_date":"2016-10-15","description":"","custom_fields":[{"id":1,"name":"Subdivision","value":"EC"},{"id":4,"name":"Milepost","value":"23.3284"},{"id":17,"name":"Train ID","value":"209-15"},{"id":16,"name":"Locomotive ID","value":"4020"},{"id":130,"name":"Impact","value":""},{"id":150,"name":"Time of Event (Mountain Time)","value":"17:51:31"},{"id":151,"name":"Denver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</row>
    <row r="123" spans="1:91" s="21" customFormat="1" x14ac:dyDescent="0.25">
      <c r="A123" s="37" t="s">
        <v>586</v>
      </c>
      <c r="B123" s="7">
        <v>4019</v>
      </c>
      <c r="C123" s="22" t="s">
        <v>99</v>
      </c>
      <c r="D123" s="22" t="s">
        <v>396</v>
      </c>
      <c r="E123" s="13">
        <v>42658.751979166664</v>
      </c>
      <c r="F123" s="13">
        <v>42658.757870370369</v>
      </c>
      <c r="G123" s="7">
        <v>1</v>
      </c>
      <c r="H123" s="13" t="s">
        <v>634</v>
      </c>
      <c r="I123" s="13">
        <v>42658.786145833335</v>
      </c>
      <c r="J123" s="7">
        <v>0</v>
      </c>
      <c r="K123" s="112" t="str">
        <f t="shared" si="51"/>
        <v>4019/4020</v>
      </c>
      <c r="L123" s="22" t="str">
        <f>VLOOKUP(A123,'Trips&amp;Operators'!$C$1:$E$10000,3,FALSE)</f>
        <v>BRUDER</v>
      </c>
      <c r="M123" s="6">
        <f t="shared" si="52"/>
        <v>2.8275462966121268E-2</v>
      </c>
      <c r="N123" s="7">
        <f t="shared" si="53"/>
        <v>40.716666671214625</v>
      </c>
      <c r="O123" s="7"/>
      <c r="P123" s="7"/>
      <c r="Q123" s="23"/>
      <c r="R123" s="23"/>
      <c r="S123" s="35">
        <f t="shared" si="54"/>
        <v>1</v>
      </c>
      <c r="T123" s="50" t="str">
        <f t="shared" si="55"/>
        <v>Southbound</v>
      </c>
      <c r="U123" s="144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17:02:51-0600',mode:absolute,to:'2016-10-15 19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3" s="52" t="str">
        <f t="shared" si="57"/>
        <v>N</v>
      </c>
      <c r="X123" s="149">
        <f t="shared" si="58"/>
        <v>1</v>
      </c>
      <c r="Y123" s="67">
        <f t="shared" si="59"/>
        <v>23.296500000000002</v>
      </c>
      <c r="Z123" s="67">
        <f t="shared" si="60"/>
        <v>1.5599999999999999E-2</v>
      </c>
      <c r="AA123" s="67">
        <f t="shared" si="61"/>
        <v>23.280900000000003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62"/>
        <v>0210-15</v>
      </c>
      <c r="AE123" s="91" t="str">
        <f t="shared" si="63"/>
        <v>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 &amp; aws s3 cp s3://rtdc.mdm.uploadarchive.raw/RTDC4019/ "%USERPROFILE%\AppData\Local\Temp\OnboardLogs"\RTDC4019\2016-10-16 --exclude "*" --recursive --include "*20161016*" &amp; "%USERPROFILE%\Documents\GitHub\mrs-test-scripts\Headless Mode &amp; Sideloading\WalkAndUnGZ.bat" "%USERPROFILE%\AppData\Local\Temp\OnboardLogs"\RTDC4019\2016-10-16</v>
      </c>
      <c r="AF123" s="88" t="str">
        <f t="shared" si="64"/>
        <v>"C:\Program Files (x86)\AstroGrep\AstroGrep.exe" /spath="%USERPROFILE%\AppData\Local\Temp\OnboardLogs" /stypes="app*4019*20161016*" /stext=" 00:.+((SYSTEM_STATE.+slice.+state.+changed )|(ment ac)|(system.+state.+changed )|(\[timeout)|(PRM\|1\|D)|(kpr)|(kdp)|(\|lc)|(penalty))" /e /r /s</v>
      </c>
      <c r="AG123" s="1" t="str">
        <f t="shared" si="65"/>
        <v>EC</v>
      </c>
      <c r="AH123" s="92" t="str">
        <f t="shared" si="49"/>
        <v>"%USERPROFILE%\Documents\GitHub\eaglep3\Utilities\RefineRTDCRunTimes.py" --tripid 210-15 --locoid 4019 --swversion DE.1.0.7.0 --startMP 204:232965 --initTime 2016-10-15T18:02:51 --startdatetime 2016-10-15T18:11:20 --delay 1 --endMP 204:156 --enddatetime 2016-10-15T18:52:03 --enforcementcount 0 &gt;&gt;C:\Users\stu\Documents\GitHub\eaglep3-reporting\EC\2016-10-15-refined-times.txt</v>
      </c>
      <c r="AI123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{"issue":{"subject":"","project_id":79,"tracker_id":40,"status_id":1,"priority_id":2,"assigned_to_id":23,"start_date":"2016-10-15","description":"","custom_fields":[{"id":1,"name":"Subdivision","value":"EC"},{"id":4,"name":"Milepost","value":"0.0156"},{"id":17,"name":"Train ID","value":"210-15"},{"id":16,"name":"Locomotive ID","value":"4019"},{"id":130,"name":"Impact","value":""},{"id":150,"name":"Time of Event (Mountain Time)","value":"18:52:03"},{"id":151,"name":"Denver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581</v>
      </c>
      <c r="B124" s="7">
        <v>4044</v>
      </c>
      <c r="C124" s="22" t="s">
        <v>99</v>
      </c>
      <c r="D124" s="22" t="s">
        <v>260</v>
      </c>
      <c r="E124" s="13">
        <v>42658.724583333336</v>
      </c>
      <c r="F124" s="13">
        <v>42658.729328703703</v>
      </c>
      <c r="G124" s="7">
        <v>1</v>
      </c>
      <c r="H124" s="13" t="s">
        <v>707</v>
      </c>
      <c r="I124" s="13">
        <v>42658.755254629628</v>
      </c>
      <c r="J124" s="7">
        <v>0</v>
      </c>
      <c r="K124" s="112" t="str">
        <f t="shared" si="51"/>
        <v>4043/4044</v>
      </c>
      <c r="L124" s="22" t="str">
        <f>VLOOKUP(A124,'Trips&amp;Operators'!$C$1:$E$10000,3,FALSE)</f>
        <v>CLARK</v>
      </c>
      <c r="M124" s="6">
        <f t="shared" si="52"/>
        <v>2.5925925925548654E-2</v>
      </c>
      <c r="N124" s="7">
        <f t="shared" si="53"/>
        <v>37.333333332790062</v>
      </c>
      <c r="O124" s="7"/>
      <c r="P124" s="7"/>
      <c r="Q124" s="23"/>
      <c r="R124" s="23"/>
      <c r="S124" s="35">
        <f t="shared" si="54"/>
        <v>1</v>
      </c>
      <c r="T124" s="50" t="str">
        <f t="shared" si="55"/>
        <v>NorthBound</v>
      </c>
      <c r="U124" s="144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16:23:24-0600',mode:absolute,to:'2016-10-15 19:07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4" s="52" t="str">
        <f t="shared" si="57"/>
        <v>N</v>
      </c>
      <c r="X124" s="149">
        <f t="shared" si="58"/>
        <v>1</v>
      </c>
      <c r="Y124" s="67">
        <f t="shared" si="59"/>
        <v>4.6699999999999998E-2</v>
      </c>
      <c r="Z124" s="67">
        <f t="shared" si="60"/>
        <v>23.328700000000001</v>
      </c>
      <c r="AA124" s="67">
        <f t="shared" si="61"/>
        <v>23.282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62"/>
        <v>0211-15</v>
      </c>
      <c r="AE124" s="91" t="str">
        <f t="shared" si="63"/>
        <v>aws s3 cp s3://rtdc.mdm.uploadarchive.raw/RTDC4044/ "%USERPROFILE%\AppData\Local\Temp\OnboardLogs"\RTDC4044\2016-10-15 --exclude "*" --recursive --include "*20161015*" &amp; "%USERPROFILE%\Documents\GitHub\mrs-test-scripts\Headless Mode &amp; Sideloading\WalkAndUnGZ.bat" "%USERPROFILE%\AppData\Local\Temp\OnboardLogs"\RTDC4044\2016-10-15 &amp; 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</v>
      </c>
      <c r="AF124" s="88" t="str">
        <f t="shared" si="64"/>
        <v>"C:\Program Files (x86)\AstroGrep\AstroGrep.exe" /spath="%USERPROFILE%\AppData\Local\Temp\OnboardLogs" /stypes="app*4044*20161016*" /stext=" 00:.+((SYSTEM_STATE.+slice.+state.+changed )|(ment ac)|(system.+state.+changed )|(\[timeout)|(PRM\|1\|D)|(kpr)|(kdp)|(\|lc)|(penalty))" /e /r /s</v>
      </c>
      <c r="AG124" s="1" t="str">
        <f t="shared" si="65"/>
        <v>EC</v>
      </c>
      <c r="AH124" s="92" t="str">
        <f t="shared" si="49"/>
        <v>"%USERPROFILE%\Documents\GitHub\eaglep3\Utilities\RefineRTDCRunTimes.py" --tripid 211-15 --locoid 4044 --swversion DE.1.0.7.0 --startMP 204:467 --initTime 2016-10-15T17:23:24 --startdatetime 2016-10-15T17:30:14 --delay 1 --endMP 204:233287 --enddatetime 2016-10-15T18:07:34 --enforcementcount 0 &gt;&gt;C:\Users\stu\Documents\GitHub\eaglep3-reporting\EC\2016-10-15-refined-times.txt</v>
      </c>
      <c r="AI124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{"issue":{"subject":"","project_id":79,"tracker_id":40,"status_id":1,"priority_id":2,"assigned_to_id":23,"start_date":"2016-10-15","description":"","custom_fields":[{"id":1,"name":"Subdivision","value":"EC"},{"id":4,"name":"Milepost","value":"23.3287"},{"id":17,"name":"Train ID","value":"211-15"},{"id":16,"name":"Locomotive ID","value":"4044"},{"id":130,"name":"Impact","value":""},{"id":150,"name":"Time of Event (Mountain Time)","value":"18:07:34"},{"id":151,"name":"Denver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590</v>
      </c>
      <c r="B125" s="7">
        <v>4043</v>
      </c>
      <c r="C125" s="22" t="s">
        <v>99</v>
      </c>
      <c r="D125" s="22" t="s">
        <v>331</v>
      </c>
      <c r="E125" s="13">
        <v>42658.763842592591</v>
      </c>
      <c r="F125" s="13">
        <v>42658.768263888887</v>
      </c>
      <c r="G125" s="7">
        <v>1</v>
      </c>
      <c r="H125" s="13" t="s">
        <v>316</v>
      </c>
      <c r="I125" s="13">
        <v>42658.797210648147</v>
      </c>
      <c r="J125" s="7">
        <v>0</v>
      </c>
      <c r="K125" s="112" t="str">
        <f t="shared" si="51"/>
        <v>4043/4044</v>
      </c>
      <c r="L125" s="22" t="str">
        <f>VLOOKUP(A125,'Trips&amp;Operators'!$C$1:$E$10000,3,FALSE)</f>
        <v>CLARK</v>
      </c>
      <c r="M125" s="6">
        <f t="shared" si="52"/>
        <v>2.8946759259270038E-2</v>
      </c>
      <c r="N125" s="7">
        <f t="shared" si="53"/>
        <v>41.683333333348855</v>
      </c>
      <c r="O125" s="7"/>
      <c r="P125" s="7"/>
      <c r="Q125" s="23"/>
      <c r="R125" s="23"/>
      <c r="S125" s="35">
        <f t="shared" si="54"/>
        <v>1</v>
      </c>
      <c r="T125" s="50" t="str">
        <f t="shared" si="55"/>
        <v>Southbound</v>
      </c>
      <c r="U125" s="144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17:19:56-0600',mode:absolute,to:'2016-10-15 20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5" s="52" t="str">
        <f t="shared" si="57"/>
        <v>N</v>
      </c>
      <c r="X125" s="149">
        <f t="shared" si="58"/>
        <v>1</v>
      </c>
      <c r="Y125" s="67">
        <f t="shared" si="59"/>
        <v>23.299099999999999</v>
      </c>
      <c r="Z125" s="67">
        <f t="shared" si="60"/>
        <v>1.72E-2</v>
      </c>
      <c r="AA125" s="67">
        <f t="shared" si="61"/>
        <v>23.2819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62"/>
        <v>0212-15</v>
      </c>
      <c r="AE125" s="91" t="str">
        <f t="shared" si="63"/>
        <v>aws s3 cp s3://rtdc.mdm.uploadarchive.raw/RTDC4043/ "%USERPROFILE%\AppData\Local\Temp\OnboardLogs"\RTDC4043\2016-10-15 --exclude "*" --recursive --include "*20161015*" &amp; "%USERPROFILE%\Documents\GitHub\mrs-test-scripts\Headless Mode &amp; Sideloading\WalkAndUnGZ.bat" "%USERPROFILE%\AppData\Local\Temp\OnboardLogs"\RTDC4043\2016-10-15 &amp; 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</v>
      </c>
      <c r="AF125" s="88" t="str">
        <f t="shared" si="64"/>
        <v>"C:\Program Files (x86)\AstroGrep\AstroGrep.exe" /spath="%USERPROFILE%\AppData\Local\Temp\OnboardLogs" /stypes="app*4043*20161016*" /stext=" 01:.+((SYSTEM_STATE.+slice.+state.+changed )|(ment ac)|(system.+state.+changed )|(\[timeout)|(PRM\|1\|D)|(kpr)|(kdp)|(\|lc)|(penalty))" /e /r /s</v>
      </c>
      <c r="AG125" s="1" t="str">
        <f t="shared" si="65"/>
        <v>EC</v>
      </c>
      <c r="AH125" s="92" t="str">
        <f t="shared" si="49"/>
        <v>"%USERPROFILE%\Documents\GitHub\eaglep3\Utilities\RefineRTDCRunTimes.py" --tripid 212-15 --locoid 4043 --swversion DE.1.0.7.0 --startMP 204:232991 --initTime 2016-10-15T18:19:56 --startdatetime 2016-10-15T18:26:18 --delay 1 --endMP 204:172 --enddatetime 2016-10-15T19:07:59 --enforcementcount 0 &gt;&gt;C:\Users\stu\Documents\GitHub\eaglep3-reporting\EC\2016-10-15-refined-times.txt</v>
      </c>
      <c r="AI125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{"issue":{"subject":"","project_id":79,"tracker_id":40,"status_id":1,"priority_id":2,"assigned_to_id":23,"start_date":"2016-10-15","description":"","custom_fields":[{"id":1,"name":"Subdivision","value":"EC"},{"id":4,"name":"Milepost","value":"0.0172"},{"id":17,"name":"Train ID","value":"212-15"},{"id":16,"name":"Locomotive ID","value":"4043"},{"id":130,"name":"Impact","value":""},{"id":150,"name":"Time of Event (Mountain Time)","value":"19:07:59"},{"id":151,"name":"Denver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584</v>
      </c>
      <c r="B126" s="7">
        <v>4053</v>
      </c>
      <c r="C126" s="22" t="s">
        <v>99</v>
      </c>
      <c r="D126" s="22" t="s">
        <v>253</v>
      </c>
      <c r="E126" s="13">
        <v>42658.734479166669</v>
      </c>
      <c r="F126" s="13">
        <v>42658.740011574075</v>
      </c>
      <c r="G126" s="7">
        <v>1</v>
      </c>
      <c r="H126" s="13" t="s">
        <v>399</v>
      </c>
      <c r="I126" s="13">
        <v>42658.764513888891</v>
      </c>
      <c r="J126" s="7">
        <v>0</v>
      </c>
      <c r="K126" s="112" t="str">
        <f t="shared" si="51"/>
        <v>4053/4054</v>
      </c>
      <c r="L126" s="22" t="str">
        <f>VLOOKUP(A126,'Trips&amp;Operators'!$C$1:$E$10000,3,FALSE)</f>
        <v>NEWELL</v>
      </c>
      <c r="M126" s="6">
        <f t="shared" si="52"/>
        <v>2.4502314816345461E-2</v>
      </c>
      <c r="N126" s="7">
        <f t="shared" si="53"/>
        <v>35.283333335537463</v>
      </c>
      <c r="O126" s="7"/>
      <c r="P126" s="7"/>
      <c r="Q126" s="23"/>
      <c r="R126" s="23"/>
      <c r="S126" s="35">
        <f t="shared" si="54"/>
        <v>1</v>
      </c>
      <c r="T126" s="50" t="str">
        <f t="shared" si="55"/>
        <v>NorthBound</v>
      </c>
      <c r="U126" s="144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16:37:39-0600',mode:absolute,to:'2016-10-15 19:20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6" s="52" t="str">
        <f t="shared" si="57"/>
        <v>N</v>
      </c>
      <c r="X126" s="149">
        <f t="shared" si="58"/>
        <v>1</v>
      </c>
      <c r="Y126" s="67">
        <f t="shared" si="59"/>
        <v>4.53E-2</v>
      </c>
      <c r="Z126" s="67">
        <f t="shared" si="60"/>
        <v>23.3307</v>
      </c>
      <c r="AA126" s="67">
        <f t="shared" si="61"/>
        <v>23.285399999999999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62"/>
        <v>0213-15</v>
      </c>
      <c r="AE126" s="91" t="str">
        <f t="shared" si="63"/>
        <v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v>
      </c>
      <c r="AF126" s="88" t="str">
        <f t="shared" si="64"/>
        <v>"C:\Program Files (x86)\AstroGrep\AstroGrep.exe" /spath="%USERPROFILE%\AppData\Local\Temp\OnboardLogs" /stypes="app*4053*20161016*" /stext=" 00:.+((SYSTEM_STATE.+slice.+state.+changed )|(ment ac)|(system.+state.+changed )|(\[timeout)|(PRM\|1\|D)|(kpr)|(kdp)|(\|lc)|(penalty))" /e /r /s</v>
      </c>
      <c r="AG126" s="1" t="str">
        <f t="shared" si="65"/>
        <v>EC</v>
      </c>
      <c r="AH126" s="92" t="str">
        <f t="shared" si="49"/>
        <v>"%USERPROFILE%\Documents\GitHub\eaglep3\Utilities\RefineRTDCRunTimes.py" --tripid 213-15 --locoid 4053 --swversion DE.1.0.7.0 --startMP 204:453 --initTime 2016-10-15T17:37:39 --startdatetime 2016-10-15T17:45:37 --delay 1 --endMP 204:233307 --enddatetime 2016-10-15T18:20:54 --enforcementcount 0 &gt;&gt;C:\Users\stu\Documents\GitHub\eaglep3-reporting\EC\2016-10-15-refined-times.txt</v>
      </c>
      <c r="AI126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{"issue":{"subject":"","project_id":79,"tracker_id":40,"status_id":1,"priority_id":2,"assigned_to_id":23,"start_date":"2016-10-15","description":"","custom_fields":[{"id":1,"name":"Subdivision","value":"EC"},{"id":4,"name":"Milepost","value":"23.3307"},{"id":17,"name":"Train ID","value":"213-15"},{"id":16,"name":"Locomotive ID","value":"4053"},{"id":130,"name":"Impact","value":""},{"id":150,"name":"Time of Event (Mountain Time)","value":"18:20:54"},{"id":151,"name":"Denver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592</v>
      </c>
      <c r="B127" s="7">
        <v>4054</v>
      </c>
      <c r="C127" s="22" t="s">
        <v>99</v>
      </c>
      <c r="D127" s="22" t="s">
        <v>258</v>
      </c>
      <c r="E127" s="13">
        <v>42658.769699074073</v>
      </c>
      <c r="F127" s="13">
        <v>42658.778912037036</v>
      </c>
      <c r="G127" s="7">
        <v>1</v>
      </c>
      <c r="H127" s="13" t="s">
        <v>177</v>
      </c>
      <c r="I127" s="13">
        <v>42658.806423611109</v>
      </c>
      <c r="J127" s="7">
        <v>0</v>
      </c>
      <c r="K127" s="112" t="str">
        <f t="shared" si="51"/>
        <v>4053/4054</v>
      </c>
      <c r="L127" s="22" t="str">
        <f>VLOOKUP(A127,'Trips&amp;Operators'!$C$1:$E$10000,3,FALSE)</f>
        <v>NEWELL</v>
      </c>
      <c r="M127" s="6">
        <f t="shared" si="52"/>
        <v>2.7511574073287193E-2</v>
      </c>
      <c r="N127" s="7">
        <f t="shared" si="53"/>
        <v>39.616666665533558</v>
      </c>
      <c r="O127" s="7"/>
      <c r="P127" s="7"/>
      <c r="Q127" s="23"/>
      <c r="R127" s="23"/>
      <c r="S127" s="35">
        <f t="shared" si="54"/>
        <v>1</v>
      </c>
      <c r="T127" s="50" t="str">
        <f t="shared" si="55"/>
        <v>Southbound</v>
      </c>
      <c r="U127" s="144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17:28:22-0600',mode:absolute,to:'2016-10-15 20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7" s="52" t="str">
        <f t="shared" si="57"/>
        <v>N</v>
      </c>
      <c r="X127" s="149">
        <f t="shared" si="58"/>
        <v>1</v>
      </c>
      <c r="Y127" s="67">
        <f t="shared" si="59"/>
        <v>23.298200000000001</v>
      </c>
      <c r="Z127" s="67">
        <f t="shared" si="60"/>
        <v>1.52E-2</v>
      </c>
      <c r="AA127" s="67">
        <f t="shared" si="61"/>
        <v>23.283000000000001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62"/>
        <v>0214-15</v>
      </c>
      <c r="AE127" s="91" t="str">
        <f t="shared" si="63"/>
        <v>aws s3 cp s3://rtdc.mdm.uploadarchive.raw/RTDC4054/ "%USERPROFILE%\AppData\Local\Temp\OnboardLogs"\RTDC4054\2016-10-15 --exclude "*" --recursive --include "*20161015*" &amp; "%USERPROFILE%\Documents\GitHub\mrs-test-scripts\Headless Mode &amp; Sideloading\WalkAndUnGZ.bat" "%USERPROFILE%\AppData\Local\Temp\OnboardLogs"\RTDC4054\2016-10-15 &amp; aws s3 cp s3://rtdc.mdm.uploadarchive.raw/RTDC4054/ "%USERPROFILE%\AppData\Local\Temp\OnboardLogs"\RTDC4054\2016-10-16 --exclude "*" --recursive --include "*20161016*" &amp; "%USERPROFILE%\Documents\GitHub\mrs-test-scripts\Headless Mode &amp; Sideloading\WalkAndUnGZ.bat" "%USERPROFILE%\AppData\Local\Temp\OnboardLogs"\RTDC4054\2016-10-16</v>
      </c>
      <c r="AF127" s="88" t="str">
        <f t="shared" si="64"/>
        <v>"C:\Program Files (x86)\AstroGrep\AstroGrep.exe" /spath="%USERPROFILE%\AppData\Local\Temp\OnboardLogs" /stypes="app*4054*20161016*" /stext=" 01:.+((SYSTEM_STATE.+slice.+state.+changed )|(ment ac)|(system.+state.+changed )|(\[timeout)|(PRM\|1\|D)|(kpr)|(kdp)|(\|lc)|(penalty))" /e /r /s</v>
      </c>
      <c r="AG127" s="1" t="str">
        <f t="shared" si="65"/>
        <v>EC</v>
      </c>
      <c r="AH127" s="92" t="str">
        <f t="shared" si="49"/>
        <v>"%USERPROFILE%\Documents\GitHub\eaglep3\Utilities\RefineRTDCRunTimes.py" --tripid 214-15 --locoid 4054 --swversion DE.1.0.7.0 --startMP 204:232982 --initTime 2016-10-15T18:28:22 --startdatetime 2016-10-15T18:41:38 --delay 1 --endMP 204:152 --enddatetime 2016-10-15T19:21:15 --enforcementcount 0 &gt;&gt;C:\Users\stu\Documents\GitHub\eaglep3-reporting\EC\2016-10-15-refined-times.txt</v>
      </c>
      <c r="AI127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{"issue":{"subject":"","project_id":79,"tracker_id":40,"status_id":1,"priority_id":2,"assigned_to_id":23,"start_date":"2016-10-15","description":"","custom_fields":[{"id":1,"name":"Subdivision","value":"EC"},{"id":4,"name":"Milepost","value":"0.0152"},{"id":17,"name":"Train ID","value":"214-15"},{"id":16,"name":"Locomotive ID","value":"4054"},{"id":130,"name":"Impact","value":""},{"id":150,"name":"Time of Event (Mountain Time)","value":"19:21:15"},{"id":151,"name":"Denver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585</v>
      </c>
      <c r="B128" s="7">
        <v>4038</v>
      </c>
      <c r="C128" s="22" t="s">
        <v>99</v>
      </c>
      <c r="D128" s="22" t="s">
        <v>267</v>
      </c>
      <c r="E128" s="13">
        <v>42658.746886574074</v>
      </c>
      <c r="F128" s="13">
        <v>42658.750243055554</v>
      </c>
      <c r="G128" s="7">
        <v>4</v>
      </c>
      <c r="H128" s="13" t="s">
        <v>707</v>
      </c>
      <c r="I128" s="13">
        <v>42658.77616898148</v>
      </c>
      <c r="J128" s="7">
        <v>0</v>
      </c>
      <c r="K128" s="112" t="str">
        <f t="shared" si="51"/>
        <v>4037/4038</v>
      </c>
      <c r="L128" s="22" t="str">
        <f>VLOOKUP(A128,'Trips&amp;Operators'!$C$1:$E$10000,3,FALSE)</f>
        <v>STORY</v>
      </c>
      <c r="M128" s="6">
        <f t="shared" si="52"/>
        <v>2.5925925925548654E-2</v>
      </c>
      <c r="N128" s="7">
        <f t="shared" si="53"/>
        <v>37.333333332790062</v>
      </c>
      <c r="O128" s="7"/>
      <c r="P128" s="7"/>
      <c r="Q128" s="23"/>
      <c r="R128" s="23"/>
      <c r="S128" s="35">
        <f t="shared" si="54"/>
        <v>1</v>
      </c>
      <c r="T128" s="50" t="str">
        <f t="shared" si="55"/>
        <v>NorthBound</v>
      </c>
      <c r="U128" s="144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16:55:31-0600',mode:absolute,to:'2016-10-15 19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8" s="52" t="str">
        <f t="shared" si="57"/>
        <v>N</v>
      </c>
      <c r="X128" s="149">
        <f t="shared" si="58"/>
        <v>1</v>
      </c>
      <c r="Y128" s="67">
        <f t="shared" si="59"/>
        <v>4.6600000000000003E-2</v>
      </c>
      <c r="Z128" s="67">
        <f t="shared" si="60"/>
        <v>23.328700000000001</v>
      </c>
      <c r="AA128" s="67">
        <f t="shared" si="61"/>
        <v>23.2821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62"/>
        <v>0215-15</v>
      </c>
      <c r="AE128" s="91" t="str">
        <f t="shared" si="63"/>
        <v>aws s3 cp s3://rtdc.mdm.uploadarchive.raw/RTDC4038/ "%USERPROFILE%\AppData\Local\Temp\OnboardLogs"\RTDC4038\2016-10-15 --exclude "*" --recursive --include "*20161015*" &amp; "%USERPROFILE%\Documents\GitHub\mrs-test-scripts\Headless Mode &amp; Sideloading\WalkAndUnGZ.bat" "%USERPROFILE%\AppData\Local\Temp\OnboardLogs"\RTDC4038\2016-10-15 &amp; aws s3 cp s3://rtdc.mdm.uploadarchive.raw/RTDC4038/ "%USERPROFILE%\AppData\Local\Temp\OnboardLogs"\RTDC4038\2016-10-16 --exclude "*" --recursive --include "*20161016*" &amp; "%USERPROFILE%\Documents\GitHub\mrs-test-scripts\Headless Mode &amp; Sideloading\WalkAndUnGZ.bat" "%USERPROFILE%\AppData\Local\Temp\OnboardLogs"\RTDC4038\2016-10-16</v>
      </c>
      <c r="AF128" s="88" t="str">
        <f t="shared" si="64"/>
        <v>"C:\Program Files (x86)\AstroGrep\AstroGrep.exe" /spath="%USERPROFILE%\AppData\Local\Temp\OnboardLogs" /stypes="app*4038*20161016*" /stext=" 00:.+((SYSTEM_STATE.+slice.+state.+changed )|(ment ac)|(system.+state.+changed )|(\[timeout)|(PRM\|1\|D)|(kpr)|(kdp)|(\|lc)|(penalty))" /e /r /s</v>
      </c>
      <c r="AG128" s="1" t="str">
        <f t="shared" si="65"/>
        <v>EC</v>
      </c>
      <c r="AH128" s="92" t="str">
        <f t="shared" si="49"/>
        <v>"%USERPROFILE%\Documents\GitHub\eaglep3\Utilities\RefineRTDCRunTimes.py" --tripid 215-15 --locoid 4038 --swversion DE.1.0.7.0 --startMP 204:466 --initTime 2016-10-15T17:55:31 --startdatetime 2016-10-15T18:00:21 --delay 4 --endMP 204:233287 --enddatetime 2016-10-15T18:37:41 --enforcementcount 0 &gt;&gt;C:\Users\stu\Documents\GitHub\eaglep3-reporting\EC\2016-10-15-refined-times.txt</v>
      </c>
      <c r="AI128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{"issue":{"subject":"","project_id":79,"tracker_id":40,"status_id":1,"priority_id":2,"assigned_to_id":23,"start_date":"2016-10-15","description":"","custom_fields":[{"id":1,"name":"Subdivision","value":"EC"},{"id":4,"name":"Milepost","value":"23.3287"},{"id":17,"name":"Train ID","value":"215-15"},{"id":16,"name":"Locomotive ID","value":"4038"},{"id":130,"name":"Impact","value":""},{"id":150,"name":"Time of Event (Mountain Time)","value":"18:37:41"},{"id":151,"name":"Denver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595</v>
      </c>
      <c r="B129" s="7">
        <v>4037</v>
      </c>
      <c r="C129" s="22" t="s">
        <v>99</v>
      </c>
      <c r="D129" s="22" t="s">
        <v>317</v>
      </c>
      <c r="E129" s="13">
        <v>42658.786446759259</v>
      </c>
      <c r="F129" s="13">
        <v>42658.789699074077</v>
      </c>
      <c r="G129" s="7">
        <v>1</v>
      </c>
      <c r="H129" s="13" t="s">
        <v>255</v>
      </c>
      <c r="I129" s="13">
        <v>42658.818761574075</v>
      </c>
      <c r="J129" s="7">
        <v>0</v>
      </c>
      <c r="K129" s="112" t="str">
        <f t="shared" si="51"/>
        <v>4037/4038</v>
      </c>
      <c r="L129" s="22" t="str">
        <f>VLOOKUP(A129,'Trips&amp;Operators'!$C$1:$E$10000,3,FALSE)</f>
        <v>STORY</v>
      </c>
      <c r="M129" s="6">
        <f t="shared" si="52"/>
        <v>2.9062499997962732E-2</v>
      </c>
      <c r="N129" s="7">
        <f t="shared" si="53"/>
        <v>41.849999997066334</v>
      </c>
      <c r="O129" s="7"/>
      <c r="P129" s="7"/>
      <c r="Q129" s="23"/>
      <c r="R129" s="23"/>
      <c r="S129" s="35">
        <f t="shared" si="54"/>
        <v>1</v>
      </c>
      <c r="T129" s="50" t="str">
        <f t="shared" si="55"/>
        <v>Southbound</v>
      </c>
      <c r="U129" s="144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17:52:29-0600',mode:absolute,to:'2016-10-15 20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9" s="52" t="str">
        <f t="shared" si="57"/>
        <v>N</v>
      </c>
      <c r="X129" s="149">
        <f t="shared" si="58"/>
        <v>1</v>
      </c>
      <c r="Y129" s="67">
        <f t="shared" si="59"/>
        <v>23.296600000000002</v>
      </c>
      <c r="Z129" s="67">
        <f t="shared" si="60"/>
        <v>1.6299999999999999E-2</v>
      </c>
      <c r="AA129" s="67">
        <f t="shared" si="61"/>
        <v>23.2803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62"/>
        <v>0216-15</v>
      </c>
      <c r="AE129" s="91" t="str">
        <f t="shared" si="63"/>
        <v>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 &amp; aws s3 cp s3://rtdc.mdm.uploadarchive.raw/RTDC4037/ "%USERPROFILE%\AppData\Local\Temp\OnboardLogs"\RTDC4037\2016-10-16 --exclude "*" --recursive --include "*20161016*" &amp; "%USERPROFILE%\Documents\GitHub\mrs-test-scripts\Headless Mode &amp; Sideloading\WalkAndUnGZ.bat" "%USERPROFILE%\AppData\Local\Temp\OnboardLogs"\RTDC4037\2016-10-16</v>
      </c>
      <c r="AF129" s="88" t="str">
        <f t="shared" si="64"/>
        <v>"C:\Program Files (x86)\AstroGrep\AstroGrep.exe" /spath="%USERPROFILE%\AppData\Local\Temp\OnboardLogs" /stypes="app*4037*20161016*" /stext=" 01:.+((SYSTEM_STATE.+slice.+state.+changed )|(ment ac)|(system.+state.+changed )|(\[timeout)|(PRM\|1\|D)|(kpr)|(kdp)|(\|lc)|(penalty))" /e /r /s</v>
      </c>
      <c r="AG129" s="1" t="str">
        <f t="shared" si="65"/>
        <v>EC</v>
      </c>
      <c r="AH129" s="92" t="str">
        <f t="shared" si="49"/>
        <v>"%USERPROFILE%\Documents\GitHub\eaglep3\Utilities\RefineRTDCRunTimes.py" --tripid 216-15 --locoid 4037 --swversion DE.1.0.7.0 --startMP 204:232966 --initTime 2016-10-15T18:52:29 --startdatetime 2016-10-15T18:57:10 --delay 1 --endMP 204:163 --enddatetime 2016-10-15T19:39:01 --enforcementcount 0 &gt;&gt;C:\Users\stu\Documents\GitHub\eaglep3-reporting\EC\2016-10-15-refined-times.txt</v>
      </c>
      <c r="AI129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{"issue":{"subject":"","project_id":79,"tracker_id":40,"status_id":1,"priority_id":2,"assigned_to_id":23,"start_date":"2016-10-15","description":"","custom_fields":[{"id":1,"name":"Subdivision","value":"EC"},{"id":4,"name":"Milepost","value":"0.0163"},{"id":17,"name":"Train ID","value":"216-15"},{"id":16,"name":"Locomotive ID","value":"4037"},{"id":130,"name":"Impact","value":""},{"id":150,"name":"Time of Event (Mountain Time)","value":"19:39:01"},{"id":151,"name":"Denver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x14ac:dyDescent="0.25">
      <c r="A130" s="37" t="s">
        <v>587</v>
      </c>
      <c r="B130" s="7">
        <v>4003</v>
      </c>
      <c r="C130" s="22" t="s">
        <v>99</v>
      </c>
      <c r="D130" s="22" t="s">
        <v>256</v>
      </c>
      <c r="E130" s="13">
        <v>42658.758645833332</v>
      </c>
      <c r="F130" s="13">
        <v>42658.760775462964</v>
      </c>
      <c r="G130" s="7">
        <v>1</v>
      </c>
      <c r="H130" s="13" t="s">
        <v>198</v>
      </c>
      <c r="I130" s="13">
        <v>42658.78570601852</v>
      </c>
      <c r="J130" s="7">
        <v>0</v>
      </c>
      <c r="K130" s="112" t="str">
        <f t="shared" si="51"/>
        <v>4003/4004</v>
      </c>
      <c r="L130" s="22" t="str">
        <f>VLOOKUP(A130,'Trips&amp;Operators'!$C$1:$E$10000,3,FALSE)</f>
        <v>CHANDLER</v>
      </c>
      <c r="M130" s="6">
        <f t="shared" si="52"/>
        <v>2.4930555555329192E-2</v>
      </c>
      <c r="N130" s="7">
        <f t="shared" si="53"/>
        <v>35.899999999674037</v>
      </c>
      <c r="O130" s="7"/>
      <c r="P130" s="7"/>
      <c r="Q130" s="23"/>
      <c r="R130" s="23"/>
      <c r="S130" s="35">
        <f t="shared" si="54"/>
        <v>1</v>
      </c>
      <c r="T130" s="50" t="str">
        <f t="shared" si="55"/>
        <v>NorthBound</v>
      </c>
      <c r="U130" s="144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17:12:27-0600',mode:absolute,to:'2016-10-15 19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0" s="52" t="str">
        <f t="shared" si="57"/>
        <v>N</v>
      </c>
      <c r="X130" s="149">
        <f t="shared" si="58"/>
        <v>1</v>
      </c>
      <c r="Y130" s="67">
        <f t="shared" si="59"/>
        <v>4.6399999999999997E-2</v>
      </c>
      <c r="Z130" s="67">
        <f t="shared" si="60"/>
        <v>23.329699999999999</v>
      </c>
      <c r="AA130" s="67">
        <f t="shared" si="61"/>
        <v>23.283300000000001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62"/>
        <v>0217-15</v>
      </c>
      <c r="AE130" s="91" t="str">
        <f t="shared" si="63"/>
        <v>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 &amp; aws s3 cp s3://rtdc.mdm.uploadarchive.raw/RTDC4003/ "%USERPROFILE%\AppData\Local\Temp\OnboardLogs"\RTDC4003\2016-10-16 --exclude "*" --recursive --include "*20161016*" &amp; "%USERPROFILE%\Documents\GitHub\mrs-test-scripts\Headless Mode &amp; Sideloading\WalkAndUnGZ.bat" "%USERPROFILE%\AppData\Local\Temp\OnboardLogs"\RTDC4003\2016-10-16</v>
      </c>
      <c r="AF130" s="88" t="str">
        <f t="shared" si="64"/>
        <v>"C:\Program Files (x86)\AstroGrep\AstroGrep.exe" /spath="%USERPROFILE%\AppData\Local\Temp\OnboardLogs" /stypes="app*4003*20161016*" /stext=" 00:.+((SYSTEM_STATE.+slice.+state.+changed )|(ment ac)|(system.+state.+changed )|(\[timeout)|(PRM\|1\|D)|(kpr)|(kdp)|(\|lc)|(penalty))" /e /r /s</v>
      </c>
      <c r="AG130" s="1" t="str">
        <f t="shared" si="65"/>
        <v>EC</v>
      </c>
      <c r="AH130" s="92" t="str">
        <f t="shared" si="49"/>
        <v>"%USERPROFILE%\Documents\GitHub\eaglep3\Utilities\RefineRTDCRunTimes.py" --tripid 217-15 --locoid 4003 --swversion DE.1.0.7.0 --startMP 204:464 --initTime 2016-10-15T18:12:27 --startdatetime 2016-10-15T18:15:31 --delay 1 --endMP 204:233297 --enddatetime 2016-10-15T18:51:25 --enforcementcount 0 &gt;&gt;C:\Users\stu\Documents\GitHub\eaglep3-reporting\EC\2016-10-15-refined-times.txt</v>
      </c>
      <c r="AI130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{"issue":{"subject":"","project_id":79,"tracker_id":40,"status_id":1,"priority_id":2,"assigned_to_id":23,"start_date":"2016-10-15","description":"","custom_fields":[{"id":1,"name":"Subdivision","value":"EC"},{"id":4,"name":"Milepost","value":"23.3297"},{"id":17,"name":"Train ID","value":"217-15"},{"id":16,"name":"Locomotive ID","value":"4003"},{"id":130,"name":"Impact","value":""},{"id":150,"name":"Time of Event (Mountain Time)","value":"18:51:25"},{"id":151,"name":"Denver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</row>
    <row r="131" spans="1:91" s="21" customFormat="1" x14ac:dyDescent="0.25">
      <c r="A131" s="37" t="s">
        <v>598</v>
      </c>
      <c r="B131" s="7">
        <v>4004</v>
      </c>
      <c r="C131" s="22" t="s">
        <v>99</v>
      </c>
      <c r="D131" s="22" t="s">
        <v>637</v>
      </c>
      <c r="E131" s="13">
        <v>42658.797939814816</v>
      </c>
      <c r="F131" s="13">
        <v>42658.799837962964</v>
      </c>
      <c r="G131" s="7">
        <v>1</v>
      </c>
      <c r="H131" s="13" t="s">
        <v>634</v>
      </c>
      <c r="I131" s="13">
        <v>42658.827488425923</v>
      </c>
      <c r="J131" s="7">
        <v>0</v>
      </c>
      <c r="K131" s="112" t="str">
        <f t="shared" si="51"/>
        <v>4003/4004</v>
      </c>
      <c r="L131" s="22" t="str">
        <f>VLOOKUP(A131,'Trips&amp;Operators'!$C$1:$E$10000,3,FALSE)</f>
        <v>CHANDLER</v>
      </c>
      <c r="M131" s="6">
        <f t="shared" si="52"/>
        <v>2.7650462958263233E-2</v>
      </c>
      <c r="N131" s="7">
        <f t="shared" si="53"/>
        <v>39.816666659899056</v>
      </c>
      <c r="O131" s="7"/>
      <c r="P131" s="7"/>
      <c r="Q131" s="23"/>
      <c r="R131" s="23"/>
      <c r="S131" s="35">
        <f t="shared" si="54"/>
        <v>1</v>
      </c>
      <c r="T131" s="50" t="str">
        <f t="shared" si="55"/>
        <v>Southbound</v>
      </c>
      <c r="U131" s="144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18:09:02-0600',mode:absolute,to:'2016-10-15 20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1" s="52" t="str">
        <f t="shared" si="57"/>
        <v>N</v>
      </c>
      <c r="X131" s="149">
        <f t="shared" si="58"/>
        <v>1</v>
      </c>
      <c r="Y131" s="67">
        <f t="shared" si="59"/>
        <v>23.296900000000001</v>
      </c>
      <c r="Z131" s="67">
        <f t="shared" si="60"/>
        <v>1.5599999999999999E-2</v>
      </c>
      <c r="AA131" s="67">
        <f t="shared" si="61"/>
        <v>23.281300000000002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62"/>
        <v>0218-15</v>
      </c>
      <c r="AE131" s="91" t="str">
        <f t="shared" si="63"/>
        <v>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 &amp; aws s3 cp s3://rtdc.mdm.uploadarchive.raw/RTDC4004/ "%USERPROFILE%\AppData\Local\Temp\OnboardLogs"\RTDC4004\2016-10-16 --exclude "*" --recursive --include "*20161016*" &amp; "%USERPROFILE%\Documents\GitHub\mrs-test-scripts\Headless Mode &amp; Sideloading\WalkAndUnGZ.bat" "%USERPROFILE%\AppData\Local\Temp\OnboardLogs"\RTDC4004\2016-10-16</v>
      </c>
      <c r="AF131" s="88" t="str">
        <f t="shared" si="64"/>
        <v>"C:\Program Files (x86)\AstroGrep\AstroGrep.exe" /spath="%USERPROFILE%\AppData\Local\Temp\OnboardLogs" /stypes="app*4004*20161016*" /stext=" 01:.+((SYSTEM_STATE.+slice.+state.+changed )|(ment ac)|(system.+state.+changed )|(\[timeout)|(PRM\|1\|D)|(kpr)|(kdp)|(\|lc)|(penalty))" /e /r /s</v>
      </c>
      <c r="AG131" s="1" t="str">
        <f t="shared" si="65"/>
        <v>EC</v>
      </c>
      <c r="AH131" s="92" t="str">
        <f t="shared" si="49"/>
        <v>"%USERPROFILE%\Documents\GitHub\eaglep3\Utilities\RefineRTDCRunTimes.py" --tripid 218-15 --locoid 4004 --swversion DE.1.0.7.0 --startMP 204:232969 --initTime 2016-10-15T19:09:02 --startdatetime 2016-10-15T19:11:46 --delay 1 --endMP 204:156 --enddatetime 2016-10-15T19:51:35 --enforcementcount 0 &gt;&gt;C:\Users\stu\Documents\GitHub\eaglep3-reporting\EC\2016-10-15-refined-times.txt</v>
      </c>
      <c r="AI131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{"issue":{"subject":"","project_id":79,"tracker_id":40,"status_id":1,"priority_id":2,"assigned_to_id":23,"start_date":"2016-10-15","description":"","custom_fields":[{"id":1,"name":"Subdivision","value":"EC"},{"id":4,"name":"Milepost","value":"0.0156"},{"id":17,"name":"Train ID","value":"218-15"},{"id":16,"name":"Locomotive ID","value":"4004"},{"id":130,"name":"Impact","value":""},{"id":150,"name":"Time of Event (Mountain Time)","value":"19:51:35"},{"id":151,"name":"Denver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591</v>
      </c>
      <c r="B132" s="7">
        <v>4016</v>
      </c>
      <c r="C132" s="22" t="s">
        <v>99</v>
      </c>
      <c r="D132" s="22" t="s">
        <v>277</v>
      </c>
      <c r="E132" s="13">
        <v>42658.767291666663</v>
      </c>
      <c r="F132" s="13">
        <v>42658.771817129629</v>
      </c>
      <c r="G132" s="7">
        <v>1</v>
      </c>
      <c r="H132" s="13" t="s">
        <v>254</v>
      </c>
      <c r="I132" s="13">
        <v>42658.798159722224</v>
      </c>
      <c r="J132" s="7">
        <v>0</v>
      </c>
      <c r="K132" s="112" t="str">
        <f t="shared" si="51"/>
        <v>4015/4016</v>
      </c>
      <c r="L132" s="22" t="str">
        <f>VLOOKUP(A132,'Trips&amp;Operators'!$C$1:$E$10000,3,FALSE)</f>
        <v>BRANDNER</v>
      </c>
      <c r="M132" s="6">
        <f t="shared" si="52"/>
        <v>2.6342592595028691E-2</v>
      </c>
      <c r="N132" s="7">
        <f t="shared" si="53"/>
        <v>37.933333336841315</v>
      </c>
      <c r="O132" s="7"/>
      <c r="P132" s="7"/>
      <c r="Q132" s="23"/>
      <c r="R132" s="23"/>
      <c r="S132" s="35">
        <f t="shared" si="54"/>
        <v>1</v>
      </c>
      <c r="T132" s="50" t="str">
        <f t="shared" si="55"/>
        <v>NorthBound</v>
      </c>
      <c r="U132" s="144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17:24:54-0600',mode:absolute,to:'2016-10-15 20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2" s="52" t="str">
        <f t="shared" si="57"/>
        <v>N</v>
      </c>
      <c r="X132" s="149">
        <f t="shared" si="58"/>
        <v>1</v>
      </c>
      <c r="Y132" s="67">
        <f t="shared" si="59"/>
        <v>4.5999999999999999E-2</v>
      </c>
      <c r="Z132" s="67">
        <f t="shared" si="60"/>
        <v>23.33</v>
      </c>
      <c r="AA132" s="67">
        <f t="shared" si="61"/>
        <v>23.283999999999999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62"/>
        <v>0219-15</v>
      </c>
      <c r="AE132" s="91" t="str">
        <f t="shared" si="63"/>
        <v>aws s3 cp s3://rtdc.mdm.uploadarchive.raw/RTDC4016/ "%USERPROFILE%\AppData\Local\Temp\OnboardLogs"\RTDC4016\2016-10-15 --exclude "*" --recursive --include "*20161015*" &amp; "%USERPROFILE%\Documents\GitHub\mrs-test-scripts\Headless Mode &amp; Sideloading\WalkAndUnGZ.bat" "%USERPROFILE%\AppData\Local\Temp\OnboardLogs"\RTDC4016\2016-10-15 &amp; aws s3 cp s3://rtdc.mdm.uploadarchive.raw/RTDC4016/ "%USERPROFILE%\AppData\Local\Temp\OnboardLogs"\RTDC4016\2016-10-16 --exclude "*" --recursive --include "*20161016*" &amp; "%USERPROFILE%\Documents\GitHub\mrs-test-scripts\Headless Mode &amp; Sideloading\WalkAndUnGZ.bat" "%USERPROFILE%\AppData\Local\Temp\OnboardLogs"\RTDC4016\2016-10-16</v>
      </c>
      <c r="AF132" s="88" t="str">
        <f t="shared" si="64"/>
        <v>"C:\Program Files (x86)\AstroGrep\AstroGrep.exe" /spath="%USERPROFILE%\AppData\Local\Temp\OnboardLogs" /stypes="app*4016*20161016*" /stext=" 01:.+((SYSTEM_STATE.+slice.+state.+changed )|(ment ac)|(system.+state.+changed )|(\[timeout)|(PRM\|1\|D)|(kpr)|(kdp)|(\|lc)|(penalty))" /e /r /s</v>
      </c>
      <c r="AG132" s="1" t="str">
        <f t="shared" si="65"/>
        <v>EC</v>
      </c>
      <c r="AH132" s="92" t="str">
        <f t="shared" si="49"/>
        <v>"%USERPROFILE%\Documents\GitHub\eaglep3\Utilities\RefineRTDCRunTimes.py" --tripid 219-15 --locoid 4016 --swversion DE.1.0.7.0 --startMP 204:460 --initTime 2016-10-15T18:24:54 --startdatetime 2016-10-15T18:31:25 --delay 1 --endMP 204:233300 --enddatetime 2016-10-15T19:09:21 --enforcementcount 0 &gt;&gt;C:\Users\stu\Documents\GitHub\eaglep3-reporting\EC\2016-10-15-refined-times.txt</v>
      </c>
      <c r="AI132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{"issue":{"subject":"","project_id":79,"tracker_id":40,"status_id":1,"priority_id":2,"assigned_to_id":23,"start_date":"2016-10-15","description":"","custom_fields":[{"id":1,"name":"Subdivision","value":"EC"},{"id":4,"name":"Milepost","value":"23.33"},{"id":17,"name":"Train ID","value":"219-15"},{"id":16,"name":"Locomotive ID","value":"4016"},{"id":130,"name":"Impact","value":""},{"id":150,"name":"Time of Event (Mountain Time)","value":"19:09:21"},{"id":151,"name":"Denver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600</v>
      </c>
      <c r="B133" s="7">
        <v>4015</v>
      </c>
      <c r="C133" s="22" t="s">
        <v>99</v>
      </c>
      <c r="D133" s="22" t="s">
        <v>321</v>
      </c>
      <c r="E133" s="13">
        <v>42658.805254629631</v>
      </c>
      <c r="F133" s="13">
        <v>42658.809976851851</v>
      </c>
      <c r="G133" s="7">
        <v>2</v>
      </c>
      <c r="H133" s="13" t="s">
        <v>244</v>
      </c>
      <c r="I133" s="13">
        <v>42658.837083333332</v>
      </c>
      <c r="J133" s="7">
        <v>0</v>
      </c>
      <c r="K133" s="112" t="str">
        <f t="shared" si="51"/>
        <v>4015/4016</v>
      </c>
      <c r="L133" s="22" t="str">
        <f>VLOOKUP(A133,'Trips&amp;Operators'!$C$1:$E$10000,3,FALSE)</f>
        <v>BRANDNER</v>
      </c>
      <c r="M133" s="6">
        <f t="shared" si="52"/>
        <v>2.7106481480586808E-2</v>
      </c>
      <c r="N133" s="7">
        <f t="shared" si="53"/>
        <v>39.033333332045004</v>
      </c>
      <c r="O133" s="7"/>
      <c r="P133" s="7"/>
      <c r="Q133" s="23"/>
      <c r="R133" s="23"/>
      <c r="S133" s="35">
        <f t="shared" si="54"/>
        <v>1</v>
      </c>
      <c r="T133" s="50" t="str">
        <f t="shared" si="55"/>
        <v>Southbound</v>
      </c>
      <c r="U133" s="144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18:19:34-0600',mode:absolute,to:'2016-10-15 21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3" s="52" t="str">
        <f t="shared" si="57"/>
        <v>N</v>
      </c>
      <c r="X133" s="149">
        <f t="shared" si="58"/>
        <v>1</v>
      </c>
      <c r="Y133" s="67">
        <f t="shared" si="59"/>
        <v>23.299399999999999</v>
      </c>
      <c r="Z133" s="67">
        <f t="shared" si="60"/>
        <v>1.49E-2</v>
      </c>
      <c r="AA133" s="67">
        <f t="shared" si="61"/>
        <v>23.284499999999998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62"/>
        <v>0220-15</v>
      </c>
      <c r="AE133" s="91" t="str">
        <f t="shared" si="63"/>
        <v>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 &amp; aws s3 cp s3://rtdc.mdm.uploadarchive.raw/RTDC4015/ "%USERPROFILE%\AppData\Local\Temp\OnboardLogs"\RTDC4015\2016-10-16 --exclude "*" --recursive --include "*20161016*" &amp; "%USERPROFILE%\Documents\GitHub\mrs-test-scripts\Headless Mode &amp; Sideloading\WalkAndUnGZ.bat" "%USERPROFILE%\AppData\Local\Temp\OnboardLogs"\RTDC4015\2016-10-16</v>
      </c>
      <c r="AF133" s="88" t="str">
        <f t="shared" si="64"/>
        <v>"C:\Program Files (x86)\AstroGrep\AstroGrep.exe" /spath="%USERPROFILE%\AppData\Local\Temp\OnboardLogs" /stypes="app*4015*20161016*" /stext=" 02:.+((SYSTEM_STATE.+slice.+state.+changed )|(ment ac)|(system.+state.+changed )|(\[timeout)|(PRM\|1\|D)|(kpr)|(kdp)|(\|lc)|(penalty))" /e /r /s</v>
      </c>
      <c r="AG133" s="1" t="str">
        <f t="shared" si="65"/>
        <v>EC</v>
      </c>
      <c r="AH133" s="92" t="str">
        <f t="shared" si="49"/>
        <v>"%USERPROFILE%\Documents\GitHub\eaglep3\Utilities\RefineRTDCRunTimes.py" --tripid 220-15 --locoid 4015 --swversion DE.1.0.7.0 --startMP 204:232994 --initTime 2016-10-15T19:19:34 --startdatetime 2016-10-15T19:26:22 --delay 2 --endMP 204:149 --enddatetime 2016-10-15T20:05:24 --enforcementcount 0 &gt;&gt;C:\Users\stu\Documents\GitHub\eaglep3-reporting\EC\2016-10-15-refined-times.txt</v>
      </c>
      <c r="AI133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{"issue":{"subject":"","project_id":79,"tracker_id":40,"status_id":1,"priority_id":2,"assigned_to_id":23,"start_date":"2016-10-15","description":"","custom_fields":[{"id":1,"name":"Subdivision","value":"EC"},{"id":4,"name":"Milepost","value":"0.0149"},{"id":17,"name":"Train ID","value":"220-15"},{"id":16,"name":"Locomotive ID","value":"4015"},{"id":130,"name":"Impact","value":""},{"id":150,"name":"Time of Event (Mountain Time)","value":"20:05:24"},{"id":151,"name":"Denver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596</v>
      </c>
      <c r="B134" s="7">
        <v>4020</v>
      </c>
      <c r="C134" s="22" t="s">
        <v>99</v>
      </c>
      <c r="D134" s="22" t="s">
        <v>397</v>
      </c>
      <c r="E134" s="13">
        <v>42658.78974537037</v>
      </c>
      <c r="F134" s="13">
        <v>42658.792060185187</v>
      </c>
      <c r="G134" s="7">
        <v>1</v>
      </c>
      <c r="H134" s="13" t="s">
        <v>708</v>
      </c>
      <c r="I134" s="13">
        <v>42658.816724537035</v>
      </c>
      <c r="J134" s="7">
        <v>0</v>
      </c>
      <c r="K134" s="112" t="str">
        <f t="shared" si="51"/>
        <v>4019/4020</v>
      </c>
      <c r="L134" s="22" t="str">
        <f>VLOOKUP(A134,'Trips&amp;Operators'!$C$1:$E$10000,3,FALSE)</f>
        <v>LEVIN</v>
      </c>
      <c r="M134" s="6">
        <f t="shared" si="52"/>
        <v>2.4664351847604848E-2</v>
      </c>
      <c r="N134" s="7">
        <f t="shared" si="53"/>
        <v>35.516666660550982</v>
      </c>
      <c r="O134" s="7"/>
      <c r="P134" s="7"/>
      <c r="Q134" s="23"/>
      <c r="R134" s="23"/>
      <c r="S134" s="35">
        <f t="shared" si="54"/>
        <v>1</v>
      </c>
      <c r="T134" s="50" t="str">
        <f t="shared" si="55"/>
        <v>NorthBound</v>
      </c>
      <c r="U134" s="144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17:57:14-0600',mode:absolute,to:'2016-10-15 20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34" s="52" t="str">
        <f t="shared" si="57"/>
        <v>N</v>
      </c>
      <c r="X134" s="149">
        <f t="shared" si="58"/>
        <v>1</v>
      </c>
      <c r="Y134" s="67">
        <f t="shared" si="59"/>
        <v>4.4200000000000003E-2</v>
      </c>
      <c r="Z134" s="67">
        <f t="shared" si="60"/>
        <v>23.332000000000001</v>
      </c>
      <c r="AA134" s="67">
        <f t="shared" si="61"/>
        <v>23.287800000000001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62"/>
        <v>0221-15</v>
      </c>
      <c r="AE134" s="91" t="str">
        <f t="shared" si="63"/>
        <v>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 &amp; aws s3 cp s3://rtdc.mdm.uploadarchive.raw/RTDC4020/ "%USERPROFILE%\AppData\Local\Temp\OnboardLogs"\RTDC4020\2016-10-16 --exclude "*" --recursive --include "*20161016*" &amp; "%USERPROFILE%\Documents\GitHub\mrs-test-scripts\Headless Mode &amp; Sideloading\WalkAndUnGZ.bat" "%USERPROFILE%\AppData\Local\Temp\OnboardLogs"\RTDC4020\2016-10-16</v>
      </c>
      <c r="AF134" s="88" t="str">
        <f t="shared" si="64"/>
        <v>"C:\Program Files (x86)\AstroGrep\AstroGrep.exe" /spath="%USERPROFILE%\AppData\Local\Temp\OnboardLogs" /stypes="app*4020*20161016*" /stext=" 01:.+((SYSTEM_STATE.+slice.+state.+changed )|(ment ac)|(system.+state.+changed )|(\[timeout)|(PRM\|1\|D)|(kpr)|(kdp)|(\|lc)|(penalty))" /e /r /s</v>
      </c>
      <c r="AG134" s="1" t="str">
        <f t="shared" si="65"/>
        <v>EC</v>
      </c>
      <c r="AH134" s="92" t="str">
        <f t="shared" si="49"/>
        <v>"%USERPROFILE%\Documents\GitHub\eaglep3\Utilities\RefineRTDCRunTimes.py" --tripid 221-15 --locoid 4020 --swversion DE.1.0.7.0 --startMP 204:442 --initTime 2016-10-15T18:57:14 --startdatetime 2016-10-15T19:00:34 --delay 1 --endMP 204:233320 --enddatetime 2016-10-15T19:36:05 --enforcementcount 0 &gt;&gt;C:\Users\stu\Documents\GitHub\eaglep3-reporting\EC\2016-10-15-refined-times.txt</v>
      </c>
      <c r="AI134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{"issue":{"subject":"","project_id":79,"tracker_id":40,"status_id":1,"priority_id":2,"assigned_to_id":23,"start_date":"2016-10-15","description":"","custom_fields":[{"id":1,"name":"Subdivision","value":"EC"},{"id":4,"name":"Milepost","value":"23.332"},{"id":17,"name":"Train ID","value":"221-15"},{"id":16,"name":"Locomotive ID","value":"4020"},{"id":130,"name":"Impact","value":""},{"id":150,"name":"Time of Event (Mountain Time)","value":"19:36:05"},{"id":151,"name":"Denver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604</v>
      </c>
      <c r="B135" s="7">
        <v>4019</v>
      </c>
      <c r="C135" s="22" t="s">
        <v>99</v>
      </c>
      <c r="D135" s="22" t="s">
        <v>280</v>
      </c>
      <c r="E135" s="13">
        <v>42658.826805555553</v>
      </c>
      <c r="F135" s="13">
        <v>42658.830763888887</v>
      </c>
      <c r="G135" s="7">
        <v>1</v>
      </c>
      <c r="H135" s="13" t="s">
        <v>263</v>
      </c>
      <c r="I135" s="13">
        <v>42658.858784722222</v>
      </c>
      <c r="J135" s="7">
        <v>0</v>
      </c>
      <c r="K135" s="112" t="str">
        <f t="shared" si="51"/>
        <v>4019/4020</v>
      </c>
      <c r="L135" s="22" t="str">
        <f>VLOOKUP(A135,'Trips&amp;Operators'!$C$1:$E$10000,3,FALSE)</f>
        <v>LEVIN</v>
      </c>
      <c r="M135" s="6">
        <f t="shared" si="52"/>
        <v>2.8020833335176576E-2</v>
      </c>
      <c r="N135" s="7">
        <f t="shared" si="53"/>
        <v>40.350000002654269</v>
      </c>
      <c r="O135" s="7"/>
      <c r="P135" s="7"/>
      <c r="Q135" s="23"/>
      <c r="R135" s="23"/>
      <c r="S135" s="35">
        <f t="shared" si="54"/>
        <v>1</v>
      </c>
      <c r="T135" s="50" t="str">
        <f t="shared" si="55"/>
        <v>Southbound</v>
      </c>
      <c r="U135" s="144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18:50:36-0600',mode:absolute,to:'2016-10-15 21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5" s="52" t="str">
        <f t="shared" si="57"/>
        <v>N</v>
      </c>
      <c r="X135" s="149">
        <f t="shared" si="58"/>
        <v>1</v>
      </c>
      <c r="Y135" s="67">
        <f t="shared" si="59"/>
        <v>23.2986</v>
      </c>
      <c r="Z135" s="67">
        <f t="shared" si="60"/>
        <v>1.34E-2</v>
      </c>
      <c r="AA135" s="67">
        <f t="shared" si="61"/>
        <v>23.2852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62"/>
        <v>0222-15</v>
      </c>
      <c r="AE135" s="91" t="str">
        <f t="shared" si="63"/>
        <v>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 &amp; aws s3 cp s3://rtdc.mdm.uploadarchive.raw/RTDC4019/ "%USERPROFILE%\AppData\Local\Temp\OnboardLogs"\RTDC4019\2016-10-16 --exclude "*" --recursive --include "*20161016*" &amp; "%USERPROFILE%\Documents\GitHub\mrs-test-scripts\Headless Mode &amp; Sideloading\WalkAndUnGZ.bat" "%USERPROFILE%\AppData\Local\Temp\OnboardLogs"\RTDC4019\2016-10-16</v>
      </c>
      <c r="AF135" s="88" t="str">
        <f t="shared" si="64"/>
        <v>"C:\Program Files (x86)\AstroGrep\AstroGrep.exe" /spath="%USERPROFILE%\AppData\Local\Temp\OnboardLogs" /stypes="app*4019*20161016*" /stext=" 02:.+((SYSTEM_STATE.+slice.+state.+changed )|(ment ac)|(system.+state.+changed )|(\[timeout)|(PRM\|1\|D)|(kpr)|(kdp)|(\|lc)|(penalty))" /e /r /s</v>
      </c>
      <c r="AG135" s="1" t="str">
        <f t="shared" si="65"/>
        <v>EC</v>
      </c>
      <c r="AH135" s="92" t="str">
        <f t="shared" si="49"/>
        <v>"%USERPROFILE%\Documents\GitHub\eaglep3\Utilities\RefineRTDCRunTimes.py" --tripid 222-15 --locoid 4019 --swversion DE.1.0.7.0 --startMP 204:232986 --initTime 2016-10-15T19:50:36 --startdatetime 2016-10-15T19:56:18 --delay 1 --endMP 204:134 --enddatetime 2016-10-15T20:36:39 --enforcementcount 0 &gt;&gt;C:\Users\stu\Documents\GitHub\eaglep3-reporting\EC\2016-10-15-refined-times.txt</v>
      </c>
      <c r="AI135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{"issue":{"subject":"","project_id":79,"tracker_id":40,"status_id":1,"priority_id":2,"assigned_to_id":23,"start_date":"2016-10-15","description":"","custom_fields":[{"id":1,"name":"Subdivision","value":"EC"},{"id":4,"name":"Milepost","value":"0.0134"},{"id":17,"name":"Train ID","value":"222-15"},{"id":16,"name":"Locomotive ID","value":"4019"},{"id":130,"name":"Impact","value":""},{"id":150,"name":"Time of Event (Mountain Time)","value":"20:36:39"},{"id":151,"name":"Denver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7" t="s">
        <v>601</v>
      </c>
      <c r="B136" s="7">
        <v>4053</v>
      </c>
      <c r="C136" s="22" t="s">
        <v>99</v>
      </c>
      <c r="D136" s="22" t="s">
        <v>265</v>
      </c>
      <c r="E136" s="13">
        <v>42658.808356481481</v>
      </c>
      <c r="F136" s="13">
        <v>42658.813622685186</v>
      </c>
      <c r="G136" s="7">
        <v>1</v>
      </c>
      <c r="H136" s="13" t="s">
        <v>269</v>
      </c>
      <c r="I136" s="13">
        <v>42658.839247685188</v>
      </c>
      <c r="J136" s="7">
        <v>0</v>
      </c>
      <c r="K136" s="112" t="str">
        <f t="shared" si="51"/>
        <v>4053/4054</v>
      </c>
      <c r="L136" s="22" t="str">
        <f>VLOOKUP(A136,'Trips&amp;Operators'!$C$1:$E$10000,3,FALSE)</f>
        <v>NEWELL</v>
      </c>
      <c r="M136" s="6">
        <f t="shared" si="52"/>
        <v>2.5625000002037268E-2</v>
      </c>
      <c r="N136" s="7">
        <f t="shared" si="53"/>
        <v>36.900000002933666</v>
      </c>
      <c r="O136" s="7"/>
      <c r="P136" s="7"/>
      <c r="Q136" s="23"/>
      <c r="R136" s="23"/>
      <c r="S136" s="35">
        <f t="shared" si="54"/>
        <v>1</v>
      </c>
      <c r="T136" s="50" t="str">
        <f t="shared" si="55"/>
        <v>NorthBound</v>
      </c>
      <c r="U136" s="144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18:24:02-0600',mode:absolute,to:'2016-10-15 21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6" s="52" t="str">
        <f t="shared" si="57"/>
        <v>N</v>
      </c>
      <c r="X136" s="149">
        <f t="shared" si="58"/>
        <v>1</v>
      </c>
      <c r="Y136" s="67">
        <f t="shared" si="59"/>
        <v>4.6199999999999998E-2</v>
      </c>
      <c r="Z136" s="67">
        <f t="shared" si="60"/>
        <v>23.329499999999999</v>
      </c>
      <c r="AA136" s="67">
        <f t="shared" si="61"/>
        <v>23.283300000000001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62"/>
        <v>0223-15</v>
      </c>
      <c r="AE136" s="91" t="str">
        <f t="shared" si="63"/>
        <v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v>
      </c>
      <c r="AF136" s="88" t="str">
        <f t="shared" si="64"/>
        <v>"C:\Program Files (x86)\AstroGrep\AstroGrep.exe" /spath="%USERPROFILE%\AppData\Local\Temp\OnboardLogs" /stypes="app*4053*20161016*" /stext=" 02:.+((SYSTEM_STATE.+slice.+state.+changed )|(ment ac)|(system.+state.+changed )|(\[timeout)|(PRM\|1\|D)|(kpr)|(kdp)|(\|lc)|(penalty))" /e /r /s</v>
      </c>
      <c r="AG136" s="1" t="str">
        <f t="shared" si="65"/>
        <v>EC</v>
      </c>
      <c r="AH136" s="92" t="str">
        <f t="shared" si="49"/>
        <v>"%USERPROFILE%\Documents\GitHub\eaglep3\Utilities\RefineRTDCRunTimes.py" --tripid 223-15 --locoid 4053 --swversion DE.1.0.7.0 --startMP 204:462 --initTime 2016-10-15T19:24:02 --startdatetime 2016-10-15T19:31:37 --delay 1 --endMP 204:233295 --enddatetime 2016-10-15T20:08:31 --enforcementcount 0 &gt;&gt;C:\Users\stu\Documents\GitHub\eaglep3-reporting\EC\2016-10-15-refined-times.txt</v>
      </c>
      <c r="AI136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{"issue":{"subject":"","project_id":79,"tracker_id":40,"status_id":1,"priority_id":2,"assigned_to_id":23,"start_date":"2016-10-15","description":"","custom_fields":[{"id":1,"name":"Subdivision","value":"EC"},{"id":4,"name":"Milepost","value":"23.3295"},{"id":17,"name":"Train ID","value":"223-15"},{"id":16,"name":"Locomotive ID","value":"4053"},{"id":130,"name":"Impact","value":""},{"id":150,"name":"Time of Event (Mountain Time)","value":"20:08:31"},{"id":151,"name":"Denver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607</v>
      </c>
      <c r="B137" s="7">
        <v>4054</v>
      </c>
      <c r="C137" s="22" t="s">
        <v>99</v>
      </c>
      <c r="D137" s="22" t="s">
        <v>409</v>
      </c>
      <c r="E137" s="13">
        <v>42658.843518518515</v>
      </c>
      <c r="F137" s="13">
        <v>42658.851585648146</v>
      </c>
      <c r="G137" s="7">
        <v>0</v>
      </c>
      <c r="H137" s="13" t="s">
        <v>249</v>
      </c>
      <c r="I137" s="13">
        <v>42658.877858796295</v>
      </c>
      <c r="J137" s="7">
        <v>0</v>
      </c>
      <c r="K137" s="112" t="str">
        <f t="shared" si="51"/>
        <v>4053/4054</v>
      </c>
      <c r="L137" s="22" t="str">
        <f>VLOOKUP(A137,'Trips&amp;Operators'!$C$1:$E$10000,3,FALSE)</f>
        <v>NEWELL</v>
      </c>
      <c r="M137" s="6">
        <f t="shared" si="52"/>
        <v>2.6273148148902692E-2</v>
      </c>
      <c r="N137" s="7">
        <f t="shared" si="53"/>
        <v>37.833333334419876</v>
      </c>
      <c r="O137" s="7"/>
      <c r="P137" s="7"/>
      <c r="Q137" s="23"/>
      <c r="R137" s="23"/>
      <c r="S137" s="35">
        <f t="shared" si="54"/>
        <v>1</v>
      </c>
      <c r="T137" s="50" t="str">
        <f t="shared" si="55"/>
        <v>Southbound</v>
      </c>
      <c r="U137" s="144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19:14:40-0600',mode:absolute,to:'2016-10-15 22:04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7" s="52" t="str">
        <f t="shared" si="57"/>
        <v>N</v>
      </c>
      <c r="X137" s="149">
        <f t="shared" si="58"/>
        <v>1</v>
      </c>
      <c r="Y137" s="67">
        <f t="shared" si="59"/>
        <v>23.296700000000001</v>
      </c>
      <c r="Z137" s="67">
        <f t="shared" si="60"/>
        <v>1.4999999999999999E-2</v>
      </c>
      <c r="AA137" s="67">
        <f t="shared" si="61"/>
        <v>23.281700000000001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62"/>
        <v>0224-15</v>
      </c>
      <c r="AE137" s="91" t="str">
        <f t="shared" si="63"/>
        <v>aws s3 cp s3://rtdc.mdm.uploadarchive.raw/RTDC4054/ "%USERPROFILE%\AppData\Local\Temp\OnboardLogs"\RTDC4054\2016-10-15 --exclude "*" --recursive --include "*20161015*" &amp; "%USERPROFILE%\Documents\GitHub\mrs-test-scripts\Headless Mode &amp; Sideloading\WalkAndUnGZ.bat" "%USERPROFILE%\AppData\Local\Temp\OnboardLogs"\RTDC4054\2016-10-15 &amp; aws s3 cp s3://rtdc.mdm.uploadarchive.raw/RTDC4054/ "%USERPROFILE%\AppData\Local\Temp\OnboardLogs"\RTDC4054\2016-10-16 --exclude "*" --recursive --include "*20161016*" &amp; "%USERPROFILE%\Documents\GitHub\mrs-test-scripts\Headless Mode &amp; Sideloading\WalkAndUnGZ.bat" "%USERPROFILE%\AppData\Local\Temp\OnboardLogs"\RTDC4054\2016-10-16</v>
      </c>
      <c r="AF137" s="88" t="str">
        <f t="shared" si="64"/>
        <v>"C:\Program Files (x86)\AstroGrep\AstroGrep.exe" /spath="%USERPROFILE%\AppData\Local\Temp\OnboardLogs" /stypes="app*4054*20161016*" /stext=" 03:.+((SYSTEM_STATE.+slice.+state.+changed )|(ment ac)|(system.+state.+changed )|(\[timeout)|(PRM\|1\|D)|(kpr)|(kdp)|(\|lc)|(penalty))" /e /r /s</v>
      </c>
      <c r="AG137" s="1" t="str">
        <f t="shared" si="65"/>
        <v>EC</v>
      </c>
      <c r="AH137" s="92" t="str">
        <f t="shared" si="49"/>
        <v>"%USERPROFILE%\Documents\GitHub\eaglep3\Utilities\RefineRTDCRunTimes.py" --tripid 224-15 --locoid 4054 --swversion DE.1.0.7.0 --startMP 204:232967 --initTime 2016-10-15T20:14:40 --startdatetime 2016-10-15T20:26:17 --delay 0 --endMP 204:150 --enddatetime 2016-10-15T21:04:07 --enforcementcount 0 &gt;&gt;C:\Users\stu\Documents\GitHub\eaglep3-reporting\EC\2016-10-15-refined-times.txt</v>
      </c>
      <c r="AI137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{"issue":{"subject":"","project_id":79,"tracker_id":40,"status_id":1,"priority_id":2,"assigned_to_id":23,"start_date":"2016-10-15","description":"","custom_fields":[{"id":1,"name":"Subdivision","value":"EC"},{"id":4,"name":"Milepost","value":"0.015"},{"id":17,"name":"Train ID","value":"224-15"},{"id":16,"name":"Locomotive ID","value":"4054"},{"id":130,"name":"Impact","value":""},{"id":150,"name":"Time of Event (Mountain Time)","value":"21:04:07"},{"id":151,"name":"Denver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x14ac:dyDescent="0.25">
      <c r="A138" s="37" t="s">
        <v>605</v>
      </c>
      <c r="B138" s="7">
        <v>4003</v>
      </c>
      <c r="C138" s="22" t="s">
        <v>99</v>
      </c>
      <c r="D138" s="22" t="s">
        <v>267</v>
      </c>
      <c r="E138" s="13">
        <v>42658.830625000002</v>
      </c>
      <c r="F138" s="13">
        <v>42658.833587962959</v>
      </c>
      <c r="G138" s="7">
        <v>1</v>
      </c>
      <c r="H138" s="13" t="s">
        <v>395</v>
      </c>
      <c r="I138" s="13">
        <v>42658.85900462963</v>
      </c>
      <c r="J138" s="7">
        <v>0</v>
      </c>
      <c r="K138" s="112" t="str">
        <f t="shared" si="51"/>
        <v>4003/4004</v>
      </c>
      <c r="L138" s="22" t="str">
        <f>VLOOKUP(A138,'Trips&amp;Operators'!$C$1:$E$10000,3,FALSE)</f>
        <v>CHANDLER</v>
      </c>
      <c r="M138" s="6">
        <f t="shared" si="52"/>
        <v>2.5416666670935228E-2</v>
      </c>
      <c r="N138" s="7">
        <f t="shared" si="53"/>
        <v>36.600000006146729</v>
      </c>
      <c r="O138" s="7"/>
      <c r="P138" s="7"/>
      <c r="Q138" s="23"/>
      <c r="R138" s="23"/>
      <c r="S138" s="35">
        <f t="shared" si="54"/>
        <v>1</v>
      </c>
      <c r="T138" s="50" t="str">
        <f t="shared" si="55"/>
        <v>NorthBound</v>
      </c>
      <c r="U138" s="144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18:56:06-0600',mode:absolute,to:'2016-10-15 21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8" s="52" t="str">
        <f t="shared" si="57"/>
        <v>N</v>
      </c>
      <c r="X138" s="149">
        <f t="shared" si="58"/>
        <v>1</v>
      </c>
      <c r="Y138" s="67">
        <f t="shared" si="59"/>
        <v>4.6600000000000003E-2</v>
      </c>
      <c r="Z138" s="67">
        <f t="shared" si="60"/>
        <v>23.328399999999998</v>
      </c>
      <c r="AA138" s="67">
        <f t="shared" si="61"/>
        <v>23.281799999999997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62"/>
        <v>0225-15</v>
      </c>
      <c r="AE138" s="91" t="str">
        <f t="shared" si="63"/>
        <v>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 &amp; aws s3 cp s3://rtdc.mdm.uploadarchive.raw/RTDC4003/ "%USERPROFILE%\AppData\Local\Temp\OnboardLogs"\RTDC4003\2016-10-16 --exclude "*" --recursive --include "*20161016*" &amp; "%USERPROFILE%\Documents\GitHub\mrs-test-scripts\Headless Mode &amp; Sideloading\WalkAndUnGZ.bat" "%USERPROFILE%\AppData\Local\Temp\OnboardLogs"\RTDC4003\2016-10-16</v>
      </c>
      <c r="AF138" s="88" t="str">
        <f t="shared" si="64"/>
        <v>"C:\Program Files (x86)\AstroGrep\AstroGrep.exe" /spath="%USERPROFILE%\AppData\Local\Temp\OnboardLogs" /stypes="app*4003*20161016*" /stext=" 02:.+((SYSTEM_STATE.+slice.+state.+changed )|(ment ac)|(system.+state.+changed )|(\[timeout)|(PRM\|1\|D)|(kpr)|(kdp)|(\|lc)|(penalty))" /e /r /s</v>
      </c>
      <c r="AG138" s="1" t="str">
        <f t="shared" si="65"/>
        <v>EC</v>
      </c>
      <c r="AH138" s="92" t="str">
        <f t="shared" si="49"/>
        <v>"%USERPROFILE%\Documents\GitHub\eaglep3\Utilities\RefineRTDCRunTimes.py" --tripid 225-15 --locoid 4003 --swversion DE.1.0.7.0 --startMP 204:466 --initTime 2016-10-15T19:56:06 --startdatetime 2016-10-15T20:00:22 --delay 1 --endMP 204:233284 --enddatetime 2016-10-15T20:36:58 --enforcementcount 0 &gt;&gt;C:\Users\stu\Documents\GitHub\eaglep3-reporting\EC\2016-10-15-refined-times.txt</v>
      </c>
      <c r="AI138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{"issue":{"subject":"","project_id":79,"tracker_id":40,"status_id":1,"priority_id":2,"assigned_to_id":23,"start_date":"2016-10-15","description":"","custom_fields":[{"id":1,"name":"Subdivision","value":"EC"},{"id":4,"name":"Milepost","value":"23.3284"},{"id":17,"name":"Train ID","value":"225-15"},{"id":16,"name":"Locomotive ID","value":"4003"},{"id":130,"name":"Impact","value":""},{"id":150,"name":"Time of Event (Mountain Time)","value":"20:36:58"},{"id":151,"name":"Denver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s="21" customFormat="1" x14ac:dyDescent="0.25">
      <c r="A139" s="37" t="s">
        <v>610</v>
      </c>
      <c r="B139" s="7">
        <v>4004</v>
      </c>
      <c r="C139" s="22" t="s">
        <v>99</v>
      </c>
      <c r="D139" s="22" t="s">
        <v>267</v>
      </c>
      <c r="E139" s="13">
        <v>42658.830625000002</v>
      </c>
      <c r="F139" s="13">
        <v>42658.872476851851</v>
      </c>
      <c r="G139" s="7">
        <v>1</v>
      </c>
      <c r="H139" s="13" t="s">
        <v>395</v>
      </c>
      <c r="I139" s="13">
        <v>42658.88486111111</v>
      </c>
      <c r="J139" s="7">
        <v>0</v>
      </c>
      <c r="K139" s="112" t="str">
        <f t="shared" ref="K139" si="66">IF(ISEVEN(B139),(B139-1)&amp;"/"&amp;B139,B139&amp;"/"&amp;(B139+1))</f>
        <v>4003/4004</v>
      </c>
      <c r="L139" s="22" t="str">
        <f>VLOOKUP(A139,'Trips&amp;Operators'!$C$1:$E$10000,3,FALSE)</f>
        <v>CHANDLER</v>
      </c>
      <c r="M139" s="6">
        <f t="shared" ref="M139" si="67">I139-F139</f>
        <v>1.2384259258396924E-2</v>
      </c>
      <c r="N139" s="7"/>
      <c r="O139" s="7"/>
      <c r="P139" s="7">
        <f t="shared" si="53"/>
        <v>17.83333333209157</v>
      </c>
      <c r="Q139" s="23"/>
      <c r="R139" s="23" t="s">
        <v>759</v>
      </c>
      <c r="S139" s="35">
        <f t="shared" ref="S139" si="68">SUM(U139:U139)/IF(AG139="EC",12,1)</f>
        <v>0</v>
      </c>
      <c r="T139" s="50" t="str">
        <f t="shared" ref="T139" si="69">IF(ISEVEN(LEFT(AD139,4)),"Southbound","NorthBound")</f>
        <v>Southbound</v>
      </c>
      <c r="U139" s="144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0</v>
      </c>
      <c r="V139" s="98" t="str">
        <f t="shared" ref="V139" si="70"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https://search-rtdc-monitor-bjffxe2xuh6vdkpspy63sjmuny.us-east-1.es.amazonaws.com/_plugin/kibana/#/discover/Steve-Slow-Train-Analysis-(2080s-and-2083s)?_g=(refreshInterval:(display:Off,section:0,value:0),time:(from:'2016-10-15 18:56:06-0600',mode:absolute,to:'2016-10-15 22:14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9" s="52" t="str">
        <f t="shared" ref="W139" si="71">IF(AA139&lt;IF(AG139="EC",23,5.65),"Y","N")</f>
        <v>Y</v>
      </c>
      <c r="X139" s="149">
        <f t="shared" si="58"/>
        <v>1</v>
      </c>
      <c r="Y139" s="67">
        <v>23.3</v>
      </c>
      <c r="Z139" s="67">
        <v>11.0428</v>
      </c>
      <c r="AA139" s="67">
        <f t="shared" ref="AA139" si="72">ABS(Z139-Y139)</f>
        <v>12.257200000000001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62"/>
        <v>0226-15</v>
      </c>
      <c r="AE139" s="91" t="str">
        <f t="shared" ref="AE139" si="73"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 &amp; aws s3 cp s3://rtdc.mdm.uploadarchive.raw/RTDC4004/ "%USERPROFILE%\AppData\Local\Temp\OnboardLogs"\RTDC4004\2016-10-16 --exclude "*" --recursive --include "*20161016*" &amp; "%USERPROFILE%\Documents\GitHub\mrs-test-scripts\Headless Mode &amp; Sideloading\WalkAndUnGZ.bat" "%USERPROFILE%\AppData\Local\Temp\OnboardLogs"\RTDC4004\2016-10-16</v>
      </c>
      <c r="AF139" s="88" t="str">
        <f t="shared" ref="AF139" si="74"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/stypes="app*4004*20161016*" /stext=" 03:.+((SYSTEM_STATE.+slice.+state.+changed )|(ment ac)|(system.+state.+changed )|(\[timeout)|(PRM\|1\|D)|(kpr)|(kdp)|(\|lc)|(penalty))" /e /r /s</v>
      </c>
      <c r="AG139" s="1" t="str">
        <f t="shared" ref="AG139" si="75">IFERROR(IF(VALUE(LEFT(AD139,2))&lt;=2,"EC",IF(OR(VALUE(LEFT(AD139,2))=8,VALUE(LEFT(AD139,2))=18),"NW","Other")),"Other")</f>
        <v>EC</v>
      </c>
      <c r="AH139" s="92" t="str">
        <f t="shared" ref="AH139" si="76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226-15 --locoid 4004 --swversion DE.1.0.7.0 --startMP 204:466 --initTime 2016-10-15T19:56:06 --startdatetime 2016-10-15T20:56:22 --delay 1 --endMP 204:233284 --enddatetime 2016-10-15T21:14:12 --enforcementcount 0 &gt;&gt;C:\Users\stu\Documents\GitHub\eaglep3-reporting\EC\2016-10-15-refined-times.txt</v>
      </c>
      <c r="AI139" s="122" t="str">
        <f t="shared" ref="AI139" si="77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{"issue":{"subject":"All back-office virtual machines down from 10/15/2016 21:14:48 - 10/15/2016 23:00:00","project_id":79,"tracker_id":40,"status_id":1,"priority_id":2,"assigned_to_id":23,"start_date":"2016-10-15","description":"See title","custom_fields":[{"id":1,"name":"Subdivision","value":"EC"},{"id":4,"name":"Milepost","value":"11.0428"},{"id":17,"name":"Train ID","value":"226-15"},{"id":16,"name":"Locomotive ID","value":"4004"},{"id":130,"name":"Impact","value":"Unexpected Cut-Out or Disengaged"},{"id":150,"name":"Time of Event (Mountain Time)","value":"21:14:12"},{"id":151,"name":"Denver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39" s="61" t="s">
        <v>760</v>
      </c>
      <c r="AK139" s="53" t="s">
        <v>132</v>
      </c>
      <c r="AL139" s="53" t="s">
        <v>135</v>
      </c>
    </row>
    <row r="140" spans="1:91" s="21" customFormat="1" x14ac:dyDescent="0.25">
      <c r="A140" s="37" t="s">
        <v>608</v>
      </c>
      <c r="B140" s="7">
        <v>4016</v>
      </c>
      <c r="C140" s="22" t="s">
        <v>99</v>
      </c>
      <c r="D140" s="22" t="s">
        <v>265</v>
      </c>
      <c r="E140" s="13">
        <v>42658.845266203702</v>
      </c>
      <c r="F140" s="13">
        <v>42658.854351851849</v>
      </c>
      <c r="G140" s="7">
        <v>1</v>
      </c>
      <c r="H140" s="13" t="s">
        <v>320</v>
      </c>
      <c r="I140" s="13">
        <v>42658.880682870367</v>
      </c>
      <c r="J140" s="7">
        <v>0</v>
      </c>
      <c r="K140" s="112" t="str">
        <f t="shared" si="51"/>
        <v>4015/4016</v>
      </c>
      <c r="L140" s="22" t="str">
        <f>VLOOKUP(A140,'Trips&amp;Operators'!$C$1:$E$10000,3,FALSE)</f>
        <v>BRANDNER</v>
      </c>
      <c r="M140" s="6">
        <f t="shared" si="52"/>
        <v>2.6331018518249039E-2</v>
      </c>
      <c r="N140" s="7">
        <f t="shared" si="53"/>
        <v>37.916666666278616</v>
      </c>
      <c r="O140" s="7"/>
      <c r="P140" s="7"/>
      <c r="Q140" s="23"/>
      <c r="R140" s="23"/>
      <c r="S140" s="35">
        <f t="shared" si="54"/>
        <v>1</v>
      </c>
      <c r="T140" s="50" t="str">
        <f t="shared" si="55"/>
        <v>NorthBound</v>
      </c>
      <c r="U140" s="144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https://search-rtdc-monitor-bjffxe2xuh6vdkpspy63sjmuny.us-east-1.es.amazonaws.com/_plugin/kibana/#/discover/Steve-Slow-Train-Analysis-(2080s-and-2083s)?_g=(refreshInterval:(display:Off,section:0,value:0),time:(from:'2016-10-15 19:17:11-0600',mode:absolute,to:'2016-10-15 22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0" s="52" t="str">
        <f t="shared" si="57"/>
        <v>N</v>
      </c>
      <c r="X140" s="149">
        <f t="shared" si="58"/>
        <v>1</v>
      </c>
      <c r="Y140" s="67">
        <f t="shared" si="59"/>
        <v>4.6199999999999998E-2</v>
      </c>
      <c r="Z140" s="67">
        <f t="shared" si="60"/>
        <v>23.330100000000002</v>
      </c>
      <c r="AA140" s="67">
        <f t="shared" si="61"/>
        <v>23.283900000000003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62"/>
        <v>0227-15</v>
      </c>
      <c r="AE140" s="91" t="str">
        <f t="shared" ref="AE140:AE152" si="78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s3://rtdc.mdm.uploadarchive.raw/RTDC4016/ "%USERPROFILE%\AppData\Local\Temp\OnboardLogs"\RTDC4016\2016-10-15 --exclude "*" --recursive --include "*20161015*" &amp; "%USERPROFILE%\Documents\GitHub\mrs-test-scripts\Headless Mode &amp; Sideloading\WalkAndUnGZ.bat" "%USERPROFILE%\AppData\Local\Temp\OnboardLogs"\RTDC4016\2016-10-15 &amp; aws s3 cp s3://rtdc.mdm.uploadarchive.raw/RTDC4016/ "%USERPROFILE%\AppData\Local\Temp\OnboardLogs"\RTDC4016\2016-10-16 --exclude "*" --recursive --include "*20161016*" &amp; "%USERPROFILE%\Documents\GitHub\mrs-test-scripts\Headless Mode &amp; Sideloading\WalkAndUnGZ.bat" "%USERPROFILE%\AppData\Local\Temp\OnboardLogs"\RTDC4016\2016-10-16</v>
      </c>
      <c r="AF140" s="88" t="str">
        <f t="shared" ref="AF140:AF152" si="79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/stypes="app*4016*20161016*" /stext=" 03:.+((SYSTEM_STATE.+slice.+state.+changed )|(ment ac)|(system.+state.+changed )|(\[timeout)|(PRM\|1\|D)|(kpr)|(kdp)|(\|lc)|(penalty))" /e /r /s</v>
      </c>
      <c r="AG140" s="1" t="str">
        <f t="shared" si="65"/>
        <v>EC</v>
      </c>
      <c r="AH140" s="92" t="str">
        <f t="shared" si="49"/>
        <v>"%USERPROFILE%\Documents\GitHub\eaglep3\Utilities\RefineRTDCRunTimes.py" --tripid 227-15 --locoid 4016 --swversion DE.1.0.7.0 --startMP 204:462 --initTime 2016-10-15T20:17:11 --startdatetime 2016-10-15T20:30:16 --delay 1 --endMP 204:233301 --enddatetime 2016-10-15T21:08:11 --enforcementcount 0 &gt;&gt;C:\Users\stu\Documents\GitHub\eaglep3-reporting\EC\2016-10-15-refined-times.txt</v>
      </c>
      <c r="AI140" s="122" t="str">
        <f t="shared" si="50"/>
        <v>echo {"issue":{"subject":"","project_id":79,"tracker_id":40,"status_id":1,"priority_id":2,"assigned_to_id":23,"start_date":"2016-10-15","description":"","custom_fields":[{"id":1,"name":"Subdivision","value":"EC"},{"id":4,"name":"Milepost","value":"23.3301"},{"id":17,"name":"Train ID","value":"227-15"},{"id":16,"name":"Locomotive ID","value":"4016"},{"id":130,"name":"Impact","value":""},{"id":150,"name":"Time of Event (Mountain Time)","value":"21:08:11"},{"id":151,"name":"Denver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750</v>
      </c>
      <c r="B141" s="7"/>
      <c r="C141" s="22"/>
      <c r="D141" s="22"/>
      <c r="E141" s="13"/>
      <c r="F141" s="13">
        <v>42658.885277777779</v>
      </c>
      <c r="G141" s="7"/>
      <c r="H141" s="13"/>
      <c r="I141" s="13">
        <v>42658.885277777779</v>
      </c>
      <c r="J141" s="7"/>
      <c r="K141" s="112"/>
      <c r="L141" s="22"/>
      <c r="M141" s="6"/>
      <c r="N141" s="7"/>
      <c r="O141" s="7"/>
      <c r="P141" s="7">
        <v>1</v>
      </c>
      <c r="Q141" s="23"/>
      <c r="R141" s="23" t="s">
        <v>759</v>
      </c>
      <c r="S141" s="35">
        <v>0</v>
      </c>
      <c r="T141" s="50" t="str">
        <f t="shared" si="55"/>
        <v>Southbound</v>
      </c>
      <c r="U141" s="144"/>
      <c r="V141" s="98"/>
      <c r="W141" s="52"/>
      <c r="X141" s="149">
        <f t="shared" si="58"/>
        <v>1</v>
      </c>
      <c r="Y141" s="67"/>
      <c r="Z141" s="67"/>
      <c r="AA141" s="67"/>
      <c r="AB141" s="64"/>
      <c r="AC141" s="60"/>
      <c r="AD141" s="61" t="str">
        <f t="shared" si="62"/>
        <v>0228-15</v>
      </c>
      <c r="AE141" s="91" t="str">
        <f t="shared" si="78"/>
        <v>aws s3 cp s3://rtdc.mdm.uploadarchive.raw/RTDC/ "%USERPROFILE%\AppData\Local\Temp\OnboardLogs"\RTDC\2016-10-15 --exclude "*" --recursive --include "*20161015*" &amp; "%USERPROFILE%\Documents\GitHub\mrs-test-scripts\Headless Mode &amp; Sideloading\WalkAndUnGZ.bat" "%USERPROFILE%\AppData\Local\Temp\OnboardLogs"\RTDC\2016-10-15 &amp; aws s3 cp s3://rtdc.mdm.uploadarchive.raw/RTDC/ "%USERPROFILE%\AppData\Local\Temp\OnboardLogs"\RTDC\2016-10-16 --exclude "*" --recursive --include "*20161016*" &amp; "%USERPROFILE%\Documents\GitHub\mrs-test-scripts\Headless Mode &amp; Sideloading\WalkAndUnGZ.bat" "%USERPROFILE%\AppData\Local\Temp\OnboardLogs"\RTDC\2016-10-16</v>
      </c>
      <c r="AF141" s="88" t="str">
        <f t="shared" si="79"/>
        <v>"C:\Program Files (x86)\AstroGrep\AstroGrep.exe" /spath="%USERPROFILE%\AppData\Local\Temp\OnboardLogs" /stypes="app**20161016*" /stext=" 03:.+((SYSTEM_STATE.+slice.+state.+changed )|(ment ac)|(system.+state.+changed )|(\[timeout)|(PRM\|1\|D)|(kpr)|(kdp)|(\|lc)|(penalty))" /e /r /s</v>
      </c>
      <c r="AG141" s="1" t="str">
        <f t="shared" si="65"/>
        <v>EC</v>
      </c>
      <c r="AH141" s="92" t="str">
        <f t="shared" ref="AH141:AH153" si="8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228-15 --locoid  --swversion  --startMP  --initTime 1900-01-00T00:00:00 --startdatetime 2016-10-15T21:14:48 --delay  --endMP  --enddatetime 2016-10-15T21:14:48 --enforcementcount  &gt;&gt;C:\Users\stu\Documents\GitHub\eaglep3-reporting\EC\2016-10-15-refined-times.txt</v>
      </c>
      <c r="AI141" s="122" t="str">
        <f t="shared" ref="AI141:AI153" si="8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{"issue":{"subject":"All back-office virtual machines down from 10/15/2016 21:14:48 - 10/15/2016 23:00:00","project_id":79,"tracker_id":40,"status_id":1,"priority_id":2,"assigned_to_id":23,"start_date":"2016-10-15","description":"See title","custom_fields":[{"id":1,"name":"Subdivision","value":"EC"},{"id":4,"name":"Milepost","value":""},{"id":17,"name":"Train ID","value":"228-15"},{"id":16,"name":"Locomotive ID","value":""},{"id":130,"name":"Impact","value":"Initialization Problem"},{"id":150,"name":"Time of Event (Mountain Time)","value":"21:14:48"},{"id":151,"name":"Denver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41" s="61" t="s">
        <v>760</v>
      </c>
      <c r="AK141" s="53" t="s">
        <v>134</v>
      </c>
      <c r="AL141" s="53" t="s">
        <v>135</v>
      </c>
    </row>
    <row r="142" spans="1:91" s="21" customFormat="1" x14ac:dyDescent="0.25">
      <c r="A142" s="37" t="s">
        <v>611</v>
      </c>
      <c r="B142" s="7">
        <v>4020</v>
      </c>
      <c r="C142" s="22" t="s">
        <v>99</v>
      </c>
      <c r="D142" s="22" t="s">
        <v>253</v>
      </c>
      <c r="E142" s="13">
        <v>42658.870682870373</v>
      </c>
      <c r="F142" s="13">
        <v>42658.875185185185</v>
      </c>
      <c r="G142" s="7">
        <v>1</v>
      </c>
      <c r="H142" s="13" t="s">
        <v>709</v>
      </c>
      <c r="I142" s="13">
        <v>42658.884363425925</v>
      </c>
      <c r="J142" s="7">
        <v>0</v>
      </c>
      <c r="K142" s="112" t="str">
        <f t="shared" ref="K142:K179" si="82">IF(ISEVEN(B142),(B142-1)&amp;"/"&amp;B142,B142&amp;"/"&amp;(B142+1))</f>
        <v>4019/4020</v>
      </c>
      <c r="L142" s="22" t="str">
        <f>VLOOKUP(A142,'Trips&amp;Operators'!$C$1:$E$10000,3,FALSE)</f>
        <v>LEVIN</v>
      </c>
      <c r="M142" s="6">
        <f t="shared" ref="M142:M179" si="83">I142-F142</f>
        <v>9.1782407398568466E-3</v>
      </c>
      <c r="N142" s="7"/>
      <c r="O142" s="7"/>
      <c r="P142" s="7">
        <f t="shared" ref="N142:P179" si="84">24*60*SUM($M142:$M142)</f>
        <v>13.216666665393859</v>
      </c>
      <c r="Q142" s="23"/>
      <c r="R142" s="23" t="s">
        <v>759</v>
      </c>
      <c r="S142" s="35">
        <f t="shared" ref="S142:S179" si="85">SUM(U142:U142)/IF(AG142="EC",12,1)</f>
        <v>0.75</v>
      </c>
      <c r="T142" s="50" t="str">
        <f t="shared" ref="T142:T179" si="86">IF(ISEVEN(LEFT(AD142,4)),"Southbound","NorthBound")</f>
        <v>NorthBound</v>
      </c>
      <c r="U142" s="144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9</v>
      </c>
      <c r="V142" s="98" t="str">
        <f t="shared" ref="V142:V179" si="87"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https://search-rtdc-monitor-bjffxe2xuh6vdkpspy63sjmuny.us-east-1.es.amazonaws.com/_plugin/kibana/#/discover/Steve-Slow-Train-Analysis-(2080s-and-2083s)?_g=(refreshInterval:(display:Off,section:0,value:0),time:(from:'2016-10-15 19:53:47-0600',mode:absolute,to:'2016-10-15 22:13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2" s="52" t="str">
        <f t="shared" ref="W142:W179" si="88">IF(AA142&lt;IF(AG142="EC",23,5.65),"Y","N")</f>
        <v>Y</v>
      </c>
      <c r="X142" s="149">
        <f t="shared" si="58"/>
        <v>1</v>
      </c>
      <c r="Y142" s="67">
        <f t="shared" ref="Y142:Y179" si="89">RIGHT(D142,LEN(D142)-4)/10000</f>
        <v>4.53E-2</v>
      </c>
      <c r="Z142" s="67">
        <v>6.4</v>
      </c>
      <c r="AA142" s="67">
        <f t="shared" ref="AA142:AA179" si="90">ABS(Z142-Y142)</f>
        <v>6.3547000000000002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62"/>
        <v>0229-15</v>
      </c>
      <c r="AE142" s="91" t="str">
        <f t="shared" si="78"/>
        <v>aws s3 cp s3://rtdc.mdm.uploadarchive.raw/RTDC4020/ "%USERPROFILE%\AppData\Local\Temp\OnboardLogs"\RTDC4020\2016-10-15 --exclude "*" --recursive --include "*20161015*" &amp; "%USERPROFILE%\Documents\GitHub\mrs-test-scripts\Headless Mode &amp; Sideloading\WalkAndUnGZ.bat" "%USERPROFILE%\AppData\Local\Temp\OnboardLogs"\RTDC4020\2016-10-15 &amp; aws s3 cp s3://rtdc.mdm.uploadarchive.raw/RTDC4020/ "%USERPROFILE%\AppData\Local\Temp\OnboardLogs"\RTDC4020\2016-10-16 --exclude "*" --recursive --include "*20161016*" &amp; "%USERPROFILE%\Documents\GitHub\mrs-test-scripts\Headless Mode &amp; Sideloading\WalkAndUnGZ.bat" "%USERPROFILE%\AppData\Local\Temp\OnboardLogs"\RTDC4020\2016-10-16</v>
      </c>
      <c r="AF142" s="88" t="str">
        <f t="shared" si="79"/>
        <v>"C:\Program Files (x86)\AstroGrep\AstroGrep.exe" /spath="%USERPROFILE%\AppData\Local\Temp\OnboardLogs" /stypes="app*4020*20161016*" /stext=" 03:.+((SYSTEM_STATE.+slice.+state.+changed )|(ment ac)|(system.+state.+changed )|(\[timeout)|(PRM\|1\|D)|(kpr)|(kdp)|(\|lc)|(penalty))" /e /r /s</v>
      </c>
      <c r="AG142" s="1" t="str">
        <f t="shared" si="65"/>
        <v>EC</v>
      </c>
      <c r="AH142" s="92" t="str">
        <f t="shared" si="80"/>
        <v>"%USERPROFILE%\Documents\GitHub\eaglep3\Utilities\RefineRTDCRunTimes.py" --tripid 229-15 --locoid 4020 --swversion DE.1.0.7.0 --startMP 204:453 --initTime 2016-10-15T20:53:47 --startdatetime 2016-10-15T21:00:16 --delay 1 --endMP 204:233321 --enddatetime 2016-10-15T21:13:29 --enforcementcount 0 &gt;&gt;C:\Users\stu\Documents\GitHub\eaglep3-reporting\EC\2016-10-15-refined-times.txt</v>
      </c>
      <c r="AI142" s="122" t="str">
        <f t="shared" si="81"/>
        <v>echo {"issue":{"subject":"All back-office virtual machines down from 10/15/2016 21:14:48 - 10/15/2016 23:00:00","project_id":79,"tracker_id":40,"status_id":1,"priority_id":2,"assigned_to_id":23,"start_date":"2016-10-15","description":"See title","custom_fields":[{"id":1,"name":"Subdivision","value":"EC"},{"id":4,"name":"Milepost","value":"6.4"},{"id":17,"name":"Train ID","value":"229-15"},{"id":16,"name":"Locomotive ID","value":"4020"},{"id":130,"name":"Impact","value":"Unexpected Cut-Out or Disengaged"},{"id":150,"name":"Time of Event (Mountain Time)","value":"21:13:29"},{"id":151,"name":"Denver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42" s="61" t="s">
        <v>760</v>
      </c>
      <c r="AK142" s="53" t="s">
        <v>132</v>
      </c>
      <c r="AL142" s="53" t="s">
        <v>135</v>
      </c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751</v>
      </c>
      <c r="B143" s="7"/>
      <c r="C143" s="22"/>
      <c r="D143" s="22"/>
      <c r="E143" s="13"/>
      <c r="F143" s="13">
        <v>42658.885277777779</v>
      </c>
      <c r="G143" s="7"/>
      <c r="H143" s="13"/>
      <c r="I143" s="13">
        <v>42658.885277777779</v>
      </c>
      <c r="J143" s="7"/>
      <c r="K143" s="112"/>
      <c r="L143" s="22"/>
      <c r="M143" s="6"/>
      <c r="N143" s="7"/>
      <c r="O143" s="7"/>
      <c r="P143" s="7">
        <v>1</v>
      </c>
      <c r="Q143" s="23"/>
      <c r="R143" s="23" t="s">
        <v>759</v>
      </c>
      <c r="S143" s="35">
        <v>0</v>
      </c>
      <c r="T143" s="50"/>
      <c r="U143" s="144"/>
      <c r="V143" s="98"/>
      <c r="W143" s="52"/>
      <c r="X143" s="149">
        <f t="shared" si="58"/>
        <v>1</v>
      </c>
      <c r="Y143" s="67"/>
      <c r="Z143" s="67"/>
      <c r="AA143" s="67"/>
      <c r="AB143" s="64"/>
      <c r="AC143" s="60"/>
      <c r="AD143" s="61" t="str">
        <f t="shared" si="62"/>
        <v>0230-15</v>
      </c>
      <c r="AE143" s="91" t="str">
        <f t="shared" si="78"/>
        <v>aws s3 cp s3://rtdc.mdm.uploadarchive.raw/RTDC/ "%USERPROFILE%\AppData\Local\Temp\OnboardLogs"\RTDC\2016-10-15 --exclude "*" --recursive --include "*20161015*" &amp; "%USERPROFILE%\Documents\GitHub\mrs-test-scripts\Headless Mode &amp; Sideloading\WalkAndUnGZ.bat" "%USERPROFILE%\AppData\Local\Temp\OnboardLogs"\RTDC\2016-10-15 &amp; aws s3 cp s3://rtdc.mdm.uploadarchive.raw/RTDC/ "%USERPROFILE%\AppData\Local\Temp\OnboardLogs"\RTDC\2016-10-16 --exclude "*" --recursive --include "*20161016*" &amp; "%USERPROFILE%\Documents\GitHub\mrs-test-scripts\Headless Mode &amp; Sideloading\WalkAndUnGZ.bat" "%USERPROFILE%\AppData\Local\Temp\OnboardLogs"\RTDC\2016-10-16</v>
      </c>
      <c r="AF143" s="88" t="str">
        <f t="shared" si="79"/>
        <v>"C:\Program Files (x86)\AstroGrep\AstroGrep.exe" /spath="%USERPROFILE%\AppData\Local\Temp\OnboardLogs" /stypes="app**20161016*" /stext=" 03:.+((SYSTEM_STATE.+slice.+state.+changed )|(ment ac)|(system.+state.+changed )|(\[timeout)|(PRM\|1\|D)|(kpr)|(kdp)|(\|lc)|(penalty))" /e /r /s</v>
      </c>
      <c r="AG143" s="1" t="str">
        <f t="shared" si="65"/>
        <v>EC</v>
      </c>
      <c r="AH143" s="92" t="str">
        <f t="shared" si="80"/>
        <v>"%USERPROFILE%\Documents\GitHub\eaglep3\Utilities\RefineRTDCRunTimes.py" --tripid 230-15 --locoid  --swversion  --startMP  --initTime 1900-01-00T00:00:00 --startdatetime 2016-10-15T21:14:48 --delay  --endMP  --enddatetime 2016-10-15T21:14:48 --enforcementcount  &gt;&gt;C:\Users\stu\Documents\GitHub\eaglep3-reporting\EC\2016-10-15-refined-times.txt</v>
      </c>
      <c r="AI143" s="122" t="str">
        <f t="shared" si="81"/>
        <v>echo {"issue":{"subject":"All back-office virtual machines down from 10/15/2016 21:14:48 - 10/15/2016 23:00:00","project_id":79,"tracker_id":40,"status_id":1,"priority_id":2,"assigned_to_id":23,"start_date":"2016-10-15","description":"See title","custom_fields":[{"id":1,"name":"Subdivision","value":"EC"},{"id":4,"name":"Milepost","value":""},{"id":17,"name":"Train ID","value":"230-15"},{"id":16,"name":"Locomotive ID","value":""},{"id":130,"name":"Impact","value":"Initialization Problem"},{"id":150,"name":"Time of Event (Mountain Time)","value":"21:14:48"},{"id":151,"name":"Denver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43" s="61" t="s">
        <v>760</v>
      </c>
      <c r="AK143" s="53" t="s">
        <v>134</v>
      </c>
      <c r="AL143" s="53" t="s">
        <v>135</v>
      </c>
    </row>
    <row r="144" spans="1:91" s="21" customFormat="1" x14ac:dyDescent="0.25">
      <c r="A144" s="37" t="s">
        <v>752</v>
      </c>
      <c r="B144" s="7"/>
      <c r="C144" s="22"/>
      <c r="D144" s="22"/>
      <c r="E144" s="13"/>
      <c r="F144" s="13">
        <v>42658.885277777779</v>
      </c>
      <c r="G144" s="7"/>
      <c r="H144" s="13"/>
      <c r="I144" s="13">
        <v>42658.885277777779</v>
      </c>
      <c r="J144" s="7"/>
      <c r="K144" s="112"/>
      <c r="L144" s="22"/>
      <c r="M144" s="6"/>
      <c r="N144" s="7"/>
      <c r="O144" s="7"/>
      <c r="P144" s="7">
        <v>1</v>
      </c>
      <c r="Q144" s="23"/>
      <c r="R144" s="23" t="s">
        <v>759</v>
      </c>
      <c r="S144" s="35">
        <v>0</v>
      </c>
      <c r="T144" s="50"/>
      <c r="U144" s="144"/>
      <c r="V144" s="98"/>
      <c r="W144" s="52"/>
      <c r="X144" s="149">
        <f t="shared" si="58"/>
        <v>1</v>
      </c>
      <c r="Y144" s="67"/>
      <c r="Z144" s="67"/>
      <c r="AA144" s="67"/>
      <c r="AB144" s="64"/>
      <c r="AC144" s="60"/>
      <c r="AD144" s="61" t="str">
        <f t="shared" si="62"/>
        <v>0231-15</v>
      </c>
      <c r="AE144" s="91" t="str">
        <f t="shared" si="78"/>
        <v>aws s3 cp s3://rtdc.mdm.uploadarchive.raw/RTDC/ "%USERPROFILE%\AppData\Local\Temp\OnboardLogs"\RTDC\2016-10-15 --exclude "*" --recursive --include "*20161015*" &amp; "%USERPROFILE%\Documents\GitHub\mrs-test-scripts\Headless Mode &amp; Sideloading\WalkAndUnGZ.bat" "%USERPROFILE%\AppData\Local\Temp\OnboardLogs"\RTDC\2016-10-15 &amp; aws s3 cp s3://rtdc.mdm.uploadarchive.raw/RTDC/ "%USERPROFILE%\AppData\Local\Temp\OnboardLogs"\RTDC\2016-10-16 --exclude "*" --recursive --include "*20161016*" &amp; "%USERPROFILE%\Documents\GitHub\mrs-test-scripts\Headless Mode &amp; Sideloading\WalkAndUnGZ.bat" "%USERPROFILE%\AppData\Local\Temp\OnboardLogs"\RTDC\2016-10-16</v>
      </c>
      <c r="AF144" s="88" t="str">
        <f t="shared" si="79"/>
        <v>"C:\Program Files (x86)\AstroGrep\AstroGrep.exe" /spath="%USERPROFILE%\AppData\Local\Temp\OnboardLogs" /stypes="app**20161016*" /stext=" 03:.+((SYSTEM_STATE.+slice.+state.+changed )|(ment ac)|(system.+state.+changed )|(\[timeout)|(PRM\|1\|D)|(kpr)|(kdp)|(\|lc)|(penalty))" /e /r /s</v>
      </c>
      <c r="AG144" s="1" t="str">
        <f t="shared" si="65"/>
        <v>EC</v>
      </c>
      <c r="AH144" s="92" t="str">
        <f t="shared" si="80"/>
        <v>"%USERPROFILE%\Documents\GitHub\eaglep3\Utilities\RefineRTDCRunTimes.py" --tripid 231-15 --locoid  --swversion  --startMP  --initTime 1900-01-00T00:00:00 --startdatetime 2016-10-15T21:14:48 --delay  --endMP  --enddatetime 2016-10-15T21:14:48 --enforcementcount  &gt;&gt;C:\Users\stu\Documents\GitHub\eaglep3-reporting\EC\2016-10-15-refined-times.txt</v>
      </c>
      <c r="AI144" s="122" t="str">
        <f t="shared" si="81"/>
        <v>echo {"issue":{"subject":"All back-office virtual machines down from 10/15/2016 21:14:48 - 10/15/2016 23:00:00","project_id":79,"tracker_id":40,"status_id":1,"priority_id":2,"assigned_to_id":23,"start_date":"2016-10-15","description":"See title","custom_fields":[{"id":1,"name":"Subdivision","value":"EC"},{"id":4,"name":"Milepost","value":""},{"id":17,"name":"Train ID","value":"231-15"},{"id":16,"name":"Locomotive ID","value":""},{"id":130,"name":"Impact","value":"Initialization Problem"},{"id":150,"name":"Time of Event (Mountain Time)","value":"21:14:48"},{"id":151,"name":"Denver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44" s="61" t="s">
        <v>760</v>
      </c>
      <c r="AK144" s="53" t="s">
        <v>134</v>
      </c>
      <c r="AL144" s="53" t="s">
        <v>135</v>
      </c>
    </row>
    <row r="145" spans="1:91" s="21" customFormat="1" x14ac:dyDescent="0.25">
      <c r="A145" s="37" t="s">
        <v>753</v>
      </c>
      <c r="B145" s="7"/>
      <c r="C145" s="22"/>
      <c r="D145" s="22"/>
      <c r="E145" s="13"/>
      <c r="F145" s="13">
        <v>42658.885277777779</v>
      </c>
      <c r="G145" s="7"/>
      <c r="H145" s="13"/>
      <c r="I145" s="13">
        <v>42658.885277777779</v>
      </c>
      <c r="J145" s="7"/>
      <c r="K145" s="112"/>
      <c r="L145" s="22"/>
      <c r="M145" s="6"/>
      <c r="N145" s="7"/>
      <c r="O145" s="7"/>
      <c r="P145" s="7">
        <v>1</v>
      </c>
      <c r="Q145" s="23"/>
      <c r="R145" s="23" t="s">
        <v>759</v>
      </c>
      <c r="S145" s="35">
        <v>0</v>
      </c>
      <c r="T145" s="50"/>
      <c r="U145" s="144"/>
      <c r="V145" s="98"/>
      <c r="W145" s="52"/>
      <c r="X145" s="149">
        <f t="shared" si="58"/>
        <v>1</v>
      </c>
      <c r="Y145" s="67"/>
      <c r="Z145" s="67"/>
      <c r="AA145" s="67"/>
      <c r="AB145" s="64"/>
      <c r="AC145" s="60"/>
      <c r="AD145" s="61" t="str">
        <f t="shared" si="62"/>
        <v>0232-15</v>
      </c>
      <c r="AE145" s="91" t="str">
        <f t="shared" si="78"/>
        <v>aws s3 cp s3://rtdc.mdm.uploadarchive.raw/RTDC/ "%USERPROFILE%\AppData\Local\Temp\OnboardLogs"\RTDC\2016-10-15 --exclude "*" --recursive --include "*20161015*" &amp; "%USERPROFILE%\Documents\GitHub\mrs-test-scripts\Headless Mode &amp; Sideloading\WalkAndUnGZ.bat" "%USERPROFILE%\AppData\Local\Temp\OnboardLogs"\RTDC\2016-10-15 &amp; aws s3 cp s3://rtdc.mdm.uploadarchive.raw/RTDC/ "%USERPROFILE%\AppData\Local\Temp\OnboardLogs"\RTDC\2016-10-16 --exclude "*" --recursive --include "*20161016*" &amp; "%USERPROFILE%\Documents\GitHub\mrs-test-scripts\Headless Mode &amp; Sideloading\WalkAndUnGZ.bat" "%USERPROFILE%\AppData\Local\Temp\OnboardLogs"\RTDC\2016-10-16</v>
      </c>
      <c r="AF145" s="88" t="str">
        <f t="shared" si="79"/>
        <v>"C:\Program Files (x86)\AstroGrep\AstroGrep.exe" /spath="%USERPROFILE%\AppData\Local\Temp\OnboardLogs" /stypes="app**20161016*" /stext=" 03:.+((SYSTEM_STATE.+slice.+state.+changed )|(ment ac)|(system.+state.+changed )|(\[timeout)|(PRM\|1\|D)|(kpr)|(kdp)|(\|lc)|(penalty))" /e /r /s</v>
      </c>
      <c r="AG145" s="1" t="str">
        <f t="shared" si="65"/>
        <v>EC</v>
      </c>
      <c r="AH145" s="92" t="str">
        <f t="shared" si="80"/>
        <v>"%USERPROFILE%\Documents\GitHub\eaglep3\Utilities\RefineRTDCRunTimes.py" --tripid 232-15 --locoid  --swversion  --startMP  --initTime 1900-01-00T00:00:00 --startdatetime 2016-10-15T21:14:48 --delay  --endMP  --enddatetime 2016-10-15T21:14:48 --enforcementcount  &gt;&gt;C:\Users\stu\Documents\GitHub\eaglep3-reporting\EC\2016-10-15-refined-times.txt</v>
      </c>
      <c r="AI145" s="122" t="str">
        <f t="shared" si="81"/>
        <v>echo {"issue":{"subject":"All back-office virtual machines down from 10/15/2016 21:14:48 - 10/15/2016 23:00:00","project_id":79,"tracker_id":40,"status_id":1,"priority_id":2,"assigned_to_id":23,"start_date":"2016-10-15","description":"See title","custom_fields":[{"id":1,"name":"Subdivision","value":"EC"},{"id":4,"name":"Milepost","value":""},{"id":17,"name":"Train ID","value":"232-15"},{"id":16,"name":"Locomotive ID","value":""},{"id":130,"name":"Impact","value":"Initialization Problem"},{"id":150,"name":"Time of Event (Mountain Time)","value":"21:14:48"},{"id":151,"name":"Denver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45" s="61" t="s">
        <v>760</v>
      </c>
      <c r="AK145" s="53" t="s">
        <v>134</v>
      </c>
      <c r="AL145" s="53" t="s">
        <v>135</v>
      </c>
    </row>
    <row r="146" spans="1:91" s="21" customFormat="1" x14ac:dyDescent="0.25">
      <c r="A146" s="37" t="s">
        <v>754</v>
      </c>
      <c r="B146" s="7"/>
      <c r="C146" s="22"/>
      <c r="D146" s="22"/>
      <c r="E146" s="13"/>
      <c r="F146" s="13">
        <v>42658.885277777779</v>
      </c>
      <c r="G146" s="7"/>
      <c r="H146" s="13"/>
      <c r="I146" s="13">
        <v>42658.885277777779</v>
      </c>
      <c r="J146" s="7"/>
      <c r="K146" s="112"/>
      <c r="L146" s="22"/>
      <c r="M146" s="6"/>
      <c r="N146" s="7"/>
      <c r="O146" s="7"/>
      <c r="P146" s="7">
        <v>1</v>
      </c>
      <c r="Q146" s="23"/>
      <c r="R146" s="23" t="s">
        <v>759</v>
      </c>
      <c r="S146" s="35">
        <v>0</v>
      </c>
      <c r="T146" s="50"/>
      <c r="U146" s="144"/>
      <c r="V146" s="98"/>
      <c r="W146" s="52"/>
      <c r="X146" s="149">
        <f t="shared" si="58"/>
        <v>1</v>
      </c>
      <c r="Y146" s="67"/>
      <c r="Z146" s="67"/>
      <c r="AA146" s="67"/>
      <c r="AB146" s="64"/>
      <c r="AC146" s="60"/>
      <c r="AD146" s="61" t="str">
        <f t="shared" si="62"/>
        <v>0233-15</v>
      </c>
      <c r="AE146" s="91" t="str">
        <f t="shared" si="78"/>
        <v>aws s3 cp s3://rtdc.mdm.uploadarchive.raw/RTDC/ "%USERPROFILE%\AppData\Local\Temp\OnboardLogs"\RTDC\2016-10-15 --exclude "*" --recursive --include "*20161015*" &amp; "%USERPROFILE%\Documents\GitHub\mrs-test-scripts\Headless Mode &amp; Sideloading\WalkAndUnGZ.bat" "%USERPROFILE%\AppData\Local\Temp\OnboardLogs"\RTDC\2016-10-15 &amp; aws s3 cp s3://rtdc.mdm.uploadarchive.raw/RTDC/ "%USERPROFILE%\AppData\Local\Temp\OnboardLogs"\RTDC\2016-10-16 --exclude "*" --recursive --include "*20161016*" &amp; "%USERPROFILE%\Documents\GitHub\mrs-test-scripts\Headless Mode &amp; Sideloading\WalkAndUnGZ.bat" "%USERPROFILE%\AppData\Local\Temp\OnboardLogs"\RTDC\2016-10-16</v>
      </c>
      <c r="AF146" s="88" t="str">
        <f t="shared" si="79"/>
        <v>"C:\Program Files (x86)\AstroGrep\AstroGrep.exe" /spath="%USERPROFILE%\AppData\Local\Temp\OnboardLogs" /stypes="app**20161016*" /stext=" 03:.+((SYSTEM_STATE.+slice.+state.+changed )|(ment ac)|(system.+state.+changed )|(\[timeout)|(PRM\|1\|D)|(kpr)|(kdp)|(\|lc)|(penalty))" /e /r /s</v>
      </c>
      <c r="AG146" s="1" t="str">
        <f t="shared" si="65"/>
        <v>EC</v>
      </c>
      <c r="AH146" s="92" t="str">
        <f t="shared" si="80"/>
        <v>"%USERPROFILE%\Documents\GitHub\eaglep3\Utilities\RefineRTDCRunTimes.py" --tripid 233-15 --locoid  --swversion  --startMP  --initTime 1900-01-00T00:00:00 --startdatetime 2016-10-15T21:14:48 --delay  --endMP  --enddatetime 2016-10-15T21:14:48 --enforcementcount  &gt;&gt;C:\Users\stu\Documents\GitHub\eaglep3-reporting\EC\2016-10-15-refined-times.txt</v>
      </c>
      <c r="AI146" s="122" t="str">
        <f t="shared" si="81"/>
        <v>echo {"issue":{"subject":"All back-office virtual machines down from 10/15/2016 21:14:48 - 10/15/2016 23:00:00","project_id":79,"tracker_id":40,"status_id":1,"priority_id":2,"assigned_to_id":23,"start_date":"2016-10-15","description":"See title","custom_fields":[{"id":1,"name":"Subdivision","value":"EC"},{"id":4,"name":"Milepost","value":""},{"id":17,"name":"Train ID","value":"233-15"},{"id":16,"name":"Locomotive ID","value":""},{"id":130,"name":"Impact","value":"Initialization Problem"},{"id":150,"name":"Time of Event (Mountain Time)","value":"21:14:48"},{"id":151,"name":"Denver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46" s="61" t="s">
        <v>760</v>
      </c>
      <c r="AK146" s="53" t="s">
        <v>134</v>
      </c>
      <c r="AL146" s="53" t="s">
        <v>135</v>
      </c>
    </row>
    <row r="147" spans="1:91" s="21" customFormat="1" x14ac:dyDescent="0.25">
      <c r="A147" s="37" t="s">
        <v>755</v>
      </c>
      <c r="B147" s="7"/>
      <c r="C147" s="22"/>
      <c r="D147" s="22"/>
      <c r="E147" s="13"/>
      <c r="F147" s="13">
        <v>42658.885277777779</v>
      </c>
      <c r="G147" s="7"/>
      <c r="H147" s="13"/>
      <c r="I147" s="13">
        <v>42658.885277777779</v>
      </c>
      <c r="J147" s="7"/>
      <c r="K147" s="112"/>
      <c r="L147" s="22"/>
      <c r="M147" s="6"/>
      <c r="N147" s="7"/>
      <c r="O147" s="7"/>
      <c r="P147" s="7">
        <v>1</v>
      </c>
      <c r="Q147" s="23"/>
      <c r="R147" s="23" t="s">
        <v>759</v>
      </c>
      <c r="S147" s="35">
        <v>0</v>
      </c>
      <c r="T147" s="50"/>
      <c r="U147" s="144"/>
      <c r="V147" s="98"/>
      <c r="W147" s="52"/>
      <c r="X147" s="149">
        <f t="shared" si="58"/>
        <v>1</v>
      </c>
      <c r="Y147" s="67"/>
      <c r="Z147" s="67"/>
      <c r="AA147" s="67"/>
      <c r="AB147" s="64"/>
      <c r="AC147" s="60"/>
      <c r="AD147" s="61" t="str">
        <f t="shared" si="62"/>
        <v>0234-15</v>
      </c>
      <c r="AE147" s="91" t="str">
        <f t="shared" si="78"/>
        <v>aws s3 cp s3://rtdc.mdm.uploadarchive.raw/RTDC/ "%USERPROFILE%\AppData\Local\Temp\OnboardLogs"\RTDC\2016-10-15 --exclude "*" --recursive --include "*20161015*" &amp; "%USERPROFILE%\Documents\GitHub\mrs-test-scripts\Headless Mode &amp; Sideloading\WalkAndUnGZ.bat" "%USERPROFILE%\AppData\Local\Temp\OnboardLogs"\RTDC\2016-10-15 &amp; aws s3 cp s3://rtdc.mdm.uploadarchive.raw/RTDC/ "%USERPROFILE%\AppData\Local\Temp\OnboardLogs"\RTDC\2016-10-16 --exclude "*" --recursive --include "*20161016*" &amp; "%USERPROFILE%\Documents\GitHub\mrs-test-scripts\Headless Mode &amp; Sideloading\WalkAndUnGZ.bat" "%USERPROFILE%\AppData\Local\Temp\OnboardLogs"\RTDC\2016-10-16</v>
      </c>
      <c r="AF147" s="88" t="str">
        <f t="shared" si="79"/>
        <v>"C:\Program Files (x86)\AstroGrep\AstroGrep.exe" /spath="%USERPROFILE%\AppData\Local\Temp\OnboardLogs" /stypes="app**20161016*" /stext=" 03:.+((SYSTEM_STATE.+slice.+state.+changed )|(ment ac)|(system.+state.+changed )|(\[timeout)|(PRM\|1\|D)|(kpr)|(kdp)|(\|lc)|(penalty))" /e /r /s</v>
      </c>
      <c r="AG147" s="1" t="str">
        <f t="shared" si="65"/>
        <v>EC</v>
      </c>
      <c r="AH147" s="92" t="str">
        <f t="shared" si="80"/>
        <v>"%USERPROFILE%\Documents\GitHub\eaglep3\Utilities\RefineRTDCRunTimes.py" --tripid 234-15 --locoid  --swversion  --startMP  --initTime 1900-01-00T00:00:00 --startdatetime 2016-10-15T21:14:48 --delay  --endMP  --enddatetime 2016-10-15T21:14:48 --enforcementcount  &gt;&gt;C:\Users\stu\Documents\GitHub\eaglep3-reporting\EC\2016-10-15-refined-times.txt</v>
      </c>
      <c r="AI147" s="122" t="str">
        <f t="shared" si="81"/>
        <v>echo {"issue":{"subject":"All back-office virtual machines down from 10/15/2016 21:14:48 - 10/15/2016 23:00:00","project_id":79,"tracker_id":40,"status_id":1,"priority_id":2,"assigned_to_id":23,"start_date":"2016-10-15","description":"See title","custom_fields":[{"id":1,"name":"Subdivision","value":"EC"},{"id":4,"name":"Milepost","value":""},{"id":17,"name":"Train ID","value":"234-15"},{"id":16,"name":"Locomotive ID","value":""},{"id":130,"name":"Impact","value":"Initialization Problem"},{"id":150,"name":"Time of Event (Mountain Time)","value":"21:14:48"},{"id":151,"name":"Denver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47" s="61" t="s">
        <v>760</v>
      </c>
      <c r="AK147" s="53" t="s">
        <v>134</v>
      </c>
      <c r="AL147" s="53" t="s">
        <v>135</v>
      </c>
    </row>
    <row r="148" spans="1:91" s="21" customFormat="1" x14ac:dyDescent="0.25">
      <c r="A148" s="37" t="s">
        <v>756</v>
      </c>
      <c r="B148" s="7"/>
      <c r="C148" s="22"/>
      <c r="D148" s="22"/>
      <c r="E148" s="13"/>
      <c r="F148" s="13">
        <v>42658.885277777779</v>
      </c>
      <c r="G148" s="7"/>
      <c r="H148" s="13"/>
      <c r="I148" s="13">
        <v>42658.885277777779</v>
      </c>
      <c r="J148" s="7"/>
      <c r="K148" s="112"/>
      <c r="L148" s="22"/>
      <c r="M148" s="6"/>
      <c r="N148" s="7"/>
      <c r="O148" s="7"/>
      <c r="P148" s="7">
        <v>1</v>
      </c>
      <c r="Q148" s="23"/>
      <c r="R148" s="23" t="s">
        <v>759</v>
      </c>
      <c r="S148" s="35">
        <v>0</v>
      </c>
      <c r="T148" s="50"/>
      <c r="U148" s="144"/>
      <c r="V148" s="98"/>
      <c r="W148" s="52"/>
      <c r="X148" s="149">
        <f t="shared" si="58"/>
        <v>1</v>
      </c>
      <c r="Y148" s="67"/>
      <c r="Z148" s="67"/>
      <c r="AA148" s="67"/>
      <c r="AB148" s="64"/>
      <c r="AC148" s="60"/>
      <c r="AD148" s="61" t="str">
        <f t="shared" si="62"/>
        <v>0235-15</v>
      </c>
      <c r="AE148" s="91" t="str">
        <f t="shared" si="78"/>
        <v>aws s3 cp s3://rtdc.mdm.uploadarchive.raw/RTDC/ "%USERPROFILE%\AppData\Local\Temp\OnboardLogs"\RTDC\2016-10-15 --exclude "*" --recursive --include "*20161015*" &amp; "%USERPROFILE%\Documents\GitHub\mrs-test-scripts\Headless Mode &amp; Sideloading\WalkAndUnGZ.bat" "%USERPROFILE%\AppData\Local\Temp\OnboardLogs"\RTDC\2016-10-15 &amp; aws s3 cp s3://rtdc.mdm.uploadarchive.raw/RTDC/ "%USERPROFILE%\AppData\Local\Temp\OnboardLogs"\RTDC\2016-10-16 --exclude "*" --recursive --include "*20161016*" &amp; "%USERPROFILE%\Documents\GitHub\mrs-test-scripts\Headless Mode &amp; Sideloading\WalkAndUnGZ.bat" "%USERPROFILE%\AppData\Local\Temp\OnboardLogs"\RTDC\2016-10-16</v>
      </c>
      <c r="AF148" s="88" t="str">
        <f t="shared" si="79"/>
        <v>"C:\Program Files (x86)\AstroGrep\AstroGrep.exe" /spath="%USERPROFILE%\AppData\Local\Temp\OnboardLogs" /stypes="app**20161016*" /stext=" 03:.+((SYSTEM_STATE.+slice.+state.+changed )|(ment ac)|(system.+state.+changed )|(\[timeout)|(PRM\|1\|D)|(kpr)|(kdp)|(\|lc)|(penalty))" /e /r /s</v>
      </c>
      <c r="AG148" s="1" t="str">
        <f t="shared" si="65"/>
        <v>EC</v>
      </c>
      <c r="AH148" s="92" t="str">
        <f t="shared" si="80"/>
        <v>"%USERPROFILE%\Documents\GitHub\eaglep3\Utilities\RefineRTDCRunTimes.py" --tripid 235-15 --locoid  --swversion  --startMP  --initTime 1900-01-00T00:00:00 --startdatetime 2016-10-15T21:14:48 --delay  --endMP  --enddatetime 2016-10-15T21:14:48 --enforcementcount  &gt;&gt;C:\Users\stu\Documents\GitHub\eaglep3-reporting\EC\2016-10-15-refined-times.txt</v>
      </c>
      <c r="AI148" s="122" t="str">
        <f t="shared" si="81"/>
        <v>echo {"issue":{"subject":"All back-office virtual machines down from 10/15/2016 21:14:48 - 10/15/2016 23:00:00","project_id":79,"tracker_id":40,"status_id":1,"priority_id":2,"assigned_to_id":23,"start_date":"2016-10-15","description":"See title","custom_fields":[{"id":1,"name":"Subdivision","value":"EC"},{"id":4,"name":"Milepost","value":""},{"id":17,"name":"Train ID","value":"235-15"},{"id":16,"name":"Locomotive ID","value":""},{"id":130,"name":"Impact","value":"Initialization Problem"},{"id":150,"name":"Time of Event (Mountain Time)","value":"21:14:48"},{"id":151,"name":"Denver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48" s="61" t="s">
        <v>760</v>
      </c>
      <c r="AK148" s="53" t="s">
        <v>134</v>
      </c>
      <c r="AL148" s="53" t="s">
        <v>135</v>
      </c>
    </row>
    <row r="149" spans="1:91" s="21" customFormat="1" x14ac:dyDescent="0.25">
      <c r="A149" s="37" t="s">
        <v>757</v>
      </c>
      <c r="B149" s="7"/>
      <c r="C149" s="22"/>
      <c r="D149" s="22"/>
      <c r="E149" s="13"/>
      <c r="F149" s="13">
        <v>42658.885277777779</v>
      </c>
      <c r="G149" s="7"/>
      <c r="H149" s="13"/>
      <c r="I149" s="13">
        <v>42658.885277777779</v>
      </c>
      <c r="J149" s="7"/>
      <c r="K149" s="112"/>
      <c r="L149" s="22"/>
      <c r="M149" s="6"/>
      <c r="N149" s="7"/>
      <c r="O149" s="7"/>
      <c r="P149" s="7">
        <v>1</v>
      </c>
      <c r="Q149" s="23"/>
      <c r="R149" s="23" t="s">
        <v>759</v>
      </c>
      <c r="S149" s="35">
        <v>0</v>
      </c>
      <c r="T149" s="50"/>
      <c r="U149" s="144"/>
      <c r="V149" s="98"/>
      <c r="W149" s="52"/>
      <c r="X149" s="149">
        <f t="shared" si="58"/>
        <v>1</v>
      </c>
      <c r="Y149" s="67"/>
      <c r="Z149" s="67"/>
      <c r="AA149" s="67"/>
      <c r="AB149" s="64"/>
      <c r="AC149" s="60"/>
      <c r="AD149" s="61" t="str">
        <f t="shared" si="62"/>
        <v>0236-15</v>
      </c>
      <c r="AE149" s="91" t="str">
        <f t="shared" si="78"/>
        <v>aws s3 cp s3://rtdc.mdm.uploadarchive.raw/RTDC/ "%USERPROFILE%\AppData\Local\Temp\OnboardLogs"\RTDC\2016-10-15 --exclude "*" --recursive --include "*20161015*" &amp; "%USERPROFILE%\Documents\GitHub\mrs-test-scripts\Headless Mode &amp; Sideloading\WalkAndUnGZ.bat" "%USERPROFILE%\AppData\Local\Temp\OnboardLogs"\RTDC\2016-10-15 &amp; aws s3 cp s3://rtdc.mdm.uploadarchive.raw/RTDC/ "%USERPROFILE%\AppData\Local\Temp\OnboardLogs"\RTDC\2016-10-16 --exclude "*" --recursive --include "*20161016*" &amp; "%USERPROFILE%\Documents\GitHub\mrs-test-scripts\Headless Mode &amp; Sideloading\WalkAndUnGZ.bat" "%USERPROFILE%\AppData\Local\Temp\OnboardLogs"\RTDC\2016-10-16</v>
      </c>
      <c r="AF149" s="88" t="str">
        <f t="shared" si="79"/>
        <v>"C:\Program Files (x86)\AstroGrep\AstroGrep.exe" /spath="%USERPROFILE%\AppData\Local\Temp\OnboardLogs" /stypes="app**20161016*" /stext=" 03:.+((SYSTEM_STATE.+slice.+state.+changed )|(ment ac)|(system.+state.+changed )|(\[timeout)|(PRM\|1\|D)|(kpr)|(kdp)|(\|lc)|(penalty))" /e /r /s</v>
      </c>
      <c r="AG149" s="1" t="str">
        <f t="shared" si="65"/>
        <v>EC</v>
      </c>
      <c r="AH149" s="92" t="str">
        <f t="shared" si="80"/>
        <v>"%USERPROFILE%\Documents\GitHub\eaglep3\Utilities\RefineRTDCRunTimes.py" --tripid 236-15 --locoid  --swversion  --startMP  --initTime 1900-01-00T00:00:00 --startdatetime 2016-10-15T21:14:48 --delay  --endMP  --enddatetime 2016-10-15T21:14:48 --enforcementcount  &gt;&gt;C:\Users\stu\Documents\GitHub\eaglep3-reporting\EC\2016-10-15-refined-times.txt</v>
      </c>
      <c r="AI149" s="122" t="str">
        <f t="shared" si="81"/>
        <v>echo {"issue":{"subject":"All back-office virtual machines down from 10/15/2016 21:14:48 - 10/15/2016 23:00:00","project_id":79,"tracker_id":40,"status_id":1,"priority_id":2,"assigned_to_id":23,"start_date":"2016-10-15","description":"See title","custom_fields":[{"id":1,"name":"Subdivision","value":"EC"},{"id":4,"name":"Milepost","value":""},{"id":17,"name":"Train ID","value":"236-15"},{"id":16,"name":"Locomotive ID","value":""},{"id":130,"name":"Impact","value":"Initialization Problem"},{"id":150,"name":"Time of Event (Mountain Time)","value":"21:14:48"},{"id":151,"name":"Denver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49" s="61" t="s">
        <v>760</v>
      </c>
      <c r="AK149" s="53" t="s">
        <v>134</v>
      </c>
      <c r="AL149" s="53" t="s">
        <v>135</v>
      </c>
    </row>
    <row r="150" spans="1:91" s="21" customFormat="1" x14ac:dyDescent="0.25">
      <c r="A150" s="37" t="s">
        <v>758</v>
      </c>
      <c r="B150" s="7"/>
      <c r="C150" s="22"/>
      <c r="D150" s="22"/>
      <c r="E150" s="13"/>
      <c r="F150" s="13">
        <v>42658.885277777779</v>
      </c>
      <c r="G150" s="7"/>
      <c r="H150" s="13"/>
      <c r="I150" s="13">
        <v>42658.885277777779</v>
      </c>
      <c r="J150" s="7"/>
      <c r="K150" s="112"/>
      <c r="L150" s="22"/>
      <c r="M150" s="6"/>
      <c r="N150" s="7"/>
      <c r="O150" s="7"/>
      <c r="P150" s="7">
        <v>1</v>
      </c>
      <c r="Q150" s="23"/>
      <c r="R150" s="23" t="s">
        <v>759</v>
      </c>
      <c r="S150" s="35">
        <v>0</v>
      </c>
      <c r="T150" s="50"/>
      <c r="U150" s="144"/>
      <c r="V150" s="98"/>
      <c r="W150" s="52"/>
      <c r="X150" s="149">
        <f t="shared" si="58"/>
        <v>1</v>
      </c>
      <c r="Y150" s="67"/>
      <c r="Z150" s="67"/>
      <c r="AA150" s="67"/>
      <c r="AB150" s="64"/>
      <c r="AC150" s="60"/>
      <c r="AD150" s="61" t="str">
        <f t="shared" si="62"/>
        <v>0237-15</v>
      </c>
      <c r="AE150" s="91" t="str">
        <f t="shared" si="78"/>
        <v>aws s3 cp s3://rtdc.mdm.uploadarchive.raw/RTDC/ "%USERPROFILE%\AppData\Local\Temp\OnboardLogs"\RTDC\2016-10-15 --exclude "*" --recursive --include "*20161015*" &amp; "%USERPROFILE%\Documents\GitHub\mrs-test-scripts\Headless Mode &amp; Sideloading\WalkAndUnGZ.bat" "%USERPROFILE%\AppData\Local\Temp\OnboardLogs"\RTDC\2016-10-15 &amp; aws s3 cp s3://rtdc.mdm.uploadarchive.raw/RTDC/ "%USERPROFILE%\AppData\Local\Temp\OnboardLogs"\RTDC\2016-10-16 --exclude "*" --recursive --include "*20161016*" &amp; "%USERPROFILE%\Documents\GitHub\mrs-test-scripts\Headless Mode &amp; Sideloading\WalkAndUnGZ.bat" "%USERPROFILE%\AppData\Local\Temp\OnboardLogs"\RTDC\2016-10-16</v>
      </c>
      <c r="AF150" s="88" t="str">
        <f t="shared" si="79"/>
        <v>"C:\Program Files (x86)\AstroGrep\AstroGrep.exe" /spath="%USERPROFILE%\AppData\Local\Temp\OnboardLogs" /stypes="app**20161016*" /stext=" 03:.+((SYSTEM_STATE.+slice.+state.+changed )|(ment ac)|(system.+state.+changed )|(\[timeout)|(PRM\|1\|D)|(kpr)|(kdp)|(\|lc)|(penalty))" /e /r /s</v>
      </c>
      <c r="AG150" s="1" t="str">
        <f t="shared" si="65"/>
        <v>EC</v>
      </c>
      <c r="AH150" s="92" t="str">
        <f t="shared" si="80"/>
        <v>"%USERPROFILE%\Documents\GitHub\eaglep3\Utilities\RefineRTDCRunTimes.py" --tripid 237-15 --locoid  --swversion  --startMP  --initTime 1900-01-00T00:00:00 --startdatetime 2016-10-15T21:14:48 --delay  --endMP  --enddatetime 2016-10-15T21:14:48 --enforcementcount  &gt;&gt;C:\Users\stu\Documents\GitHub\eaglep3-reporting\EC\2016-10-15-refined-times.txt</v>
      </c>
      <c r="AI150" s="122" t="str">
        <f t="shared" si="81"/>
        <v>echo {"issue":{"subject":"All back-office virtual machines down from 10/15/2016 21:14:48 - 10/15/2016 23:00:00","project_id":79,"tracker_id":40,"status_id":1,"priority_id":2,"assigned_to_id":23,"start_date":"2016-10-15","description":"See title","custom_fields":[{"id":1,"name":"Subdivision","value":"EC"},{"id":4,"name":"Milepost","value":""},{"id":17,"name":"Train ID","value":"237-15"},{"id":16,"name":"Locomotive ID","value":""},{"id":130,"name":"Impact","value":"Initialization Problem"},{"id":150,"name":"Time of Event (Mountain Time)","value":"21:14:48"},{"id":151,"name":"Denver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50" s="61" t="s">
        <v>760</v>
      </c>
      <c r="AK150" s="53" t="s">
        <v>134</v>
      </c>
      <c r="AL150" s="53" t="s">
        <v>135</v>
      </c>
    </row>
    <row r="151" spans="1:91" s="21" customFormat="1" x14ac:dyDescent="0.25">
      <c r="A151" s="37" t="s">
        <v>615</v>
      </c>
      <c r="B151" s="7">
        <v>4019</v>
      </c>
      <c r="C151" s="22" t="s">
        <v>99</v>
      </c>
      <c r="D151" s="22" t="s">
        <v>710</v>
      </c>
      <c r="E151" s="13">
        <v>42658.992800925924</v>
      </c>
      <c r="F151" s="13">
        <v>42658.997407407405</v>
      </c>
      <c r="G151" s="7">
        <v>1</v>
      </c>
      <c r="H151" s="13" t="s">
        <v>408</v>
      </c>
      <c r="I151" s="13">
        <v>42659.023726851854</v>
      </c>
      <c r="J151" s="7">
        <v>0</v>
      </c>
      <c r="K151" s="112" t="str">
        <f t="shared" si="82"/>
        <v>4019/4020</v>
      </c>
      <c r="L151" s="22" t="str">
        <f>VLOOKUP(A151,'Trips&amp;Operators'!$C$1:$E$10000,3,FALSE)</f>
        <v>LEVIN</v>
      </c>
      <c r="M151" s="6">
        <f t="shared" si="83"/>
        <v>2.6319444448745344E-2</v>
      </c>
      <c r="N151" s="7">
        <f t="shared" si="84"/>
        <v>37.900000006193295</v>
      </c>
      <c r="O151" s="7"/>
      <c r="P151" s="7"/>
      <c r="Q151" s="23"/>
      <c r="R151" s="23"/>
      <c r="S151" s="35">
        <f t="shared" si="85"/>
        <v>1</v>
      </c>
      <c r="T151" s="50" t="str">
        <f t="shared" si="86"/>
        <v>Southbound</v>
      </c>
      <c r="U151" s="144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22:49:38-0600',mode:absolute,to:'2016-10-16 01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1" s="52" t="str">
        <f t="shared" si="88"/>
        <v>N</v>
      </c>
      <c r="X151" s="149">
        <f t="shared" si="58"/>
        <v>1</v>
      </c>
      <c r="Y151" s="67">
        <f t="shared" si="89"/>
        <v>23.3017</v>
      </c>
      <c r="Z151" s="67">
        <f t="shared" ref="Z151:Z179" si="91">RIGHT(H151,LEN(H151)-4)/10000</f>
        <v>1.38E-2</v>
      </c>
      <c r="AA151" s="67">
        <f t="shared" si="90"/>
        <v>23.2879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62"/>
        <v>0238-15</v>
      </c>
      <c r="AE151" s="91" t="str">
        <f t="shared" si="78"/>
        <v>aws s3 cp s3://rtdc.mdm.uploadarchive.raw/RTDC4019/ "%USERPROFILE%\AppData\Local\Temp\OnboardLogs"\RTDC4019\2016-10-15 --exclude "*" --recursive --include "*20161015*" &amp; "%USERPROFILE%\Documents\GitHub\mrs-test-scripts\Headless Mode &amp; Sideloading\WalkAndUnGZ.bat" "%USERPROFILE%\AppData\Local\Temp\OnboardLogs"\RTDC4019\2016-10-15 &amp; aws s3 cp s3://rtdc.mdm.uploadarchive.raw/RTDC4019/ "%USERPROFILE%\AppData\Local\Temp\OnboardLogs"\RTDC4019\2016-10-16 --exclude "*" --recursive --include "*20161016*" &amp; "%USERPROFILE%\Documents\GitHub\mrs-test-scripts\Headless Mode &amp; Sideloading\WalkAndUnGZ.bat" "%USERPROFILE%\AppData\Local\Temp\OnboardLogs"\RTDC4019\2016-10-16</v>
      </c>
      <c r="AF151" s="88" t="str">
        <f t="shared" si="79"/>
        <v>"C:\Program Files (x86)\AstroGrep\AstroGrep.exe" /spath="%USERPROFILE%\AppData\Local\Temp\OnboardLogs" /stypes="app*4019*20161016*" /stext=" 06:.+((SYSTEM_STATE.+slice.+state.+changed )|(ment ac)|(system.+state.+changed )|(\[timeout)|(PRM\|1\|D)|(kpr)|(kdp)|(\|lc)|(penalty))" /e /r /s</v>
      </c>
      <c r="AG151" s="1" t="str">
        <f t="shared" si="65"/>
        <v>EC</v>
      </c>
      <c r="AH151" s="92" t="str">
        <f t="shared" si="80"/>
        <v>"%USERPROFILE%\Documents\GitHub\eaglep3\Utilities\RefineRTDCRunTimes.py" --tripid 238-15 --locoid 4019 --swversion DE.1.0.7.0 --startMP 204:233017 --initTime 2016-10-15T23:49:38 --startdatetime 2016-10-15T23:56:16 --delay 1 --endMP 204:138 --enddatetime 2016-10-16T00:34:10 --enforcementcount 0 &gt;&gt;C:\Users\stu\Documents\GitHub\eaglep3-reporting\EC\2016-10-15-refined-times.txt</v>
      </c>
      <c r="AI151" s="122" t="str">
        <f t="shared" si="81"/>
        <v>echo {"issue":{"subject":"","project_id":79,"tracker_id":40,"status_id":1,"priority_id":2,"assigned_to_id":23,"start_date":"2016-10-16","description":"","custom_fields":[{"id":1,"name":"Subdivision","value":"EC"},{"id":4,"name":"Milepost","value":"0.0138"},{"id":17,"name":"Train ID","value":"238-15"},{"id":16,"name":"Locomotive ID","value":"4019"},{"id":130,"name":"Impact","value":""},{"id":150,"name":"Time of Event (Mountain Time)","value":"00:34:10"},{"id":151,"name":"Denver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613</v>
      </c>
      <c r="B152" s="7">
        <v>4003</v>
      </c>
      <c r="C152" s="22" t="s">
        <v>99</v>
      </c>
      <c r="D152" s="22" t="s">
        <v>267</v>
      </c>
      <c r="E152" s="13">
        <v>42658.978738425925</v>
      </c>
      <c r="F152" s="13">
        <v>42658.979699074072</v>
      </c>
      <c r="G152" s="7">
        <v>1</v>
      </c>
      <c r="H152" s="13" t="s">
        <v>198</v>
      </c>
      <c r="I152" s="13">
        <v>42659.00540509259</v>
      </c>
      <c r="J152" s="7">
        <v>0</v>
      </c>
      <c r="K152" s="112" t="str">
        <f t="shared" si="82"/>
        <v>4003/4004</v>
      </c>
      <c r="L152" s="22" t="str">
        <f>VLOOKUP(A152,'Trips&amp;Operators'!$C$1:$E$10000,3,FALSE)</f>
        <v>CHANDLER</v>
      </c>
      <c r="M152" s="6">
        <f t="shared" si="83"/>
        <v>2.5706018517666962E-2</v>
      </c>
      <c r="N152" s="7">
        <f t="shared" si="84"/>
        <v>37.016666665440425</v>
      </c>
      <c r="O152" s="7"/>
      <c r="P152" s="7"/>
      <c r="Q152" s="23"/>
      <c r="R152" s="23"/>
      <c r="S152" s="35">
        <f t="shared" si="85"/>
        <v>1</v>
      </c>
      <c r="T152" s="50" t="str">
        <f t="shared" si="86"/>
        <v>NorthBound</v>
      </c>
      <c r="U152" s="144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22:29:23-0600',mode:absolute,to:'2016-10-16 01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2" s="52" t="str">
        <f t="shared" si="88"/>
        <v>N</v>
      </c>
      <c r="X152" s="149">
        <f t="shared" si="58"/>
        <v>1</v>
      </c>
      <c r="Y152" s="67">
        <f t="shared" si="89"/>
        <v>4.6600000000000003E-2</v>
      </c>
      <c r="Z152" s="67">
        <f t="shared" si="91"/>
        <v>23.329699999999999</v>
      </c>
      <c r="AA152" s="67">
        <f t="shared" si="90"/>
        <v>23.283099999999997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62"/>
        <v>0239-15</v>
      </c>
      <c r="AE152" s="91" t="str">
        <f t="shared" si="78"/>
        <v>aws s3 cp s3://rtdc.mdm.uploadarchive.raw/RTDC4003/ "%USERPROFILE%\AppData\Local\Temp\OnboardLogs"\RTDC4003\2016-10-15 --exclude "*" --recursive --include "*20161015*" &amp; "%USERPROFILE%\Documents\GitHub\mrs-test-scripts\Headless Mode &amp; Sideloading\WalkAndUnGZ.bat" "%USERPROFILE%\AppData\Local\Temp\OnboardLogs"\RTDC4003\2016-10-15 &amp; aws s3 cp s3://rtdc.mdm.uploadarchive.raw/RTDC4003/ "%USERPROFILE%\AppData\Local\Temp\OnboardLogs"\RTDC4003\2016-10-16 --exclude "*" --recursive --include "*20161016*" &amp; "%USERPROFILE%\Documents\GitHub\mrs-test-scripts\Headless Mode &amp; Sideloading\WalkAndUnGZ.bat" "%USERPROFILE%\AppData\Local\Temp\OnboardLogs"\RTDC4003\2016-10-16</v>
      </c>
      <c r="AF152" s="88" t="str">
        <f t="shared" si="79"/>
        <v>"C:\Program Files (x86)\AstroGrep\AstroGrep.exe" /spath="%USERPROFILE%\AppData\Local\Temp\OnboardLogs" /stypes="app*4003*20161016*" /stext=" 06:.+((SYSTEM_STATE.+slice.+state.+changed )|(ment ac)|(system.+state.+changed )|(\[timeout)|(PRM\|1\|D)|(kpr)|(kdp)|(\|lc)|(penalty))" /e /r /s</v>
      </c>
      <c r="AG152" s="1" t="str">
        <f t="shared" si="65"/>
        <v>EC</v>
      </c>
      <c r="AH152" s="92" t="str">
        <f t="shared" si="80"/>
        <v>"%USERPROFILE%\Documents\GitHub\eaglep3\Utilities\RefineRTDCRunTimes.py" --tripid 239-15 --locoid 4003 --swversion DE.1.0.7.0 --startMP 204:466 --initTime 2016-10-15T23:29:23 --startdatetime 2016-10-15T23:30:46 --delay 1 --endMP 204:233297 --enddatetime 2016-10-16T00:07:47 --enforcementcount 0 &gt;&gt;C:\Users\stu\Documents\GitHub\eaglep3-reporting\EC\2016-10-15-refined-times.txt</v>
      </c>
      <c r="AI152" s="122" t="str">
        <f t="shared" si="81"/>
        <v>echo {"issue":{"subject":"","project_id":79,"tracker_id":40,"status_id":1,"priority_id":2,"assigned_to_id":23,"start_date":"2016-10-16","description":"","custom_fields":[{"id":1,"name":"Subdivision","value":"EC"},{"id":4,"name":"Milepost","value":"23.3297"},{"id":17,"name":"Train ID","value":"239-15"},{"id":16,"name":"Locomotive ID","value":"4003"},{"id":130,"name":"Impact","value":""},{"id":150,"name":"Time of Event (Mountain Time)","value":"00:07:47"},{"id":151,"name":"Denver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619</v>
      </c>
      <c r="B153" s="7">
        <v>4054</v>
      </c>
      <c r="C153" s="22" t="s">
        <v>99</v>
      </c>
      <c r="D153" s="22" t="s">
        <v>313</v>
      </c>
      <c r="E153" s="13">
        <v>42659.014166666668</v>
      </c>
      <c r="F153" s="13">
        <v>42659.018229166664</v>
      </c>
      <c r="G153" s="7">
        <v>2</v>
      </c>
      <c r="H153" s="13" t="s">
        <v>252</v>
      </c>
      <c r="I153" s="13">
        <v>42659.045520833337</v>
      </c>
      <c r="J153" s="7">
        <v>0</v>
      </c>
      <c r="K153" s="112" t="str">
        <f t="shared" si="82"/>
        <v>4053/4054</v>
      </c>
      <c r="L153" s="22" t="str">
        <f>VLOOKUP(A153,'Trips&amp;Operators'!$C$1:$E$10000,3,FALSE)</f>
        <v>NEWELL</v>
      </c>
      <c r="M153" s="6">
        <f t="shared" si="83"/>
        <v>2.7291666672681458E-2</v>
      </c>
      <c r="N153" s="7">
        <f t="shared" si="84"/>
        <v>39.3000000086613</v>
      </c>
      <c r="O153" s="7"/>
      <c r="P153" s="7"/>
      <c r="Q153" s="23"/>
      <c r="R153" s="23"/>
      <c r="S153" s="35">
        <f t="shared" si="85"/>
        <v>1</v>
      </c>
      <c r="T153" s="50" t="str">
        <f t="shared" si="86"/>
        <v>Southbound</v>
      </c>
      <c r="U153" s="144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23:20:24-0600',mode:absolute,to:'2016-10-16 02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3" s="52" t="str">
        <f t="shared" si="88"/>
        <v>N</v>
      </c>
      <c r="X153" s="149">
        <f t="shared" si="58"/>
        <v>1</v>
      </c>
      <c r="Y153" s="67">
        <f t="shared" si="89"/>
        <v>23.297699999999999</v>
      </c>
      <c r="Z153" s="67">
        <f t="shared" si="91"/>
        <v>1.32E-2</v>
      </c>
      <c r="AA153" s="67">
        <f t="shared" si="90"/>
        <v>23.284499999999998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62"/>
        <v>0240-15</v>
      </c>
      <c r="AE153" s="91" t="str">
        <f t="shared" ref="AE153:AE179" si="92"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s3://rtdc.mdm.uploadarchive.raw/RTDC4054/ "%USERPROFILE%\AppData\Local\Temp\OnboardLogs"\RTDC4054\2016-10-16 --exclude "*" --recursive --include "*20161016*" &amp; "%USERPROFILE%\Documents\GitHub\mrs-test-scripts\Headless Mode &amp; Sideloading\WalkAndUnGZ.bat" "%USERPROFILE%\AppData\Local\Temp\OnboardLogs"\RTDC4054\2016-10-16 &amp; aws s3 cp s3://rtdc.mdm.uploadarchive.raw/RTDC4054/ "%USERPROFILE%\AppData\Local\Temp\OnboardLogs"\RTDC4054\2016-10-17 --exclude "*" --recursive --include "*20161017*" &amp; "%USERPROFILE%\Documents\GitHub\mrs-test-scripts\Headless Mode &amp; Sideloading\WalkAndUnGZ.bat" "%USERPROFILE%\AppData\Local\Temp\OnboardLogs"\RTDC4054\2016-10-17</v>
      </c>
      <c r="AF153" s="88" t="str">
        <f t="shared" ref="AF153:AF179" si="93"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/stypes="app*4054*20161016*" /stext=" 07:.+((SYSTEM_STATE.+slice.+state.+changed )|(ment ac)|(system.+state.+changed )|(\[timeout)|(PRM\|1\|D)|(kpr)|(kdp)|(\|lc)|(penalty))" /e /r /s</v>
      </c>
      <c r="AG153" s="1" t="str">
        <f t="shared" ref="AG153:AG179" si="94">IFERROR(IF(VALUE(LEFT(AD153,2))&lt;=2,"EC",IF(OR(VALUE(LEFT(AD153,2))=8,VALUE(LEFT(AD153,2))=18),"NW","Other")),"Other")</f>
        <v>EC</v>
      </c>
      <c r="AH153" s="92" t="str">
        <f t="shared" si="80"/>
        <v>"%USERPROFILE%\Documents\GitHub\eaglep3\Utilities\RefineRTDCRunTimes.py" --tripid 240-15 --locoid 4054 --swversion DE.1.0.7.0 --startMP 204:232977 --initTime 2016-10-16T00:20:24 --startdatetime 2016-10-16T00:26:15 --delay 2 --endMP 204:132 --enddatetime 2016-10-16T01:05:33 --enforcementcount 0 &gt;&gt;C:\Users\stu\Documents\GitHub\eaglep3-reporting\EC\2016-10-15-refined-times.txt</v>
      </c>
      <c r="AI153" s="122" t="str">
        <f t="shared" si="81"/>
        <v>echo {"issue":{"subject":"","project_id":79,"tracker_id":40,"status_id":1,"priority_id":2,"assigned_to_id":23,"start_date":"2016-10-16","description":"","custom_fields":[{"id":1,"name":"Subdivision","value":"EC"},{"id":4,"name":"Milepost","value":"0.0132"},{"id":17,"name":"Train ID","value":"240-15"},{"id":16,"name":"Locomotive ID","value":"4054"},{"id":130,"name":"Impact","value":""},{"id":150,"name":"Time of Event (Mountain Time)","value":"01:05:33"},{"id":151,"name":"Denver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616</v>
      </c>
      <c r="B154" s="7">
        <v>4002</v>
      </c>
      <c r="C154" s="22" t="s">
        <v>99</v>
      </c>
      <c r="D154" s="22" t="s">
        <v>253</v>
      </c>
      <c r="E154" s="13">
        <v>42658.998194444444</v>
      </c>
      <c r="F154" s="13">
        <v>42659.000358796293</v>
      </c>
      <c r="G154" s="7">
        <v>1</v>
      </c>
      <c r="H154" s="13" t="s">
        <v>711</v>
      </c>
      <c r="I154" s="13">
        <v>42659.028553240743</v>
      </c>
      <c r="J154" s="7">
        <v>0</v>
      </c>
      <c r="K154" s="112" t="str">
        <f t="shared" si="82"/>
        <v>4001/4002</v>
      </c>
      <c r="L154" s="22" t="str">
        <f>VLOOKUP(A154,'Trips&amp;Operators'!$C$1:$E$10000,3,FALSE)</f>
        <v>ARVIDSON</v>
      </c>
      <c r="M154" s="6">
        <f t="shared" si="83"/>
        <v>2.8194444450491574E-2</v>
      </c>
      <c r="N154" s="7">
        <f t="shared" si="84"/>
        <v>40.600000008707866</v>
      </c>
      <c r="O154" s="7"/>
      <c r="P154" s="7"/>
      <c r="Q154" s="23"/>
      <c r="R154" s="23"/>
      <c r="S154" s="35">
        <f t="shared" si="85"/>
        <v>1</v>
      </c>
      <c r="T154" s="50" t="str">
        <f t="shared" si="86"/>
        <v>NorthBound</v>
      </c>
      <c r="U154" s="144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22:57:24-0600',mode:absolute,to:'2016-10-16 01:41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4" s="52" t="str">
        <f t="shared" si="88"/>
        <v>N</v>
      </c>
      <c r="X154" s="149">
        <f t="shared" si="58"/>
        <v>1</v>
      </c>
      <c r="Y154" s="67">
        <f t="shared" si="89"/>
        <v>4.53E-2</v>
      </c>
      <c r="Z154" s="67">
        <f t="shared" si="91"/>
        <v>23.2807</v>
      </c>
      <c r="AA154" s="67">
        <f t="shared" si="90"/>
        <v>23.235399999999998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62"/>
        <v>0241-15</v>
      </c>
      <c r="AE154" s="91" t="str">
        <f t="shared" si="92"/>
        <v>aws s3 cp s3://rtdc.mdm.uploadarchive.raw/RTDC4002/ "%USERPROFILE%\AppData\Local\Temp\OnboardLogs"\RTDC4002\2016-10-16 --exclude "*" --recursive --include "*20161016*" &amp; "%USERPROFILE%\Documents\GitHub\mrs-test-scripts\Headless Mode &amp; Sideloading\WalkAndUnGZ.bat" "%USERPROFILE%\AppData\Local\Temp\OnboardLogs"\RTDC4002\2016-10-16 &amp; aws s3 cp s3://rtdc.mdm.uploadarchive.raw/RTDC4002/ "%USERPROFILE%\AppData\Local\Temp\OnboardLogs"\RTDC4002\2016-10-17 --exclude "*" --recursive --include "*20161017*" &amp; "%USERPROFILE%\Documents\GitHub\mrs-test-scripts\Headless Mode &amp; Sideloading\WalkAndUnGZ.bat" "%USERPROFILE%\AppData\Local\Temp\OnboardLogs"\RTDC4002\2016-10-17</v>
      </c>
      <c r="AF154" s="88" t="str">
        <f t="shared" si="93"/>
        <v>"C:\Program Files (x86)\AstroGrep\AstroGrep.exe" /spath="%USERPROFILE%\AppData\Local\Temp\OnboardLogs" /stypes="app*4002*20161016*" /stext=" 06:.+((SYSTEM_STATE.+slice.+state.+changed )|(ment ac)|(system.+state.+changed )|(\[timeout)|(PRM\|1\|D)|(kpr)|(kdp)|(\|lc)|(penalty))" /e /r /s</v>
      </c>
      <c r="AG154" s="1" t="str">
        <f t="shared" si="94"/>
        <v>EC</v>
      </c>
      <c r="AH154" s="92" t="str">
        <f t="shared" ref="AH154:AH214" si="95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241-15 --locoid 4002 --swversion DE.1.0.7.0 --startMP 204:453 --initTime 2016-10-15T23:57:24 --startdatetime 2016-10-16T00:00:31 --delay 1 --endMP 204:232807 --enddatetime 2016-10-16T00:41:07 --enforcementcount 0 &gt;&gt;C:\Users\stu\Documents\GitHub\eaglep3-reporting\EC\2016-10-15-refined-times.txt</v>
      </c>
      <c r="AI154" s="122" t="str">
        <f t="shared" ref="AI154:AI214" si="96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{"issue":{"subject":"","project_id":79,"tracker_id":40,"status_id":1,"priority_id":2,"assigned_to_id":23,"start_date":"2016-10-16","description":"","custom_fields":[{"id":1,"name":"Subdivision","value":"EC"},{"id":4,"name":"Milepost","value":"23.2807"},{"id":17,"name":"Train ID","value":"241-15"},{"id":16,"name":"Locomotive ID","value":"4002"},{"id":130,"name":"Impact","value":""},{"id":150,"name":"Time of Event (Mountain Time)","value":"00:41:07"},{"id":151,"name":"Denver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451</v>
      </c>
      <c r="B155" s="7">
        <v>4001</v>
      </c>
      <c r="C155" s="22" t="s">
        <v>99</v>
      </c>
      <c r="D155" s="22" t="s">
        <v>712</v>
      </c>
      <c r="E155" s="13">
        <v>42659.034317129626</v>
      </c>
      <c r="F155" s="13">
        <v>42659.039236111108</v>
      </c>
      <c r="G155" s="7">
        <v>1</v>
      </c>
      <c r="H155" s="13" t="s">
        <v>713</v>
      </c>
      <c r="I155" s="13">
        <v>42659.067453703705</v>
      </c>
      <c r="J155" s="7">
        <v>0</v>
      </c>
      <c r="K155" s="112" t="str">
        <f t="shared" si="82"/>
        <v>4001/4002</v>
      </c>
      <c r="L155" s="22" t="str">
        <f>VLOOKUP(A155,'Trips&amp;Operators'!$C$1:$E$10000,3,FALSE)</f>
        <v>CHANDLER</v>
      </c>
      <c r="M155" s="6">
        <f t="shared" si="83"/>
        <v>2.8217592596774921E-2</v>
      </c>
      <c r="N155" s="7">
        <f t="shared" si="84"/>
        <v>40.633333339355886</v>
      </c>
      <c r="O155" s="7"/>
      <c r="P155" s="7"/>
      <c r="Q155" s="23"/>
      <c r="R155" s="23"/>
      <c r="S155" s="35">
        <f t="shared" si="85"/>
        <v>1</v>
      </c>
      <c r="T155" s="50" t="str">
        <f t="shared" si="86"/>
        <v>Southbound</v>
      </c>
      <c r="U155" s="144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23:49:25-0600',mode:absolute,to:'2016-10-16 02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5" s="52" t="str">
        <f t="shared" si="88"/>
        <v>N</v>
      </c>
      <c r="X155" s="149">
        <f t="shared" si="58"/>
        <v>1</v>
      </c>
      <c r="Y155" s="67">
        <f t="shared" si="89"/>
        <v>23.2653</v>
      </c>
      <c r="Z155" s="67">
        <f t="shared" si="91"/>
        <v>8.7499999999999994E-2</v>
      </c>
      <c r="AA155" s="67">
        <f t="shared" si="90"/>
        <v>23.177800000000001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ref="AD155:AD179" si="97">IF(LEN(A155)=6,"0"&amp;A155,A155)</f>
        <v>0242-15</v>
      </c>
      <c r="AE155" s="91" t="str">
        <f t="shared" si="92"/>
        <v>aws s3 cp s3://rtdc.mdm.uploadarchive.raw/RTDC4001/ "%USERPROFILE%\AppData\Local\Temp\OnboardLogs"\RTDC4001\2016-10-16 --exclude "*" --recursive --include "*20161016*" &amp; "%USERPROFILE%\Documents\GitHub\mrs-test-scripts\Headless Mode &amp; Sideloading\WalkAndUnGZ.bat" "%USERPROFILE%\AppData\Local\Temp\OnboardLogs"\RTDC4001\2016-10-16 &amp; 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</v>
      </c>
      <c r="AF155" s="88" t="str">
        <f t="shared" si="93"/>
        <v>"C:\Program Files (x86)\AstroGrep\AstroGrep.exe" /spath="%USERPROFILE%\AppData\Local\Temp\OnboardLogs" /stypes="app*4001*20161016*" /stext=" 07:.+((SYSTEM_STATE.+slice.+state.+changed )|(ment ac)|(system.+state.+changed )|(\[timeout)|(PRM\|1\|D)|(kpr)|(kdp)|(\|lc)|(penalty))" /e /r /s</v>
      </c>
      <c r="AG155" s="1" t="str">
        <f t="shared" si="94"/>
        <v>EC</v>
      </c>
      <c r="AH155" s="92" t="str">
        <f t="shared" si="95"/>
        <v>"%USERPROFILE%\Documents\GitHub\eaglep3\Utilities\RefineRTDCRunTimes.py" --tripid 242-15 --locoid 4001 --swversion DE.1.0.7.0 --startMP 204:232653 --initTime 2016-10-16T00:49:25 --startdatetime 2016-10-16T00:56:30 --delay 1 --endMP 204:875 --enddatetime 2016-10-16T01:37:08 --enforcementcount 0 &gt;&gt;C:\Users\stu\Documents\GitHub\eaglep3-reporting\EC\2016-10-15-refined-times.txt</v>
      </c>
      <c r="AI155" s="122" t="str">
        <f t="shared" si="96"/>
        <v>echo {"issue":{"subject":"","project_id":79,"tracker_id":40,"status_id":1,"priority_id":2,"assigned_to_id":23,"start_date":"2016-10-16","description":"","custom_fields":[{"id":1,"name":"Subdivision","value":"EC"},{"id":4,"name":"Milepost","value":"0.0875"},{"id":17,"name":"Train ID","value":"242-15"},{"id":16,"name":"Locomotive ID","value":"4001"},{"id":130,"name":"Impact","value":""},{"id":150,"name":"Time of Event (Mountain Time)","value":"01:37:08"},{"id":151,"name":"Denver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7" t="s">
        <v>618</v>
      </c>
      <c r="B156" s="7">
        <v>4016</v>
      </c>
      <c r="C156" s="22" t="s">
        <v>99</v>
      </c>
      <c r="D156" s="22" t="s">
        <v>326</v>
      </c>
      <c r="E156" s="13">
        <v>42659.010335648149</v>
      </c>
      <c r="F156" s="13">
        <v>42659.021087962959</v>
      </c>
      <c r="G156" s="7">
        <v>1</v>
      </c>
      <c r="H156" s="13" t="s">
        <v>714</v>
      </c>
      <c r="I156" s="13">
        <v>42659.047500000001</v>
      </c>
      <c r="J156" s="7">
        <v>0</v>
      </c>
      <c r="K156" s="112" t="str">
        <f t="shared" si="82"/>
        <v>4015/4016</v>
      </c>
      <c r="L156" s="22" t="str">
        <f>VLOOKUP(A156,'Trips&amp;Operators'!$C$1:$E$10000,3,FALSE)</f>
        <v>BRANDNER</v>
      </c>
      <c r="M156" s="6">
        <f t="shared" si="83"/>
        <v>2.641203704115469E-2</v>
      </c>
      <c r="N156" s="7">
        <f t="shared" si="84"/>
        <v>38.033333339262754</v>
      </c>
      <c r="O156" s="7"/>
      <c r="P156" s="7"/>
      <c r="Q156" s="23"/>
      <c r="R156" s="23"/>
      <c r="S156" s="35">
        <f t="shared" si="85"/>
        <v>1</v>
      </c>
      <c r="T156" s="50" t="str">
        <f t="shared" si="86"/>
        <v>NorthBound</v>
      </c>
      <c r="U156" s="144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23:14:53-0600',mode:absolute,to:'2016-10-16 02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6" s="52" t="str">
        <f t="shared" si="88"/>
        <v>N</v>
      </c>
      <c r="X156" s="149">
        <f t="shared" si="58"/>
        <v>1</v>
      </c>
      <c r="Y156" s="67">
        <f t="shared" si="89"/>
        <v>4.7500000000000001E-2</v>
      </c>
      <c r="Z156" s="67">
        <f t="shared" si="91"/>
        <v>23.330300000000001</v>
      </c>
      <c r="AA156" s="67">
        <f t="shared" si="90"/>
        <v>23.282800000000002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97"/>
        <v>0243-15</v>
      </c>
      <c r="AE156" s="91" t="str">
        <f t="shared" si="92"/>
        <v>aws s3 cp s3://rtdc.mdm.uploadarchive.raw/RTDC4016/ "%USERPROFILE%\AppData\Local\Temp\OnboardLogs"\RTDC4016\2016-10-16 --exclude "*" --recursive --include "*20161016*" &amp; "%USERPROFILE%\Documents\GitHub\mrs-test-scripts\Headless Mode &amp; Sideloading\WalkAndUnGZ.bat" "%USERPROFILE%\AppData\Local\Temp\OnboardLogs"\RTDC4016\2016-10-16 &amp; aws s3 cp s3://rtdc.mdm.uploadarchive.raw/RTDC4016/ "%USERPROFILE%\AppData\Local\Temp\OnboardLogs"\RTDC4016\2016-10-17 --exclude "*" --recursive --include "*20161017*" &amp; "%USERPROFILE%\Documents\GitHub\mrs-test-scripts\Headless Mode &amp; Sideloading\WalkAndUnGZ.bat" "%USERPROFILE%\AppData\Local\Temp\OnboardLogs"\RTDC4016\2016-10-17</v>
      </c>
      <c r="AF156" s="88" t="str">
        <f t="shared" si="93"/>
        <v>"C:\Program Files (x86)\AstroGrep\AstroGrep.exe" /spath="%USERPROFILE%\AppData\Local\Temp\OnboardLogs" /stypes="app*4016*20161016*" /stext=" 07:.+((SYSTEM_STATE.+slice.+state.+changed )|(ment ac)|(system.+state.+changed )|(\[timeout)|(PRM\|1\|D)|(kpr)|(kdp)|(\|lc)|(penalty))" /e /r /s</v>
      </c>
      <c r="AG156" s="1" t="str">
        <f t="shared" si="94"/>
        <v>EC</v>
      </c>
      <c r="AH156" s="92" t="str">
        <f t="shared" si="95"/>
        <v>"%USERPROFILE%\Documents\GitHub\eaglep3\Utilities\RefineRTDCRunTimes.py" --tripid 243-15 --locoid 4016 --swversion DE.1.0.7.0 --startMP 204:475 --initTime 2016-10-16T00:14:53 --startdatetime 2016-10-16T00:30:22 --delay 1 --endMP 204:233303 --enddatetime 2016-10-16T01:08:24 --enforcementcount 0 &gt;&gt;C:\Users\stu\Documents\GitHub\eaglep3-reporting\EC\2016-10-15-refined-times.txt</v>
      </c>
      <c r="AI156" s="122" t="str">
        <f t="shared" si="96"/>
        <v>echo {"issue":{"subject":"","project_id":79,"tracker_id":40,"status_id":1,"priority_id":2,"assigned_to_id":23,"start_date":"2016-10-16","description":"","custom_fields":[{"id":1,"name":"Subdivision","value":"EC"},{"id":4,"name":"Milepost","value":"23.3303"},{"id":17,"name":"Train ID","value":"243-15"},{"id":16,"name":"Locomotive ID","value":"4016"},{"id":130,"name":"Impact","value":""},{"id":150,"name":"Time of Event (Mountain Time)","value":"01:08:24"},{"id":151,"name":"Denver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s="21" customFormat="1" x14ac:dyDescent="0.25">
      <c r="A157" s="37" t="s">
        <v>450</v>
      </c>
      <c r="B157" s="7">
        <v>4015</v>
      </c>
      <c r="C157" s="22" t="s">
        <v>99</v>
      </c>
      <c r="D157" s="22" t="s">
        <v>396</v>
      </c>
      <c r="E157" s="13">
        <v>42659.052094907405</v>
      </c>
      <c r="F157" s="13">
        <v>42659.059895833336</v>
      </c>
      <c r="G157" s="7">
        <v>2</v>
      </c>
      <c r="H157" s="13" t="s">
        <v>177</v>
      </c>
      <c r="I157" s="13">
        <v>42659.087847222225</v>
      </c>
      <c r="J157" s="7">
        <v>0</v>
      </c>
      <c r="K157" s="112" t="str">
        <f t="shared" si="82"/>
        <v>4015/4016</v>
      </c>
      <c r="L157" s="22" t="str">
        <f>VLOOKUP(A157,'Trips&amp;Operators'!$C$1:$E$10000,3,FALSE)</f>
        <v>HAUSER</v>
      </c>
      <c r="M157" s="6">
        <f t="shared" si="83"/>
        <v>2.7951388889050577E-2</v>
      </c>
      <c r="N157" s="7">
        <f t="shared" si="84"/>
        <v>40.250000000232831</v>
      </c>
      <c r="O157" s="7"/>
      <c r="P157" s="7"/>
      <c r="Q157" s="23"/>
      <c r="R157" s="23"/>
      <c r="S157" s="35">
        <f t="shared" si="85"/>
        <v>1</v>
      </c>
      <c r="T157" s="50" t="str">
        <f t="shared" si="86"/>
        <v>Southbound</v>
      </c>
      <c r="U157" s="144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https://search-rtdc-monitor-bjffxe2xuh6vdkpspy63sjmuny.us-east-1.es.amazonaws.com/_plugin/kibana/#/discover/Steve-Slow-Train-Analysis-(2080s-and-2083s)?_g=(refreshInterval:(display:Off,section:0,value:0),time:(from:'2016-10-16 00:15:01-0600',mode:absolute,to:'2016-10-16 03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7" s="52" t="str">
        <f t="shared" si="88"/>
        <v>N</v>
      </c>
      <c r="X157" s="149">
        <f t="shared" si="58"/>
        <v>1</v>
      </c>
      <c r="Y157" s="67">
        <f t="shared" si="89"/>
        <v>23.296500000000002</v>
      </c>
      <c r="Z157" s="67">
        <f t="shared" si="91"/>
        <v>1.52E-2</v>
      </c>
      <c r="AA157" s="67">
        <f t="shared" si="90"/>
        <v>23.281300000000002</v>
      </c>
      <c r="AB157" s="64" t="str">
        <f>VLOOKUP(A157,Enforcements!$C$7:$K$21,8,0)</f>
        <v>Speed (6)</v>
      </c>
      <c r="AC157" s="60" t="str">
        <f>VLOOKUP(A157,Enforcements!$C$7:$E$21,3,0)</f>
        <v>PERMANENT SPEED RESTRICTION</v>
      </c>
      <c r="AD157" s="61" t="str">
        <f t="shared" si="97"/>
        <v>0244-15</v>
      </c>
      <c r="AE157" s="91" t="str">
        <f t="shared" si="92"/>
        <v>aws s3 cp s3://rtdc.mdm.uploadarchive.raw/RTDC4015/ "%USERPROFILE%\AppData\Local\Temp\OnboardLogs"\RTDC4015\2016-10-16 --exclude "*" --recursive --include "*20161016*" &amp; "%USERPROFILE%\Documents\GitHub\mrs-test-scripts\Headless Mode &amp; Sideloading\WalkAndUnGZ.bat" "%USERPROFILE%\AppData\Local\Temp\OnboardLogs"\RTDC4015\2016-10-16 &amp; aws s3 cp s3://rtdc.mdm.uploadarchive.raw/RTDC4015/ "%USERPROFILE%\AppData\Local\Temp\OnboardLogs"\RTDC4015\2016-10-17 --exclude "*" --recursive --include "*20161017*" &amp; "%USERPROFILE%\Documents\GitHub\mrs-test-scripts\Headless Mode &amp; Sideloading\WalkAndUnGZ.bat" "%USERPROFILE%\AppData\Local\Temp\OnboardLogs"\RTDC4015\2016-10-17</v>
      </c>
      <c r="AF157" s="88" t="str">
        <f t="shared" si="93"/>
        <v>"C:\Program Files (x86)\AstroGrep\AstroGrep.exe" /spath="%USERPROFILE%\AppData\Local\Temp\OnboardLogs" /stypes="app*4015*20161016*" /stext=" 08:.+((SYSTEM_STATE.+slice.+state.+changed )|(ment ac)|(system.+state.+changed )|(\[timeout)|(PRM\|1\|D)|(kpr)|(kdp)|(\|lc)|(penalty))" /e /r /s</v>
      </c>
      <c r="AG157" s="1" t="str">
        <f t="shared" si="94"/>
        <v>EC</v>
      </c>
      <c r="AH157" s="92" t="str">
        <f t="shared" si="95"/>
        <v>"%USERPROFILE%\Documents\GitHub\eaglep3\Utilities\RefineRTDCRunTimes.py" --tripid 244-15 --locoid 4015 --swversion DE.1.0.7.0 --startMP 204:232965 --initTime 2016-10-16T01:15:01 --startdatetime 2016-10-16T01:26:15 --delay 2 --endMP 204:152 --enddatetime 2016-10-16T02:06:30 --enforcementcount 0 &gt;&gt;C:\Users\stu\Documents\GitHub\eaglep3-reporting\EC\2016-10-15-refined-times.txt</v>
      </c>
      <c r="AI157" s="122" t="str">
        <f t="shared" si="96"/>
        <v>echo {"issue":{"subject":"","project_id":79,"tracker_id":40,"status_id":1,"priority_id":2,"assigned_to_id":23,"start_date":"2016-10-16","description":"","custom_fields":[{"id":1,"name":"Subdivision","value":"EC"},{"id":4,"name":"Milepost","value":"0.0152"},{"id":17,"name":"Train ID","value":"244-15"},{"id":16,"name":"Locomotive ID","value":"4015"},{"id":130,"name":"Impact","value":""},{"id":150,"name":"Time of Event (Mountain Time)","value":"02:06:30"},{"id":151,"name":"Denver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7" t="s">
        <v>620</v>
      </c>
      <c r="B158" s="7">
        <v>4020</v>
      </c>
      <c r="C158" s="22" t="s">
        <v>99</v>
      </c>
      <c r="D158" s="22" t="s">
        <v>715</v>
      </c>
      <c r="E158" s="13">
        <v>42659.038460648146</v>
      </c>
      <c r="F158" s="13">
        <v>42659.041909722226</v>
      </c>
      <c r="G158" s="7">
        <v>1</v>
      </c>
      <c r="H158" s="13" t="s">
        <v>709</v>
      </c>
      <c r="I158" s="13">
        <v>42659.066377314812</v>
      </c>
      <c r="J158" s="7">
        <v>0</v>
      </c>
      <c r="K158" s="112" t="str">
        <f t="shared" si="82"/>
        <v>4019/4020</v>
      </c>
      <c r="L158" s="22" t="str">
        <f>VLOOKUP(A158,'Trips&amp;Operators'!$C$1:$E$10000,3,FALSE)</f>
        <v>LEVIN</v>
      </c>
      <c r="M158" s="6">
        <f t="shared" si="83"/>
        <v>2.4467592586006504E-2</v>
      </c>
      <c r="N158" s="7">
        <f t="shared" si="84"/>
        <v>35.233333323849365</v>
      </c>
      <c r="O158" s="7"/>
      <c r="P158" s="7"/>
      <c r="Q158" s="23"/>
      <c r="R158" s="23"/>
      <c r="S158" s="35">
        <f t="shared" si="85"/>
        <v>1</v>
      </c>
      <c r="T158" s="50" t="str">
        <f t="shared" si="86"/>
        <v>NorthBound</v>
      </c>
      <c r="U158" s="144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23:55:23-0600',mode:absolute,to:'2016-10-16 02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58" s="52" t="str">
        <f t="shared" si="88"/>
        <v>N</v>
      </c>
      <c r="X158" s="149">
        <f t="shared" si="58"/>
        <v>1</v>
      </c>
      <c r="Y158" s="67">
        <f t="shared" si="89"/>
        <v>4.3099999999999999E-2</v>
      </c>
      <c r="Z158" s="67">
        <f t="shared" si="91"/>
        <v>23.332100000000001</v>
      </c>
      <c r="AA158" s="67">
        <f t="shared" si="90"/>
        <v>23.289000000000001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97"/>
        <v>0245-15</v>
      </c>
      <c r="AE158" s="91" t="str">
        <f t="shared" si="92"/>
        <v>aws s3 cp s3://rtdc.mdm.uploadarchive.raw/RTDC4020/ "%USERPROFILE%\AppData\Local\Temp\OnboardLogs"\RTDC4020\2016-10-16 --exclude "*" --recursive --include "*20161016*" &amp; "%USERPROFILE%\Documents\GitHub\mrs-test-scripts\Headless Mode &amp; Sideloading\WalkAndUnGZ.bat" "%USERPROFILE%\AppData\Local\Temp\OnboardLogs"\RTDC4020\2016-10-16 &amp; aws s3 cp s3://rtdc.mdm.uploadarchive.raw/RTDC4020/ "%USERPROFILE%\AppData\Local\Temp\OnboardLogs"\RTDC4020\2016-10-17 --exclude "*" --recursive --include "*20161017*" &amp; "%USERPROFILE%\Documents\GitHub\mrs-test-scripts\Headless Mode &amp; Sideloading\WalkAndUnGZ.bat" "%USERPROFILE%\AppData\Local\Temp\OnboardLogs"\RTDC4020\2016-10-17</v>
      </c>
      <c r="AF158" s="88" t="str">
        <f t="shared" si="93"/>
        <v>"C:\Program Files (x86)\AstroGrep\AstroGrep.exe" /spath="%USERPROFILE%\AppData\Local\Temp\OnboardLogs" /stypes="app*4020*20161016*" /stext=" 07:.+((SYSTEM_STATE.+slice.+state.+changed )|(ment ac)|(system.+state.+changed )|(\[timeout)|(PRM\|1\|D)|(kpr)|(kdp)|(\|lc)|(penalty))" /e /r /s</v>
      </c>
      <c r="AG158" s="1" t="str">
        <f t="shared" si="94"/>
        <v>EC</v>
      </c>
      <c r="AH158" s="92" t="str">
        <f t="shared" si="95"/>
        <v>"%USERPROFILE%\Documents\GitHub\eaglep3\Utilities\RefineRTDCRunTimes.py" --tripid 245-15 --locoid 4020 --swversion DE.1.0.7.0 --startMP 204:431 --initTime 2016-10-16T00:55:23 --startdatetime 2016-10-16T01:00:21 --delay 1 --endMP 204:233321 --enddatetime 2016-10-16T01:35:35 --enforcementcount 0 &gt;&gt;C:\Users\stu\Documents\GitHub\eaglep3-reporting\EC\2016-10-15-refined-times.txt</v>
      </c>
      <c r="AI158" s="122" t="str">
        <f t="shared" si="96"/>
        <v>echo {"issue":{"subject":"","project_id":79,"tracker_id":40,"status_id":1,"priority_id":2,"assigned_to_id":23,"start_date":"2016-10-16","description":"","custom_fields":[{"id":1,"name":"Subdivision","value":"EC"},{"id":4,"name":"Milepost","value":"23.3321"},{"id":17,"name":"Train ID","value":"245-15"},{"id":16,"name":"Locomotive ID","value":"4020"},{"id":130,"name":"Impact","value":""},{"id":150,"name":"Time of Event (Mountain Time)","value":"01:35:35"},{"id":151,"name":"Denver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91" s="21" customFormat="1" x14ac:dyDescent="0.25">
      <c r="A159" s="37" t="s">
        <v>622</v>
      </c>
      <c r="B159" s="7">
        <v>4019</v>
      </c>
      <c r="C159" s="22" t="s">
        <v>99</v>
      </c>
      <c r="D159" s="22" t="s">
        <v>640</v>
      </c>
      <c r="E159" s="13">
        <v>42659.073148148149</v>
      </c>
      <c r="F159" s="13">
        <v>42659.080752314818</v>
      </c>
      <c r="G159" s="7">
        <v>0</v>
      </c>
      <c r="H159" s="13" t="s">
        <v>182</v>
      </c>
      <c r="I159" s="13">
        <v>42659.106574074074</v>
      </c>
      <c r="J159" s="7">
        <v>0</v>
      </c>
      <c r="K159" s="112" t="str">
        <f t="shared" si="82"/>
        <v>4019/4020</v>
      </c>
      <c r="L159" s="22" t="str">
        <f>VLOOKUP(A159,'Trips&amp;Operators'!$C$1:$E$10000,3,FALSE)</f>
        <v>LEVIN</v>
      </c>
      <c r="M159" s="6">
        <f t="shared" si="83"/>
        <v>2.5821759256359655E-2</v>
      </c>
      <c r="N159" s="7">
        <f t="shared" si="84"/>
        <v>37.183333329157904</v>
      </c>
      <c r="O159" s="7"/>
      <c r="P159" s="7"/>
      <c r="Q159" s="23"/>
      <c r="R159" s="23"/>
      <c r="S159" s="35">
        <f t="shared" si="85"/>
        <v>1</v>
      </c>
      <c r="T159" s="50" t="str">
        <f t="shared" si="86"/>
        <v>Southbound</v>
      </c>
      <c r="U159" s="144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https://search-rtdc-monitor-bjffxe2xuh6vdkpspy63sjmuny.us-east-1.es.amazonaws.com/_plugin/kibana/#/discover/Steve-Slow-Train-Analysis-(2080s-and-2083s)?_g=(refreshInterval:(display:Off,section:0,value:0),time:(from:'2016-10-16 00:45:20-0600',mode:absolute,to:'2016-10-16 03:33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9" s="52" t="str">
        <f t="shared" si="88"/>
        <v>N</v>
      </c>
      <c r="X159" s="149">
        <f t="shared" si="58"/>
        <v>1</v>
      </c>
      <c r="Y159" s="67">
        <f t="shared" si="89"/>
        <v>23.3</v>
      </c>
      <c r="Z159" s="67">
        <f t="shared" si="91"/>
        <v>1.41E-2</v>
      </c>
      <c r="AA159" s="67">
        <f t="shared" si="90"/>
        <v>23.285900000000002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97"/>
        <v>0246-15</v>
      </c>
      <c r="AE159" s="91" t="str">
        <f t="shared" si="92"/>
        <v>aws s3 cp s3://rtdc.mdm.uploadarchive.raw/RTDC4019/ "%USERPROFILE%\AppData\Local\Temp\OnboardLogs"\RTDC4019\2016-10-16 --exclude "*" --recursive --include "*20161016*" &amp; "%USERPROFILE%\Documents\GitHub\mrs-test-scripts\Headless Mode &amp; Sideloading\WalkAndUnGZ.bat" "%USERPROFILE%\AppData\Local\Temp\OnboardLogs"\RTDC4019\2016-10-16 &amp; aws s3 cp s3://rtdc.mdm.uploadarchive.raw/RTDC4019/ "%USERPROFILE%\AppData\Local\Temp\OnboardLogs"\RTDC4019\2016-10-17 --exclude "*" --recursive --include "*20161017*" &amp; "%USERPROFILE%\Documents\GitHub\mrs-test-scripts\Headless Mode &amp; Sideloading\WalkAndUnGZ.bat" "%USERPROFILE%\AppData\Local\Temp\OnboardLogs"\RTDC4019\2016-10-17</v>
      </c>
      <c r="AF159" s="88" t="str">
        <f t="shared" si="93"/>
        <v>"C:\Program Files (x86)\AstroGrep\AstroGrep.exe" /spath="%USERPROFILE%\AppData\Local\Temp\OnboardLogs" /stypes="app*4019*20161016*" /stext=" 08:.+((SYSTEM_STATE.+slice.+state.+changed )|(ment ac)|(system.+state.+changed )|(\[timeout)|(PRM\|1\|D)|(kpr)|(kdp)|(\|lc)|(penalty))" /e /r /s</v>
      </c>
      <c r="AG159" s="1" t="str">
        <f t="shared" si="94"/>
        <v>EC</v>
      </c>
      <c r="AH159" s="92" t="str">
        <f t="shared" si="95"/>
        <v>"%USERPROFILE%\Documents\GitHub\eaglep3\Utilities\RefineRTDCRunTimes.py" --tripid 246-15 --locoid 4019 --swversion DE.1.0.7.0 --startMP 204:233000 --initTime 2016-10-16T01:45:20 --startdatetime 2016-10-16T01:56:17 --delay 0 --endMP 204:141 --enddatetime 2016-10-16T02:33:28 --enforcementcount 0 &gt;&gt;C:\Users\stu\Documents\GitHub\eaglep3-reporting\EC\2016-10-15-refined-times.txt</v>
      </c>
      <c r="AI159" s="122" t="str">
        <f t="shared" si="96"/>
        <v>echo {"issue":{"subject":"","project_id":79,"tracker_id":40,"status_id":1,"priority_id":2,"assigned_to_id":23,"start_date":"2016-10-16","description":"","custom_fields":[{"id":1,"name":"Subdivision","value":"EC"},{"id":4,"name":"Milepost","value":"0.0141"},{"id":17,"name":"Train ID","value":"246-15"},{"id":16,"name":"Locomotive ID","value":"4019"},{"id":130,"name":"Impact","value":""},{"id":150,"name":"Time of Event (Mountain Time)","value":"02:33:28"},{"id":151,"name":"Denver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470</v>
      </c>
      <c r="B160" s="7">
        <v>4028</v>
      </c>
      <c r="C160" s="22" t="s">
        <v>99</v>
      </c>
      <c r="D160" s="22" t="s">
        <v>423</v>
      </c>
      <c r="E160" s="13">
        <v>42658.231238425928</v>
      </c>
      <c r="F160" s="13">
        <v>42658.237500000003</v>
      </c>
      <c r="G160" s="7">
        <v>1</v>
      </c>
      <c r="H160" s="13" t="s">
        <v>663</v>
      </c>
      <c r="I160" s="13">
        <v>42658.24627314815</v>
      </c>
      <c r="J160" s="7">
        <v>0</v>
      </c>
      <c r="K160" s="112" t="str">
        <f t="shared" si="82"/>
        <v>4027/4028</v>
      </c>
      <c r="L160" s="22" t="str">
        <f>VLOOKUP(A160,'Trips&amp;Operators'!$C$1:$E$10000,3,FALSE)</f>
        <v>YORK</v>
      </c>
      <c r="M160" s="6">
        <f t="shared" si="83"/>
        <v>8.7731481471564621E-3</v>
      </c>
      <c r="N160" s="7">
        <f t="shared" si="84"/>
        <v>12.633333331905305</v>
      </c>
      <c r="O160" s="7"/>
      <c r="P160" s="7"/>
      <c r="Q160" s="23"/>
      <c r="R160" s="23"/>
      <c r="S160" s="35">
        <f t="shared" si="85"/>
        <v>1</v>
      </c>
      <c r="T160" s="50" t="str">
        <f t="shared" si="86"/>
        <v>Southbound</v>
      </c>
      <c r="U160" s="144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04:32:59-0600',mode:absolute,to:'2016-10-15 06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0" s="52" t="str">
        <f t="shared" si="88"/>
        <v>N</v>
      </c>
      <c r="X160" s="149">
        <f t="shared" si="58"/>
        <v>1554</v>
      </c>
      <c r="Y160" s="67">
        <f t="shared" si="89"/>
        <v>5.8619000000000003</v>
      </c>
      <c r="Z160" s="67">
        <f t="shared" si="91"/>
        <v>7.9899999999999999E-2</v>
      </c>
      <c r="AA160" s="67">
        <f t="shared" si="90"/>
        <v>5.782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97"/>
        <v>1800-15</v>
      </c>
      <c r="AE160" s="91" t="str">
        <f t="shared" si="92"/>
        <v>aws s3 cp s3://rtdc.mdm.uploadarchive.raw/RTDC4028/ "%USERPROFILE%\AppData\Local\Temp\OnboardLogs"\RTDC4028\2016-10-15 --exclude "*" --recursive --include "*20161015*" &amp; "%USERPROFILE%\Documents\GitHub\mrs-test-scripts\Headless Mode &amp; Sideloading\WalkAndUnGZ.bat" "%USERPROFILE%\AppData\Local\Temp\OnboardLogs"\RTDC4028\2016-10-15 &amp; 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</v>
      </c>
      <c r="AF160" s="88" t="str">
        <f t="shared" si="93"/>
        <v>"C:\Program Files (x86)\AstroGrep\AstroGrep.exe" /spath="%USERPROFILE%\AppData\Local\Temp\OnboardLogs" /stypes="app*4028*20161015*" /stext=" 11:.+((SYSTEM_STATE.+slice.+state.+changed )|(ment ac)|(system.+state.+changed )|(\[timeout)|(PRM\|1\|D)|(kpr)|(kdp)|(\|lc)|(penalty))" /e /r /s</v>
      </c>
      <c r="AG160" s="1" t="str">
        <f t="shared" si="94"/>
        <v>NW</v>
      </c>
      <c r="AH160" s="92" t="str">
        <f t="shared" si="95"/>
        <v>"%USERPROFILE%\Documents\GitHub\eaglep3\Utilities\RefineRTDCRunTimes.py" --tripid 1800-15 --locoid 4028 --swversion DE.1.0.7.0 --startMP 300:58619 --initTime 2016-10-15T05:32:59 --startdatetime 2016-10-15T05:42:00 --delay 1 --endMP 204:799 --enddatetime 2016-10-15T05:54:38 --enforcementcount 0 &gt;&gt;C:\Users\stu\Documents\GitHub\eaglep3-reporting\EC\2016-10-15-refined-times.txt</v>
      </c>
      <c r="AI160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{"issue":{"subject":"","project_id":79,"tracker_id":40,"status_id":1,"priority_id":2,"assigned_to_id":23,"start_date":"2016-10-15","description":"","custom_fields":[{"id":1,"name":"Subdivision","value":"NW"},{"id":4,"name":"Milepost","value":"0.0799"},{"id":17,"name":"Train ID","value":"1800-15"},{"id":16,"name":"Locomotive ID","value":"4028"},{"id":130,"name":"Impact","value":""},{"id":150,"name":"Time of Event (Mountain Time)","value":"05:54:38"},{"id":151,"name":"Denver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475</v>
      </c>
      <c r="B161" s="7">
        <v>4027</v>
      </c>
      <c r="C161" s="22" t="s">
        <v>99</v>
      </c>
      <c r="D161" s="22" t="s">
        <v>664</v>
      </c>
      <c r="E161" s="13">
        <v>42658.247627314813</v>
      </c>
      <c r="F161" s="13">
        <v>42658.264780092592</v>
      </c>
      <c r="G161" s="7">
        <v>0</v>
      </c>
      <c r="H161" s="13" t="s">
        <v>417</v>
      </c>
      <c r="I161" s="13">
        <v>42658.273738425924</v>
      </c>
      <c r="J161" s="7">
        <v>0</v>
      </c>
      <c r="K161" s="112" t="str">
        <f t="shared" si="82"/>
        <v>4027/4028</v>
      </c>
      <c r="L161" s="22" t="str">
        <f>VLOOKUP(A161,'Trips&amp;Operators'!$C$1:$E$10000,3,FALSE)</f>
        <v>YORK</v>
      </c>
      <c r="M161" s="6">
        <f t="shared" si="83"/>
        <v>8.9583333319751546E-3</v>
      </c>
      <c r="N161" s="7">
        <f t="shared" si="84"/>
        <v>12.899999998044223</v>
      </c>
      <c r="O161" s="7"/>
      <c r="P161" s="7"/>
      <c r="Q161" s="23"/>
      <c r="R161" s="23"/>
      <c r="S161" s="35">
        <f t="shared" si="85"/>
        <v>1</v>
      </c>
      <c r="T161" s="50" t="str">
        <f t="shared" si="86"/>
        <v>NorthBound</v>
      </c>
      <c r="U161" s="144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04:56:35-0600',mode:absolute,to:'2016-10-15 07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61" s="52" t="str">
        <f t="shared" si="88"/>
        <v>N</v>
      </c>
      <c r="X161" s="149">
        <f t="shared" si="58"/>
        <v>1</v>
      </c>
      <c r="Y161" s="67">
        <f t="shared" si="89"/>
        <v>0.1091</v>
      </c>
      <c r="Z161" s="67">
        <f t="shared" si="91"/>
        <v>5.8925999999999998</v>
      </c>
      <c r="AA161" s="67">
        <f t="shared" si="90"/>
        <v>5.7835000000000001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97"/>
        <v>1801-15</v>
      </c>
      <c r="AE161" s="91" t="str">
        <f t="shared" si="92"/>
        <v>aws s3 cp s3://rtdc.mdm.uploadarchive.raw/RTDC4027/ "%USERPROFILE%\AppData\Local\Temp\OnboardLogs"\RTDC4027\2016-10-15 --exclude "*" --recursive --include "*20161015*" &amp; "%USERPROFILE%\Documents\GitHub\mrs-test-scripts\Headless Mode &amp; Sideloading\WalkAndUnGZ.bat" "%USERPROFILE%\AppData\Local\Temp\OnboardLogs"\RTDC4027\2016-10-15 &amp; aws s3 cp s3://rtdc.mdm.uploadarchive.raw/RTDC4027/ "%USERPROFILE%\AppData\Local\Temp\OnboardLogs"\RTDC4027\2016-10-16 --exclude "*" --recursive --include "*20161016*" &amp; "%USERPROFILE%\Documents\GitHub\mrs-test-scripts\Headless Mode &amp; Sideloading\WalkAndUnGZ.bat" "%USERPROFILE%\AppData\Local\Temp\OnboardLogs"\RTDC4027\2016-10-16</v>
      </c>
      <c r="AF161" s="88" t="str">
        <f t="shared" si="93"/>
        <v>"C:\Program Files (x86)\AstroGrep\AstroGrep.exe" /spath="%USERPROFILE%\AppData\Local\Temp\OnboardLogs" /stypes="app*4027*20161015*" /stext=" 12:.+((SYSTEM_STATE.+slice.+state.+changed )|(ment ac)|(system.+state.+changed )|(\[timeout)|(PRM\|1\|D)|(kpr)|(kdp)|(\|lc)|(penalty))" /e /r /s</v>
      </c>
      <c r="AG161" s="1" t="str">
        <f t="shared" si="94"/>
        <v>NW</v>
      </c>
      <c r="AH161" s="92" t="str">
        <f t="shared" si="95"/>
        <v>"%USERPROFILE%\Documents\GitHub\eaglep3\Utilities\RefineRTDCRunTimes.py" --tripid 1801-15 --locoid 4027 --swversion DE.1.0.7.0 --startMP 204:1091 --initTime 2016-10-15T05:56:35 --startdatetime 2016-10-15T06:21:17 --delay 0 --endMP 300:58926 --enddatetime 2016-10-15T06:34:11 --enforcementcount 0 &gt;&gt;C:\Users\stu\Documents\GitHub\eaglep3-reporting\EC\2016-10-15-refined-times.txt</v>
      </c>
      <c r="AI161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{"issue":{"subject":"","project_id":79,"tracker_id":40,"status_id":1,"priority_id":2,"assigned_to_id":23,"start_date":"2016-10-15","description":"","custom_fields":[{"id":1,"name":"Subdivision","value":"NW"},{"id":4,"name":"Milepost","value":"5.8926"},{"id":17,"name":"Train ID","value":"1801-15"},{"id":16,"name":"Locomotive ID","value":"4027"},{"id":130,"name":"Impact","value":""},{"id":150,"name":"Time of Event (Mountain Time)","value":"06:34:11"},{"id":151,"name":"Denver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480</v>
      </c>
      <c r="B162" s="7">
        <v>4028</v>
      </c>
      <c r="C162" s="22" t="s">
        <v>99</v>
      </c>
      <c r="D162" s="22" t="s">
        <v>425</v>
      </c>
      <c r="E162" s="13">
        <v>42658.275393518517</v>
      </c>
      <c r="F162" s="13">
        <v>42658.276736111111</v>
      </c>
      <c r="G162" s="7">
        <v>1</v>
      </c>
      <c r="H162" s="13" t="s">
        <v>665</v>
      </c>
      <c r="I162" s="13">
        <v>42658.288090277776</v>
      </c>
      <c r="J162" s="7">
        <v>0</v>
      </c>
      <c r="K162" s="112" t="str">
        <f t="shared" si="82"/>
        <v>4027/4028</v>
      </c>
      <c r="L162" s="22" t="str">
        <f>VLOOKUP(A162,'Trips&amp;Operators'!$C$1:$E$10000,3,FALSE)</f>
        <v>YORK</v>
      </c>
      <c r="M162" s="6">
        <f t="shared" si="83"/>
        <v>1.1354166665114462E-2</v>
      </c>
      <c r="N162" s="7">
        <f t="shared" si="84"/>
        <v>16.349999997764826</v>
      </c>
      <c r="O162" s="7"/>
      <c r="P162" s="7"/>
      <c r="Q162" s="23"/>
      <c r="R162" s="23"/>
      <c r="S162" s="35">
        <f t="shared" si="85"/>
        <v>1</v>
      </c>
      <c r="T162" s="50" t="str">
        <f t="shared" si="86"/>
        <v>Southbound</v>
      </c>
      <c r="U162" s="144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05:36:34-0600',mode:absolute,to:'2016-10-15 07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2" s="52" t="str">
        <f t="shared" si="88"/>
        <v>N</v>
      </c>
      <c r="X162" s="149">
        <f t="shared" si="58"/>
        <v>1</v>
      </c>
      <c r="Y162" s="67">
        <f t="shared" si="89"/>
        <v>5.86</v>
      </c>
      <c r="Z162" s="67">
        <f t="shared" si="91"/>
        <v>1.4800000000000001E-2</v>
      </c>
      <c r="AA162" s="67">
        <f t="shared" si="90"/>
        <v>5.8452000000000002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97"/>
        <v>1802-15</v>
      </c>
      <c r="AE162" s="91" t="str">
        <f t="shared" si="92"/>
        <v>aws s3 cp s3://rtdc.mdm.uploadarchive.raw/RTDC4028/ "%USERPROFILE%\AppData\Local\Temp\OnboardLogs"\RTDC4028\2016-10-15 --exclude "*" --recursive --include "*20161015*" &amp; "%USERPROFILE%\Documents\GitHub\mrs-test-scripts\Headless Mode &amp; Sideloading\WalkAndUnGZ.bat" "%USERPROFILE%\AppData\Local\Temp\OnboardLogs"\RTDC4028\2016-10-15 &amp; aws s3 cp s3://rtdc.mdm.uploadarchive.raw/RTDC4028/ "%USERPROFILE%\AppData\Local\Temp\OnboardLogs"\RTDC4028\2016-10-16 --exclude "*" --recursive --include "*20161016*" &amp; "%USERPROFILE%\Documents\GitHub\mrs-test-scripts\Headless Mode &amp; Sideloading\WalkAndUnGZ.bat" "%USERPROFILE%\AppData\Local\Temp\OnboardLogs"\RTDC4028\2016-10-16</v>
      </c>
      <c r="AF162" s="88" t="str">
        <f t="shared" si="93"/>
        <v>"C:\Program Files (x86)\AstroGrep\AstroGrep.exe" /spath="%USERPROFILE%\AppData\Local\Temp\OnboardLogs" /stypes="app*4028*20161015*" /stext=" 12:.+((SYSTEM_STATE.+slice.+state.+changed )|(ment ac)|(system.+state.+changed )|(\[timeout)|(PRM\|1\|D)|(kpr)|(kdp)|(\|lc)|(penalty))" /e /r /s</v>
      </c>
      <c r="AG162" s="1" t="str">
        <f t="shared" si="94"/>
        <v>NW</v>
      </c>
      <c r="AH162" s="92" t="str">
        <f t="shared" si="95"/>
        <v>"%USERPROFILE%\Documents\GitHub\eaglep3\Utilities\RefineRTDCRunTimes.py" --tripid 1802-15 --locoid 4028 --swversion DE.1.0.7.0 --startMP 300:58600 --initTime 2016-10-15T06:36:34 --startdatetime 2016-10-15T06:38:30 --delay 1 --endMP 204:148 --enddatetime 2016-10-15T06:54:51 --enforcementcount 0 &gt;&gt;C:\Users\stu\Documents\GitHub\eaglep3-reporting\EC\2016-10-15-refined-times.txt</v>
      </c>
      <c r="AI162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{"issue":{"subject":"","project_id":79,"tracker_id":40,"status_id":1,"priority_id":2,"assigned_to_id":23,"start_date":"2016-10-15","description":"","custom_fields":[{"id":1,"name":"Subdivision","value":"NW"},{"id":4,"name":"Milepost","value":"0.0148"},{"id":17,"name":"Train ID","value":"1802-15"},{"id":16,"name":"Locomotive ID","value":"4028"},{"id":130,"name":"Impact","value":""},{"id":150,"name":"Time of Event (Mountain Time)","value":"06:54:51"},{"id":151,"name":"Denver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488</v>
      </c>
      <c r="B163" s="7">
        <v>4018</v>
      </c>
      <c r="C163" s="22" t="s">
        <v>99</v>
      </c>
      <c r="D163" s="22" t="s">
        <v>666</v>
      </c>
      <c r="E163" s="13">
        <v>42658.303194444445</v>
      </c>
      <c r="F163" s="13">
        <v>42658.306597222225</v>
      </c>
      <c r="G163" s="7">
        <v>1</v>
      </c>
      <c r="H163" s="13" t="s">
        <v>415</v>
      </c>
      <c r="I163" s="13">
        <v>42658.315324074072</v>
      </c>
      <c r="J163" s="7">
        <v>0</v>
      </c>
      <c r="K163" s="112" t="str">
        <f t="shared" si="82"/>
        <v>4017/4018</v>
      </c>
      <c r="L163" s="22" t="str">
        <f>VLOOKUP(A163,'Trips&amp;Operators'!$C$1:$E$10000,3,FALSE)</f>
        <v>YORK</v>
      </c>
      <c r="M163" s="6">
        <f t="shared" si="83"/>
        <v>8.7268518473138101E-3</v>
      </c>
      <c r="N163" s="7">
        <f t="shared" si="84"/>
        <v>12.566666660131887</v>
      </c>
      <c r="O163" s="7"/>
      <c r="P163" s="7"/>
      <c r="Q163" s="23"/>
      <c r="R163" s="23"/>
      <c r="S163" s="35">
        <f t="shared" si="85"/>
        <v>1</v>
      </c>
      <c r="T163" s="50" t="str">
        <f t="shared" si="86"/>
        <v>NorthBound</v>
      </c>
      <c r="U163" s="144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06:16:36-0600',mode:absolute,to:'2016-10-15 08:34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3" s="52" t="str">
        <f t="shared" si="88"/>
        <v>N</v>
      </c>
      <c r="X163" s="149">
        <f t="shared" si="58"/>
        <v>1</v>
      </c>
      <c r="Y163" s="67">
        <f t="shared" si="89"/>
        <v>9.8500000000000004E-2</v>
      </c>
      <c r="Z163" s="67">
        <f t="shared" si="91"/>
        <v>5.8929</v>
      </c>
      <c r="AA163" s="67">
        <f t="shared" si="90"/>
        <v>5.7944000000000004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97"/>
        <v>1803-15</v>
      </c>
      <c r="AE163" s="91" t="str">
        <f t="shared" si="92"/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63" s="88" t="str">
        <f t="shared" si="93"/>
        <v>"C:\Program Files (x86)\AstroGrep\AstroGrep.exe" /spath="%USERPROFILE%\AppData\Local\Temp\OnboardLogs" /stypes="app*4018*20161015*" /stext=" 13:.+((SYSTEM_STATE.+slice.+state.+changed )|(ment ac)|(system.+state.+changed )|(\[timeout)|(PRM\|1\|D)|(kpr)|(kdp)|(\|lc)|(penalty))" /e /r /s</v>
      </c>
      <c r="AG163" s="1" t="str">
        <f t="shared" si="94"/>
        <v>NW</v>
      </c>
      <c r="AH163" s="92" t="str">
        <f t="shared" si="95"/>
        <v>"%USERPROFILE%\Documents\GitHub\eaglep3\Utilities\RefineRTDCRunTimes.py" --tripid 1803-15 --locoid 4018 --swversion DE.1.0.7.0 --startMP 204:985 --initTime 2016-10-15T07:16:36 --startdatetime 2016-10-15T07:21:30 --delay 1 --endMP 300:58929 --enddatetime 2016-10-15T07:34:04 --enforcementcount 0 &gt;&gt;C:\Users\stu\Documents\GitHub\eaglep3-reporting\EC\2016-10-15-refined-times.txt</v>
      </c>
      <c r="AI163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{"issue":{"subject":"","project_id":79,"tracker_id":40,"status_id":1,"priority_id":2,"assigned_to_id":23,"start_date":"2016-10-15","description":"","custom_fields":[{"id":1,"name":"Subdivision","value":"NW"},{"id":4,"name":"Milepost","value":"5.8929"},{"id":17,"name":"Train ID","value":"1803-15"},{"id":16,"name":"Locomotive ID","value":"4018"},{"id":130,"name":"Impact","value":""},{"id":150,"name":"Time of Event (Mountain Time)","value":"07:34:04"},{"id":151,"name":"Denver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492</v>
      </c>
      <c r="B164" s="7">
        <v>4017</v>
      </c>
      <c r="C164" s="22" t="s">
        <v>99</v>
      </c>
      <c r="D164" s="22" t="s">
        <v>423</v>
      </c>
      <c r="E164" s="13">
        <v>42658.316990740743</v>
      </c>
      <c r="F164" s="13">
        <v>42658.319641203707</v>
      </c>
      <c r="G164" s="7">
        <v>1</v>
      </c>
      <c r="H164" s="13" t="s">
        <v>416</v>
      </c>
      <c r="I164" s="13">
        <v>42658.329363425924</v>
      </c>
      <c r="J164" s="7">
        <v>0</v>
      </c>
      <c r="K164" s="112" t="str">
        <f t="shared" si="82"/>
        <v>4017/4018</v>
      </c>
      <c r="L164" s="22" t="str">
        <f>VLOOKUP(A164,'Trips&amp;Operators'!$C$1:$E$10000,3,FALSE)</f>
        <v>YORK</v>
      </c>
      <c r="M164" s="6">
        <f t="shared" si="83"/>
        <v>9.7222222175332718E-3</v>
      </c>
      <c r="N164" s="7">
        <f t="shared" si="84"/>
        <v>13.999999993247911</v>
      </c>
      <c r="O164" s="7"/>
      <c r="P164" s="7"/>
      <c r="Q164" s="23"/>
      <c r="R164" s="23"/>
      <c r="S164" s="35">
        <f t="shared" si="85"/>
        <v>1</v>
      </c>
      <c r="T164" s="50" t="str">
        <f t="shared" si="86"/>
        <v>Southbound</v>
      </c>
      <c r="U164" s="144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06:36:28-0600',mode:absolute,to:'2016-10-15 08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4" s="52" t="str">
        <f t="shared" si="88"/>
        <v>N</v>
      </c>
      <c r="X164" s="149">
        <f t="shared" si="58"/>
        <v>1</v>
      </c>
      <c r="Y164" s="67">
        <f t="shared" si="89"/>
        <v>5.8619000000000003</v>
      </c>
      <c r="Z164" s="67">
        <f t="shared" si="91"/>
        <v>7.2400000000000006E-2</v>
      </c>
      <c r="AA164" s="67">
        <f t="shared" si="90"/>
        <v>5.7895000000000003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97"/>
        <v>1804-15</v>
      </c>
      <c r="AE164" s="91" t="str">
        <f t="shared" si="92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64" s="88" t="str">
        <f t="shared" si="93"/>
        <v>"C:\Program Files (x86)\AstroGrep\AstroGrep.exe" /spath="%USERPROFILE%\AppData\Local\Temp\OnboardLogs" /stypes="app*4017*20161015*" /stext=" 13:.+((SYSTEM_STATE.+slice.+state.+changed )|(ment ac)|(system.+state.+changed )|(\[timeout)|(PRM\|1\|D)|(kpr)|(kdp)|(\|lc)|(penalty))" /e /r /s</v>
      </c>
      <c r="AG164" s="1" t="str">
        <f t="shared" si="94"/>
        <v>NW</v>
      </c>
      <c r="AH164" s="92" t="str">
        <f t="shared" si="95"/>
        <v>"%USERPROFILE%\Documents\GitHub\eaglep3\Utilities\RefineRTDCRunTimes.py" --tripid 1804-15 --locoid 4017 --swversion DE.1.0.7.0 --startMP 300:58619 --initTime 2016-10-15T07:36:28 --startdatetime 2016-10-15T07:40:17 --delay 1 --endMP 204:724 --enddatetime 2016-10-15T07:54:17 --enforcementcount 0 &gt;&gt;C:\Users\stu\Documents\GitHub\eaglep3-reporting\EC\2016-10-15-refined-times.txt</v>
      </c>
      <c r="AI164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{"issue":{"subject":"","project_id":79,"tracker_id":40,"status_id":1,"priority_id":2,"assigned_to_id":23,"start_date":"2016-10-15","description":"","custom_fields":[{"id":1,"name":"Subdivision","value":"NW"},{"id":4,"name":"Milepost","value":"0.0724"},{"id":17,"name":"Train ID","value":"1804-15"},{"id":16,"name":"Locomotive ID","value":"4017"},{"id":130,"name":"Impact","value":""},{"id":150,"name":"Time of Event (Mountain Time)","value":"07:54:17"},{"id":151,"name":"Denver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431</v>
      </c>
      <c r="B165" s="7">
        <v>4018</v>
      </c>
      <c r="C165" s="22" t="s">
        <v>99</v>
      </c>
      <c r="D165" s="22" t="s">
        <v>667</v>
      </c>
      <c r="E165" s="13">
        <v>42658.33084490741</v>
      </c>
      <c r="F165" s="13">
        <v>42658.349722222221</v>
      </c>
      <c r="G165" s="7">
        <v>0</v>
      </c>
      <c r="H165" s="13" t="s">
        <v>668</v>
      </c>
      <c r="I165" s="13">
        <v>42658.349861111114</v>
      </c>
      <c r="J165" s="7">
        <v>0</v>
      </c>
      <c r="K165" s="112" t="str">
        <f t="shared" si="82"/>
        <v>4017/4018</v>
      </c>
      <c r="L165" s="22" t="str">
        <f>VLOOKUP(A165,'Trips&amp;Operators'!$C$1:$E$10000,3,FALSE)</f>
        <v>YORK</v>
      </c>
      <c r="M165" s="6">
        <f t="shared" si="83"/>
        <v>1.3888889225199819E-4</v>
      </c>
      <c r="N165" s="7"/>
      <c r="O165" s="7"/>
      <c r="P165" s="7">
        <v>1</v>
      </c>
      <c r="Q165" s="23"/>
      <c r="R165" s="23" t="s">
        <v>761</v>
      </c>
      <c r="S165" s="35">
        <f t="shared" si="85"/>
        <v>0</v>
      </c>
      <c r="T165" s="50" t="str">
        <f t="shared" si="86"/>
        <v>NorthBound</v>
      </c>
      <c r="U165" s="144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0</v>
      </c>
      <c r="V165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06:56:25-0600',mode:absolute,to:'2016-10-15 09:23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5" s="52" t="str">
        <f t="shared" si="88"/>
        <v>Y</v>
      </c>
      <c r="X165" s="149">
        <f t="shared" si="58"/>
        <v>1</v>
      </c>
      <c r="Y165" s="67">
        <f t="shared" si="89"/>
        <v>0.1023</v>
      </c>
      <c r="Z165" s="67">
        <f t="shared" si="91"/>
        <v>0.1973</v>
      </c>
      <c r="AA165" s="67">
        <f t="shared" si="90"/>
        <v>9.5000000000000001E-2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97"/>
        <v>1805-15</v>
      </c>
      <c r="AE165" s="91" t="str">
        <f t="shared" si="92"/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65" s="88" t="str">
        <f t="shared" si="93"/>
        <v>"C:\Program Files (x86)\AstroGrep\AstroGrep.exe" /spath="%USERPROFILE%\AppData\Local\Temp\OnboardLogs" /stypes="app*4018*20161015*" /stext=" 14:.+((SYSTEM_STATE.+slice.+state.+changed )|(ment ac)|(system.+state.+changed )|(\[timeout)|(PRM\|1\|D)|(kpr)|(kdp)|(\|lc)|(penalty))" /e /r /s</v>
      </c>
      <c r="AG165" s="1" t="str">
        <f t="shared" si="94"/>
        <v>NW</v>
      </c>
      <c r="AH165" s="92" t="str">
        <f t="shared" si="95"/>
        <v>"%USERPROFILE%\Documents\GitHub\eaglep3\Utilities\RefineRTDCRunTimes.py" --tripid 1805-15 --locoid 4018 --swversion DE.1.0.7.0 --startMP 204:1023 --initTime 2016-10-15T07:56:25 --startdatetime 2016-10-15T08:23:36 --delay 0 --endMP 204:1973 --enddatetime 2016-10-15T08:23:48 --enforcementcount 0 &gt;&gt;C:\Users\stu\Documents\GitHub\eaglep3-reporting\EC\2016-10-15-refined-times.txt</v>
      </c>
      <c r="AI165" s="122" t="str">
        <f t="shared" si="96"/>
        <v>echo {"issue":{"subject":"Onboard in-route failure","project_id":79,"tracker_id":40,"status_id":1,"priority_id":2,"assigned_to_id":23,"start_date":"2016-10-15","description":"Slice vote outs at 2016-10-15 08:00:12","custom_fields":[{"id":1,"name":"Subdivision","value":"NW"},{"id":4,"name":"Milepost","value":"0.1973"},{"id":17,"name":"Train ID","value":"1805-15"},{"id":16,"name":"Locomotive ID","value":"4018"},{"id":130,"name":"Impact","value":"Unexpected Cut-Out or Disengaged"},{"id":150,"name":"Time of Event (Mountain Time)","value":"08:23:48"},{"id":151,"name":"Denver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65" s="53" t="s">
        <v>762</v>
      </c>
      <c r="AK165" s="53" t="s">
        <v>132</v>
      </c>
      <c r="AL165" s="53" t="s">
        <v>179</v>
      </c>
    </row>
    <row r="166" spans="1:91" x14ac:dyDescent="0.25">
      <c r="A166" s="37" t="s">
        <v>502</v>
      </c>
      <c r="B166" s="7">
        <v>4017</v>
      </c>
      <c r="C166" s="22" t="s">
        <v>99</v>
      </c>
      <c r="D166" s="22" t="s">
        <v>422</v>
      </c>
      <c r="E166" s="13">
        <v>42658.360532407409</v>
      </c>
      <c r="F166" s="13">
        <v>42658.361956018518</v>
      </c>
      <c r="G166" s="7">
        <v>0</v>
      </c>
      <c r="H166" s="13" t="s">
        <v>635</v>
      </c>
      <c r="I166" s="13">
        <v>42658.371238425927</v>
      </c>
      <c r="J166" s="7">
        <v>0</v>
      </c>
      <c r="K166" s="112" t="str">
        <f t="shared" si="82"/>
        <v>4017/4018</v>
      </c>
      <c r="L166" s="22" t="str">
        <f>VLOOKUP(A166,'Trips&amp;Operators'!$C$1:$E$10000,3,FALSE)</f>
        <v>YORK</v>
      </c>
      <c r="M166" s="6">
        <f t="shared" si="83"/>
        <v>9.2824074090458453E-3</v>
      </c>
      <c r="N166" s="7">
        <f t="shared" si="84"/>
        <v>13.366666669026017</v>
      </c>
      <c r="O166" s="7"/>
      <c r="P166" s="7"/>
      <c r="Q166" s="23"/>
      <c r="R166" s="23"/>
      <c r="S166" s="35">
        <f t="shared" si="85"/>
        <v>1</v>
      </c>
      <c r="T166" s="50" t="str">
        <f t="shared" si="86"/>
        <v>Southbound</v>
      </c>
      <c r="U166" s="144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07:39:10-0600',mode:absolute,to:'2016-10-15 09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6" s="52" t="str">
        <f t="shared" si="88"/>
        <v>N</v>
      </c>
      <c r="X166" s="149">
        <f t="shared" si="58"/>
        <v>1</v>
      </c>
      <c r="Y166" s="67">
        <f t="shared" si="89"/>
        <v>5.8635999999999999</v>
      </c>
      <c r="Z166" s="67">
        <f t="shared" si="91"/>
        <v>7.4099999999999999E-2</v>
      </c>
      <c r="AA166" s="67">
        <f t="shared" si="90"/>
        <v>5.7895000000000003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97"/>
        <v>1806-15</v>
      </c>
      <c r="AE166" s="91" t="str">
        <f t="shared" si="92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66" s="88" t="str">
        <f t="shared" si="93"/>
        <v>"C:\Program Files (x86)\AstroGrep\AstroGrep.exe" /spath="%USERPROFILE%\AppData\Local\Temp\OnboardLogs" /stypes="app*4017*20161015*" /stext=" 14:.+((SYSTEM_STATE.+slice.+state.+changed )|(ment ac)|(system.+state.+changed )|(\[timeout)|(PRM\|1\|D)|(kpr)|(kdp)|(\|lc)|(penalty))" /e /r /s</v>
      </c>
      <c r="AG166" s="1" t="str">
        <f t="shared" si="94"/>
        <v>NW</v>
      </c>
      <c r="AH166" s="92" t="str">
        <f t="shared" si="95"/>
        <v>"%USERPROFILE%\Documents\GitHub\eaglep3\Utilities\RefineRTDCRunTimes.py" --tripid 1806-15 --locoid 4017 --swversion DE.1.0.7.0 --startMP 300:58636 --initTime 2016-10-15T08:39:10 --startdatetime 2016-10-15T08:41:13 --delay 0 --endMP 204:741 --enddatetime 2016-10-15T08:54:35 --enforcementcount 0 &gt;&gt;C:\Users\stu\Documents\GitHub\eaglep3-reporting\EC\2016-10-15-refined-times.txt</v>
      </c>
      <c r="AI166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{"issue":{"subject":"","project_id":79,"tracker_id":40,"status_id":1,"priority_id":2,"assigned_to_id":23,"start_date":"2016-10-15","description":"","custom_fields":[{"id":1,"name":"Subdivision","value":"NW"},{"id":4,"name":"Milepost","value":"0.0741"},{"id":17,"name":"Train ID","value":"1806-15"},{"id":16,"name":"Locomotive ID","value":"4017"},{"id":130,"name":"Impact","value":""},{"id":150,"name":"Time of Event (Mountain Time)","value":"08:54:35"},{"id":151,"name":"Denver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x14ac:dyDescent="0.25">
      <c r="A167" s="37" t="s">
        <v>507</v>
      </c>
      <c r="B167" s="7">
        <v>4018</v>
      </c>
      <c r="C167" s="22" t="s">
        <v>99</v>
      </c>
      <c r="D167" s="22" t="s">
        <v>669</v>
      </c>
      <c r="E167" s="13">
        <v>42658.387743055559</v>
      </c>
      <c r="F167" s="13">
        <v>42658.389768518522</v>
      </c>
      <c r="G167" s="7">
        <v>1</v>
      </c>
      <c r="H167" s="13" t="s">
        <v>415</v>
      </c>
      <c r="I167" s="13">
        <v>42658.398460648146</v>
      </c>
      <c r="J167" s="7">
        <v>0</v>
      </c>
      <c r="K167" s="112" t="str">
        <f t="shared" si="82"/>
        <v>4017/4018</v>
      </c>
      <c r="L167" s="22" t="str">
        <f>VLOOKUP(A167,'Trips&amp;Operators'!$C$1:$E$10000,3,FALSE)</f>
        <v>YORK</v>
      </c>
      <c r="M167" s="6">
        <f t="shared" si="83"/>
        <v>8.6921296242508106E-3</v>
      </c>
      <c r="N167" s="7">
        <f t="shared" si="84"/>
        <v>12.516666658921167</v>
      </c>
      <c r="O167" s="7"/>
      <c r="P167" s="7"/>
      <c r="Q167" s="23"/>
      <c r="R167" s="23"/>
      <c r="S167" s="35">
        <f t="shared" si="85"/>
        <v>1</v>
      </c>
      <c r="T167" s="50" t="str">
        <f t="shared" si="86"/>
        <v>NorthBound</v>
      </c>
      <c r="U167" s="144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08:18:21-0600',mode:absolute,to:'2016-10-15 10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7" s="52" t="str">
        <f t="shared" si="88"/>
        <v>N</v>
      </c>
      <c r="X167" s="149">
        <f t="shared" si="58"/>
        <v>1</v>
      </c>
      <c r="Y167" s="67">
        <f t="shared" si="89"/>
        <v>0.1014</v>
      </c>
      <c r="Z167" s="67">
        <f t="shared" si="91"/>
        <v>5.8929</v>
      </c>
      <c r="AA167" s="67">
        <f t="shared" si="90"/>
        <v>5.7915000000000001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97"/>
        <v>1807-15</v>
      </c>
      <c r="AE167" s="91" t="str">
        <f t="shared" si="92"/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67" s="88" t="str">
        <f t="shared" si="93"/>
        <v>"C:\Program Files (x86)\AstroGrep\AstroGrep.exe" /spath="%USERPROFILE%\AppData\Local\Temp\OnboardLogs" /stypes="app*4018*20161015*" /stext=" 15:.+((SYSTEM_STATE.+slice.+state.+changed )|(ment ac)|(system.+state.+changed )|(\[timeout)|(PRM\|1\|D)|(kpr)|(kdp)|(\|lc)|(penalty))" /e /r /s</v>
      </c>
      <c r="AG167" s="1" t="str">
        <f t="shared" si="94"/>
        <v>NW</v>
      </c>
      <c r="AH167" s="92" t="str">
        <f t="shared" si="95"/>
        <v>"%USERPROFILE%\Documents\GitHub\eaglep3\Utilities\RefineRTDCRunTimes.py" --tripid 1807-15 --locoid 4018 --swversion DE.1.0.7.0 --startMP 204:1014 --initTime 2016-10-15T09:18:21 --startdatetime 2016-10-15T09:21:16 --delay 1 --endMP 300:58929 --enddatetime 2016-10-15T09:33:47 --enforcementcount 0 &gt;&gt;C:\Users\stu\Documents\GitHub\eaglep3-reporting\EC\2016-10-15-refined-times.txt</v>
      </c>
      <c r="AI167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{"issue":{"subject":"","project_id":79,"tracker_id":40,"status_id":1,"priority_id":2,"assigned_to_id":23,"start_date":"2016-10-15","description":"","custom_fields":[{"id":1,"name":"Subdivision","value":"NW"},{"id":4,"name":"Milepost","value":"5.8929"},{"id":17,"name":"Train ID","value":"1807-15"},{"id":16,"name":"Locomotive ID","value":"4018"},{"id":130,"name":"Impact","value":""},{"id":150,"name":"Time of Event (Mountain Time)","value":"09:33:47"},{"id":151,"name":"Denver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x14ac:dyDescent="0.25">
      <c r="A168" s="37" t="s">
        <v>434</v>
      </c>
      <c r="B168" s="7">
        <v>4017</v>
      </c>
      <c r="C168" s="22" t="s">
        <v>99</v>
      </c>
      <c r="D168" s="22" t="s">
        <v>418</v>
      </c>
      <c r="E168" s="13">
        <v>42658.399560185186</v>
      </c>
      <c r="F168" s="13">
        <v>42658.400914351849</v>
      </c>
      <c r="G168" s="7">
        <v>1</v>
      </c>
      <c r="H168" s="13" t="s">
        <v>670</v>
      </c>
      <c r="I168" s="13">
        <v>42658.413437499999</v>
      </c>
      <c r="J168" s="7">
        <v>0</v>
      </c>
      <c r="K168" s="112" t="str">
        <f t="shared" si="82"/>
        <v>4017/4018</v>
      </c>
      <c r="L168" s="22" t="str">
        <f>VLOOKUP(A168,'Trips&amp;Operators'!$C$1:$E$10000,3,FALSE)</f>
        <v>YORK</v>
      </c>
      <c r="M168" s="6">
        <f t="shared" si="83"/>
        <v>1.2523148150648922E-2</v>
      </c>
      <c r="N168" s="7">
        <f t="shared" si="84"/>
        <v>18.033333336934447</v>
      </c>
      <c r="O168" s="7"/>
      <c r="P168" s="7"/>
      <c r="Q168" s="23"/>
      <c r="R168" s="23"/>
      <c r="S168" s="35">
        <f t="shared" si="85"/>
        <v>1</v>
      </c>
      <c r="T168" s="50" t="str">
        <f t="shared" si="86"/>
        <v>Southbound</v>
      </c>
      <c r="U168" s="144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08:35:22-0600',mode:absolute,to:'2016-10-15 10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8" s="52" t="str">
        <f t="shared" si="88"/>
        <v>N</v>
      </c>
      <c r="X168" s="149">
        <f t="shared" si="58"/>
        <v>1</v>
      </c>
      <c r="Y168" s="67">
        <f t="shared" si="89"/>
        <v>5.8605999999999998</v>
      </c>
      <c r="Z168" s="67">
        <f t="shared" si="91"/>
        <v>7.9699999999999993E-2</v>
      </c>
      <c r="AA168" s="67">
        <f t="shared" si="90"/>
        <v>5.7808999999999999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97"/>
        <v>1808-15</v>
      </c>
      <c r="AE168" s="91" t="str">
        <f t="shared" si="92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68" s="88" t="str">
        <f t="shared" si="93"/>
        <v>"C:\Program Files (x86)\AstroGrep\AstroGrep.exe" /spath="%USERPROFILE%\AppData\Local\Temp\OnboardLogs" /stypes="app*4017*20161015*" /stext=" 15:.+((SYSTEM_STATE.+slice.+state.+changed )|(ment ac)|(system.+state.+changed )|(\[timeout)|(PRM\|1\|D)|(kpr)|(kdp)|(\|lc)|(penalty))" /e /r /s</v>
      </c>
      <c r="AG168" s="1" t="str">
        <f t="shared" si="94"/>
        <v>NW</v>
      </c>
      <c r="AH168" s="92" t="str">
        <f t="shared" si="95"/>
        <v>"%USERPROFILE%\Documents\GitHub\eaglep3\Utilities\RefineRTDCRunTimes.py" --tripid 1808-15 --locoid 4017 --swversion DE.1.0.7.0 --startMP 300:58606 --initTime 2016-10-15T09:35:22 --startdatetime 2016-10-15T09:37:19 --delay 1 --endMP 204:797 --enddatetime 2016-10-15T09:55:21 --enforcementcount 0 &gt;&gt;C:\Users\stu\Documents\GitHub\eaglep3-reporting\EC\2016-10-15-refined-times.txt</v>
      </c>
      <c r="AI168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{"issue":{"subject":"","project_id":79,"tracker_id":40,"status_id":1,"priority_id":2,"assigned_to_id":23,"start_date":"2016-10-15","description":"","custom_fields":[{"id":1,"name":"Subdivision","value":"NW"},{"id":4,"name":"Milepost","value":"0.0797"},{"id":17,"name":"Train ID","value":"1808-15"},{"id":16,"name":"Locomotive ID","value":"4017"},{"id":130,"name":"Impact","value":""},{"id":150,"name":"Time of Event (Mountain Time)","value":"09:55:21"},{"id":151,"name":"Denver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x14ac:dyDescent="0.25">
      <c r="A169" s="37" t="s">
        <v>516</v>
      </c>
      <c r="B169" s="7">
        <v>4018</v>
      </c>
      <c r="C169" s="22" t="s">
        <v>99</v>
      </c>
      <c r="D169" s="22" t="s">
        <v>671</v>
      </c>
      <c r="E169" s="13">
        <v>42658.429525462961</v>
      </c>
      <c r="F169" s="13">
        <v>42658.431423611109</v>
      </c>
      <c r="G169" s="7">
        <v>0</v>
      </c>
      <c r="H169" s="13" t="s">
        <v>672</v>
      </c>
      <c r="I169" s="13">
        <v>42658.440416666665</v>
      </c>
      <c r="J169" s="7">
        <v>0</v>
      </c>
      <c r="K169" s="112" t="str">
        <f t="shared" si="82"/>
        <v>4017/4018</v>
      </c>
      <c r="L169" s="22" t="str">
        <f>VLOOKUP(A169,'Trips&amp;Operators'!$C$1:$E$10000,3,FALSE)</f>
        <v>YORK</v>
      </c>
      <c r="M169" s="6">
        <f t="shared" si="83"/>
        <v>8.9930555550381541E-3</v>
      </c>
      <c r="N169" s="7">
        <f t="shared" si="84"/>
        <v>12.949999999254942</v>
      </c>
      <c r="O169" s="7"/>
      <c r="P169" s="7"/>
      <c r="Q169" s="23"/>
      <c r="R169" s="23"/>
      <c r="S169" s="35">
        <f t="shared" si="85"/>
        <v>1</v>
      </c>
      <c r="T169" s="50" t="str">
        <f t="shared" si="86"/>
        <v>NorthBound</v>
      </c>
      <c r="U169" s="144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09:18:31-0600',mode:absolute,to:'2016-10-15 11:34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9" s="52" t="str">
        <f t="shared" si="88"/>
        <v>N</v>
      </c>
      <c r="X169" s="149">
        <f t="shared" ref="X169:X179" si="98">VALUE(LEFT(AD169,4))-VALUE(LEFT(AD168,4))</f>
        <v>1</v>
      </c>
      <c r="Y169" s="67">
        <f t="shared" si="89"/>
        <v>0.11070000000000001</v>
      </c>
      <c r="Z169" s="67">
        <f t="shared" si="91"/>
        <v>5.8930999999999996</v>
      </c>
      <c r="AA169" s="67">
        <f t="shared" si="90"/>
        <v>5.7824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97"/>
        <v>1809-15</v>
      </c>
      <c r="AE169" s="91" t="str">
        <f t="shared" si="92"/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69" s="88" t="str">
        <f t="shared" si="93"/>
        <v>"C:\Program Files (x86)\AstroGrep\AstroGrep.exe" /spath="%USERPROFILE%\AppData\Local\Temp\OnboardLogs" /stypes="app*4018*20161015*" /stext=" 16:.+((SYSTEM_STATE.+slice.+state.+changed )|(ment ac)|(system.+state.+changed )|(\[timeout)|(PRM\|1\|D)|(kpr)|(kdp)|(\|lc)|(penalty))" /e /r /s</v>
      </c>
      <c r="AG169" s="1" t="str">
        <f t="shared" si="94"/>
        <v>NW</v>
      </c>
      <c r="AH169" s="92" t="str">
        <f t="shared" si="95"/>
        <v>"%USERPROFILE%\Documents\GitHub\eaglep3\Utilities\RefineRTDCRunTimes.py" --tripid 1809-15 --locoid 4018 --swversion DE.1.0.7.0 --startMP 204:1107 --initTime 2016-10-15T10:18:31 --startdatetime 2016-10-15T10:21:15 --delay 0 --endMP 300:58931 --enddatetime 2016-10-15T10:34:12 --enforcementcount 0 &gt;&gt;C:\Users\stu\Documents\GitHub\eaglep3-reporting\EC\2016-10-15-refined-times.txt</v>
      </c>
      <c r="AI169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{"issue":{"subject":"","project_id":79,"tracker_id":40,"status_id":1,"priority_id":2,"assigned_to_id":23,"start_date":"2016-10-15","description":"","custom_fields":[{"id":1,"name":"Subdivision","value":"NW"},{"id":4,"name":"Milepost","value":"5.8931"},{"id":17,"name":"Train ID","value":"1809-15"},{"id":16,"name":"Locomotive ID","value":"4018"},{"id":130,"name":"Impact","value":""},{"id":150,"name":"Time of Event (Mountain Time)","value":"10:34:12"},{"id":151,"name":"Denver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s="21" customFormat="1" x14ac:dyDescent="0.25">
      <c r="A170" s="37" t="s">
        <v>518</v>
      </c>
      <c r="B170" s="7">
        <v>4017</v>
      </c>
      <c r="C170" s="22" t="s">
        <v>99</v>
      </c>
      <c r="D170" s="22" t="s">
        <v>418</v>
      </c>
      <c r="E170" s="13">
        <v>42658.442094907405</v>
      </c>
      <c r="F170" s="13">
        <v>42658.443912037037</v>
      </c>
      <c r="G170" s="7">
        <v>0</v>
      </c>
      <c r="H170" s="13" t="s">
        <v>674</v>
      </c>
      <c r="I170" s="13">
        <v>42658.454074074078</v>
      </c>
      <c r="J170" s="7">
        <v>0</v>
      </c>
      <c r="K170" s="112" t="str">
        <f t="shared" si="82"/>
        <v>4017/4018</v>
      </c>
      <c r="L170" s="22" t="str">
        <f>VLOOKUP(A170,'Trips&amp;Operators'!$C$1:$E$10000,3,FALSE)</f>
        <v>YORK</v>
      </c>
      <c r="M170" s="6">
        <f t="shared" si="83"/>
        <v>1.0162037040572613E-2</v>
      </c>
      <c r="N170" s="7">
        <f t="shared" si="84"/>
        <v>14.633333338424563</v>
      </c>
      <c r="O170" s="7"/>
      <c r="P170" s="7"/>
      <c r="Q170" s="23"/>
      <c r="R170" s="23"/>
      <c r="S170" s="35">
        <f t="shared" si="85"/>
        <v>1</v>
      </c>
      <c r="T170" s="50" t="str">
        <f t="shared" si="86"/>
        <v>Southbound</v>
      </c>
      <c r="U170" s="144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09:36:37-0600',mode:absolute,to:'2016-10-15 11:53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0" s="52" t="str">
        <f t="shared" si="88"/>
        <v>N</v>
      </c>
      <c r="X170" s="149">
        <f t="shared" si="98"/>
        <v>1</v>
      </c>
      <c r="Y170" s="67">
        <f t="shared" si="89"/>
        <v>5.8605999999999998</v>
      </c>
      <c r="Z170" s="67">
        <f t="shared" si="91"/>
        <v>7.3599999999999999E-2</v>
      </c>
      <c r="AA170" s="67">
        <f t="shared" si="90"/>
        <v>5.7869999999999999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97"/>
        <v>1810-15</v>
      </c>
      <c r="AE170" s="91" t="str">
        <f t="shared" si="92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70" s="88" t="str">
        <f t="shared" si="93"/>
        <v>"C:\Program Files (x86)\AstroGrep\AstroGrep.exe" /spath="%USERPROFILE%\AppData\Local\Temp\OnboardLogs" /stypes="app*4017*20161015*" /stext=" 16:.+((SYSTEM_STATE.+slice.+state.+changed )|(ment ac)|(system.+state.+changed )|(\[timeout)|(PRM\|1\|D)|(kpr)|(kdp)|(\|lc)|(penalty))" /e /r /s</v>
      </c>
      <c r="AG170" s="1" t="str">
        <f t="shared" si="94"/>
        <v>NW</v>
      </c>
      <c r="AH170" s="92" t="str">
        <f t="shared" si="95"/>
        <v>"%USERPROFILE%\Documents\GitHub\eaglep3\Utilities\RefineRTDCRunTimes.py" --tripid 1810-15 --locoid 4017 --swversion DE.1.0.7.0 --startMP 300:58606 --initTime 2016-10-15T10:36:37 --startdatetime 2016-10-15T10:39:14 --delay 0 --endMP 204:736 --enddatetime 2016-10-15T10:53:52 --enforcementcount 0 &gt;&gt;C:\Users\stu\Documents\GitHub\eaglep3-reporting\EC\2016-10-15-refined-times.txt</v>
      </c>
      <c r="AI170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{"issue":{"subject":"","project_id":79,"tracker_id":40,"status_id":1,"priority_id":2,"assigned_to_id":23,"start_date":"2016-10-15","description":"","custom_fields":[{"id":1,"name":"Subdivision","value":"NW"},{"id":4,"name":"Milepost","value":"0.0736"},{"id":17,"name":"Train ID","value":"1810-15"},{"id":16,"name":"Locomotive ID","value":"4017"},{"id":130,"name":"Impact","value":""},{"id":150,"name":"Time of Event (Mountain Time)","value":"10:53:52"},{"id":151,"name":"Denver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522</v>
      </c>
      <c r="B171" s="7">
        <v>4018</v>
      </c>
      <c r="C171" s="22" t="s">
        <v>99</v>
      </c>
      <c r="D171" s="22" t="s">
        <v>675</v>
      </c>
      <c r="E171" s="13">
        <v>42658.471724537034</v>
      </c>
      <c r="F171" s="13">
        <v>42658.473090277781</v>
      </c>
      <c r="G171" s="7">
        <v>1</v>
      </c>
      <c r="H171" s="13" t="s">
        <v>676</v>
      </c>
      <c r="I171" s="13">
        <v>42658.482025462959</v>
      </c>
      <c r="J171" s="7">
        <v>0</v>
      </c>
      <c r="K171" s="112" t="str">
        <f t="shared" si="82"/>
        <v>4017/4018</v>
      </c>
      <c r="L171" s="22" t="str">
        <f>VLOOKUP(A171,'Trips&amp;Operators'!$C$1:$E$10000,3,FALSE)</f>
        <v>YORK</v>
      </c>
      <c r="M171" s="6">
        <f t="shared" si="83"/>
        <v>8.9351851784158498E-3</v>
      </c>
      <c r="N171" s="7">
        <f t="shared" si="84"/>
        <v>12.866666656918824</v>
      </c>
      <c r="O171" s="7"/>
      <c r="P171" s="7"/>
      <c r="Q171" s="23"/>
      <c r="R171" s="23"/>
      <c r="S171" s="35">
        <f t="shared" si="85"/>
        <v>1</v>
      </c>
      <c r="T171" s="50" t="str">
        <f t="shared" si="86"/>
        <v>NorthBound</v>
      </c>
      <c r="U171" s="144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10:19:17-0600',mode:absolute,to:'2016-10-15 12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1" s="52" t="str">
        <f t="shared" si="88"/>
        <v>N</v>
      </c>
      <c r="X171" s="149">
        <f t="shared" si="98"/>
        <v>1</v>
      </c>
      <c r="Y171" s="67">
        <f t="shared" si="89"/>
        <v>0.10299999999999999</v>
      </c>
      <c r="Z171" s="67">
        <f t="shared" si="91"/>
        <v>5.8906999999999998</v>
      </c>
      <c r="AA171" s="67">
        <f t="shared" si="90"/>
        <v>5.7877000000000001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97"/>
        <v>1811-15</v>
      </c>
      <c r="AE171" s="91" t="str">
        <f t="shared" si="92"/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71" s="88" t="str">
        <f t="shared" si="93"/>
        <v>"C:\Program Files (x86)\AstroGrep\AstroGrep.exe" /spath="%USERPROFILE%\AppData\Local\Temp\OnboardLogs" /stypes="app*4018*20161015*" /stext=" 17:.+((SYSTEM_STATE.+slice.+state.+changed )|(ment ac)|(system.+state.+changed )|(\[timeout)|(PRM\|1\|D)|(kpr)|(kdp)|(\|lc)|(penalty))" /e /r /s</v>
      </c>
      <c r="AG171" s="1" t="str">
        <f t="shared" si="94"/>
        <v>NW</v>
      </c>
      <c r="AH171" s="92" t="str">
        <f t="shared" si="95"/>
        <v>"%USERPROFILE%\Documents\GitHub\eaglep3\Utilities\RefineRTDCRunTimes.py" --tripid 1811-15 --locoid 4018 --swversion DE.1.0.7.0 --startMP 204:1030 --initTime 2016-10-15T11:19:17 --startdatetime 2016-10-15T11:21:15 --delay 1 --endMP 300:58907 --enddatetime 2016-10-15T11:34:07 --enforcementcount 0 &gt;&gt;C:\Users\stu\Documents\GitHub\eaglep3-reporting\EC\2016-10-15-refined-times.txt</v>
      </c>
      <c r="AI171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{"issue":{"subject":"","project_id":79,"tracker_id":40,"status_id":1,"priority_id":2,"assigned_to_id":23,"start_date":"2016-10-15","description":"","custom_fields":[{"id":1,"name":"Subdivision","value":"NW"},{"id":4,"name":"Milepost","value":"5.8907"},{"id":17,"name":"Train ID","value":"1811-15"},{"id":16,"name":"Locomotive ID","value":"4018"},{"id":130,"name":"Impact","value":""},{"id":150,"name":"Time of Event (Mountain Time)","value":"11:34:07"},{"id":151,"name":"Denver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7" t="s">
        <v>526</v>
      </c>
      <c r="B172" s="7">
        <v>4017</v>
      </c>
      <c r="C172" s="22" t="s">
        <v>99</v>
      </c>
      <c r="D172" s="22" t="s">
        <v>335</v>
      </c>
      <c r="E172" s="13">
        <v>42658.484305555554</v>
      </c>
      <c r="F172" s="13">
        <v>42658.485462962963</v>
      </c>
      <c r="G172" s="7">
        <v>0</v>
      </c>
      <c r="H172" s="13" t="s">
        <v>677</v>
      </c>
      <c r="I172" s="13">
        <v>42658.495729166665</v>
      </c>
      <c r="J172" s="7">
        <v>0</v>
      </c>
      <c r="K172" s="112" t="str">
        <f t="shared" si="82"/>
        <v>4017/4018</v>
      </c>
      <c r="L172" s="22" t="str">
        <f>VLOOKUP(A172,'Trips&amp;Operators'!$C$1:$E$10000,3,FALSE)</f>
        <v>YORK</v>
      </c>
      <c r="M172" s="6">
        <f t="shared" si="83"/>
        <v>1.0266203702485655E-2</v>
      </c>
      <c r="N172" s="7">
        <f t="shared" si="84"/>
        <v>14.783333331579342</v>
      </c>
      <c r="O172" s="7"/>
      <c r="P172" s="7"/>
      <c r="Q172" s="23"/>
      <c r="R172" s="23"/>
      <c r="S172" s="35">
        <f t="shared" si="85"/>
        <v>1</v>
      </c>
      <c r="T172" s="50" t="str">
        <f t="shared" si="86"/>
        <v>Southbound</v>
      </c>
      <c r="U172" s="144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10:37:24-0600',mode:absolute,to:'2016-10-15 12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2" s="52" t="str">
        <f t="shared" si="88"/>
        <v>N</v>
      </c>
      <c r="X172" s="149">
        <f t="shared" si="98"/>
        <v>1</v>
      </c>
      <c r="Y172" s="67">
        <f t="shared" si="89"/>
        <v>5.8604000000000003</v>
      </c>
      <c r="Z172" s="67">
        <f t="shared" si="91"/>
        <v>7.2599999999999998E-2</v>
      </c>
      <c r="AA172" s="67">
        <f t="shared" si="90"/>
        <v>5.7878000000000007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97"/>
        <v>1812-15</v>
      </c>
      <c r="AE172" s="91" t="str">
        <f t="shared" si="92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72" s="88" t="str">
        <f t="shared" si="93"/>
        <v>"C:\Program Files (x86)\AstroGrep\AstroGrep.exe" /spath="%USERPROFILE%\AppData\Local\Temp\OnboardLogs" /stypes="app*4017*20161015*" /stext=" 17:.+((SYSTEM_STATE.+slice.+state.+changed )|(ment ac)|(system.+state.+changed )|(\[timeout)|(PRM\|1\|D)|(kpr)|(kdp)|(\|lc)|(penalty))" /e /r /s</v>
      </c>
      <c r="AG172" s="1" t="str">
        <f t="shared" si="94"/>
        <v>NW</v>
      </c>
      <c r="AH172" s="92" t="str">
        <f t="shared" si="95"/>
        <v>"%USERPROFILE%\Documents\GitHub\eaglep3\Utilities\RefineRTDCRunTimes.py" --tripid 1812-15 --locoid 4017 --swversion DE.1.0.7.0 --startMP 300:58604 --initTime 2016-10-15T11:37:24 --startdatetime 2016-10-15T11:39:04 --delay 0 --endMP 204:726 --enddatetime 2016-10-15T11:53:51 --enforcementcount 0 &gt;&gt;C:\Users\stu\Documents\GitHub\eaglep3-reporting\EC\2016-10-15-refined-times.txt</v>
      </c>
      <c r="AI172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{"issue":{"subject":"","project_id":79,"tracker_id":40,"status_id":1,"priority_id":2,"assigned_to_id":23,"start_date":"2016-10-15","description":"","custom_fields":[{"id":1,"name":"Subdivision","value":"NW"},{"id":4,"name":"Milepost","value":"0.0726"},{"id":17,"name":"Train ID","value":"1812-15"},{"id":16,"name":"Locomotive ID","value":"4017"},{"id":130,"name":"Impact","value":""},{"id":150,"name":"Time of Event (Mountain Time)","value":"11:53:51"},{"id":151,"name":"Denver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s="21" customFormat="1" x14ac:dyDescent="0.25">
      <c r="A173" s="37" t="s">
        <v>532</v>
      </c>
      <c r="B173" s="7">
        <v>4018</v>
      </c>
      <c r="C173" s="22" t="s">
        <v>99</v>
      </c>
      <c r="D173" s="22" t="s">
        <v>678</v>
      </c>
      <c r="E173" s="13">
        <v>42658.513657407406</v>
      </c>
      <c r="F173" s="13">
        <v>42658.514965277776</v>
      </c>
      <c r="G173" s="7">
        <v>0</v>
      </c>
      <c r="H173" s="13" t="s">
        <v>415</v>
      </c>
      <c r="I173" s="13">
        <v>42658.523657407408</v>
      </c>
      <c r="J173" s="7">
        <v>0</v>
      </c>
      <c r="K173" s="112" t="str">
        <f t="shared" si="82"/>
        <v>4017/4018</v>
      </c>
      <c r="L173" s="22" t="str">
        <f>VLOOKUP(A173,'Trips&amp;Operators'!$C$1:$E$10000,3,FALSE)</f>
        <v>YORK</v>
      </c>
      <c r="M173" s="6">
        <f t="shared" si="83"/>
        <v>8.6921296315267682E-3</v>
      </c>
      <c r="N173" s="7">
        <f t="shared" si="84"/>
        <v>12.516666669398546</v>
      </c>
      <c r="O173" s="7"/>
      <c r="P173" s="7"/>
      <c r="Q173" s="23"/>
      <c r="R173" s="23"/>
      <c r="S173" s="35">
        <f t="shared" si="85"/>
        <v>1</v>
      </c>
      <c r="T173" s="50" t="str">
        <f t="shared" si="86"/>
        <v>NorthBound</v>
      </c>
      <c r="U173" s="144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11:19:40-0600',mode:absolute,to:'2016-10-15 13:34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3" s="52" t="str">
        <f t="shared" si="88"/>
        <v>N</v>
      </c>
      <c r="X173" s="149">
        <f t="shared" si="98"/>
        <v>1</v>
      </c>
      <c r="Y173" s="67">
        <f t="shared" si="89"/>
        <v>0.1021</v>
      </c>
      <c r="Z173" s="67">
        <f t="shared" si="91"/>
        <v>5.8929</v>
      </c>
      <c r="AA173" s="67">
        <f t="shared" si="90"/>
        <v>5.7907999999999999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97"/>
        <v>1813-15</v>
      </c>
      <c r="AE173" s="91" t="str">
        <f t="shared" si="92"/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73" s="88" t="str">
        <f t="shared" si="93"/>
        <v>"C:\Program Files (x86)\AstroGrep\AstroGrep.exe" /spath="%USERPROFILE%\AppData\Local\Temp\OnboardLogs" /stypes="app*4018*20161015*" /stext=" 18:.+((SYSTEM_STATE.+slice.+state.+changed )|(ment ac)|(system.+state.+changed )|(\[timeout)|(PRM\|1\|D)|(kpr)|(kdp)|(\|lc)|(penalty))" /e /r /s</v>
      </c>
      <c r="AG173" s="1" t="str">
        <f t="shared" si="94"/>
        <v>NW</v>
      </c>
      <c r="AH173" s="92" t="str">
        <f t="shared" si="95"/>
        <v>"%USERPROFILE%\Documents\GitHub\eaglep3\Utilities\RefineRTDCRunTimes.py" --tripid 1813-15 --locoid 4018 --swversion DE.1.0.7.0 --startMP 204:1021 --initTime 2016-10-15T12:19:40 --startdatetime 2016-10-15T12:21:33 --delay 0 --endMP 300:58929 --enddatetime 2016-10-15T12:34:04 --enforcementcount 0 &gt;&gt;C:\Users\stu\Documents\GitHub\eaglep3-reporting\EC\2016-10-15-refined-times.txt</v>
      </c>
      <c r="AI173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{"issue":{"subject":"","project_id":79,"tracker_id":40,"status_id":1,"priority_id":2,"assigned_to_id":23,"start_date":"2016-10-15","description":"","custom_fields":[{"id":1,"name":"Subdivision","value":"NW"},{"id":4,"name":"Milepost","value":"5.8929"},{"id":17,"name":"Train ID","value":"1813-15"},{"id":16,"name":"Locomotive ID","value":"4018"},{"id":130,"name":"Impact","value":""},{"id":150,"name":"Time of Event (Mountain Time)","value":"12:34:04"},{"id":151,"name":"Denver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536</v>
      </c>
      <c r="B174" s="7">
        <v>4017</v>
      </c>
      <c r="C174" s="22" t="s">
        <v>99</v>
      </c>
      <c r="D174" s="22" t="s">
        <v>336</v>
      </c>
      <c r="E174" s="13">
        <v>42658.525185185186</v>
      </c>
      <c r="F174" s="13">
        <v>42658.526724537034</v>
      </c>
      <c r="G174" s="7">
        <v>0</v>
      </c>
      <c r="H174" s="13" t="s">
        <v>679</v>
      </c>
      <c r="I174" s="13">
        <v>42658.53769675926</v>
      </c>
      <c r="J174" s="7">
        <v>0</v>
      </c>
      <c r="K174" s="112" t="str">
        <f t="shared" si="82"/>
        <v>4017/4018</v>
      </c>
      <c r="L174" s="22" t="str">
        <f>VLOOKUP(A174,'Trips&amp;Operators'!$C$1:$E$10000,3,FALSE)</f>
        <v>YORK</v>
      </c>
      <c r="M174" s="6">
        <f t="shared" si="83"/>
        <v>1.0972222225973383E-2</v>
      </c>
      <c r="N174" s="7">
        <f t="shared" si="84"/>
        <v>15.800000005401671</v>
      </c>
      <c r="O174" s="7"/>
      <c r="P174" s="7"/>
      <c r="Q174" s="23"/>
      <c r="R174" s="23"/>
      <c r="S174" s="35">
        <f t="shared" si="85"/>
        <v>1</v>
      </c>
      <c r="T174" s="50" t="str">
        <f t="shared" si="86"/>
        <v>Southbound</v>
      </c>
      <c r="U174" s="144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11:36:16-0600',mode:absolute,to:'2016-10-15 13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4" s="52" t="str">
        <f t="shared" si="88"/>
        <v>N</v>
      </c>
      <c r="X174" s="149">
        <f t="shared" si="98"/>
        <v>1</v>
      </c>
      <c r="Y174" s="67">
        <f t="shared" si="89"/>
        <v>5.8608000000000002</v>
      </c>
      <c r="Z174" s="67">
        <f t="shared" si="91"/>
        <v>7.2700000000000001E-2</v>
      </c>
      <c r="AA174" s="67">
        <f t="shared" si="90"/>
        <v>5.7881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97"/>
        <v>1814-15</v>
      </c>
      <c r="AE174" s="91" t="str">
        <f t="shared" si="92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74" s="88" t="str">
        <f t="shared" si="93"/>
        <v>"C:\Program Files (x86)\AstroGrep\AstroGrep.exe" /spath="%USERPROFILE%\AppData\Local\Temp\OnboardLogs" /stypes="app*4017*20161015*" /stext=" 18:.+((SYSTEM_STATE.+slice.+state.+changed )|(ment ac)|(system.+state.+changed )|(\[timeout)|(PRM\|1\|D)|(kpr)|(kdp)|(\|lc)|(penalty))" /e /r /s</v>
      </c>
      <c r="AG174" s="1" t="str">
        <f t="shared" si="94"/>
        <v>NW</v>
      </c>
      <c r="AH174" s="92" t="str">
        <f t="shared" si="95"/>
        <v>"%USERPROFILE%\Documents\GitHub\eaglep3\Utilities\RefineRTDCRunTimes.py" --tripid 1814-15 --locoid 4017 --swversion DE.1.0.7.0 --startMP 300:58608 --initTime 2016-10-15T12:36:16 --startdatetime 2016-10-15T12:38:29 --delay 0 --endMP 204:727 --enddatetime 2016-10-15T12:54:17 --enforcementcount 0 &gt;&gt;C:\Users\stu\Documents\GitHub\eaglep3-reporting\EC\2016-10-15-refined-times.txt</v>
      </c>
      <c r="AI174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{"issue":{"subject":"","project_id":79,"tracker_id":40,"status_id":1,"priority_id":2,"assigned_to_id":23,"start_date":"2016-10-15","description":"","custom_fields":[{"id":1,"name":"Subdivision","value":"NW"},{"id":4,"name":"Milepost","value":"0.0727"},{"id":17,"name":"Train ID","value":"1814-15"},{"id":16,"name":"Locomotive ID","value":"4017"},{"id":130,"name":"Impact","value":""},{"id":150,"name":"Time of Event (Mountain Time)","value":"12:54:17"},{"id":151,"name":"Denver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542</v>
      </c>
      <c r="B175" s="7">
        <v>4018</v>
      </c>
      <c r="C175" s="22" t="s">
        <v>99</v>
      </c>
      <c r="D175" s="22" t="s">
        <v>680</v>
      </c>
      <c r="E175" s="13">
        <v>42658.554178240738</v>
      </c>
      <c r="F175" s="13">
        <v>42658.556504629632</v>
      </c>
      <c r="G175" s="7">
        <v>0</v>
      </c>
      <c r="H175" s="13" t="s">
        <v>681</v>
      </c>
      <c r="I175" s="13">
        <v>42658.565162037034</v>
      </c>
      <c r="J175" s="7">
        <v>0</v>
      </c>
      <c r="K175" s="112" t="str">
        <f t="shared" si="82"/>
        <v>4017/4018</v>
      </c>
      <c r="L175" s="22" t="str">
        <f>VLOOKUP(A175,'Trips&amp;Operators'!$C$1:$E$10000,3,FALSE)</f>
        <v>YORK</v>
      </c>
      <c r="M175" s="6">
        <f t="shared" si="83"/>
        <v>8.657407401187811E-3</v>
      </c>
      <c r="N175" s="7">
        <f t="shared" si="84"/>
        <v>12.466666657710448</v>
      </c>
      <c r="O175" s="7"/>
      <c r="P175" s="7"/>
      <c r="Q175" s="23"/>
      <c r="R175" s="23"/>
      <c r="S175" s="35">
        <f t="shared" si="85"/>
        <v>1</v>
      </c>
      <c r="T175" s="50" t="str">
        <f t="shared" si="86"/>
        <v>NorthBound</v>
      </c>
      <c r="U175" s="144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12:18:01-0600',mode:absolute,to:'2016-10-15 14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5" s="52" t="str">
        <f t="shared" si="88"/>
        <v>N</v>
      </c>
      <c r="X175" s="149">
        <f t="shared" si="98"/>
        <v>1</v>
      </c>
      <c r="Y175" s="67">
        <f t="shared" si="89"/>
        <v>0.1032</v>
      </c>
      <c r="Z175" s="67">
        <f t="shared" si="91"/>
        <v>5.8924000000000003</v>
      </c>
      <c r="AA175" s="67">
        <f t="shared" si="90"/>
        <v>5.7892000000000001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97"/>
        <v>1815-15</v>
      </c>
      <c r="AE175" s="91" t="str">
        <f t="shared" si="92"/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75" s="88" t="str">
        <f t="shared" si="93"/>
        <v>"C:\Program Files (x86)\AstroGrep\AstroGrep.exe" /spath="%USERPROFILE%\AppData\Local\Temp\OnboardLogs" /stypes="app*4018*20161015*" /stext=" 19:.+((SYSTEM_STATE.+slice.+state.+changed )|(ment ac)|(system.+state.+changed )|(\[timeout)|(PRM\|1\|D)|(kpr)|(kdp)|(\|lc)|(penalty))" /e /r /s</v>
      </c>
      <c r="AG175" s="1" t="str">
        <f t="shared" si="94"/>
        <v>NW</v>
      </c>
      <c r="AH175" s="92" t="str">
        <f t="shared" si="95"/>
        <v>"%USERPROFILE%\Documents\GitHub\eaglep3\Utilities\RefineRTDCRunTimes.py" --tripid 1815-15 --locoid 4018 --swversion DE.1.0.7.0 --startMP 204:1032 --initTime 2016-10-15T13:18:01 --startdatetime 2016-10-15T13:21:22 --delay 0 --endMP 300:58924 --enddatetime 2016-10-15T13:33:50 --enforcementcount 0 &gt;&gt;C:\Users\stu\Documents\GitHub\eaglep3-reporting\EC\2016-10-15-refined-times.txt</v>
      </c>
      <c r="AI175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{"issue":{"subject":"","project_id":79,"tracker_id":40,"status_id":1,"priority_id":2,"assigned_to_id":23,"start_date":"2016-10-15","description":"","custom_fields":[{"id":1,"name":"Subdivision","value":"NW"},{"id":4,"name":"Milepost","value":"5.8924"},{"id":17,"name":"Train ID","value":"1815-15"},{"id":16,"name":"Locomotive ID","value":"4018"},{"id":130,"name":"Impact","value":""},{"id":150,"name":"Time of Event (Mountain Time)","value":"13:33:50"},{"id":151,"name":"Denver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545</v>
      </c>
      <c r="B176" s="7">
        <v>4017</v>
      </c>
      <c r="C176" s="22" t="s">
        <v>99</v>
      </c>
      <c r="D176" s="22" t="s">
        <v>336</v>
      </c>
      <c r="E176" s="13">
        <v>42658.567037037035</v>
      </c>
      <c r="F176" s="13">
        <v>42658.568796296298</v>
      </c>
      <c r="G176" s="7">
        <v>0</v>
      </c>
      <c r="H176" s="13" t="s">
        <v>677</v>
      </c>
      <c r="I176" s="13">
        <v>42658.579062500001</v>
      </c>
      <c r="J176" s="7">
        <v>0</v>
      </c>
      <c r="K176" s="112" t="str">
        <f t="shared" si="82"/>
        <v>4017/4018</v>
      </c>
      <c r="L176" s="22" t="str">
        <f>VLOOKUP(A176,'Trips&amp;Operators'!$C$1:$E$10000,3,FALSE)</f>
        <v>YORK</v>
      </c>
      <c r="M176" s="6">
        <f t="shared" si="83"/>
        <v>1.0266203702485655E-2</v>
      </c>
      <c r="N176" s="7">
        <f t="shared" si="84"/>
        <v>14.783333331579342</v>
      </c>
      <c r="O176" s="7"/>
      <c r="P176" s="7"/>
      <c r="Q176" s="23"/>
      <c r="R176" s="23"/>
      <c r="S176" s="35">
        <f t="shared" si="85"/>
        <v>1</v>
      </c>
      <c r="T176" s="50" t="str">
        <f t="shared" si="86"/>
        <v>Southbound</v>
      </c>
      <c r="U176" s="144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12:36:32-0600',mode:absolute,to:'2016-10-15 14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6" s="52" t="str">
        <f t="shared" si="88"/>
        <v>N</v>
      </c>
      <c r="X176" s="149">
        <f t="shared" si="98"/>
        <v>1</v>
      </c>
      <c r="Y176" s="67">
        <f t="shared" si="89"/>
        <v>5.8608000000000002</v>
      </c>
      <c r="Z176" s="67">
        <f t="shared" si="91"/>
        <v>7.2599999999999998E-2</v>
      </c>
      <c r="AA176" s="67">
        <f t="shared" si="90"/>
        <v>5.7881999999999998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97"/>
        <v>1816-15</v>
      </c>
      <c r="AE176" s="91" t="str">
        <f t="shared" si="92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76" s="88" t="str">
        <f t="shared" si="93"/>
        <v>"C:\Program Files (x86)\AstroGrep\AstroGrep.exe" /spath="%USERPROFILE%\AppData\Local\Temp\OnboardLogs" /stypes="app*4017*20161015*" /stext=" 19:.+((SYSTEM_STATE.+slice.+state.+changed )|(ment ac)|(system.+state.+changed )|(\[timeout)|(PRM\|1\|D)|(kpr)|(kdp)|(\|lc)|(penalty))" /e /r /s</v>
      </c>
      <c r="AG176" s="1" t="str">
        <f t="shared" si="94"/>
        <v>NW</v>
      </c>
      <c r="AH176" s="92" t="str">
        <f t="shared" si="95"/>
        <v>"%USERPROFILE%\Documents\GitHub\eaglep3\Utilities\RefineRTDCRunTimes.py" --tripid 1816-15 --locoid 4017 --swversion DE.1.0.7.0 --startMP 300:58608 --initTime 2016-10-15T13:36:32 --startdatetime 2016-10-15T13:39:04 --delay 0 --endMP 204:726 --enddatetime 2016-10-15T13:53:51 --enforcementcount 0 &gt;&gt;C:\Users\stu\Documents\GitHub\eaglep3-reporting\EC\2016-10-15-refined-times.txt</v>
      </c>
      <c r="AI176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{"issue":{"subject":"","project_id":79,"tracker_id":40,"status_id":1,"priority_id":2,"assigned_to_id":23,"start_date":"2016-10-15","description":"","custom_fields":[{"id":1,"name":"Subdivision","value":"NW"},{"id":4,"name":"Milepost","value":"0.0726"},{"id":17,"name":"Train ID","value":"1816-15"},{"id":16,"name":"Locomotive ID","value":"4017"},{"id":130,"name":"Impact","value":""},{"id":150,"name":"Time of Event (Mountain Time)","value":"13:53:51"},{"id":151,"name":"Denver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443</v>
      </c>
      <c r="B177" s="7">
        <v>4018</v>
      </c>
      <c r="C177" s="22" t="s">
        <v>99</v>
      </c>
      <c r="D177" s="22" t="s">
        <v>682</v>
      </c>
      <c r="E177" s="13">
        <v>42658.582858796297</v>
      </c>
      <c r="F177" s="13">
        <v>42658.598240740743</v>
      </c>
      <c r="G177" s="7">
        <v>2</v>
      </c>
      <c r="H177" s="13" t="s">
        <v>683</v>
      </c>
      <c r="I177" s="13">
        <v>42658.607627314814</v>
      </c>
      <c r="J177" s="7">
        <v>0</v>
      </c>
      <c r="K177" s="112" t="str">
        <f t="shared" si="82"/>
        <v>4017/4018</v>
      </c>
      <c r="L177" s="22" t="str">
        <f>VLOOKUP(A177,'Trips&amp;Operators'!$C$1:$E$10000,3,FALSE)</f>
        <v>BROWN</v>
      </c>
      <c r="M177" s="6">
        <f t="shared" si="83"/>
        <v>9.3865740709588863E-3</v>
      </c>
      <c r="N177" s="7">
        <f t="shared" si="84"/>
        <v>13.516666662180796</v>
      </c>
      <c r="O177" s="7"/>
      <c r="P177" s="7"/>
      <c r="Q177" s="23"/>
      <c r="R177" s="23"/>
      <c r="S177" s="35">
        <f t="shared" si="85"/>
        <v>1</v>
      </c>
      <c r="T177" s="50" t="str">
        <f t="shared" si="86"/>
        <v>NorthBound</v>
      </c>
      <c r="U177" s="144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12:59:19-0600',mode:absolute,to:'2016-10-15 15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7" s="52" t="str">
        <f t="shared" si="88"/>
        <v>N</v>
      </c>
      <c r="X177" s="149">
        <f t="shared" si="98"/>
        <v>1</v>
      </c>
      <c r="Y177" s="67">
        <f t="shared" si="89"/>
        <v>0.1027</v>
      </c>
      <c r="Z177" s="67">
        <f t="shared" si="91"/>
        <v>5.8952</v>
      </c>
      <c r="AA177" s="67">
        <f t="shared" si="90"/>
        <v>5.7925000000000004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97"/>
        <v>1817-15</v>
      </c>
      <c r="AE177" s="91" t="str">
        <f t="shared" si="92"/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77" s="88" t="str">
        <f t="shared" si="93"/>
        <v>"C:\Program Files (x86)\AstroGrep\AstroGrep.exe" /spath="%USERPROFILE%\AppData\Local\Temp\OnboardLogs" /stypes="app*4018*20161015*" /stext=" 20:.+((SYSTEM_STATE.+slice.+state.+changed )|(ment ac)|(system.+state.+changed )|(\[timeout)|(PRM\|1\|D)|(kpr)|(kdp)|(\|lc)|(penalty))" /e /r /s</v>
      </c>
      <c r="AG177" s="1" t="str">
        <f t="shared" si="94"/>
        <v>NW</v>
      </c>
      <c r="AH177" s="92" t="str">
        <f t="shared" si="95"/>
        <v>"%USERPROFILE%\Documents\GitHub\eaglep3\Utilities\RefineRTDCRunTimes.py" --tripid 1817-15 --locoid 4018 --swversion DE.1.0.7.0 --startMP 204:1027 --initTime 2016-10-15T13:59:19 --startdatetime 2016-10-15T14:21:28 --delay 2 --endMP 300:58952 --enddatetime 2016-10-15T14:34:59 --enforcementcount 0 &gt;&gt;C:\Users\stu\Documents\GitHub\eaglep3-reporting\EC\2016-10-15-refined-times.txt</v>
      </c>
      <c r="AI177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{"issue":{"subject":"","project_id":79,"tracker_id":40,"status_id":1,"priority_id":2,"assigned_to_id":23,"start_date":"2016-10-15","description":"","custom_fields":[{"id":1,"name":"Subdivision","value":"NW"},{"id":4,"name":"Milepost","value":"5.8952"},{"id":17,"name":"Train ID","value":"1817-15"},{"id":16,"name":"Locomotive ID","value":"4018"},{"id":130,"name":"Impact","value":""},{"id":150,"name":"Time of Event (Mountain Time)","value":"14:34:59"},{"id":151,"name":"Denver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444</v>
      </c>
      <c r="B178" s="7">
        <v>4017</v>
      </c>
      <c r="C178" s="22" t="s">
        <v>99</v>
      </c>
      <c r="D178" s="22" t="s">
        <v>684</v>
      </c>
      <c r="E178" s="13">
        <v>42658.6094212963</v>
      </c>
      <c r="F178" s="13">
        <v>42658.610682870371</v>
      </c>
      <c r="G178" s="7">
        <v>1</v>
      </c>
      <c r="H178" s="13" t="s">
        <v>424</v>
      </c>
      <c r="I178" s="13">
        <v>42658.621168981481</v>
      </c>
      <c r="J178" s="7">
        <v>0</v>
      </c>
      <c r="K178" s="112" t="str">
        <f t="shared" si="82"/>
        <v>4017/4018</v>
      </c>
      <c r="L178" s="22" t="str">
        <f>VLOOKUP(A178,'Trips&amp;Operators'!$C$1:$E$10000,3,FALSE)</f>
        <v>BROWN</v>
      </c>
      <c r="M178" s="6">
        <f t="shared" si="83"/>
        <v>1.0486111110367347E-2</v>
      </c>
      <c r="N178" s="7">
        <f t="shared" si="84"/>
        <v>15.099999998928979</v>
      </c>
      <c r="O178" s="7"/>
      <c r="P178" s="7"/>
      <c r="Q178" s="23"/>
      <c r="R178" s="23"/>
      <c r="S178" s="35">
        <f t="shared" si="85"/>
        <v>1</v>
      </c>
      <c r="T178" s="50" t="str">
        <f t="shared" si="86"/>
        <v>Southbound</v>
      </c>
      <c r="U178" s="144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13:37:34-0600',mode:absolute,to:'2016-10-15 15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8" s="52" t="str">
        <f t="shared" si="88"/>
        <v>N</v>
      </c>
      <c r="X178" s="149">
        <f t="shared" si="98"/>
        <v>1</v>
      </c>
      <c r="Y178" s="67">
        <f t="shared" si="89"/>
        <v>5.8639999999999999</v>
      </c>
      <c r="Z178" s="67">
        <f t="shared" si="91"/>
        <v>7.5200000000000003E-2</v>
      </c>
      <c r="AA178" s="67">
        <f t="shared" si="90"/>
        <v>5.7888000000000002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97"/>
        <v>1818-15</v>
      </c>
      <c r="AE178" s="91" t="str">
        <f t="shared" si="92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78" s="88" t="str">
        <f t="shared" si="93"/>
        <v>"C:\Program Files (x86)\AstroGrep\AstroGrep.exe" /spath="%USERPROFILE%\AppData\Local\Temp\OnboardLogs" /stypes="app*4017*20161015*" /stext=" 20:.+((SYSTEM_STATE.+slice.+state.+changed )|(ment ac)|(system.+state.+changed )|(\[timeout)|(PRM\|1\|D)|(kpr)|(kdp)|(\|lc)|(penalty))" /e /r /s</v>
      </c>
      <c r="AG178" s="1" t="str">
        <f t="shared" si="94"/>
        <v>NW</v>
      </c>
      <c r="AH178" s="92" t="str">
        <f t="shared" si="95"/>
        <v>"%USERPROFILE%\Documents\GitHub\eaglep3\Utilities\RefineRTDCRunTimes.py" --tripid 1818-15 --locoid 4017 --swversion DE.1.0.7.0 --startMP 300:58640 --initTime 2016-10-15T14:37:34 --startdatetime 2016-10-15T14:39:23 --delay 1 --endMP 204:752 --enddatetime 2016-10-15T14:54:29 --enforcementcount 0 &gt;&gt;C:\Users\stu\Documents\GitHub\eaglep3-reporting\EC\2016-10-15-refined-times.txt</v>
      </c>
      <c r="AI178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{"issue":{"subject":"","project_id":79,"tracker_id":40,"status_id":1,"priority_id":2,"assigned_to_id":23,"start_date":"2016-10-15","description":"","custom_fields":[{"id":1,"name":"Subdivision","value":"NW"},{"id":4,"name":"Milepost","value":"0.0752"},{"id":17,"name":"Train ID","value":"1818-15"},{"id":16,"name":"Locomotive ID","value":"4017"},{"id":130,"name":"Impact","value":""},{"id":150,"name":"Time of Event (Mountain Time)","value":"14:54:29"},{"id":151,"name":"Denver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559</v>
      </c>
      <c r="B179" s="7">
        <v>4018</v>
      </c>
      <c r="C179" s="22" t="s">
        <v>99</v>
      </c>
      <c r="D179" s="22" t="s">
        <v>685</v>
      </c>
      <c r="E179" s="13">
        <v>42658.631388888891</v>
      </c>
      <c r="F179" s="13">
        <v>42658.639803240738</v>
      </c>
      <c r="G179" s="7">
        <v>1</v>
      </c>
      <c r="H179" s="13" t="s">
        <v>686</v>
      </c>
      <c r="I179" s="13">
        <v>42658.648946759262</v>
      </c>
      <c r="J179" s="7">
        <v>0</v>
      </c>
      <c r="K179" s="112" t="str">
        <f t="shared" si="82"/>
        <v>4017/4018</v>
      </c>
      <c r="L179" s="22" t="str">
        <f>VLOOKUP(A179,'Trips&amp;Operators'!$C$1:$E$10000,3,FALSE)</f>
        <v>BROWN</v>
      </c>
      <c r="M179" s="6">
        <f t="shared" si="83"/>
        <v>9.1435185240698047E-3</v>
      </c>
      <c r="N179" s="7">
        <f t="shared" si="84"/>
        <v>13.166666674660519</v>
      </c>
      <c r="O179" s="7"/>
      <c r="P179" s="7"/>
      <c r="Q179" s="23"/>
      <c r="R179" s="23"/>
      <c r="S179" s="35">
        <f t="shared" si="85"/>
        <v>1</v>
      </c>
      <c r="T179" s="50" t="str">
        <f t="shared" si="86"/>
        <v>NorthBound</v>
      </c>
      <c r="U179" s="144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https://search-rtdc-monitor-bjffxe2xuh6vdkpspy63sjmuny.us-east-1.es.amazonaws.com/_plugin/kibana/#/discover/Steve-Slow-Train-Analysis-(2080s-and-2083s)?_g=(refreshInterval:(display:Off,section:0,value:0),time:(from:'2016-10-15 14:09:12-0600',mode:absolute,to:'2016-10-15 16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9" s="52" t="str">
        <f t="shared" si="88"/>
        <v>N</v>
      </c>
      <c r="X179" s="149">
        <f t="shared" si="98"/>
        <v>1</v>
      </c>
      <c r="Y179" s="67">
        <f t="shared" si="89"/>
        <v>0.1046</v>
      </c>
      <c r="Z179" s="67">
        <f t="shared" si="91"/>
        <v>5.8944000000000001</v>
      </c>
      <c r="AA179" s="67">
        <f t="shared" si="90"/>
        <v>5.7898000000000005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97"/>
        <v>1819-15</v>
      </c>
      <c r="AE179" s="91" t="str">
        <f t="shared" si="92"/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79" s="88" t="str">
        <f t="shared" si="93"/>
        <v>"C:\Program Files (x86)\AstroGrep\AstroGrep.exe" /spath="%USERPROFILE%\AppData\Local\Temp\OnboardLogs" /stypes="app*4018*20161015*" /stext=" 21:.+((SYSTEM_STATE.+slice.+state.+changed )|(ment ac)|(system.+state.+changed )|(\[timeout)|(PRM\|1\|D)|(kpr)|(kdp)|(\|lc)|(penalty))" /e /r /s</v>
      </c>
      <c r="AG179" s="1" t="str">
        <f t="shared" si="94"/>
        <v>NW</v>
      </c>
      <c r="AH179" s="92" t="str">
        <f t="shared" si="95"/>
        <v>"%USERPROFILE%\Documents\GitHub\eaglep3\Utilities\RefineRTDCRunTimes.py" --tripid 1819-15 --locoid 4018 --swversion DE.1.0.7.0 --startMP 204:1046 --initTime 2016-10-15T15:09:12 --startdatetime 2016-10-15T15:21:19 --delay 1 --endMP 300:58944 --enddatetime 2016-10-15T15:34:29 --enforcementcount 0 &gt;&gt;C:\Users\stu\Documents\GitHub\eaglep3-reporting\EC\2016-10-15-refined-times.txt</v>
      </c>
      <c r="AI179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{"issue":{"subject":"","project_id":79,"tracker_id":40,"status_id":1,"priority_id":2,"assigned_to_id":23,"start_date":"2016-10-15","description":"","custom_fields":[{"id":1,"name":"Subdivision","value":"NW"},{"id":4,"name":"Milepost","value":"5.8944"},{"id":17,"name":"Train ID","value":"1819-15"},{"id":16,"name":"Locomotive ID","value":"4018"},{"id":130,"name":"Impact","value":""},{"id":150,"name":"Time of Event (Mountain Time)","value":"15:34:29"},{"id":151,"name":"Denver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564</v>
      </c>
      <c r="B180" s="7">
        <v>4017</v>
      </c>
      <c r="C180" s="22" t="s">
        <v>99</v>
      </c>
      <c r="D180" s="22" t="s">
        <v>422</v>
      </c>
      <c r="E180" s="13">
        <v>42658.649953703702</v>
      </c>
      <c r="F180" s="13">
        <v>42658.651064814818</v>
      </c>
      <c r="G180" s="7">
        <v>1</v>
      </c>
      <c r="H180" s="13" t="s">
        <v>677</v>
      </c>
      <c r="I180" s="13">
        <v>42658.663055555553</v>
      </c>
      <c r="J180" s="7">
        <v>0</v>
      </c>
      <c r="K180" s="112" t="str">
        <f t="shared" ref="K180:K214" si="99">IF(ISEVEN(B180),(B180-1)&amp;"/"&amp;B180,B180&amp;"/"&amp;(B180+1))</f>
        <v>4017/4018</v>
      </c>
      <c r="L180" s="22" t="str">
        <f>VLOOKUP(A180,'Trips&amp;Operators'!$C$1:$E$10000,3,FALSE)</f>
        <v>BROWN</v>
      </c>
      <c r="M180" s="6">
        <f t="shared" ref="M180:M214" si="100">I180-F180</f>
        <v>1.1990740735200234E-2</v>
      </c>
      <c r="N180" s="7">
        <f t="shared" ref="N180:P214" si="101">24*60*SUM($M180:$M180)</f>
        <v>17.266666658688337</v>
      </c>
      <c r="O180" s="7"/>
      <c r="P180" s="7"/>
      <c r="Q180" s="23"/>
      <c r="R180" s="23"/>
      <c r="S180" s="35">
        <f t="shared" ref="S180:S214" si="102">SUM(U180:U180)/IF(AG180="EC",12,1)</f>
        <v>1</v>
      </c>
      <c r="T180" s="50" t="str">
        <f t="shared" ref="T180:T214" si="103">IF(ISEVEN(LEFT(AD180,4)),"Southbound","NorthBound")</f>
        <v>Southbound</v>
      </c>
      <c r="U180" s="144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ref="V180:V214" si="104">"https://search-rtdc-monitor-bjffxe2xuh6vdkpspy63sjmuny.us-east-1.es.amazonaws.com/_plugin/kibana/#/discover/Steve-Slow-Train-Analysis-(2080s-and-2083s)?_g=(refreshInterval:(display:Off,section:0,value:0),time:(from:'"&amp;TEXT(E180-1/24,"yyyy-MM-DD hh:mm:ss")&amp;"-0600',mode:absolute,to:'"&amp;TEXT(I180+1/24,"yyyy-MM-DD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https://search-rtdc-monitor-bjffxe2xuh6vdkpspy63sjmuny.us-east-1.es.amazonaws.com/_plugin/kibana/#/discover/Steve-Slow-Train-Analysis-(2080s-and-2083s)?_g=(refreshInterval:(display:Off,section:0,value:0),time:(from:'2016-10-15 14:35:56-0600',mode:absolute,to:'2016-10-15 16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0" s="52" t="str">
        <f t="shared" ref="W180:W214" si="105">IF(AA180&lt;IF(AG180="EC",23,5.65),"Y","N")</f>
        <v>N</v>
      </c>
      <c r="X180" s="149">
        <f t="shared" ref="X180:X214" si="106">VALUE(LEFT(AD180,4))-VALUE(LEFT(AD179,4))</f>
        <v>1</v>
      </c>
      <c r="Y180" s="67">
        <f t="shared" ref="Y180:Y214" si="107">RIGHT(D180,LEN(D180)-4)/10000</f>
        <v>5.8635999999999999</v>
      </c>
      <c r="Z180" s="67">
        <f t="shared" ref="Z180:Z214" si="108">RIGHT(H180,LEN(H180)-4)/10000</f>
        <v>7.2599999999999998E-2</v>
      </c>
      <c r="AA180" s="67">
        <f t="shared" ref="AA180:AA214" si="109">ABS(Z180-Y180)</f>
        <v>5.7910000000000004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ref="AD180:AD214" si="110">IF(LEN(A180)=6,"0"&amp;A180,A180)</f>
        <v>1820-15</v>
      </c>
      <c r="AE180" s="91" t="str">
        <f t="shared" ref="AE180:AE214" si="111"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80" s="88" t="str">
        <f t="shared" ref="AF180:AF214" si="112"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/stypes="app*4017*20161015*" /stext=" 21:.+((SYSTEM_STATE.+slice.+state.+changed )|(ment ac)|(system.+state.+changed )|(\[timeout)|(PRM\|1\|D)|(kpr)|(kdp)|(\|lc)|(penalty))" /e /r /s</v>
      </c>
      <c r="AG180" s="1" t="str">
        <f t="shared" ref="AG180:AG214" si="113">IFERROR(IF(VALUE(LEFT(AD180,2))&lt;=2,"EC",IF(OR(VALUE(LEFT(AD180,2))=8,VALUE(LEFT(AD180,2))=18),"NW","Other")),"Other")</f>
        <v>NW</v>
      </c>
      <c r="AH180" s="92" t="str">
        <f t="shared" si="95"/>
        <v>"%USERPROFILE%\Documents\GitHub\eaglep3\Utilities\RefineRTDCRunTimes.py" --tripid 1820-15 --locoid 4017 --swversion DE.1.0.7.0 --startMP 300:58636 --initTime 2016-10-15T15:35:56 --startdatetime 2016-10-15T15:37:32 --delay 1 --endMP 204:726 --enddatetime 2016-10-15T15:54:48 --enforcementcount 0 &gt;&gt;C:\Users\stu\Documents\GitHub\eaglep3-reporting\EC\2016-10-15-refined-times.txt</v>
      </c>
      <c r="AI180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{"issue":{"subject":"","project_id":79,"tracker_id":40,"status_id":1,"priority_id":2,"assigned_to_id":23,"start_date":"2016-10-15","description":"","custom_fields":[{"id":1,"name":"Subdivision","value":"NW"},{"id":4,"name":"Milepost","value":"0.0726"},{"id":17,"name":"Train ID","value":"1820-15"},{"id":16,"name":"Locomotive ID","value":"4017"},{"id":130,"name":"Impact","value":""},{"id":150,"name":"Time of Event (Mountain Time)","value":"15:54:48"},{"id":151,"name":"Denver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445</v>
      </c>
      <c r="B181" s="7">
        <v>4018</v>
      </c>
      <c r="C181" s="22" t="s">
        <v>99</v>
      </c>
      <c r="D181" s="22" t="s">
        <v>687</v>
      </c>
      <c r="E181" s="13">
        <v>42658.672013888892</v>
      </c>
      <c r="F181" s="13">
        <v>42658.681550925925</v>
      </c>
      <c r="G181" s="7">
        <v>1</v>
      </c>
      <c r="H181" s="13" t="s">
        <v>420</v>
      </c>
      <c r="I181" s="13">
        <v>42658.690798611111</v>
      </c>
      <c r="J181" s="7">
        <v>0</v>
      </c>
      <c r="K181" s="112" t="str">
        <f t="shared" si="99"/>
        <v>4017/4018</v>
      </c>
      <c r="L181" s="22" t="str">
        <f>VLOOKUP(A181,'Trips&amp;Operators'!$C$1:$E$10000,3,FALSE)</f>
        <v>BROWN</v>
      </c>
      <c r="M181" s="6">
        <f t="shared" si="100"/>
        <v>9.2476851859828457E-3</v>
      </c>
      <c r="N181" s="7">
        <f t="shared" si="101"/>
        <v>13.316666667815298</v>
      </c>
      <c r="O181" s="7"/>
      <c r="P181" s="7"/>
      <c r="Q181" s="23"/>
      <c r="R181" s="23"/>
      <c r="S181" s="35">
        <f t="shared" si="102"/>
        <v>1</v>
      </c>
      <c r="T181" s="50" t="str">
        <f t="shared" si="103"/>
        <v>NorthBound</v>
      </c>
      <c r="U181" s="144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15:07:42-0600',mode:absolute,to:'2016-10-15 17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1" s="52" t="str">
        <f t="shared" si="105"/>
        <v>N</v>
      </c>
      <c r="X181" s="149">
        <f t="shared" si="106"/>
        <v>1</v>
      </c>
      <c r="Y181" s="67">
        <f t="shared" si="107"/>
        <v>0.1011</v>
      </c>
      <c r="Z181" s="67">
        <f t="shared" si="108"/>
        <v>5.8964999999999996</v>
      </c>
      <c r="AA181" s="67">
        <f t="shared" si="109"/>
        <v>5.7953999999999999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110"/>
        <v>1821-15</v>
      </c>
      <c r="AE181" s="91" t="str">
        <f t="shared" si="111"/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81" s="88" t="str">
        <f t="shared" si="112"/>
        <v>"C:\Program Files (x86)\AstroGrep\AstroGrep.exe" /spath="%USERPROFILE%\AppData\Local\Temp\OnboardLogs" /stypes="app*4018*20161015*" /stext=" 22:.+((SYSTEM_STATE.+slice.+state.+changed )|(ment ac)|(system.+state.+changed )|(\[timeout)|(PRM\|1\|D)|(kpr)|(kdp)|(\|lc)|(penalty))" /e /r /s</v>
      </c>
      <c r="AG181" s="1" t="str">
        <f t="shared" si="113"/>
        <v>NW</v>
      </c>
      <c r="AH181" s="92" t="str">
        <f t="shared" si="95"/>
        <v>"%USERPROFILE%\Documents\GitHub\eaglep3\Utilities\RefineRTDCRunTimes.py" --tripid 1821-15 --locoid 4018 --swversion DE.1.0.7.0 --startMP 204:1011 --initTime 2016-10-15T16:07:42 --startdatetime 2016-10-15T16:21:26 --delay 1 --endMP 300:58965 --enddatetime 2016-10-15T16:34:45 --enforcementcount 0 &gt;&gt;C:\Users\stu\Documents\GitHub\eaglep3-reporting\EC\2016-10-15-refined-times.txt</v>
      </c>
      <c r="AI181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{"issue":{"subject":"","project_id":79,"tracker_id":40,"status_id":1,"priority_id":2,"assigned_to_id":23,"start_date":"2016-10-15","description":"","custom_fields":[{"id":1,"name":"Subdivision","value":"NW"},{"id":4,"name":"Milepost","value":"5.8965"},{"id":17,"name":"Train ID","value":"1821-15"},{"id":16,"name":"Locomotive ID","value":"4018"},{"id":130,"name":"Impact","value":""},{"id":150,"name":"Time of Event (Mountain Time)","value":"16:34:45"},{"id":151,"name":"Denver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573</v>
      </c>
      <c r="B182" s="7">
        <v>4017</v>
      </c>
      <c r="C182" s="22" t="s">
        <v>99</v>
      </c>
      <c r="D182" s="22" t="s">
        <v>688</v>
      </c>
      <c r="E182" s="13">
        <v>42658.692175925928</v>
      </c>
      <c r="F182" s="13">
        <v>42658.693437499998</v>
      </c>
      <c r="G182" s="7">
        <v>0</v>
      </c>
      <c r="H182" s="13" t="s">
        <v>416</v>
      </c>
      <c r="I182" s="13">
        <v>42658.704467592594</v>
      </c>
      <c r="J182" s="7">
        <v>0</v>
      </c>
      <c r="K182" s="112" t="str">
        <f t="shared" si="99"/>
        <v>4017/4018</v>
      </c>
      <c r="L182" s="22" t="str">
        <f>VLOOKUP(A182,'Trips&amp;Operators'!$C$1:$E$10000,3,FALSE)</f>
        <v>BROWN</v>
      </c>
      <c r="M182" s="6">
        <f t="shared" si="100"/>
        <v>1.1030092595319729E-2</v>
      </c>
      <c r="N182" s="7">
        <f t="shared" si="101"/>
        <v>15.88333333726041</v>
      </c>
      <c r="O182" s="7"/>
      <c r="P182" s="7"/>
      <c r="Q182" s="23"/>
      <c r="R182" s="23"/>
      <c r="S182" s="35">
        <f t="shared" si="102"/>
        <v>1</v>
      </c>
      <c r="T182" s="50" t="str">
        <f t="shared" si="103"/>
        <v>Southbound</v>
      </c>
      <c r="U182" s="144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15:36:44-0600',mode:absolute,to:'2016-10-15 17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2" s="52" t="str">
        <f t="shared" si="105"/>
        <v>N</v>
      </c>
      <c r="X182" s="149">
        <f t="shared" si="106"/>
        <v>1</v>
      </c>
      <c r="Y182" s="67">
        <f t="shared" si="107"/>
        <v>5.8638000000000003</v>
      </c>
      <c r="Z182" s="67">
        <f t="shared" si="108"/>
        <v>7.2400000000000006E-2</v>
      </c>
      <c r="AA182" s="67">
        <f t="shared" si="109"/>
        <v>5.7914000000000003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110"/>
        <v>1822-15</v>
      </c>
      <c r="AE182" s="91" t="str">
        <f t="shared" si="111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82" s="88" t="str">
        <f t="shared" si="112"/>
        <v>"C:\Program Files (x86)\AstroGrep\AstroGrep.exe" /spath="%USERPROFILE%\AppData\Local\Temp\OnboardLogs" /stypes="app*4017*20161015*" /stext=" 22:.+((SYSTEM_STATE.+slice.+state.+changed )|(ment ac)|(system.+state.+changed )|(\[timeout)|(PRM\|1\|D)|(kpr)|(kdp)|(\|lc)|(penalty))" /e /r /s</v>
      </c>
      <c r="AG182" s="1" t="str">
        <f t="shared" si="113"/>
        <v>NW</v>
      </c>
      <c r="AH182" s="92" t="str">
        <f t="shared" si="95"/>
        <v>"%USERPROFILE%\Documents\GitHub\eaglep3\Utilities\RefineRTDCRunTimes.py" --tripid 1822-15 --locoid 4017 --swversion DE.1.0.7.0 --startMP 300:58638 --initTime 2016-10-15T16:36:44 --startdatetime 2016-10-15T16:38:33 --delay 0 --endMP 204:724 --enddatetime 2016-10-15T16:54:26 --enforcementcount 0 &gt;&gt;C:\Users\stu\Documents\GitHub\eaglep3-reporting\EC\2016-10-15-refined-times.txt</v>
      </c>
      <c r="AI182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{"issue":{"subject":"","project_id":79,"tracker_id":40,"status_id":1,"priority_id":2,"assigned_to_id":23,"start_date":"2016-10-15","description":"","custom_fields":[{"id":1,"name":"Subdivision","value":"NW"},{"id":4,"name":"Milepost","value":"0.0724"},{"id":17,"name":"Train ID","value":"1822-15"},{"id":16,"name":"Locomotive ID","value":"4017"},{"id":130,"name":"Impact","value":""},{"id":150,"name":"Time of Event (Mountain Time)","value":"16:54:26"},{"id":151,"name":"Denver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579</v>
      </c>
      <c r="B183" s="7">
        <v>4018</v>
      </c>
      <c r="C183" s="22" t="s">
        <v>99</v>
      </c>
      <c r="D183" s="22" t="s">
        <v>689</v>
      </c>
      <c r="E183" s="13">
        <v>42658.716261574074</v>
      </c>
      <c r="F183" s="13">
        <v>42658.723101851851</v>
      </c>
      <c r="G183" s="7">
        <v>1</v>
      </c>
      <c r="H183" s="13" t="s">
        <v>690</v>
      </c>
      <c r="I183" s="13">
        <v>42658.732291666667</v>
      </c>
      <c r="J183" s="7">
        <v>0</v>
      </c>
      <c r="K183" s="112" t="str">
        <f t="shared" si="99"/>
        <v>4017/4018</v>
      </c>
      <c r="L183" s="22" t="str">
        <f>VLOOKUP(A183,'Trips&amp;Operators'!$C$1:$E$10000,3,FALSE)</f>
        <v>BROWN</v>
      </c>
      <c r="M183" s="6">
        <f t="shared" si="100"/>
        <v>9.189814816636499E-3</v>
      </c>
      <c r="N183" s="7">
        <f t="shared" si="101"/>
        <v>13.233333335956559</v>
      </c>
      <c r="O183" s="7"/>
      <c r="P183" s="7"/>
      <c r="Q183" s="23"/>
      <c r="R183" s="23"/>
      <c r="S183" s="35">
        <f t="shared" si="102"/>
        <v>1</v>
      </c>
      <c r="T183" s="50" t="str">
        <f t="shared" si="103"/>
        <v>NorthBound</v>
      </c>
      <c r="U183" s="144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16:11:25-0600',mode:absolute,to:'2016-10-15 18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3" s="52" t="str">
        <f t="shared" si="105"/>
        <v>N</v>
      </c>
      <c r="X183" s="149">
        <f t="shared" si="106"/>
        <v>1</v>
      </c>
      <c r="Y183" s="67">
        <f t="shared" si="107"/>
        <v>0.1016</v>
      </c>
      <c r="Z183" s="67">
        <f t="shared" si="108"/>
        <v>5.8967000000000001</v>
      </c>
      <c r="AA183" s="67">
        <f t="shared" si="109"/>
        <v>5.7950999999999997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110"/>
        <v>1823-15</v>
      </c>
      <c r="AE183" s="91" t="str">
        <f t="shared" si="111"/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83" s="88" t="str">
        <f t="shared" si="112"/>
        <v>"C:\Program Files (x86)\AstroGrep\AstroGrep.exe" /spath="%USERPROFILE%\AppData\Local\Temp\OnboardLogs" /stypes="app*4018*20161015*" /stext=" 23:.+((SYSTEM_STATE.+slice.+state.+changed )|(ment ac)|(system.+state.+changed )|(\[timeout)|(PRM\|1\|D)|(kpr)|(kdp)|(\|lc)|(penalty))" /e /r /s</v>
      </c>
      <c r="AG183" s="1" t="str">
        <f t="shared" si="113"/>
        <v>NW</v>
      </c>
      <c r="AH183" s="92" t="str">
        <f t="shared" si="95"/>
        <v>"%USERPROFILE%\Documents\GitHub\eaglep3\Utilities\RefineRTDCRunTimes.py" --tripid 1823-15 --locoid 4018 --swversion DE.1.0.7.0 --startMP 204:1016 --initTime 2016-10-15T17:11:25 --startdatetime 2016-10-15T17:21:16 --delay 1 --endMP 300:58967 --enddatetime 2016-10-15T17:34:30 --enforcementcount 0 &gt;&gt;C:\Users\stu\Documents\GitHub\eaglep3-reporting\EC\2016-10-15-refined-times.txt</v>
      </c>
      <c r="AI183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{"issue":{"subject":"","project_id":79,"tracker_id":40,"status_id":1,"priority_id":2,"assigned_to_id":23,"start_date":"2016-10-15","description":"","custom_fields":[{"id":1,"name":"Subdivision","value":"NW"},{"id":4,"name":"Milepost","value":"5.8967"},{"id":17,"name":"Train ID","value":"1823-15"},{"id":16,"name":"Locomotive ID","value":"4018"},{"id":130,"name":"Impact","value":""},{"id":150,"name":"Time of Event (Mountain Time)","value":"17:34:30"},{"id":151,"name":"Denver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7" t="s">
        <v>583</v>
      </c>
      <c r="B184" s="7">
        <v>4017</v>
      </c>
      <c r="C184" s="22" t="s">
        <v>99</v>
      </c>
      <c r="D184" s="22" t="s">
        <v>421</v>
      </c>
      <c r="E184" s="13">
        <v>42658.733703703707</v>
      </c>
      <c r="F184" s="13">
        <v>42658.735023148147</v>
      </c>
      <c r="G184" s="7">
        <v>1</v>
      </c>
      <c r="H184" s="13" t="s">
        <v>677</v>
      </c>
      <c r="I184" s="13">
        <v>42658.746516203704</v>
      </c>
      <c r="J184" s="7">
        <v>0</v>
      </c>
      <c r="K184" s="112" t="str">
        <f t="shared" si="99"/>
        <v>4017/4018</v>
      </c>
      <c r="L184" s="22" t="str">
        <f>VLOOKUP(A184,'Trips&amp;Operators'!$C$1:$E$10000,3,FALSE)</f>
        <v>BROWN</v>
      </c>
      <c r="M184" s="6">
        <f t="shared" si="100"/>
        <v>1.1493055557366461E-2</v>
      </c>
      <c r="N184" s="7">
        <f t="shared" si="101"/>
        <v>16.550000002607703</v>
      </c>
      <c r="O184" s="7"/>
      <c r="P184" s="7"/>
      <c r="Q184" s="23"/>
      <c r="R184" s="23"/>
      <c r="S184" s="35">
        <f t="shared" si="102"/>
        <v>1</v>
      </c>
      <c r="T184" s="50" t="str">
        <f t="shared" si="103"/>
        <v>Southbound</v>
      </c>
      <c r="U184" s="144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16:36:32-0600',mode:absolute,to:'2016-10-15 18:54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4" s="52" t="str">
        <f t="shared" si="105"/>
        <v>N</v>
      </c>
      <c r="X184" s="149">
        <f t="shared" si="106"/>
        <v>1</v>
      </c>
      <c r="Y184" s="67">
        <f t="shared" si="107"/>
        <v>5.8644999999999996</v>
      </c>
      <c r="Z184" s="67">
        <f t="shared" si="108"/>
        <v>7.2599999999999998E-2</v>
      </c>
      <c r="AA184" s="67">
        <f t="shared" si="109"/>
        <v>5.7919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110"/>
        <v>1824-15</v>
      </c>
      <c r="AE184" s="91" t="str">
        <f t="shared" si="111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84" s="88" t="str">
        <f t="shared" si="112"/>
        <v>"C:\Program Files (x86)\AstroGrep\AstroGrep.exe" /spath="%USERPROFILE%\AppData\Local\Temp\OnboardLogs" /stypes="app*4017*20161015*" /stext=" 23:.+((SYSTEM_STATE.+slice.+state.+changed )|(ment ac)|(system.+state.+changed )|(\[timeout)|(PRM\|1\|D)|(kpr)|(kdp)|(\|lc)|(penalty))" /e /r /s</v>
      </c>
      <c r="AG184" s="1" t="str">
        <f t="shared" si="113"/>
        <v>NW</v>
      </c>
      <c r="AH184" s="92" t="str">
        <f t="shared" si="95"/>
        <v>"%USERPROFILE%\Documents\GitHub\eaglep3\Utilities\RefineRTDCRunTimes.py" --tripid 1824-15 --locoid 4017 --swversion DE.1.0.7.0 --startMP 300:58645 --initTime 2016-10-15T17:36:32 --startdatetime 2016-10-15T17:38:26 --delay 1 --endMP 204:726 --enddatetime 2016-10-15T17:54:59 --enforcementcount 0 &gt;&gt;C:\Users\stu\Documents\GitHub\eaglep3-reporting\EC\2016-10-15-refined-times.txt</v>
      </c>
      <c r="AI184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{"issue":{"subject":"","project_id":79,"tracker_id":40,"status_id":1,"priority_id":2,"assigned_to_id":23,"start_date":"2016-10-15","description":"","custom_fields":[{"id":1,"name":"Subdivision","value":"NW"},{"id":4,"name":"Milepost","value":"0.0726"},{"id":17,"name":"Train ID","value":"1824-15"},{"id":16,"name":"Locomotive ID","value":"4017"},{"id":130,"name":"Impact","value":""},{"id":150,"name":"Time of Event (Mountain Time)","value":"17:54:59"},{"id":151,"name":"Denver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s="21" customFormat="1" x14ac:dyDescent="0.25">
      <c r="A185" s="37" t="s">
        <v>588</v>
      </c>
      <c r="B185" s="7">
        <v>4018</v>
      </c>
      <c r="C185" s="22" t="s">
        <v>99</v>
      </c>
      <c r="D185" s="22" t="s">
        <v>691</v>
      </c>
      <c r="E185" s="13">
        <v>42658.76152777778</v>
      </c>
      <c r="F185" s="13">
        <v>42658.764745370368</v>
      </c>
      <c r="G185" s="7">
        <v>1</v>
      </c>
      <c r="H185" s="13" t="s">
        <v>692</v>
      </c>
      <c r="I185" s="13">
        <v>42658.775578703702</v>
      </c>
      <c r="J185" s="7">
        <v>0</v>
      </c>
      <c r="K185" s="112" t="str">
        <f t="shared" si="99"/>
        <v>4017/4018</v>
      </c>
      <c r="L185" s="22" t="str">
        <f>VLOOKUP(A185,'Trips&amp;Operators'!$C$1:$E$10000,3,FALSE)</f>
        <v>BROWN</v>
      </c>
      <c r="M185" s="6">
        <f t="shared" si="100"/>
        <v>1.0833333333721384E-2</v>
      </c>
      <c r="N185" s="7">
        <f t="shared" si="101"/>
        <v>15.600000000558794</v>
      </c>
      <c r="O185" s="7"/>
      <c r="P185" s="7"/>
      <c r="Q185" s="23"/>
      <c r="R185" s="23"/>
      <c r="S185" s="35">
        <f t="shared" si="102"/>
        <v>1</v>
      </c>
      <c r="T185" s="50" t="str">
        <f t="shared" si="103"/>
        <v>NorthBound</v>
      </c>
      <c r="U185" s="144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17:16:36-0600',mode:absolute,to:'2016-10-15 19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5" s="52" t="str">
        <f t="shared" si="105"/>
        <v>N</v>
      </c>
      <c r="X185" s="149">
        <f t="shared" si="106"/>
        <v>1</v>
      </c>
      <c r="Y185" s="67">
        <f t="shared" si="107"/>
        <v>0.1009</v>
      </c>
      <c r="Z185" s="67">
        <f t="shared" si="108"/>
        <v>5.8958000000000004</v>
      </c>
      <c r="AA185" s="67">
        <f t="shared" si="109"/>
        <v>5.7949000000000002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110"/>
        <v>1825-15</v>
      </c>
      <c r="AE185" s="91" t="str">
        <f t="shared" si="111"/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85" s="88" t="str">
        <f t="shared" si="112"/>
        <v>"C:\Program Files (x86)\AstroGrep\AstroGrep.exe" /spath="%USERPROFILE%\AppData\Local\Temp\OnboardLogs" /stypes="app*4018*20161016*" /stext=" 00:.+((SYSTEM_STATE.+slice.+state.+changed )|(ment ac)|(system.+state.+changed )|(\[timeout)|(PRM\|1\|D)|(kpr)|(kdp)|(\|lc)|(penalty))" /e /r /s</v>
      </c>
      <c r="AG185" s="1" t="str">
        <f t="shared" si="113"/>
        <v>NW</v>
      </c>
      <c r="AH185" s="92" t="str">
        <f t="shared" si="95"/>
        <v>"%USERPROFILE%\Documents\GitHub\eaglep3\Utilities\RefineRTDCRunTimes.py" --tripid 1825-15 --locoid 4018 --swversion DE.1.0.7.0 --startMP 204:1009 --initTime 2016-10-15T18:16:36 --startdatetime 2016-10-15T18:21:14 --delay 1 --endMP 300:58958 --enddatetime 2016-10-15T18:36:50 --enforcementcount 0 &gt;&gt;C:\Users\stu\Documents\GitHub\eaglep3-reporting\EC\2016-10-15-refined-times.txt</v>
      </c>
      <c r="AI185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{"issue":{"subject":"","project_id":79,"tracker_id":40,"status_id":1,"priority_id":2,"assigned_to_id":23,"start_date":"2016-10-15","description":"","custom_fields":[{"id":1,"name":"Subdivision","value":"NW"},{"id":4,"name":"Milepost","value":"5.8958"},{"id":17,"name":"Train ID","value":"1825-15"},{"id":16,"name":"Locomotive ID","value":"4018"},{"id":130,"name":"Impact","value":""},{"id":150,"name":"Time of Event (Mountain Time)","value":"18:36:50"},{"id":151,"name":"Denver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7" t="s">
        <v>594</v>
      </c>
      <c r="B186" s="7">
        <v>4017</v>
      </c>
      <c r="C186" s="22" t="s">
        <v>99</v>
      </c>
      <c r="D186" s="22" t="s">
        <v>421</v>
      </c>
      <c r="E186" s="13">
        <v>42658.77957175926</v>
      </c>
      <c r="F186" s="13">
        <v>42658.780787037038</v>
      </c>
      <c r="G186" s="7">
        <v>1</v>
      </c>
      <c r="H186" s="13" t="s">
        <v>416</v>
      </c>
      <c r="I186" s="13">
        <v>42658.789398148147</v>
      </c>
      <c r="J186" s="7">
        <v>0</v>
      </c>
      <c r="K186" s="112" t="str">
        <f t="shared" si="99"/>
        <v>4017/4018</v>
      </c>
      <c r="L186" s="22" t="str">
        <f>VLOOKUP(A186,'Trips&amp;Operators'!$C$1:$E$10000,3,FALSE)</f>
        <v>BROWN</v>
      </c>
      <c r="M186" s="6">
        <f t="shared" si="100"/>
        <v>8.6111111086211167E-3</v>
      </c>
      <c r="N186" s="7">
        <f t="shared" si="101"/>
        <v>12.399999996414408</v>
      </c>
      <c r="O186" s="7"/>
      <c r="P186" s="7"/>
      <c r="Q186" s="23"/>
      <c r="R186" s="23"/>
      <c r="S186" s="35">
        <f t="shared" si="102"/>
        <v>1</v>
      </c>
      <c r="T186" s="50" t="str">
        <f t="shared" si="103"/>
        <v>Southbound</v>
      </c>
      <c r="U186" s="144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17:42:35-0600',mode:absolute,to:'2016-10-15 19:56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6" s="52" t="str">
        <f t="shared" si="105"/>
        <v>N</v>
      </c>
      <c r="X186" s="149">
        <f t="shared" si="106"/>
        <v>1</v>
      </c>
      <c r="Y186" s="67">
        <f t="shared" si="107"/>
        <v>5.8644999999999996</v>
      </c>
      <c r="Z186" s="67">
        <f t="shared" si="108"/>
        <v>7.2400000000000006E-2</v>
      </c>
      <c r="AA186" s="67">
        <f t="shared" si="109"/>
        <v>5.7920999999999996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110"/>
        <v>1826-15</v>
      </c>
      <c r="AE186" s="91" t="str">
        <f t="shared" si="111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86" s="88" t="str">
        <f t="shared" si="112"/>
        <v>"C:\Program Files (x86)\AstroGrep\AstroGrep.exe" /spath="%USERPROFILE%\AppData\Local\Temp\OnboardLogs" /stypes="app*4017*20161016*" /stext=" 00:.+((SYSTEM_STATE.+slice.+state.+changed )|(ment ac)|(system.+state.+changed )|(\[timeout)|(PRM\|1\|D)|(kpr)|(kdp)|(\|lc)|(penalty))" /e /r /s</v>
      </c>
      <c r="AG186" s="1" t="str">
        <f t="shared" si="113"/>
        <v>NW</v>
      </c>
      <c r="AH186" s="92" t="str">
        <f t="shared" si="95"/>
        <v>"%USERPROFILE%\Documents\GitHub\eaglep3\Utilities\RefineRTDCRunTimes.py" --tripid 1826-15 --locoid 4017 --swversion DE.1.0.7.0 --startMP 300:58645 --initTime 2016-10-15T18:42:35 --startdatetime 2016-10-15T18:44:20 --delay 1 --endMP 204:724 --enddatetime 2016-10-15T18:56:44 --enforcementcount 0 &gt;&gt;C:\Users\stu\Documents\GitHub\eaglep3-reporting\EC\2016-10-15-refined-times.txt</v>
      </c>
      <c r="AI186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{"issue":{"subject":"","project_id":79,"tracker_id":40,"status_id":1,"priority_id":2,"assigned_to_id":23,"start_date":"2016-10-15","description":"","custom_fields":[{"id":1,"name":"Subdivision","value":"NW"},{"id":4,"name":"Milepost","value":"0.0724"},{"id":17,"name":"Train ID","value":"1826-15"},{"id":16,"name":"Locomotive ID","value":"4017"},{"id":130,"name":"Impact","value":""},{"id":150,"name":"Time of Event (Mountain Time)","value":"18:56:44"},{"id":151,"name":"Denver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597</v>
      </c>
      <c r="B187" s="7">
        <v>4018</v>
      </c>
      <c r="C187" s="22" t="s">
        <v>99</v>
      </c>
      <c r="D187" s="22" t="s">
        <v>419</v>
      </c>
      <c r="E187" s="13">
        <v>42658.794641203705</v>
      </c>
      <c r="F187" s="13">
        <v>42658.806446759256</v>
      </c>
      <c r="G187" s="7">
        <v>1</v>
      </c>
      <c r="H187" s="13" t="s">
        <v>693</v>
      </c>
      <c r="I187" s="13">
        <v>42658.816921296297</v>
      </c>
      <c r="J187" s="7">
        <v>0</v>
      </c>
      <c r="K187" s="112" t="str">
        <f t="shared" si="99"/>
        <v>4017/4018</v>
      </c>
      <c r="L187" s="22" t="str">
        <f>VLOOKUP(A187,'Trips&amp;Operators'!$C$1:$E$10000,3,FALSE)</f>
        <v>BROWN</v>
      </c>
      <c r="M187" s="6">
        <f t="shared" si="100"/>
        <v>1.0474537040863652E-2</v>
      </c>
      <c r="N187" s="7">
        <f t="shared" si="101"/>
        <v>15.083333338843659</v>
      </c>
      <c r="O187" s="7"/>
      <c r="P187" s="7"/>
      <c r="Q187" s="23"/>
      <c r="R187" s="23"/>
      <c r="S187" s="35">
        <f t="shared" si="102"/>
        <v>1</v>
      </c>
      <c r="T187" s="50" t="str">
        <f t="shared" si="103"/>
        <v>NorthBound</v>
      </c>
      <c r="U187" s="144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18:04:17-0600',mode:absolute,to:'2016-10-15 20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7" s="52" t="str">
        <f t="shared" si="105"/>
        <v>N</v>
      </c>
      <c r="X187" s="149">
        <f t="shared" si="106"/>
        <v>1</v>
      </c>
      <c r="Y187" s="67">
        <f t="shared" si="107"/>
        <v>0.1018</v>
      </c>
      <c r="Z187" s="67">
        <f t="shared" si="108"/>
        <v>5.8960999999999997</v>
      </c>
      <c r="AA187" s="67">
        <f t="shared" si="109"/>
        <v>5.7942999999999998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110"/>
        <v>1827-15</v>
      </c>
      <c r="AE187" s="91" t="str">
        <f t="shared" si="111"/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87" s="88" t="str">
        <f t="shared" si="112"/>
        <v>"C:\Program Files (x86)\AstroGrep\AstroGrep.exe" /spath="%USERPROFILE%\AppData\Local\Temp\OnboardLogs" /stypes="app*4018*20161016*" /stext=" 01:.+((SYSTEM_STATE.+slice.+state.+changed )|(ment ac)|(system.+state.+changed )|(\[timeout)|(PRM\|1\|D)|(kpr)|(kdp)|(\|lc)|(penalty))" /e /r /s</v>
      </c>
      <c r="AG187" s="1" t="str">
        <f t="shared" si="113"/>
        <v>NW</v>
      </c>
      <c r="AH187" s="92" t="str">
        <f t="shared" si="95"/>
        <v>"%USERPROFILE%\Documents\GitHub\eaglep3\Utilities\RefineRTDCRunTimes.py" --tripid 1827-15 --locoid 4018 --swversion DE.1.0.7.0 --startMP 204:1018 --initTime 2016-10-15T19:04:17 --startdatetime 2016-10-15T19:21:17 --delay 1 --endMP 300:58961 --enddatetime 2016-10-15T19:36:22 --enforcementcount 0 &gt;&gt;C:\Users\stu\Documents\GitHub\eaglep3-reporting\EC\2016-10-15-refined-times.txt</v>
      </c>
      <c r="AI187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{"issue":{"subject":"","project_id":79,"tracker_id":40,"status_id":1,"priority_id":2,"assigned_to_id":23,"start_date":"2016-10-15","description":"","custom_fields":[{"id":1,"name":"Subdivision","value":"NW"},{"id":4,"name":"Milepost","value":"5.8961"},{"id":17,"name":"Train ID","value":"1827-15"},{"id":16,"name":"Locomotive ID","value":"4018"},{"id":130,"name":"Impact","value":""},{"id":150,"name":"Time of Event (Mountain Time)","value":"19:36:22"},{"id":151,"name":"Denver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602</v>
      </c>
      <c r="B188" s="7">
        <v>4017</v>
      </c>
      <c r="C188" s="22" t="s">
        <v>99</v>
      </c>
      <c r="D188" s="22" t="s">
        <v>694</v>
      </c>
      <c r="E188" s="13">
        <v>42658.817858796298</v>
      </c>
      <c r="F188" s="13">
        <v>42658.819062499999</v>
      </c>
      <c r="G188" s="7">
        <v>0</v>
      </c>
      <c r="H188" s="13" t="s">
        <v>416</v>
      </c>
      <c r="I188" s="13">
        <v>42658.831631944442</v>
      </c>
      <c r="J188" s="7">
        <v>0</v>
      </c>
      <c r="K188" s="112" t="str">
        <f t="shared" si="99"/>
        <v>4017/4018</v>
      </c>
      <c r="L188" s="22" t="str">
        <f>VLOOKUP(A188,'Trips&amp;Operators'!$C$1:$E$10000,3,FALSE)</f>
        <v>BROWN</v>
      </c>
      <c r="M188" s="6">
        <f t="shared" si="100"/>
        <v>1.2569444443215616E-2</v>
      </c>
      <c r="N188" s="7">
        <f t="shared" si="101"/>
        <v>18.099999998230487</v>
      </c>
      <c r="O188" s="7"/>
      <c r="P188" s="7"/>
      <c r="Q188" s="23"/>
      <c r="R188" s="23"/>
      <c r="S188" s="35">
        <f t="shared" si="102"/>
        <v>1</v>
      </c>
      <c r="T188" s="50" t="str">
        <f t="shared" si="103"/>
        <v>Southbound</v>
      </c>
      <c r="U188" s="144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18:37:43-0600',mode:absolute,to:'2016-10-15 20:57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8" s="52" t="str">
        <f t="shared" si="105"/>
        <v>N</v>
      </c>
      <c r="X188" s="149">
        <f t="shared" si="106"/>
        <v>1</v>
      </c>
      <c r="Y188" s="67">
        <f t="shared" si="107"/>
        <v>5.8655999999999997</v>
      </c>
      <c r="Z188" s="67">
        <f t="shared" si="108"/>
        <v>7.2400000000000006E-2</v>
      </c>
      <c r="AA188" s="67">
        <f t="shared" si="109"/>
        <v>5.7931999999999997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110"/>
        <v>1828-15</v>
      </c>
      <c r="AE188" s="91" t="str">
        <f t="shared" si="111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88" s="88" t="str">
        <f t="shared" si="112"/>
        <v>"C:\Program Files (x86)\AstroGrep\AstroGrep.exe" /spath="%USERPROFILE%\AppData\Local\Temp\OnboardLogs" /stypes="app*4017*20161016*" /stext=" 01:.+((SYSTEM_STATE.+slice.+state.+changed )|(ment ac)|(system.+state.+changed )|(\[timeout)|(PRM\|1\|D)|(kpr)|(kdp)|(\|lc)|(penalty))" /e /r /s</v>
      </c>
      <c r="AG188" s="1" t="str">
        <f t="shared" si="113"/>
        <v>NW</v>
      </c>
      <c r="AH188" s="92" t="str">
        <f t="shared" si="95"/>
        <v>"%USERPROFILE%\Documents\GitHub\eaglep3\Utilities\RefineRTDCRunTimes.py" --tripid 1828-15 --locoid 4017 --swversion DE.1.0.7.0 --startMP 300:58656 --initTime 2016-10-15T19:37:43 --startdatetime 2016-10-15T19:39:27 --delay 0 --endMP 204:724 --enddatetime 2016-10-15T19:57:33 --enforcementcount 0 &gt;&gt;C:\Users\stu\Documents\GitHub\eaglep3-reporting\EC\2016-10-15-refined-times.txt</v>
      </c>
      <c r="AI188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{"issue":{"subject":"","project_id":79,"tracker_id":40,"status_id":1,"priority_id":2,"assigned_to_id":23,"start_date":"2016-10-15","description":"","custom_fields":[{"id":1,"name":"Subdivision","value":"NW"},{"id":4,"name":"Milepost","value":"0.0724"},{"id":17,"name":"Train ID","value":"1828-15"},{"id":16,"name":"Locomotive ID","value":"4017"},{"id":130,"name":"Impact","value":""},{"id":150,"name":"Time of Event (Mountain Time)","value":"19:57:33"},{"id":151,"name":"Denver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606</v>
      </c>
      <c r="B189" s="7">
        <v>4018</v>
      </c>
      <c r="C189" s="22" t="s">
        <v>99</v>
      </c>
      <c r="D189" s="22" t="s">
        <v>695</v>
      </c>
      <c r="E189" s="13">
        <v>42658.842685185184</v>
      </c>
      <c r="F189" s="13">
        <v>42658.848078703704</v>
      </c>
      <c r="G189" s="7">
        <v>1</v>
      </c>
      <c r="H189" s="13" t="s">
        <v>690</v>
      </c>
      <c r="I189" s="13">
        <v>42658.857824074075</v>
      </c>
      <c r="J189" s="7">
        <v>0</v>
      </c>
      <c r="K189" s="112" t="str">
        <f t="shared" si="99"/>
        <v>4017/4018</v>
      </c>
      <c r="L189" s="22" t="str">
        <f>VLOOKUP(A189,'Trips&amp;Operators'!$C$1:$E$10000,3,FALSE)</f>
        <v>BROWN</v>
      </c>
      <c r="M189" s="6">
        <f t="shared" si="100"/>
        <v>9.7453703710925765E-3</v>
      </c>
      <c r="N189" s="7">
        <f t="shared" si="101"/>
        <v>14.03333333437331</v>
      </c>
      <c r="O189" s="7"/>
      <c r="P189" s="7"/>
      <c r="Q189" s="23"/>
      <c r="R189" s="23"/>
      <c r="S189" s="35">
        <f t="shared" si="102"/>
        <v>1</v>
      </c>
      <c r="T189" s="50" t="str">
        <f t="shared" si="103"/>
        <v>NorthBound</v>
      </c>
      <c r="U189" s="144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19:13:28-0600',mode:absolute,to:'2016-10-15 21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9" s="52" t="str">
        <f t="shared" si="105"/>
        <v>N</v>
      </c>
      <c r="X189" s="149">
        <f t="shared" si="106"/>
        <v>1</v>
      </c>
      <c r="Y189" s="67">
        <f t="shared" si="107"/>
        <v>0.10199999999999999</v>
      </c>
      <c r="Z189" s="67">
        <f t="shared" si="108"/>
        <v>5.8967000000000001</v>
      </c>
      <c r="AA189" s="67">
        <f t="shared" si="109"/>
        <v>5.7946999999999997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110"/>
        <v>1829-15</v>
      </c>
      <c r="AE189" s="91" t="str">
        <f t="shared" si="111"/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89" s="88" t="str">
        <f t="shared" si="112"/>
        <v>"C:\Program Files (x86)\AstroGrep\AstroGrep.exe" /spath="%USERPROFILE%\AppData\Local\Temp\OnboardLogs" /stypes="app*4018*20161016*" /stext=" 02:.+((SYSTEM_STATE.+slice.+state.+changed )|(ment ac)|(system.+state.+changed )|(\[timeout)|(PRM\|1\|D)|(kpr)|(kdp)|(\|lc)|(penalty))" /e /r /s</v>
      </c>
      <c r="AG189" s="1" t="str">
        <f t="shared" si="113"/>
        <v>NW</v>
      </c>
      <c r="AH189" s="92" t="str">
        <f t="shared" si="95"/>
        <v>"%USERPROFILE%\Documents\GitHub\eaglep3\Utilities\RefineRTDCRunTimes.py" --tripid 1829-15 --locoid 4018 --swversion DE.1.0.7.0 --startMP 204:1020 --initTime 2016-10-15T20:13:28 --startdatetime 2016-10-15T20:21:14 --delay 1 --endMP 300:58967 --enddatetime 2016-10-15T20:35:16 --enforcementcount 0 &gt;&gt;C:\Users\stu\Documents\GitHub\eaglep3-reporting\EC\2016-10-15-refined-times.txt</v>
      </c>
      <c r="AI189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{"issue":{"subject":"","project_id":79,"tracker_id":40,"status_id":1,"priority_id":2,"assigned_to_id":23,"start_date":"2016-10-15","description":"","custom_fields":[{"id":1,"name":"Subdivision","value":"NW"},{"id":4,"name":"Milepost","value":"5.8967"},{"id":17,"name":"Train ID","value":"1829-15"},{"id":16,"name":"Locomotive ID","value":"4018"},{"id":130,"name":"Impact","value":""},{"id":150,"name":"Time of Event (Mountain Time)","value":"20:35:16"},{"id":151,"name":"Denver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609</v>
      </c>
      <c r="B190" s="7">
        <v>4017</v>
      </c>
      <c r="C190" s="22" t="s">
        <v>99</v>
      </c>
      <c r="D190" s="22" t="s">
        <v>696</v>
      </c>
      <c r="E190" s="13">
        <v>42658.858703703707</v>
      </c>
      <c r="F190" s="13">
        <v>42658.860173611109</v>
      </c>
      <c r="G190" s="7">
        <v>1</v>
      </c>
      <c r="H190" s="13" t="s">
        <v>697</v>
      </c>
      <c r="I190" s="13">
        <v>42658.871261574073</v>
      </c>
      <c r="J190" s="7">
        <v>0</v>
      </c>
      <c r="K190" s="112" t="str">
        <f t="shared" si="99"/>
        <v>4017/4018</v>
      </c>
      <c r="L190" s="22" t="str">
        <f>VLOOKUP(A190,'Trips&amp;Operators'!$C$1:$E$10000,3,FALSE)</f>
        <v>BROWN</v>
      </c>
      <c r="M190" s="6">
        <f t="shared" si="100"/>
        <v>1.1087962964666076E-2</v>
      </c>
      <c r="N190" s="7">
        <f t="shared" si="101"/>
        <v>15.966666669119149</v>
      </c>
      <c r="O190" s="7"/>
      <c r="P190" s="7"/>
      <c r="Q190" s="23"/>
      <c r="R190" s="23"/>
      <c r="S190" s="35">
        <f t="shared" si="102"/>
        <v>1</v>
      </c>
      <c r="T190" s="50" t="str">
        <f t="shared" si="103"/>
        <v>Southbound</v>
      </c>
      <c r="U190" s="144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19:36:32-0600',mode:absolute,to:'2016-10-15 21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0" s="52" t="str">
        <f t="shared" si="105"/>
        <v>N</v>
      </c>
      <c r="X190" s="149">
        <f t="shared" si="106"/>
        <v>1</v>
      </c>
      <c r="Y190" s="67">
        <f t="shared" si="107"/>
        <v>5.8653000000000004</v>
      </c>
      <c r="Z190" s="67">
        <f t="shared" si="108"/>
        <v>7.17E-2</v>
      </c>
      <c r="AA190" s="67">
        <f t="shared" si="109"/>
        <v>5.7936000000000005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110"/>
        <v>1830-15</v>
      </c>
      <c r="AE190" s="91" t="str">
        <f t="shared" si="111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90" s="88" t="str">
        <f t="shared" si="112"/>
        <v>"C:\Program Files (x86)\AstroGrep\AstroGrep.exe" /spath="%USERPROFILE%\AppData\Local\Temp\OnboardLogs" /stypes="app*4017*20161016*" /stext=" 02:.+((SYSTEM_STATE.+slice.+state.+changed )|(ment ac)|(system.+state.+changed )|(\[timeout)|(PRM\|1\|D)|(kpr)|(kdp)|(\|lc)|(penalty))" /e /r /s</v>
      </c>
      <c r="AG190" s="1" t="str">
        <f t="shared" si="113"/>
        <v>NW</v>
      </c>
      <c r="AH190" s="92" t="str">
        <f t="shared" si="95"/>
        <v>"%USERPROFILE%\Documents\GitHub\eaglep3\Utilities\RefineRTDCRunTimes.py" --tripid 1830-15 --locoid 4017 --swversion DE.1.0.7.0 --startMP 300:58653 --initTime 2016-10-15T20:36:32 --startdatetime 2016-10-15T20:38:39 --delay 1 --endMP 204:717 --enddatetime 2016-10-15T20:54:37 --enforcementcount 0 &gt;&gt;C:\Users\stu\Documents\GitHub\eaglep3-reporting\EC\2016-10-15-refined-times.txt</v>
      </c>
      <c r="AI190" s="122" t="str">
        <f t="shared" si="96"/>
        <v>echo {"issue":{"subject":"","project_id":79,"tracker_id":40,"status_id":1,"priority_id":2,"assigned_to_id":23,"start_date":"2016-10-15","description":"","custom_fields":[{"id":1,"name":"Subdivision","value":"NW"},{"id":4,"name":"Milepost","value":"0.0717"},{"id":17,"name":"Train ID","value":"1830-15"},{"id":16,"name":"Locomotive ID","value":"4017"},{"id":130,"name":"Impact","value":""},{"id":150,"name":"Time of Event (Mountain Time)","value":"20:54:37"},{"id":151,"name":"Denver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612</v>
      </c>
      <c r="B191" s="7">
        <v>4018</v>
      </c>
      <c r="C191" s="22" t="s">
        <v>99</v>
      </c>
      <c r="D191" s="22" t="s">
        <v>696</v>
      </c>
      <c r="E191" s="13">
        <v>42658.858703703707</v>
      </c>
      <c r="F191" s="13">
        <v>42658.883275462962</v>
      </c>
      <c r="G191" s="7">
        <v>1</v>
      </c>
      <c r="H191" s="13" t="s">
        <v>697</v>
      </c>
      <c r="I191" s="13">
        <v>42658.883877314816</v>
      </c>
      <c r="J191" s="7">
        <v>0</v>
      </c>
      <c r="K191" s="112" t="str">
        <f t="shared" ref="K191" si="114">IF(ISEVEN(B191),(B191-1)&amp;"/"&amp;B191,B191&amp;"/"&amp;(B191+1))</f>
        <v>4017/4018</v>
      </c>
      <c r="L191" s="22" t="str">
        <f>VLOOKUP(A191,'Trips&amp;Operators'!$C$1:$E$10000,3,FALSE)</f>
        <v>BROWN</v>
      </c>
      <c r="M191" s="6">
        <f t="shared" ref="M191" si="115">I191-F191</f>
        <v>6.0185185429872945E-4</v>
      </c>
      <c r="N191" s="7"/>
      <c r="O191" s="7"/>
      <c r="P191" s="7">
        <f t="shared" si="101"/>
        <v>0.86666667019017041</v>
      </c>
      <c r="Q191" s="23"/>
      <c r="R191" s="23" t="s">
        <v>759</v>
      </c>
      <c r="S191" s="35">
        <f t="shared" ref="S191" si="116">SUM(U191:U191)/IF(AG191="EC",12,1)</f>
        <v>0</v>
      </c>
      <c r="T191" s="50" t="str">
        <f t="shared" ref="T191" si="117">IF(ISEVEN(LEFT(AD191,4)),"Southbound","NorthBound")</f>
        <v>NorthBound</v>
      </c>
      <c r="U191" s="144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0</v>
      </c>
      <c r="V191" s="98" t="str">
        <f t="shared" ref="V191" si="118">"https://search-rtdc-monitor-bjffxe2xuh6vdkpspy63sjmuny.us-east-1.es.amazonaws.com/_plugin/kibana/#/discover/Steve-Slow-Train-Analysis-(2080s-and-2083s)?_g=(refreshInterval:(display:Off,section:0,value:0),time:(from:'"&amp;TEXT(E191-1/24,"yyyy-MM-DD hh:mm:ss")&amp;"-0600',mode:absolute,to:'"&amp;TEXT(I191+1/24,"yyyy-MM-DD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https://search-rtdc-monitor-bjffxe2xuh6vdkpspy63sjmuny.us-east-1.es.amazonaws.com/_plugin/kibana/#/discover/Steve-Slow-Train-Analysis-(2080s-and-2083s)?_g=(refreshInterval:(display:Off,section:0,value:0),time:(from:'2016-10-15 19:36:32-0600',mode:absolute,to:'2016-10-15 22:12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1" s="52" t="str">
        <f t="shared" ref="W191" si="119">IF(AA191&lt;IF(AG191="EC",23,5.65),"Y","N")</f>
        <v>Y</v>
      </c>
      <c r="X191" s="149">
        <f t="shared" si="106"/>
        <v>1</v>
      </c>
      <c r="Y191" s="67">
        <v>0</v>
      </c>
      <c r="Z191" s="67">
        <v>0</v>
      </c>
      <c r="AA191" s="67">
        <f t="shared" ref="AA191" si="120">ABS(Z191-Y191)</f>
        <v>0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ref="AD191" si="121">IF(LEN(A191)=6,"0"&amp;A191,A191)</f>
        <v>1831-15</v>
      </c>
      <c r="AE191" s="91" t="str">
        <f t="shared" ref="AE191" si="122"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AF191" s="88" t="str">
        <f t="shared" ref="AF191" si="123"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/stypes="app*4018*20161016*" /stext=" 03:.+((SYSTEM_STATE.+slice.+state.+changed )|(ment ac)|(system.+state.+changed )|(\[timeout)|(PRM\|1\|D)|(kpr)|(kdp)|(\|lc)|(penalty))" /e /r /s</v>
      </c>
      <c r="AG191" s="1" t="str">
        <f t="shared" ref="AG191" si="124">IFERROR(IF(VALUE(LEFT(AD191,2))&lt;=2,"EC",IF(OR(VALUE(LEFT(AD191,2))=8,VALUE(LEFT(AD191,2))=18),"NW","Other")),"Other")</f>
        <v>NW</v>
      </c>
      <c r="AH191" s="92" t="str">
        <f t="shared" ref="AH191" si="125">refinertdcruntimes&amp;" --tripid "&amp;A191&amp;" --locoid "&amp;B191&amp;" --swversion "&amp;C191&amp;" --startMP "&amp;D191&amp;" --initTime "&amp;TEXT(E191,"yyyy-mm-ddTHH:MM:SS")&amp;" --startdatetime "&amp;TEXT(F191,"yyyy-mm-ddTHH:MM:SS")&amp;" --delay "&amp;G191&amp;" --endMP "&amp;H191&amp;" --enddatetime "&amp;TEXT(I191,"yyyy-mm-ddTHH:MM:SS")&amp;" --enforcementcount "&amp;J191&amp;IF(outputrefinedruntimes," &gt;&gt;"&amp;RefinedRTDCRunTimesOutputFile,"")</f>
        <v>"%USERPROFILE%\Documents\GitHub\eaglep3\Utilities\RefineRTDCRunTimes.py" --tripid 1831-15 --locoid 4018 --swversion DE.1.0.7.0 --startMP 300:58653 --initTime 2016-10-15T20:36:32 --startdatetime 2016-10-15T21:11:55 --delay 1 --endMP 204:717 --enddatetime 2016-10-15T21:12:47 --enforcementcount 0 &gt;&gt;C:\Users\stu\Documents\GitHub\eaglep3-reporting\EC\2016-10-15-refined-times.txt</v>
      </c>
      <c r="AI191" s="122" t="str">
        <f t="shared" ref="AI191" si="126">"echo {""issue"":{""subject"":"""&amp;R191&amp;""",""project_id"":79,""tracker_id"":40,""status_id"":"&amp;redmine_status&amp;",""priority_id"":"&amp;redmine_priority&amp;",""assigned_to_id"":"&amp;redmine_assignee&amp;",""start_date"":"""&amp;TEXT(I191,"YYYY-mm-dd")&amp;""",""description"":"""&amp;AJ191&amp;""",""custom_fields"":[{""id"":1,""name"":""Subdivision"",""value"":"""&amp;AG191&amp;"""},{""id"":4,""name"":""Milepost"",""value"":"""&amp;Z191&amp;"""},{""id"":17,""name"":""Train ID"",""value"":"""&amp;A191&amp;"""},{""id"":16,""name"":""Locomotive ID"",""value"":"""&amp;B191&amp;"""},{""id"":130,""name"":""Impact"",""value"":"""&amp;AK191&amp;"""},{""id"":150,""name"":""Time of Event (Mountain Time)"",""value"":"""&amp;TEXT(I191,"hh:mm:ss")&amp;"""},{""id"":151,""name"":""Denver Issue ID"",""value"":"""&amp;"""},{""id"":178,""name"":""Operational Impact"",""value"":"""&amp;redmine_op_impact&amp;"""},{""id"":179,""name"":""Denver Segment Assigned"",""value"":"""&amp;AL191&amp;"""}]}}"&amp;" | curl -X POST -H ""Content-Type: application/json"" -H ""X-Redmine-API-Key: "&amp;redm_api_key&amp;""" "&amp;redm_url&amp;" --data @-"</f>
        <v>echo {"issue":{"subject":"All back-office virtual machines down from 10/15/2016 21:14:48 - 10/15/2016 23:00:00","project_id":79,"tracker_id":40,"status_id":1,"priority_id":2,"assigned_to_id":23,"start_date":"2016-10-15","description":"","custom_fields":[{"id":1,"name":"Subdivision","value":"NW"},{"id":4,"name":"Milepost","value":"0"},{"id":17,"name":"Train ID","value":"1831-15"},{"id":16,"name":"Locomotive ID","value":"4018"},{"id":130,"name":"Impact","value":""},{"id":150,"name":"Time of Event (Mountain Time)","value":"21:12:47"},{"id":151,"name":"Denver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763</v>
      </c>
      <c r="B192" s="7"/>
      <c r="C192" s="22" t="s">
        <v>99</v>
      </c>
      <c r="D192" s="22" t="s">
        <v>696</v>
      </c>
      <c r="E192" s="13">
        <v>42658.858703703707</v>
      </c>
      <c r="F192" s="13">
        <v>42658.885277777779</v>
      </c>
      <c r="G192" s="7"/>
      <c r="H192" s="13"/>
      <c r="I192" s="13">
        <v>42658.885277777779</v>
      </c>
      <c r="J192" s="7">
        <v>0</v>
      </c>
      <c r="K192" s="112" t="str">
        <f t="shared" ref="K192:K193" si="127">IF(ISEVEN(B192),(B192-1)&amp;"/"&amp;B192,B192&amp;"/"&amp;(B192+1))</f>
        <v>-1/</v>
      </c>
      <c r="L192" s="22" t="e">
        <f>VLOOKUP(A192,'Trips&amp;Operators'!$C$1:$E$10000,3,FALSE)</f>
        <v>#N/A</v>
      </c>
      <c r="M192" s="6">
        <f t="shared" ref="M192:M193" si="128">I192-F192</f>
        <v>0</v>
      </c>
      <c r="N192" s="7"/>
      <c r="O192" s="7"/>
      <c r="P192" s="7">
        <v>1</v>
      </c>
      <c r="Q192" s="23"/>
      <c r="R192" s="23" t="s">
        <v>759</v>
      </c>
      <c r="S192" s="35">
        <f t="shared" ref="S192:S193" si="129">SUM(U192:U192)/IF(AG192="EC",12,1)</f>
        <v>0</v>
      </c>
      <c r="T192" s="50" t="str">
        <f t="shared" ref="T192:T193" si="130">IF(ISEVEN(LEFT(AD192,4)),"Southbound","NorthBound")</f>
        <v>Southbound</v>
      </c>
      <c r="U192" s="144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98" t="str">
        <f t="shared" ref="V192:V193" si="131">"https://search-rtdc-monitor-bjffxe2xuh6vdkpspy63sjmuny.us-east-1.es.amazonaws.com/_plugin/kibana/#/discover/Steve-Slow-Train-Analysis-(2080s-and-2083s)?_g=(refreshInterval:(display:Off,section:0,value:0),time:(from:'"&amp;TEXT(E192-1/24,"yyyy-MM-DD hh:mm:ss")&amp;"-0600',mode:absolute,to:'"&amp;TEXT(I192+1/24,"yyyy-MM-DD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https://search-rtdc-monitor-bjffxe2xuh6vdkpspy63sjmuny.us-east-1.es.amazonaws.com/_plugin/kibana/#/discover/Steve-Slow-Train-Analysis-(2080s-and-2083s)?_g=(refreshInterval:(display:Off,section:0,value:0),time:(from:'2016-10-15 19:36:32-0600',mode:absolute,to:'2016-10-15 22:14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92" s="52" t="str">
        <f t="shared" ref="W192:W193" si="132">IF(AA192&lt;IF(AG192="EC",23,5.65),"Y","N")</f>
        <v>Y</v>
      </c>
      <c r="X192" s="149">
        <f t="shared" si="106"/>
        <v>1</v>
      </c>
      <c r="Y192" s="67">
        <v>0</v>
      </c>
      <c r="Z192" s="67">
        <v>0</v>
      </c>
      <c r="AA192" s="67">
        <f t="shared" ref="AA192:AA193" si="133">ABS(Z192-Y192)</f>
        <v>0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ref="AD192:AD193" si="134">IF(LEN(A192)=6,"0"&amp;A192,A192)</f>
        <v>1832-15</v>
      </c>
      <c r="AE192" s="91" t="str">
        <f t="shared" ref="AE192:AE193" si="135"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s3://rtdc.mdm.uploadarchive.raw/RTDC/ "%USERPROFILE%\AppData\Local\Temp\OnboardLogs"\RTDC\2016-10-15 --exclude "*" --recursive --include "*20161015*" &amp; "%USERPROFILE%\Documents\GitHub\mrs-test-scripts\Headless Mode &amp; Sideloading\WalkAndUnGZ.bat" "%USERPROFILE%\AppData\Local\Temp\OnboardLogs"\RTDC\2016-10-15 &amp; aws s3 cp s3://rtdc.mdm.uploadarchive.raw/RTDC/ "%USERPROFILE%\AppData\Local\Temp\OnboardLogs"\RTDC\2016-10-16 --exclude "*" --recursive --include "*20161016*" &amp; "%USERPROFILE%\Documents\GitHub\mrs-test-scripts\Headless Mode &amp; Sideloading\WalkAndUnGZ.bat" "%USERPROFILE%\AppData\Local\Temp\OnboardLogs"\RTDC\2016-10-16</v>
      </c>
      <c r="AF192" s="88" t="str">
        <f t="shared" ref="AF192:AF193" si="136"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/stypes="app**20161016*" /stext=" 03:.+((SYSTEM_STATE.+slice.+state.+changed )|(ment ac)|(system.+state.+changed )|(\[timeout)|(PRM\|1\|D)|(kpr)|(kdp)|(\|lc)|(penalty))" /e /r /s</v>
      </c>
      <c r="AG192" s="1" t="str">
        <f t="shared" ref="AG192:AG193" si="137">IFERROR(IF(VALUE(LEFT(AD192,2))&lt;=2,"EC",IF(OR(VALUE(LEFT(AD192,2))=8,VALUE(LEFT(AD192,2))=18),"NW","Other")),"Other")</f>
        <v>NW</v>
      </c>
      <c r="AH192" s="92" t="str">
        <f t="shared" ref="AH192:AH193" si="138">refinertdcruntimes&amp;" --tripid "&amp;A192&amp;" --locoid "&amp;B192&amp;" --swversion "&amp;C192&amp;" --startMP "&amp;D192&amp;" --initTime "&amp;TEXT(E192,"yyyy-mm-ddTHH:MM:SS")&amp;" --startdatetime "&amp;TEXT(F192,"yyyy-mm-ddTHH:MM:SS")&amp;" --delay "&amp;G192&amp;" --endMP "&amp;H192&amp;" --enddatetime "&amp;TEXT(I192,"yyyy-mm-ddTHH:MM:SS")&amp;" --enforcementcount "&amp;J192&amp;IF(outputrefinedruntimes," &gt;&gt;"&amp;RefinedRTDCRunTimesOutputFile,"")</f>
        <v>"%USERPROFILE%\Documents\GitHub\eaglep3\Utilities\RefineRTDCRunTimes.py" --tripid 1832-15 --locoid  --swversion DE.1.0.7.0 --startMP 300:58653 --initTime 2016-10-15T20:36:32 --startdatetime 2016-10-15T21:14:48 --delay  --endMP  --enddatetime 2016-10-15T21:14:48 --enforcementcount 0 &gt;&gt;C:\Users\stu\Documents\GitHub\eaglep3-reporting\EC\2016-10-15-refined-times.txt</v>
      </c>
      <c r="AI192" s="122" t="str">
        <f t="shared" ref="AI192:AI193" si="139">"echo {""issue"":{""subject"":"""&amp;R192&amp;""",""project_id"":79,""tracker_id"":40,""status_id"":"&amp;redmine_status&amp;",""priority_id"":"&amp;redmine_priority&amp;",""assigned_to_id"":"&amp;redmine_assignee&amp;",""start_date"":"""&amp;TEXT(I192,"YYYY-mm-dd")&amp;""",""description"":"""&amp;AJ192&amp;""",""custom_fields"":[{""id"":1,""name"":""Subdivision"",""value"":"""&amp;AG192&amp;"""},{""id"":4,""name"":""Milepost"",""value"":"""&amp;Z192&amp;"""},{""id"":17,""name"":""Train ID"",""value"":"""&amp;A192&amp;"""},{""id"":16,""name"":""Locomotive ID"",""value"":"""&amp;B192&amp;"""},{""id"":130,""name"":""Impact"",""value"":"""&amp;AK192&amp;"""},{""id"":150,""name"":""Time of Event (Mountain Time)"",""value"":"""&amp;TEXT(I192,"hh:mm:ss")&amp;"""},{""id"":151,""name"":""Denver Issue ID"",""value"":"""&amp;"""},{""id"":178,""name"":""Operational Impact"",""value"":"""&amp;redmine_op_impact&amp;"""},{""id"":179,""name"":""Denver Segment Assigned"",""value"":"""&amp;AL192&amp;"""}]}}"&amp;" | curl -X POST -H ""Content-Type: application/json"" -H ""X-Redmine-API-Key: "&amp;redm_api_key&amp;""" "&amp;redm_url&amp;" --data @-"</f>
        <v>echo {"issue":{"subject":"All back-office virtual machines down from 10/15/2016 21:14:48 - 10/15/2016 23:00:00","project_id":79,"tracker_id":40,"status_id":1,"priority_id":2,"assigned_to_id":23,"start_date":"2016-10-15","description":"","custom_fields":[{"id":1,"name":"Subdivision","value":"NW"},{"id":4,"name":"Milepost","value":"0"},{"id":17,"name":"Train ID","value":"1832-15"},{"id":16,"name":"Locomotive ID","value":""},{"id":130,"name":"Impact","value":""},{"id":150,"name":"Time of Event (Mountain Time)","value":"21:14:48"},{"id":151,"name":"Denver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764</v>
      </c>
      <c r="B193" s="7"/>
      <c r="C193" s="22" t="s">
        <v>99</v>
      </c>
      <c r="D193" s="22" t="s">
        <v>696</v>
      </c>
      <c r="E193" s="13">
        <v>42658.858703703707</v>
      </c>
      <c r="F193" s="13">
        <v>42658.885277777779</v>
      </c>
      <c r="G193" s="7"/>
      <c r="H193" s="13"/>
      <c r="I193" s="13">
        <v>42658.885277777779</v>
      </c>
      <c r="J193" s="7">
        <v>0</v>
      </c>
      <c r="K193" s="112" t="str">
        <f t="shared" si="127"/>
        <v>-1/</v>
      </c>
      <c r="L193" s="22" t="e">
        <f>VLOOKUP(A193,'Trips&amp;Operators'!$C$1:$E$10000,3,FALSE)</f>
        <v>#N/A</v>
      </c>
      <c r="M193" s="6">
        <f t="shared" si="128"/>
        <v>0</v>
      </c>
      <c r="N193" s="7"/>
      <c r="O193" s="7"/>
      <c r="P193" s="7">
        <v>1</v>
      </c>
      <c r="Q193" s="23"/>
      <c r="R193" s="23" t="s">
        <v>759</v>
      </c>
      <c r="S193" s="35">
        <f t="shared" si="129"/>
        <v>0</v>
      </c>
      <c r="T193" s="50" t="str">
        <f t="shared" si="130"/>
        <v>NorthBound</v>
      </c>
      <c r="U193" s="144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0</v>
      </c>
      <c r="V193" s="98" t="str">
        <f t="shared" si="131"/>
        <v>https://search-rtdc-monitor-bjffxe2xuh6vdkpspy63sjmuny.us-east-1.es.amazonaws.com/_plugin/kibana/#/discover/Steve-Slow-Train-Analysis-(2080s-and-2083s)?_g=(refreshInterval:(display:Off,section:0,value:0),time:(from:'2016-10-15 19:36:32-0600',mode:absolute,to:'2016-10-15 22:14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93" s="52" t="str">
        <f t="shared" si="132"/>
        <v>Y</v>
      </c>
      <c r="X193" s="149">
        <f t="shared" si="106"/>
        <v>1</v>
      </c>
      <c r="Y193" s="67">
        <v>0</v>
      </c>
      <c r="Z193" s="67">
        <v>0</v>
      </c>
      <c r="AA193" s="67">
        <f t="shared" si="133"/>
        <v>0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134"/>
        <v>1833-15</v>
      </c>
      <c r="AE193" s="91" t="str">
        <f t="shared" si="135"/>
        <v>aws s3 cp s3://rtdc.mdm.uploadarchive.raw/RTDC/ "%USERPROFILE%\AppData\Local\Temp\OnboardLogs"\RTDC\2016-10-15 --exclude "*" --recursive --include "*20161015*" &amp; "%USERPROFILE%\Documents\GitHub\mrs-test-scripts\Headless Mode &amp; Sideloading\WalkAndUnGZ.bat" "%USERPROFILE%\AppData\Local\Temp\OnboardLogs"\RTDC\2016-10-15 &amp; aws s3 cp s3://rtdc.mdm.uploadarchive.raw/RTDC/ "%USERPROFILE%\AppData\Local\Temp\OnboardLogs"\RTDC\2016-10-16 --exclude "*" --recursive --include "*20161016*" &amp; "%USERPROFILE%\Documents\GitHub\mrs-test-scripts\Headless Mode &amp; Sideloading\WalkAndUnGZ.bat" "%USERPROFILE%\AppData\Local\Temp\OnboardLogs"\RTDC\2016-10-16</v>
      </c>
      <c r="AF193" s="88" t="str">
        <f t="shared" si="136"/>
        <v>"C:\Program Files (x86)\AstroGrep\AstroGrep.exe" /spath="%USERPROFILE%\AppData\Local\Temp\OnboardLogs" /stypes="app**20161016*" /stext=" 03:.+((SYSTEM_STATE.+slice.+state.+changed )|(ment ac)|(system.+state.+changed )|(\[timeout)|(PRM\|1\|D)|(kpr)|(kdp)|(\|lc)|(penalty))" /e /r /s</v>
      </c>
      <c r="AG193" s="1" t="str">
        <f t="shared" si="137"/>
        <v>NW</v>
      </c>
      <c r="AH193" s="92" t="str">
        <f t="shared" si="138"/>
        <v>"%USERPROFILE%\Documents\GitHub\eaglep3\Utilities\RefineRTDCRunTimes.py" --tripid 1833-15 --locoid  --swversion DE.1.0.7.0 --startMP 300:58653 --initTime 2016-10-15T20:36:32 --startdatetime 2016-10-15T21:14:48 --delay  --endMP  --enddatetime 2016-10-15T21:14:48 --enforcementcount 0 &gt;&gt;C:\Users\stu\Documents\GitHub\eaglep3-reporting\EC\2016-10-15-refined-times.txt</v>
      </c>
      <c r="AI193" s="122" t="str">
        <f t="shared" si="139"/>
        <v>echo {"issue":{"subject":"All back-office virtual machines down from 10/15/2016 21:14:48 - 10/15/2016 23:00:00","project_id":79,"tracker_id":40,"status_id":1,"priority_id":2,"assigned_to_id":23,"start_date":"2016-10-15","description":"","custom_fields":[{"id":1,"name":"Subdivision","value":"NW"},{"id":4,"name":"Milepost","value":"0"},{"id":17,"name":"Train ID","value":"1833-15"},{"id":16,"name":"Locomotive ID","value":""},{"id":130,"name":"Impact","value":""},{"id":150,"name":"Time of Event (Mountain Time)","value":"21:14:48"},{"id":151,"name":"Denver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452</v>
      </c>
      <c r="B194" s="7">
        <v>4043</v>
      </c>
      <c r="C194" s="22" t="s">
        <v>99</v>
      </c>
      <c r="D194" s="22" t="s">
        <v>716</v>
      </c>
      <c r="E194" s="13">
        <v>42658.12059027778</v>
      </c>
      <c r="F194" s="13">
        <v>42658.122754629629</v>
      </c>
      <c r="G194" s="7">
        <v>2</v>
      </c>
      <c r="H194" s="13" t="s">
        <v>332</v>
      </c>
      <c r="I194" s="13">
        <v>42658.129027777781</v>
      </c>
      <c r="J194" s="7">
        <v>0</v>
      </c>
      <c r="K194" s="112" t="str">
        <f t="shared" si="99"/>
        <v>4043/4044</v>
      </c>
      <c r="L194" s="22" t="str">
        <f>VLOOKUP(A194,'Trips&amp;Operators'!$C$1:$E$10000,3,FALSE)</f>
        <v>MAELZER</v>
      </c>
      <c r="M194" s="6">
        <f t="shared" si="100"/>
        <v>6.2731481521041133E-3</v>
      </c>
      <c r="N194" s="7">
        <f t="shared" si="101"/>
        <v>9.0333333390299231</v>
      </c>
      <c r="O194" s="7"/>
      <c r="P194" s="7"/>
      <c r="Q194" s="23"/>
      <c r="R194" s="23"/>
      <c r="S194" s="35">
        <f t="shared" si="102"/>
        <v>1</v>
      </c>
      <c r="T194" s="50" t="str">
        <f t="shared" si="103"/>
        <v>Southbound</v>
      </c>
      <c r="U194" s="144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01:53:39-0600',mode:absolute,to:'2016-10-15 04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4" s="52" t="str">
        <f t="shared" si="105"/>
        <v>Y</v>
      </c>
      <c r="X194" s="149">
        <f t="shared" si="106"/>
        <v>-1531</v>
      </c>
      <c r="Y194" s="67">
        <f t="shared" si="107"/>
        <v>2.3271000000000002</v>
      </c>
      <c r="Z194" s="67">
        <f t="shared" si="108"/>
        <v>1.1900000000000001E-2</v>
      </c>
      <c r="AA194" s="67">
        <f t="shared" si="109"/>
        <v>2.3152000000000004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110"/>
        <v>0302-15</v>
      </c>
      <c r="AE194" s="91" t="str">
        <f t="shared" si="111"/>
        <v>aws s3 cp s3://rtdc.mdm.uploadarchive.raw/RTDC4043/ "%USERPROFILE%\AppData\Local\Temp\OnboardLogs"\RTDC4043\2016-10-15 --exclude "*" --recursive --include "*20161015*" &amp; "%USERPROFILE%\Documents\GitHub\mrs-test-scripts\Headless Mode &amp; Sideloading\WalkAndUnGZ.bat" "%USERPROFILE%\AppData\Local\Temp\OnboardLogs"\RTDC4043\2016-10-15 &amp; 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</v>
      </c>
      <c r="AF194" s="88" t="str">
        <f t="shared" si="112"/>
        <v>"C:\Program Files (x86)\AstroGrep\AstroGrep.exe" /spath="%USERPROFILE%\AppData\Local\Temp\OnboardLogs" /stypes="app*4043*20161015*" /stext=" 09:.+((SYSTEM_STATE.+slice.+state.+changed )|(ment ac)|(system.+state.+changed )|(\[timeout)|(PRM\|1\|D)|(kpr)|(kdp)|(\|lc)|(penalty))" /e /r /s</v>
      </c>
      <c r="AG194" s="1" t="str">
        <f t="shared" si="113"/>
        <v>Other</v>
      </c>
      <c r="AH194" s="92" t="str">
        <f t="shared" si="95"/>
        <v>"%USERPROFILE%\Documents\GitHub\eaglep3\Utilities\RefineRTDCRunTimes.py" --tripid 302-15 --locoid 4043 --swversion DE.1.0.7.0 --startMP 300:23271 --initTime 2016-10-15T02:53:39 --startdatetime 2016-10-15T02:56:46 --delay 2 --endMP 204:119 --enddatetime 2016-10-15T03:05:48 --enforcementcount 0 &gt;&gt;C:\Users\stu\Documents\GitHub\eaglep3-reporting\EC\2016-10-15-refined-times.txt</v>
      </c>
      <c r="AI194" s="122" t="str">
        <f t="shared" si="96"/>
        <v>echo {"issue":{"subject":"","project_id":79,"tracker_id":40,"status_id":1,"priority_id":2,"assigned_to_id":23,"start_date":"2016-10-15","description":"","custom_fields":[{"id":1,"name":"Subdivision","value":"Other"},{"id":4,"name":"Milepost","value":"0.0119"},{"id":17,"name":"Train ID","value":"302-15"},{"id":16,"name":"Locomotive ID","value":"4043"},{"id":130,"name":"Impact","value":""},{"id":150,"name":"Time of Event (Mountain Time)","value":"03:05:48"},{"id":151,"name":"Denver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s="21" customFormat="1" x14ac:dyDescent="0.25">
      <c r="A195" s="37" t="s">
        <v>454</v>
      </c>
      <c r="B195" s="7">
        <v>4037</v>
      </c>
      <c r="C195" s="22" t="s">
        <v>99</v>
      </c>
      <c r="D195" s="22" t="s">
        <v>717</v>
      </c>
      <c r="E195" s="13">
        <v>42658.149571759262</v>
      </c>
      <c r="F195" s="13">
        <v>42658.151643518519</v>
      </c>
      <c r="G195" s="7">
        <v>2</v>
      </c>
      <c r="H195" s="13" t="s">
        <v>634</v>
      </c>
      <c r="I195" s="13">
        <v>42658.156446759262</v>
      </c>
      <c r="J195" s="7">
        <v>0</v>
      </c>
      <c r="K195" s="112" t="str">
        <f t="shared" si="99"/>
        <v>4037/4038</v>
      </c>
      <c r="L195" s="22" t="str">
        <f>VLOOKUP(A195,'Trips&amp;Operators'!$C$1:$E$10000,3,FALSE)</f>
        <v>MALAVE</v>
      </c>
      <c r="M195" s="6">
        <f t="shared" si="100"/>
        <v>4.803240743058268E-3</v>
      </c>
      <c r="N195" s="7">
        <f t="shared" si="101"/>
        <v>6.9166666700039059</v>
      </c>
      <c r="O195" s="7"/>
      <c r="P195" s="7"/>
      <c r="Q195" s="23"/>
      <c r="R195" s="23"/>
      <c r="S195" s="35">
        <f t="shared" si="102"/>
        <v>1</v>
      </c>
      <c r="T195" s="50" t="str">
        <f t="shared" si="103"/>
        <v>Southbound</v>
      </c>
      <c r="U195" s="144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02:35:23-0600',mode:absolute,to:'2016-10-15 04:45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5" s="52" t="str">
        <f t="shared" si="105"/>
        <v>Y</v>
      </c>
      <c r="X195" s="149">
        <f t="shared" si="106"/>
        <v>2</v>
      </c>
      <c r="Y195" s="67">
        <f t="shared" si="107"/>
        <v>1.5271999999999999</v>
      </c>
      <c r="Z195" s="67">
        <f t="shared" si="108"/>
        <v>1.5599999999999999E-2</v>
      </c>
      <c r="AA195" s="67">
        <f t="shared" si="109"/>
        <v>1.5115999999999998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110"/>
        <v>0304-15</v>
      </c>
      <c r="AE195" s="91" t="str">
        <f t="shared" si="111"/>
        <v>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 &amp; aws s3 cp s3://rtdc.mdm.uploadarchive.raw/RTDC4037/ "%USERPROFILE%\AppData\Local\Temp\OnboardLogs"\RTDC4037\2016-10-16 --exclude "*" --recursive --include "*20161016*" &amp; "%USERPROFILE%\Documents\GitHub\mrs-test-scripts\Headless Mode &amp; Sideloading\WalkAndUnGZ.bat" "%USERPROFILE%\AppData\Local\Temp\OnboardLogs"\RTDC4037\2016-10-16</v>
      </c>
      <c r="AF195" s="88" t="str">
        <f t="shared" si="112"/>
        <v>"C:\Program Files (x86)\AstroGrep\AstroGrep.exe" /spath="%USERPROFILE%\AppData\Local\Temp\OnboardLogs" /stypes="app*4037*20161015*" /stext=" 09:.+((SYSTEM_STATE.+slice.+state.+changed )|(ment ac)|(system.+state.+changed )|(\[timeout)|(PRM\|1\|D)|(kpr)|(kdp)|(\|lc)|(penalty))" /e /r /s</v>
      </c>
      <c r="AG195" s="1" t="str">
        <f t="shared" si="113"/>
        <v>Other</v>
      </c>
      <c r="AH195" s="92" t="str">
        <f t="shared" si="95"/>
        <v>"%USERPROFILE%\Documents\GitHub\eaglep3\Utilities\RefineRTDCRunTimes.py" --tripid 304-15 --locoid 4037 --swversion DE.1.0.7.0 --startMP 300:15272 --initTime 2016-10-15T03:35:23 --startdatetime 2016-10-15T03:38:22 --delay 2 --endMP 204:156 --enddatetime 2016-10-15T03:45:17 --enforcementcount 0 &gt;&gt;C:\Users\stu\Documents\GitHub\eaglep3-reporting\EC\2016-10-15-refined-times.txt</v>
      </c>
      <c r="AI195" s="122" t="str">
        <f t="shared" si="96"/>
        <v>echo {"issue":{"subject":"","project_id":79,"tracker_id":40,"status_id":1,"priority_id":2,"assigned_to_id":23,"start_date":"2016-10-15","description":"","custom_fields":[{"id":1,"name":"Subdivision","value":"Other"},{"id":4,"name":"Milepost","value":"0.0156"},{"id":17,"name":"Train ID","value":"304-15"},{"id":16,"name":"Locomotive ID","value":"4037"},{"id":130,"name":"Impact","value":""},{"id":150,"name":"Time of Event (Mountain Time)","value":"03:45:17"},{"id":151,"name":"Denver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599</v>
      </c>
      <c r="B196" s="7">
        <v>4044</v>
      </c>
      <c r="C196" s="22" t="s">
        <v>99</v>
      </c>
      <c r="D196" s="22" t="s">
        <v>650</v>
      </c>
      <c r="E196" s="13">
        <v>42658.799108796295</v>
      </c>
      <c r="F196" s="13">
        <v>42658.801805555559</v>
      </c>
      <c r="G196" s="7">
        <v>1</v>
      </c>
      <c r="H196" s="13" t="s">
        <v>718</v>
      </c>
      <c r="I196" s="13">
        <v>42658.807719907411</v>
      </c>
      <c r="J196" s="7">
        <v>0</v>
      </c>
      <c r="K196" s="112" t="str">
        <f t="shared" si="99"/>
        <v>4043/4044</v>
      </c>
      <c r="L196" s="22" t="str">
        <f>VLOOKUP(A196,'Trips&amp;Operators'!$C$1:$E$10000,3,FALSE)</f>
        <v>CLARK</v>
      </c>
      <c r="M196" s="6">
        <f t="shared" si="100"/>
        <v>5.914351851970423E-3</v>
      </c>
      <c r="N196" s="7">
        <f t="shared" si="101"/>
        <v>8.5166666668374091</v>
      </c>
      <c r="O196" s="7"/>
      <c r="P196" s="7"/>
      <c r="Q196" s="23"/>
      <c r="R196" s="23"/>
      <c r="S196" s="35">
        <f t="shared" si="102"/>
        <v>1</v>
      </c>
      <c r="T196" s="50" t="str">
        <f t="shared" si="103"/>
        <v>NorthBound</v>
      </c>
      <c r="U196" s="144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18:10:43-0600',mode:absolute,to:'2016-10-15 20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6" s="52" t="str">
        <f t="shared" si="105"/>
        <v>Y</v>
      </c>
      <c r="X196" s="149">
        <f t="shared" si="106"/>
        <v>1</v>
      </c>
      <c r="Y196" s="67">
        <f t="shared" si="107"/>
        <v>4.7300000000000002E-2</v>
      </c>
      <c r="Z196" s="67">
        <f t="shared" si="108"/>
        <v>2.2835000000000001</v>
      </c>
      <c r="AA196" s="67">
        <f t="shared" si="109"/>
        <v>2.2362000000000002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110"/>
        <v>0305-15</v>
      </c>
      <c r="AE196" s="91" t="str">
        <f t="shared" si="111"/>
        <v>aws s3 cp s3://rtdc.mdm.uploadarchive.raw/RTDC4044/ "%USERPROFILE%\AppData\Local\Temp\OnboardLogs"\RTDC4044\2016-10-15 --exclude "*" --recursive --include "*20161015*" &amp; "%USERPROFILE%\Documents\GitHub\mrs-test-scripts\Headless Mode &amp; Sideloading\WalkAndUnGZ.bat" "%USERPROFILE%\AppData\Local\Temp\OnboardLogs"\RTDC4044\2016-10-15 &amp; 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</v>
      </c>
      <c r="AF196" s="88" t="str">
        <f t="shared" si="112"/>
        <v>"C:\Program Files (x86)\AstroGrep\AstroGrep.exe" /spath="%USERPROFILE%\AppData\Local\Temp\OnboardLogs" /stypes="app*4044*20161016*" /stext=" 01:.+((SYSTEM_STATE.+slice.+state.+changed )|(ment ac)|(system.+state.+changed )|(\[timeout)|(PRM\|1\|D)|(kpr)|(kdp)|(\|lc)|(penalty))" /e /r /s</v>
      </c>
      <c r="AG196" s="1" t="str">
        <f t="shared" si="113"/>
        <v>Other</v>
      </c>
      <c r="AH196" s="92" t="str">
        <f t="shared" si="95"/>
        <v>"%USERPROFILE%\Documents\GitHub\eaglep3\Utilities\RefineRTDCRunTimes.py" --tripid 305-15 --locoid 4044 --swversion DE.1.0.7.0 --startMP 204:473 --initTime 2016-10-15T19:10:43 --startdatetime 2016-10-15T19:14:36 --delay 1 --endMP 300:22835 --enddatetime 2016-10-15T19:23:07 --enforcementcount 0 &gt;&gt;C:\Users\stu\Documents\GitHub\eaglep3-reporting\EC\2016-10-15-refined-times.txt</v>
      </c>
      <c r="AI196" s="122" t="str">
        <f t="shared" si="96"/>
        <v>echo {"issue":{"subject":"","project_id":79,"tracker_id":40,"status_id":1,"priority_id":2,"assigned_to_id":23,"start_date":"2016-10-15","description":"","custom_fields":[{"id":1,"name":"Subdivision","value":"Other"},{"id":4,"name":"Milepost","value":"2.2835"},{"id":17,"name":"Train ID","value":"305-15"},{"id":16,"name":"Locomotive ID","value":"4044"},{"id":130,"name":"Impact","value":""},{"id":150,"name":"Time of Event (Mountain Time)","value":"19:23:07"},{"id":151,"name":"Denver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456</v>
      </c>
      <c r="B197" s="7">
        <v>4017</v>
      </c>
      <c r="C197" s="22" t="s">
        <v>99</v>
      </c>
      <c r="D197" s="22" t="s">
        <v>719</v>
      </c>
      <c r="E197" s="13">
        <v>42658.159131944441</v>
      </c>
      <c r="F197" s="13">
        <v>42658.160601851851</v>
      </c>
      <c r="G197" s="7">
        <v>1</v>
      </c>
      <c r="H197" s="13" t="s">
        <v>720</v>
      </c>
      <c r="I197" s="13">
        <v>42658.167037037034</v>
      </c>
      <c r="J197" s="7">
        <v>0</v>
      </c>
      <c r="K197" s="112" t="str">
        <f t="shared" si="99"/>
        <v>4017/4018</v>
      </c>
      <c r="L197" s="22" t="str">
        <f>VLOOKUP(A197,'Trips&amp;Operators'!$C$1:$E$10000,3,FALSE)</f>
        <v>SANTIZO</v>
      </c>
      <c r="M197" s="6">
        <f t="shared" si="100"/>
        <v>6.435185183363501E-3</v>
      </c>
      <c r="N197" s="7">
        <f t="shared" si="101"/>
        <v>9.2666666640434414</v>
      </c>
      <c r="O197" s="7"/>
      <c r="P197" s="7"/>
      <c r="Q197" s="23"/>
      <c r="R197" s="23"/>
      <c r="S197" s="35">
        <f t="shared" si="102"/>
        <v>1</v>
      </c>
      <c r="T197" s="50" t="str">
        <f t="shared" si="103"/>
        <v>Southbound</v>
      </c>
      <c r="U197" s="144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02:49:09-0600',mode:absolute,to:'2016-10-15 05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7" s="52" t="str">
        <f t="shared" si="105"/>
        <v>Y</v>
      </c>
      <c r="X197" s="149">
        <f t="shared" si="106"/>
        <v>1</v>
      </c>
      <c r="Y197" s="67">
        <f t="shared" si="107"/>
        <v>2.1295000000000002</v>
      </c>
      <c r="Z197" s="67">
        <f t="shared" si="108"/>
        <v>1.0699999999999999E-2</v>
      </c>
      <c r="AA197" s="67">
        <f t="shared" si="109"/>
        <v>2.1188000000000002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110"/>
        <v>0306-15</v>
      </c>
      <c r="AE197" s="91" t="str">
        <f t="shared" si="111"/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AF197" s="88" t="str">
        <f t="shared" si="112"/>
        <v>"C:\Program Files (x86)\AstroGrep\AstroGrep.exe" /spath="%USERPROFILE%\AppData\Local\Temp\OnboardLogs" /stypes="app*4017*20161015*" /stext=" 10:.+((SYSTEM_STATE.+slice.+state.+changed )|(ment ac)|(system.+state.+changed )|(\[timeout)|(PRM\|1\|D)|(kpr)|(kdp)|(\|lc)|(penalty))" /e /r /s</v>
      </c>
      <c r="AG197" s="1" t="str">
        <f t="shared" si="113"/>
        <v>Other</v>
      </c>
      <c r="AH197" s="92" t="str">
        <f t="shared" si="95"/>
        <v>"%USERPROFILE%\Documents\GitHub\eaglep3\Utilities\RefineRTDCRunTimes.py" --tripid 306-15 --locoid 4017 --swversion DE.1.0.7.0 --startMP 300:21295 --initTime 2016-10-15T03:49:09 --startdatetime 2016-10-15T03:51:16 --delay 1 --endMP 204:107 --enddatetime 2016-10-15T04:00:32 --enforcementcount 0 &gt;&gt;C:\Users\stu\Documents\GitHub\eaglep3-reporting\EC\2016-10-15-refined-times.txt</v>
      </c>
      <c r="AI197" s="122" t="str">
        <f t="shared" si="96"/>
        <v>echo {"issue":{"subject":"","project_id":79,"tracker_id":40,"status_id":1,"priority_id":2,"assigned_to_id":23,"start_date":"2016-10-15","description":"","custom_fields":[{"id":1,"name":"Subdivision","value":"Other"},{"id":4,"name":"Milepost","value":"0.0107"},{"id":17,"name":"Train ID","value":"306-15"},{"id":16,"name":"Locomotive ID","value":"4017"},{"id":130,"name":"Impact","value":""},{"id":150,"name":"Time of Event (Mountain Time)","value":"04:00:32"},{"id":151,"name":"Denver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603</v>
      </c>
      <c r="B198" s="7">
        <v>4038</v>
      </c>
      <c r="C198" s="22" t="s">
        <v>99</v>
      </c>
      <c r="D198" s="22" t="s">
        <v>284</v>
      </c>
      <c r="E198" s="13">
        <v>42658.821226851855</v>
      </c>
      <c r="F198" s="13">
        <v>25568.708333333332</v>
      </c>
      <c r="G198" s="7">
        <v>1</v>
      </c>
      <c r="H198" s="13" t="s">
        <v>721</v>
      </c>
      <c r="I198" s="13">
        <v>25568.708333333332</v>
      </c>
      <c r="J198" s="7">
        <v>0</v>
      </c>
      <c r="K198" s="112" t="str">
        <f t="shared" si="99"/>
        <v>4037/4038</v>
      </c>
      <c r="L198" s="22" t="str">
        <f>VLOOKUP(A198,'Trips&amp;Operators'!$C$1:$E$10000,3,FALSE)</f>
        <v>STORY</v>
      </c>
      <c r="M198" s="6">
        <f t="shared" si="100"/>
        <v>0</v>
      </c>
      <c r="N198" s="7">
        <f t="shared" si="101"/>
        <v>0</v>
      </c>
      <c r="O198" s="7"/>
      <c r="P198" s="7"/>
      <c r="Q198" s="23"/>
      <c r="R198" s="23"/>
      <c r="S198" s="35">
        <f t="shared" si="102"/>
        <v>1</v>
      </c>
      <c r="T198" s="50" t="str">
        <f t="shared" si="103"/>
        <v>NorthBound</v>
      </c>
      <c r="U198" s="144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18:42:34-0600',mode:absolute,to:'1969-12-31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8" s="52" t="str">
        <f t="shared" si="105"/>
        <v>Y</v>
      </c>
      <c r="X198" s="149">
        <f t="shared" si="106"/>
        <v>1</v>
      </c>
      <c r="Y198" s="67">
        <f t="shared" si="107"/>
        <v>4.82E-2</v>
      </c>
      <c r="Z198" s="67">
        <f t="shared" si="108"/>
        <v>2.3306</v>
      </c>
      <c r="AA198" s="67">
        <f t="shared" si="109"/>
        <v>2.2824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110"/>
        <v>0307-15</v>
      </c>
      <c r="AE198" s="91" t="str">
        <f t="shared" si="111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198" s="88" t="str">
        <f t="shared" si="112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198" s="1" t="str">
        <f t="shared" si="113"/>
        <v>Other</v>
      </c>
      <c r="AH198" s="92" t="str">
        <f t="shared" si="95"/>
        <v>"%USERPROFILE%\Documents\GitHub\eaglep3\Utilities\RefineRTDCRunTimes.py" --tripid 307-15 --locoid 4038 --swversion DE.1.0.7.0 --startMP 204:482 --initTime 2016-10-15T19:42:34 --startdatetime 1969-12-31T17:00:00 --delay 1 --endMP 300:23306 --enddatetime 1969-12-31T17:00:00 --enforcementcount 0 &gt;&gt;C:\Users\stu\Documents\GitHub\eaglep3-reporting\EC\2016-10-15-refined-times.txt</v>
      </c>
      <c r="AI198" s="122" t="str">
        <f t="shared" si="96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ID","value":"307-15"},{"id":16,"name":"Locomotive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426</v>
      </c>
      <c r="B199" s="7">
        <v>4015</v>
      </c>
      <c r="C199" s="22" t="s">
        <v>99</v>
      </c>
      <c r="D199" s="22" t="s">
        <v>722</v>
      </c>
      <c r="E199" s="13">
        <v>42658.1721412037</v>
      </c>
      <c r="F199" s="13">
        <v>42658.173657407409</v>
      </c>
      <c r="G199" s="7">
        <v>1</v>
      </c>
      <c r="H199" s="13" t="s">
        <v>249</v>
      </c>
      <c r="I199" s="13">
        <v>42658.181006944447</v>
      </c>
      <c r="J199" s="7">
        <v>0</v>
      </c>
      <c r="K199" s="112" t="str">
        <f t="shared" si="99"/>
        <v>4015/4016</v>
      </c>
      <c r="L199" s="22" t="str">
        <f>VLOOKUP(A199,'Trips&amp;Operators'!$C$1:$E$10000,3,FALSE)</f>
        <v>DAVIS</v>
      </c>
      <c r="M199" s="6">
        <f t="shared" si="100"/>
        <v>7.3495370379532687E-3</v>
      </c>
      <c r="N199" s="7">
        <f t="shared" si="101"/>
        <v>10.583333334652707</v>
      </c>
      <c r="O199" s="7"/>
      <c r="P199" s="7"/>
      <c r="Q199" s="23"/>
      <c r="R199" s="23"/>
      <c r="S199" s="35">
        <f t="shared" si="102"/>
        <v>1</v>
      </c>
      <c r="T199" s="50" t="str">
        <f t="shared" si="103"/>
        <v>Southbound</v>
      </c>
      <c r="U199" s="144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03:07:53-0600',mode:absolute,to:'2016-10-15 05:20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99" s="52" t="str">
        <f t="shared" si="105"/>
        <v>Y</v>
      </c>
      <c r="X199" s="149">
        <f t="shared" si="106"/>
        <v>1</v>
      </c>
      <c r="Y199" s="67">
        <f t="shared" si="107"/>
        <v>2.3313000000000001</v>
      </c>
      <c r="Z199" s="67">
        <f t="shared" si="108"/>
        <v>1.4999999999999999E-2</v>
      </c>
      <c r="AA199" s="67">
        <f t="shared" si="109"/>
        <v>2.3163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110"/>
        <v>0308-15</v>
      </c>
      <c r="AE199" s="91" t="str">
        <f t="shared" si="111"/>
        <v>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 &amp; aws s3 cp s3://rtdc.mdm.uploadarchive.raw/RTDC4015/ "%USERPROFILE%\AppData\Local\Temp\OnboardLogs"\RTDC4015\2016-10-16 --exclude "*" --recursive --include "*20161016*" &amp; "%USERPROFILE%\Documents\GitHub\mrs-test-scripts\Headless Mode &amp; Sideloading\WalkAndUnGZ.bat" "%USERPROFILE%\AppData\Local\Temp\OnboardLogs"\RTDC4015\2016-10-16</v>
      </c>
      <c r="AF199" s="88" t="str">
        <f t="shared" si="112"/>
        <v>"C:\Program Files (x86)\AstroGrep\AstroGrep.exe" /spath="%USERPROFILE%\AppData\Local\Temp\OnboardLogs" /stypes="app*4015*20161015*" /stext=" 10:.+((SYSTEM_STATE.+slice.+state.+changed )|(ment ac)|(system.+state.+changed )|(\[timeout)|(PRM\|1\|D)|(kpr)|(kdp)|(\|lc)|(penalty))" /e /r /s</v>
      </c>
      <c r="AG199" s="1" t="str">
        <f t="shared" si="113"/>
        <v>Other</v>
      </c>
      <c r="AH199" s="92" t="str">
        <f t="shared" si="95"/>
        <v>"%USERPROFILE%\Documents\GitHub\eaglep3\Utilities\RefineRTDCRunTimes.py" --tripid 308-15 --locoid 4015 --swversion DE.1.0.7.0 --startMP 300:23313 --initTime 2016-10-15T04:07:53 --startdatetime 2016-10-15T04:10:04 --delay 1 --endMP 204:150 --enddatetime 2016-10-15T04:20:39 --enforcementcount 0 &gt;&gt;C:\Users\stu\Documents\GitHub\eaglep3-reporting\EC\2016-10-15-refined-times.txt</v>
      </c>
      <c r="AI199" s="122" t="str">
        <f t="shared" si="96"/>
        <v>echo {"issue":{"subject":"","project_id":79,"tracker_id":40,"status_id":1,"priority_id":2,"assigned_to_id":23,"start_date":"2016-10-15","description":"","custom_fields":[{"id":1,"name":"Subdivision","value":"Other"},{"id":4,"name":"Milepost","value":"0.015"},{"id":17,"name":"Train ID","value":"308-15"},{"id":16,"name":"Locomotive ID","value":"4015"},{"id":130,"name":"Impact","value":""},{"id":150,"name":"Time of Event (Mountain Time)","value":"04:20:39"},{"id":151,"name":"Denver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459</v>
      </c>
      <c r="B200" s="7">
        <v>4012</v>
      </c>
      <c r="C200" s="22" t="s">
        <v>99</v>
      </c>
      <c r="D200" s="22" t="s">
        <v>723</v>
      </c>
      <c r="E200" s="13">
        <v>42658.176736111112</v>
      </c>
      <c r="F200" s="13">
        <v>42658.178043981483</v>
      </c>
      <c r="G200" s="7">
        <v>1</v>
      </c>
      <c r="H200" s="13" t="s">
        <v>634</v>
      </c>
      <c r="I200" s="13">
        <v>42658.184571759259</v>
      </c>
      <c r="J200" s="7">
        <v>0</v>
      </c>
      <c r="K200" s="112" t="str">
        <f t="shared" si="99"/>
        <v>4011/4012</v>
      </c>
      <c r="L200" s="22" t="str">
        <f>VLOOKUP(A200,'Trips&amp;Operators'!$C$1:$E$10000,3,FALSE)</f>
        <v>KILLION</v>
      </c>
      <c r="M200" s="6">
        <f t="shared" si="100"/>
        <v>6.5277777757728472E-3</v>
      </c>
      <c r="N200" s="7">
        <f t="shared" si="101"/>
        <v>9.3999999971129</v>
      </c>
      <c r="O200" s="7"/>
      <c r="P200" s="7"/>
      <c r="Q200" s="23"/>
      <c r="R200" s="23"/>
      <c r="S200" s="35">
        <f t="shared" si="102"/>
        <v>1</v>
      </c>
      <c r="T200" s="50" t="str">
        <f t="shared" si="103"/>
        <v>Southbound</v>
      </c>
      <c r="U200" s="144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03:14:30-0600',mode:absolute,to:'2016-10-15 05:25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0" s="52" t="str">
        <f t="shared" si="105"/>
        <v>Y</v>
      </c>
      <c r="X200" s="149">
        <f t="shared" si="106"/>
        <v>2</v>
      </c>
      <c r="Y200" s="67">
        <f t="shared" si="107"/>
        <v>2.3191999999999999</v>
      </c>
      <c r="Z200" s="67">
        <f t="shared" si="108"/>
        <v>1.5599999999999999E-2</v>
      </c>
      <c r="AA200" s="67">
        <f t="shared" si="109"/>
        <v>2.3035999999999999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110"/>
        <v>0310-15</v>
      </c>
      <c r="AE200" s="91" t="str">
        <f t="shared" si="111"/>
        <v>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 &amp; aws s3 cp s3://rtdc.mdm.uploadarchive.raw/RTDC4012/ "%USERPROFILE%\AppData\Local\Temp\OnboardLogs"\RTDC4012\2016-10-16 --exclude "*" --recursive --include "*20161016*" &amp; "%USERPROFILE%\Documents\GitHub\mrs-test-scripts\Headless Mode &amp; Sideloading\WalkAndUnGZ.bat" "%USERPROFILE%\AppData\Local\Temp\OnboardLogs"\RTDC4012\2016-10-16</v>
      </c>
      <c r="AF200" s="88" t="str">
        <f t="shared" si="112"/>
        <v>"C:\Program Files (x86)\AstroGrep\AstroGrep.exe" /spath="%USERPROFILE%\AppData\Local\Temp\OnboardLogs" /stypes="app*4012*20161015*" /stext=" 10:.+((SYSTEM_STATE.+slice.+state.+changed )|(ment ac)|(system.+state.+changed )|(\[timeout)|(PRM\|1\|D)|(kpr)|(kdp)|(\|lc)|(penalty))" /e /r /s</v>
      </c>
      <c r="AG200" s="1" t="str">
        <f t="shared" si="113"/>
        <v>Other</v>
      </c>
      <c r="AH200" s="92" t="str">
        <f t="shared" si="95"/>
        <v>"%USERPROFILE%\Documents\GitHub\eaglep3\Utilities\RefineRTDCRunTimes.py" --tripid 310-15 --locoid 4012 --swversion DE.1.0.7.0 --startMP 300:23192 --initTime 2016-10-15T04:14:30 --startdatetime 2016-10-15T04:16:23 --delay 1 --endMP 204:156 --enddatetime 2016-10-15T04:25:47 --enforcementcount 0 &gt;&gt;C:\Users\stu\Documents\GitHub\eaglep3-reporting\EC\2016-10-15-refined-times.txt</v>
      </c>
      <c r="AI200" s="122" t="str">
        <f t="shared" si="96"/>
        <v>echo {"issue":{"subject":"","project_id":79,"tracker_id":40,"status_id":1,"priority_id":2,"assigned_to_id":23,"start_date":"2016-10-15","description":"","custom_fields":[{"id":1,"name":"Subdivision","value":"Other"},{"id":4,"name":"Milepost","value":"0.0156"},{"id":17,"name":"Train ID","value":"310-15"},{"id":16,"name":"Locomotive ID","value":"4012"},{"id":130,"name":"Impact","value":""},{"id":150,"name":"Time of Event (Mountain Time)","value":"04:25:47"},{"id":151,"name":"Denver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623</v>
      </c>
      <c r="B201" s="7">
        <v>4003</v>
      </c>
      <c r="C201" s="22" t="s">
        <v>99</v>
      </c>
      <c r="D201" s="22" t="s">
        <v>724</v>
      </c>
      <c r="E201" s="13">
        <v>42659.074282407404</v>
      </c>
      <c r="F201" s="13">
        <v>42659.075636574074</v>
      </c>
      <c r="G201" s="7">
        <v>1</v>
      </c>
      <c r="H201" s="13" t="s">
        <v>725</v>
      </c>
      <c r="I201" s="13">
        <v>42659.075775462959</v>
      </c>
      <c r="J201" s="7">
        <v>0</v>
      </c>
      <c r="K201" s="112" t="str">
        <f t="shared" si="99"/>
        <v>4003/4004</v>
      </c>
      <c r="L201" s="22" t="str">
        <f>VLOOKUP(A201,'Trips&amp;Operators'!$C$1:$E$10000,3,FALSE)</f>
        <v>CHANDLER</v>
      </c>
      <c r="M201" s="6">
        <f t="shared" si="100"/>
        <v>1.3888888497604057E-4</v>
      </c>
      <c r="N201" s="7">
        <f t="shared" si="101"/>
        <v>0.19999999436549842</v>
      </c>
      <c r="O201" s="7"/>
      <c r="P201" s="7"/>
      <c r="Q201" s="23"/>
      <c r="R201" s="23"/>
      <c r="S201" s="35">
        <f t="shared" si="102"/>
        <v>0</v>
      </c>
      <c r="T201" s="50" t="str">
        <f t="shared" si="103"/>
        <v>NorthBound</v>
      </c>
      <c r="U201" s="144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https://search-rtdc-monitor-bjffxe2xuh6vdkpspy63sjmuny.us-east-1.es.amazonaws.com/_plugin/kibana/#/discover/Steve-Slow-Train-Analysis-(2080s-and-2083s)?_g=(refreshInterval:(display:Off,section:0,value:0),time:(from:'2016-10-16 00:46:58-0600',mode:absolute,to:'2016-10-16 02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1" s="52" t="str">
        <f t="shared" si="105"/>
        <v>Y</v>
      </c>
      <c r="X201" s="149">
        <f t="shared" si="106"/>
        <v>1</v>
      </c>
      <c r="Y201" s="67">
        <f t="shared" si="107"/>
        <v>0.15160000000000001</v>
      </c>
      <c r="Z201" s="67">
        <f t="shared" si="108"/>
        <v>0.186</v>
      </c>
      <c r="AA201" s="67">
        <f t="shared" si="109"/>
        <v>3.4399999999999986E-2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110"/>
        <v>0311-15</v>
      </c>
      <c r="AE201" s="91" t="str">
        <f t="shared" si="111"/>
        <v>aws s3 cp s3://rtdc.mdm.uploadarchive.raw/RTDC4003/ "%USERPROFILE%\AppData\Local\Temp\OnboardLogs"\RTDC4003\2016-10-16 --exclude "*" --recursive --include "*20161016*" &amp; "%USERPROFILE%\Documents\GitHub\mrs-test-scripts\Headless Mode &amp; Sideloading\WalkAndUnGZ.bat" "%USERPROFILE%\AppData\Local\Temp\OnboardLogs"\RTDC4003\2016-10-16 &amp; aws s3 cp s3://rtdc.mdm.uploadarchive.raw/RTDC4003/ "%USERPROFILE%\AppData\Local\Temp\OnboardLogs"\RTDC4003\2016-10-17 --exclude "*" --recursive --include "*20161017*" &amp; "%USERPROFILE%\Documents\GitHub\mrs-test-scripts\Headless Mode &amp; Sideloading\WalkAndUnGZ.bat" "%USERPROFILE%\AppData\Local\Temp\OnboardLogs"\RTDC4003\2016-10-17</v>
      </c>
      <c r="AF201" s="88" t="str">
        <f t="shared" si="112"/>
        <v>"C:\Program Files (x86)\AstroGrep\AstroGrep.exe" /spath="%USERPROFILE%\AppData\Local\Temp\OnboardLogs" /stypes="app*4003*20161016*" /stext=" 07:.+((SYSTEM_STATE.+slice.+state.+changed )|(ment ac)|(system.+state.+changed )|(\[timeout)|(PRM\|1\|D)|(kpr)|(kdp)|(\|lc)|(penalty))" /e /r /s</v>
      </c>
      <c r="AG201" s="1" t="str">
        <f t="shared" si="113"/>
        <v>Other</v>
      </c>
      <c r="AH201" s="92" t="str">
        <f t="shared" si="95"/>
        <v>"%USERPROFILE%\Documents\GitHub\eaglep3\Utilities\RefineRTDCRunTimes.py" --tripid 311-15 --locoid 4003 --swversion DE.1.0.7.0 --startMP 204:1516 --initTime 2016-10-16T01:46:58 --startdatetime 2016-10-16T01:48:55 --delay 1 --endMP 204:1860 --enddatetime 2016-10-16T01:49:07 --enforcementcount 0 &gt;&gt;C:\Users\stu\Documents\GitHub\eaglep3-reporting\EC\2016-10-15-refined-times.txt</v>
      </c>
      <c r="AI201" s="122" t="str">
        <f t="shared" si="96"/>
        <v>echo {"issue":{"subject":"","project_id":79,"tracker_id":40,"status_id":1,"priority_id":2,"assigned_to_id":23,"start_date":"2016-10-16","description":"","custom_fields":[{"id":1,"name":"Subdivision","value":"Other"},{"id":4,"name":"Milepost","value":"0.186"},{"id":17,"name":"Train ID","value":"311-15"},{"id":16,"name":"Locomotive ID","value":"4003"},{"id":130,"name":"Impact","value":""},{"id":150,"name":"Time of Event (Mountain Time)","value":"01:49:07"},{"id":151,"name":"Denver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391</v>
      </c>
      <c r="B202" s="7">
        <v>4031</v>
      </c>
      <c r="C202" s="22" t="s">
        <v>99</v>
      </c>
      <c r="D202" s="22" t="s">
        <v>267</v>
      </c>
      <c r="E202" s="13">
        <v>42658.091365740744</v>
      </c>
      <c r="F202" s="13">
        <v>42658.093576388892</v>
      </c>
      <c r="G202" s="7">
        <v>2</v>
      </c>
      <c r="H202" s="13" t="s">
        <v>413</v>
      </c>
      <c r="I202" s="13">
        <v>42658.100011574075</v>
      </c>
      <c r="J202" s="7">
        <v>0</v>
      </c>
      <c r="K202" s="112" t="str">
        <f t="shared" si="99"/>
        <v>4031/4032</v>
      </c>
      <c r="L202" s="22" t="str">
        <f>VLOOKUP(A202,'Trips&amp;Operators'!$C$1:$E$10000,3,FALSE)</f>
        <v>STURGEON</v>
      </c>
      <c r="M202" s="6">
        <f t="shared" si="100"/>
        <v>6.435185183363501E-3</v>
      </c>
      <c r="N202" s="7">
        <f t="shared" si="101"/>
        <v>9.2666666640434414</v>
      </c>
      <c r="O202" s="7"/>
      <c r="P202" s="7"/>
      <c r="Q202" s="23"/>
      <c r="R202" s="23"/>
      <c r="S202" s="35">
        <f t="shared" si="102"/>
        <v>1</v>
      </c>
      <c r="T202" s="50" t="str">
        <f t="shared" si="103"/>
        <v>NorthBound</v>
      </c>
      <c r="U202" s="144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01:11:34-0600',mode:absolute,to:'2016-10-15 03:24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2" s="52" t="str">
        <f t="shared" si="105"/>
        <v>Y</v>
      </c>
      <c r="X202" s="149">
        <f t="shared" si="106"/>
        <v>2</v>
      </c>
      <c r="Y202" s="67">
        <f t="shared" si="107"/>
        <v>4.6600000000000003E-2</v>
      </c>
      <c r="Z202" s="67">
        <f t="shared" si="108"/>
        <v>2.3311999999999999</v>
      </c>
      <c r="AA202" s="67">
        <f t="shared" si="109"/>
        <v>2.2845999999999997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110"/>
        <v>0313-14</v>
      </c>
      <c r="AE202" s="91" t="str">
        <f t="shared" si="111"/>
        <v>aws s3 cp s3://rtdc.mdm.uploadarchive.raw/RTDC4031/ "%USERPROFILE%\AppData\Local\Temp\OnboardLogs"\RTDC4031\2016-10-15 --exclude "*" --recursive --include "*20161015*" &amp; "%USERPROFILE%\Documents\GitHub\mrs-test-scripts\Headless Mode &amp; Sideloading\WalkAndUnGZ.bat" "%USERPROFILE%\AppData\Local\Temp\OnboardLogs"\RTDC4031\2016-10-15 &amp; aws s3 cp s3://rtdc.mdm.uploadarchive.raw/RTDC4031/ "%USERPROFILE%\AppData\Local\Temp\OnboardLogs"\RTDC4031\2016-10-16 --exclude "*" --recursive --include "*20161016*" &amp; "%USERPROFILE%\Documents\GitHub\mrs-test-scripts\Headless Mode &amp; Sideloading\WalkAndUnGZ.bat" "%USERPROFILE%\AppData\Local\Temp\OnboardLogs"\RTDC4031\2016-10-16</v>
      </c>
      <c r="AF202" s="88" t="str">
        <f t="shared" si="112"/>
        <v>"C:\Program Files (x86)\AstroGrep\AstroGrep.exe" /spath="%USERPROFILE%\AppData\Local\Temp\OnboardLogs" /stypes="app*4031*20161015*" /stext=" 08:.+((SYSTEM_STATE.+slice.+state.+changed )|(ment ac)|(system.+state.+changed )|(\[timeout)|(PRM\|1\|D)|(kpr)|(kdp)|(\|lc)|(penalty))" /e /r /s</v>
      </c>
      <c r="AG202" s="1" t="str">
        <f t="shared" si="113"/>
        <v>Other</v>
      </c>
      <c r="AH202" s="92" t="str">
        <f t="shared" si="95"/>
        <v>"%USERPROFILE%\Documents\GitHub\eaglep3\Utilities\RefineRTDCRunTimes.py" --tripid 313-14 --locoid 4031 --swversion DE.1.0.7.0 --startMP 204:466 --initTime 2016-10-15T02:11:34 --startdatetime 2016-10-15T02:14:45 --delay 2 --endMP 300:23312 --enddatetime 2016-10-15T02:24:01 --enforcementcount 0 &gt;&gt;C:\Users\stu\Documents\GitHub\eaglep3-reporting\EC\2016-10-15-refined-times.txt</v>
      </c>
      <c r="AI202" s="122" t="str">
        <f t="shared" si="96"/>
        <v>echo {"issue":{"subject":"","project_id":79,"tracker_id":40,"status_id":1,"priority_id":2,"assigned_to_id":23,"start_date":"2016-10-15","description":"","custom_fields":[{"id":1,"name":"Subdivision","value":"Other"},{"id":4,"name":"Milepost","value":"2.3312"},{"id":17,"name":"Train ID","value":"313-14"},{"id":16,"name":"Locomotive ID","value":"4031"},{"id":130,"name":"Impact","value":""},{"id":150,"name":"Time of Event (Mountain Time)","value":"02:24:01"},{"id":151,"name":"Denver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s="21" customFormat="1" x14ac:dyDescent="0.25">
      <c r="A203" s="37" t="s">
        <v>624</v>
      </c>
      <c r="B203" s="7">
        <v>4016</v>
      </c>
      <c r="C203" s="22" t="s">
        <v>99</v>
      </c>
      <c r="D203" s="22" t="s">
        <v>333</v>
      </c>
      <c r="E203" s="13">
        <v>42659.09134259259</v>
      </c>
      <c r="F203" s="13">
        <v>25568.708333333332</v>
      </c>
      <c r="G203" s="7">
        <v>1</v>
      </c>
      <c r="H203" s="13" t="s">
        <v>726</v>
      </c>
      <c r="I203" s="13">
        <v>25568.708333333332</v>
      </c>
      <c r="J203" s="7">
        <v>0</v>
      </c>
      <c r="K203" s="112" t="str">
        <f t="shared" si="99"/>
        <v>4015/4016</v>
      </c>
      <c r="L203" s="22" t="str">
        <f>VLOOKUP(A203,'Trips&amp;Operators'!$C$1:$E$10000,3,FALSE)</f>
        <v>BRANDNER</v>
      </c>
      <c r="M203" s="6">
        <f t="shared" si="100"/>
        <v>0</v>
      </c>
      <c r="N203" s="7">
        <f t="shared" si="101"/>
        <v>0</v>
      </c>
      <c r="O203" s="7"/>
      <c r="P203" s="7"/>
      <c r="Q203" s="23"/>
      <c r="R203" s="23"/>
      <c r="S203" s="35">
        <f t="shared" si="102"/>
        <v>1</v>
      </c>
      <c r="T203" s="50" t="str">
        <f t="shared" si="103"/>
        <v>NorthBound</v>
      </c>
      <c r="U203" s="144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https://search-rtdc-monitor-bjffxe2xuh6vdkpspy63sjmuny.us-east-1.es.amazonaws.com/_plugin/kibana/#/discover/Steve-Slow-Train-Analysis-(2080s-and-2083s)?_g=(refreshInterval:(display:Off,section:0,value:0),time:(from:'2016-10-16 01:11:32-0600',mode:absolute,to:'1969-12-31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3" s="52" t="str">
        <f t="shared" si="105"/>
        <v>Y</v>
      </c>
      <c r="X203" s="149">
        <f t="shared" si="106"/>
        <v>0</v>
      </c>
      <c r="Y203" s="67">
        <f t="shared" si="107"/>
        <v>4.7100000000000003E-2</v>
      </c>
      <c r="Z203" s="67">
        <f t="shared" si="108"/>
        <v>2.3300999999999998</v>
      </c>
      <c r="AA203" s="67">
        <f t="shared" si="109"/>
        <v>2.2829999999999999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110"/>
        <v>0313-15</v>
      </c>
      <c r="AE203" s="91" t="str">
        <f t="shared" si="11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3" s="88" t="str">
        <f t="shared" si="112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03" s="1" t="str">
        <f t="shared" si="113"/>
        <v>Other</v>
      </c>
      <c r="AH203" s="92" t="str">
        <f t="shared" si="95"/>
        <v>"%USERPROFILE%\Documents\GitHub\eaglep3\Utilities\RefineRTDCRunTimes.py" --tripid 313-15 --locoid 4016 --swversion DE.1.0.7.0 --startMP 204:471 --initTime 2016-10-16T02:11:32 --startdatetime 1969-12-31T17:00:00 --delay 1 --endMP 300:23301 --enddatetime 1969-12-31T17:00:00 --enforcementcount 0 &gt;&gt;C:\Users\stu\Documents\GitHub\eaglep3-reporting\EC\2016-10-15-refined-times.txt</v>
      </c>
      <c r="AI203" s="122" t="str">
        <f t="shared" si="96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ID","value":"313-15"},{"id":16,"name":"Locomotive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7" t="s">
        <v>392</v>
      </c>
      <c r="B204" s="7">
        <v>4040</v>
      </c>
      <c r="C204" s="22" t="s">
        <v>99</v>
      </c>
      <c r="D204" s="22" t="s">
        <v>285</v>
      </c>
      <c r="E204" s="13">
        <v>42658.108298611114</v>
      </c>
      <c r="F204" s="13">
        <v>25568.708333333332</v>
      </c>
      <c r="G204" s="7">
        <v>2</v>
      </c>
      <c r="H204" s="13" t="s">
        <v>414</v>
      </c>
      <c r="I204" s="13">
        <v>25568.708333333332</v>
      </c>
      <c r="J204" s="7">
        <v>0</v>
      </c>
      <c r="K204" s="112" t="str">
        <f t="shared" si="99"/>
        <v>4039/4040</v>
      </c>
      <c r="L204" s="22" t="str">
        <f>VLOOKUP(A204,'Trips&amp;Operators'!$C$1:$E$10000,3,FALSE)</f>
        <v>LEVIN</v>
      </c>
      <c r="M204" s="6">
        <f t="shared" si="100"/>
        <v>0</v>
      </c>
      <c r="N204" s="7">
        <f t="shared" si="101"/>
        <v>0</v>
      </c>
      <c r="O204" s="7"/>
      <c r="P204" s="7"/>
      <c r="Q204" s="23"/>
      <c r="R204" s="23"/>
      <c r="S204" s="35">
        <f t="shared" si="102"/>
        <v>1</v>
      </c>
      <c r="T204" s="50" t="str">
        <f t="shared" si="103"/>
        <v>NorthBound</v>
      </c>
      <c r="U204" s="144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01:35:57-0600',mode:absolute,to:'1969-12-31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4" s="52" t="str">
        <f t="shared" si="105"/>
        <v>Y</v>
      </c>
      <c r="X204" s="149">
        <f t="shared" si="106"/>
        <v>2</v>
      </c>
      <c r="Y204" s="67">
        <f t="shared" si="107"/>
        <v>4.3999999999999997E-2</v>
      </c>
      <c r="Z204" s="67">
        <f t="shared" si="108"/>
        <v>2.3308</v>
      </c>
      <c r="AA204" s="67">
        <f t="shared" si="109"/>
        <v>2.2867999999999999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110"/>
        <v>0315-14</v>
      </c>
      <c r="AE204" s="91" t="str">
        <f t="shared" si="111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4" s="88" t="str">
        <f t="shared" si="112"/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04" s="1" t="str">
        <f t="shared" si="113"/>
        <v>Other</v>
      </c>
      <c r="AH204" s="92" t="str">
        <f t="shared" si="95"/>
        <v>"%USERPROFILE%\Documents\GitHub\eaglep3\Utilities\RefineRTDCRunTimes.py" --tripid 315-14 --locoid 4040 --swversion DE.1.0.7.0 --startMP 204:440 --initTime 2016-10-15T02:35:57 --startdatetime 1969-12-31T17:00:00 --delay 2 --endMP 300:23308 --enddatetime 1969-12-31T17:00:00 --enforcementcount 0 &gt;&gt;C:\Users\stu\Documents\GitHub\eaglep3-reporting\EC\2016-10-15-refined-times.txt</v>
      </c>
      <c r="AI204" s="122" t="str">
        <f t="shared" si="96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ID","value":"315-14"},{"id":16,"name":"Locomotive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625</v>
      </c>
      <c r="B205" s="7">
        <v>4020</v>
      </c>
      <c r="C205" s="22" t="s">
        <v>99</v>
      </c>
      <c r="D205" s="22" t="s">
        <v>256</v>
      </c>
      <c r="E205" s="13">
        <v>42659.108032407406</v>
      </c>
      <c r="F205" s="13">
        <v>25568.708333333332</v>
      </c>
      <c r="G205" s="7">
        <v>1</v>
      </c>
      <c r="H205" s="13" t="s">
        <v>413</v>
      </c>
      <c r="I205" s="13">
        <v>25568.708333333332</v>
      </c>
      <c r="J205" s="7">
        <v>0</v>
      </c>
      <c r="K205" s="112" t="str">
        <f t="shared" si="99"/>
        <v>4019/4020</v>
      </c>
      <c r="L205" s="22" t="str">
        <f>VLOOKUP(A205,'Trips&amp;Operators'!$C$1:$E$10000,3,FALSE)</f>
        <v>LEVIN</v>
      </c>
      <c r="M205" s="6">
        <f t="shared" si="100"/>
        <v>0</v>
      </c>
      <c r="N205" s="7">
        <f t="shared" si="101"/>
        <v>0</v>
      </c>
      <c r="O205" s="7"/>
      <c r="P205" s="7"/>
      <c r="Q205" s="23"/>
      <c r="R205" s="23"/>
      <c r="S205" s="35">
        <f t="shared" si="102"/>
        <v>1</v>
      </c>
      <c r="T205" s="50" t="str">
        <f t="shared" si="103"/>
        <v>NorthBound</v>
      </c>
      <c r="U205" s="144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https://search-rtdc-monitor-bjffxe2xuh6vdkpspy63sjmuny.us-east-1.es.amazonaws.com/_plugin/kibana/#/discover/Steve-Slow-Train-Analysis-(2080s-and-2083s)?_g=(refreshInterval:(display:Off,section:0,value:0),time:(from:'2016-10-16 01:35:34-0600',mode:absolute,to:'1969-12-31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5" s="52" t="str">
        <f t="shared" si="105"/>
        <v>Y</v>
      </c>
      <c r="X205" s="149">
        <f t="shared" si="106"/>
        <v>0</v>
      </c>
      <c r="Y205" s="67">
        <f t="shared" si="107"/>
        <v>4.6399999999999997E-2</v>
      </c>
      <c r="Z205" s="67">
        <f t="shared" si="108"/>
        <v>2.3311999999999999</v>
      </c>
      <c r="AA205" s="67">
        <f t="shared" si="109"/>
        <v>2.2847999999999997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110"/>
        <v>0315-15</v>
      </c>
      <c r="AE205" s="91" t="str">
        <f t="shared" si="111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05" s="88" t="str">
        <f t="shared" si="112"/>
        <v>"C:\Program Files (x86)\AstroGrep\AstroGrep.exe" /spath="%USERPROFILE%\AppData\Local\Temp\OnboardLogs" /stypes="app*4020*19691231*" /stext=" 23:.+((SYSTEM_STATE.+slice.+state.+changed )|(ment ac)|(system.+state.+changed )|(\[timeout)|(PRM\|1\|D)|(kpr)|(kdp)|(\|lc)|(penalty))" /e /r /s</v>
      </c>
      <c r="AG205" s="1" t="str">
        <f t="shared" si="113"/>
        <v>Other</v>
      </c>
      <c r="AH205" s="92" t="str">
        <f t="shared" si="95"/>
        <v>"%USERPROFILE%\Documents\GitHub\eaglep3\Utilities\RefineRTDCRunTimes.py" --tripid 315-15 --locoid 4020 --swversion DE.1.0.7.0 --startMP 204:464 --initTime 2016-10-16T02:35:34 --startdatetime 1969-12-31T17:00:00 --delay 1 --endMP 300:23312 --enddatetime 1969-12-31T17:00:00 --enforcementcount 0 &gt;&gt;C:\Users\stu\Documents\GitHub\eaglep3-reporting\EC\2016-10-15-refined-times.txt</v>
      </c>
      <c r="AI205" s="122" t="str">
        <f t="shared" si="96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ID","value":"315-15"},{"id":16,"name":"Locomotive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468</v>
      </c>
      <c r="B206" s="7">
        <v>4027</v>
      </c>
      <c r="C206" s="22" t="s">
        <v>99</v>
      </c>
      <c r="D206" s="22" t="s">
        <v>700</v>
      </c>
      <c r="E206" s="13">
        <v>42658.223935185182</v>
      </c>
      <c r="F206" s="13">
        <v>42658.225104166668</v>
      </c>
      <c r="G206" s="7">
        <v>1</v>
      </c>
      <c r="H206" s="13" t="s">
        <v>415</v>
      </c>
      <c r="I206" s="13">
        <v>42658.229837962965</v>
      </c>
      <c r="J206" s="7">
        <v>0</v>
      </c>
      <c r="K206" s="112" t="str">
        <f t="shared" si="99"/>
        <v>4027/4028</v>
      </c>
      <c r="L206" s="22" t="str">
        <f>VLOOKUP(A206,'Trips&amp;Operators'!$C$1:$E$10000,3,FALSE)</f>
        <v>YORK</v>
      </c>
      <c r="M206" s="6">
        <f t="shared" si="100"/>
        <v>4.7337962969322689E-3</v>
      </c>
      <c r="N206" s="7">
        <f t="shared" si="101"/>
        <v>6.8166666675824672</v>
      </c>
      <c r="O206" s="7"/>
      <c r="P206" s="7"/>
      <c r="Q206" s="23"/>
      <c r="R206" s="23"/>
      <c r="S206" s="35">
        <f t="shared" si="102"/>
        <v>0</v>
      </c>
      <c r="T206" s="50" t="str">
        <f t="shared" si="103"/>
        <v>NorthBound</v>
      </c>
      <c r="U206" s="144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04:22:28-0600',mode:absolute,to:'2016-10-15 06:30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6" s="52" t="str">
        <f t="shared" si="105"/>
        <v>Y</v>
      </c>
      <c r="X206" s="149">
        <f t="shared" si="106"/>
        <v>1586</v>
      </c>
      <c r="Y206" s="67">
        <f t="shared" si="107"/>
        <v>2.9744000000000002</v>
      </c>
      <c r="Z206" s="67">
        <f t="shared" si="108"/>
        <v>5.8929</v>
      </c>
      <c r="AA206" s="67">
        <f t="shared" si="109"/>
        <v>2.9184999999999999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110"/>
        <v>1901-15</v>
      </c>
      <c r="AE206" s="91" t="str">
        <f t="shared" si="111"/>
        <v>aws s3 cp s3://rtdc.mdm.uploadarchive.raw/RTDC4027/ "%USERPROFILE%\AppData\Local\Temp\OnboardLogs"\RTDC4027\2016-10-15 --exclude "*" --recursive --include "*20161015*" &amp; "%USERPROFILE%\Documents\GitHub\mrs-test-scripts\Headless Mode &amp; Sideloading\WalkAndUnGZ.bat" "%USERPROFILE%\AppData\Local\Temp\OnboardLogs"\RTDC4027\2016-10-15 &amp; aws s3 cp s3://rtdc.mdm.uploadarchive.raw/RTDC4027/ "%USERPROFILE%\AppData\Local\Temp\OnboardLogs"\RTDC4027\2016-10-16 --exclude "*" --recursive --include "*20161016*" &amp; "%USERPROFILE%\Documents\GitHub\mrs-test-scripts\Headless Mode &amp; Sideloading\WalkAndUnGZ.bat" "%USERPROFILE%\AppData\Local\Temp\OnboardLogs"\RTDC4027\2016-10-16</v>
      </c>
      <c r="AF206" s="88" t="str">
        <f t="shared" si="112"/>
        <v>"C:\Program Files (x86)\AstroGrep\AstroGrep.exe" /spath="%USERPROFILE%\AppData\Local\Temp\OnboardLogs" /stypes="app*4027*20161015*" /stext=" 11:.+((SYSTEM_STATE.+slice.+state.+changed )|(ment ac)|(system.+state.+changed )|(\[timeout)|(PRM\|1\|D)|(kpr)|(kdp)|(\|lc)|(penalty))" /e /r /s</v>
      </c>
      <c r="AG206" s="1" t="str">
        <f t="shared" si="113"/>
        <v>Other</v>
      </c>
      <c r="AH206" s="92" t="str">
        <f t="shared" si="95"/>
        <v>"%USERPROFILE%\Documents\GitHub\eaglep3\Utilities\RefineRTDCRunTimes.py" --tripid 1901-15 --locoid 4027 --swversion DE.1.0.7.0 --startMP 300:29744 --initTime 2016-10-15T05:22:28 --startdatetime 2016-10-15T05:24:09 --delay 1 --endMP 300:58929 --enddatetime 2016-10-15T05:30:58 --enforcementcount 0 &gt;&gt;C:\Users\stu\Documents\GitHub\eaglep3-reporting\EC\2016-10-15-refined-times.txt</v>
      </c>
      <c r="AI206" s="122" t="str">
        <f t="shared" si="96"/>
        <v>echo {"issue":{"subject":"","project_id":79,"tracker_id":40,"status_id":1,"priority_id":2,"assigned_to_id":23,"start_date":"2016-10-15","description":"","custom_fields":[{"id":1,"name":"Subdivision","value":"Other"},{"id":4,"name":"Milepost","value":"5.8929"},{"id":17,"name":"Train ID","value":"1901-15"},{"id":16,"name":"Locomotive ID","value":"4027"},{"id":130,"name":"Impact","value":""},{"id":150,"name":"Time of Event (Mountain Time)","value":"05:30:58"},{"id":151,"name":"Denver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489</v>
      </c>
      <c r="B207" s="7">
        <v>4001</v>
      </c>
      <c r="C207" s="22" t="s">
        <v>99</v>
      </c>
      <c r="D207" s="22" t="s">
        <v>727</v>
      </c>
      <c r="E207" s="13">
        <v>42658.305289351854</v>
      </c>
      <c r="F207" s="13">
        <v>25568.708333333332</v>
      </c>
      <c r="G207" s="7">
        <v>6</v>
      </c>
      <c r="H207" s="13" t="s">
        <v>728</v>
      </c>
      <c r="I207" s="13">
        <v>25568.708333333332</v>
      </c>
      <c r="J207" s="7">
        <v>0</v>
      </c>
      <c r="K207" s="112" t="str">
        <f t="shared" si="99"/>
        <v>4001/4002</v>
      </c>
      <c r="L207" s="22" t="str">
        <f>VLOOKUP(A207,'Trips&amp;Operators'!$C$1:$E$10000,3,FALSE)</f>
        <v>BEAM</v>
      </c>
      <c r="M207" s="6">
        <f t="shared" si="100"/>
        <v>0</v>
      </c>
      <c r="N207" s="7">
        <f t="shared" si="101"/>
        <v>0</v>
      </c>
      <c r="O207" s="7"/>
      <c r="P207" s="7"/>
      <c r="Q207" s="23"/>
      <c r="R207" s="23"/>
      <c r="S207" s="35">
        <f t="shared" si="102"/>
        <v>0</v>
      </c>
      <c r="T207" s="50" t="e">
        <f t="shared" si="103"/>
        <v>#VALUE!</v>
      </c>
      <c r="U207" s="144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06:19:37-0600',mode:absolute,to:'1969-12-31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7" s="52" t="str">
        <f t="shared" si="105"/>
        <v>Y</v>
      </c>
      <c r="X207" s="149" t="e">
        <f t="shared" si="106"/>
        <v>#VALUE!</v>
      </c>
      <c r="Y207" s="67">
        <f t="shared" si="107"/>
        <v>2.0585</v>
      </c>
      <c r="Z207" s="67">
        <f t="shared" si="108"/>
        <v>0.1177</v>
      </c>
      <c r="AA207" s="67">
        <f t="shared" si="109"/>
        <v>1.9408000000000001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110"/>
        <v>50-15</v>
      </c>
      <c r="AE207" s="91" t="str">
        <f t="shared" si="111"/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07" s="88" t="str">
        <f t="shared" si="112"/>
        <v>"C:\Program Files (x86)\AstroGrep\AstroGrep.exe" /spath="%USERPROFILE%\AppData\Local\Temp\OnboardLogs" /stypes="app*4001*19691231*" /stext=" 23:.+((SYSTEM_STATE.+slice.+state.+changed )|(ment ac)|(system.+state.+changed )|(\[timeout)|(PRM\|1\|D)|(kpr)|(kdp)|(\|lc)|(penalty))" /e /r /s</v>
      </c>
      <c r="AG207" s="1" t="str">
        <f t="shared" si="113"/>
        <v>Other</v>
      </c>
      <c r="AH207" s="92" t="str">
        <f t="shared" si="95"/>
        <v>"%USERPROFILE%\Documents\GitHub\eaglep3\Utilities\RefineRTDCRunTimes.py" --tripid 50-15 --locoid 4001 --swversion DE.1.0.7.0 --startMP 300:20585 --initTime 2016-10-15T07:19:37 --startdatetime 1969-12-31T17:00:00 --delay 6 --endMP 204:1177 --enddatetime 1969-12-31T17:00:00 --enforcementcount 0 &gt;&gt;C:\Users\stu\Documents\GitHub\eaglep3-reporting\EC\2016-10-15-refined-times.txt</v>
      </c>
      <c r="AI207" s="122" t="str">
        <f t="shared" si="96"/>
        <v>echo {"issue":{"subject":"","project_id":79,"tracker_id":40,"status_id":1,"priority_id":2,"assigned_to_id":23,"start_date":"1969-12-31","description":"","custom_fields":[{"id":1,"name":"Subdivision","value":"Other"},{"id":4,"name":"Milepost","value":"0.1177"},{"id":17,"name":"Train ID","value":"50-15"},{"id":16,"name":"Locomotive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439</v>
      </c>
      <c r="B208" s="7">
        <v>4008</v>
      </c>
      <c r="C208" s="22" t="s">
        <v>99</v>
      </c>
      <c r="D208" s="22" t="s">
        <v>729</v>
      </c>
      <c r="E208" s="13">
        <v>42658.498865740738</v>
      </c>
      <c r="F208" s="13">
        <v>42658.500543981485</v>
      </c>
      <c r="G208" s="7">
        <v>2</v>
      </c>
      <c r="H208" s="13" t="s">
        <v>730</v>
      </c>
      <c r="I208" s="13">
        <v>42658.507106481484</v>
      </c>
      <c r="J208" s="7">
        <v>0</v>
      </c>
      <c r="K208" s="112" t="str">
        <f t="shared" si="99"/>
        <v>4007/4008</v>
      </c>
      <c r="L208" s="22" t="str">
        <f>VLOOKUP(A208,'Trips&amp;Operators'!$C$1:$E$10000,3,FALSE)</f>
        <v>STORY</v>
      </c>
      <c r="M208" s="6">
        <f t="shared" si="100"/>
        <v>6.5624999988358468E-3</v>
      </c>
      <c r="N208" s="7">
        <f t="shared" si="101"/>
        <v>9.4499999983236194</v>
      </c>
      <c r="O208" s="7"/>
      <c r="P208" s="7"/>
      <c r="Q208" s="23"/>
      <c r="R208" s="23"/>
      <c r="S208" s="35">
        <f t="shared" si="102"/>
        <v>0</v>
      </c>
      <c r="T208" s="50" t="e">
        <f t="shared" si="103"/>
        <v>#VALUE!</v>
      </c>
      <c r="U208" s="144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10:58:22-0600',mode:absolute,to:'2016-10-15 13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8" s="52" t="str">
        <f t="shared" si="105"/>
        <v>Y</v>
      </c>
      <c r="X208" s="149" t="e">
        <f t="shared" si="106"/>
        <v>#VALUE!</v>
      </c>
      <c r="Y208" s="67">
        <f t="shared" si="107"/>
        <v>2.3285999999999998</v>
      </c>
      <c r="Z208" s="67">
        <f t="shared" si="108"/>
        <v>8.7400000000000005E-2</v>
      </c>
      <c r="AA208" s="67">
        <f t="shared" si="109"/>
        <v>2.2411999999999996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110"/>
        <v>52-15</v>
      </c>
      <c r="AE208" s="91" t="str">
        <f t="shared" si="111"/>
        <v>aws s3 cp s3://rtdc.mdm.uploadarchive.raw/RTDC4008/ "%USERPROFILE%\AppData\Local\Temp\OnboardLogs"\RTDC4008\2016-10-15 --exclude "*" --recursive --include "*20161015*" &amp; "%USERPROFILE%\Documents\GitHub\mrs-test-scripts\Headless Mode &amp; Sideloading\WalkAndUnGZ.bat" "%USERPROFILE%\AppData\Local\Temp\OnboardLogs"\RTDC4008\2016-10-15 &amp; aws s3 cp s3://rtdc.mdm.uploadarchive.raw/RTDC4008/ "%USERPROFILE%\AppData\Local\Temp\OnboardLogs"\RTDC4008\2016-10-16 --exclude "*" --recursive --include "*20161016*" &amp; "%USERPROFILE%\Documents\GitHub\mrs-test-scripts\Headless Mode &amp; Sideloading\WalkAndUnGZ.bat" "%USERPROFILE%\AppData\Local\Temp\OnboardLogs"\RTDC4008\2016-10-16</v>
      </c>
      <c r="AF208" s="88" t="str">
        <f t="shared" si="112"/>
        <v>"C:\Program Files (x86)\AstroGrep\AstroGrep.exe" /spath="%USERPROFILE%\AppData\Local\Temp\OnboardLogs" /stypes="app*4008*20161015*" /stext=" 18:.+((SYSTEM_STATE.+slice.+state.+changed )|(ment ac)|(system.+state.+changed )|(\[timeout)|(PRM\|1\|D)|(kpr)|(kdp)|(\|lc)|(penalty))" /e /r /s</v>
      </c>
      <c r="AG208" s="1" t="str">
        <f t="shared" si="113"/>
        <v>Other</v>
      </c>
      <c r="AH208" s="92" t="str">
        <f t="shared" si="95"/>
        <v>"%USERPROFILE%\Documents\GitHub\eaglep3\Utilities\RefineRTDCRunTimes.py" --tripid 52-15 --locoid 4008 --swversion DE.1.0.7.0 --startMP 300:23286 --initTime 2016-10-15T11:58:22 --startdatetime 2016-10-15T12:00:47 --delay 2 --endMP 204:874 --enddatetime 2016-10-15T12:10:14 --enforcementcount 0 &gt;&gt;C:\Users\stu\Documents\GitHub\eaglep3-reporting\EC\2016-10-15-refined-times.txt</v>
      </c>
      <c r="AI208" s="122" t="str">
        <f t="shared" si="96"/>
        <v>echo {"issue":{"subject":"","project_id":79,"tracker_id":40,"status_id":1,"priority_id":2,"assigned_to_id":23,"start_date":"2016-10-15","description":"","custom_fields":[{"id":1,"name":"Subdivision","value":"Other"},{"id":4,"name":"Milepost","value":"0.0874"},{"id":17,"name":"Train ID","value":"52-15"},{"id":16,"name":"Locomotive ID","value":"4008"},{"id":130,"name":"Impact","value":""},{"id":150,"name":"Time of Event (Mountain Time)","value":"12:10:14"},{"id":151,"name":"Denver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577</v>
      </c>
      <c r="B209" s="7">
        <v>4008</v>
      </c>
      <c r="C209" s="22" t="s">
        <v>99</v>
      </c>
      <c r="D209" s="22" t="s">
        <v>731</v>
      </c>
      <c r="E209" s="13">
        <v>42658.713692129626</v>
      </c>
      <c r="F209" s="13">
        <v>42658.715624999997</v>
      </c>
      <c r="G209" s="7">
        <v>2</v>
      </c>
      <c r="H209" s="13" t="s">
        <v>732</v>
      </c>
      <c r="I209" s="13">
        <v>42658.721354166664</v>
      </c>
      <c r="J209" s="7">
        <v>0</v>
      </c>
      <c r="K209" s="112" t="str">
        <f t="shared" si="99"/>
        <v>4007/4008</v>
      </c>
      <c r="L209" s="22" t="str">
        <f>VLOOKUP(A209,'Trips&amp;Operators'!$C$1:$E$10000,3,FALSE)</f>
        <v>NEWELL</v>
      </c>
      <c r="M209" s="6">
        <f t="shared" si="100"/>
        <v>5.7291666671517305E-3</v>
      </c>
      <c r="N209" s="7">
        <f t="shared" si="101"/>
        <v>8.2500000006984919</v>
      </c>
      <c r="O209" s="7"/>
      <c r="P209" s="7"/>
      <c r="Q209" s="23"/>
      <c r="R209" s="23"/>
      <c r="S209" s="35">
        <f t="shared" si="102"/>
        <v>0</v>
      </c>
      <c r="T209" s="50" t="e">
        <f t="shared" si="103"/>
        <v>#VALUE!</v>
      </c>
      <c r="U209" s="144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16:07:43-0600',mode:absolute,to:'2016-10-15 18:18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9" s="52" t="str">
        <f t="shared" si="105"/>
        <v>Y</v>
      </c>
      <c r="X209" s="149" t="e">
        <f t="shared" si="106"/>
        <v>#VALUE!</v>
      </c>
      <c r="Y209" s="67">
        <f t="shared" si="107"/>
        <v>2.3294000000000001</v>
      </c>
      <c r="Z209" s="67">
        <f t="shared" si="108"/>
        <v>1.5100000000000001E-2</v>
      </c>
      <c r="AA209" s="67">
        <f t="shared" si="109"/>
        <v>2.3143000000000002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110"/>
        <v>54-15</v>
      </c>
      <c r="AE209" s="91" t="str">
        <f t="shared" si="111"/>
        <v>aws s3 cp s3://rtdc.mdm.uploadarchive.raw/RTDC4008/ "%USERPROFILE%\AppData\Local\Temp\OnboardLogs"\RTDC4008\2016-10-15 --exclude "*" --recursive --include "*20161015*" &amp; "%USERPROFILE%\Documents\GitHub\mrs-test-scripts\Headless Mode &amp; Sideloading\WalkAndUnGZ.bat" "%USERPROFILE%\AppData\Local\Temp\OnboardLogs"\RTDC4008\2016-10-15 &amp; aws s3 cp s3://rtdc.mdm.uploadarchive.raw/RTDC4008/ "%USERPROFILE%\AppData\Local\Temp\OnboardLogs"\RTDC4008\2016-10-16 --exclude "*" --recursive --include "*20161016*" &amp; "%USERPROFILE%\Documents\GitHub\mrs-test-scripts\Headless Mode &amp; Sideloading\WalkAndUnGZ.bat" "%USERPROFILE%\AppData\Local\Temp\OnboardLogs"\RTDC4008\2016-10-16</v>
      </c>
      <c r="AF209" s="88" t="str">
        <f t="shared" si="112"/>
        <v>"C:\Program Files (x86)\AstroGrep\AstroGrep.exe" /spath="%USERPROFILE%\AppData\Local\Temp\OnboardLogs" /stypes="app*4008*20161015*" /stext=" 23:.+((SYSTEM_STATE.+slice.+state.+changed )|(ment ac)|(system.+state.+changed )|(\[timeout)|(PRM\|1\|D)|(kpr)|(kdp)|(\|lc)|(penalty))" /e /r /s</v>
      </c>
      <c r="AG209" s="1" t="str">
        <f t="shared" si="113"/>
        <v>Other</v>
      </c>
      <c r="AH209" s="92" t="str">
        <f t="shared" si="95"/>
        <v>"%USERPROFILE%\Documents\GitHub\eaglep3\Utilities\RefineRTDCRunTimes.py" --tripid 54-15 --locoid 4008 --swversion DE.1.0.7.0 --startMP 300:23294 --initTime 2016-10-15T17:07:43 --startdatetime 2016-10-15T17:10:30 --delay 2 --endMP 204:151 --enddatetime 2016-10-15T17:18:45 --enforcementcount 0 &gt;&gt;C:\Users\stu\Documents\GitHub\eaglep3-reporting\EC\2016-10-15-refined-times.txt</v>
      </c>
      <c r="AI209" s="122" t="str">
        <f t="shared" si="96"/>
        <v>echo {"issue":{"subject":"","project_id":79,"tracker_id":40,"status_id":1,"priority_id":2,"assigned_to_id":23,"start_date":"2016-10-15","description":"","custom_fields":[{"id":1,"name":"Subdivision","value":"Other"},{"id":4,"name":"Milepost","value":"0.0151"},{"id":17,"name":"Train ID","value":"54-15"},{"id":16,"name":"Locomotive ID","value":"4008"},{"id":130,"name":"Impact","value":""},{"id":150,"name":"Time of Event (Mountain Time)","value":"17:18:45"},{"id":151,"name":"Denver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1" customFormat="1" x14ac:dyDescent="0.25">
      <c r="A210" s="37" t="s">
        <v>484</v>
      </c>
      <c r="B210" s="7">
        <v>4027</v>
      </c>
      <c r="C210" s="22" t="s">
        <v>99</v>
      </c>
      <c r="D210" s="22" t="s">
        <v>733</v>
      </c>
      <c r="E210" s="13">
        <v>42658.290810185186</v>
      </c>
      <c r="F210" s="13">
        <v>42658.292210648149</v>
      </c>
      <c r="G210" s="7">
        <v>1</v>
      </c>
      <c r="H210" s="13" t="s">
        <v>721</v>
      </c>
      <c r="I210" s="13">
        <v>42658.2968287037</v>
      </c>
      <c r="J210" s="7">
        <v>0</v>
      </c>
      <c r="K210" s="112" t="str">
        <f t="shared" si="99"/>
        <v>4027/4028</v>
      </c>
      <c r="L210" s="22" t="str">
        <f>VLOOKUP(A210,'Trips&amp;Operators'!$C$1:$E$10000,3,FALSE)</f>
        <v>BEAM</v>
      </c>
      <c r="M210" s="6">
        <f t="shared" si="100"/>
        <v>4.6180555509636179E-3</v>
      </c>
      <c r="N210" s="7">
        <f t="shared" si="101"/>
        <v>6.6499999933876097</v>
      </c>
      <c r="O210" s="7"/>
      <c r="P210" s="7"/>
      <c r="Q210" s="23"/>
      <c r="R210" s="23"/>
      <c r="S210" s="35">
        <f t="shared" si="102"/>
        <v>0</v>
      </c>
      <c r="T210" s="50" t="e">
        <f t="shared" si="103"/>
        <v>#VALUE!</v>
      </c>
      <c r="U210" s="144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05:58:46-0600',mode:absolute,to:'2016-10-15 08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0" s="52" t="str">
        <f t="shared" si="105"/>
        <v>Y</v>
      </c>
      <c r="X210" s="149" t="e">
        <f t="shared" si="106"/>
        <v>#VALUE!</v>
      </c>
      <c r="Y210" s="67">
        <f t="shared" si="107"/>
        <v>4.5900000000000003E-2</v>
      </c>
      <c r="Z210" s="67">
        <f t="shared" si="108"/>
        <v>2.3306</v>
      </c>
      <c r="AA210" s="67">
        <f t="shared" si="109"/>
        <v>2.2847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110"/>
        <v>55-15</v>
      </c>
      <c r="AE210" s="91" t="str">
        <f t="shared" si="111"/>
        <v>aws s3 cp s3://rtdc.mdm.uploadarchive.raw/RTDC4027/ "%USERPROFILE%\AppData\Local\Temp\OnboardLogs"\RTDC4027\2016-10-15 --exclude "*" --recursive --include "*20161015*" &amp; "%USERPROFILE%\Documents\GitHub\mrs-test-scripts\Headless Mode &amp; Sideloading\WalkAndUnGZ.bat" "%USERPROFILE%\AppData\Local\Temp\OnboardLogs"\RTDC4027\2016-10-15 &amp; aws s3 cp s3://rtdc.mdm.uploadarchive.raw/RTDC4027/ "%USERPROFILE%\AppData\Local\Temp\OnboardLogs"\RTDC4027\2016-10-16 --exclude "*" --recursive --include "*20161016*" &amp; "%USERPROFILE%\Documents\GitHub\mrs-test-scripts\Headless Mode &amp; Sideloading\WalkAndUnGZ.bat" "%USERPROFILE%\AppData\Local\Temp\OnboardLogs"\RTDC4027\2016-10-16</v>
      </c>
      <c r="AF210" s="88" t="str">
        <f t="shared" si="112"/>
        <v>"C:\Program Files (x86)\AstroGrep\AstroGrep.exe" /spath="%USERPROFILE%\AppData\Local\Temp\OnboardLogs" /stypes="app*4027*20161015*" /stext=" 13:.+((SYSTEM_STATE.+slice.+state.+changed )|(ment ac)|(system.+state.+changed )|(\[timeout)|(PRM\|1\|D)|(kpr)|(kdp)|(\|lc)|(penalty))" /e /r /s</v>
      </c>
      <c r="AG210" s="1" t="str">
        <f t="shared" si="113"/>
        <v>Other</v>
      </c>
      <c r="AH210" s="92" t="str">
        <f t="shared" si="95"/>
        <v>"%USERPROFILE%\Documents\GitHub\eaglep3\Utilities\RefineRTDCRunTimes.py" --tripid 55-15 --locoid 4027 --swversion DE.1.0.7.0 --startMP 204:459 --initTime 2016-10-15T06:58:46 --startdatetime 2016-10-15T07:00:47 --delay 1 --endMP 300:23306 --enddatetime 2016-10-15T07:07:26 --enforcementcount 0 &gt;&gt;C:\Users\stu\Documents\GitHub\eaglep3-reporting\EC\2016-10-15-refined-times.txt</v>
      </c>
      <c r="AI210" s="122" t="str">
        <f t="shared" si="96"/>
        <v>echo {"issue":{"subject":"","project_id":79,"tracker_id":40,"status_id":1,"priority_id":2,"assigned_to_id":23,"start_date":"2016-10-15","description":"","custom_fields":[{"id":1,"name":"Subdivision","value":"Other"},{"id":4,"name":"Milepost","value":"2.3306"},{"id":17,"name":"Train ID","value":"55-15"},{"id":16,"name":"Locomotive ID","value":"4027"},{"id":130,"name":"Impact","value":""},{"id":150,"name":"Time of Event (Mountain Time)","value":"07:07:26"},{"id":151,"name":"Denver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448</v>
      </c>
      <c r="B211" s="7">
        <v>4021</v>
      </c>
      <c r="C211" s="22" t="s">
        <v>99</v>
      </c>
      <c r="D211" s="22" t="s">
        <v>734</v>
      </c>
      <c r="E211" s="13">
        <v>42658.747650462959</v>
      </c>
      <c r="F211" s="13">
        <v>42658.749050925922</v>
      </c>
      <c r="G211" s="7">
        <v>1</v>
      </c>
      <c r="H211" s="13" t="s">
        <v>282</v>
      </c>
      <c r="I211" s="13">
        <v>42658.758576388886</v>
      </c>
      <c r="J211" s="7">
        <v>0</v>
      </c>
      <c r="K211" s="112" t="str">
        <f t="shared" si="99"/>
        <v>4021/4022</v>
      </c>
      <c r="L211" s="22" t="str">
        <f>VLOOKUP(A211,'Trips&amp;Operators'!$C$1:$E$10000,3,FALSE)</f>
        <v>BRANDNER</v>
      </c>
      <c r="M211" s="6">
        <f t="shared" si="100"/>
        <v>9.5254629632108845E-3</v>
      </c>
      <c r="N211" s="7">
        <f t="shared" si="101"/>
        <v>13.716666667023674</v>
      </c>
      <c r="O211" s="7"/>
      <c r="P211" s="7"/>
      <c r="Q211" s="23"/>
      <c r="R211" s="23"/>
      <c r="S211" s="35">
        <f t="shared" si="102"/>
        <v>0</v>
      </c>
      <c r="T211" s="50" t="e">
        <f t="shared" si="103"/>
        <v>#VALUE!</v>
      </c>
      <c r="U211" s="144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16:56:37-0600',mode:absolute,to:'2016-10-15 19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1" s="52" t="str">
        <f t="shared" si="105"/>
        <v>Y</v>
      </c>
      <c r="X211" s="149" t="e">
        <f t="shared" si="106"/>
        <v>#VALUE!</v>
      </c>
      <c r="Y211" s="67">
        <f t="shared" si="107"/>
        <v>2.3586</v>
      </c>
      <c r="Z211" s="67">
        <f t="shared" si="108"/>
        <v>1.6899999999999998E-2</v>
      </c>
      <c r="AA211" s="67">
        <f t="shared" si="109"/>
        <v>2.3416999999999999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110"/>
        <v>56-15</v>
      </c>
      <c r="AE211" s="91" t="str">
        <f t="shared" si="111"/>
        <v>aws s3 cp s3://rtdc.mdm.uploadarchive.raw/RTDC4021/ "%USERPROFILE%\AppData\Local\Temp\OnboardLogs"\RTDC4021\2016-10-15 --exclude "*" --recursive --include "*20161015*" &amp; "%USERPROFILE%\Documents\GitHub\mrs-test-scripts\Headless Mode &amp; Sideloading\WalkAndUnGZ.bat" "%USERPROFILE%\AppData\Local\Temp\OnboardLogs"\RTDC4021\2016-10-15 &amp; aws s3 cp s3://rtdc.mdm.uploadarchive.raw/RTDC4021/ "%USERPROFILE%\AppData\Local\Temp\OnboardLogs"\RTDC4021\2016-10-16 --exclude "*" --recursive --include "*20161016*" &amp; "%USERPROFILE%\Documents\GitHub\mrs-test-scripts\Headless Mode &amp; Sideloading\WalkAndUnGZ.bat" "%USERPROFILE%\AppData\Local\Temp\OnboardLogs"\RTDC4021\2016-10-16</v>
      </c>
      <c r="AF211" s="88" t="str">
        <f t="shared" si="112"/>
        <v>"C:\Program Files (x86)\AstroGrep\AstroGrep.exe" /spath="%USERPROFILE%\AppData\Local\Temp\OnboardLogs" /stypes="app*4021*20161016*" /stext=" 00:.+((SYSTEM_STATE.+slice.+state.+changed )|(ment ac)|(system.+state.+changed )|(\[timeout)|(PRM\|1\|D)|(kpr)|(kdp)|(\|lc)|(penalty))" /e /r /s</v>
      </c>
      <c r="AG211" s="1" t="str">
        <f t="shared" si="113"/>
        <v>Other</v>
      </c>
      <c r="AH211" s="92" t="str">
        <f t="shared" si="95"/>
        <v>"%USERPROFILE%\Documents\GitHub\eaglep3\Utilities\RefineRTDCRunTimes.py" --tripid 56-15 --locoid 4021 --swversion DE.1.0.7.0 --startMP 300:23586 --initTime 2016-10-15T17:56:37 --startdatetime 2016-10-15T17:58:38 --delay 1 --endMP 204:169 --enddatetime 2016-10-15T18:12:21 --enforcementcount 0 &gt;&gt;C:\Users\stu\Documents\GitHub\eaglep3-reporting\EC\2016-10-15-refined-times.txt</v>
      </c>
      <c r="AI211" s="122" t="str">
        <f t="shared" si="96"/>
        <v>echo {"issue":{"subject":"","project_id":79,"tracker_id":40,"status_id":1,"priority_id":2,"assigned_to_id":23,"start_date":"2016-10-15","description":"","custom_fields":[{"id":1,"name":"Subdivision","value":"Other"},{"id":4,"name":"Milepost","value":"0.0169"},{"id":17,"name":"Train ID","value":"56-15"},{"id":16,"name":"Locomotive ID","value":"4021"},{"id":130,"name":"Impact","value":""},{"id":150,"name":"Time of Event (Mountain Time)","value":"18:12:21"},{"id":151,"name":"Denver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7" t="s">
        <v>589</v>
      </c>
      <c r="B212" s="7">
        <v>4011</v>
      </c>
      <c r="C212" s="22" t="s">
        <v>99</v>
      </c>
      <c r="D212" s="22" t="s">
        <v>735</v>
      </c>
      <c r="E212" s="13">
        <v>42658.761446759258</v>
      </c>
      <c r="F212" s="13">
        <v>25568.708333333332</v>
      </c>
      <c r="G212" s="7">
        <v>3</v>
      </c>
      <c r="H212" s="13" t="s">
        <v>726</v>
      </c>
      <c r="I212" s="13">
        <v>25568.708333333332</v>
      </c>
      <c r="J212" s="7">
        <v>0</v>
      </c>
      <c r="K212" s="112" t="str">
        <f t="shared" si="99"/>
        <v>4011/4012</v>
      </c>
      <c r="L212" s="22" t="str">
        <f>VLOOKUP(A212,'Trips&amp;Operators'!$C$1:$E$10000,3,FALSE)</f>
        <v>SHOOK</v>
      </c>
      <c r="M212" s="6">
        <f t="shared" si="100"/>
        <v>0</v>
      </c>
      <c r="N212" s="7">
        <f t="shared" si="101"/>
        <v>0</v>
      </c>
      <c r="O212" s="7"/>
      <c r="P212" s="7"/>
      <c r="Q212" s="23"/>
      <c r="R212" s="23"/>
      <c r="S212" s="35">
        <f t="shared" si="102"/>
        <v>0</v>
      </c>
      <c r="T212" s="50" t="e">
        <f t="shared" si="103"/>
        <v>#VALUE!</v>
      </c>
      <c r="U212" s="144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17:16:29-0600',mode:absolute,to:'1969-12-31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2" s="52" t="str">
        <f t="shared" si="105"/>
        <v>Y</v>
      </c>
      <c r="X212" s="149" t="e">
        <f t="shared" si="106"/>
        <v>#VALUE!</v>
      </c>
      <c r="Y212" s="67">
        <f t="shared" si="107"/>
        <v>0.14729999999999999</v>
      </c>
      <c r="Z212" s="67">
        <f t="shared" si="108"/>
        <v>2.3300999999999998</v>
      </c>
      <c r="AA212" s="67">
        <f t="shared" si="109"/>
        <v>2.1827999999999999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110"/>
        <v>57-15</v>
      </c>
      <c r="AE212" s="91" t="str">
        <f t="shared" si="111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2" s="88" t="str">
        <f t="shared" si="112"/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212" s="1" t="str">
        <f t="shared" si="113"/>
        <v>Other</v>
      </c>
      <c r="AH212" s="92" t="str">
        <f t="shared" si="95"/>
        <v>"%USERPROFILE%\Documents\GitHub\eaglep3\Utilities\RefineRTDCRunTimes.py" --tripid 57-15 --locoid 4011 --swversion DE.1.0.7.0 --startMP 204:1473 --initTime 2016-10-15T18:16:29 --startdatetime 1969-12-31T17:00:00 --delay 3 --endMP 300:23301 --enddatetime 1969-12-31T17:00:00 --enforcementcount 0 &gt;&gt;C:\Users\stu\Documents\GitHub\eaglep3-reporting\EC\2016-10-15-refined-times.txt</v>
      </c>
      <c r="AI212" s="122" t="str">
        <f t="shared" si="96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ID","value":"57-15"},{"id":16,"name":"Locomotive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535</v>
      </c>
      <c r="B213" s="7">
        <v>4007</v>
      </c>
      <c r="C213" s="22" t="s">
        <v>99</v>
      </c>
      <c r="D213" s="22" t="s">
        <v>736</v>
      </c>
      <c r="E213" s="13">
        <v>42658.521562499998</v>
      </c>
      <c r="F213" s="13">
        <v>25568.708333333332</v>
      </c>
      <c r="G213" s="7">
        <v>1</v>
      </c>
      <c r="H213" s="13" t="s">
        <v>737</v>
      </c>
      <c r="I213" s="13">
        <v>25568.708333333332</v>
      </c>
      <c r="J213" s="7">
        <v>0</v>
      </c>
      <c r="K213" s="112" t="str">
        <f t="shared" si="99"/>
        <v>4007/4008</v>
      </c>
      <c r="L213" s="22" t="str">
        <f>VLOOKUP(A213,'Trips&amp;Operators'!$C$1:$E$10000,3,FALSE)</f>
        <v>STRICKLAND</v>
      </c>
      <c r="M213" s="6">
        <f t="shared" si="100"/>
        <v>0</v>
      </c>
      <c r="N213" s="7">
        <f t="shared" si="101"/>
        <v>0</v>
      </c>
      <c r="O213" s="7"/>
      <c r="P213" s="7"/>
      <c r="Q213" s="23"/>
      <c r="R213" s="23"/>
      <c r="S213" s="35">
        <f t="shared" si="102"/>
        <v>0</v>
      </c>
      <c r="T213" s="50" t="e">
        <f t="shared" si="103"/>
        <v>#VALUE!</v>
      </c>
      <c r="U213" s="144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11:31:03-0600',mode:absolute,to:'1969-12-31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3" s="52" t="str">
        <f t="shared" si="105"/>
        <v>Y</v>
      </c>
      <c r="X213" s="149" t="e">
        <f t="shared" si="106"/>
        <v>#VALUE!</v>
      </c>
      <c r="Y213" s="67">
        <f t="shared" si="107"/>
        <v>0.11840000000000001</v>
      </c>
      <c r="Z213" s="67">
        <f t="shared" si="108"/>
        <v>2.4211999999999998</v>
      </c>
      <c r="AA213" s="67">
        <f t="shared" si="109"/>
        <v>2.3028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110"/>
        <v>59-15</v>
      </c>
      <c r="AE213" s="91" t="str">
        <f t="shared" si="111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3" s="88" t="str">
        <f t="shared" si="112"/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13" s="1" t="str">
        <f t="shared" si="113"/>
        <v>Other</v>
      </c>
      <c r="AH213" s="92" t="str">
        <f t="shared" si="95"/>
        <v>"%USERPROFILE%\Documents\GitHub\eaglep3\Utilities\RefineRTDCRunTimes.py" --tripid 59-15 --locoid 4007 --swversion DE.1.0.7.0 --startMP 204:1184 --initTime 2016-10-15T12:31:03 --startdatetime 1969-12-31T17:00:00 --delay 1 --endMP 300:24212 --enddatetime 1969-12-31T17:00:00 --enforcementcount 0 &gt;&gt;C:\Users\stu\Documents\GitHub\eaglep3-reporting\EC\2016-10-15-refined-times.txt</v>
      </c>
      <c r="AI213" s="122" t="str">
        <f t="shared" si="96"/>
        <v>echo {"issue":{"subject":"","project_id":79,"tracker_id":40,"status_id":1,"priority_id":2,"assigned_to_id":23,"start_date":"1969-12-31","description":"","custom_fields":[{"id":1,"name":"Subdivision","value":"Other"},{"id":4,"name":"Milepost","value":"2.4212"},{"id":17,"name":"Train ID","value":"59-15"},{"id":16,"name":"Locomotive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1" customFormat="1" x14ac:dyDescent="0.25">
      <c r="A214" s="37" t="s">
        <v>593</v>
      </c>
      <c r="B214" s="7">
        <v>4022</v>
      </c>
      <c r="C214" s="22" t="s">
        <v>99</v>
      </c>
      <c r="D214" s="22" t="s">
        <v>398</v>
      </c>
      <c r="E214" s="13">
        <v>42658.775057870371</v>
      </c>
      <c r="F214" s="13">
        <v>25568.708333333332</v>
      </c>
      <c r="G214" s="7">
        <v>1</v>
      </c>
      <c r="H214" s="13" t="s">
        <v>334</v>
      </c>
      <c r="I214" s="13">
        <v>25568.708333333332</v>
      </c>
      <c r="J214" s="7">
        <v>0</v>
      </c>
      <c r="K214" s="112" t="str">
        <f t="shared" si="99"/>
        <v>4021/4022</v>
      </c>
      <c r="L214" s="22" t="str">
        <f>VLOOKUP(A214,'Trips&amp;Operators'!$C$1:$E$10000,3,FALSE)</f>
        <v>MOSES</v>
      </c>
      <c r="M214" s="6">
        <f t="shared" si="100"/>
        <v>0</v>
      </c>
      <c r="N214" s="7">
        <f t="shared" si="101"/>
        <v>0</v>
      </c>
      <c r="O214" s="7"/>
      <c r="P214" s="7"/>
      <c r="Q214" s="23"/>
      <c r="R214" s="23"/>
      <c r="S214" s="35">
        <f t="shared" si="102"/>
        <v>0</v>
      </c>
      <c r="T214" s="50" t="e">
        <f t="shared" si="103"/>
        <v>#VALUE!</v>
      </c>
      <c r="U214" s="144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https://search-rtdc-monitor-bjffxe2xuh6vdkpspy63sjmuny.us-east-1.es.amazonaws.com/_plugin/kibana/#/discover/Steve-Slow-Train-Analysis-(2080s-and-2083s)?_g=(refreshInterval:(display:Off,section:0,value:0),time:(from:'2016-10-15 17:36:05-0600',mode:absolute,to:'1969-12-31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4" s="52" t="str">
        <f t="shared" si="105"/>
        <v>Y</v>
      </c>
      <c r="X214" s="149" t="e">
        <f t="shared" si="106"/>
        <v>#VALUE!</v>
      </c>
      <c r="Y214" s="67">
        <f t="shared" si="107"/>
        <v>4.4400000000000002E-2</v>
      </c>
      <c r="Z214" s="67">
        <f t="shared" si="108"/>
        <v>2.331</v>
      </c>
      <c r="AA214" s="67">
        <f t="shared" si="109"/>
        <v>2.2866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110"/>
        <v>61-15</v>
      </c>
      <c r="AE214" s="91" t="str">
        <f t="shared" si="111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4" s="88" t="str">
        <f t="shared" si="112"/>
        <v>"C:\Program Files (x86)\AstroGrep\AstroGrep.exe" /spath="%USERPROFILE%\AppData\Local\Temp\OnboardLogs" /stypes="app*4022*19691231*" /stext=" 23:.+((SYSTEM_STATE.+slice.+state.+changed )|(ment ac)|(system.+state.+changed )|(\[timeout)|(PRM\|1\|D)|(kpr)|(kdp)|(\|lc)|(penalty))" /e /r /s</v>
      </c>
      <c r="AG214" s="1" t="str">
        <f t="shared" si="113"/>
        <v>Other</v>
      </c>
      <c r="AH214" s="92" t="str">
        <f t="shared" si="95"/>
        <v>"%USERPROFILE%\Documents\GitHub\eaglep3\Utilities\RefineRTDCRunTimes.py" --tripid 61-15 --locoid 4022 --swversion DE.1.0.7.0 --startMP 204:444 --initTime 2016-10-15T18:36:05 --startdatetime 1969-12-31T17:00:00 --delay 1 --endMP 300:23310 --enddatetime 1969-12-31T17:00:00 --enforcementcount 0 &gt;&gt;C:\Users\stu\Documents\GitHub\eaglep3-reporting\EC\2016-10-15-refined-times.txt</v>
      </c>
      <c r="AI214" s="122" t="str">
        <f t="shared" si="96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ID","value":"61-15"},{"id":16,"name":"Locomotive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9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9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9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</sheetData>
  <autoFilter ref="A12:AG267">
    <sortState ref="A13:AG257">
      <sortCondition ref="AG13:AG204"/>
      <sortCondition ref="AD13:AD204"/>
    </sortState>
  </autoFilter>
  <sortState ref="A13:AH200">
    <sortCondition ref="AG13:AG200"/>
    <sortCondition ref="AD13:AD200"/>
  </sortState>
  <mergeCells count="1">
    <mergeCell ref="A11:P11"/>
  </mergeCells>
  <conditionalFormatting sqref="W11:W12 W268:X1048576 W13:X214">
    <cfRule type="cellIs" dxfId="10" priority="344" operator="equal">
      <formula>"Y"</formula>
    </cfRule>
  </conditionalFormatting>
  <conditionalFormatting sqref="X268:X1048576 X13:X214">
    <cfRule type="cellIs" dxfId="9" priority="327" operator="greaterThan">
      <formula>1</formula>
    </cfRule>
  </conditionalFormatting>
  <conditionalFormatting sqref="X268:X1048576 X12:X214">
    <cfRule type="cellIs" dxfId="8" priority="324" operator="equal">
      <formula>0</formula>
    </cfRule>
  </conditionalFormatting>
  <conditionalFormatting sqref="A13:S214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AK13:AK214</xm:sqref>
        </x14:dataValidation>
        <x14:dataValidation type="list" allowBlank="1" showInputMessage="1" showErrorMessage="1">
          <x14:formula1>
            <xm:f>'Redmine List Values'!$C$2:$C$14</xm:f>
          </x14:formula1>
          <xm:sqref>AL13:AL214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7"/>
  <sheetViews>
    <sheetView topLeftCell="A2" workbookViewId="0">
      <selection activeCell="P7" sqref="P7:P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42" customWidth="1"/>
    <col min="5" max="5" width="18.5703125" style="142" customWidth="1"/>
    <col min="6" max="6" width="5.7109375" style="142" customWidth="1"/>
    <col min="7" max="7" width="5.85546875" style="142" customWidth="1"/>
    <col min="8" max="8" width="7.85546875" style="142" customWidth="1"/>
    <col min="9" max="9" width="9" style="142" customWidth="1"/>
    <col min="10" max="10" width="11.5703125" style="142" hidden="1" customWidth="1"/>
    <col min="11" max="11" width="9.140625" style="142" customWidth="1"/>
    <col min="12" max="12" width="7.85546875" style="142" customWidth="1"/>
    <col min="13" max="13" width="7.85546875" style="2" customWidth="1"/>
    <col min="14" max="14" width="11.85546875" style="138" customWidth="1"/>
    <col min="15" max="15" width="5.140625" style="142" customWidth="1"/>
    <col min="16" max="16" width="30.7109375" style="142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55" customWidth="1"/>
  </cols>
  <sheetData>
    <row r="1" spans="1:29" s="21" customFormat="1" ht="15.75" hidden="1" thickBot="1" x14ac:dyDescent="0.3">
      <c r="A1" s="8"/>
      <c r="D1" s="142"/>
      <c r="E1" s="142"/>
      <c r="F1" s="142"/>
      <c r="G1" s="142"/>
      <c r="H1" s="142"/>
      <c r="I1" s="142"/>
      <c r="J1" s="142"/>
      <c r="K1" s="142"/>
      <c r="L1" s="142"/>
      <c r="M1" s="2"/>
      <c r="N1" s="138"/>
      <c r="O1" s="142"/>
      <c r="P1" s="142"/>
      <c r="R1" s="89"/>
      <c r="S1" s="101"/>
      <c r="T1" s="86"/>
      <c r="V1" s="48"/>
      <c r="AC1" s="155"/>
    </row>
    <row r="2" spans="1:29" s="21" customFormat="1" x14ac:dyDescent="0.25">
      <c r="A2" s="8"/>
      <c r="D2" s="142"/>
      <c r="E2" s="142"/>
      <c r="F2" s="142"/>
      <c r="G2" s="142"/>
      <c r="H2" s="142"/>
      <c r="I2" s="142"/>
      <c r="J2" s="142"/>
      <c r="K2" s="142"/>
      <c r="L2" s="165" t="s">
        <v>80</v>
      </c>
      <c r="M2" s="134"/>
      <c r="N2" s="166"/>
      <c r="O2" s="151">
        <f>COUNTIF($O$7:$O$369,"=Y")</f>
        <v>3</v>
      </c>
      <c r="P2" s="136"/>
      <c r="R2" s="89"/>
      <c r="S2" s="101"/>
      <c r="T2" s="86"/>
      <c r="V2" s="48"/>
      <c r="AC2" s="156"/>
    </row>
    <row r="3" spans="1:29" s="21" customFormat="1" ht="15.75" thickBot="1" x14ac:dyDescent="0.3">
      <c r="A3" s="8"/>
      <c r="D3" s="142"/>
      <c r="E3" s="142"/>
      <c r="F3" s="142"/>
      <c r="G3" s="142"/>
      <c r="H3" s="142"/>
      <c r="I3" s="142"/>
      <c r="J3" s="142"/>
      <c r="K3" s="142"/>
      <c r="L3" s="167" t="s">
        <v>81</v>
      </c>
      <c r="M3" s="135"/>
      <c r="N3" s="168"/>
      <c r="O3" s="152">
        <f>COUNTA($O$7:$O$369)-O2</f>
        <v>24</v>
      </c>
      <c r="P3" s="136"/>
      <c r="R3" s="89"/>
      <c r="S3" s="101"/>
      <c r="T3" s="86"/>
      <c r="V3" s="48"/>
      <c r="AC3" s="156"/>
    </row>
    <row r="4" spans="1:29" s="21" customFormat="1" x14ac:dyDescent="0.25">
      <c r="A4" s="8"/>
      <c r="D4" s="142"/>
      <c r="E4" s="142"/>
      <c r="F4" s="142"/>
      <c r="G4" s="142"/>
      <c r="H4" s="142"/>
      <c r="I4" s="142"/>
      <c r="J4" s="142"/>
      <c r="K4" s="142"/>
      <c r="L4" s="142"/>
      <c r="M4" s="2"/>
      <c r="N4" s="138"/>
      <c r="O4" s="142"/>
      <c r="P4" s="142"/>
      <c r="R4" s="89"/>
      <c r="S4" s="101"/>
      <c r="T4" s="86"/>
      <c r="V4" s="48"/>
      <c r="AC4" s="156"/>
    </row>
    <row r="5" spans="1:29" s="10" customFormat="1" ht="15" customHeight="1" x14ac:dyDescent="0.25">
      <c r="A5" s="181" t="str">
        <f>"Eagle P3 Braking Events - "&amp;TEXT(Variables!$A$2,"YYYY-mm-dd")</f>
        <v>Eagle P3 Braking Events - 2016-10-15</v>
      </c>
      <c r="B5" s="181"/>
      <c r="C5" s="181"/>
      <c r="D5" s="181"/>
      <c r="E5" s="181"/>
      <c r="F5" s="181"/>
      <c r="G5" s="181"/>
      <c r="H5" s="181"/>
      <c r="I5" s="181"/>
      <c r="J5" s="181"/>
      <c r="K5" s="181"/>
      <c r="L5" s="181"/>
      <c r="M5" s="181"/>
      <c r="N5" s="181"/>
      <c r="O5" s="181"/>
      <c r="P5" s="169"/>
      <c r="R5" s="99"/>
      <c r="S5" s="102"/>
      <c r="T5" s="104"/>
      <c r="V5" s="49"/>
      <c r="AC5" s="157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53" t="s">
        <v>35</v>
      </c>
      <c r="E6" s="153" t="s">
        <v>34</v>
      </c>
      <c r="F6" s="153" t="s">
        <v>33</v>
      </c>
      <c r="G6" s="153" t="s">
        <v>32</v>
      </c>
      <c r="H6" s="153" t="s">
        <v>31</v>
      </c>
      <c r="I6" s="153" t="s">
        <v>159</v>
      </c>
      <c r="J6" s="153" t="s">
        <v>30</v>
      </c>
      <c r="K6" s="153" t="s">
        <v>29</v>
      </c>
      <c r="L6" s="153" t="s">
        <v>28</v>
      </c>
      <c r="M6" s="125" t="s">
        <v>160</v>
      </c>
      <c r="N6" s="170" t="s">
        <v>47</v>
      </c>
      <c r="O6" s="153" t="s">
        <v>27</v>
      </c>
      <c r="P6" s="153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58" t="s">
        <v>181</v>
      </c>
    </row>
    <row r="7" spans="1:29" s="1" customFormat="1" x14ac:dyDescent="0.25">
      <c r="A7" s="36">
        <v>42658.384930555556</v>
      </c>
      <c r="B7" s="31" t="s">
        <v>427</v>
      </c>
      <c r="C7" s="31" t="s">
        <v>432</v>
      </c>
      <c r="D7" s="31" t="s">
        <v>49</v>
      </c>
      <c r="E7" s="31" t="s">
        <v>155</v>
      </c>
      <c r="F7" s="47">
        <v>0</v>
      </c>
      <c r="G7" s="47">
        <v>409</v>
      </c>
      <c r="H7" s="47">
        <v>62640</v>
      </c>
      <c r="I7" s="47">
        <v>63415</v>
      </c>
      <c r="J7" s="31" t="s">
        <v>154</v>
      </c>
      <c r="K7" s="47">
        <v>63069</v>
      </c>
      <c r="L7" s="172" t="s">
        <v>50</v>
      </c>
      <c r="M7" s="173">
        <f t="shared" ref="M7:M33" si="0">CONVERT((I7-K7)/10000,"mi","ft")*IF(L7="Increasing Mileposts (1)",-1,1)</f>
        <v>-182.68799999999999</v>
      </c>
      <c r="N7" s="174" t="str">
        <f>VLOOKUP(C7,'Trips&amp;Operators'!$C$1:$E$99999,3,FALSE)</f>
        <v>STRICKLAND</v>
      </c>
      <c r="O7" s="154" t="s">
        <v>287</v>
      </c>
      <c r="P7" s="175" t="s">
        <v>765</v>
      </c>
      <c r="Q7" s="31"/>
      <c r="R7" s="100" t="str">
        <f>VLOOKUP(C7,'Train Runs'!$A$13:$AE$10011,31,0)</f>
        <v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v>
      </c>
      <c r="S7" s="103" t="str">
        <f>VLOOKUP(C7,'Train Runs'!$A$13:$AE$10011,22,0)</f>
        <v>https://search-rtdc-monitor-bjffxe2xuh6vdkpspy63sjmuny.us-east-1.es.amazonaws.com/_plugin/kibana/#/discover/Steve-Slow-Train-Analysis-(2080s-and-2083s)?_g=(refreshInterval:(display:Off,section:0,value:0),time:(from:'2016-10-15 07:53:41-0600',mode:absolute,to:'2016-10-15 10:38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7" s="105" t="str">
        <f t="shared" ref="T7:T33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/stypes="*4053*201610151*" /stext=" 15:.+((SYSTEM_STATE.+slice.+state.+changed )|(ment ac)|(system.+state.+changed )|(\[timeout)|(PRM\|1\|D)|(kpr)|(kdp)|(\|lc)|(penalty))" /e /r /s</v>
      </c>
      <c r="U7" s="9" t="str">
        <f t="shared" ref="U7:U33" si="2">MID(B7,13,4)</f>
        <v>4053</v>
      </c>
      <c r="V7" s="36">
        <f t="shared" ref="V7:V33" si="3">A7+6/24</f>
        <v>42658.634930555556</v>
      </c>
      <c r="W7" s="50" t="str">
        <f t="shared" ref="W7:W33" si="4">IF(VALUE(LEFT(IF(LEN(C7)=6,"0"&amp;C7,C7),2))&lt;=2,"EC",IF(OR(VALUE(LEFT(IF(LEN(C7)=6,"0"&amp;C7,C7),2))=8,VALUE(LEFT(IF(LEN(C7)=6,"0"&amp;C7,C7),2))=18),"NW","Other"))</f>
        <v>EC</v>
      </c>
      <c r="X7" s="50" t="str">
        <f t="shared" ref="X7:X33" si="5">IF(AND(E7="TRACK WARRANT AUTHORITY",G7&lt;10),"OMIT","KEEP")</f>
        <v>KEEP</v>
      </c>
      <c r="Y7" s="122" t="str">
        <f t="shared" ref="Y7:Y3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arrival","project_id":79,"tracker_id":40,"status_id":1,"priority_id":2,"assigned_to_id":23,"start_date":"2016-10-15","description":"","custom_fields":[{"id":1,"name":"Subdivision","value":"EC"},{"id":4,"name":"Milepost","value":"6.3069"},{"id":17,"name":"Train ID","value":"143-15"},{"id":16,"name":"Locomotive ID","value":"4053"},{"id":130,"name":"Impact","value":""},{"id":150,"name":"Time of Event (Mountain Time)","value":"09:14:18"},{"id":151,"name":"Denver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55" t="str">
        <f t="shared" ref="AC7:AC33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"%USERPROFILE%\AppData\Local\Temp\OnboardLogs"\RTDC4053\*4053*201610151* | grep -SE "((Enforcement Ac)|(PRM))" -</v>
      </c>
    </row>
    <row r="8" spans="1:29" s="1" customFormat="1" x14ac:dyDescent="0.25">
      <c r="A8" s="36">
        <v>42658.59783564815</v>
      </c>
      <c r="B8" s="31" t="s">
        <v>197</v>
      </c>
      <c r="C8" s="31" t="s">
        <v>442</v>
      </c>
      <c r="D8" s="31" t="s">
        <v>189</v>
      </c>
      <c r="E8" s="31" t="s">
        <v>155</v>
      </c>
      <c r="F8" s="47">
        <v>0</v>
      </c>
      <c r="G8" s="47">
        <v>70</v>
      </c>
      <c r="H8" s="47">
        <v>63261</v>
      </c>
      <c r="I8" s="47">
        <v>63252</v>
      </c>
      <c r="J8" s="31" t="s">
        <v>154</v>
      </c>
      <c r="K8" s="47">
        <v>63309</v>
      </c>
      <c r="L8" s="172" t="s">
        <v>51</v>
      </c>
      <c r="M8" s="173">
        <f t="shared" si="0"/>
        <v>-30.096</v>
      </c>
      <c r="N8" s="174" t="str">
        <f>VLOOKUP(C8,'Trips&amp;Operators'!$C$1:$E$99999,3,FALSE)</f>
        <v>ISHMAEL</v>
      </c>
      <c r="O8" s="154" t="s">
        <v>287</v>
      </c>
      <c r="P8" s="175" t="s">
        <v>765</v>
      </c>
      <c r="Q8" s="31"/>
      <c r="R8" s="100" t="str">
        <f>VLOOKUP(C8,'Train Runs'!$A$13:$AE$10011,31,0)</f>
        <v>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 &amp; aws s3 cp s3://rtdc.mdm.uploadarchive.raw/RTDC4004/ "%USERPROFILE%\AppData\Local\Temp\OnboardLogs"\RTDC4004\2016-10-16 --exclude "*" --recursive --include "*20161016*" &amp; "%USERPROFILE%\Documents\GitHub\mrs-test-scripts\Headless Mode &amp; Sideloading\WalkAndUnGZ.bat" "%USERPROFILE%\AppData\Local\Temp\OnboardLogs"\RTDC4004\2016-10-16</v>
      </c>
      <c r="S8" s="103" t="str">
        <f>VLOOKUP(C8,'Train Runs'!$A$13:$AE$10011,22,0)</f>
        <v>https://search-rtdc-monitor-bjffxe2xuh6vdkpspy63sjmuny.us-east-1.es.amazonaws.com/_plugin/kibana/#/discover/Steve-Slow-Train-Analysis-(2080s-and-2083s)?_g=(refreshInterval:(display:Off,section:0,value:0),time:(from:'2016-10-15 12:48:12-0600',mode:absolute,to:'2016-10-15 15:41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8" s="105" t="str">
        <f t="shared" si="1"/>
        <v>"C:\Program Files (x86)\AstroGrep\AstroGrep.exe" /spath="%USERPROFILE%\AppData\Local\Temp\OnboardLogs" /stypes="*4004*201610152*" /stext=" 20:.+((SYSTEM_STATE.+slice.+state.+changed )|(ment ac)|(system.+state.+changed )|(\[timeout)|(PRM\|1\|D)|(kpr)|(kdp)|(\|lc)|(penalty))" /e /r /s</v>
      </c>
      <c r="U8" s="9" t="str">
        <f t="shared" si="2"/>
        <v>4004</v>
      </c>
      <c r="V8" s="36">
        <f t="shared" si="3"/>
        <v>42658.84783564815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arrival","project_id":79,"tracker_id":40,"status_id":1,"priority_id":2,"assigned_to_id":23,"start_date":"2016-10-15","description":"","custom_fields":[{"id":1,"name":"Subdivision","value":"EC"},{"id":4,"name":"Milepost","value":"6.3309"},{"id":17,"name":"Train ID","value":"176-15"},{"id":16,"name":"Locomotive ID","value":"4004"},{"id":130,"name":"Impact","value":""},{"id":150,"name":"Time of Event (Mountain Time)","value":"14:20:53"},{"id":151,"name":"Denver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55" t="str">
        <f t="shared" si="7"/>
        <v>grep -hSE -A100 "Enforcement Action" "%USERPROFILE%\AppData\Local\Temp\OnboardLogs"\RTDC4004\*4004*201610152* | grep -SE "((Enforcement Ac)|(PRM))" -</v>
      </c>
    </row>
    <row r="9" spans="1:29" s="1" customFormat="1" x14ac:dyDescent="0.25">
      <c r="A9" s="36">
        <v>42658.598530092589</v>
      </c>
      <c r="B9" s="31" t="s">
        <v>197</v>
      </c>
      <c r="C9" s="31" t="s">
        <v>442</v>
      </c>
      <c r="D9" s="31" t="s">
        <v>189</v>
      </c>
      <c r="E9" s="31" t="s">
        <v>155</v>
      </c>
      <c r="F9" s="47">
        <v>0</v>
      </c>
      <c r="G9" s="47">
        <v>70</v>
      </c>
      <c r="H9" s="47">
        <v>63261</v>
      </c>
      <c r="I9" s="47">
        <v>63255</v>
      </c>
      <c r="J9" s="31" t="s">
        <v>154</v>
      </c>
      <c r="K9" s="47">
        <v>63309</v>
      </c>
      <c r="L9" s="172" t="s">
        <v>51</v>
      </c>
      <c r="M9" s="173">
        <f t="shared" si="0"/>
        <v>-28.512</v>
      </c>
      <c r="N9" s="174" t="str">
        <f>VLOOKUP(C9,'Trips&amp;Operators'!$C$1:$E$99999,3,FALSE)</f>
        <v>ISHMAEL</v>
      </c>
      <c r="O9" s="154" t="s">
        <v>287</v>
      </c>
      <c r="P9" s="175" t="s">
        <v>765</v>
      </c>
      <c r="Q9" s="31"/>
      <c r="R9" s="100" t="str">
        <f>VLOOKUP(C9,'Train Runs'!$A$13:$AE$10011,31,0)</f>
        <v>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 &amp; aws s3 cp s3://rtdc.mdm.uploadarchive.raw/RTDC4004/ "%USERPROFILE%\AppData\Local\Temp\OnboardLogs"\RTDC4004\2016-10-16 --exclude "*" --recursive --include "*20161016*" &amp; "%USERPROFILE%\Documents\GitHub\mrs-test-scripts\Headless Mode &amp; Sideloading\WalkAndUnGZ.bat" "%USERPROFILE%\AppData\Local\Temp\OnboardLogs"\RTDC4004\2016-10-16</v>
      </c>
      <c r="S9" s="103" t="str">
        <f>VLOOKUP(C9,'Train Runs'!$A$13:$AE$10011,22,0)</f>
        <v>https://search-rtdc-monitor-bjffxe2xuh6vdkpspy63sjmuny.us-east-1.es.amazonaws.com/_plugin/kibana/#/discover/Steve-Slow-Train-Analysis-(2080s-and-2083s)?_g=(refreshInterval:(display:Off,section:0,value:0),time:(from:'2016-10-15 12:48:12-0600',mode:absolute,to:'2016-10-15 15:41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9" s="105" t="str">
        <f t="shared" si="1"/>
        <v>"C:\Program Files (x86)\AstroGrep\AstroGrep.exe" /spath="%USERPROFILE%\AppData\Local\Temp\OnboardLogs" /stypes="*4004*201610152*" /stext=" 20:.+((SYSTEM_STATE.+slice.+state.+changed )|(ment ac)|(system.+state.+changed )|(\[timeout)|(PRM\|1\|D)|(kpr)|(kdp)|(\|lc)|(penalty))" /e /r /s</v>
      </c>
      <c r="U9" s="9" t="str">
        <f t="shared" si="2"/>
        <v>4004</v>
      </c>
      <c r="V9" s="36">
        <f t="shared" si="3"/>
        <v>42658.848530092589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arrival","project_id":79,"tracker_id":40,"status_id":1,"priority_id":2,"assigned_to_id":23,"start_date":"2016-10-15","description":"","custom_fields":[{"id":1,"name":"Subdivision","value":"EC"},{"id":4,"name":"Milepost","value":"6.3309"},{"id":17,"name":"Train ID","value":"176-15"},{"id":16,"name":"Locomotive ID","value":"4004"},{"id":130,"name":"Impact","value":""},{"id":150,"name":"Time of Event (Mountain Time)","value":"14:21:53"},{"id":151,"name":"Denver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55" t="str">
        <f t="shared" si="7"/>
        <v>grep -hSE -A100 "Enforcement Action" "%USERPROFILE%\AppData\Local\Temp\OnboardLogs"\RTDC4004\*4004*201610152* | grep -SE "((Enforcement Ac)|(PRM))" -</v>
      </c>
    </row>
    <row r="10" spans="1:29" s="1" customFormat="1" x14ac:dyDescent="0.25">
      <c r="A10" s="36">
        <v>42658.39980324074</v>
      </c>
      <c r="B10" s="31" t="s">
        <v>339</v>
      </c>
      <c r="C10" s="31" t="s">
        <v>433</v>
      </c>
      <c r="D10" s="31" t="s">
        <v>49</v>
      </c>
      <c r="E10" s="31" t="s">
        <v>155</v>
      </c>
      <c r="F10" s="47">
        <v>120</v>
      </c>
      <c r="G10" s="47">
        <v>171</v>
      </c>
      <c r="H10" s="47">
        <v>63770</v>
      </c>
      <c r="I10" s="47">
        <v>63581</v>
      </c>
      <c r="J10" s="31" t="s">
        <v>154</v>
      </c>
      <c r="K10" s="47">
        <v>63309</v>
      </c>
      <c r="L10" s="172" t="s">
        <v>51</v>
      </c>
      <c r="M10" s="173">
        <f t="shared" si="0"/>
        <v>143.61600000000001</v>
      </c>
      <c r="N10" s="174" t="str">
        <f>VLOOKUP(C10,'Trips&amp;Operators'!$C$1:$E$99999,3,FALSE)</f>
        <v>KILLION</v>
      </c>
      <c r="O10" s="154" t="s">
        <v>287</v>
      </c>
      <c r="P10" s="175" t="s">
        <v>765</v>
      </c>
      <c r="Q10" s="31"/>
      <c r="R10" s="100" t="str">
        <f>VLOOKUP(C10,'Train Runs'!$A$13:$AE$10011,31,0)</f>
        <v>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 &amp; aws s3 cp s3://rtdc.mdm.uploadarchive.raw/RTDC4012/ "%USERPROFILE%\AppData\Local\Temp\OnboardLogs"\RTDC4012\2016-10-16 --exclude "*" --recursive --include "*20161016*" &amp; "%USERPROFILE%\Documents\GitHub\mrs-test-scripts\Headless Mode &amp; Sideloading\WalkAndUnGZ.bat" "%USERPROFILE%\AppData\Local\Temp\OnboardLogs"\RTDC4012\2016-10-16</v>
      </c>
      <c r="S10" s="103" t="str">
        <f>VLOOKUP(C10,'Train Runs'!$A$13:$AE$10011,22,0)</f>
        <v>https://search-rtdc-monitor-bjffxe2xuh6vdkpspy63sjmuny.us-east-1.es.amazonaws.com/_plugin/kibana/#/discover/Steve-Slow-Train-Analysis-(2080s-and-2083s)?_g=(refreshInterval:(display:Off,section:0,value:0),time:(from:'2016-10-15 07:58:07-0600',mode:absolute,to:'2016-10-15 10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0" s="105" t="str">
        <f t="shared" si="1"/>
        <v>"C:\Program Files (x86)\AstroGrep\AstroGrep.exe" /spath="%USERPROFILE%\AppData\Local\Temp\OnboardLogs" /stypes="*4012*201610151*" /stext=" 15:.+((SYSTEM_STATE.+slice.+state.+changed )|(ment ac)|(system.+state.+changed )|(\[timeout)|(PRM\|1\|D)|(kpr)|(kdp)|(\|lc)|(penalty))" /e /r /s</v>
      </c>
      <c r="U10" s="9" t="str">
        <f t="shared" si="2"/>
        <v>4012</v>
      </c>
      <c r="V10" s="36">
        <f t="shared" si="3"/>
        <v>42658.64980324074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arrival","project_id":79,"tracker_id":40,"status_id":1,"priority_id":2,"assigned_to_id":23,"start_date":"2016-10-15","description":"","custom_fields":[{"id":1,"name":"Subdivision","value":"EC"},{"id":4,"name":"Milepost","value":"6.3309"},{"id":17,"name":"Train ID","value":"138-15"},{"id":16,"name":"Locomotive ID","value":"4012"},{"id":130,"name":"Impact","value":""},{"id":150,"name":"Time of Event (Mountain Time)","value":"09:35:43"},{"id":151,"name":"Denver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55" t="str">
        <f t="shared" si="7"/>
        <v>grep -hSE -A100 "Enforcement Action" "%USERPROFILE%\AppData\Local\Temp\OnboardLogs"\RTDC4012\*4012*201610151* | grep -SE "((Enforcement Ac)|(PRM))" -</v>
      </c>
    </row>
    <row r="11" spans="1:29" s="1" customFormat="1" x14ac:dyDescent="0.25">
      <c r="A11" s="36">
        <v>42658.453402777777</v>
      </c>
      <c r="B11" s="31" t="s">
        <v>200</v>
      </c>
      <c r="C11" s="31" t="s">
        <v>436</v>
      </c>
      <c r="D11" s="31" t="s">
        <v>49</v>
      </c>
      <c r="E11" s="31" t="s">
        <v>288</v>
      </c>
      <c r="F11" s="47">
        <v>400</v>
      </c>
      <c r="G11" s="47">
        <v>557</v>
      </c>
      <c r="H11" s="47">
        <v>115225</v>
      </c>
      <c r="I11" s="47">
        <v>116826</v>
      </c>
      <c r="J11" s="31" t="s">
        <v>289</v>
      </c>
      <c r="K11" s="47">
        <v>116838</v>
      </c>
      <c r="L11" s="172" t="s">
        <v>50</v>
      </c>
      <c r="M11" s="173">
        <f t="shared" si="0"/>
        <v>6.3360000000000003</v>
      </c>
      <c r="N11" s="174" t="str">
        <f>VLOOKUP(C11,'Trips&amp;Operators'!$C$1:$E$99999,3,FALSE)</f>
        <v>CLARK</v>
      </c>
      <c r="O11" s="154" t="s">
        <v>287</v>
      </c>
      <c r="P11" s="175"/>
      <c r="Q11" s="31"/>
      <c r="R11" s="100" t="str">
        <f>VLOOKUP(C11,'Train Runs'!$A$13:$AE$10011,31,0)</f>
        <v>aws s3 cp s3://rtdc.mdm.uploadarchive.raw/RTDC4044/ "%USERPROFILE%\AppData\Local\Temp\OnboardLogs"\RTDC4044\2016-10-15 --exclude "*" --recursive --include "*20161015*" &amp; "%USERPROFILE%\Documents\GitHub\mrs-test-scripts\Headless Mode &amp; Sideloading\WalkAndUnGZ.bat" "%USERPROFILE%\AppData\Local\Temp\OnboardLogs"\RTDC4044\2016-10-15 &amp; aws s3 cp s3://rtdc.mdm.uploadarchive.raw/RTDC4044/ "%USERPROFILE%\AppData\Local\Temp\OnboardLogs"\RTDC4044\2016-10-16 --exclude "*" --recursive --include "*20161016*" &amp; "%USERPROFILE%\Documents\GitHub\mrs-test-scripts\Headless Mode &amp; Sideloading\WalkAndUnGZ.bat" "%USERPROFILE%\AppData\Local\Temp\OnboardLogs"\RTDC4044\2016-10-16</v>
      </c>
      <c r="S11" s="103" t="str">
        <f>VLOOKUP(C11,'Train Runs'!$A$13:$AE$10011,22,0)</f>
        <v>https://search-rtdc-monitor-bjffxe2xuh6vdkpspy63sjmuny.us-east-1.es.amazonaws.com/_plugin/kibana/#/discover/Steve-Slow-Train-Analysis-(2080s-and-2083s)?_g=(refreshInterval:(display:Off,section:0,value:0),time:(from:'2016-10-15 09:24:04-0600',mode:absolute,to:'2016-10-15 12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1" s="105" t="str">
        <f t="shared" si="1"/>
        <v>"C:\Program Files (x86)\AstroGrep\AstroGrep.exe" /spath="%USERPROFILE%\AppData\Local\Temp\OnboardLogs" /stypes="*4044*201610151*" /stext=" 16:.+((SYSTEM_STATE.+slice.+state.+changed )|(ment ac)|(system.+state.+changed )|(\[timeout)|(PRM\|1\|D)|(kpr)|(kdp)|(\|lc)|(penalty))" /e /r /s</v>
      </c>
      <c r="U11" s="9" t="str">
        <f t="shared" si="2"/>
        <v>4044</v>
      </c>
      <c r="V11" s="36">
        <f t="shared" si="3"/>
        <v>42658.703402777777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{"issue":{"subject":"","project_id":79,"tracker_id":40,"status_id":1,"priority_id":2,"assigned_to_id":23,"start_date":"2016-10-15","description":"","custom_fields":[{"id":1,"name":"Subdivision","value":"EC"},{"id":4,"name":"Milepost","value":"11.6838"},{"id":17,"name":"Train ID","value":"155-15"},{"id":16,"name":"Locomotive ID","value":"4044"},{"id":130,"name":"Impact","value":""},{"id":150,"name":"Time of Event (Mountain Time)","value":"10:52:54"},{"id":151,"name":"Denver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55" t="str">
        <f t="shared" si="7"/>
        <v>grep -hSE -A100 "Enforcement Action" "%USERPROFILE%\AppData\Local\Temp\OnboardLogs"\RTDC4044\*4044*201610151* | grep -SE "((Enforcement Ac)|(PRM))" -</v>
      </c>
    </row>
    <row r="12" spans="1:29" s="1" customFormat="1" x14ac:dyDescent="0.25">
      <c r="A12" s="36">
        <v>42658.436006944445</v>
      </c>
      <c r="B12" s="31" t="s">
        <v>223</v>
      </c>
      <c r="C12" s="31" t="s">
        <v>435</v>
      </c>
      <c r="D12" s="31" t="s">
        <v>98</v>
      </c>
      <c r="E12" s="31" t="s">
        <v>288</v>
      </c>
      <c r="F12" s="47">
        <v>400</v>
      </c>
      <c r="G12" s="47">
        <v>451</v>
      </c>
      <c r="H12" s="47">
        <v>116951</v>
      </c>
      <c r="I12" s="47">
        <v>115339</v>
      </c>
      <c r="J12" s="31" t="s">
        <v>289</v>
      </c>
      <c r="K12" s="47">
        <v>119716</v>
      </c>
      <c r="L12" s="172" t="s">
        <v>51</v>
      </c>
      <c r="M12" s="173">
        <f t="shared" si="0"/>
        <v>-2311.056</v>
      </c>
      <c r="N12" s="174" t="str">
        <f>VLOOKUP(C12,'Trips&amp;Operators'!$C$1:$E$99999,3,FALSE)</f>
        <v>MALAVE</v>
      </c>
      <c r="O12" s="154" t="s">
        <v>287</v>
      </c>
      <c r="P12" s="175"/>
      <c r="Q12" s="31"/>
      <c r="R12" s="100" t="str">
        <f>VLOOKUP(C12,'Train Runs'!$A$13:$AE$10011,31,0)</f>
        <v>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 &amp; aws s3 cp s3://rtdc.mdm.uploadarchive.raw/RTDC4037/ "%USERPROFILE%\AppData\Local\Temp\OnboardLogs"\RTDC4037\2016-10-16 --exclude "*" --recursive --include "*20161016*" &amp; "%USERPROFILE%\Documents\GitHub\mrs-test-scripts\Headless Mode &amp; Sideloading\WalkAndUnGZ.bat" "%USERPROFILE%\AppData\Local\Temp\OnboardLogs"\RTDC4037\2016-10-16</v>
      </c>
      <c r="S12" s="103" t="str">
        <f>VLOOKUP(C12,'Train Runs'!$A$13:$AE$10011,22,0)</f>
        <v>https://search-rtdc-monitor-bjffxe2xuh6vdkpspy63sjmuny.us-east-1.es.amazonaws.com/_plugin/kibana/#/discover/Steve-Slow-Train-Analysis-(2080s-and-2083s)?_g=(refreshInterval:(display:Off,section:0,value:0),time:(from:'2016-10-15 09:08:14-0600',mode:absolute,to:'2016-10-15 11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2" s="105" t="str">
        <f t="shared" si="1"/>
        <v>"C:\Program Files (x86)\AstroGrep\AstroGrep.exe" /spath="%USERPROFILE%\AppData\Local\Temp\OnboardLogs" /stypes="*4037*201610151*" /stext=" 16:.+((SYSTEM_STATE.+slice.+state.+changed )|(ment ac)|(system.+state.+changed )|(\[timeout)|(PRM\|1\|D)|(kpr)|(kdp)|(\|lc)|(penalty))" /e /r /s</v>
      </c>
      <c r="U12" s="9" t="str">
        <f t="shared" si="2"/>
        <v>4037</v>
      </c>
      <c r="V12" s="36">
        <f t="shared" si="3"/>
        <v>42658.686006944445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{"issue":{"subject":"","project_id":79,"tracker_id":40,"status_id":1,"priority_id":2,"assigned_to_id":23,"start_date":"2016-10-15","description":"","custom_fields":[{"id":1,"name":"Subdivision","value":"EC"},{"id":4,"name":"Milepost","value":"11.9716"},{"id":17,"name":"Train ID","value":"146-15"},{"id":16,"name":"Locomotive ID","value":"4037"},{"id":130,"name":"Impact","value":""},{"id":150,"name":"Time of Event (Mountain Time)","value":"10:27:51"},{"id":151,"name":"Denver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55" t="str">
        <f t="shared" si="7"/>
        <v>grep -hSE -A100 "Enforcement Action" "%USERPROFILE%\AppData\Local\Temp\OnboardLogs"\RTDC4037\*4037*201610151* | grep -SE "((Enforcement Ac)|(PRM))" -</v>
      </c>
    </row>
    <row r="13" spans="1:29" s="1" customFormat="1" x14ac:dyDescent="0.25">
      <c r="A13" s="36">
        <v>42658.25141203704</v>
      </c>
      <c r="B13" s="31" t="s">
        <v>427</v>
      </c>
      <c r="C13" s="31" t="s">
        <v>428</v>
      </c>
      <c r="D13" s="31" t="s">
        <v>49</v>
      </c>
      <c r="E13" s="31" t="s">
        <v>288</v>
      </c>
      <c r="F13" s="47">
        <v>600</v>
      </c>
      <c r="G13" s="47">
        <v>655</v>
      </c>
      <c r="H13" s="47">
        <v>182676</v>
      </c>
      <c r="I13" s="47">
        <v>185103</v>
      </c>
      <c r="J13" s="31" t="s">
        <v>289</v>
      </c>
      <c r="K13" s="47">
        <v>183829</v>
      </c>
      <c r="L13" s="172" t="s">
        <v>50</v>
      </c>
      <c r="M13" s="173">
        <f t="shared" si="0"/>
        <v>-672.67200000000003</v>
      </c>
      <c r="N13" s="174" t="str">
        <f>VLOOKUP(C13,'Trips&amp;Operators'!$C$1:$E$99999,3,FALSE)</f>
        <v>STRICKLAND</v>
      </c>
      <c r="O13" s="154" t="s">
        <v>287</v>
      </c>
      <c r="P13" s="175"/>
      <c r="Q13" s="31"/>
      <c r="R13" s="100" t="str">
        <f>VLOOKUP(C13,'Train Runs'!$A$13:$AE$10011,31,0)</f>
        <v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v>
      </c>
      <c r="S13" s="103" t="str">
        <f>VLOOKUP(C13,'Train Runs'!$A$13:$AE$10011,22,0)</f>
        <v>https://search-rtdc-monitor-bjffxe2xuh6vdkpspy63sjmuny.us-east-1.es.amazonaws.com/_plugin/kibana/#/discover/Steve-Slow-Train-Analysis-(2080s-and-2083s)?_g=(refreshInterval:(display:Off,section:0,value:0),time:(from:'2016-10-15 04:23:15-0600',mode:absolute,to:'2016-10-15 07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3" s="105" t="str">
        <f t="shared" si="1"/>
        <v>"C:\Program Files (x86)\AstroGrep\AstroGrep.exe" /spath="%USERPROFILE%\AppData\Local\Temp\OnboardLogs" /stypes="*4053*201610151*" /stext=" 12:.+((SYSTEM_STATE.+slice.+state.+changed )|(ment ac)|(system.+state.+changed )|(\[timeout)|(PRM\|1\|D)|(kpr)|(kdp)|(\|lc)|(penalty))" /e /r /s</v>
      </c>
      <c r="U13" s="9" t="str">
        <f t="shared" si="2"/>
        <v>4053</v>
      </c>
      <c r="V13" s="36">
        <f t="shared" si="3"/>
        <v>42658.50141203704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{"issue":{"subject":"","project_id":79,"tracker_id":40,"status_id":1,"priority_id":2,"assigned_to_id":23,"start_date":"2016-10-15","description":"","custom_fields":[{"id":1,"name":"Subdivision","value":"EC"},{"id":4,"name":"Milepost","value":"18.3829"},{"id":17,"name":"Train ID","value":"115-15"},{"id":16,"name":"Locomotive ID","value":"4053"},{"id":130,"name":"Impact","value":""},{"id":150,"name":"Time of Event (Mountain Time)","value":"06:02:02"},{"id":151,"name":"Denver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55" t="str">
        <f t="shared" si="7"/>
        <v>grep -hSE -A100 "Enforcement Action" "%USERPROFILE%\AppData\Local\Temp\OnboardLogs"\RTDC4053\*4053*201610151* | grep -SE "((Enforcement Ac)|(PRM))" -</v>
      </c>
    </row>
    <row r="14" spans="1:29" s="1" customFormat="1" x14ac:dyDescent="0.25">
      <c r="A14" s="36">
        <v>42658.542534722219</v>
      </c>
      <c r="B14" s="31" t="s">
        <v>427</v>
      </c>
      <c r="C14" s="31" t="s">
        <v>441</v>
      </c>
      <c r="D14" s="31" t="s">
        <v>49</v>
      </c>
      <c r="E14" s="31" t="s">
        <v>288</v>
      </c>
      <c r="F14" s="47">
        <v>600</v>
      </c>
      <c r="G14" s="47">
        <v>696</v>
      </c>
      <c r="H14" s="47">
        <v>182058</v>
      </c>
      <c r="I14" s="47">
        <v>184960</v>
      </c>
      <c r="J14" s="31" t="s">
        <v>289</v>
      </c>
      <c r="K14" s="47">
        <v>183829</v>
      </c>
      <c r="L14" s="172" t="s">
        <v>50</v>
      </c>
      <c r="M14" s="173">
        <f t="shared" si="0"/>
        <v>-597.16800000000001</v>
      </c>
      <c r="N14" s="174" t="str">
        <f>VLOOKUP(C14,'Trips&amp;Operators'!$C$1:$E$99999,3,FALSE)</f>
        <v>STRICKLAND</v>
      </c>
      <c r="O14" s="154" t="s">
        <v>287</v>
      </c>
      <c r="P14" s="175"/>
      <c r="Q14" s="31"/>
      <c r="R14" s="100" t="str">
        <f>VLOOKUP(C14,'Train Runs'!$A$13:$AE$10011,31,0)</f>
        <v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v>
      </c>
      <c r="S14" s="103" t="str">
        <f>VLOOKUP(C14,'Train Runs'!$A$13:$AE$10011,22,0)</f>
        <v>https://search-rtdc-monitor-bjffxe2xuh6vdkpspy63sjmuny.us-east-1.es.amazonaws.com/_plugin/kibana/#/discover/Steve-Slow-Train-Analysis-(2080s-and-2083s)?_g=(refreshInterval:(display:Off,section:0,value:0),time:(from:'2016-10-15 11:25:40-0600',mode:absolute,to:'2016-10-15 14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4" s="105" t="str">
        <f t="shared" si="1"/>
        <v>"C:\Program Files (x86)\AstroGrep\AstroGrep.exe" /spath="%USERPROFILE%\AppData\Local\Temp\OnboardLogs" /stypes="*4053*201610151*" /stext=" 19:.+((SYSTEM_STATE.+slice.+state.+changed )|(ment ac)|(system.+state.+changed )|(\[timeout)|(PRM\|1\|D)|(kpr)|(kdp)|(\|lc)|(penalty))" /e /r /s</v>
      </c>
      <c r="U14" s="9" t="str">
        <f t="shared" si="2"/>
        <v>4053</v>
      </c>
      <c r="V14" s="36">
        <f t="shared" si="3"/>
        <v>42658.792534722219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{"issue":{"subject":"","project_id":79,"tracker_id":40,"status_id":1,"priority_id":2,"assigned_to_id":23,"start_date":"2016-10-15","description":"","custom_fields":[{"id":1,"name":"Subdivision","value":"EC"},{"id":4,"name":"Milepost","value":"18.3829"},{"id":17,"name":"Train ID","value":"171-15"},{"id":16,"name":"Locomotive ID","value":"4053"},{"id":130,"name":"Impact","value":""},{"id":150,"name":"Time of Event (Mountain Time)","value":"13:01:15"},{"id":151,"name":"Denver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55" t="str">
        <f t="shared" si="7"/>
        <v>grep -hSE -A100 "Enforcement Action" "%USERPROFILE%\AppData\Local\Temp\OnboardLogs"\RTDC4053\*4053*201610151* | grep -SE "((Enforcement Ac)|(PRM))" -</v>
      </c>
    </row>
    <row r="15" spans="1:29" s="1" customFormat="1" x14ac:dyDescent="0.25">
      <c r="A15" s="36">
        <v>42659.064733796295</v>
      </c>
      <c r="B15" s="31" t="s">
        <v>225</v>
      </c>
      <c r="C15" s="31" t="s">
        <v>450</v>
      </c>
      <c r="D15" s="31" t="s">
        <v>98</v>
      </c>
      <c r="E15" s="31" t="s">
        <v>288</v>
      </c>
      <c r="F15" s="47">
        <v>600</v>
      </c>
      <c r="G15" s="47">
        <v>653</v>
      </c>
      <c r="H15" s="47">
        <v>183938</v>
      </c>
      <c r="I15" s="47">
        <v>180877</v>
      </c>
      <c r="J15" s="31" t="s">
        <v>289</v>
      </c>
      <c r="K15" s="47">
        <v>191104</v>
      </c>
      <c r="L15" s="172" t="s">
        <v>51</v>
      </c>
      <c r="M15" s="173">
        <f t="shared" si="0"/>
        <v>-5399.8559999999998</v>
      </c>
      <c r="N15" s="174" t="str">
        <f>VLOOKUP(C15,'Trips&amp;Operators'!$C$1:$E$99999,3,FALSE)</f>
        <v>HAUSER</v>
      </c>
      <c r="O15" s="154" t="s">
        <v>287</v>
      </c>
      <c r="P15" s="175"/>
      <c r="Q15" s="31"/>
      <c r="R15" s="100" t="str">
        <f>VLOOKUP(C15,'Train Runs'!$A$13:$AE$10011,31,0)</f>
        <v>aws s3 cp s3://rtdc.mdm.uploadarchive.raw/RTDC4015/ "%USERPROFILE%\AppData\Local\Temp\OnboardLogs"\RTDC4015\2016-10-16 --exclude "*" --recursive --include "*20161016*" &amp; "%USERPROFILE%\Documents\GitHub\mrs-test-scripts\Headless Mode &amp; Sideloading\WalkAndUnGZ.bat" "%USERPROFILE%\AppData\Local\Temp\OnboardLogs"\RTDC4015\2016-10-16 &amp; aws s3 cp s3://rtdc.mdm.uploadarchive.raw/RTDC4015/ "%USERPROFILE%\AppData\Local\Temp\OnboardLogs"\RTDC4015\2016-10-17 --exclude "*" --recursive --include "*20161017*" &amp; "%USERPROFILE%\Documents\GitHub\mrs-test-scripts\Headless Mode &amp; Sideloading\WalkAndUnGZ.bat" "%USERPROFILE%\AppData\Local\Temp\OnboardLogs"\RTDC4015\2016-10-17</v>
      </c>
      <c r="S15" s="103" t="str">
        <f>VLOOKUP(C15,'Train Runs'!$A$13:$AE$10011,22,0)</f>
        <v>https://search-rtdc-monitor-bjffxe2xuh6vdkpspy63sjmuny.us-east-1.es.amazonaws.com/_plugin/kibana/#/discover/Steve-Slow-Train-Analysis-(2080s-and-2083s)?_g=(refreshInterval:(display:Off,section:0,value:0),time:(from:'2016-10-16 00:15:01-0600',mode:absolute,to:'2016-10-16 03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5" s="105" t="str">
        <f t="shared" si="1"/>
        <v>"C:\Program Files (x86)\AstroGrep\AstroGrep.exe" /spath="%USERPROFILE%\AppData\Local\Temp\OnboardLogs" /stypes="*4015*201610160*" /stext=" 07:.+((SYSTEM_STATE.+slice.+state.+changed )|(ment ac)|(system.+state.+changed )|(\[timeout)|(PRM\|1\|D)|(kpr)|(kdp)|(\|lc)|(penalty))" /e /r /s</v>
      </c>
      <c r="U15" s="9" t="str">
        <f t="shared" si="2"/>
        <v>4015</v>
      </c>
      <c r="V15" s="36">
        <f t="shared" si="3"/>
        <v>42659.314733796295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{"issue":{"subject":"","project_id":79,"tracker_id":40,"status_id":1,"priority_id":2,"assigned_to_id":23,"start_date":"2016-10-16","description":"","custom_fields":[{"id":1,"name":"Subdivision","value":"EC"},{"id":4,"name":"Milepost","value":"19.1104"},{"id":17,"name":"Train ID","value":"244-15"},{"id":16,"name":"Locomotive ID","value":"4015"},{"id":130,"name":"Impact","value":""},{"id":150,"name":"Time of Event (Mountain Time)","value":"01:33:13"},{"id":151,"name":"Denver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55" t="str">
        <f t="shared" si="7"/>
        <v>grep -hSE -A100 "Enforcement Action" "%USERPROFILE%\AppData\Local\Temp\OnboardLogs"\RTDC4015\*4015*201610160* | grep -SE "((Enforcement Ac)|(PRM))" -</v>
      </c>
    </row>
    <row r="16" spans="1:29" s="1" customFormat="1" x14ac:dyDescent="0.25">
      <c r="A16" s="36">
        <v>42658.473344907405</v>
      </c>
      <c r="B16" s="31" t="s">
        <v>339</v>
      </c>
      <c r="C16" s="31" t="s">
        <v>438</v>
      </c>
      <c r="D16" s="31" t="s">
        <v>49</v>
      </c>
      <c r="E16" s="31" t="s">
        <v>292</v>
      </c>
      <c r="F16" s="47">
        <v>0</v>
      </c>
      <c r="G16" s="47">
        <v>399</v>
      </c>
      <c r="H16" s="47">
        <v>84593</v>
      </c>
      <c r="I16" s="47">
        <v>83284</v>
      </c>
      <c r="J16" s="31" t="s">
        <v>293</v>
      </c>
      <c r="K16" s="47">
        <v>81751</v>
      </c>
      <c r="L16" s="172" t="s">
        <v>51</v>
      </c>
      <c r="M16" s="173">
        <f t="shared" si="0"/>
        <v>809.42399999999998</v>
      </c>
      <c r="N16" s="174" t="str">
        <f>VLOOKUP(C16,'Trips&amp;Operators'!$C$1:$E$99999,3,FALSE)</f>
        <v>KILLION</v>
      </c>
      <c r="O16" s="154" t="s">
        <v>208</v>
      </c>
      <c r="P16" s="175" t="s">
        <v>767</v>
      </c>
      <c r="Q16" s="31"/>
      <c r="R16" s="100" t="str">
        <f>VLOOKUP(C16,'Train Runs'!$A$13:$AE$10011,31,0)</f>
        <v>aws s3 cp s3://rtdc.mdm.uploadarchive.raw/RTDC4012/ "%USERPROFILE%\AppData\Local\Temp\OnboardLogs"\RTDC4012\2016-10-15 --exclude "*" --recursive --include "*20161015*" &amp; "%USERPROFILE%\Documents\GitHub\mrs-test-scripts\Headless Mode &amp; Sideloading\WalkAndUnGZ.bat" "%USERPROFILE%\AppData\Local\Temp\OnboardLogs"\RTDC4012\2016-10-15 &amp; aws s3 cp s3://rtdc.mdm.uploadarchive.raw/RTDC4012/ "%USERPROFILE%\AppData\Local\Temp\OnboardLogs"\RTDC4012\2016-10-16 --exclude "*" --recursive --include "*20161016*" &amp; "%USERPROFILE%\Documents\GitHub\mrs-test-scripts\Headless Mode &amp; Sideloading\WalkAndUnGZ.bat" "%USERPROFILE%\AppData\Local\Temp\OnboardLogs"\RTDC4012\2016-10-16</v>
      </c>
      <c r="S16" s="103" t="str">
        <f>VLOOKUP(C16,'Train Runs'!$A$13:$AE$10011,22,0)</f>
        <v>https://search-rtdc-monitor-bjffxe2xuh6vdkpspy63sjmuny.us-east-1.es.amazonaws.com/_plugin/kibana/#/discover/Steve-Slow-Train-Analysis-(2080s-and-2083s)?_g=(refreshInterval:(display:Off,section:0,value:0),time:(from:'2016-10-15 09:44:27-0600',mode:absolute,to:'2016-10-15 12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6" s="105" t="str">
        <f t="shared" si="1"/>
        <v>"C:\Program Files (x86)\AstroGrep\AstroGrep.exe" /spath="%USERPROFILE%\AppData\Local\Temp\OnboardLogs" /stypes="*4012*201610151*" /stext=" 17:.+((SYSTEM_STATE.+slice.+state.+changed )|(ment ac)|(system.+state.+changed )|(\[timeout)|(PRM\|1\|D)|(kpr)|(kdp)|(\|lc)|(penalty))" /e /r /s</v>
      </c>
      <c r="U16" s="9" t="str">
        <f t="shared" si="2"/>
        <v>4012</v>
      </c>
      <c r="V16" s="36">
        <f t="shared" si="3"/>
        <v>42658.723344907405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{"issue":{"subject":"EC0816RH 88-2T 2S downgraded from 270 to STOP &amp; PROCEED","project_id":79,"tracker_id":40,"status_id":1,"priority_id":2,"assigned_to_id":23,"start_date":"2016-10-15","description":"11:21:14 - 88-2T 2S downgraded from 270 to STOP &amp; PROCEED - was there any problems at this time?","custom_fields":[{"id":1,"name":"Subdivision","value":"EC"},{"id":4,"name":"Milepost","value":"8.1751"},{"id":17,"name":"Train ID","value":"152-15"},{"id":16,"name":"Locomotive ID","value":"4012"},{"id":130,"name":"Impact","value":"Enforcement"},{"id":150,"name":"Time of Event (Mountain Time)","value":"11:21:37"},{"id":151,"name":"Denver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6" s="53" t="s">
        <v>768</v>
      </c>
      <c r="AA16" s="53" t="s">
        <v>126</v>
      </c>
      <c r="AB16" s="53" t="s">
        <v>131</v>
      </c>
      <c r="AC16" s="155" t="str">
        <f t="shared" si="7"/>
        <v>grep -hSE -A100 "Enforcement Action" "%USERPROFILE%\AppData\Local\Temp\OnboardLogs"\RTDC4012\*4012*201610151* | grep -SE "((Enforcement Ac)|(PRM))" -</v>
      </c>
    </row>
    <row r="17" spans="1:30" s="1" customFormat="1" x14ac:dyDescent="0.25">
      <c r="A17" s="36">
        <v>42658.291990740741</v>
      </c>
      <c r="B17" s="31" t="s">
        <v>346</v>
      </c>
      <c r="C17" s="31" t="s">
        <v>429</v>
      </c>
      <c r="D17" s="31" t="s">
        <v>49</v>
      </c>
      <c r="E17" s="31" t="s">
        <v>292</v>
      </c>
      <c r="F17" s="47">
        <v>0</v>
      </c>
      <c r="G17" s="47">
        <v>76</v>
      </c>
      <c r="H17" s="47">
        <v>138483</v>
      </c>
      <c r="I17" s="47">
        <v>138610</v>
      </c>
      <c r="J17" s="31" t="s">
        <v>293</v>
      </c>
      <c r="K17" s="47">
        <v>138837</v>
      </c>
      <c r="L17" s="172" t="s">
        <v>50</v>
      </c>
      <c r="M17" s="173">
        <f t="shared" si="0"/>
        <v>119.85599999999999</v>
      </c>
      <c r="N17" s="174" t="str">
        <f>VLOOKUP(C17,'Trips&amp;Operators'!$C$1:$E$99999,3,FALSE)</f>
        <v>KILLION</v>
      </c>
      <c r="O17" s="154" t="s">
        <v>208</v>
      </c>
      <c r="P17" s="175" t="s">
        <v>766</v>
      </c>
      <c r="Q17" s="31"/>
      <c r="R17" s="100" t="str">
        <f>VLOOKUP(C17,'Train Runs'!$A$13:$AE$10011,31,0)</f>
        <v>aws s3 cp s3://rtdc.mdm.uploadarchive.raw/RTDC4011/ "%USERPROFILE%\AppData\Local\Temp\OnboardLogs"\RTDC4011\2016-10-15 --exclude "*" --recursive --include "*20161015*" &amp; "%USERPROFILE%\Documents\GitHub\mrs-test-scripts\Headless Mode &amp; Sideloading\WalkAndUnGZ.bat" "%USERPROFILE%\AppData\Local\Temp\OnboardLogs"\RTDC4011\2016-10-15 &amp; aws s3 cp s3://rtdc.mdm.uploadarchive.raw/RTDC4011/ "%USERPROFILE%\AppData\Local\Temp\OnboardLogs"\RTDC4011\2016-10-16 --exclude "*" --recursive --include "*20161016*" &amp; "%USERPROFILE%\Documents\GitHub\mrs-test-scripts\Headless Mode &amp; Sideloading\WalkAndUnGZ.bat" "%USERPROFILE%\AppData\Local\Temp\OnboardLogs"\RTDC4011\2016-10-16</v>
      </c>
      <c r="S17" s="103" t="str">
        <f>VLOOKUP(C17,'Train Runs'!$A$13:$AE$10011,22,0)</f>
        <v>https://search-rtdc-monitor-bjffxe2xuh6vdkpspy63sjmuny.us-east-1.es.amazonaws.com/_plugin/kibana/#/discover/Steve-Slow-Train-Analysis-(2080s-and-2083s)?_g=(refreshInterval:(display:Off,section:0,value:0),time:(from:'2016-10-15 05:21:58-0600',mode:absolute,to:'2016-10-15 08:00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7" s="105" t="str">
        <f t="shared" si="1"/>
        <v>"C:\Program Files (x86)\AstroGrep\AstroGrep.exe" /spath="%USERPROFILE%\AppData\Local\Temp\OnboardLogs" /stypes="*4011*201610151*" /stext=" 13:.+((SYSTEM_STATE.+slice.+state.+changed )|(ment ac)|(system.+state.+changed )|(\[timeout)|(PRM\|1\|D)|(kpr)|(kdp)|(\|lc)|(penalty))" /e /r /s</v>
      </c>
      <c r="U17" s="9" t="str">
        <f t="shared" si="2"/>
        <v>4011</v>
      </c>
      <c r="V17" s="36">
        <f t="shared" si="3"/>
        <v>42658.541990740741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{"issue":{"subject":"CP 61st reset","project_id":79,"tracker_id":40,"status_id":1,"priority_id":2,"assigned_to_id":23,"start_date":"2016-10-15","description":"","custom_fields":[{"id":1,"name":"Subdivision","value":"EC"},{"id":4,"name":"Milepost","value":"13.8837"},{"id":17,"name":"Train ID","value":"123-15"},{"id":16,"name":"Locomotive ID","value":"4011"},{"id":130,"name":"Impact","value":""},{"id":150,"name":"Time of Event (Mountain Time)","value":"07:00:28"},{"id":151,"name":"Denver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55" t="str">
        <f t="shared" si="7"/>
        <v>grep -hSE -A100 "Enforcement Action" "%USERPROFILE%\AppData\Local\Temp\OnboardLogs"\RTDC4011\*4011*201610151* | grep -SE "((Enforcement Ac)|(PRM))" -</v>
      </c>
    </row>
    <row r="18" spans="1:30" s="1" customFormat="1" x14ac:dyDescent="0.25">
      <c r="A18" s="36">
        <v>42658.47078703704</v>
      </c>
      <c r="B18" s="31" t="s">
        <v>427</v>
      </c>
      <c r="C18" s="31" t="s">
        <v>437</v>
      </c>
      <c r="D18" s="31" t="s">
        <v>49</v>
      </c>
      <c r="E18" s="31" t="s">
        <v>292</v>
      </c>
      <c r="F18" s="47">
        <v>0</v>
      </c>
      <c r="G18" s="47">
        <v>545</v>
      </c>
      <c r="H18" s="47">
        <v>150542</v>
      </c>
      <c r="I18" s="47">
        <v>153048</v>
      </c>
      <c r="J18" s="31" t="s">
        <v>293</v>
      </c>
      <c r="K18" s="47">
        <v>155600</v>
      </c>
      <c r="L18" s="172" t="s">
        <v>50</v>
      </c>
      <c r="M18" s="173">
        <f t="shared" si="0"/>
        <v>1347.4559999999999</v>
      </c>
      <c r="N18" s="174" t="str">
        <f>VLOOKUP(C18,'Trips&amp;Operators'!$C$1:$E$99999,3,FALSE)</f>
        <v>STRICKLAND</v>
      </c>
      <c r="O18" s="154" t="s">
        <v>287</v>
      </c>
      <c r="P18" s="175" t="s">
        <v>769</v>
      </c>
      <c r="Q18" s="31"/>
      <c r="R18" s="100" t="str">
        <f>VLOOKUP(C18,'Train Runs'!$A$13:$AE$10011,31,0)</f>
        <v>aws s3 cp s3://rtdc.mdm.uploadarchive.raw/RTDC4053/ "%USERPROFILE%\AppData\Local\Temp\OnboardLogs"\RTDC4053\2016-10-15 --exclude "*" --recursive --include "*20161015*" &amp; "%USERPROFILE%\Documents\GitHub\mrs-test-scripts\Headless Mode &amp; Sideloading\WalkAndUnGZ.bat" "%USERPROFILE%\AppData\Local\Temp\OnboardLogs"\RTDC4053\2016-10-15 &amp; aws s3 cp s3://rtdc.mdm.uploadarchive.raw/RTDC4053/ "%USERPROFILE%\AppData\Local\Temp\OnboardLogs"\RTDC4053\2016-10-16 --exclude "*" --recursive --include "*20161016*" &amp; "%USERPROFILE%\Documents\GitHub\mrs-test-scripts\Headless Mode &amp; Sideloading\WalkAndUnGZ.bat" "%USERPROFILE%\AppData\Local\Temp\OnboardLogs"\RTDC4053\2016-10-16</v>
      </c>
      <c r="S18" s="103" t="str">
        <f>VLOOKUP(C18,'Train Runs'!$A$13:$AE$10011,22,0)</f>
        <v>https://search-rtdc-monitor-bjffxe2xuh6vdkpspy63sjmuny.us-east-1.es.amazonaws.com/_plugin/kibana/#/discover/Steve-Slow-Train-Analysis-(2080s-and-2083s)?_g=(refreshInterval:(display:Off,section:0,value:0),time:(from:'2016-10-15 09:38:59-0600',mode:absolute,to:'2016-10-15 12:30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8" s="105" t="str">
        <f t="shared" si="1"/>
        <v>"C:\Program Files (x86)\AstroGrep\AstroGrep.exe" /spath="%USERPROFILE%\AppData\Local\Temp\OnboardLogs" /stypes="*4053*201610151*" /stext=" 17:.+((SYSTEM_STATE.+slice.+state.+changed )|(ment ac)|(system.+state.+changed )|(\[timeout)|(PRM\|1\|D)|(kpr)|(kdp)|(\|lc)|(penalty))" /e /r /s</v>
      </c>
      <c r="U18" s="9" t="str">
        <f t="shared" si="2"/>
        <v>4053</v>
      </c>
      <c r="V18" s="36">
        <f t="shared" si="3"/>
        <v>42658.72078703704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{"issue":{"subject":"61st 2N STOP, cleared afterward","project_id":79,"tracker_id":40,"status_id":1,"priority_id":2,"assigned_to_id":23,"start_date":"2016-10-15","description":"","custom_fields":[{"id":1,"name":"Subdivision","value":"EC"},{"id":4,"name":"Milepost","value":"15.56"},{"id":17,"name":"Train ID","value":"157-15"},{"id":16,"name":"Locomotive ID","value":"4053"},{"id":130,"name":"Impact","value":""},{"id":150,"name":"Time of Event (Mountain Time)","value":"11:17:56"},{"id":151,"name":"Denver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55" t="str">
        <f t="shared" si="7"/>
        <v>grep -hSE -A100 "Enforcement Action" "%USERPROFILE%\AppData\Local\Temp\OnboardLogs"\RTDC4053\*4053*201610151* | grep -SE "((Enforcement Ac)|(PRM))" -</v>
      </c>
    </row>
    <row r="19" spans="1:30" s="1" customFormat="1" x14ac:dyDescent="0.25">
      <c r="A19" s="36">
        <v>42658.699293981481</v>
      </c>
      <c r="B19" s="31" t="s">
        <v>219</v>
      </c>
      <c r="C19" s="31" t="s">
        <v>446</v>
      </c>
      <c r="D19" s="31" t="s">
        <v>49</v>
      </c>
      <c r="E19" s="31" t="s">
        <v>292</v>
      </c>
      <c r="F19" s="47">
        <v>0</v>
      </c>
      <c r="G19" s="47">
        <v>490</v>
      </c>
      <c r="H19" s="47">
        <v>195432</v>
      </c>
      <c r="I19" s="47">
        <v>193854</v>
      </c>
      <c r="J19" s="31" t="s">
        <v>293</v>
      </c>
      <c r="K19" s="47">
        <v>191723</v>
      </c>
      <c r="L19" s="172" t="s">
        <v>51</v>
      </c>
      <c r="M19" s="173">
        <f t="shared" si="0"/>
        <v>1125.1679999999999</v>
      </c>
      <c r="N19" s="174" t="str">
        <f>VLOOKUP(C19,'Trips&amp;Operators'!$C$1:$E$99999,3,FALSE)</f>
        <v>PUGH</v>
      </c>
      <c r="O19" s="154" t="s">
        <v>287</v>
      </c>
      <c r="P19" s="175" t="s">
        <v>770</v>
      </c>
      <c r="Q19" s="31"/>
      <c r="R19" s="100" t="str">
        <f>VLOOKUP(C19,'Train Runs'!$A$13:$AE$10011,31,0)</f>
        <v>aws s3 cp s3://rtdc.mdm.uploadarchive.raw/RTDC4043/ "%USERPROFILE%\AppData\Local\Temp\OnboardLogs"\RTDC4043\2016-10-15 --exclude "*" --recursive --include "*20161015*" &amp; "%USERPROFILE%\Documents\GitHub\mrs-test-scripts\Headless Mode &amp; Sideloading\WalkAndUnGZ.bat" "%USERPROFILE%\AppData\Local\Temp\OnboardLogs"\RTDC4043\2016-10-15 &amp; aws s3 cp s3://rtdc.mdm.uploadarchive.raw/RTDC4043/ "%USERPROFILE%\AppData\Local\Temp\OnboardLogs"\RTDC4043\2016-10-16 --exclude "*" --recursive --include "*20161016*" &amp; "%USERPROFILE%\Documents\GitHub\mrs-test-scripts\Headless Mode &amp; Sideloading\WalkAndUnGZ.bat" "%USERPROFILE%\AppData\Local\Temp\OnboardLogs"\RTDC4043\2016-10-16</v>
      </c>
      <c r="S19" s="103" t="str">
        <f>VLOOKUP(C19,'Train Runs'!$A$13:$AE$10011,22,0)</f>
        <v>https://search-rtdc-monitor-bjffxe2xuh6vdkpspy63sjmuny.us-east-1.es.amazonaws.com/_plugin/kibana/#/discover/Steve-Slow-Train-Analysis-(2080s-and-2083s)?_g=(refreshInterval:(display:Off,section:0,value:0),time:(from:'2016-10-15 15:33:23-0600',mode:absolute,to:'2016-10-15 18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9" s="105" t="str">
        <f t="shared" si="1"/>
        <v>"C:\Program Files (x86)\AstroGrep\AstroGrep.exe" /spath="%USERPROFILE%\AppData\Local\Temp\OnboardLogs" /stypes="*4043*201610152*" /stext=" 22:.+((SYSTEM_STATE.+slice.+state.+changed )|(ment ac)|(system.+state.+changed )|(\[timeout)|(PRM\|1\|D)|(kpr)|(kdp)|(\|lc)|(penalty))" /e /r /s</v>
      </c>
      <c r="U19" s="9" t="str">
        <f t="shared" si="2"/>
        <v>4043</v>
      </c>
      <c r="V19" s="36">
        <f t="shared" si="3"/>
        <v>42658.949293981481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{"issue":{"subject":"Pena 4S STOP, cleared afterward","project_id":79,"tracker_id":40,"status_id":1,"priority_id":2,"assigned_to_id":23,"start_date":"2016-10-15","description":"","custom_fields":[{"id":1,"name":"Subdivision","value":"EC"},{"id":4,"name":"Milepost","value":"19.1723"},{"id":17,"name":"Train ID","value":"198-15"},{"id":16,"name":"Locomotive ID","value":"4043"},{"id":130,"name":"Impact","value":""},{"id":150,"name":"Time of Event (Mountain Time)","value":"16:46:59"},{"id":151,"name":"Denver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55" t="str">
        <f t="shared" si="7"/>
        <v>grep -hSE -A100 "Enforcement Action" "%USERPROFILE%\AppData\Local\Temp\OnboardLogs"\RTDC4043\*4043*201610152* | grep -SE "((Enforcement Ac)|(PRM))" -</v>
      </c>
    </row>
    <row r="20" spans="1:30" x14ac:dyDescent="0.25">
      <c r="A20" s="36">
        <v>42658.720173611109</v>
      </c>
      <c r="B20" s="31" t="s">
        <v>223</v>
      </c>
      <c r="C20" s="31" t="s">
        <v>447</v>
      </c>
      <c r="D20" s="31" t="s">
        <v>49</v>
      </c>
      <c r="E20" s="31" t="s">
        <v>292</v>
      </c>
      <c r="F20" s="47">
        <v>0</v>
      </c>
      <c r="G20" s="47">
        <v>503</v>
      </c>
      <c r="H20" s="47">
        <v>195562</v>
      </c>
      <c r="I20" s="47">
        <v>193994</v>
      </c>
      <c r="J20" s="31" t="s">
        <v>293</v>
      </c>
      <c r="K20" s="47">
        <v>191723</v>
      </c>
      <c r="L20" s="172" t="s">
        <v>51</v>
      </c>
      <c r="M20" s="173">
        <f t="shared" si="0"/>
        <v>1199.088</v>
      </c>
      <c r="N20" s="174" t="str">
        <f>VLOOKUP(C20,'Trips&amp;Operators'!$C$1:$E$99999,3,FALSE)</f>
        <v>STEWART</v>
      </c>
      <c r="O20" s="154" t="s">
        <v>287</v>
      </c>
      <c r="P20" s="175" t="s">
        <v>770</v>
      </c>
      <c r="Q20" s="31"/>
      <c r="R20" s="100" t="str">
        <f>VLOOKUP(C20,'Train Runs'!$A$13:$AE$10011,31,0)</f>
        <v>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 &amp; aws s3 cp s3://rtdc.mdm.uploadarchive.raw/RTDC4037/ "%USERPROFILE%\AppData\Local\Temp\OnboardLogs"\RTDC4037\2016-10-16 --exclude "*" --recursive --include "*20161016*" &amp; "%USERPROFILE%\Documents\GitHub\mrs-test-scripts\Headless Mode &amp; Sideloading\WalkAndUnGZ.bat" "%USERPROFILE%\AppData\Local\Temp\OnboardLogs"\RTDC4037\2016-10-16</v>
      </c>
      <c r="S20" s="103" t="str">
        <f>VLOOKUP(C20,'Train Runs'!$A$13:$AE$10011,22,0)</f>
        <v>https://search-rtdc-monitor-bjffxe2xuh6vdkpspy63sjmuny.us-east-1.es.amazonaws.com/_plugin/kibana/#/discover/Steve-Slow-Train-Analysis-(2080s-and-2083s)?_g=(refreshInterval:(display:Off,section:0,value:0),time:(from:'2016-10-15 16:02:50-0600',mode:absolute,to:'2016-10-15 18:51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0" s="105" t="str">
        <f t="shared" si="1"/>
        <v>"C:\Program Files (x86)\AstroGrep\AstroGrep.exe" /spath="%USERPROFILE%\AppData\Local\Temp\OnboardLogs" /stypes="*4037*201610152*" /stext=" 23:.+((SYSTEM_STATE.+slice.+state.+changed )|(ment ac)|(system.+state.+changed )|(\[timeout)|(PRM\|1\|D)|(kpr)|(kdp)|(\|lc)|(penalty))" /e /r /s</v>
      </c>
      <c r="U20" s="9" t="str">
        <f t="shared" si="2"/>
        <v>4037</v>
      </c>
      <c r="V20" s="36">
        <f t="shared" si="3"/>
        <v>42658.970173611109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{"issue":{"subject":"Pena 4S STOP, cleared afterward","project_id":79,"tracker_id":40,"status_id":1,"priority_id":2,"assigned_to_id":23,"start_date":"2016-10-15","description":"","custom_fields":[{"id":1,"name":"Subdivision","value":"EC"},{"id":4,"name":"Milepost","value":"19.1723"},{"id":17,"name":"Train ID","value":"202-15"},{"id":16,"name":"Locomotive ID","value":"4037"},{"id":130,"name":"Impact","value":""},{"id":150,"name":"Time of Event (Mountain Time)","value":"17:17:03"},{"id":151,"name":"Denver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55" t="str">
        <f t="shared" si="7"/>
        <v>grep -hSE -A100 "Enforcement Action" "%USERPROFILE%\AppData\Local\Temp\OnboardLogs"\RTDC4037\*4037*201610152* | grep -SE "((Enforcement Ac)|(PRM))" -</v>
      </c>
      <c r="AD20" s="1"/>
    </row>
    <row r="21" spans="1:30" s="1" customFormat="1" x14ac:dyDescent="0.25">
      <c r="A21" s="36">
        <v>42658.32340277778</v>
      </c>
      <c r="B21" s="31" t="s">
        <v>197</v>
      </c>
      <c r="C21" s="31" t="s">
        <v>430</v>
      </c>
      <c r="D21" s="31" t="s">
        <v>49</v>
      </c>
      <c r="E21" s="31" t="s">
        <v>294</v>
      </c>
      <c r="F21" s="47">
        <v>0</v>
      </c>
      <c r="G21" s="47">
        <v>61</v>
      </c>
      <c r="H21" s="47">
        <v>196</v>
      </c>
      <c r="I21" s="47">
        <v>125</v>
      </c>
      <c r="J21" s="31" t="s">
        <v>295</v>
      </c>
      <c r="K21" s="47">
        <v>1</v>
      </c>
      <c r="L21" s="172" t="s">
        <v>51</v>
      </c>
      <c r="M21" s="173">
        <f t="shared" si="0"/>
        <v>65.471999999999994</v>
      </c>
      <c r="N21" s="174" t="str">
        <f>VLOOKUP(C21,'Trips&amp;Operators'!$C$1:$E$99999,3,FALSE)</f>
        <v>SANTIZO</v>
      </c>
      <c r="O21" s="154" t="s">
        <v>287</v>
      </c>
      <c r="P21" s="175"/>
      <c r="Q21" s="31"/>
      <c r="R21" s="100" t="str">
        <f>VLOOKUP(C21,'Train Runs'!$A$13:$AE$10011,31,0)</f>
        <v>aws s3 cp s3://rtdc.mdm.uploadarchive.raw/RTDC4004/ "%USERPROFILE%\AppData\Local\Temp\OnboardLogs"\RTDC4004\2016-10-15 --exclude "*" --recursive --include "*20161015*" &amp; "%USERPROFILE%\Documents\GitHub\mrs-test-scripts\Headless Mode &amp; Sideloading\WalkAndUnGZ.bat" "%USERPROFILE%\AppData\Local\Temp\OnboardLogs"\RTDC4004\2016-10-15 &amp; aws s3 cp s3://rtdc.mdm.uploadarchive.raw/RTDC4004/ "%USERPROFILE%\AppData\Local\Temp\OnboardLogs"\RTDC4004\2016-10-16 --exclude "*" --recursive --include "*20161016*" &amp; "%USERPROFILE%\Documents\GitHub\mrs-test-scripts\Headless Mode &amp; Sideloading\WalkAndUnGZ.bat" "%USERPROFILE%\AppData\Local\Temp\OnboardLogs"\RTDC4004\2016-10-16</v>
      </c>
      <c r="S21" s="103" t="str">
        <f>VLOOKUP(C21,'Train Runs'!$A$13:$AE$10011,22,0)</f>
        <v>https://search-rtdc-monitor-bjffxe2xuh6vdkpspy63sjmuny.us-east-1.es.amazonaws.com/_plugin/kibana/#/discover/Steve-Slow-Train-Analysis-(2080s-and-2083s)?_g=(refreshInterval:(display:Off,section:0,value:0),time:(from:'2016-10-15 05:38:03-0600',mode:absolute,to:'2016-10-15 08:45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21" s="105" t="str">
        <f t="shared" si="1"/>
        <v>"C:\Program Files (x86)\AstroGrep\AstroGrep.exe" /spath="%USERPROFILE%\AppData\Local\Temp\OnboardLogs" /stypes="*4004*201610151*" /stext=" 13:.+((SYSTEM_STATE.+slice.+state.+changed )|(ment ac)|(system.+state.+changed )|(\[timeout)|(PRM\|1\|D)|(kpr)|(kdp)|(\|lc)|(penalty))" /e /r /s</v>
      </c>
      <c r="U21" s="9" t="str">
        <f t="shared" si="2"/>
        <v>4004</v>
      </c>
      <c r="V21" s="36">
        <f t="shared" si="3"/>
        <v>42658.57340277778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{"issue":{"subject":"","project_id":79,"tracker_id":40,"status_id":1,"priority_id":2,"assigned_to_id":23,"start_date":"2016-10-15","description":"","custom_fields":[{"id":1,"name":"Subdivision","value":"EC"},{"id":4,"name":"Milepost","value":"0.0001"},{"id":17,"name":"Train ID","value":"120-15"},{"id":16,"name":"Locomotive ID","value":"4004"},{"id":130,"name":"Impact","value":""},{"id":150,"name":"Time of Event (Mountain Time)","value":"07:45:42"},{"id":151,"name":"Denver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55" t="str">
        <f t="shared" si="7"/>
        <v>grep -hSE -A100 "Enforcement Action" "%USERPROFILE%\AppData\Local\Temp\OnboardLogs"\RTDC4004\*4004*201610151* | grep -SE "((Enforcement Ac)|(PRM))" -</v>
      </c>
    </row>
    <row r="22" spans="1:30" x14ac:dyDescent="0.25">
      <c r="A22" s="36">
        <v>42658.523761574077</v>
      </c>
      <c r="B22" s="31" t="s">
        <v>223</v>
      </c>
      <c r="C22" s="31" t="s">
        <v>440</v>
      </c>
      <c r="D22" s="31" t="s">
        <v>49</v>
      </c>
      <c r="E22" s="31" t="s">
        <v>294</v>
      </c>
      <c r="F22" s="47">
        <v>0</v>
      </c>
      <c r="G22" s="47">
        <v>50</v>
      </c>
      <c r="H22" s="47">
        <v>163</v>
      </c>
      <c r="I22" s="47">
        <v>150</v>
      </c>
      <c r="J22" s="31" t="s">
        <v>295</v>
      </c>
      <c r="K22" s="47">
        <v>1</v>
      </c>
      <c r="L22" s="172" t="s">
        <v>51</v>
      </c>
      <c r="M22" s="173">
        <f t="shared" si="0"/>
        <v>78.671999999999997</v>
      </c>
      <c r="N22" s="174" t="str">
        <f>VLOOKUP(C22,'Trips&amp;Operators'!$C$1:$E$99999,3,FALSE)</f>
        <v>STEWART</v>
      </c>
      <c r="O22" s="154" t="s">
        <v>287</v>
      </c>
      <c r="P22" s="175"/>
      <c r="Q22" s="31"/>
      <c r="R22" s="100" t="str">
        <f>VLOOKUP(C22,'Train Runs'!$A$13:$AE$10011,31,0)</f>
        <v>aws s3 cp s3://rtdc.mdm.uploadarchive.raw/RTDC4037/ "%USERPROFILE%\AppData\Local\Temp\OnboardLogs"\RTDC4037\2016-10-15 --exclude "*" --recursive --include "*20161015*" &amp; "%USERPROFILE%\Documents\GitHub\mrs-test-scripts\Headless Mode &amp; Sideloading\WalkAndUnGZ.bat" "%USERPROFILE%\AppData\Local\Temp\OnboardLogs"\RTDC4037\2016-10-15 &amp; aws s3 cp s3://rtdc.mdm.uploadarchive.raw/RTDC4037/ "%USERPROFILE%\AppData\Local\Temp\OnboardLogs"\RTDC4037\2016-10-16 --exclude "*" --recursive --include "*20161016*" &amp; "%USERPROFILE%\Documents\GitHub\mrs-test-scripts\Headless Mode &amp; Sideloading\WalkAndUnGZ.bat" "%USERPROFILE%\AppData\Local\Temp\OnboardLogs"\RTDC4037\2016-10-16</v>
      </c>
      <c r="S22" s="103" t="str">
        <f>VLOOKUP(C22,'Train Runs'!$A$13:$AE$10011,22,0)</f>
        <v>https://search-rtdc-monitor-bjffxe2xuh6vdkpspy63sjmuny.us-east-1.es.amazonaws.com/_plugin/kibana/#/discover/Steve-Slow-Train-Analysis-(2080s-and-2083s)?_g=(refreshInterval:(display:Off,section:0,value:0),time:(from:'2016-10-15 10:50:03-0600',mode:absolute,to:'2016-10-15 14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2" s="105" t="str">
        <f t="shared" si="1"/>
        <v>"C:\Program Files (x86)\AstroGrep\AstroGrep.exe" /spath="%USERPROFILE%\AppData\Local\Temp\OnboardLogs" /stypes="*4037*201610151*" /stext=" 18:.+((SYSTEM_STATE.+slice.+state.+changed )|(ment ac)|(system.+state.+changed )|(\[timeout)|(PRM\|1\|D)|(kpr)|(kdp)|(\|lc)|(penalty))" /e /r /s</v>
      </c>
      <c r="U22" s="9" t="str">
        <f t="shared" si="2"/>
        <v>4037</v>
      </c>
      <c r="V22" s="36">
        <f t="shared" si="3"/>
        <v>42658.773761574077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{"issue":{"subject":"","project_id":79,"tracker_id":40,"status_id":1,"priority_id":2,"assigned_to_id":23,"start_date":"2016-10-15","description":"","custom_fields":[{"id":1,"name":"Subdivision","value":"EC"},{"id":4,"name":"Milepost","value":"0.0001"},{"id":17,"name":"Train ID","value":"160-15"},{"id":16,"name":"Locomotive ID","value":"4037"},{"id":130,"name":"Impact","value":""},{"id":150,"name":"Time of Event (Mountain Time)","value":"12:34:13"},{"id":151,"name":"Denver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55" t="str">
        <f t="shared" si="7"/>
        <v>grep -hSE -A100 "Enforcement Action" "%USERPROFILE%\AppData\Local\Temp\OnboardLogs"\RTDC4037\*4037*201610151* | grep -SE "((Enforcement Ac)|(PRM))" -</v>
      </c>
      <c r="AD22" s="1"/>
    </row>
    <row r="23" spans="1:30" x14ac:dyDescent="0.25">
      <c r="A23" s="36">
        <v>42658.774687500001</v>
      </c>
      <c r="B23" s="31" t="s">
        <v>305</v>
      </c>
      <c r="C23" s="31" t="s">
        <v>449</v>
      </c>
      <c r="D23" s="31" t="s">
        <v>49</v>
      </c>
      <c r="E23" s="31" t="s">
        <v>294</v>
      </c>
      <c r="F23" s="47">
        <v>0</v>
      </c>
      <c r="G23" s="47">
        <v>81</v>
      </c>
      <c r="H23" s="47">
        <v>1164</v>
      </c>
      <c r="I23" s="47">
        <v>1096</v>
      </c>
      <c r="J23" s="31" t="s">
        <v>295</v>
      </c>
      <c r="K23" s="47">
        <v>839</v>
      </c>
      <c r="L23" s="172" t="s">
        <v>51</v>
      </c>
      <c r="M23" s="173">
        <f t="shared" si="0"/>
        <v>135.696</v>
      </c>
      <c r="N23" s="174" t="str">
        <f>VLOOKUP(C23,'Trips&amp;Operators'!$C$1:$E$99999,3,FALSE)</f>
        <v>SHOOK</v>
      </c>
      <c r="O23" s="154" t="s">
        <v>287</v>
      </c>
      <c r="P23" s="175"/>
      <c r="Q23" s="31"/>
      <c r="R23" s="100" t="str">
        <f>VLOOKUP(C23,'Train Runs'!$A$13:$AE$10011,31,0)</f>
        <v>aws s3 cp s3://rtdc.mdm.uploadarchive.raw/RTDC4001/ "%USERPROFILE%\AppData\Local\Temp\OnboardLogs"\RTDC4001\2016-10-15 --exclude "*" --recursive --include "*20161015*" &amp; "%USERPROFILE%\Documents\GitHub\mrs-test-scripts\Headless Mode &amp; Sideloading\WalkAndUnGZ.bat" "%USERPROFILE%\AppData\Local\Temp\OnboardLogs"\RTDC4001\2016-10-15 &amp; aws s3 cp s3://rtdc.mdm.uploadarchive.raw/RTDC4001/ "%USERPROFILE%\AppData\Local\Temp\OnboardLogs"\RTDC4001\2016-10-16 --exclude "*" --recursive --include "*20161016*" &amp; "%USERPROFILE%\Documents\GitHub\mrs-test-scripts\Headless Mode &amp; Sideloading\WalkAndUnGZ.bat" "%USERPROFILE%\AppData\Local\Temp\OnboardLogs"\RTDC4001\2016-10-16</v>
      </c>
      <c r="S23" s="103" t="str">
        <f>VLOOKUP(C23,'Train Runs'!$A$13:$AE$10011,22,0)</f>
        <v>https://search-rtdc-monitor-bjffxe2xuh6vdkpspy63sjmuny.us-east-1.es.amazonaws.com/_plugin/kibana/#/discover/Steve-Slow-Train-Analysis-(2080s-and-2083s)?_g=(refreshInterval:(display:Off,section:0,value:0),time:(from:'2016-10-15 16:50:05-0600',mode:absolute,to:'2016-10-15 19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3" s="105" t="str">
        <f t="shared" si="1"/>
        <v>"C:\Program Files (x86)\AstroGrep\AstroGrep.exe" /spath="%USERPROFILE%\AppData\Local\Temp\OnboardLogs" /stypes="*4001*201610160*" /stext=" 00:.+((SYSTEM_STATE.+slice.+state.+changed )|(ment ac)|(system.+state.+changed )|(\[timeout)|(PRM\|1\|D)|(kpr)|(kdp)|(\|lc)|(penalty))" /e /r /s</v>
      </c>
      <c r="U23" s="9" t="str">
        <f t="shared" si="2"/>
        <v>4001</v>
      </c>
      <c r="V23" s="36">
        <f t="shared" si="3"/>
        <v>42659.024687500001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{"issue":{"subject":"","project_id":79,"tracker_id":40,"status_id":1,"priority_id":2,"assigned_to_id":23,"start_date":"2016-10-15","description":"","custom_fields":[{"id":1,"name":"Subdivision","value":"EC"},{"id":4,"name":"Milepost","value":"0.0839"},{"id":17,"name":"Train ID","value":"208-15"},{"id":16,"name":"Locomotive ID","value":"4001"},{"id":130,"name":"Impact","value":""},{"id":150,"name":"Time of Event (Mountain Time)","value":"18:35:33"},{"id":151,"name":"Denver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55" t="str">
        <f t="shared" si="7"/>
        <v>grep -hSE -A100 "Enforcement Action" "%USERPROFILE%\AppData\Local\Temp\OnboardLogs"\RTDC4001\*4001*201610160* | grep -SE "((Enforcement Ac)|(PRM))" -</v>
      </c>
      <c r="AD23" s="1"/>
    </row>
    <row r="24" spans="1:30" x14ac:dyDescent="0.25">
      <c r="A24" s="36">
        <v>42659.067442129628</v>
      </c>
      <c r="B24" s="31" t="s">
        <v>305</v>
      </c>
      <c r="C24" s="31" t="s">
        <v>451</v>
      </c>
      <c r="D24" s="31" t="s">
        <v>49</v>
      </c>
      <c r="E24" s="31" t="s">
        <v>294</v>
      </c>
      <c r="F24" s="47">
        <v>0</v>
      </c>
      <c r="G24" s="47">
        <v>18</v>
      </c>
      <c r="H24" s="47">
        <v>862</v>
      </c>
      <c r="I24" s="47">
        <v>841</v>
      </c>
      <c r="J24" s="31" t="s">
        <v>295</v>
      </c>
      <c r="K24" s="47">
        <v>839</v>
      </c>
      <c r="L24" s="172" t="s">
        <v>51</v>
      </c>
      <c r="M24" s="173">
        <f t="shared" si="0"/>
        <v>1.056</v>
      </c>
      <c r="N24" s="174" t="str">
        <f>VLOOKUP(C24,'Trips&amp;Operators'!$C$1:$E$99999,3,FALSE)</f>
        <v>CHANDLER</v>
      </c>
      <c r="O24" s="154" t="s">
        <v>287</v>
      </c>
      <c r="P24" s="175"/>
      <c r="Q24" s="31"/>
      <c r="R24" s="100" t="str">
        <f>VLOOKUP(C24,'Train Runs'!$A$13:$AE$10011,31,0)</f>
        <v>aws s3 cp s3://rtdc.mdm.uploadarchive.raw/RTDC4001/ "%USERPROFILE%\AppData\Local\Temp\OnboardLogs"\RTDC4001\2016-10-16 --exclude "*" --recursive --include "*20161016*" &amp; "%USERPROFILE%\Documents\GitHub\mrs-test-scripts\Headless Mode &amp; Sideloading\WalkAndUnGZ.bat" "%USERPROFILE%\AppData\Local\Temp\OnboardLogs"\RTDC4001\2016-10-16 &amp; aws s3 cp s3://rtdc.mdm.uploadarchive.raw/RTDC4001/ "%USERPROFILE%\AppData\Local\Temp\OnboardLogs"\RTDC4001\2016-10-17 --exclude "*" --recursive --include "*20161017*" &amp; "%USERPROFILE%\Documents\GitHub\mrs-test-scripts\Headless Mode &amp; Sideloading\WalkAndUnGZ.bat" "%USERPROFILE%\AppData\Local\Temp\OnboardLogs"\RTDC4001\2016-10-17</v>
      </c>
      <c r="S24" s="103" t="str">
        <f>VLOOKUP(C24,'Train Runs'!$A$13:$AE$10011,22,0)</f>
        <v>https://search-rtdc-monitor-bjffxe2xuh6vdkpspy63sjmuny.us-east-1.es.amazonaws.com/_plugin/kibana/#/discover/Steve-Slow-Train-Analysis-(2080s-and-2083s)?_g=(refreshInterval:(display:Off,section:0,value:0),time:(from:'2016-10-15 23:49:25-0600',mode:absolute,to:'2016-10-16 02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4" s="105" t="str">
        <f t="shared" si="1"/>
        <v>"C:\Program Files (x86)\AstroGrep\AstroGrep.exe" /spath="%USERPROFILE%\AppData\Local\Temp\OnboardLogs" /stypes="*4001*201610160*" /stext=" 07:.+((SYSTEM_STATE.+slice.+state.+changed )|(ment ac)|(system.+state.+changed )|(\[timeout)|(PRM\|1\|D)|(kpr)|(kdp)|(\|lc)|(penalty))" /e /r /s</v>
      </c>
      <c r="U24" s="9" t="str">
        <f t="shared" si="2"/>
        <v>4001</v>
      </c>
      <c r="V24" s="36">
        <f t="shared" si="3"/>
        <v>42659.317442129628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{"issue":{"subject":"","project_id":79,"tracker_id":40,"status_id":1,"priority_id":2,"assigned_to_id":23,"start_date":"2016-10-16","description":"","custom_fields":[{"id":1,"name":"Subdivision","value":"EC"},{"id":4,"name":"Milepost","value":"0.0839"},{"id":17,"name":"Train ID","value":"242-15"},{"id":16,"name":"Locomotive ID","value":"4001"},{"id":130,"name":"Impact","value":""},{"id":150,"name":"Time of Event (Mountain Time)","value":"01:37:07"},{"id":151,"name":"Denver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55" t="str">
        <f t="shared" si="7"/>
        <v>grep -hSE -A100 "Enforcement Action" "%USERPROFILE%\AppData\Local\Temp\OnboardLogs"\RTDC4001\*4001*201610160* | grep -SE "((Enforcement Ac)|(PRM))" -</v>
      </c>
      <c r="AD24" s="1"/>
    </row>
    <row r="25" spans="1:30" ht="15" customHeight="1" x14ac:dyDescent="0.25">
      <c r="A25" s="36">
        <v>42658.349861111114</v>
      </c>
      <c r="B25" s="31" t="s">
        <v>188</v>
      </c>
      <c r="C25" s="31" t="s">
        <v>431</v>
      </c>
      <c r="D25" s="31" t="s">
        <v>98</v>
      </c>
      <c r="E25" s="31" t="s">
        <v>292</v>
      </c>
      <c r="F25" s="47">
        <v>0</v>
      </c>
      <c r="G25" s="47">
        <v>85</v>
      </c>
      <c r="H25" s="47">
        <v>1803</v>
      </c>
      <c r="I25" s="47">
        <v>1998</v>
      </c>
      <c r="J25" s="31" t="s">
        <v>293</v>
      </c>
      <c r="K25" s="47">
        <v>1725</v>
      </c>
      <c r="L25" s="172" t="s">
        <v>50</v>
      </c>
      <c r="M25" s="173">
        <f t="shared" si="0"/>
        <v>-144.14400000000001</v>
      </c>
      <c r="N25" s="174" t="str">
        <f>VLOOKUP(C25,'Trips&amp;Operators'!$C$1:$E$99999,3,FALSE)</f>
        <v>YORK</v>
      </c>
      <c r="O25" s="154" t="s">
        <v>208</v>
      </c>
      <c r="P25" s="175" t="s">
        <v>761</v>
      </c>
      <c r="Q25" s="31"/>
      <c r="R25" s="100" t="str">
        <f>VLOOKUP(C25,'Train Runs'!$A$13:$AE$10011,31,0)</f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S25" s="103" t="str">
        <f>VLOOKUP(C25,'Train Runs'!$A$13:$AE$10011,22,0)</f>
        <v>https://search-rtdc-monitor-bjffxe2xuh6vdkpspy63sjmuny.us-east-1.es.amazonaws.com/_plugin/kibana/#/discover/Steve-Slow-Train-Analysis-(2080s-and-2083s)?_g=(refreshInterval:(display:Off,section:0,value:0),time:(from:'2016-10-15 06:56:25-0600',mode:absolute,to:'2016-10-15 09:23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5" s="105" t="str">
        <f t="shared" si="1"/>
        <v>"C:\Program Files (x86)\AstroGrep\AstroGrep.exe" /spath="%USERPROFILE%\AppData\Local\Temp\OnboardLogs" /stypes="*4018*201610151*" /stext=" 14:.+((SYSTEM_STATE.+slice.+state.+changed )|(ment ac)|(system.+state.+changed )|(\[timeout)|(PRM\|1\|D)|(kpr)|(kdp)|(\|lc)|(penalty))" /e /r /s</v>
      </c>
      <c r="U25" s="9" t="str">
        <f t="shared" si="2"/>
        <v>4018</v>
      </c>
      <c r="V25" s="36">
        <f t="shared" si="3"/>
        <v>42658.599861111114</v>
      </c>
      <c r="W25" s="50" t="str">
        <f t="shared" si="4"/>
        <v>NW</v>
      </c>
      <c r="X25" s="50" t="str">
        <f t="shared" si="5"/>
        <v>KEEP</v>
      </c>
      <c r="Y25" s="122" t="str">
        <f t="shared" si="6"/>
        <v>echo {"issue":{"subject":"Onboard in-route failure","project_id":79,"tracker_id":40,"status_id":1,"priority_id":2,"assigned_to_id":23,"start_date":"2016-10-15","description":"","custom_fields":[{"id":1,"name":"Subdivision","value":"NW"},{"id":4,"name":"Milepost","value":"0.1725"},{"id":17,"name":"Train ID","value":"1805-15"},{"id":16,"name":"Locomotive ID","value":"4018"},{"id":130,"name":"Impact","value":""},{"id":150,"name":"Time of Event (Mountain Time)","value":"08:23:48"},{"id":151,"name":"Denver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55" t="str">
        <f t="shared" si="7"/>
        <v>grep -hSE -A100 "Enforcement Action" "%USERPROFILE%\AppData\Local\Temp\OnboardLogs"\RTDC4018\*4018*201610151* | grep -SE "((Enforcement Ac)|(PRM))" -</v>
      </c>
      <c r="AD25" s="1"/>
    </row>
    <row r="26" spans="1:30" x14ac:dyDescent="0.25">
      <c r="A26" s="36">
        <v>42658.413437499999</v>
      </c>
      <c r="B26" s="31" t="s">
        <v>291</v>
      </c>
      <c r="C26" s="31" t="s">
        <v>434</v>
      </c>
      <c r="D26" s="31" t="s">
        <v>49</v>
      </c>
      <c r="E26" s="31" t="s">
        <v>294</v>
      </c>
      <c r="F26" s="47">
        <v>0</v>
      </c>
      <c r="G26" s="47">
        <v>111</v>
      </c>
      <c r="H26" s="47">
        <v>1000</v>
      </c>
      <c r="I26" s="47">
        <v>916</v>
      </c>
      <c r="J26" s="31" t="s">
        <v>295</v>
      </c>
      <c r="K26" s="47">
        <v>575</v>
      </c>
      <c r="L26" s="172" t="s">
        <v>51</v>
      </c>
      <c r="M26" s="173">
        <f t="shared" si="0"/>
        <v>180.048</v>
      </c>
      <c r="N26" s="174" t="str">
        <f>VLOOKUP(C26,'Trips&amp;Operators'!$C$1:$E$99999,3,FALSE)</f>
        <v>YORK</v>
      </c>
      <c r="O26" s="154" t="s">
        <v>287</v>
      </c>
      <c r="P26" s="175"/>
      <c r="Q26" s="31"/>
      <c r="R26" s="100" t="str">
        <f>VLOOKUP(C26,'Train Runs'!$A$13:$AE$10011,31,0)</f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S26" s="103" t="str">
        <f>VLOOKUP(C26,'Train Runs'!$A$13:$AE$10011,22,0)</f>
        <v>https://search-rtdc-monitor-bjffxe2xuh6vdkpspy63sjmuny.us-east-1.es.amazonaws.com/_plugin/kibana/#/discover/Steve-Slow-Train-Analysis-(2080s-and-2083s)?_g=(refreshInterval:(display:Off,section:0,value:0),time:(from:'2016-10-15 08:35:22-0600',mode:absolute,to:'2016-10-15 10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6" s="105" t="str">
        <f t="shared" si="1"/>
        <v>"C:\Program Files (x86)\AstroGrep\AstroGrep.exe" /spath="%USERPROFILE%\AppData\Local\Temp\OnboardLogs" /stypes="*4017*201610151*" /stext=" 15:.+((SYSTEM_STATE.+slice.+state.+changed )|(ment ac)|(system.+state.+changed )|(\[timeout)|(PRM\|1\|D)|(kpr)|(kdp)|(\|lc)|(penalty))" /e /r /s</v>
      </c>
      <c r="U26" s="9" t="str">
        <f t="shared" si="2"/>
        <v>4017</v>
      </c>
      <c r="V26" s="36">
        <f t="shared" si="3"/>
        <v>42658.663437499999</v>
      </c>
      <c r="W26" s="50" t="str">
        <f t="shared" si="4"/>
        <v>NW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{"issue":{"subject":"","project_id":79,"tracker_id":40,"status_id":1,"priority_id":2,"assigned_to_id":23,"start_date":"2016-10-15","description":"","custom_fields":[{"id":1,"name":"Subdivision","value":"NW"},{"id":4,"name":"Milepost","value":"0.0575"},{"id":17,"name":"Train ID","value":"1808-15"},{"id":16,"name":"Locomotive ID","value":"4017"},{"id":130,"name":"Impact","value":""},{"id":150,"name":"Time of Event (Mountain Time)","value":"09:55:21"},{"id":151,"name":"Denver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55" t="str">
        <f t="shared" si="7"/>
        <v>grep -hSE -A100 "Enforcement Action" "%USERPROFILE%\AppData\Local\Temp\OnboardLogs"\RTDC4017\*4017*201610151* | grep -SE "((Enforcement Ac)|(PRM))" -</v>
      </c>
      <c r="AD26" s="1"/>
    </row>
    <row r="27" spans="1:30" x14ac:dyDescent="0.25">
      <c r="A27" s="36">
        <v>42658.621168981481</v>
      </c>
      <c r="B27" s="31" t="s">
        <v>291</v>
      </c>
      <c r="C27" s="31" t="s">
        <v>444</v>
      </c>
      <c r="D27" s="31" t="s">
        <v>49</v>
      </c>
      <c r="E27" s="31" t="s">
        <v>294</v>
      </c>
      <c r="F27" s="47">
        <v>0</v>
      </c>
      <c r="G27" s="47">
        <v>82</v>
      </c>
      <c r="H27" s="47">
        <v>794</v>
      </c>
      <c r="I27" s="47">
        <v>713</v>
      </c>
      <c r="J27" s="31" t="s">
        <v>295</v>
      </c>
      <c r="K27" s="47">
        <v>575</v>
      </c>
      <c r="L27" s="172" t="s">
        <v>51</v>
      </c>
      <c r="M27" s="173">
        <f t="shared" si="0"/>
        <v>72.864000000000004</v>
      </c>
      <c r="N27" s="174" t="str">
        <f>VLOOKUP(C27,'Trips&amp;Operators'!$C$1:$E$99999,3,FALSE)</f>
        <v>BROWN</v>
      </c>
      <c r="O27" s="154" t="s">
        <v>287</v>
      </c>
      <c r="P27" s="175"/>
      <c r="Q27" s="31"/>
      <c r="R27" s="100" t="str">
        <f>VLOOKUP(C27,'Train Runs'!$A$13:$AE$10011,31,0)</f>
        <v>aws s3 cp s3://rtdc.mdm.uploadarchive.raw/RTDC4017/ "%USERPROFILE%\AppData\Local\Temp\OnboardLogs"\RTDC4017\2016-10-15 --exclude "*" --recursive --include "*20161015*" &amp; "%USERPROFILE%\Documents\GitHub\mrs-test-scripts\Headless Mode &amp; Sideloading\WalkAndUnGZ.bat" "%USERPROFILE%\AppData\Local\Temp\OnboardLogs"\RTDC4017\2016-10-15 &amp; aws s3 cp s3://rtdc.mdm.uploadarchive.raw/RTDC4017/ "%USERPROFILE%\AppData\Local\Temp\OnboardLogs"\RTDC4017\2016-10-16 --exclude "*" --recursive --include "*20161016*" &amp; "%USERPROFILE%\Documents\GitHub\mrs-test-scripts\Headless Mode &amp; Sideloading\WalkAndUnGZ.bat" "%USERPROFILE%\AppData\Local\Temp\OnboardLogs"\RTDC4017\2016-10-16</v>
      </c>
      <c r="S27" s="103" t="str">
        <f>VLOOKUP(C27,'Train Runs'!$A$13:$AE$10011,22,0)</f>
        <v>https://search-rtdc-monitor-bjffxe2xuh6vdkpspy63sjmuny.us-east-1.es.amazonaws.com/_plugin/kibana/#/discover/Steve-Slow-Train-Analysis-(2080s-and-2083s)?_g=(refreshInterval:(display:Off,section:0,value:0),time:(from:'2016-10-15 13:37:34-0600',mode:absolute,to:'2016-10-15 15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7" s="105" t="str">
        <f t="shared" si="1"/>
        <v>"C:\Program Files (x86)\AstroGrep\AstroGrep.exe" /spath="%USERPROFILE%\AppData\Local\Temp\OnboardLogs" /stypes="*4017*201610152*" /stext=" 20:.+((SYSTEM_STATE.+slice.+state.+changed )|(ment ac)|(system.+state.+changed )|(\[timeout)|(PRM\|1\|D)|(kpr)|(kdp)|(\|lc)|(penalty))" /e /r /s</v>
      </c>
      <c r="U27" s="9" t="str">
        <f t="shared" si="2"/>
        <v>4017</v>
      </c>
      <c r="V27" s="36">
        <f t="shared" si="3"/>
        <v>42658.871168981481</v>
      </c>
      <c r="W27" s="50" t="str">
        <f t="shared" si="4"/>
        <v>NW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{"issue":{"subject":"","project_id":79,"tracker_id":40,"status_id":1,"priority_id":2,"assigned_to_id":23,"start_date":"2016-10-15","description":"","custom_fields":[{"id":1,"name":"Subdivision","value":"NW"},{"id":4,"name":"Milepost","value":"0.0575"},{"id":17,"name":"Train ID","value":"1818-15"},{"id":16,"name":"Locomotive ID","value":"4017"},{"id":130,"name":"Impact","value":""},{"id":150,"name":"Time of Event (Mountain Time)","value":"14:54:29"},{"id":151,"name":"Denver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55" t="str">
        <f t="shared" si="7"/>
        <v>grep -hSE -A100 "Enforcement Action" "%USERPROFILE%\AppData\Local\Temp\OnboardLogs"\RTDC4017\*4017*201610152* | grep -SE "((Enforcement Ac)|(PRM))" -</v>
      </c>
      <c r="AD27" s="1"/>
    </row>
    <row r="28" spans="1:30" x14ac:dyDescent="0.25">
      <c r="A28" s="36">
        <v>42658.607627314814</v>
      </c>
      <c r="B28" s="31" t="s">
        <v>188</v>
      </c>
      <c r="C28" s="31" t="s">
        <v>443</v>
      </c>
      <c r="D28" s="31" t="s">
        <v>49</v>
      </c>
      <c r="E28" s="31" t="s">
        <v>294</v>
      </c>
      <c r="F28" s="47">
        <v>0</v>
      </c>
      <c r="G28" s="47">
        <v>85</v>
      </c>
      <c r="H28" s="47">
        <v>58783</v>
      </c>
      <c r="I28" s="47">
        <v>58882</v>
      </c>
      <c r="J28" s="31" t="s">
        <v>295</v>
      </c>
      <c r="K28" s="47">
        <v>59048</v>
      </c>
      <c r="L28" s="172" t="s">
        <v>50</v>
      </c>
      <c r="M28" s="173">
        <f t="shared" si="0"/>
        <v>87.647999999999996</v>
      </c>
      <c r="N28" s="174" t="str">
        <f>VLOOKUP(C28,'Trips&amp;Operators'!$C$1:$E$99999,3,FALSE)</f>
        <v>BROWN</v>
      </c>
      <c r="O28" s="154" t="s">
        <v>287</v>
      </c>
      <c r="P28" s="175"/>
      <c r="Q28" s="31"/>
      <c r="R28" s="100" t="str">
        <f>VLOOKUP(C28,'Train Runs'!$A$13:$AE$10011,31,0)</f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S28" s="103" t="str">
        <f>VLOOKUP(C28,'Train Runs'!$A$13:$AE$10011,22,0)</f>
        <v>https://search-rtdc-monitor-bjffxe2xuh6vdkpspy63sjmuny.us-east-1.es.amazonaws.com/_plugin/kibana/#/discover/Steve-Slow-Train-Analysis-(2080s-and-2083s)?_g=(refreshInterval:(display:Off,section:0,value:0),time:(from:'2016-10-15 12:59:19-0600',mode:absolute,to:'2016-10-15 15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8" s="105" t="str">
        <f t="shared" si="1"/>
        <v>"C:\Program Files (x86)\AstroGrep\AstroGrep.exe" /spath="%USERPROFILE%\AppData\Local\Temp\OnboardLogs" /stypes="*4018*201610152*" /stext=" 20:.+((SYSTEM_STATE.+slice.+state.+changed )|(ment ac)|(system.+state.+changed )|(\[timeout)|(PRM\|1\|D)|(kpr)|(kdp)|(\|lc)|(penalty))" /e /r /s</v>
      </c>
      <c r="U28" s="9" t="str">
        <f t="shared" si="2"/>
        <v>4018</v>
      </c>
      <c r="V28" s="36">
        <f t="shared" si="3"/>
        <v>42658.857627314814</v>
      </c>
      <c r="W28" s="50" t="str">
        <f t="shared" si="4"/>
        <v>NW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{"issue":{"subject":"","project_id":79,"tracker_id":40,"status_id":1,"priority_id":2,"assigned_to_id":23,"start_date":"2016-10-15","description":"","custom_fields":[{"id":1,"name":"Subdivision","value":"NW"},{"id":4,"name":"Milepost","value":"5.9048"},{"id":17,"name":"Train ID","value":"1817-15"},{"id":16,"name":"Locomotive ID","value":"4018"},{"id":130,"name":"Impact","value":""},{"id":150,"name":"Time of Event (Mountain Time)","value":"14:34:59"},{"id":151,"name":"Denver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55" t="str">
        <f t="shared" si="7"/>
        <v>grep -hSE -A100 "Enforcement Action" "%USERPROFILE%\AppData\Local\Temp\OnboardLogs"\RTDC4018\*4018*201610152* | grep -SE "((Enforcement Ac)|(PRM))" -</v>
      </c>
      <c r="AD28" s="1"/>
    </row>
    <row r="29" spans="1:30" x14ac:dyDescent="0.25">
      <c r="A29" s="36">
        <v>42658.608032407406</v>
      </c>
      <c r="B29" s="31" t="s">
        <v>188</v>
      </c>
      <c r="C29" s="31" t="s">
        <v>443</v>
      </c>
      <c r="D29" s="31" t="s">
        <v>49</v>
      </c>
      <c r="E29" s="31" t="s">
        <v>294</v>
      </c>
      <c r="F29" s="47">
        <v>0</v>
      </c>
      <c r="G29" s="47">
        <v>30</v>
      </c>
      <c r="H29" s="47">
        <v>58916</v>
      </c>
      <c r="I29" s="47">
        <v>58952</v>
      </c>
      <c r="J29" s="31" t="s">
        <v>295</v>
      </c>
      <c r="K29" s="47">
        <v>59048</v>
      </c>
      <c r="L29" s="172" t="s">
        <v>50</v>
      </c>
      <c r="M29" s="173">
        <f t="shared" si="0"/>
        <v>50.688000000000002</v>
      </c>
      <c r="N29" s="174" t="str">
        <f>VLOOKUP(C29,'Trips&amp;Operators'!$C$1:$E$99999,3,FALSE)</f>
        <v>BROWN</v>
      </c>
      <c r="O29" s="154" t="s">
        <v>287</v>
      </c>
      <c r="P29" s="175"/>
      <c r="Q29" s="31"/>
      <c r="R29" s="100" t="str">
        <f>VLOOKUP(C29,'Train Runs'!$A$13:$AE$10011,31,0)</f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S29" s="103" t="str">
        <f>VLOOKUP(C29,'Train Runs'!$A$13:$AE$10011,22,0)</f>
        <v>https://search-rtdc-monitor-bjffxe2xuh6vdkpspy63sjmuny.us-east-1.es.amazonaws.com/_plugin/kibana/#/discover/Steve-Slow-Train-Analysis-(2080s-and-2083s)?_g=(refreshInterval:(display:Off,section:0,value:0),time:(from:'2016-10-15 12:59:19-0600',mode:absolute,to:'2016-10-15 15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9" s="105" t="str">
        <f t="shared" si="1"/>
        <v>"C:\Program Files (x86)\AstroGrep\AstroGrep.exe" /spath="%USERPROFILE%\AppData\Local\Temp\OnboardLogs" /stypes="*4018*201610152*" /stext=" 20:.+((SYSTEM_STATE.+slice.+state.+changed )|(ment ac)|(system.+state.+changed )|(\[timeout)|(PRM\|1\|D)|(kpr)|(kdp)|(\|lc)|(penalty))" /e /r /s</v>
      </c>
      <c r="U29" s="9" t="str">
        <f t="shared" si="2"/>
        <v>4018</v>
      </c>
      <c r="V29" s="36">
        <f t="shared" si="3"/>
        <v>42658.858032407406</v>
      </c>
      <c r="W29" s="50" t="str">
        <f t="shared" si="4"/>
        <v>NW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{"issue":{"subject":"","project_id":79,"tracker_id":40,"status_id":1,"priority_id":2,"assigned_to_id":23,"start_date":"2016-10-15","description":"","custom_fields":[{"id":1,"name":"Subdivision","value":"NW"},{"id":4,"name":"Milepost","value":"5.9048"},{"id":17,"name":"Train ID","value":"1817-15"},{"id":16,"name":"Locomotive ID","value":"4018"},{"id":130,"name":"Impact","value":""},{"id":150,"name":"Time of Event (Mountain Time)","value":"14:35:34"},{"id":151,"name":"Denver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55" t="str">
        <f t="shared" si="7"/>
        <v>grep -hSE -A100 "Enforcement Action" "%USERPROFILE%\AppData\Local\Temp\OnboardLogs"\RTDC4018\*4018*201610152* | grep -SE "((Enforcement Ac)|(PRM))" -</v>
      </c>
      <c r="AD29" s="1"/>
    </row>
    <row r="30" spans="1:30" x14ac:dyDescent="0.25">
      <c r="A30" s="36">
        <v>42658.690798611111</v>
      </c>
      <c r="B30" s="31" t="s">
        <v>188</v>
      </c>
      <c r="C30" s="31" t="s">
        <v>445</v>
      </c>
      <c r="D30" s="31" t="s">
        <v>49</v>
      </c>
      <c r="E30" s="31" t="s">
        <v>294</v>
      </c>
      <c r="F30" s="47">
        <v>0</v>
      </c>
      <c r="G30" s="47">
        <v>27</v>
      </c>
      <c r="H30" s="47">
        <v>58984</v>
      </c>
      <c r="I30" s="47">
        <v>58997</v>
      </c>
      <c r="J30" s="31" t="s">
        <v>295</v>
      </c>
      <c r="K30" s="47">
        <v>59048</v>
      </c>
      <c r="L30" s="172" t="s">
        <v>50</v>
      </c>
      <c r="M30" s="173">
        <f t="shared" si="0"/>
        <v>26.928000000000001</v>
      </c>
      <c r="N30" s="174" t="str">
        <f>VLOOKUP(C30,'Trips&amp;Operators'!$C$1:$E$99999,3,FALSE)</f>
        <v>BROWN</v>
      </c>
      <c r="O30" s="154" t="s">
        <v>287</v>
      </c>
      <c r="P30" s="175"/>
      <c r="Q30" s="31"/>
      <c r="R30" s="100" t="str">
        <f>VLOOKUP(C30,'Train Runs'!$A$13:$AE$10011,31,0)</f>
        <v>aws s3 cp s3://rtdc.mdm.uploadarchive.raw/RTDC4018/ "%USERPROFILE%\AppData\Local\Temp\OnboardLogs"\RTDC4018\2016-10-15 --exclude "*" --recursive --include "*20161015*" &amp; "%USERPROFILE%\Documents\GitHub\mrs-test-scripts\Headless Mode &amp; Sideloading\WalkAndUnGZ.bat" "%USERPROFILE%\AppData\Local\Temp\OnboardLogs"\RTDC4018\2016-10-15 &amp; aws s3 cp s3://rtdc.mdm.uploadarchive.raw/RTDC4018/ "%USERPROFILE%\AppData\Local\Temp\OnboardLogs"\RTDC4018\2016-10-16 --exclude "*" --recursive --include "*20161016*" &amp; "%USERPROFILE%\Documents\GitHub\mrs-test-scripts\Headless Mode &amp; Sideloading\WalkAndUnGZ.bat" "%USERPROFILE%\AppData\Local\Temp\OnboardLogs"\RTDC4018\2016-10-16</v>
      </c>
      <c r="S30" s="103" t="str">
        <f>VLOOKUP(C30,'Train Runs'!$A$13:$AE$10011,22,0)</f>
        <v>https://search-rtdc-monitor-bjffxe2xuh6vdkpspy63sjmuny.us-east-1.es.amazonaws.com/_plugin/kibana/#/discover/Steve-Slow-Train-Analysis-(2080s-and-2083s)?_g=(refreshInterval:(display:Off,section:0,value:0),time:(from:'2016-10-15 15:07:42-0600',mode:absolute,to:'2016-10-15 17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0" s="105" t="str">
        <f t="shared" si="1"/>
        <v>"C:\Program Files (x86)\AstroGrep\AstroGrep.exe" /spath="%USERPROFILE%\AppData\Local\Temp\OnboardLogs" /stypes="*4018*201610152*" /stext=" 22:.+((SYSTEM_STATE.+slice.+state.+changed )|(ment ac)|(system.+state.+changed )|(\[timeout)|(PRM\|1\|D)|(kpr)|(kdp)|(\|lc)|(penalty))" /e /r /s</v>
      </c>
      <c r="U30" s="9" t="str">
        <f t="shared" si="2"/>
        <v>4018</v>
      </c>
      <c r="V30" s="36">
        <f t="shared" si="3"/>
        <v>42658.940798611111</v>
      </c>
      <c r="W30" s="50" t="str">
        <f t="shared" si="4"/>
        <v>NW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{"issue":{"subject":"","project_id":79,"tracker_id":40,"status_id":1,"priority_id":2,"assigned_to_id":23,"start_date":"2016-10-15","description":"","custom_fields":[{"id":1,"name":"Subdivision","value":"NW"},{"id":4,"name":"Milepost","value":"5.9048"},{"id":17,"name":"Train ID","value":"1821-15"},{"id":16,"name":"Locomotive ID","value":"4018"},{"id":130,"name":"Impact","value":""},{"id":150,"name":"Time of Event (Mountain Time)","value":"16:34:45"},{"id":151,"name":"Denver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55" t="str">
        <f t="shared" si="7"/>
        <v>grep -hSE -A100 "Enforcement Action" "%USERPROFILE%\AppData\Local\Temp\OnboardLogs"\RTDC4018\*4018*201610152* | grep -SE "((Enforcement Ac)|(PRM))" -</v>
      </c>
      <c r="AD30" s="1"/>
    </row>
    <row r="31" spans="1:30" ht="15" customHeight="1" x14ac:dyDescent="0.25">
      <c r="A31" s="36">
        <v>42658.174513888887</v>
      </c>
      <c r="B31" s="31" t="s">
        <v>225</v>
      </c>
      <c r="C31" s="31" t="s">
        <v>426</v>
      </c>
      <c r="D31" s="31" t="s">
        <v>98</v>
      </c>
      <c r="E31" s="31" t="s">
        <v>292</v>
      </c>
      <c r="F31" s="47">
        <v>200</v>
      </c>
      <c r="G31" s="47">
        <v>257</v>
      </c>
      <c r="H31" s="47">
        <v>21394</v>
      </c>
      <c r="I31" s="47">
        <v>20981</v>
      </c>
      <c r="J31" s="31" t="s">
        <v>293</v>
      </c>
      <c r="K31" s="47">
        <v>24161</v>
      </c>
      <c r="L31" s="172" t="s">
        <v>51</v>
      </c>
      <c r="M31" s="173">
        <f t="shared" si="0"/>
        <v>-1679.04</v>
      </c>
      <c r="N31" s="174" t="str">
        <f>VLOOKUP(C31,'Trips&amp;Operators'!$C$1:$E$99999,3,FALSE)</f>
        <v>DAVIS</v>
      </c>
      <c r="O31" s="154" t="s">
        <v>287</v>
      </c>
      <c r="P31" s="175"/>
      <c r="Q31" s="31"/>
      <c r="R31" s="100" t="str">
        <f>VLOOKUP(C31,'Train Runs'!$A$13:$AE$10011,31,0)</f>
        <v>aws s3 cp s3://rtdc.mdm.uploadarchive.raw/RTDC4015/ "%USERPROFILE%\AppData\Local\Temp\OnboardLogs"\RTDC4015\2016-10-15 --exclude "*" --recursive --include "*20161015*" &amp; "%USERPROFILE%\Documents\GitHub\mrs-test-scripts\Headless Mode &amp; Sideloading\WalkAndUnGZ.bat" "%USERPROFILE%\AppData\Local\Temp\OnboardLogs"\RTDC4015\2016-10-15 &amp; aws s3 cp s3://rtdc.mdm.uploadarchive.raw/RTDC4015/ "%USERPROFILE%\AppData\Local\Temp\OnboardLogs"\RTDC4015\2016-10-16 --exclude "*" --recursive --include "*20161016*" &amp; "%USERPROFILE%\Documents\GitHub\mrs-test-scripts\Headless Mode &amp; Sideloading\WalkAndUnGZ.bat" "%USERPROFILE%\AppData\Local\Temp\OnboardLogs"\RTDC4015\2016-10-16</v>
      </c>
      <c r="S31" s="103" t="str">
        <f>VLOOKUP(C31,'Train Runs'!$A$13:$AE$10011,22,0)</f>
        <v>https://search-rtdc-monitor-bjffxe2xuh6vdkpspy63sjmuny.us-east-1.es.amazonaws.com/_plugin/kibana/#/discover/Steve-Slow-Train-Analysis-(2080s-and-2083s)?_g=(refreshInterval:(display:Off,section:0,value:0),time:(from:'2016-10-15 03:07:53-0600',mode:absolute,to:'2016-10-15 05:20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1" s="105" t="str">
        <f t="shared" si="1"/>
        <v>"C:\Program Files (x86)\AstroGrep\AstroGrep.exe" /spath="%USERPROFILE%\AppData\Local\Temp\OnboardLogs" /stypes="*4015*201610151*" /stext=" 10:.+((SYSTEM_STATE.+slice.+state.+changed )|(ment ac)|(system.+state.+changed )|(\[timeout)|(PRM\|1\|D)|(kpr)|(kdp)|(\|lc)|(penalty))" /e /r /s</v>
      </c>
      <c r="U31" s="9" t="str">
        <f t="shared" si="2"/>
        <v>4015</v>
      </c>
      <c r="V31" s="36">
        <f t="shared" si="3"/>
        <v>42658.424513888887</v>
      </c>
      <c r="W31" s="50" t="str">
        <f t="shared" si="4"/>
        <v>Other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{"issue":{"subject":"","project_id":79,"tracker_id":40,"status_id":1,"priority_id":2,"assigned_to_id":23,"start_date":"2016-10-15","description":"","custom_fields":[{"id":1,"name":"Subdivision","value":"Other"},{"id":4,"name":"Milepost","value":"2.4161"},{"id":17,"name":"Train ID","value":"308-15"},{"id":16,"name":"Locomotive ID","value":"4015"},{"id":130,"name":"Impact","value":""},{"id":150,"name":"Time of Event (Mountain Time)","value":"04:11:18"},{"id":151,"name":"Denver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55" t="str">
        <f t="shared" si="7"/>
        <v>grep -hSE -A100 "Enforcement Action" "%USERPROFILE%\AppData\Local\Temp\OnboardLogs"\RTDC4015\*4015*201610151* | grep -SE "((Enforcement Ac)|(PRM))" -</v>
      </c>
      <c r="AD31" s="1"/>
    </row>
    <row r="32" spans="1:30" x14ac:dyDescent="0.25">
      <c r="A32" s="36">
        <v>42658.758587962962</v>
      </c>
      <c r="B32" s="31" t="s">
        <v>340</v>
      </c>
      <c r="C32" s="31" t="s">
        <v>448</v>
      </c>
      <c r="D32" s="31" t="s">
        <v>49</v>
      </c>
      <c r="E32" s="31" t="s">
        <v>294</v>
      </c>
      <c r="F32" s="47">
        <v>0</v>
      </c>
      <c r="G32" s="47">
        <v>52</v>
      </c>
      <c r="H32" s="47">
        <v>176</v>
      </c>
      <c r="I32" s="47">
        <v>137</v>
      </c>
      <c r="J32" s="31" t="s">
        <v>295</v>
      </c>
      <c r="K32" s="47">
        <v>1</v>
      </c>
      <c r="L32" s="172" t="s">
        <v>51</v>
      </c>
      <c r="M32" s="173">
        <f t="shared" si="0"/>
        <v>71.808000000000007</v>
      </c>
      <c r="N32" s="174" t="str">
        <f>VLOOKUP(C32,'Trips&amp;Operators'!$C$1:$E$99999,3,FALSE)</f>
        <v>BRANDNER</v>
      </c>
      <c r="O32" s="154" t="s">
        <v>287</v>
      </c>
      <c r="P32" s="175"/>
      <c r="Q32" s="31"/>
      <c r="R32" s="100" t="str">
        <f>VLOOKUP(C32,'Train Runs'!$A$13:$AE$10011,31,0)</f>
        <v>aws s3 cp s3://rtdc.mdm.uploadarchive.raw/RTDC4021/ "%USERPROFILE%\AppData\Local\Temp\OnboardLogs"\RTDC4021\2016-10-15 --exclude "*" --recursive --include "*20161015*" &amp; "%USERPROFILE%\Documents\GitHub\mrs-test-scripts\Headless Mode &amp; Sideloading\WalkAndUnGZ.bat" "%USERPROFILE%\AppData\Local\Temp\OnboardLogs"\RTDC4021\2016-10-15 &amp; aws s3 cp s3://rtdc.mdm.uploadarchive.raw/RTDC4021/ "%USERPROFILE%\AppData\Local\Temp\OnboardLogs"\RTDC4021\2016-10-16 --exclude "*" --recursive --include "*20161016*" &amp; "%USERPROFILE%\Documents\GitHub\mrs-test-scripts\Headless Mode &amp; Sideloading\WalkAndUnGZ.bat" "%USERPROFILE%\AppData\Local\Temp\OnboardLogs"\RTDC4021\2016-10-16</v>
      </c>
      <c r="S32" s="103" t="str">
        <f>VLOOKUP(C32,'Train Runs'!$A$13:$AE$10011,22,0)</f>
        <v>https://search-rtdc-monitor-bjffxe2xuh6vdkpspy63sjmuny.us-east-1.es.amazonaws.com/_plugin/kibana/#/discover/Steve-Slow-Train-Analysis-(2080s-and-2083s)?_g=(refreshInterval:(display:Off,section:0,value:0),time:(from:'2016-10-15 16:56:37-0600',mode:absolute,to:'2016-10-15 19:12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2" s="105" t="str">
        <f t="shared" si="1"/>
        <v>"C:\Program Files (x86)\AstroGrep\AstroGrep.exe" /spath="%USERPROFILE%\AppData\Local\Temp\OnboardLogs" /stypes="*4021*201610160*" /stext=" 00:.+((SYSTEM_STATE.+slice.+state.+changed )|(ment ac)|(system.+state.+changed )|(\[timeout)|(PRM\|1\|D)|(kpr)|(kdp)|(\|lc)|(penalty))" /e /r /s</v>
      </c>
      <c r="U32" s="9" t="str">
        <f t="shared" si="2"/>
        <v>4021</v>
      </c>
      <c r="V32" s="36">
        <f t="shared" si="3"/>
        <v>42659.008587962962</v>
      </c>
      <c r="W32" s="50" t="str">
        <f t="shared" si="4"/>
        <v>Other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{"issue":{"subject":"","project_id":79,"tracker_id":40,"status_id":1,"priority_id":2,"assigned_to_id":23,"start_date":"2016-10-15","description":"","custom_fields":[{"id":1,"name":"Subdivision","value":"Other"},{"id":4,"name":"Milepost","value":"0.0001"},{"id":17,"name":"Train ID","value":"56-15"},{"id":16,"name":"Locomotive ID","value":"4021"},{"id":130,"name":"Impact","value":""},{"id":150,"name":"Time of Event (Mountain Time)","value":"18:12:22"},{"id":151,"name":"Denver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55" t="str">
        <f t="shared" si="7"/>
        <v>grep -hSE -A100 "Enforcement Action" "%USERPROFILE%\AppData\Local\Temp\OnboardLogs"\RTDC4021\*4021*201610160* | grep -SE "((Enforcement Ac)|(PRM))" -</v>
      </c>
      <c r="AD32" s="1"/>
    </row>
    <row r="33" spans="1:30" ht="15" customHeight="1" x14ac:dyDescent="0.25">
      <c r="A33" s="36">
        <v>42658.507106481484</v>
      </c>
      <c r="B33" s="31" t="s">
        <v>199</v>
      </c>
      <c r="C33" s="31" t="s">
        <v>439</v>
      </c>
      <c r="D33" s="31" t="s">
        <v>49</v>
      </c>
      <c r="E33" s="31" t="s">
        <v>294</v>
      </c>
      <c r="F33" s="47">
        <v>0</v>
      </c>
      <c r="G33" s="47">
        <v>18</v>
      </c>
      <c r="H33" s="47">
        <v>854</v>
      </c>
      <c r="I33" s="47">
        <v>843</v>
      </c>
      <c r="J33" s="31" t="s">
        <v>295</v>
      </c>
      <c r="K33" s="47">
        <v>826</v>
      </c>
      <c r="L33" s="172" t="s">
        <v>51</v>
      </c>
      <c r="M33" s="173">
        <f t="shared" si="0"/>
        <v>8.9760000000000009</v>
      </c>
      <c r="N33" s="174" t="str">
        <f>VLOOKUP(C33,'Trips&amp;Operators'!$C$1:$E$99999,3,FALSE)</f>
        <v>STORY</v>
      </c>
      <c r="O33" s="154" t="s">
        <v>287</v>
      </c>
      <c r="P33" s="175"/>
      <c r="Q33" s="31"/>
      <c r="R33" s="100" t="str">
        <f>VLOOKUP(C33,'Train Runs'!$A$13:$AE$10011,31,0)</f>
        <v>aws s3 cp s3://rtdc.mdm.uploadarchive.raw/RTDC4008/ "%USERPROFILE%\AppData\Local\Temp\OnboardLogs"\RTDC4008\2016-10-15 --exclude "*" --recursive --include "*20161015*" &amp; "%USERPROFILE%\Documents\GitHub\mrs-test-scripts\Headless Mode &amp; Sideloading\WalkAndUnGZ.bat" "%USERPROFILE%\AppData\Local\Temp\OnboardLogs"\RTDC4008\2016-10-15 &amp; aws s3 cp s3://rtdc.mdm.uploadarchive.raw/RTDC4008/ "%USERPROFILE%\AppData\Local\Temp\OnboardLogs"\RTDC4008\2016-10-16 --exclude "*" --recursive --include "*20161016*" &amp; "%USERPROFILE%\Documents\GitHub\mrs-test-scripts\Headless Mode &amp; Sideloading\WalkAndUnGZ.bat" "%USERPROFILE%\AppData\Local\Temp\OnboardLogs"\RTDC4008\2016-10-16</v>
      </c>
      <c r="S33" s="103" t="str">
        <f>VLOOKUP(C33,'Train Runs'!$A$13:$AE$10011,22,0)</f>
        <v>https://search-rtdc-monitor-bjffxe2xuh6vdkpspy63sjmuny.us-east-1.es.amazonaws.com/_plugin/kibana/#/discover/Steve-Slow-Train-Analysis-(2080s-and-2083s)?_g=(refreshInterval:(display:Off,section:0,value:0),time:(from:'2016-10-15 10:58:22-0600',mode:absolute,to:'2016-10-15 13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3" s="105" t="str">
        <f t="shared" si="1"/>
        <v>"C:\Program Files (x86)\AstroGrep\AstroGrep.exe" /spath="%USERPROFILE%\AppData\Local\Temp\OnboardLogs" /stypes="*4008*201610151*" /stext=" 18:.+((SYSTEM_STATE.+slice.+state.+changed )|(ment ac)|(system.+state.+changed )|(\[timeout)|(PRM\|1\|D)|(kpr)|(kdp)|(\|lc)|(penalty))" /e /r /s</v>
      </c>
      <c r="U33" s="9" t="str">
        <f t="shared" si="2"/>
        <v>4008</v>
      </c>
      <c r="V33" s="36">
        <f t="shared" si="3"/>
        <v>42658.757106481484</v>
      </c>
      <c r="W33" s="50" t="str">
        <f t="shared" si="4"/>
        <v>Other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{"issue":{"subject":"","project_id":79,"tracker_id":40,"status_id":1,"priority_id":2,"assigned_to_id":23,"start_date":"2016-10-15","description":"","custom_fields":[{"id":1,"name":"Subdivision","value":"Other"},{"id":4,"name":"Milepost","value":"0.0826"},{"id":17,"name":"Train ID","value":"52-15"},{"id":16,"name":"Locomotive ID","value":"4008"},{"id":130,"name":"Impact","value":""},{"id":150,"name":"Time of Event (Mountain Time)","value":"12:10:14"},{"id":151,"name":"Denver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55" t="str">
        <f t="shared" si="7"/>
        <v>grep -hSE -A100 "Enforcement Action" "%USERPROFILE%\AppData\Local\Temp\OnboardLogs"\RTDC4008\*4008*201610151* | grep -SE "((Enforcement Ac)|(PRM))" -</v>
      </c>
      <c r="AD33" s="1"/>
    </row>
    <row r="34" spans="1:30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</row>
    <row r="35" spans="1:30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</row>
    <row r="36" spans="1:30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</row>
    <row r="37" spans="1:30" ht="15" customHeight="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</row>
    <row r="38" spans="1:30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30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30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</sheetData>
  <autoFilter ref="A6:AC66">
    <sortState ref="A7:AC66">
      <sortCondition ref="W7:W33"/>
      <sortCondition ref="E7:E33"/>
      <sortCondition ref="K7:K33"/>
      <sortCondition ref="F7:F33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8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33">
    <cfRule type="cellIs" dxfId="1" priority="2" operator="equal">
      <formula>"Y"</formula>
    </cfRule>
  </conditionalFormatting>
  <conditionalFormatting sqref="A7:P33">
    <cfRule type="expression" dxfId="0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AB7:AB33</xm:sqref>
        </x14:dataValidation>
        <x14:dataValidation type="list" allowBlank="1" showInputMessage="1" showErrorMessage="1">
          <x14:formula1>
            <xm:f>'Redmine List Values'!$A$2:$A$7</xm:f>
          </x14:formula1>
          <xm:sqref>AA7:AA33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4"/>
  <sheetViews>
    <sheetView workbookViewId="0">
      <selection activeCell="E3" sqref="E3"/>
    </sheetView>
  </sheetViews>
  <sheetFormatPr defaultRowHeight="15" x14ac:dyDescent="0.25"/>
  <cols>
    <col min="1" max="1" width="9.140625" style="142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42"/>
      <c r="B1" s="182" t="str">
        <f>"Trips that did not appear in PTC Data "&amp;TEXT(Variables!$A$2,"YYYY-mm-dd")</f>
        <v>Trips that did not appear in PTC Data 2016-10-15</v>
      </c>
      <c r="C1" s="182"/>
      <c r="D1" s="182"/>
      <c r="E1" s="182"/>
      <c r="F1" s="182"/>
    </row>
    <row r="2" spans="1:11" s="24" customFormat="1" ht="45" x14ac:dyDescent="0.25">
      <c r="A2" s="15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x14ac:dyDescent="0.25">
      <c r="A3" s="164">
        <v>1831</v>
      </c>
      <c r="B3" s="47" t="str">
        <f>A3&amp;"-"&amp;IF(DAY(Variables!$A$2)&lt;10,0,"")&amp;DAY(Variables!$A$2)</f>
        <v>1831-15</v>
      </c>
      <c r="C3" s="176"/>
      <c r="D3" s="177"/>
      <c r="E3" s="31"/>
      <c r="F3" s="22" t="str">
        <f>VLOOKUP(B3,'Trips&amp;Operators'!$C$2:$E$10000,3,FALSE)</f>
        <v>BROWN</v>
      </c>
      <c r="G3" s="22" t="str">
        <f>VLOOKUP(B3,'Trips&amp;Operators'!$C$1:$F$10000,4,FALSE)</f>
        <v>rtdc.l.rtdc.4018:itc</v>
      </c>
      <c r="H3" s="30">
        <f>VLOOKUP(B3,'Trips&amp;Operators'!$C$1:$H$10000,5,FALSE)</f>
        <v>42658.883449074077</v>
      </c>
      <c r="I3" s="50" t="str">
        <f t="shared" ref="I3:I2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221831-15%22)),sort:!(Time,asc))</v>
      </c>
      <c r="J3" s="31" t="str">
        <f>VLOOKUP(B3,'Train Runs'!$A$13:$A$100008,1,FALSE)</f>
        <v>1831-15</v>
      </c>
      <c r="K3" s="21" t="e">
        <f t="shared" ref="K3:K23" si="1">IF(VLOOKUP(A3,$K$62:$K$85,1,FALSE),"Cancelled")</f>
        <v>#N/A</v>
      </c>
    </row>
    <row r="4" spans="1:11" x14ac:dyDescent="0.25">
      <c r="A4" s="164">
        <v>1832</v>
      </c>
      <c r="B4" s="47" t="str">
        <f>A4&amp;"-"&amp;IF(DAY(Variables!$A$2)&lt;10,0,"")&amp;DAY(Variables!$A$2)</f>
        <v>1832-15</v>
      </c>
      <c r="C4" s="176"/>
      <c r="D4" s="177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221832-15%22)),sort:!(Time,asc))</v>
      </c>
      <c r="J4" s="31" t="str">
        <f>VLOOKUP(B4,'Train Runs'!$A$13:$A$100008,1,FALSE)</f>
        <v>1832-15</v>
      </c>
      <c r="K4" s="21" t="e">
        <f t="shared" si="1"/>
        <v>#N/A</v>
      </c>
    </row>
    <row r="5" spans="1:11" x14ac:dyDescent="0.25">
      <c r="A5" s="164">
        <v>1833</v>
      </c>
      <c r="B5" s="47" t="str">
        <f>A5&amp;"-"&amp;IF(DAY(Variables!$A$2)&lt;10,0,"")&amp;DAY(Variables!$A$2)</f>
        <v>1833-15</v>
      </c>
      <c r="C5" s="176"/>
      <c r="D5" s="177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221833-15%22)),sort:!(Time,asc))</v>
      </c>
      <c r="J5" s="31" t="str">
        <f>VLOOKUP(B5,'Train Runs'!$A$13:$A$100008,1,FALSE)</f>
        <v>1833-15</v>
      </c>
      <c r="K5" s="21" t="e">
        <f t="shared" si="1"/>
        <v>#N/A</v>
      </c>
    </row>
    <row r="6" spans="1:11" x14ac:dyDescent="0.25">
      <c r="A6" s="164"/>
      <c r="B6" s="47" t="str">
        <f>A6&amp;"-"&amp;IF(DAY(Variables!$A$2)&lt;10,0,"")&amp;DAY(Variables!$A$2)</f>
        <v>-15</v>
      </c>
      <c r="C6" s="176"/>
      <c r="D6" s="177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6" s="31" t="e">
        <f>VLOOKUP(B6,'Train Runs'!$A$13:$A$100008,1,FALSE)</f>
        <v>#N/A</v>
      </c>
      <c r="K6" s="21" t="e">
        <f t="shared" si="1"/>
        <v>#N/A</v>
      </c>
    </row>
    <row r="7" spans="1:11" x14ac:dyDescent="0.25">
      <c r="A7" s="164"/>
      <c r="B7" s="47" t="str">
        <f>A7&amp;"-"&amp;IF(DAY(Variables!$A$2)&lt;10,0,"")&amp;DAY(Variables!$A$2)</f>
        <v>-15</v>
      </c>
      <c r="C7" s="176"/>
      <c r="D7" s="177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7" s="31" t="e">
        <f>VLOOKUP(B7,'Train Runs'!$A$13:$A$100008,1,FALSE)</f>
        <v>#N/A</v>
      </c>
      <c r="K7" s="21" t="e">
        <f t="shared" si="1"/>
        <v>#N/A</v>
      </c>
    </row>
    <row r="8" spans="1:11" x14ac:dyDescent="0.25">
      <c r="A8" s="164"/>
      <c r="B8" s="47" t="str">
        <f>A8&amp;"-"&amp;IF(DAY(Variables!$A$2)&lt;10,0,"")&amp;DAY(Variables!$A$2)</f>
        <v>-15</v>
      </c>
      <c r="C8" s="176"/>
      <c r="D8" s="177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8" s="31" t="e">
        <f>VLOOKUP(B8,'Train Runs'!$A$13:$A$100008,1,FALSE)</f>
        <v>#N/A</v>
      </c>
      <c r="K8" s="21" t="e">
        <f t="shared" si="1"/>
        <v>#N/A</v>
      </c>
    </row>
    <row r="9" spans="1:11" x14ac:dyDescent="0.25">
      <c r="A9" s="164"/>
      <c r="B9" s="47" t="str">
        <f>A9&amp;"-"&amp;IF(DAY(Variables!$A$2)&lt;10,0,"")&amp;DAY(Variables!$A$2)</f>
        <v>-15</v>
      </c>
      <c r="C9" s="176"/>
      <c r="D9" s="177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9" s="31" t="e">
        <f>VLOOKUP(B9,'Train Runs'!$A$13:$A$100008,1,FALSE)</f>
        <v>#N/A</v>
      </c>
      <c r="K9" s="21" t="e">
        <f t="shared" si="1"/>
        <v>#N/A</v>
      </c>
    </row>
    <row r="10" spans="1:11" s="21" customFormat="1" x14ac:dyDescent="0.25">
      <c r="A10" s="164"/>
      <c r="B10" s="47" t="str">
        <f>A10&amp;"-"&amp;IF(DAY(Variables!$A$2)&lt;10,0,"")&amp;DAY(Variables!$A$2)</f>
        <v>-15</v>
      </c>
      <c r="C10" s="176"/>
      <c r="D10" s="177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10" s="31" t="e">
        <f>VLOOKUP(B10,'Train Runs'!$A$13:$A$100008,1,FALSE)</f>
        <v>#N/A</v>
      </c>
      <c r="K10" s="21" t="e">
        <f t="shared" si="1"/>
        <v>#N/A</v>
      </c>
    </row>
    <row r="11" spans="1:11" x14ac:dyDescent="0.25">
      <c r="A11" s="164"/>
      <c r="B11" s="47" t="str">
        <f>A11&amp;"-"&amp;IF(DAY(Variables!$A$2)&lt;10,0,"")&amp;DAY(Variables!$A$2)</f>
        <v>-15</v>
      </c>
      <c r="C11" s="176"/>
      <c r="D11" s="177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11" s="31" t="e">
        <f>VLOOKUP(B11,'Train Runs'!$A$13:$A$100008,1,FALSE)</f>
        <v>#N/A</v>
      </c>
      <c r="K11" s="21" t="e">
        <f t="shared" si="1"/>
        <v>#N/A</v>
      </c>
    </row>
    <row r="12" spans="1:11" x14ac:dyDescent="0.25">
      <c r="A12" s="164"/>
      <c r="B12" s="47" t="str">
        <f>A12&amp;"-"&amp;IF(DAY(Variables!$A$2)&lt;10,0,"")&amp;DAY(Variables!$A$2)</f>
        <v>-15</v>
      </c>
      <c r="C12" s="176"/>
      <c r="D12" s="177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12" s="31" t="e">
        <f>VLOOKUP(B12,'Train Runs'!$A$13:$A$100008,1,FALSE)</f>
        <v>#N/A</v>
      </c>
      <c r="K12" s="21" t="e">
        <f t="shared" si="1"/>
        <v>#N/A</v>
      </c>
    </row>
    <row r="13" spans="1:11" x14ac:dyDescent="0.25">
      <c r="A13" s="164"/>
      <c r="B13" s="47" t="str">
        <f>A13&amp;"-"&amp;IF(DAY(Variables!$A$2)&lt;10,0,"")&amp;DAY(Variables!$A$2)</f>
        <v>-15</v>
      </c>
      <c r="C13" s="176"/>
      <c r="D13" s="177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13" s="31" t="e">
        <f>VLOOKUP(B13,'Train Runs'!$A$13:$A$100008,1,FALSE)</f>
        <v>#N/A</v>
      </c>
      <c r="K13" s="21" t="e">
        <f t="shared" si="1"/>
        <v>#N/A</v>
      </c>
    </row>
    <row r="14" spans="1:11" x14ac:dyDescent="0.25">
      <c r="A14" s="164"/>
      <c r="B14" s="47" t="str">
        <f>A14&amp;"-"&amp;IF(DAY(Variables!$A$2)&lt;10,0,"")&amp;DAY(Variables!$A$2)</f>
        <v>-15</v>
      </c>
      <c r="C14" s="176"/>
      <c r="D14" s="177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14" s="31" t="e">
        <f>VLOOKUP(B14,'Train Runs'!$A$13:$A$100008,1,FALSE)</f>
        <v>#N/A</v>
      </c>
      <c r="K14" s="21" t="e">
        <f t="shared" si="1"/>
        <v>#N/A</v>
      </c>
    </row>
    <row r="15" spans="1:11" x14ac:dyDescent="0.25">
      <c r="A15" s="164"/>
      <c r="B15" s="47" t="str">
        <f>A15&amp;"-"&amp;IF(DAY(Variables!$A$2)&lt;10,0,"")&amp;DAY(Variables!$A$2)</f>
        <v>-15</v>
      </c>
      <c r="C15" s="176"/>
      <c r="D15" s="177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15" s="31" t="e">
        <f>VLOOKUP(B15,'Train Runs'!$A$13:$A$100008,1,FALSE)</f>
        <v>#N/A</v>
      </c>
      <c r="K15" s="21" t="e">
        <f t="shared" si="1"/>
        <v>#N/A</v>
      </c>
    </row>
    <row r="16" spans="1:11" x14ac:dyDescent="0.25">
      <c r="A16" s="164"/>
      <c r="B16" s="47" t="str">
        <f>A16&amp;"-"&amp;IF(DAY(Variables!$A$2)&lt;10,0,"")&amp;DAY(Variables!$A$2)</f>
        <v>-15</v>
      </c>
      <c r="C16" s="176"/>
      <c r="D16" s="177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16" s="31" t="e">
        <f>VLOOKUP(B16,'Train Runs'!$A$13:$A$100008,1,FALSE)</f>
        <v>#N/A</v>
      </c>
      <c r="K16" s="21" t="e">
        <f t="shared" si="1"/>
        <v>#N/A</v>
      </c>
    </row>
    <row r="17" spans="1:11" x14ac:dyDescent="0.25">
      <c r="A17" s="164"/>
      <c r="B17" s="47" t="str">
        <f>A17&amp;"-"&amp;IF(DAY(Variables!$A$2)&lt;10,0,"")&amp;DAY(Variables!$A$2)</f>
        <v>-15</v>
      </c>
      <c r="C17" s="176"/>
      <c r="D17" s="177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17" s="31" t="e">
        <f>VLOOKUP(B17,'Train Runs'!$A$13:$A$100008,1,FALSE)</f>
        <v>#N/A</v>
      </c>
      <c r="K17" s="21" t="e">
        <f t="shared" si="1"/>
        <v>#N/A</v>
      </c>
    </row>
    <row r="18" spans="1:11" x14ac:dyDescent="0.25">
      <c r="A18" s="164"/>
      <c r="B18" s="47" t="str">
        <f>A18&amp;"-"&amp;IF(DAY(Variables!$A$2)&lt;10,0,"")&amp;DAY(Variables!$A$2)</f>
        <v>-15</v>
      </c>
      <c r="C18" s="176"/>
      <c r="D18" s="177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18" s="31" t="e">
        <f>VLOOKUP(B18,'Train Runs'!$A$13:$A$100008,1,FALSE)</f>
        <v>#N/A</v>
      </c>
      <c r="K18" s="21" t="e">
        <f t="shared" si="1"/>
        <v>#N/A</v>
      </c>
    </row>
    <row r="19" spans="1:11" x14ac:dyDescent="0.25">
      <c r="A19" s="164"/>
      <c r="B19" s="47" t="str">
        <f>A19&amp;"-"&amp;IF(DAY(Variables!$A$2)&lt;10,0,"")&amp;DAY(Variables!$A$2)</f>
        <v>-15</v>
      </c>
      <c r="C19" s="176"/>
      <c r="D19" s="177"/>
      <c r="E19" s="31"/>
      <c r="F19" s="22" t="e">
        <f>VLOOKUP(B19,'Trips&amp;Operators'!$C$2:$E$10000,3,FALSE)</f>
        <v>#N/A</v>
      </c>
      <c r="G19" s="22" t="e">
        <f>VLOOKUP(B19,'Trips&amp;Operators'!$C$1:$F$10000,4,FALSE)</f>
        <v>#N/A</v>
      </c>
      <c r="H19" s="30" t="e">
        <f>VLOOKUP(B19,'Trips&amp;Operators'!$C$1:$H$10000,5,FALSE)</f>
        <v>#N/A</v>
      </c>
      <c r="I1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19" s="31" t="e">
        <f>VLOOKUP(B19,'Train Runs'!$A$13:$A$100008,1,FALSE)</f>
        <v>#N/A</v>
      </c>
      <c r="K19" s="21" t="e">
        <f t="shared" si="1"/>
        <v>#N/A</v>
      </c>
    </row>
    <row r="20" spans="1:11" x14ac:dyDescent="0.25">
      <c r="A20" s="164"/>
      <c r="B20" s="47" t="str">
        <f>A20&amp;"-"&amp;IF(DAY(Variables!$A$2)&lt;10,0,"")&amp;DAY(Variables!$A$2)</f>
        <v>-15</v>
      </c>
      <c r="C20" s="176"/>
      <c r="D20" s="177"/>
      <c r="E20" s="31"/>
      <c r="F20" s="22" t="e">
        <f>VLOOKUP(B20,'Trips&amp;Operators'!$C$2:$E$10000,3,FALSE)</f>
        <v>#N/A</v>
      </c>
      <c r="G20" s="22" t="e">
        <f>VLOOKUP(B20,'Trips&amp;Operators'!$C$1:$F$10000,4,FALSE)</f>
        <v>#N/A</v>
      </c>
      <c r="H20" s="30" t="e">
        <f>VLOOKUP(B20,'Trips&amp;Operators'!$C$1:$H$10000,5,FALSE)</f>
        <v>#N/A</v>
      </c>
      <c r="I2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20" s="31" t="e">
        <f>VLOOKUP(B20,'Train Runs'!$A$13:$A$100008,1,FALSE)</f>
        <v>#N/A</v>
      </c>
      <c r="K20" s="21" t="e">
        <f t="shared" si="1"/>
        <v>#N/A</v>
      </c>
    </row>
    <row r="21" spans="1:11" x14ac:dyDescent="0.25">
      <c r="A21" s="164"/>
      <c r="B21" s="47" t="str">
        <f>A21&amp;"-"&amp;IF(DAY(Variables!$A$2)&lt;10,0,"")&amp;DAY(Variables!$A$2)</f>
        <v>-15</v>
      </c>
      <c r="C21" s="176"/>
      <c r="D21" s="177"/>
      <c r="E21" s="31"/>
      <c r="F21" s="22" t="e">
        <f>VLOOKUP(B21,'Trips&amp;Operators'!$C$2:$E$10000,3,FALSE)</f>
        <v>#N/A</v>
      </c>
      <c r="G21" s="22" t="e">
        <f>VLOOKUP(B21,'Trips&amp;Operators'!$C$1:$F$10000,4,FALSE)</f>
        <v>#N/A</v>
      </c>
      <c r="H21" s="30" t="e">
        <f>VLOOKUP(B21,'Trips&amp;Operators'!$C$1:$H$10000,5,FALSE)</f>
        <v>#N/A</v>
      </c>
      <c r="I2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21" s="31" t="e">
        <f>VLOOKUP(B21,'Train Runs'!$A$13:$A$100008,1,FALSE)</f>
        <v>#N/A</v>
      </c>
      <c r="K21" s="21" t="e">
        <f t="shared" si="1"/>
        <v>#N/A</v>
      </c>
    </row>
    <row r="22" spans="1:11" x14ac:dyDescent="0.25">
      <c r="A22" s="164"/>
      <c r="B22" s="47" t="str">
        <f>A22&amp;"-"&amp;IF(DAY(Variables!$A$2)&lt;10,0,"")&amp;DAY(Variables!$A$2)</f>
        <v>-15</v>
      </c>
      <c r="C22" s="176"/>
      <c r="D22" s="177"/>
      <c r="E22" s="31"/>
      <c r="F22" s="22" t="e">
        <f>VLOOKUP(B22,'Trips&amp;Operators'!$C$2:$E$10000,3,FALSE)</f>
        <v>#N/A</v>
      </c>
      <c r="G22" s="22" t="e">
        <f>VLOOKUP(B22,'Trips&amp;Operators'!$C$1:$F$10000,4,FALSE)</f>
        <v>#N/A</v>
      </c>
      <c r="H22" s="30" t="e">
        <f>VLOOKUP(B22,'Trips&amp;Operators'!$C$1:$H$10000,5,FALSE)</f>
        <v>#N/A</v>
      </c>
      <c r="I2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22" s="31" t="e">
        <f>VLOOKUP(B22,'Train Runs'!$A$13:$A$100008,1,FALSE)</f>
        <v>#N/A</v>
      </c>
      <c r="K22" s="21" t="e">
        <f t="shared" si="1"/>
        <v>#N/A</v>
      </c>
    </row>
    <row r="23" spans="1:11" x14ac:dyDescent="0.25">
      <c r="A23" s="164"/>
      <c r="B23" s="47" t="str">
        <f>A23&amp;"-"&amp;IF(DAY(Variables!$A$2)&lt;10,0,"")&amp;DAY(Variables!$A$2)</f>
        <v>-15</v>
      </c>
      <c r="C23" s="176"/>
      <c r="D23" s="177"/>
      <c r="E23" s="31"/>
      <c r="F23" s="22" t="e">
        <f>VLOOKUP(B23,'Trips&amp;Operators'!$C$2:$E$10000,3,FALSE)</f>
        <v>#N/A</v>
      </c>
      <c r="G23" s="22" t="e">
        <f>VLOOKUP(B23,'Trips&amp;Operators'!$C$1:$F$10000,4,FALSE)</f>
        <v>#N/A</v>
      </c>
      <c r="H23" s="30" t="e">
        <f>VLOOKUP(B23,'Trips&amp;Operators'!$C$1:$H$10000,5,FALSE)</f>
        <v>#N/A</v>
      </c>
      <c r="I2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23" s="31" t="e">
        <f>VLOOKUP(B23,'Train Runs'!$A$13:$A$100008,1,FALSE)</f>
        <v>#N/A</v>
      </c>
      <c r="K23" s="21" t="e">
        <f t="shared" si="1"/>
        <v>#N/A</v>
      </c>
    </row>
    <row r="24" spans="1:11" x14ac:dyDescent="0.25">
      <c r="C24" s="110"/>
      <c r="D24" s="110"/>
      <c r="E24" s="31"/>
      <c r="F24" s="22"/>
      <c r="G24" s="22"/>
      <c r="H24" s="30"/>
      <c r="I24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0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42658.036134259259</v>
      </c>
      <c r="B2" s="21" t="s">
        <v>306</v>
      </c>
      <c r="C2" s="21" t="s">
        <v>385</v>
      </c>
      <c r="D2" s="21">
        <v>1800000</v>
      </c>
      <c r="E2" s="21" t="s">
        <v>217</v>
      </c>
      <c r="F2" s="21" t="str">
        <f t="shared" ref="F2:F65" si="0">B2</f>
        <v>rtdc.l.rtdc.4041:itc</v>
      </c>
      <c r="G2" s="8">
        <f t="shared" ref="G2:G65" si="1">A2</f>
        <v>42658.036134259259</v>
      </c>
    </row>
    <row r="3" spans="1:7" x14ac:dyDescent="0.25">
      <c r="A3" s="8">
        <v>42658.036620370367</v>
      </c>
      <c r="B3" s="21" t="s">
        <v>296</v>
      </c>
      <c r="C3" s="21" t="s">
        <v>386</v>
      </c>
      <c r="D3" s="21">
        <v>1300000</v>
      </c>
      <c r="E3" s="21" t="s">
        <v>114</v>
      </c>
      <c r="F3" s="21" t="str">
        <f t="shared" si="0"/>
        <v>rtdc.l.rtdc.4040:itc</v>
      </c>
      <c r="G3" s="8">
        <f t="shared" si="1"/>
        <v>42658.036620370367</v>
      </c>
    </row>
    <row r="4" spans="1:7" x14ac:dyDescent="0.25">
      <c r="A4" s="8">
        <v>42658.046157407407</v>
      </c>
      <c r="B4" s="21" t="s">
        <v>202</v>
      </c>
      <c r="C4" s="21" t="s">
        <v>387</v>
      </c>
      <c r="D4" s="21">
        <v>1230000</v>
      </c>
      <c r="E4" s="21" t="s">
        <v>224</v>
      </c>
      <c r="F4" s="21" t="str">
        <f t="shared" si="0"/>
        <v>rtdc.l.rtdc.4046:itc</v>
      </c>
      <c r="G4" s="8">
        <f t="shared" si="1"/>
        <v>42658.046157407407</v>
      </c>
    </row>
    <row r="5" spans="1:7" x14ac:dyDescent="0.25">
      <c r="A5" s="8">
        <v>42658.055277777778</v>
      </c>
      <c r="B5" s="21" t="s">
        <v>226</v>
      </c>
      <c r="C5" s="21" t="s">
        <v>388</v>
      </c>
      <c r="D5" s="21">
        <v>1480000</v>
      </c>
      <c r="E5" s="21" t="s">
        <v>192</v>
      </c>
      <c r="F5" s="21" t="str">
        <f t="shared" si="0"/>
        <v>rtdc.l.rtdc.4032:itc</v>
      </c>
      <c r="G5" s="8">
        <f t="shared" si="1"/>
        <v>42658.055277777778</v>
      </c>
    </row>
    <row r="6" spans="1:7" x14ac:dyDescent="0.25">
      <c r="A6" s="8">
        <v>42658.071793981479</v>
      </c>
      <c r="B6" s="21" t="s">
        <v>303</v>
      </c>
      <c r="C6" s="21" t="s">
        <v>389</v>
      </c>
      <c r="D6" s="21">
        <v>1800000</v>
      </c>
      <c r="E6" s="21" t="s">
        <v>217</v>
      </c>
      <c r="F6" s="21" t="str">
        <f t="shared" si="0"/>
        <v>rtdc.l.rtdc.4042:itc</v>
      </c>
      <c r="G6" s="8">
        <f t="shared" si="1"/>
        <v>42658.071793981479</v>
      </c>
    </row>
    <row r="7" spans="1:7" x14ac:dyDescent="0.25">
      <c r="A7" s="8">
        <v>42658.0778125</v>
      </c>
      <c r="B7" s="21" t="s">
        <v>222</v>
      </c>
      <c r="C7" s="21" t="s">
        <v>390</v>
      </c>
      <c r="D7" s="21">
        <v>1300000</v>
      </c>
      <c r="E7" s="21" t="s">
        <v>114</v>
      </c>
      <c r="F7" s="21" t="str">
        <f t="shared" si="0"/>
        <v>rtdc.l.rtdc.4039:itc</v>
      </c>
      <c r="G7" s="8">
        <f t="shared" si="1"/>
        <v>42658.0778125</v>
      </c>
    </row>
    <row r="8" spans="1:7" x14ac:dyDescent="0.25">
      <c r="A8" s="8">
        <v>42658.092233796298</v>
      </c>
      <c r="B8" s="21" t="s">
        <v>227</v>
      </c>
      <c r="C8" s="21" t="s">
        <v>391</v>
      </c>
      <c r="D8" s="21">
        <v>1480000</v>
      </c>
      <c r="E8" s="21" t="s">
        <v>192</v>
      </c>
      <c r="F8" s="21" t="str">
        <f t="shared" si="0"/>
        <v>rtdc.l.rtdc.4031:itc</v>
      </c>
      <c r="G8" s="8">
        <f t="shared" si="1"/>
        <v>42658.092233796298</v>
      </c>
    </row>
    <row r="9" spans="1:7" ht="15.75" thickBot="1" x14ac:dyDescent="0.3">
      <c r="A9" s="25">
        <v>42658.108935185184</v>
      </c>
      <c r="B9" s="21" t="s">
        <v>296</v>
      </c>
      <c r="C9" s="21" t="s">
        <v>392</v>
      </c>
      <c r="D9" s="21">
        <v>1300000</v>
      </c>
      <c r="E9" s="21" t="s">
        <v>114</v>
      </c>
      <c r="F9" s="21" t="str">
        <f t="shared" si="0"/>
        <v>rtdc.l.rtdc.4040:itc</v>
      </c>
      <c r="G9" s="8">
        <f t="shared" si="1"/>
        <v>42658.108935185184</v>
      </c>
    </row>
    <row r="10" spans="1:7" x14ac:dyDescent="0.25">
      <c r="A10" s="8">
        <v>42658.121064814812</v>
      </c>
      <c r="B10" s="21" t="s">
        <v>219</v>
      </c>
      <c r="C10" s="21" t="s">
        <v>452</v>
      </c>
      <c r="D10" s="21">
        <v>2010000</v>
      </c>
      <c r="E10" s="21" t="s">
        <v>236</v>
      </c>
      <c r="F10" s="21" t="str">
        <f t="shared" si="0"/>
        <v>rtdc.l.rtdc.4043:itc</v>
      </c>
      <c r="G10" s="8">
        <f t="shared" si="1"/>
        <v>42658.121064814812</v>
      </c>
    </row>
    <row r="11" spans="1:7" x14ac:dyDescent="0.25">
      <c r="A11" s="8">
        <v>42658.131874999999</v>
      </c>
      <c r="B11" s="21" t="s">
        <v>215</v>
      </c>
      <c r="C11" s="21" t="s">
        <v>453</v>
      </c>
      <c r="D11" s="21">
        <v>2010000</v>
      </c>
      <c r="E11" s="21" t="s">
        <v>236</v>
      </c>
      <c r="F11" s="21" t="str">
        <f t="shared" si="0"/>
        <v>rtdc.l.rtdc.4020:itc</v>
      </c>
      <c r="G11" s="8">
        <f t="shared" si="1"/>
        <v>42658.131874999999</v>
      </c>
    </row>
    <row r="12" spans="1:7" x14ac:dyDescent="0.25">
      <c r="A12" s="8">
        <v>42658.150023148148</v>
      </c>
      <c r="B12" s="21" t="s">
        <v>223</v>
      </c>
      <c r="C12" s="21" t="s">
        <v>454</v>
      </c>
      <c r="D12" s="21">
        <v>1310000</v>
      </c>
      <c r="E12" s="21" t="s">
        <v>307</v>
      </c>
      <c r="F12" s="21" t="str">
        <f t="shared" si="0"/>
        <v>rtdc.l.rtdc.4037:itc</v>
      </c>
      <c r="G12" s="8">
        <f t="shared" si="1"/>
        <v>42658.150023148148</v>
      </c>
    </row>
    <row r="13" spans="1:7" x14ac:dyDescent="0.25">
      <c r="A13" s="8">
        <v>42658.15834490741</v>
      </c>
      <c r="B13" s="21" t="s">
        <v>427</v>
      </c>
      <c r="C13" s="21" t="s">
        <v>455</v>
      </c>
      <c r="D13" s="21">
        <v>1310000</v>
      </c>
      <c r="E13" s="21" t="s">
        <v>307</v>
      </c>
      <c r="F13" s="21" t="str">
        <f t="shared" si="0"/>
        <v>rtdc.l.rtdc.4053:itc</v>
      </c>
      <c r="G13" s="8">
        <f t="shared" si="1"/>
        <v>42658.15834490741</v>
      </c>
    </row>
    <row r="14" spans="1:7" x14ac:dyDescent="0.25">
      <c r="A14" s="8">
        <v>42658.159097222226</v>
      </c>
      <c r="B14" s="21" t="s">
        <v>427</v>
      </c>
      <c r="C14" s="21" t="s">
        <v>455</v>
      </c>
      <c r="D14" s="21">
        <v>1310000</v>
      </c>
      <c r="E14" s="21" t="s">
        <v>307</v>
      </c>
      <c r="F14" s="21" t="str">
        <f t="shared" si="0"/>
        <v>rtdc.l.rtdc.4053:itc</v>
      </c>
      <c r="G14" s="8">
        <f t="shared" si="1"/>
        <v>42658.159097222226</v>
      </c>
    </row>
    <row r="15" spans="1:7" x14ac:dyDescent="0.25">
      <c r="A15" s="8">
        <v>42658.159699074073</v>
      </c>
      <c r="B15" s="21" t="s">
        <v>291</v>
      </c>
      <c r="C15" s="21" t="s">
        <v>456</v>
      </c>
      <c r="D15" s="21">
        <v>1360000</v>
      </c>
      <c r="E15" s="21" t="s">
        <v>308</v>
      </c>
      <c r="F15" s="21" t="str">
        <f t="shared" si="0"/>
        <v>rtdc.l.rtdc.4017:itc</v>
      </c>
      <c r="G15" s="8">
        <f t="shared" si="1"/>
        <v>42658.159699074073</v>
      </c>
    </row>
    <row r="16" spans="1:7" x14ac:dyDescent="0.25">
      <c r="A16" s="8">
        <v>42658.168078703704</v>
      </c>
      <c r="B16" s="21" t="s">
        <v>219</v>
      </c>
      <c r="C16" s="21" t="s">
        <v>457</v>
      </c>
      <c r="D16" s="21">
        <v>2010000</v>
      </c>
      <c r="E16" s="21" t="s">
        <v>236</v>
      </c>
      <c r="F16" s="21" t="str">
        <f t="shared" si="0"/>
        <v>rtdc.l.rtdc.4043:itc</v>
      </c>
      <c r="G16" s="8">
        <f t="shared" si="1"/>
        <v>42658.168078703704</v>
      </c>
    </row>
    <row r="17" spans="1:7" x14ac:dyDescent="0.25">
      <c r="A17" s="8">
        <v>42658.169722222221</v>
      </c>
      <c r="B17" s="21" t="s">
        <v>196</v>
      </c>
      <c r="C17" s="21" t="s">
        <v>458</v>
      </c>
      <c r="D17" s="21">
        <v>1360000</v>
      </c>
      <c r="E17" s="21" t="s">
        <v>308</v>
      </c>
      <c r="F17" s="21" t="str">
        <f t="shared" si="0"/>
        <v>rtdc.l.rtdc.4003:itc</v>
      </c>
      <c r="G17" s="8">
        <f t="shared" si="1"/>
        <v>42658.169722222221</v>
      </c>
    </row>
    <row r="18" spans="1:7" x14ac:dyDescent="0.25">
      <c r="A18" s="8">
        <v>42658.172800925924</v>
      </c>
      <c r="B18" s="21" t="s">
        <v>225</v>
      </c>
      <c r="C18" s="21" t="s">
        <v>426</v>
      </c>
      <c r="D18" s="21">
        <v>1990000</v>
      </c>
      <c r="E18" s="21" t="s">
        <v>344</v>
      </c>
      <c r="F18" s="21" t="str">
        <f t="shared" si="0"/>
        <v>rtdc.l.rtdc.4015:itc</v>
      </c>
      <c r="G18" s="8">
        <f t="shared" si="1"/>
        <v>42658.172800925924</v>
      </c>
    </row>
    <row r="19" spans="1:7" x14ac:dyDescent="0.25">
      <c r="A19" s="8">
        <v>42658.177303240744</v>
      </c>
      <c r="B19" s="21" t="s">
        <v>339</v>
      </c>
      <c r="C19" s="21" t="s">
        <v>459</v>
      </c>
      <c r="D19" s="21">
        <v>2030000</v>
      </c>
      <c r="E19" s="21" t="s">
        <v>460</v>
      </c>
      <c r="F19" s="21" t="str">
        <f t="shared" si="0"/>
        <v>rtdc.l.rtdc.4012:itc</v>
      </c>
      <c r="G19" s="8">
        <f t="shared" si="1"/>
        <v>42658.177303240744</v>
      </c>
    </row>
    <row r="20" spans="1:7" x14ac:dyDescent="0.25">
      <c r="A20" s="8">
        <v>42658.183668981481</v>
      </c>
      <c r="B20" s="21" t="s">
        <v>290</v>
      </c>
      <c r="C20" s="21" t="s">
        <v>461</v>
      </c>
      <c r="D20" s="21">
        <v>1990000</v>
      </c>
      <c r="E20" s="21" t="s">
        <v>344</v>
      </c>
      <c r="F20" s="21" t="str">
        <f t="shared" si="0"/>
        <v>rtdc.l.rtdc.4016:itc</v>
      </c>
      <c r="G20" s="8">
        <f t="shared" si="1"/>
        <v>42658.183668981481</v>
      </c>
    </row>
    <row r="21" spans="1:7" x14ac:dyDescent="0.25">
      <c r="A21" s="8">
        <v>42658.188483796293</v>
      </c>
      <c r="B21" s="21" t="s">
        <v>346</v>
      </c>
      <c r="C21" s="21" t="s">
        <v>462</v>
      </c>
      <c r="D21" s="21">
        <v>2030000</v>
      </c>
      <c r="E21" s="21" t="s">
        <v>460</v>
      </c>
      <c r="F21" s="21" t="str">
        <f t="shared" si="0"/>
        <v>rtdc.l.rtdc.4011:itc</v>
      </c>
      <c r="G21" s="8">
        <f t="shared" si="1"/>
        <v>42658.188483796293</v>
      </c>
    </row>
    <row r="22" spans="1:7" x14ac:dyDescent="0.25">
      <c r="A22" s="27">
        <v>42658.192164351851</v>
      </c>
      <c r="B22" s="21" t="s">
        <v>223</v>
      </c>
      <c r="C22" s="21" t="s">
        <v>463</v>
      </c>
      <c r="D22" s="21">
        <v>1310000</v>
      </c>
      <c r="E22" s="21" t="s">
        <v>307</v>
      </c>
      <c r="F22" s="21" t="str">
        <f t="shared" si="0"/>
        <v>rtdc.l.rtdc.4037:itc</v>
      </c>
      <c r="G22" s="8">
        <f t="shared" si="1"/>
        <v>42658.192164351851</v>
      </c>
    </row>
    <row r="23" spans="1:7" x14ac:dyDescent="0.25">
      <c r="A23" s="8">
        <v>42658.203541666669</v>
      </c>
      <c r="B23" s="21" t="s">
        <v>215</v>
      </c>
      <c r="C23" s="21" t="s">
        <v>464</v>
      </c>
      <c r="D23" s="21">
        <v>1100000</v>
      </c>
      <c r="E23" s="21" t="s">
        <v>238</v>
      </c>
      <c r="F23" s="21" t="str">
        <f t="shared" si="0"/>
        <v>rtdc.l.rtdc.4020:itc</v>
      </c>
      <c r="G23" s="8">
        <f t="shared" si="1"/>
        <v>42658.203541666669</v>
      </c>
    </row>
    <row r="24" spans="1:7" x14ac:dyDescent="0.25">
      <c r="A24" s="8">
        <v>42658.204652777778</v>
      </c>
      <c r="B24" s="21" t="s">
        <v>291</v>
      </c>
      <c r="C24" s="21" t="s">
        <v>465</v>
      </c>
      <c r="D24" s="21">
        <v>1360000</v>
      </c>
      <c r="E24" s="21" t="s">
        <v>308</v>
      </c>
      <c r="F24" s="21" t="str">
        <f t="shared" si="0"/>
        <v>rtdc.l.rtdc.4017:itc</v>
      </c>
      <c r="G24" s="8">
        <f t="shared" si="1"/>
        <v>42658.204652777778</v>
      </c>
    </row>
    <row r="25" spans="1:7" x14ac:dyDescent="0.25">
      <c r="A25" s="8">
        <v>42658.213726851849</v>
      </c>
      <c r="B25" s="21" t="s">
        <v>200</v>
      </c>
      <c r="C25" s="21" t="s">
        <v>466</v>
      </c>
      <c r="D25" s="21">
        <v>2010000</v>
      </c>
      <c r="E25" s="21" t="s">
        <v>236</v>
      </c>
      <c r="F25" s="21" t="str">
        <f t="shared" si="0"/>
        <v>rtdc.l.rtdc.4044:itc</v>
      </c>
      <c r="G25" s="8">
        <f t="shared" si="1"/>
        <v>42658.213726851849</v>
      </c>
    </row>
    <row r="26" spans="1:7" x14ac:dyDescent="0.25">
      <c r="A26" s="8">
        <v>42658.222962962966</v>
      </c>
      <c r="B26" s="21" t="s">
        <v>225</v>
      </c>
      <c r="C26" s="21" t="s">
        <v>467</v>
      </c>
      <c r="D26" s="21">
        <v>1990000</v>
      </c>
      <c r="E26" s="21" t="s">
        <v>344</v>
      </c>
      <c r="F26" s="21" t="str">
        <f t="shared" si="0"/>
        <v>rtdc.l.rtdc.4015:itc</v>
      </c>
      <c r="G26" s="8">
        <f t="shared" si="1"/>
        <v>42658.222962962966</v>
      </c>
    </row>
    <row r="27" spans="1:7" x14ac:dyDescent="0.25">
      <c r="A27" s="8">
        <v>42658.224363425928</v>
      </c>
      <c r="B27" s="21" t="s">
        <v>311</v>
      </c>
      <c r="C27" s="21" t="s">
        <v>468</v>
      </c>
      <c r="D27" s="21">
        <v>1830000</v>
      </c>
      <c r="E27" s="21" t="s">
        <v>469</v>
      </c>
      <c r="F27" s="21" t="str">
        <f t="shared" si="0"/>
        <v>rtdc.l.rtdc.4027:itc</v>
      </c>
      <c r="G27" s="8">
        <f t="shared" si="1"/>
        <v>42658.224363425928</v>
      </c>
    </row>
    <row r="28" spans="1:7" x14ac:dyDescent="0.25">
      <c r="A28" s="8">
        <v>42658.225706018522</v>
      </c>
      <c r="B28" s="21" t="s">
        <v>427</v>
      </c>
      <c r="C28" s="21" t="s">
        <v>428</v>
      </c>
      <c r="D28" s="21">
        <v>1760000</v>
      </c>
      <c r="E28" s="21" t="s">
        <v>237</v>
      </c>
      <c r="F28" s="21" t="str">
        <f t="shared" si="0"/>
        <v>rtdc.l.rtdc.4053:itc</v>
      </c>
      <c r="G28" s="8">
        <f t="shared" si="1"/>
        <v>42658.225706018522</v>
      </c>
    </row>
    <row r="29" spans="1:7" x14ac:dyDescent="0.25">
      <c r="A29" s="8">
        <v>42658.23164351852</v>
      </c>
      <c r="B29" s="21" t="s">
        <v>298</v>
      </c>
      <c r="C29" s="21" t="s">
        <v>470</v>
      </c>
      <c r="D29" s="21">
        <v>1830000</v>
      </c>
      <c r="E29" s="21" t="s">
        <v>469</v>
      </c>
      <c r="F29" s="21" t="str">
        <f t="shared" si="0"/>
        <v>rtdc.l.rtdc.4028:itc</v>
      </c>
      <c r="G29" s="8">
        <f t="shared" si="1"/>
        <v>42658.23164351852</v>
      </c>
    </row>
    <row r="30" spans="1:7" x14ac:dyDescent="0.25">
      <c r="A30" s="8">
        <v>42658.231979166667</v>
      </c>
      <c r="B30" s="21" t="s">
        <v>339</v>
      </c>
      <c r="C30" s="21" t="s">
        <v>471</v>
      </c>
      <c r="D30" s="21">
        <v>2030000</v>
      </c>
      <c r="E30" s="21" t="s">
        <v>460</v>
      </c>
      <c r="F30" s="21" t="str">
        <f t="shared" si="0"/>
        <v>rtdc.l.rtdc.4012:itc</v>
      </c>
      <c r="G30" s="8">
        <f t="shared" si="1"/>
        <v>42658.231979166667</v>
      </c>
    </row>
    <row r="31" spans="1:7" x14ac:dyDescent="0.25">
      <c r="A31" s="8">
        <v>42658.237534722219</v>
      </c>
      <c r="B31" s="21" t="s">
        <v>216</v>
      </c>
      <c r="C31" s="21" t="s">
        <v>472</v>
      </c>
      <c r="D31" s="21">
        <v>1310000</v>
      </c>
      <c r="E31" s="21" t="s">
        <v>307</v>
      </c>
      <c r="F31" s="21" t="str">
        <f t="shared" si="0"/>
        <v>rtdc.l.rtdc.4038:itc</v>
      </c>
      <c r="G31" s="8">
        <f t="shared" si="1"/>
        <v>42658.237534722219</v>
      </c>
    </row>
    <row r="32" spans="1:7" x14ac:dyDescent="0.25">
      <c r="A32" s="8">
        <v>42658.245266203703</v>
      </c>
      <c r="B32" s="21" t="s">
        <v>297</v>
      </c>
      <c r="C32" s="21" t="s">
        <v>473</v>
      </c>
      <c r="D32" s="21">
        <v>1100000</v>
      </c>
      <c r="E32" s="21" t="s">
        <v>238</v>
      </c>
      <c r="F32" s="21" t="str">
        <f t="shared" si="0"/>
        <v>rtdc.l.rtdc.4019:itc</v>
      </c>
      <c r="G32" s="8">
        <f t="shared" si="1"/>
        <v>42658.245266203703</v>
      </c>
    </row>
    <row r="33" spans="1:7" x14ac:dyDescent="0.25">
      <c r="A33" s="8">
        <v>42658.246111111112</v>
      </c>
      <c r="B33" s="21" t="s">
        <v>196</v>
      </c>
      <c r="C33" s="21" t="s">
        <v>474</v>
      </c>
      <c r="D33" s="21">
        <v>1360000</v>
      </c>
      <c r="E33" s="21" t="s">
        <v>308</v>
      </c>
      <c r="F33" s="21" t="str">
        <f t="shared" si="0"/>
        <v>rtdc.l.rtdc.4003:itc</v>
      </c>
      <c r="G33" s="8">
        <f t="shared" si="1"/>
        <v>42658.246111111112</v>
      </c>
    </row>
    <row r="34" spans="1:7" x14ac:dyDescent="0.25">
      <c r="A34" s="8">
        <v>42658.24790509259</v>
      </c>
      <c r="B34" s="21" t="s">
        <v>311</v>
      </c>
      <c r="C34" s="21" t="s">
        <v>475</v>
      </c>
      <c r="D34" s="21">
        <v>1830000</v>
      </c>
      <c r="E34" s="21" t="s">
        <v>469</v>
      </c>
      <c r="F34" s="21" t="str">
        <f t="shared" si="0"/>
        <v>rtdc.l.rtdc.4027:itc</v>
      </c>
      <c r="G34" s="8">
        <f t="shared" si="1"/>
        <v>42658.24790509259</v>
      </c>
    </row>
    <row r="35" spans="1:7" x14ac:dyDescent="0.25">
      <c r="A35" s="8">
        <v>42658.254965277774</v>
      </c>
      <c r="B35" s="21" t="s">
        <v>219</v>
      </c>
      <c r="C35" s="21" t="s">
        <v>476</v>
      </c>
      <c r="D35" s="21">
        <v>2010000</v>
      </c>
      <c r="E35" s="21" t="s">
        <v>236</v>
      </c>
      <c r="F35" s="21" t="str">
        <f t="shared" si="0"/>
        <v>rtdc.l.rtdc.4043:itc</v>
      </c>
      <c r="G35" s="8">
        <f t="shared" si="1"/>
        <v>42658.254965277774</v>
      </c>
    </row>
    <row r="36" spans="1:7" x14ac:dyDescent="0.25">
      <c r="A36" s="8">
        <v>42658.257916666669</v>
      </c>
      <c r="B36" s="21" t="s">
        <v>290</v>
      </c>
      <c r="C36" s="21" t="s">
        <v>477</v>
      </c>
      <c r="D36" s="21">
        <v>1990000</v>
      </c>
      <c r="E36" s="21" t="s">
        <v>344</v>
      </c>
      <c r="F36" s="21" t="str">
        <f t="shared" si="0"/>
        <v>rtdc.l.rtdc.4016:itc</v>
      </c>
      <c r="G36" s="8">
        <f t="shared" si="1"/>
        <v>42658.257916666669</v>
      </c>
    </row>
    <row r="37" spans="1:7" x14ac:dyDescent="0.25">
      <c r="A37" s="8">
        <v>42658.2655787037</v>
      </c>
      <c r="B37" s="21" t="s">
        <v>478</v>
      </c>
      <c r="C37" s="21" t="s">
        <v>479</v>
      </c>
      <c r="D37" s="21">
        <v>1760000</v>
      </c>
      <c r="E37" s="21" t="s">
        <v>237</v>
      </c>
      <c r="F37" s="21" t="str">
        <f t="shared" si="0"/>
        <v>rtdc.l.rtdc.4054:itc</v>
      </c>
      <c r="G37" s="8">
        <f t="shared" si="1"/>
        <v>42658.2655787037</v>
      </c>
    </row>
    <row r="38" spans="1:7" x14ac:dyDescent="0.25">
      <c r="A38" s="8">
        <v>42658.265659722223</v>
      </c>
      <c r="B38" s="21" t="s">
        <v>346</v>
      </c>
      <c r="C38" s="21" t="s">
        <v>429</v>
      </c>
      <c r="D38" s="21">
        <v>2030000</v>
      </c>
      <c r="E38" s="21" t="s">
        <v>460</v>
      </c>
      <c r="F38" s="21" t="str">
        <f t="shared" si="0"/>
        <v>rtdc.l.rtdc.4011:itc</v>
      </c>
      <c r="G38" s="8">
        <f t="shared" si="1"/>
        <v>42658.265659722223</v>
      </c>
    </row>
    <row r="39" spans="1:7" x14ac:dyDescent="0.25">
      <c r="A39" s="8">
        <v>42658.275752314818</v>
      </c>
      <c r="B39" s="21" t="s">
        <v>298</v>
      </c>
      <c r="C39" s="21" t="s">
        <v>480</v>
      </c>
      <c r="D39" s="21">
        <v>1830000</v>
      </c>
      <c r="E39" s="21" t="s">
        <v>469</v>
      </c>
      <c r="F39" s="21" t="str">
        <f t="shared" si="0"/>
        <v>rtdc.l.rtdc.4028:itc</v>
      </c>
      <c r="G39" s="8">
        <f t="shared" si="1"/>
        <v>42658.275752314818</v>
      </c>
    </row>
    <row r="40" spans="1:7" x14ac:dyDescent="0.25">
      <c r="A40" s="8">
        <v>42658.276979166665</v>
      </c>
      <c r="B40" s="26" t="s">
        <v>197</v>
      </c>
      <c r="C40" s="21" t="s">
        <v>430</v>
      </c>
      <c r="D40" s="21">
        <v>1360000</v>
      </c>
      <c r="E40" s="21" t="s">
        <v>308</v>
      </c>
      <c r="F40" s="21" t="str">
        <f t="shared" si="0"/>
        <v>rtdc.l.rtdc.4004:itc</v>
      </c>
      <c r="G40" s="8">
        <f t="shared" si="1"/>
        <v>42658.276979166665</v>
      </c>
    </row>
    <row r="41" spans="1:7" x14ac:dyDescent="0.25">
      <c r="A41" s="8">
        <v>42658.27783564815</v>
      </c>
      <c r="B41" s="21" t="s">
        <v>223</v>
      </c>
      <c r="C41" s="21" t="s">
        <v>481</v>
      </c>
      <c r="D41" s="21">
        <v>1310000</v>
      </c>
      <c r="E41" s="21" t="s">
        <v>307</v>
      </c>
      <c r="F41" s="21" t="str">
        <f t="shared" si="0"/>
        <v>rtdc.l.rtdc.4037:itc</v>
      </c>
      <c r="G41" s="8">
        <f t="shared" si="1"/>
        <v>42658.27783564815</v>
      </c>
    </row>
    <row r="42" spans="1:7" x14ac:dyDescent="0.25">
      <c r="A42" s="8">
        <v>42658.278217592589</v>
      </c>
      <c r="B42" s="21" t="s">
        <v>215</v>
      </c>
      <c r="C42" s="21" t="s">
        <v>482</v>
      </c>
      <c r="D42" s="21">
        <v>1100000</v>
      </c>
      <c r="E42" s="21" t="s">
        <v>238</v>
      </c>
      <c r="F42" s="21" t="str">
        <f t="shared" si="0"/>
        <v>rtdc.l.rtdc.4020:itc</v>
      </c>
      <c r="G42" s="8">
        <f t="shared" si="1"/>
        <v>42658.278217592589</v>
      </c>
    </row>
    <row r="43" spans="1:7" x14ac:dyDescent="0.25">
      <c r="A43" s="8">
        <v>42658.289502314816</v>
      </c>
      <c r="B43" s="21" t="s">
        <v>200</v>
      </c>
      <c r="C43" s="21" t="s">
        <v>483</v>
      </c>
      <c r="D43" s="21">
        <v>2010000</v>
      </c>
      <c r="E43" s="21" t="s">
        <v>236</v>
      </c>
      <c r="F43" s="21" t="str">
        <f t="shared" si="0"/>
        <v>rtdc.l.rtdc.4044:itc</v>
      </c>
      <c r="G43" s="8">
        <f t="shared" si="1"/>
        <v>42658.289502314816</v>
      </c>
    </row>
    <row r="44" spans="1:7" x14ac:dyDescent="0.25">
      <c r="A44" s="8">
        <v>42658.291458333333</v>
      </c>
      <c r="B44" s="21" t="s">
        <v>311</v>
      </c>
      <c r="C44" s="21" t="s">
        <v>484</v>
      </c>
      <c r="D44" s="21">
        <v>1340000</v>
      </c>
      <c r="E44" s="21" t="s">
        <v>485</v>
      </c>
      <c r="F44" s="21" t="str">
        <f t="shared" si="0"/>
        <v>rtdc.l.rtdc.4027:itc</v>
      </c>
      <c r="G44" s="8">
        <f t="shared" si="1"/>
        <v>42658.291458333333</v>
      </c>
    </row>
    <row r="45" spans="1:7" x14ac:dyDescent="0.25">
      <c r="A45" s="8">
        <v>42658.299675925926</v>
      </c>
      <c r="B45" s="21" t="s">
        <v>427</v>
      </c>
      <c r="C45" s="21" t="s">
        <v>486</v>
      </c>
      <c r="D45" s="21">
        <v>1760000</v>
      </c>
      <c r="E45" s="21" t="s">
        <v>237</v>
      </c>
      <c r="F45" s="21" t="str">
        <f t="shared" si="0"/>
        <v>rtdc.l.rtdc.4053:itc</v>
      </c>
      <c r="G45" s="8">
        <f t="shared" si="1"/>
        <v>42658.299675925926</v>
      </c>
    </row>
    <row r="46" spans="1:7" x14ac:dyDescent="0.25">
      <c r="A46" s="8">
        <v>42658.300046296295</v>
      </c>
      <c r="B46" s="21" t="s">
        <v>225</v>
      </c>
      <c r="C46" s="21" t="s">
        <v>487</v>
      </c>
      <c r="D46" s="21">
        <v>1990000</v>
      </c>
      <c r="E46" s="21" t="s">
        <v>344</v>
      </c>
      <c r="F46" s="21" t="str">
        <f t="shared" si="0"/>
        <v>rtdc.l.rtdc.4015:itc</v>
      </c>
      <c r="G46" s="8">
        <f t="shared" si="1"/>
        <v>42658.300046296295</v>
      </c>
    </row>
    <row r="47" spans="1:7" x14ac:dyDescent="0.25">
      <c r="A47" s="8">
        <v>42658.302233796298</v>
      </c>
      <c r="B47" s="21" t="s">
        <v>188</v>
      </c>
      <c r="C47" s="21" t="s">
        <v>488</v>
      </c>
      <c r="D47" s="21">
        <v>1830000</v>
      </c>
      <c r="E47" s="21" t="s">
        <v>469</v>
      </c>
      <c r="F47" s="21" t="str">
        <f t="shared" si="0"/>
        <v>rtdc.l.rtdc.4018:itc</v>
      </c>
      <c r="G47" s="8">
        <f t="shared" si="1"/>
        <v>42658.302233796298</v>
      </c>
    </row>
    <row r="48" spans="1:7" x14ac:dyDescent="0.25">
      <c r="A48" s="8">
        <v>42658.303043981483</v>
      </c>
      <c r="B48" s="21" t="s">
        <v>188</v>
      </c>
      <c r="C48" s="21" t="s">
        <v>488</v>
      </c>
      <c r="D48" s="21">
        <v>1830000</v>
      </c>
      <c r="E48" s="21" t="s">
        <v>469</v>
      </c>
      <c r="F48" s="21" t="str">
        <f t="shared" si="0"/>
        <v>rtdc.l.rtdc.4018:itc</v>
      </c>
      <c r="G48" s="8">
        <f t="shared" si="1"/>
        <v>42658.303043981483</v>
      </c>
    </row>
    <row r="49" spans="1:7" x14ac:dyDescent="0.25">
      <c r="A49" s="8">
        <v>42658.303576388891</v>
      </c>
      <c r="B49" s="21" t="s">
        <v>188</v>
      </c>
      <c r="C49" s="21" t="s">
        <v>488</v>
      </c>
      <c r="D49" s="21">
        <v>1830000</v>
      </c>
      <c r="E49" s="21" t="s">
        <v>469</v>
      </c>
      <c r="F49" s="21" t="str">
        <f t="shared" si="0"/>
        <v>rtdc.l.rtdc.4018:itc</v>
      </c>
      <c r="G49" s="8">
        <f t="shared" si="1"/>
        <v>42658.303576388891</v>
      </c>
    </row>
    <row r="50" spans="1:7" x14ac:dyDescent="0.25">
      <c r="A50" s="8">
        <v>42658.30810185185</v>
      </c>
      <c r="B50" s="21" t="s">
        <v>305</v>
      </c>
      <c r="C50" s="21" t="s">
        <v>489</v>
      </c>
      <c r="D50" s="21">
        <v>1340000</v>
      </c>
      <c r="E50" s="21" t="s">
        <v>485</v>
      </c>
      <c r="F50" s="21" t="str">
        <f t="shared" si="0"/>
        <v>rtdc.l.rtdc.4001:itc</v>
      </c>
      <c r="G50" s="8">
        <f t="shared" si="1"/>
        <v>42658.30810185185</v>
      </c>
    </row>
    <row r="51" spans="1:7" x14ac:dyDescent="0.25">
      <c r="A51" s="8">
        <v>42658.309155092589</v>
      </c>
      <c r="B51" s="21" t="s">
        <v>339</v>
      </c>
      <c r="C51" s="21" t="s">
        <v>490</v>
      </c>
      <c r="D51" s="21">
        <v>2030000</v>
      </c>
      <c r="E51" s="21" t="s">
        <v>460</v>
      </c>
      <c r="F51" s="21" t="str">
        <f t="shared" si="0"/>
        <v>rtdc.l.rtdc.4012:itc</v>
      </c>
      <c r="G51" s="8">
        <f t="shared" si="1"/>
        <v>42658.309155092589</v>
      </c>
    </row>
    <row r="52" spans="1:7" x14ac:dyDescent="0.25">
      <c r="A52" s="8">
        <v>42658.311851851853</v>
      </c>
      <c r="B52" s="21" t="s">
        <v>216</v>
      </c>
      <c r="C52" s="21" t="s">
        <v>491</v>
      </c>
      <c r="D52" s="21">
        <v>1310000</v>
      </c>
      <c r="E52" s="21" t="s">
        <v>307</v>
      </c>
      <c r="F52" s="21" t="str">
        <f t="shared" si="0"/>
        <v>rtdc.l.rtdc.4038:itc</v>
      </c>
      <c r="G52" s="8">
        <f t="shared" si="1"/>
        <v>42658.311851851853</v>
      </c>
    </row>
    <row r="53" spans="1:7" x14ac:dyDescent="0.25">
      <c r="A53" s="8">
        <v>42658.317395833335</v>
      </c>
      <c r="B53" s="21" t="s">
        <v>291</v>
      </c>
      <c r="C53" s="21" t="s">
        <v>492</v>
      </c>
      <c r="D53" s="21">
        <v>1830000</v>
      </c>
      <c r="E53" s="21" t="s">
        <v>469</v>
      </c>
      <c r="F53" s="21" t="str">
        <f t="shared" si="0"/>
        <v>rtdc.l.rtdc.4017:itc</v>
      </c>
      <c r="G53" s="8">
        <f t="shared" si="1"/>
        <v>42658.317395833335</v>
      </c>
    </row>
    <row r="54" spans="1:7" x14ac:dyDescent="0.25">
      <c r="A54" s="8">
        <v>42658.318009259259</v>
      </c>
      <c r="B54" s="21" t="s">
        <v>297</v>
      </c>
      <c r="C54" s="21" t="s">
        <v>493</v>
      </c>
      <c r="D54" s="21">
        <v>1100000</v>
      </c>
      <c r="E54" s="21" t="s">
        <v>238</v>
      </c>
      <c r="F54" s="21" t="str">
        <f t="shared" si="0"/>
        <v>rtdc.l.rtdc.4019:itc</v>
      </c>
      <c r="G54" s="8">
        <f t="shared" si="1"/>
        <v>42658.318009259259</v>
      </c>
    </row>
    <row r="55" spans="1:7" x14ac:dyDescent="0.25">
      <c r="A55" s="8">
        <v>42658.324999999997</v>
      </c>
      <c r="B55" s="21" t="s">
        <v>219</v>
      </c>
      <c r="C55" s="21" t="s">
        <v>494</v>
      </c>
      <c r="D55" s="21">
        <v>2010000</v>
      </c>
      <c r="E55" s="21" t="s">
        <v>236</v>
      </c>
      <c r="F55" s="21" t="str">
        <f t="shared" si="0"/>
        <v>rtdc.l.rtdc.4043:itc</v>
      </c>
      <c r="G55" s="8">
        <f t="shared" si="1"/>
        <v>42658.324999999997</v>
      </c>
    </row>
    <row r="56" spans="1:7" x14ac:dyDescent="0.25">
      <c r="A56" s="8">
        <v>42658.326018518521</v>
      </c>
      <c r="B56" s="21" t="s">
        <v>196</v>
      </c>
      <c r="C56" s="21" t="s">
        <v>495</v>
      </c>
      <c r="D56" s="21">
        <v>750000</v>
      </c>
      <c r="E56" s="21" t="s">
        <v>496</v>
      </c>
      <c r="F56" s="21" t="str">
        <f t="shared" si="0"/>
        <v>rtdc.l.rtdc.4003:itc</v>
      </c>
      <c r="G56" s="8">
        <f t="shared" si="1"/>
        <v>42658.326018518521</v>
      </c>
    </row>
    <row r="57" spans="1:7" x14ac:dyDescent="0.25">
      <c r="A57" s="8">
        <v>42658.33116898148</v>
      </c>
      <c r="B57" s="21" t="s">
        <v>188</v>
      </c>
      <c r="C57" s="21" t="s">
        <v>431</v>
      </c>
      <c r="D57" s="21">
        <v>1830000</v>
      </c>
      <c r="E57" s="21" t="s">
        <v>469</v>
      </c>
      <c r="F57" s="21" t="str">
        <f t="shared" si="0"/>
        <v>rtdc.l.rtdc.4018:itc</v>
      </c>
      <c r="G57" s="8">
        <f t="shared" si="1"/>
        <v>42658.33116898148</v>
      </c>
    </row>
    <row r="58" spans="1:7" x14ac:dyDescent="0.25">
      <c r="A58" s="8">
        <v>42658.332476851851</v>
      </c>
      <c r="B58" s="21" t="s">
        <v>290</v>
      </c>
      <c r="C58" s="21" t="s">
        <v>497</v>
      </c>
      <c r="D58" s="21">
        <v>1990000</v>
      </c>
      <c r="E58" s="21" t="s">
        <v>344</v>
      </c>
      <c r="F58" s="21" t="str">
        <f t="shared" si="0"/>
        <v>rtdc.l.rtdc.4016:itc</v>
      </c>
      <c r="G58" s="8">
        <f t="shared" si="1"/>
        <v>42658.332476851851</v>
      </c>
    </row>
    <row r="59" spans="1:7" x14ac:dyDescent="0.25">
      <c r="A59" s="8">
        <v>42658.338483796295</v>
      </c>
      <c r="B59" s="21" t="s">
        <v>478</v>
      </c>
      <c r="C59" s="21" t="s">
        <v>498</v>
      </c>
      <c r="D59" s="21">
        <v>1760000</v>
      </c>
      <c r="E59" s="21" t="s">
        <v>237</v>
      </c>
      <c r="F59" s="21" t="str">
        <f t="shared" si="0"/>
        <v>rtdc.l.rtdc.4054:itc</v>
      </c>
      <c r="G59" s="8">
        <f t="shared" si="1"/>
        <v>42658.338483796295</v>
      </c>
    </row>
    <row r="60" spans="1:7" x14ac:dyDescent="0.25">
      <c r="A60" s="8">
        <v>42658.340763888889</v>
      </c>
      <c r="B60" s="21" t="s">
        <v>290</v>
      </c>
      <c r="C60" s="21" t="s">
        <v>497</v>
      </c>
      <c r="D60" s="21">
        <v>1990000</v>
      </c>
      <c r="E60" s="21" t="s">
        <v>344</v>
      </c>
      <c r="F60" s="21" t="str">
        <f t="shared" si="0"/>
        <v>rtdc.l.rtdc.4016:itc</v>
      </c>
      <c r="G60" s="8">
        <f t="shared" si="1"/>
        <v>42658.340763888889</v>
      </c>
    </row>
    <row r="61" spans="1:7" x14ac:dyDescent="0.25">
      <c r="A61" s="8">
        <v>42658.341608796298</v>
      </c>
      <c r="B61" s="21" t="s">
        <v>346</v>
      </c>
      <c r="C61" s="21" t="s">
        <v>499</v>
      </c>
      <c r="D61" s="21">
        <v>2030000</v>
      </c>
      <c r="E61" s="21" t="s">
        <v>460</v>
      </c>
      <c r="F61" s="21" t="str">
        <f t="shared" si="0"/>
        <v>rtdc.l.rtdc.4011:itc</v>
      </c>
      <c r="G61" s="8">
        <f t="shared" si="1"/>
        <v>42658.341608796298</v>
      </c>
    </row>
    <row r="62" spans="1:7" x14ac:dyDescent="0.25">
      <c r="A62" s="8">
        <v>42658.349166666667</v>
      </c>
      <c r="B62" s="21" t="s">
        <v>188</v>
      </c>
      <c r="C62" s="21" t="s">
        <v>431</v>
      </c>
      <c r="D62" s="21">
        <v>1830000</v>
      </c>
      <c r="E62" s="21" t="s">
        <v>469</v>
      </c>
      <c r="F62" s="21" t="str">
        <f t="shared" si="0"/>
        <v>rtdc.l.rtdc.4018:itc</v>
      </c>
      <c r="G62" s="8">
        <f t="shared" si="1"/>
        <v>42658.349166666667</v>
      </c>
    </row>
    <row r="63" spans="1:7" x14ac:dyDescent="0.25">
      <c r="A63" s="8">
        <v>42658.350694444445</v>
      </c>
      <c r="B63" s="21" t="s">
        <v>223</v>
      </c>
      <c r="C63" s="21" t="s">
        <v>500</v>
      </c>
      <c r="D63" s="21">
        <v>1310000</v>
      </c>
      <c r="E63" s="21" t="s">
        <v>307</v>
      </c>
      <c r="F63" s="21" t="str">
        <f t="shared" si="0"/>
        <v>rtdc.l.rtdc.4037:itc</v>
      </c>
      <c r="G63" s="8">
        <f t="shared" si="1"/>
        <v>42658.350694444445</v>
      </c>
    </row>
    <row r="64" spans="1:7" x14ac:dyDescent="0.25">
      <c r="A64" s="27">
        <v>42658.350798611114</v>
      </c>
      <c r="B64" s="21" t="s">
        <v>215</v>
      </c>
      <c r="C64" s="21" t="s">
        <v>501</v>
      </c>
      <c r="D64" s="21">
        <v>1100000</v>
      </c>
      <c r="E64" s="21" t="s">
        <v>238</v>
      </c>
      <c r="F64" s="21" t="str">
        <f t="shared" si="0"/>
        <v>rtdc.l.rtdc.4020:itc</v>
      </c>
      <c r="G64" s="8">
        <f t="shared" si="1"/>
        <v>42658.350798611114</v>
      </c>
    </row>
    <row r="65" spans="1:7" x14ac:dyDescent="0.25">
      <c r="A65" s="8">
        <v>42658.360810185186</v>
      </c>
      <c r="B65" s="21" t="s">
        <v>291</v>
      </c>
      <c r="C65" s="21" t="s">
        <v>502</v>
      </c>
      <c r="D65" s="21">
        <v>1830000</v>
      </c>
      <c r="E65" s="21" t="s">
        <v>469</v>
      </c>
      <c r="F65" s="21" t="str">
        <f t="shared" si="0"/>
        <v>rtdc.l.rtdc.4017:itc</v>
      </c>
      <c r="G65" s="8">
        <f t="shared" si="1"/>
        <v>42658.360810185186</v>
      </c>
    </row>
    <row r="66" spans="1:7" x14ac:dyDescent="0.25">
      <c r="A66" s="8">
        <v>42658.360960648148</v>
      </c>
      <c r="B66" s="21" t="s">
        <v>197</v>
      </c>
      <c r="C66" s="21" t="s">
        <v>503</v>
      </c>
      <c r="D66" s="21">
        <v>750000</v>
      </c>
      <c r="E66" s="21" t="s">
        <v>496</v>
      </c>
      <c r="F66" s="21" t="str">
        <f t="shared" ref="F66:F129" si="2">B66</f>
        <v>rtdc.l.rtdc.4004:itc</v>
      </c>
      <c r="G66" s="8">
        <f t="shared" ref="G66:G129" si="3">A66</f>
        <v>42658.360960648148</v>
      </c>
    </row>
    <row r="67" spans="1:7" x14ac:dyDescent="0.25">
      <c r="A67" s="8">
        <v>42658.361226851855</v>
      </c>
      <c r="B67" s="21" t="s">
        <v>200</v>
      </c>
      <c r="C67" s="21" t="s">
        <v>504</v>
      </c>
      <c r="D67" s="21">
        <v>2010000</v>
      </c>
      <c r="E67" s="21" t="s">
        <v>236</v>
      </c>
      <c r="F67" s="21" t="str">
        <f t="shared" si="2"/>
        <v>rtdc.l.rtdc.4044:itc</v>
      </c>
      <c r="G67" s="8">
        <f t="shared" si="3"/>
        <v>42658.361226851855</v>
      </c>
    </row>
    <row r="68" spans="1:7" x14ac:dyDescent="0.25">
      <c r="A68" s="8">
        <v>42658.366967592592</v>
      </c>
      <c r="B68" s="21" t="s">
        <v>225</v>
      </c>
      <c r="C68" s="21" t="s">
        <v>505</v>
      </c>
      <c r="D68" s="21">
        <v>1990000</v>
      </c>
      <c r="E68" s="21" t="s">
        <v>344</v>
      </c>
      <c r="F68" s="21" t="str">
        <f t="shared" si="2"/>
        <v>rtdc.l.rtdc.4015:itc</v>
      </c>
      <c r="G68" s="8">
        <f t="shared" si="3"/>
        <v>42658.366967592592</v>
      </c>
    </row>
    <row r="69" spans="1:7" x14ac:dyDescent="0.25">
      <c r="A69" s="8">
        <v>42658.371331018519</v>
      </c>
      <c r="B69" s="21" t="s">
        <v>427</v>
      </c>
      <c r="C69" s="21" t="s">
        <v>432</v>
      </c>
      <c r="D69" s="21">
        <v>1760000</v>
      </c>
      <c r="E69" s="21" t="s">
        <v>237</v>
      </c>
      <c r="F69" s="21" t="str">
        <f t="shared" si="2"/>
        <v>rtdc.l.rtdc.4053:itc</v>
      </c>
      <c r="G69" s="8">
        <f t="shared" si="3"/>
        <v>42658.371331018519</v>
      </c>
    </row>
    <row r="70" spans="1:7" x14ac:dyDescent="0.25">
      <c r="A70" s="8">
        <v>42658.374120370368</v>
      </c>
      <c r="B70" s="21" t="s">
        <v>339</v>
      </c>
      <c r="C70" s="21" t="s">
        <v>433</v>
      </c>
      <c r="D70" s="21">
        <v>2030000</v>
      </c>
      <c r="E70" s="21" t="s">
        <v>460</v>
      </c>
      <c r="F70" s="21" t="str">
        <f t="shared" si="2"/>
        <v>rtdc.l.rtdc.4012:itc</v>
      </c>
      <c r="G70" s="8">
        <f t="shared" si="3"/>
        <v>42658.374120370368</v>
      </c>
    </row>
    <row r="71" spans="1:7" x14ac:dyDescent="0.25">
      <c r="A71" s="8">
        <v>42658.383668981478</v>
      </c>
      <c r="B71" s="21" t="s">
        <v>216</v>
      </c>
      <c r="C71" s="21" t="s">
        <v>506</v>
      </c>
      <c r="D71" s="21">
        <v>1310000</v>
      </c>
      <c r="E71" s="21" t="s">
        <v>307</v>
      </c>
      <c r="F71" s="21" t="str">
        <f t="shared" si="2"/>
        <v>rtdc.l.rtdc.4038:itc</v>
      </c>
      <c r="G71" s="8">
        <f t="shared" si="3"/>
        <v>42658.383668981478</v>
      </c>
    </row>
    <row r="72" spans="1:7" x14ac:dyDescent="0.25">
      <c r="A72" s="8">
        <v>42658.388067129628</v>
      </c>
      <c r="B72" s="21" t="s">
        <v>188</v>
      </c>
      <c r="C72" s="21" t="s">
        <v>507</v>
      </c>
      <c r="D72" s="21">
        <v>1830000</v>
      </c>
      <c r="E72" s="21" t="s">
        <v>469</v>
      </c>
      <c r="F72" s="21" t="str">
        <f t="shared" si="2"/>
        <v>rtdc.l.rtdc.4018:itc</v>
      </c>
      <c r="G72" s="8">
        <f t="shared" si="3"/>
        <v>42658.388067129628</v>
      </c>
    </row>
    <row r="73" spans="1:7" x14ac:dyDescent="0.25">
      <c r="A73" s="8">
        <v>42658.390659722223</v>
      </c>
      <c r="B73" s="21" t="s">
        <v>297</v>
      </c>
      <c r="C73" s="21" t="s">
        <v>508</v>
      </c>
      <c r="D73" s="21">
        <v>1100000</v>
      </c>
      <c r="E73" s="21" t="s">
        <v>238</v>
      </c>
      <c r="F73" s="21" t="str">
        <f t="shared" si="2"/>
        <v>rtdc.l.rtdc.4019:itc</v>
      </c>
      <c r="G73" s="8">
        <f t="shared" si="3"/>
        <v>42658.390659722223</v>
      </c>
    </row>
    <row r="74" spans="1:7" x14ac:dyDescent="0.25">
      <c r="A74" s="8">
        <v>42658.391932870371</v>
      </c>
      <c r="B74" s="21" t="s">
        <v>196</v>
      </c>
      <c r="C74" s="21" t="s">
        <v>509</v>
      </c>
      <c r="D74" s="21">
        <v>1360000</v>
      </c>
      <c r="E74" s="21" t="s">
        <v>308</v>
      </c>
      <c r="F74" s="21" t="str">
        <f t="shared" si="2"/>
        <v>rtdc.l.rtdc.4003:itc</v>
      </c>
      <c r="G74" s="8">
        <f t="shared" si="3"/>
        <v>42658.391932870371</v>
      </c>
    </row>
    <row r="75" spans="1:7" x14ac:dyDescent="0.25">
      <c r="A75" s="8">
        <v>42658.395567129628</v>
      </c>
      <c r="B75" s="21" t="s">
        <v>219</v>
      </c>
      <c r="C75" s="21" t="s">
        <v>510</v>
      </c>
      <c r="D75" s="21">
        <v>2010000</v>
      </c>
      <c r="E75" s="21" t="s">
        <v>236</v>
      </c>
      <c r="F75" s="21" t="str">
        <f t="shared" si="2"/>
        <v>rtdc.l.rtdc.4043:itc</v>
      </c>
      <c r="G75" s="8">
        <f t="shared" si="3"/>
        <v>42658.395567129628</v>
      </c>
    </row>
    <row r="76" spans="1:7" x14ac:dyDescent="0.25">
      <c r="A76" s="8">
        <v>42658.400023148148</v>
      </c>
      <c r="B76" s="21" t="s">
        <v>291</v>
      </c>
      <c r="C76" s="21" t="s">
        <v>434</v>
      </c>
      <c r="D76" s="21">
        <v>1830000</v>
      </c>
      <c r="E76" s="21" t="s">
        <v>469</v>
      </c>
      <c r="F76" s="21" t="str">
        <f t="shared" si="2"/>
        <v>rtdc.l.rtdc.4017:itc</v>
      </c>
      <c r="G76" s="8">
        <f t="shared" si="3"/>
        <v>42658.400023148148</v>
      </c>
    </row>
    <row r="77" spans="1:7" x14ac:dyDescent="0.25">
      <c r="A77" s="8">
        <v>42658.401990740742</v>
      </c>
      <c r="B77" s="21" t="s">
        <v>290</v>
      </c>
      <c r="C77" s="21" t="s">
        <v>511</v>
      </c>
      <c r="D77" s="21">
        <v>1990000</v>
      </c>
      <c r="E77" s="21" t="s">
        <v>344</v>
      </c>
      <c r="F77" s="21" t="str">
        <f t="shared" si="2"/>
        <v>rtdc.l.rtdc.4016:itc</v>
      </c>
      <c r="G77" s="8">
        <f t="shared" si="3"/>
        <v>42658.401990740742</v>
      </c>
    </row>
    <row r="78" spans="1:7" x14ac:dyDescent="0.25">
      <c r="A78" s="8">
        <v>42658.411793981482</v>
      </c>
      <c r="B78" s="21" t="s">
        <v>346</v>
      </c>
      <c r="C78" s="21" t="s">
        <v>512</v>
      </c>
      <c r="D78" s="21">
        <v>2030000</v>
      </c>
      <c r="E78" s="21" t="s">
        <v>460</v>
      </c>
      <c r="F78" s="21" t="str">
        <f t="shared" si="2"/>
        <v>rtdc.l.rtdc.4011:itc</v>
      </c>
      <c r="G78" s="8">
        <f t="shared" si="3"/>
        <v>42658.411793981482</v>
      </c>
    </row>
    <row r="79" spans="1:7" x14ac:dyDescent="0.25">
      <c r="A79" s="8">
        <v>42658.411956018521</v>
      </c>
      <c r="B79" s="21" t="s">
        <v>478</v>
      </c>
      <c r="C79" s="21" t="s">
        <v>513</v>
      </c>
      <c r="D79" s="21">
        <v>1760000</v>
      </c>
      <c r="E79" s="21" t="s">
        <v>237</v>
      </c>
      <c r="F79" s="21" t="str">
        <f t="shared" si="2"/>
        <v>rtdc.l.rtdc.4054:itc</v>
      </c>
      <c r="G79" s="8">
        <f t="shared" si="3"/>
        <v>42658.411956018521</v>
      </c>
    </row>
    <row r="80" spans="1:7" x14ac:dyDescent="0.25">
      <c r="A80" s="8">
        <v>42658.42260416667</v>
      </c>
      <c r="B80" s="21" t="s">
        <v>197</v>
      </c>
      <c r="C80" s="21" t="s">
        <v>514</v>
      </c>
      <c r="D80" s="21">
        <v>1360000</v>
      </c>
      <c r="E80" s="21" t="s">
        <v>308</v>
      </c>
      <c r="F80" s="21" t="str">
        <f t="shared" si="2"/>
        <v>rtdc.l.rtdc.4004:itc</v>
      </c>
      <c r="G80" s="8">
        <f t="shared" si="3"/>
        <v>42658.42260416667</v>
      </c>
    </row>
    <row r="81" spans="1:7" x14ac:dyDescent="0.25">
      <c r="A81" s="8">
        <v>42658.422673611109</v>
      </c>
      <c r="B81" s="21" t="s">
        <v>223</v>
      </c>
      <c r="C81" s="21" t="s">
        <v>435</v>
      </c>
      <c r="D81" s="21">
        <v>1310000</v>
      </c>
      <c r="E81" s="21" t="s">
        <v>307</v>
      </c>
      <c r="F81" s="21" t="str">
        <f t="shared" si="2"/>
        <v>rtdc.l.rtdc.4037:itc</v>
      </c>
      <c r="G81" s="8">
        <f t="shared" si="3"/>
        <v>42658.422673611109</v>
      </c>
    </row>
    <row r="82" spans="1:7" x14ac:dyDescent="0.25">
      <c r="A82" s="8">
        <v>42658.424756944441</v>
      </c>
      <c r="B82" s="21" t="s">
        <v>215</v>
      </c>
      <c r="C82" s="21" t="s">
        <v>515</v>
      </c>
      <c r="D82" s="21">
        <v>1100000</v>
      </c>
      <c r="E82" s="21" t="s">
        <v>238</v>
      </c>
      <c r="F82" s="21" t="str">
        <f t="shared" si="2"/>
        <v>rtdc.l.rtdc.4020:itc</v>
      </c>
      <c r="G82" s="8">
        <f t="shared" si="3"/>
        <v>42658.424756944441</v>
      </c>
    </row>
    <row r="83" spans="1:7" x14ac:dyDescent="0.25">
      <c r="A83" s="8">
        <v>42658.429814814815</v>
      </c>
      <c r="B83" s="21" t="s">
        <v>188</v>
      </c>
      <c r="C83" s="21" t="s">
        <v>516</v>
      </c>
      <c r="D83" s="21">
        <v>1830000</v>
      </c>
      <c r="E83" s="21" t="s">
        <v>469</v>
      </c>
      <c r="F83" s="21" t="str">
        <f t="shared" si="2"/>
        <v>rtdc.l.rtdc.4018:itc</v>
      </c>
      <c r="G83" s="8">
        <f t="shared" si="3"/>
        <v>42658.429814814815</v>
      </c>
    </row>
    <row r="84" spans="1:7" x14ac:dyDescent="0.25">
      <c r="A84" s="8">
        <v>42658.433969907404</v>
      </c>
      <c r="B84" s="21" t="s">
        <v>200</v>
      </c>
      <c r="C84" s="21" t="s">
        <v>436</v>
      </c>
      <c r="D84" s="21">
        <v>930000</v>
      </c>
      <c r="E84" s="21" t="s">
        <v>348</v>
      </c>
      <c r="F84" s="21" t="str">
        <f t="shared" si="2"/>
        <v>rtdc.l.rtdc.4044:itc</v>
      </c>
      <c r="G84" s="8">
        <f t="shared" si="3"/>
        <v>42658.433969907404</v>
      </c>
    </row>
    <row r="85" spans="1:7" x14ac:dyDescent="0.25">
      <c r="A85" s="8">
        <v>42658.438587962963</v>
      </c>
      <c r="B85" s="21" t="s">
        <v>225</v>
      </c>
      <c r="C85" s="21" t="s">
        <v>517</v>
      </c>
      <c r="D85" s="21">
        <v>1990000</v>
      </c>
      <c r="E85" s="21" t="s">
        <v>344</v>
      </c>
      <c r="F85" s="21" t="str">
        <f t="shared" si="2"/>
        <v>rtdc.l.rtdc.4015:itc</v>
      </c>
      <c r="G85" s="8">
        <f t="shared" si="3"/>
        <v>42658.438587962963</v>
      </c>
    </row>
    <row r="86" spans="1:7" x14ac:dyDescent="0.25">
      <c r="A86" s="8">
        <v>42658.442407407405</v>
      </c>
      <c r="B86" s="21" t="s">
        <v>291</v>
      </c>
      <c r="C86" s="21" t="s">
        <v>518</v>
      </c>
      <c r="D86" s="21">
        <v>1830000</v>
      </c>
      <c r="E86" s="21" t="s">
        <v>469</v>
      </c>
      <c r="F86" s="21" t="str">
        <f t="shared" si="2"/>
        <v>rtdc.l.rtdc.4017:itc</v>
      </c>
      <c r="G86" s="8">
        <f t="shared" si="3"/>
        <v>42658.442407407405</v>
      </c>
    </row>
    <row r="87" spans="1:7" x14ac:dyDescent="0.25">
      <c r="A87" s="8">
        <v>42658.444363425922</v>
      </c>
      <c r="B87" s="21" t="s">
        <v>427</v>
      </c>
      <c r="C87" s="21" t="s">
        <v>437</v>
      </c>
      <c r="D87" s="21">
        <v>1760000</v>
      </c>
      <c r="E87" s="21" t="s">
        <v>237</v>
      </c>
      <c r="F87" s="21" t="str">
        <f t="shared" si="2"/>
        <v>rtdc.l.rtdc.4053:itc</v>
      </c>
      <c r="G87" s="8">
        <f t="shared" si="3"/>
        <v>42658.444363425922</v>
      </c>
    </row>
    <row r="88" spans="1:7" x14ac:dyDescent="0.25">
      <c r="A88" s="8">
        <v>42658.447939814818</v>
      </c>
      <c r="B88" s="21" t="s">
        <v>339</v>
      </c>
      <c r="C88" s="21" t="s">
        <v>438</v>
      </c>
      <c r="D88" s="21">
        <v>2030000</v>
      </c>
      <c r="E88" s="21" t="s">
        <v>460</v>
      </c>
      <c r="F88" s="21" t="str">
        <f t="shared" si="2"/>
        <v>rtdc.l.rtdc.4012:itc</v>
      </c>
      <c r="G88" s="8">
        <f t="shared" si="3"/>
        <v>42658.447939814818</v>
      </c>
    </row>
    <row r="89" spans="1:7" x14ac:dyDescent="0.25">
      <c r="A89" s="8">
        <v>42658.456875000003</v>
      </c>
      <c r="B89" s="21" t="s">
        <v>216</v>
      </c>
      <c r="C89" s="21" t="s">
        <v>519</v>
      </c>
      <c r="D89" s="21">
        <v>880000</v>
      </c>
      <c r="E89" s="21" t="s">
        <v>347</v>
      </c>
      <c r="F89" s="21" t="str">
        <f t="shared" si="2"/>
        <v>rtdc.l.rtdc.4038:itc</v>
      </c>
      <c r="G89" s="8">
        <f t="shared" si="3"/>
        <v>42658.456875000003</v>
      </c>
    </row>
    <row r="90" spans="1:7" x14ac:dyDescent="0.25">
      <c r="A90" s="8">
        <v>42658.458067129628</v>
      </c>
      <c r="B90" s="21" t="s">
        <v>297</v>
      </c>
      <c r="C90" s="21" t="s">
        <v>520</v>
      </c>
      <c r="D90" s="21">
        <v>1100000</v>
      </c>
      <c r="E90" s="21" t="s">
        <v>238</v>
      </c>
      <c r="F90" s="21" t="str">
        <f t="shared" si="2"/>
        <v>rtdc.l.rtdc.4019:itc</v>
      </c>
      <c r="G90" s="8">
        <f t="shared" si="3"/>
        <v>42658.458067129628</v>
      </c>
    </row>
    <row r="91" spans="1:7" x14ac:dyDescent="0.25">
      <c r="A91" s="8">
        <v>42658.463518518518</v>
      </c>
      <c r="B91" s="21" t="s">
        <v>196</v>
      </c>
      <c r="C91" s="21" t="s">
        <v>521</v>
      </c>
      <c r="D91" s="21">
        <v>2100000</v>
      </c>
      <c r="E91" s="21" t="s">
        <v>345</v>
      </c>
      <c r="F91" s="21" t="str">
        <f t="shared" si="2"/>
        <v>rtdc.l.rtdc.4003:itc</v>
      </c>
      <c r="G91" s="8">
        <f t="shared" si="3"/>
        <v>42658.463518518518</v>
      </c>
    </row>
    <row r="92" spans="1:7" x14ac:dyDescent="0.25">
      <c r="A92" s="8">
        <v>42658.472048611111</v>
      </c>
      <c r="B92" s="21" t="s">
        <v>188</v>
      </c>
      <c r="C92" s="21" t="s">
        <v>522</v>
      </c>
      <c r="D92" s="21">
        <v>1830000</v>
      </c>
      <c r="E92" s="21" t="s">
        <v>469</v>
      </c>
      <c r="F92" s="21" t="str">
        <f t="shared" si="2"/>
        <v>rtdc.l.rtdc.4018:itc</v>
      </c>
      <c r="G92" s="8">
        <f t="shared" si="3"/>
        <v>42658.472048611111</v>
      </c>
    </row>
    <row r="93" spans="1:7" x14ac:dyDescent="0.25">
      <c r="A93" s="8">
        <v>42658.474687499998</v>
      </c>
      <c r="B93" s="21" t="s">
        <v>219</v>
      </c>
      <c r="C93" s="21" t="s">
        <v>523</v>
      </c>
      <c r="D93" s="21">
        <v>930000</v>
      </c>
      <c r="E93" s="21" t="s">
        <v>348</v>
      </c>
      <c r="F93" s="21" t="str">
        <f t="shared" si="2"/>
        <v>rtdc.l.rtdc.4043:itc</v>
      </c>
      <c r="G93" s="8">
        <f t="shared" si="3"/>
        <v>42658.474687499998</v>
      </c>
    </row>
    <row r="94" spans="1:7" x14ac:dyDescent="0.25">
      <c r="A94" s="8">
        <v>42658.483761574076</v>
      </c>
      <c r="B94" s="21" t="s">
        <v>290</v>
      </c>
      <c r="C94" s="21" t="s">
        <v>524</v>
      </c>
      <c r="D94" s="21">
        <v>2040000</v>
      </c>
      <c r="E94" s="21" t="s">
        <v>309</v>
      </c>
      <c r="F94" s="21" t="str">
        <f t="shared" si="2"/>
        <v>rtdc.l.rtdc.4016:itc</v>
      </c>
      <c r="G94" s="8">
        <f t="shared" si="3"/>
        <v>42658.483761574076</v>
      </c>
    </row>
    <row r="95" spans="1:7" x14ac:dyDescent="0.25">
      <c r="A95" s="8">
        <v>42658.483831018515</v>
      </c>
      <c r="B95" s="21" t="s">
        <v>478</v>
      </c>
      <c r="C95" s="21" t="s">
        <v>525</v>
      </c>
      <c r="D95" s="21">
        <v>1760000</v>
      </c>
      <c r="E95" s="21" t="s">
        <v>237</v>
      </c>
      <c r="F95" s="21" t="str">
        <f t="shared" si="2"/>
        <v>rtdc.l.rtdc.4054:itc</v>
      </c>
      <c r="G95" s="8">
        <f t="shared" si="3"/>
        <v>42658.483831018515</v>
      </c>
    </row>
    <row r="96" spans="1:7" x14ac:dyDescent="0.25">
      <c r="A96" s="8">
        <v>42658.484618055554</v>
      </c>
      <c r="B96" s="21" t="s">
        <v>291</v>
      </c>
      <c r="C96" s="21" t="s">
        <v>526</v>
      </c>
      <c r="D96" s="21">
        <v>1830000</v>
      </c>
      <c r="E96" s="21" t="s">
        <v>469</v>
      </c>
      <c r="F96" s="21" t="str">
        <f t="shared" si="2"/>
        <v>rtdc.l.rtdc.4017:itc</v>
      </c>
      <c r="G96" s="8">
        <f t="shared" si="3"/>
        <v>42658.484618055554</v>
      </c>
    </row>
    <row r="97" spans="1:7" x14ac:dyDescent="0.25">
      <c r="A97" s="8">
        <v>42658.488229166665</v>
      </c>
      <c r="B97" s="21" t="s">
        <v>346</v>
      </c>
      <c r="C97" s="21" t="s">
        <v>527</v>
      </c>
      <c r="D97" s="21">
        <v>2020000</v>
      </c>
      <c r="E97" s="21" t="s">
        <v>351</v>
      </c>
      <c r="F97" s="21" t="str">
        <f t="shared" si="2"/>
        <v>rtdc.l.rtdc.4011:itc</v>
      </c>
      <c r="G97" s="8">
        <f t="shared" si="3"/>
        <v>42658.488229166665</v>
      </c>
    </row>
    <row r="98" spans="1:7" x14ac:dyDescent="0.25">
      <c r="A98" s="8">
        <v>42658.493969907409</v>
      </c>
      <c r="B98" s="21" t="s">
        <v>223</v>
      </c>
      <c r="C98" s="21" t="s">
        <v>440</v>
      </c>
      <c r="D98" s="21">
        <v>880000</v>
      </c>
      <c r="E98" s="21" t="s">
        <v>347</v>
      </c>
      <c r="F98" s="21" t="str">
        <f t="shared" si="2"/>
        <v>rtdc.l.rtdc.4037:itc</v>
      </c>
      <c r="G98" s="8">
        <f t="shared" si="3"/>
        <v>42658.493969907409</v>
      </c>
    </row>
    <row r="99" spans="1:7" x14ac:dyDescent="0.25">
      <c r="A99" s="8">
        <v>42658.498900462961</v>
      </c>
      <c r="B99" s="21" t="s">
        <v>215</v>
      </c>
      <c r="C99" s="21" t="s">
        <v>528</v>
      </c>
      <c r="D99" s="21">
        <v>1770000</v>
      </c>
      <c r="E99" s="21" t="s">
        <v>529</v>
      </c>
      <c r="F99" s="21" t="str">
        <f t="shared" si="2"/>
        <v>rtdc.l.rtdc.4020:itc</v>
      </c>
      <c r="G99" s="8">
        <f t="shared" si="3"/>
        <v>42658.498900462961</v>
      </c>
    </row>
    <row r="100" spans="1:7" x14ac:dyDescent="0.25">
      <c r="A100" s="8">
        <v>42658.499374999999</v>
      </c>
      <c r="B100" s="21" t="s">
        <v>199</v>
      </c>
      <c r="C100" s="21" t="s">
        <v>439</v>
      </c>
      <c r="D100" s="21">
        <v>1740000</v>
      </c>
      <c r="E100" s="21" t="s">
        <v>229</v>
      </c>
      <c r="F100" s="21" t="str">
        <f t="shared" si="2"/>
        <v>rtdc.l.rtdc.4008:itc</v>
      </c>
      <c r="G100" s="8">
        <f t="shared" si="3"/>
        <v>42658.499374999999</v>
      </c>
    </row>
    <row r="101" spans="1:7" x14ac:dyDescent="0.25">
      <c r="A101" s="8">
        <v>42658.500416666669</v>
      </c>
      <c r="B101" s="21" t="s">
        <v>197</v>
      </c>
      <c r="C101" s="21" t="s">
        <v>530</v>
      </c>
      <c r="D101" s="21">
        <v>2100000</v>
      </c>
      <c r="E101" s="21" t="s">
        <v>345</v>
      </c>
      <c r="F101" s="21" t="str">
        <f t="shared" si="2"/>
        <v>rtdc.l.rtdc.4004:itc</v>
      </c>
      <c r="G101" s="8">
        <f t="shared" si="3"/>
        <v>42658.500416666669</v>
      </c>
    </row>
    <row r="102" spans="1:7" x14ac:dyDescent="0.25">
      <c r="A102" s="8">
        <v>42658.5078125</v>
      </c>
      <c r="B102" s="21" t="s">
        <v>200</v>
      </c>
      <c r="C102" s="21" t="s">
        <v>531</v>
      </c>
      <c r="D102" s="21">
        <v>930000</v>
      </c>
      <c r="E102" s="21" t="s">
        <v>348</v>
      </c>
      <c r="F102" s="21" t="str">
        <f t="shared" si="2"/>
        <v>rtdc.l.rtdc.4044:itc</v>
      </c>
      <c r="G102" s="8">
        <f t="shared" si="3"/>
        <v>42658.5078125</v>
      </c>
    </row>
    <row r="103" spans="1:7" x14ac:dyDescent="0.25">
      <c r="A103" s="8">
        <v>42658.513969907406</v>
      </c>
      <c r="B103" s="21" t="s">
        <v>188</v>
      </c>
      <c r="C103" s="21" t="s">
        <v>532</v>
      </c>
      <c r="D103" s="21">
        <v>1830000</v>
      </c>
      <c r="E103" s="21" t="s">
        <v>469</v>
      </c>
      <c r="F103" s="21" t="str">
        <f t="shared" si="2"/>
        <v>rtdc.l.rtdc.4018:itc</v>
      </c>
      <c r="G103" s="8">
        <f t="shared" si="3"/>
        <v>42658.513969907406</v>
      </c>
    </row>
    <row r="104" spans="1:7" x14ac:dyDescent="0.25">
      <c r="A104" s="8">
        <v>42658.515555555554</v>
      </c>
      <c r="B104" s="21" t="s">
        <v>225</v>
      </c>
      <c r="C104" s="21" t="s">
        <v>533</v>
      </c>
      <c r="D104" s="21">
        <v>2040000</v>
      </c>
      <c r="E104" s="21" t="s">
        <v>309</v>
      </c>
      <c r="F104" s="21" t="str">
        <f t="shared" si="2"/>
        <v>rtdc.l.rtdc.4015:itc</v>
      </c>
      <c r="G104" s="8">
        <f t="shared" si="3"/>
        <v>42658.515555555554</v>
      </c>
    </row>
    <row r="105" spans="1:7" x14ac:dyDescent="0.25">
      <c r="A105" s="8">
        <v>42658.518275462964</v>
      </c>
      <c r="B105" s="21" t="s">
        <v>427</v>
      </c>
      <c r="C105" s="21" t="s">
        <v>441</v>
      </c>
      <c r="D105" s="21">
        <v>1760000</v>
      </c>
      <c r="E105" s="21" t="s">
        <v>237</v>
      </c>
      <c r="F105" s="21" t="str">
        <f t="shared" si="2"/>
        <v>rtdc.l.rtdc.4053:itc</v>
      </c>
      <c r="G105" s="8">
        <f t="shared" si="3"/>
        <v>42658.518275462964</v>
      </c>
    </row>
    <row r="106" spans="1:7" x14ac:dyDescent="0.25">
      <c r="A106" s="8">
        <v>42658.522465277776</v>
      </c>
      <c r="B106" s="21" t="s">
        <v>339</v>
      </c>
      <c r="C106" s="21" t="s">
        <v>534</v>
      </c>
      <c r="D106" s="21">
        <v>2020000</v>
      </c>
      <c r="E106" s="21" t="s">
        <v>351</v>
      </c>
      <c r="F106" s="21" t="str">
        <f t="shared" si="2"/>
        <v>rtdc.l.rtdc.4012:itc</v>
      </c>
      <c r="G106" s="8">
        <f t="shared" si="3"/>
        <v>42658.522465277776</v>
      </c>
    </row>
    <row r="107" spans="1:7" x14ac:dyDescent="0.25">
      <c r="A107" s="8">
        <v>42658.522488425922</v>
      </c>
      <c r="B107" s="21" t="s">
        <v>201</v>
      </c>
      <c r="C107" s="21" t="s">
        <v>535</v>
      </c>
      <c r="D107" s="21">
        <v>1760000</v>
      </c>
      <c r="E107" s="21" t="s">
        <v>237</v>
      </c>
      <c r="F107" s="21" t="str">
        <f t="shared" si="2"/>
        <v>rtdc.l.rtdc.4007:itc</v>
      </c>
      <c r="G107" s="8">
        <f t="shared" si="3"/>
        <v>42658.522488425922</v>
      </c>
    </row>
    <row r="108" spans="1:7" x14ac:dyDescent="0.25">
      <c r="A108" s="8">
        <v>42658.52548611111</v>
      </c>
      <c r="B108" s="21" t="s">
        <v>291</v>
      </c>
      <c r="C108" s="21" t="s">
        <v>536</v>
      </c>
      <c r="D108" s="21">
        <v>1830000</v>
      </c>
      <c r="E108" s="21" t="s">
        <v>469</v>
      </c>
      <c r="F108" s="21" t="str">
        <f t="shared" si="2"/>
        <v>rtdc.l.rtdc.4017:itc</v>
      </c>
      <c r="G108" s="8">
        <f t="shared" si="3"/>
        <v>42658.52548611111</v>
      </c>
    </row>
    <row r="109" spans="1:7" x14ac:dyDescent="0.25">
      <c r="A109" s="8">
        <v>42658.526331018518</v>
      </c>
      <c r="B109" s="21" t="s">
        <v>216</v>
      </c>
      <c r="C109" s="21" t="s">
        <v>440</v>
      </c>
      <c r="D109" s="21">
        <v>880000</v>
      </c>
      <c r="E109" s="21" t="s">
        <v>347</v>
      </c>
      <c r="F109" s="21" t="str">
        <f t="shared" si="2"/>
        <v>rtdc.l.rtdc.4038:itc</v>
      </c>
      <c r="G109" s="8">
        <f t="shared" si="3"/>
        <v>42658.526331018518</v>
      </c>
    </row>
    <row r="110" spans="1:7" x14ac:dyDescent="0.25">
      <c r="A110" s="8">
        <v>42658.527002314811</v>
      </c>
      <c r="B110" s="21" t="s">
        <v>216</v>
      </c>
      <c r="C110" s="21" t="s">
        <v>537</v>
      </c>
      <c r="D110" s="21">
        <v>880000</v>
      </c>
      <c r="E110" s="21" t="s">
        <v>347</v>
      </c>
      <c r="F110" s="21" t="str">
        <f t="shared" si="2"/>
        <v>rtdc.l.rtdc.4038:itc</v>
      </c>
      <c r="G110" s="8">
        <f t="shared" si="3"/>
        <v>42658.527002314811</v>
      </c>
    </row>
    <row r="111" spans="1:7" x14ac:dyDescent="0.25">
      <c r="A111" s="8">
        <v>42658.535185185188</v>
      </c>
      <c r="B111" s="21" t="s">
        <v>297</v>
      </c>
      <c r="C111" s="21" t="s">
        <v>538</v>
      </c>
      <c r="D111" s="21">
        <v>1770000</v>
      </c>
      <c r="E111" s="21" t="s">
        <v>529</v>
      </c>
      <c r="F111" s="21" t="str">
        <f t="shared" si="2"/>
        <v>rtdc.l.rtdc.4019:itc</v>
      </c>
      <c r="G111" s="8">
        <f t="shared" si="3"/>
        <v>42658.535185185188</v>
      </c>
    </row>
    <row r="112" spans="1:7" x14ac:dyDescent="0.25">
      <c r="A112" s="8">
        <v>42658.536956018521</v>
      </c>
      <c r="B112" s="21" t="s">
        <v>196</v>
      </c>
      <c r="C112" s="21" t="s">
        <v>539</v>
      </c>
      <c r="D112" s="21">
        <v>2100000</v>
      </c>
      <c r="E112" s="21" t="s">
        <v>345</v>
      </c>
      <c r="F112" s="21" t="str">
        <f t="shared" si="2"/>
        <v>rtdc.l.rtdc.4003:itc</v>
      </c>
      <c r="G112" s="8">
        <f t="shared" si="3"/>
        <v>42658.536956018521</v>
      </c>
    </row>
    <row r="113" spans="1:7" x14ac:dyDescent="0.25">
      <c r="A113" s="8">
        <v>42658.545775462961</v>
      </c>
      <c r="B113" s="21" t="s">
        <v>219</v>
      </c>
      <c r="C113" s="21" t="s">
        <v>540</v>
      </c>
      <c r="D113" s="21">
        <v>930000</v>
      </c>
      <c r="E113" s="21" t="s">
        <v>348</v>
      </c>
      <c r="F113" s="21" t="str">
        <f t="shared" si="2"/>
        <v>rtdc.l.rtdc.4043:itc</v>
      </c>
      <c r="G113" s="8">
        <f t="shared" si="3"/>
        <v>42658.545775462961</v>
      </c>
    </row>
    <row r="114" spans="1:7" x14ac:dyDescent="0.25">
      <c r="A114" s="8">
        <v>42658.550671296296</v>
      </c>
      <c r="B114" s="21" t="s">
        <v>290</v>
      </c>
      <c r="C114" s="21" t="s">
        <v>541</v>
      </c>
      <c r="D114" s="21">
        <v>2040000</v>
      </c>
      <c r="E114" s="21" t="s">
        <v>309</v>
      </c>
      <c r="F114" s="21" t="str">
        <f t="shared" si="2"/>
        <v>rtdc.l.rtdc.4016:itc</v>
      </c>
      <c r="G114" s="8">
        <f t="shared" si="3"/>
        <v>42658.550671296296</v>
      </c>
    </row>
    <row r="115" spans="1:7" x14ac:dyDescent="0.25">
      <c r="A115" s="8">
        <v>42658.554444444446</v>
      </c>
      <c r="B115" s="21" t="s">
        <v>188</v>
      </c>
      <c r="C115" s="21" t="s">
        <v>542</v>
      </c>
      <c r="D115" s="21">
        <v>1830000</v>
      </c>
      <c r="E115" s="21" t="s">
        <v>469</v>
      </c>
      <c r="F115" s="21" t="str">
        <f t="shared" si="2"/>
        <v>rtdc.l.rtdc.4018:itc</v>
      </c>
      <c r="G115" s="8">
        <f t="shared" si="3"/>
        <v>42658.554444444446</v>
      </c>
    </row>
    <row r="116" spans="1:7" x14ac:dyDescent="0.25">
      <c r="A116" s="8">
        <v>42658.555266203701</v>
      </c>
      <c r="B116" s="21" t="s">
        <v>478</v>
      </c>
      <c r="C116" s="21" t="s">
        <v>543</v>
      </c>
      <c r="D116" s="21">
        <v>1740000</v>
      </c>
      <c r="E116" s="21" t="s">
        <v>229</v>
      </c>
      <c r="F116" s="21" t="str">
        <f t="shared" si="2"/>
        <v>rtdc.l.rtdc.4054:itc</v>
      </c>
      <c r="G116" s="8">
        <f t="shared" si="3"/>
        <v>42658.555266203701</v>
      </c>
    </row>
    <row r="117" spans="1:7" x14ac:dyDescent="0.25">
      <c r="A117" s="8">
        <v>42658.558379629627</v>
      </c>
      <c r="B117" s="21" t="s">
        <v>346</v>
      </c>
      <c r="C117" s="21" t="s">
        <v>544</v>
      </c>
      <c r="D117" s="21">
        <v>2020000</v>
      </c>
      <c r="E117" s="21" t="s">
        <v>351</v>
      </c>
      <c r="F117" s="21" t="str">
        <f t="shared" si="2"/>
        <v>rtdc.l.rtdc.4011:itc</v>
      </c>
      <c r="G117" s="8">
        <f t="shared" si="3"/>
        <v>42658.558379629627</v>
      </c>
    </row>
    <row r="118" spans="1:7" x14ac:dyDescent="0.25">
      <c r="A118" s="8">
        <v>42658.567349537036</v>
      </c>
      <c r="B118" s="21" t="s">
        <v>291</v>
      </c>
      <c r="C118" s="21" t="s">
        <v>545</v>
      </c>
      <c r="D118" s="21">
        <v>1830000</v>
      </c>
      <c r="E118" s="21" t="s">
        <v>469</v>
      </c>
      <c r="F118" s="21" t="str">
        <f t="shared" si="2"/>
        <v>rtdc.l.rtdc.4017:itc</v>
      </c>
      <c r="G118" s="8">
        <f t="shared" si="3"/>
        <v>42658.567349537036</v>
      </c>
    </row>
    <row r="119" spans="1:7" x14ac:dyDescent="0.25">
      <c r="A119" s="8">
        <v>42658.568703703706</v>
      </c>
      <c r="B119" s="21" t="s">
        <v>223</v>
      </c>
      <c r="C119" s="21" t="s">
        <v>546</v>
      </c>
      <c r="D119" s="21">
        <v>880000</v>
      </c>
      <c r="E119" s="21" t="s">
        <v>347</v>
      </c>
      <c r="F119" s="21" t="str">
        <f t="shared" si="2"/>
        <v>rtdc.l.rtdc.4037:itc</v>
      </c>
      <c r="G119" s="8">
        <f t="shared" si="3"/>
        <v>42658.568703703706</v>
      </c>
    </row>
    <row r="120" spans="1:7" x14ac:dyDescent="0.25">
      <c r="A120" s="8">
        <v>42658.57068287037</v>
      </c>
      <c r="B120" s="21" t="s">
        <v>215</v>
      </c>
      <c r="C120" s="21" t="s">
        <v>547</v>
      </c>
      <c r="D120" s="21">
        <v>1770000</v>
      </c>
      <c r="E120" s="21" t="s">
        <v>529</v>
      </c>
      <c r="F120" s="21" t="str">
        <f t="shared" si="2"/>
        <v>rtdc.l.rtdc.4020:itc</v>
      </c>
      <c r="G120" s="8">
        <f t="shared" si="3"/>
        <v>42658.57068287037</v>
      </c>
    </row>
    <row r="121" spans="1:7" x14ac:dyDescent="0.25">
      <c r="A121" s="8">
        <v>42658.575567129628</v>
      </c>
      <c r="B121" s="21" t="s">
        <v>197</v>
      </c>
      <c r="C121" s="21" t="s">
        <v>442</v>
      </c>
      <c r="D121" s="21">
        <v>2100000</v>
      </c>
      <c r="E121" s="21" t="s">
        <v>345</v>
      </c>
      <c r="F121" s="21" t="str">
        <f t="shared" si="2"/>
        <v>rtdc.l.rtdc.4004:itc</v>
      </c>
      <c r="G121" s="8">
        <f t="shared" si="3"/>
        <v>42658.575567129628</v>
      </c>
    </row>
    <row r="122" spans="1:7" x14ac:dyDescent="0.25">
      <c r="A122" s="8">
        <v>42658.581192129626</v>
      </c>
      <c r="B122" s="26" t="s">
        <v>200</v>
      </c>
      <c r="C122" s="21" t="s">
        <v>548</v>
      </c>
      <c r="D122" s="21">
        <v>930000</v>
      </c>
      <c r="E122" s="21" t="s">
        <v>348</v>
      </c>
      <c r="F122" s="21" t="str">
        <f t="shared" si="2"/>
        <v>rtdc.l.rtdc.4044:itc</v>
      </c>
      <c r="G122" s="8">
        <f t="shared" si="3"/>
        <v>42658.581192129626</v>
      </c>
    </row>
    <row r="123" spans="1:7" x14ac:dyDescent="0.25">
      <c r="A123" s="8">
        <v>42658.583518518521</v>
      </c>
      <c r="B123" s="21" t="s">
        <v>188</v>
      </c>
      <c r="C123" s="21" t="s">
        <v>443</v>
      </c>
      <c r="D123" s="21">
        <v>2270000</v>
      </c>
      <c r="E123" s="21" t="s">
        <v>549</v>
      </c>
      <c r="F123" s="21" t="str">
        <f t="shared" si="2"/>
        <v>rtdc.l.rtdc.4018:itc</v>
      </c>
      <c r="G123" s="8">
        <f t="shared" si="3"/>
        <v>42658.583518518521</v>
      </c>
    </row>
    <row r="124" spans="1:7" x14ac:dyDescent="0.25">
      <c r="A124" s="8">
        <v>42658.587384259263</v>
      </c>
      <c r="B124" s="21" t="s">
        <v>225</v>
      </c>
      <c r="C124" s="21" t="s">
        <v>550</v>
      </c>
      <c r="D124" s="21">
        <v>2040000</v>
      </c>
      <c r="E124" s="21" t="s">
        <v>309</v>
      </c>
      <c r="F124" s="21" t="str">
        <f t="shared" si="2"/>
        <v>rtdc.l.rtdc.4015:itc</v>
      </c>
      <c r="G124" s="8">
        <f t="shared" si="3"/>
        <v>42658.587384259263</v>
      </c>
    </row>
    <row r="125" spans="1:7" x14ac:dyDescent="0.25">
      <c r="A125" s="8">
        <v>42658.590624999997</v>
      </c>
      <c r="B125" s="21" t="s">
        <v>427</v>
      </c>
      <c r="C125" s="21" t="s">
        <v>551</v>
      </c>
      <c r="D125" s="21">
        <v>1740000</v>
      </c>
      <c r="E125" s="21" t="s">
        <v>229</v>
      </c>
      <c r="F125" s="21" t="str">
        <f t="shared" si="2"/>
        <v>rtdc.l.rtdc.4053:itc</v>
      </c>
      <c r="G125" s="8">
        <f t="shared" si="3"/>
        <v>42658.590624999997</v>
      </c>
    </row>
    <row r="126" spans="1:7" x14ac:dyDescent="0.25">
      <c r="A126" s="8">
        <v>42658.598263888889</v>
      </c>
      <c r="B126" s="21" t="s">
        <v>339</v>
      </c>
      <c r="C126" s="21" t="s">
        <v>552</v>
      </c>
      <c r="D126" s="21">
        <v>2020000</v>
      </c>
      <c r="E126" s="21" t="s">
        <v>351</v>
      </c>
      <c r="F126" s="21" t="str">
        <f t="shared" si="2"/>
        <v>rtdc.l.rtdc.4012:itc</v>
      </c>
      <c r="G126" s="8">
        <f t="shared" si="3"/>
        <v>42658.598263888889</v>
      </c>
    </row>
    <row r="127" spans="1:7" x14ac:dyDescent="0.25">
      <c r="A127" s="8">
        <v>42658.601793981485</v>
      </c>
      <c r="B127" s="21" t="s">
        <v>216</v>
      </c>
      <c r="C127" s="21" t="s">
        <v>553</v>
      </c>
      <c r="D127" s="21">
        <v>880000</v>
      </c>
      <c r="E127" s="21" t="s">
        <v>347</v>
      </c>
      <c r="F127" s="21" t="str">
        <f t="shared" si="2"/>
        <v>rtdc.l.rtdc.4038:itc</v>
      </c>
      <c r="G127" s="8">
        <f t="shared" si="3"/>
        <v>42658.601793981485</v>
      </c>
    </row>
    <row r="128" spans="1:7" x14ac:dyDescent="0.25">
      <c r="A128" s="8">
        <v>42658.605196759258</v>
      </c>
      <c r="B128" s="21" t="s">
        <v>297</v>
      </c>
      <c r="C128" s="21" t="s">
        <v>554</v>
      </c>
      <c r="D128" s="21">
        <v>1770000</v>
      </c>
      <c r="E128" s="21" t="s">
        <v>529</v>
      </c>
      <c r="F128" s="21" t="str">
        <f t="shared" si="2"/>
        <v>rtdc.l.rtdc.4019:itc</v>
      </c>
      <c r="G128" s="8">
        <f t="shared" si="3"/>
        <v>42658.605196759258</v>
      </c>
    </row>
    <row r="129" spans="1:7" x14ac:dyDescent="0.25">
      <c r="A129" s="8">
        <v>42658.609872685185</v>
      </c>
      <c r="B129" s="21" t="s">
        <v>291</v>
      </c>
      <c r="C129" s="21" t="s">
        <v>444</v>
      </c>
      <c r="D129" s="21">
        <v>2270000</v>
      </c>
      <c r="E129" s="21" t="s">
        <v>549</v>
      </c>
      <c r="F129" s="21" t="str">
        <f t="shared" si="2"/>
        <v>rtdc.l.rtdc.4017:itc</v>
      </c>
      <c r="G129" s="8">
        <f t="shared" si="3"/>
        <v>42658.609872685185</v>
      </c>
    </row>
    <row r="130" spans="1:7" x14ac:dyDescent="0.25">
      <c r="A130" s="8">
        <v>42658.613587962966</v>
      </c>
      <c r="B130" s="21" t="s">
        <v>196</v>
      </c>
      <c r="C130" s="21" t="s">
        <v>555</v>
      </c>
      <c r="D130" s="21">
        <v>2100000</v>
      </c>
      <c r="E130" s="21" t="s">
        <v>345</v>
      </c>
      <c r="F130" s="21" t="str">
        <f t="shared" ref="F130:F193" si="4">B130</f>
        <v>rtdc.l.rtdc.4003:itc</v>
      </c>
      <c r="G130" s="8">
        <f t="shared" ref="G130:G193" si="5">A130</f>
        <v>42658.613587962966</v>
      </c>
    </row>
    <row r="131" spans="1:7" x14ac:dyDescent="0.25">
      <c r="A131" s="8">
        <v>42658.617835648147</v>
      </c>
      <c r="B131" s="21" t="s">
        <v>219</v>
      </c>
      <c r="C131" s="21" t="s">
        <v>556</v>
      </c>
      <c r="D131" s="21">
        <v>930000</v>
      </c>
      <c r="E131" s="21" t="s">
        <v>348</v>
      </c>
      <c r="F131" s="21" t="str">
        <f t="shared" si="4"/>
        <v>rtdc.l.rtdc.4043:itc</v>
      </c>
      <c r="G131" s="8">
        <f t="shared" si="5"/>
        <v>42658.617835648147</v>
      </c>
    </row>
    <row r="132" spans="1:7" x14ac:dyDescent="0.25">
      <c r="A132" s="8">
        <v>42658.62537037037</v>
      </c>
      <c r="B132" s="21" t="s">
        <v>290</v>
      </c>
      <c r="C132" s="21" t="s">
        <v>557</v>
      </c>
      <c r="D132" s="21">
        <v>2040000</v>
      </c>
      <c r="E132" s="21" t="s">
        <v>309</v>
      </c>
      <c r="F132" s="21" t="str">
        <f t="shared" si="4"/>
        <v>rtdc.l.rtdc.4016:itc</v>
      </c>
      <c r="G132" s="8">
        <f t="shared" si="5"/>
        <v>42658.62537037037</v>
      </c>
    </row>
    <row r="133" spans="1:7" x14ac:dyDescent="0.25">
      <c r="A133" s="8">
        <v>42658.62672453704</v>
      </c>
      <c r="B133" s="21" t="s">
        <v>478</v>
      </c>
      <c r="C133" s="21" t="s">
        <v>551</v>
      </c>
      <c r="D133" s="21">
        <v>1740000</v>
      </c>
      <c r="E133" s="21" t="s">
        <v>229</v>
      </c>
      <c r="F133" s="21" t="str">
        <f t="shared" si="4"/>
        <v>rtdc.l.rtdc.4054:itc</v>
      </c>
      <c r="G133" s="8">
        <f t="shared" si="5"/>
        <v>42658.62672453704</v>
      </c>
    </row>
    <row r="134" spans="1:7" x14ac:dyDescent="0.25">
      <c r="A134" s="8">
        <v>42658.627291666664</v>
      </c>
      <c r="B134" s="21" t="s">
        <v>478</v>
      </c>
      <c r="C134" s="21" t="s">
        <v>551</v>
      </c>
      <c r="D134" s="21">
        <v>1740000</v>
      </c>
      <c r="E134" s="21" t="s">
        <v>229</v>
      </c>
      <c r="F134" s="21" t="str">
        <f t="shared" si="4"/>
        <v>rtdc.l.rtdc.4054:itc</v>
      </c>
      <c r="G134" s="8">
        <f t="shared" si="5"/>
        <v>42658.627291666664</v>
      </c>
    </row>
    <row r="135" spans="1:7" x14ac:dyDescent="0.25">
      <c r="A135" s="8">
        <v>42658.62835648148</v>
      </c>
      <c r="B135" s="21" t="s">
        <v>478</v>
      </c>
      <c r="C135" s="21" t="s">
        <v>558</v>
      </c>
      <c r="D135" s="21">
        <v>1740000</v>
      </c>
      <c r="E135" s="21" t="s">
        <v>229</v>
      </c>
      <c r="F135" s="21" t="str">
        <f t="shared" si="4"/>
        <v>rtdc.l.rtdc.4054:itc</v>
      </c>
      <c r="G135" s="8">
        <f t="shared" si="5"/>
        <v>42658.62835648148</v>
      </c>
    </row>
    <row r="136" spans="1:7" x14ac:dyDescent="0.25">
      <c r="A136" s="8">
        <v>42658.631851851853</v>
      </c>
      <c r="B136" s="21" t="s">
        <v>188</v>
      </c>
      <c r="C136" s="21" t="s">
        <v>559</v>
      </c>
      <c r="D136" s="21">
        <v>2270000</v>
      </c>
      <c r="E136" s="21" t="s">
        <v>549</v>
      </c>
      <c r="F136" s="21" t="str">
        <f t="shared" si="4"/>
        <v>rtdc.l.rtdc.4018:itc</v>
      </c>
      <c r="G136" s="8">
        <f t="shared" si="5"/>
        <v>42658.631851851853</v>
      </c>
    </row>
    <row r="137" spans="1:7" x14ac:dyDescent="0.25">
      <c r="A137" s="8">
        <v>42658.635289351849</v>
      </c>
      <c r="B137" s="21" t="s">
        <v>304</v>
      </c>
      <c r="C137" s="21" t="s">
        <v>560</v>
      </c>
      <c r="D137" s="21">
        <v>2020000</v>
      </c>
      <c r="E137" s="21" t="s">
        <v>351</v>
      </c>
      <c r="F137" s="21" t="str">
        <f t="shared" si="4"/>
        <v>rtdc.l.rtdc.4002:itc</v>
      </c>
      <c r="G137" s="8">
        <f t="shared" si="5"/>
        <v>42658.635289351849</v>
      </c>
    </row>
    <row r="138" spans="1:7" x14ac:dyDescent="0.25">
      <c r="A138" s="8">
        <v>42658.639756944445</v>
      </c>
      <c r="B138" s="21" t="s">
        <v>223</v>
      </c>
      <c r="C138" s="21" t="s">
        <v>561</v>
      </c>
      <c r="D138" s="21">
        <v>880000</v>
      </c>
      <c r="E138" s="21" t="s">
        <v>347</v>
      </c>
      <c r="F138" s="21" t="str">
        <f t="shared" si="4"/>
        <v>rtdc.l.rtdc.4037:itc</v>
      </c>
      <c r="G138" s="8">
        <f t="shared" si="5"/>
        <v>42658.639756944445</v>
      </c>
    </row>
    <row r="139" spans="1:7" x14ac:dyDescent="0.25">
      <c r="A139" s="8">
        <v>42658.643564814818</v>
      </c>
      <c r="B139" s="21" t="s">
        <v>215</v>
      </c>
      <c r="C139" s="21" t="s">
        <v>562</v>
      </c>
      <c r="D139" s="21">
        <v>1770000</v>
      </c>
      <c r="E139" s="21" t="s">
        <v>529</v>
      </c>
      <c r="F139" s="21" t="str">
        <f t="shared" si="4"/>
        <v>rtdc.l.rtdc.4020:itc</v>
      </c>
      <c r="G139" s="8">
        <f t="shared" si="5"/>
        <v>42658.643564814818</v>
      </c>
    </row>
    <row r="140" spans="1:7" x14ac:dyDescent="0.25">
      <c r="A140" s="8">
        <v>42658.646851851852</v>
      </c>
      <c r="B140" s="21" t="s">
        <v>197</v>
      </c>
      <c r="C140" s="21" t="s">
        <v>563</v>
      </c>
      <c r="D140" s="21">
        <v>2100000</v>
      </c>
      <c r="E140" s="21" t="s">
        <v>345</v>
      </c>
      <c r="F140" s="21" t="str">
        <f t="shared" si="4"/>
        <v>rtdc.l.rtdc.4004:itc</v>
      </c>
      <c r="G140" s="8">
        <f t="shared" si="5"/>
        <v>42658.646851851852</v>
      </c>
    </row>
    <row r="141" spans="1:7" x14ac:dyDescent="0.25">
      <c r="A141" s="8">
        <v>42658.650300925925</v>
      </c>
      <c r="B141" s="21" t="s">
        <v>291</v>
      </c>
      <c r="C141" s="21" t="s">
        <v>564</v>
      </c>
      <c r="D141" s="21">
        <v>2270000</v>
      </c>
      <c r="E141" s="21" t="s">
        <v>549</v>
      </c>
      <c r="F141" s="21" t="str">
        <f t="shared" si="4"/>
        <v>rtdc.l.rtdc.4017:itc</v>
      </c>
      <c r="G141" s="8">
        <f t="shared" si="5"/>
        <v>42658.650300925925</v>
      </c>
    </row>
    <row r="142" spans="1:7" x14ac:dyDescent="0.25">
      <c r="A142" s="8">
        <v>42658.65552083333</v>
      </c>
      <c r="B142" s="21" t="s">
        <v>200</v>
      </c>
      <c r="C142" s="21" t="s">
        <v>565</v>
      </c>
      <c r="D142" s="21">
        <v>120000</v>
      </c>
      <c r="E142" s="21" t="s">
        <v>566</v>
      </c>
      <c r="F142" s="21" t="str">
        <f t="shared" si="4"/>
        <v>rtdc.l.rtdc.4044:itc</v>
      </c>
      <c r="G142" s="8">
        <f t="shared" si="5"/>
        <v>42658.65552083333</v>
      </c>
    </row>
    <row r="143" spans="1:7" x14ac:dyDescent="0.25">
      <c r="A143" s="8">
        <v>42658.662291666667</v>
      </c>
      <c r="B143" s="21" t="s">
        <v>225</v>
      </c>
      <c r="C143" s="21" t="s">
        <v>567</v>
      </c>
      <c r="D143" s="21">
        <v>2040000</v>
      </c>
      <c r="E143" s="21" t="s">
        <v>309</v>
      </c>
      <c r="F143" s="21" t="str">
        <f t="shared" si="4"/>
        <v>rtdc.l.rtdc.4015:itc</v>
      </c>
      <c r="G143" s="8">
        <f t="shared" si="5"/>
        <v>42658.662291666667</v>
      </c>
    </row>
    <row r="144" spans="1:7" x14ac:dyDescent="0.25">
      <c r="A144" s="8">
        <v>42658.662581018521</v>
      </c>
      <c r="B144" s="21" t="s">
        <v>427</v>
      </c>
      <c r="C144" s="21" t="s">
        <v>568</v>
      </c>
      <c r="D144" s="21">
        <v>1740000</v>
      </c>
      <c r="E144" s="21" t="s">
        <v>229</v>
      </c>
      <c r="F144" s="21" t="str">
        <f t="shared" si="4"/>
        <v>rtdc.l.rtdc.4053:itc</v>
      </c>
      <c r="G144" s="8">
        <f t="shared" si="5"/>
        <v>42658.662581018521</v>
      </c>
    </row>
    <row r="145" spans="1:7" x14ac:dyDescent="0.25">
      <c r="A145" s="8">
        <v>42658.669490740744</v>
      </c>
      <c r="B145" s="21" t="s">
        <v>305</v>
      </c>
      <c r="C145" s="21" t="s">
        <v>569</v>
      </c>
      <c r="D145" s="21">
        <v>2020000</v>
      </c>
      <c r="E145" s="21" t="s">
        <v>351</v>
      </c>
      <c r="F145" s="21" t="str">
        <f t="shared" si="4"/>
        <v>rtdc.l.rtdc.4001:itc</v>
      </c>
      <c r="G145" s="8">
        <f t="shared" si="5"/>
        <v>42658.669490740744</v>
      </c>
    </row>
    <row r="146" spans="1:7" x14ac:dyDescent="0.25">
      <c r="A146" s="8">
        <v>42658.672708333332</v>
      </c>
      <c r="B146" s="21" t="s">
        <v>188</v>
      </c>
      <c r="C146" s="21" t="s">
        <v>445</v>
      </c>
      <c r="D146" s="21">
        <v>2270000</v>
      </c>
      <c r="E146" s="21" t="s">
        <v>549</v>
      </c>
      <c r="F146" s="21" t="str">
        <f t="shared" si="4"/>
        <v>rtdc.l.rtdc.4018:itc</v>
      </c>
      <c r="G146" s="8">
        <f t="shared" si="5"/>
        <v>42658.672708333332</v>
      </c>
    </row>
    <row r="147" spans="1:7" x14ac:dyDescent="0.25">
      <c r="A147" s="8">
        <v>42658.673032407409</v>
      </c>
      <c r="B147" s="21" t="s">
        <v>216</v>
      </c>
      <c r="C147" s="21" t="s">
        <v>570</v>
      </c>
      <c r="D147" s="21">
        <v>880000</v>
      </c>
      <c r="E147" s="21" t="s">
        <v>347</v>
      </c>
      <c r="F147" s="21" t="str">
        <f t="shared" si="4"/>
        <v>rtdc.l.rtdc.4038:itc</v>
      </c>
      <c r="G147" s="8">
        <f t="shared" si="5"/>
        <v>42658.673032407409</v>
      </c>
    </row>
    <row r="148" spans="1:7" x14ac:dyDescent="0.25">
      <c r="A148" s="8">
        <v>42658.680023148147</v>
      </c>
      <c r="B148" s="21" t="s">
        <v>297</v>
      </c>
      <c r="C148" s="21" t="s">
        <v>571</v>
      </c>
      <c r="D148" s="21">
        <v>1770000</v>
      </c>
      <c r="E148" s="21" t="s">
        <v>529</v>
      </c>
      <c r="F148" s="21" t="str">
        <f t="shared" si="4"/>
        <v>rtdc.l.rtdc.4019:itc</v>
      </c>
      <c r="G148" s="8">
        <f t="shared" si="5"/>
        <v>42658.680023148147</v>
      </c>
    </row>
    <row r="149" spans="1:7" x14ac:dyDescent="0.25">
      <c r="A149" s="8">
        <v>42658.682488425926</v>
      </c>
      <c r="B149" s="21" t="s">
        <v>196</v>
      </c>
      <c r="C149" s="21" t="s">
        <v>572</v>
      </c>
      <c r="D149" s="21">
        <v>2100000</v>
      </c>
      <c r="E149" s="21" t="s">
        <v>345</v>
      </c>
      <c r="F149" s="21" t="str">
        <f t="shared" si="4"/>
        <v>rtdc.l.rtdc.4003:itc</v>
      </c>
      <c r="G149" s="8">
        <f t="shared" si="5"/>
        <v>42658.682488425926</v>
      </c>
    </row>
    <row r="150" spans="1:7" x14ac:dyDescent="0.25">
      <c r="A150" s="8">
        <v>42658.690335648149</v>
      </c>
      <c r="B150" s="21" t="s">
        <v>219</v>
      </c>
      <c r="C150" s="21" t="s">
        <v>446</v>
      </c>
      <c r="D150" s="21">
        <v>120000</v>
      </c>
      <c r="E150" s="21" t="s">
        <v>566</v>
      </c>
      <c r="F150" s="21" t="str">
        <f t="shared" si="4"/>
        <v>rtdc.l.rtdc.4043:itc</v>
      </c>
      <c r="G150" s="8">
        <f t="shared" si="5"/>
        <v>42658.690335648149</v>
      </c>
    </row>
    <row r="151" spans="1:7" x14ac:dyDescent="0.25">
      <c r="A151" s="8">
        <v>42658.692557870374</v>
      </c>
      <c r="B151" s="21" t="s">
        <v>291</v>
      </c>
      <c r="C151" s="21" t="s">
        <v>573</v>
      </c>
      <c r="D151" s="21">
        <v>2270000</v>
      </c>
      <c r="E151" s="21" t="s">
        <v>549</v>
      </c>
      <c r="F151" s="21" t="str">
        <f t="shared" si="4"/>
        <v>rtdc.l.rtdc.4017:itc</v>
      </c>
      <c r="G151" s="8">
        <f t="shared" si="5"/>
        <v>42658.692557870374</v>
      </c>
    </row>
    <row r="152" spans="1:7" x14ac:dyDescent="0.25">
      <c r="A152" s="8">
        <v>42658.697025462963</v>
      </c>
      <c r="B152" s="21" t="s">
        <v>290</v>
      </c>
      <c r="C152" s="21" t="s">
        <v>574</v>
      </c>
      <c r="D152" s="21">
        <v>2040000</v>
      </c>
      <c r="E152" s="21" t="s">
        <v>309</v>
      </c>
      <c r="F152" s="21" t="str">
        <f t="shared" si="4"/>
        <v>rtdc.l.rtdc.4016:itc</v>
      </c>
      <c r="G152" s="8">
        <f t="shared" si="5"/>
        <v>42658.697025462963</v>
      </c>
    </row>
    <row r="153" spans="1:7" x14ac:dyDescent="0.25">
      <c r="A153" s="8">
        <v>42658.697476851848</v>
      </c>
      <c r="B153" s="21" t="s">
        <v>478</v>
      </c>
      <c r="C153" s="21" t="s">
        <v>575</v>
      </c>
      <c r="D153" s="21">
        <v>1740000</v>
      </c>
      <c r="E153" s="21" t="s">
        <v>229</v>
      </c>
      <c r="F153" s="21" t="str">
        <f t="shared" si="4"/>
        <v>rtdc.l.rtdc.4054:itc</v>
      </c>
      <c r="G153" s="8">
        <f t="shared" si="5"/>
        <v>42658.697476851848</v>
      </c>
    </row>
    <row r="154" spans="1:7" x14ac:dyDescent="0.25">
      <c r="A154" s="8">
        <v>42658.704212962963</v>
      </c>
      <c r="B154" s="21" t="s">
        <v>304</v>
      </c>
      <c r="C154" s="21" t="s">
        <v>576</v>
      </c>
      <c r="D154" s="21">
        <v>2020000</v>
      </c>
      <c r="E154" s="21" t="s">
        <v>351</v>
      </c>
      <c r="F154" s="21" t="str">
        <f t="shared" si="4"/>
        <v>rtdc.l.rtdc.4002:itc</v>
      </c>
      <c r="G154" s="8">
        <f t="shared" si="5"/>
        <v>42658.704212962963</v>
      </c>
    </row>
    <row r="155" spans="1:7" x14ac:dyDescent="0.25">
      <c r="A155" s="8">
        <v>42658.711331018516</v>
      </c>
      <c r="B155" s="21" t="s">
        <v>223</v>
      </c>
      <c r="C155" s="21" t="s">
        <v>447</v>
      </c>
      <c r="D155" s="21">
        <v>880000</v>
      </c>
      <c r="E155" s="21" t="s">
        <v>347</v>
      </c>
      <c r="F155" s="21" t="str">
        <f t="shared" si="4"/>
        <v>rtdc.l.rtdc.4037:itc</v>
      </c>
      <c r="G155" s="8">
        <f t="shared" si="5"/>
        <v>42658.711331018516</v>
      </c>
    </row>
    <row r="156" spans="1:7" x14ac:dyDescent="0.25">
      <c r="A156" s="8">
        <v>42658.714085648149</v>
      </c>
      <c r="B156" s="21" t="s">
        <v>199</v>
      </c>
      <c r="C156" s="21" t="s">
        <v>577</v>
      </c>
      <c r="D156" s="21">
        <v>1810000</v>
      </c>
      <c r="E156" s="21" t="s">
        <v>310</v>
      </c>
      <c r="F156" s="21" t="str">
        <f t="shared" si="4"/>
        <v>rtdc.l.rtdc.4008:itc</v>
      </c>
      <c r="G156" s="8">
        <f t="shared" si="5"/>
        <v>42658.714085648149</v>
      </c>
    </row>
    <row r="157" spans="1:7" x14ac:dyDescent="0.25">
      <c r="A157" s="8">
        <v>42658.715138888889</v>
      </c>
      <c r="B157" s="21" t="s">
        <v>215</v>
      </c>
      <c r="C157" s="21" t="s">
        <v>578</v>
      </c>
      <c r="D157" s="21">
        <v>1770000</v>
      </c>
      <c r="E157" s="21" t="s">
        <v>529</v>
      </c>
      <c r="F157" s="21" t="str">
        <f t="shared" si="4"/>
        <v>rtdc.l.rtdc.4020:itc</v>
      </c>
      <c r="G157" s="8">
        <f t="shared" si="5"/>
        <v>42658.715138888889</v>
      </c>
    </row>
    <row r="158" spans="1:7" x14ac:dyDescent="0.25">
      <c r="A158" s="8">
        <v>42658.71675925926</v>
      </c>
      <c r="B158" s="21" t="s">
        <v>188</v>
      </c>
      <c r="C158" s="21" t="s">
        <v>579</v>
      </c>
      <c r="D158" s="21">
        <v>2270000</v>
      </c>
      <c r="E158" s="21" t="s">
        <v>549</v>
      </c>
      <c r="F158" s="21" t="str">
        <f t="shared" si="4"/>
        <v>rtdc.l.rtdc.4018:itc</v>
      </c>
      <c r="G158" s="8">
        <f t="shared" si="5"/>
        <v>42658.71675925926</v>
      </c>
    </row>
    <row r="159" spans="1:7" x14ac:dyDescent="0.25">
      <c r="A159" s="8">
        <v>42658.71837962963</v>
      </c>
      <c r="B159" s="21" t="s">
        <v>197</v>
      </c>
      <c r="C159" s="21" t="s">
        <v>580</v>
      </c>
      <c r="D159" s="21">
        <v>2100000</v>
      </c>
      <c r="E159" s="21" t="s">
        <v>345</v>
      </c>
      <c r="F159" s="21" t="str">
        <f t="shared" si="4"/>
        <v>rtdc.l.rtdc.4004:itc</v>
      </c>
      <c r="G159" s="8">
        <f t="shared" si="5"/>
        <v>42658.71837962963</v>
      </c>
    </row>
    <row r="160" spans="1:7" x14ac:dyDescent="0.25">
      <c r="A160" s="8">
        <v>42658.725219907406</v>
      </c>
      <c r="B160" s="21" t="s">
        <v>200</v>
      </c>
      <c r="C160" s="21" t="s">
        <v>581</v>
      </c>
      <c r="D160" s="21">
        <v>930000</v>
      </c>
      <c r="E160" s="21" t="s">
        <v>348</v>
      </c>
      <c r="F160" s="21" t="str">
        <f t="shared" si="4"/>
        <v>rtdc.l.rtdc.4044:itc</v>
      </c>
      <c r="G160" s="8">
        <f t="shared" si="5"/>
        <v>42658.725219907406</v>
      </c>
    </row>
    <row r="161" spans="1:7" x14ac:dyDescent="0.25">
      <c r="A161" s="8">
        <v>42658.730833333335</v>
      </c>
      <c r="B161" s="21" t="s">
        <v>225</v>
      </c>
      <c r="C161" s="21" t="s">
        <v>582</v>
      </c>
      <c r="D161" s="21">
        <v>2040000</v>
      </c>
      <c r="E161" s="21" t="s">
        <v>309</v>
      </c>
      <c r="F161" s="21" t="str">
        <f t="shared" si="4"/>
        <v>rtdc.l.rtdc.4015:itc</v>
      </c>
      <c r="G161" s="8">
        <f t="shared" si="5"/>
        <v>42658.730833333335</v>
      </c>
    </row>
    <row r="162" spans="1:7" x14ac:dyDescent="0.25">
      <c r="A162" s="8">
        <v>42658.734224537038</v>
      </c>
      <c r="B162" s="21" t="s">
        <v>291</v>
      </c>
      <c r="C162" s="21" t="s">
        <v>583</v>
      </c>
      <c r="D162" s="21">
        <v>2270000</v>
      </c>
      <c r="E162" s="21" t="s">
        <v>549</v>
      </c>
      <c r="F162" s="21" t="str">
        <f t="shared" si="4"/>
        <v>rtdc.l.rtdc.4017:itc</v>
      </c>
      <c r="G162" s="8">
        <f t="shared" si="5"/>
        <v>42658.734224537038</v>
      </c>
    </row>
    <row r="163" spans="1:7" x14ac:dyDescent="0.25">
      <c r="A163" s="8">
        <v>42658.73510416667</v>
      </c>
      <c r="B163" s="21" t="s">
        <v>427</v>
      </c>
      <c r="C163" s="21" t="s">
        <v>584</v>
      </c>
      <c r="D163" s="21">
        <v>1810000</v>
      </c>
      <c r="E163" s="21" t="s">
        <v>310</v>
      </c>
      <c r="F163" s="21" t="str">
        <f t="shared" si="4"/>
        <v>rtdc.l.rtdc.4053:itc</v>
      </c>
      <c r="G163" s="8">
        <f t="shared" si="5"/>
        <v>42658.73510416667</v>
      </c>
    </row>
    <row r="164" spans="1:7" x14ac:dyDescent="0.25">
      <c r="A164" s="8">
        <v>42658.743518518517</v>
      </c>
      <c r="B164" s="21" t="s">
        <v>305</v>
      </c>
      <c r="C164" s="21" t="s">
        <v>449</v>
      </c>
      <c r="D164" s="21">
        <v>2020000</v>
      </c>
      <c r="E164" s="21" t="s">
        <v>351</v>
      </c>
      <c r="F164" s="21" t="str">
        <f t="shared" si="4"/>
        <v>rtdc.l.rtdc.4001:itc</v>
      </c>
      <c r="G164" s="8">
        <f t="shared" si="5"/>
        <v>42658.743518518517</v>
      </c>
    </row>
    <row r="165" spans="1:7" x14ac:dyDescent="0.25">
      <c r="A165" s="8">
        <v>42658.747418981482</v>
      </c>
      <c r="B165" s="21" t="s">
        <v>216</v>
      </c>
      <c r="C165" s="21" t="s">
        <v>585</v>
      </c>
      <c r="D165" s="21">
        <v>1740000</v>
      </c>
      <c r="E165" s="21" t="s">
        <v>229</v>
      </c>
      <c r="F165" s="21" t="str">
        <f t="shared" si="4"/>
        <v>rtdc.l.rtdc.4038:itc</v>
      </c>
      <c r="G165" s="8">
        <f t="shared" si="5"/>
        <v>42658.747418981482</v>
      </c>
    </row>
    <row r="166" spans="1:7" x14ac:dyDescent="0.25">
      <c r="A166" s="8">
        <v>42658.748206018521</v>
      </c>
      <c r="B166" s="21" t="s">
        <v>340</v>
      </c>
      <c r="C166" s="21" t="s">
        <v>448</v>
      </c>
      <c r="D166" s="21">
        <v>2360000</v>
      </c>
      <c r="E166" s="21" t="s">
        <v>230</v>
      </c>
      <c r="F166" s="21" t="str">
        <f t="shared" si="4"/>
        <v>rtdc.l.rtdc.4021:itc</v>
      </c>
      <c r="G166" s="8">
        <f t="shared" si="5"/>
        <v>42658.748206018521</v>
      </c>
    </row>
    <row r="167" spans="1:7" x14ac:dyDescent="0.25">
      <c r="A167" s="8">
        <v>42658.752557870372</v>
      </c>
      <c r="B167" s="21" t="s">
        <v>297</v>
      </c>
      <c r="C167" s="21" t="s">
        <v>586</v>
      </c>
      <c r="D167" s="21">
        <v>1770000</v>
      </c>
      <c r="E167" s="21" t="s">
        <v>529</v>
      </c>
      <c r="F167" s="21" t="str">
        <f t="shared" si="4"/>
        <v>rtdc.l.rtdc.4019:itc</v>
      </c>
      <c r="G167" s="8">
        <f t="shared" si="5"/>
        <v>42658.752557870372</v>
      </c>
    </row>
    <row r="168" spans="1:7" x14ac:dyDescent="0.25">
      <c r="A168" s="8">
        <v>42658.759166666663</v>
      </c>
      <c r="B168" s="21" t="s">
        <v>196</v>
      </c>
      <c r="C168" s="21" t="s">
        <v>587</v>
      </c>
      <c r="D168" s="21">
        <v>1800000</v>
      </c>
      <c r="E168" s="21" t="s">
        <v>217</v>
      </c>
      <c r="F168" s="21" t="str">
        <f t="shared" si="4"/>
        <v>rtdc.l.rtdc.4003:itc</v>
      </c>
      <c r="G168" s="8">
        <f t="shared" si="5"/>
        <v>42658.759166666663</v>
      </c>
    </row>
    <row r="169" spans="1:7" x14ac:dyDescent="0.25">
      <c r="A169" s="8">
        <v>42658.762037037035</v>
      </c>
      <c r="B169" s="21" t="s">
        <v>188</v>
      </c>
      <c r="C169" s="21" t="s">
        <v>588</v>
      </c>
      <c r="D169" s="21">
        <v>2270000</v>
      </c>
      <c r="E169" s="21" t="s">
        <v>549</v>
      </c>
      <c r="F169" s="21" t="str">
        <f t="shared" si="4"/>
        <v>rtdc.l.rtdc.4018:itc</v>
      </c>
      <c r="G169" s="8">
        <f t="shared" si="5"/>
        <v>42658.762037037035</v>
      </c>
    </row>
    <row r="170" spans="1:7" x14ac:dyDescent="0.25">
      <c r="A170" s="8">
        <v>42658.763425925928</v>
      </c>
      <c r="B170" s="21" t="s">
        <v>346</v>
      </c>
      <c r="C170" s="21" t="s">
        <v>589</v>
      </c>
      <c r="D170" s="21">
        <v>2020000</v>
      </c>
      <c r="E170" s="21" t="s">
        <v>351</v>
      </c>
      <c r="F170" s="21" t="str">
        <f t="shared" si="4"/>
        <v>rtdc.l.rtdc.4011:itc</v>
      </c>
      <c r="G170" s="8">
        <f t="shared" si="5"/>
        <v>42658.763425925928</v>
      </c>
    </row>
    <row r="171" spans="1:7" x14ac:dyDescent="0.25">
      <c r="A171" s="8">
        <v>42658.764317129629</v>
      </c>
      <c r="B171" s="21" t="s">
        <v>219</v>
      </c>
      <c r="C171" s="21" t="s">
        <v>590</v>
      </c>
      <c r="D171" s="21">
        <v>930000</v>
      </c>
      <c r="E171" s="21" t="s">
        <v>348</v>
      </c>
      <c r="F171" s="21" t="str">
        <f t="shared" si="4"/>
        <v>rtdc.l.rtdc.4043:itc</v>
      </c>
      <c r="G171" s="8">
        <f t="shared" si="5"/>
        <v>42658.764317129629</v>
      </c>
    </row>
    <row r="172" spans="1:7" x14ac:dyDescent="0.25">
      <c r="A172" s="8">
        <v>42658.767858796295</v>
      </c>
      <c r="B172" s="21" t="s">
        <v>290</v>
      </c>
      <c r="C172" s="21" t="s">
        <v>591</v>
      </c>
      <c r="D172" s="21">
        <v>2360000</v>
      </c>
      <c r="E172" s="21" t="s">
        <v>230</v>
      </c>
      <c r="F172" s="21" t="str">
        <f t="shared" si="4"/>
        <v>rtdc.l.rtdc.4016:itc</v>
      </c>
      <c r="G172" s="8">
        <f t="shared" si="5"/>
        <v>42658.767858796295</v>
      </c>
    </row>
    <row r="173" spans="1:7" x14ac:dyDescent="0.25">
      <c r="A173" s="8">
        <v>42658.770219907405</v>
      </c>
      <c r="B173" s="21" t="s">
        <v>478</v>
      </c>
      <c r="C173" s="21" t="s">
        <v>592</v>
      </c>
      <c r="D173" s="21">
        <v>1810000</v>
      </c>
      <c r="E173" s="21" t="s">
        <v>310</v>
      </c>
      <c r="F173" s="21" t="str">
        <f t="shared" si="4"/>
        <v>rtdc.l.rtdc.4054:itc</v>
      </c>
      <c r="G173" s="8">
        <f t="shared" si="5"/>
        <v>42658.770219907405</v>
      </c>
    </row>
    <row r="174" spans="1:7" x14ac:dyDescent="0.25">
      <c r="A174" s="8">
        <v>42658.770821759259</v>
      </c>
      <c r="B174" s="21" t="s">
        <v>290</v>
      </c>
      <c r="C174" s="21" t="s">
        <v>591</v>
      </c>
      <c r="D174" s="21">
        <v>2360000</v>
      </c>
      <c r="E174" s="21" t="s">
        <v>230</v>
      </c>
      <c r="F174" s="21" t="str">
        <f t="shared" si="4"/>
        <v>rtdc.l.rtdc.4016:itc</v>
      </c>
      <c r="G174" s="8">
        <f t="shared" si="5"/>
        <v>42658.770821759259</v>
      </c>
    </row>
    <row r="175" spans="1:7" x14ac:dyDescent="0.25">
      <c r="A175" s="8">
        <v>42658.77547453704</v>
      </c>
      <c r="B175" s="21" t="s">
        <v>349</v>
      </c>
      <c r="C175" s="21" t="s">
        <v>593</v>
      </c>
      <c r="D175" s="21">
        <v>2040000</v>
      </c>
      <c r="E175" s="21" t="s">
        <v>309</v>
      </c>
      <c r="F175" s="21" t="str">
        <f t="shared" si="4"/>
        <v>rtdc.l.rtdc.4022:itc</v>
      </c>
      <c r="G175" s="8">
        <f t="shared" si="5"/>
        <v>42658.77547453704</v>
      </c>
    </row>
    <row r="176" spans="1:7" x14ac:dyDescent="0.25">
      <c r="A176" s="8">
        <v>42658.779942129629</v>
      </c>
      <c r="B176" s="21" t="s">
        <v>291</v>
      </c>
      <c r="C176" s="21" t="s">
        <v>594</v>
      </c>
      <c r="D176" s="21">
        <v>2270000</v>
      </c>
      <c r="E176" s="21" t="s">
        <v>549</v>
      </c>
      <c r="F176" s="21" t="str">
        <f t="shared" si="4"/>
        <v>rtdc.l.rtdc.4017:itc</v>
      </c>
      <c r="G176" s="8">
        <f t="shared" si="5"/>
        <v>42658.779942129629</v>
      </c>
    </row>
    <row r="177" spans="1:7" x14ac:dyDescent="0.25">
      <c r="A177" s="8">
        <v>42658.787106481483</v>
      </c>
      <c r="B177" s="21" t="s">
        <v>223</v>
      </c>
      <c r="C177" s="21" t="s">
        <v>595</v>
      </c>
      <c r="D177" s="21">
        <v>1740000</v>
      </c>
      <c r="E177" s="21" t="s">
        <v>229</v>
      </c>
      <c r="F177" s="21" t="str">
        <f t="shared" si="4"/>
        <v>rtdc.l.rtdc.4037:itc</v>
      </c>
      <c r="G177" s="8">
        <f t="shared" si="5"/>
        <v>42658.787106481483</v>
      </c>
    </row>
    <row r="178" spans="1:7" x14ac:dyDescent="0.25">
      <c r="A178" s="8">
        <v>42658.790173611109</v>
      </c>
      <c r="B178" s="21" t="s">
        <v>215</v>
      </c>
      <c r="C178" s="21" t="s">
        <v>596</v>
      </c>
      <c r="D178" s="21">
        <v>1300000</v>
      </c>
      <c r="E178" s="21" t="s">
        <v>114</v>
      </c>
      <c r="F178" s="21" t="str">
        <f t="shared" si="4"/>
        <v>rtdc.l.rtdc.4020:itc</v>
      </c>
      <c r="G178" s="8">
        <f t="shared" si="5"/>
        <v>42658.790173611109</v>
      </c>
    </row>
    <row r="179" spans="1:7" x14ac:dyDescent="0.25">
      <c r="A179" s="8">
        <v>42658.795104166667</v>
      </c>
      <c r="B179" s="21" t="s">
        <v>188</v>
      </c>
      <c r="C179" s="21" t="s">
        <v>597</v>
      </c>
      <c r="D179" s="21">
        <v>2270000</v>
      </c>
      <c r="E179" s="21" t="s">
        <v>549</v>
      </c>
      <c r="F179" s="21" t="str">
        <f t="shared" si="4"/>
        <v>rtdc.l.rtdc.4018:itc</v>
      </c>
      <c r="G179" s="8">
        <f t="shared" si="5"/>
        <v>42658.795104166667</v>
      </c>
    </row>
    <row r="180" spans="1:7" x14ac:dyDescent="0.25">
      <c r="A180" s="8">
        <v>42658.798356481479</v>
      </c>
      <c r="B180" s="21" t="s">
        <v>197</v>
      </c>
      <c r="C180" s="21" t="s">
        <v>598</v>
      </c>
      <c r="D180" s="21">
        <v>1800000</v>
      </c>
      <c r="E180" s="21" t="s">
        <v>217</v>
      </c>
      <c r="F180" s="21" t="str">
        <f t="shared" si="4"/>
        <v>rtdc.l.rtdc.4004:itc</v>
      </c>
      <c r="G180" s="8">
        <f t="shared" si="5"/>
        <v>42658.798356481479</v>
      </c>
    </row>
    <row r="181" spans="1:7" x14ac:dyDescent="0.25">
      <c r="A181" s="8">
        <v>42658.799479166664</v>
      </c>
      <c r="B181" s="21" t="s">
        <v>200</v>
      </c>
      <c r="C181" s="21" t="s">
        <v>599</v>
      </c>
      <c r="D181" s="21">
        <v>930000</v>
      </c>
      <c r="E181" s="21" t="s">
        <v>348</v>
      </c>
      <c r="F181" s="21" t="str">
        <f t="shared" si="4"/>
        <v>rtdc.l.rtdc.4044:itc</v>
      </c>
      <c r="G181" s="8">
        <f t="shared" si="5"/>
        <v>42658.799479166664</v>
      </c>
    </row>
    <row r="182" spans="1:7" x14ac:dyDescent="0.25">
      <c r="A182" s="8">
        <v>42658.806261574071</v>
      </c>
      <c r="B182" s="21" t="s">
        <v>225</v>
      </c>
      <c r="C182" s="21" t="s">
        <v>600</v>
      </c>
      <c r="D182" s="21">
        <v>2360000</v>
      </c>
      <c r="E182" s="21" t="s">
        <v>230</v>
      </c>
      <c r="F182" s="21" t="str">
        <f t="shared" si="4"/>
        <v>rtdc.l.rtdc.4015:itc</v>
      </c>
      <c r="G182" s="8">
        <f t="shared" si="5"/>
        <v>42658.806261574071</v>
      </c>
    </row>
    <row r="183" spans="1:7" x14ac:dyDescent="0.25">
      <c r="A183" s="8">
        <v>42658.808888888889</v>
      </c>
      <c r="B183" s="21" t="s">
        <v>427</v>
      </c>
      <c r="C183" s="21" t="s">
        <v>601</v>
      </c>
      <c r="D183" s="21">
        <v>1810000</v>
      </c>
      <c r="E183" s="21" t="s">
        <v>310</v>
      </c>
      <c r="F183" s="21" t="str">
        <f t="shared" si="4"/>
        <v>rtdc.l.rtdc.4053:itc</v>
      </c>
      <c r="G183" s="8">
        <f t="shared" si="5"/>
        <v>42658.808888888889</v>
      </c>
    </row>
    <row r="184" spans="1:7" x14ac:dyDescent="0.25">
      <c r="A184" s="8">
        <v>42658.818194444444</v>
      </c>
      <c r="B184" s="21" t="s">
        <v>291</v>
      </c>
      <c r="C184" s="21" t="s">
        <v>602</v>
      </c>
      <c r="D184" s="21">
        <v>2270000</v>
      </c>
      <c r="E184" s="21" t="s">
        <v>549</v>
      </c>
      <c r="F184" s="21" t="str">
        <f t="shared" si="4"/>
        <v>rtdc.l.rtdc.4017:itc</v>
      </c>
      <c r="G184" s="8">
        <f t="shared" si="5"/>
        <v>42658.818194444444</v>
      </c>
    </row>
    <row r="185" spans="1:7" x14ac:dyDescent="0.25">
      <c r="A185" s="8">
        <v>42658.821620370371</v>
      </c>
      <c r="B185" s="21" t="s">
        <v>216</v>
      </c>
      <c r="C185" s="21" t="s">
        <v>603</v>
      </c>
      <c r="D185" s="21">
        <v>1740000</v>
      </c>
      <c r="E185" s="21" t="s">
        <v>229</v>
      </c>
      <c r="F185" s="21" t="str">
        <f t="shared" si="4"/>
        <v>rtdc.l.rtdc.4038:itc</v>
      </c>
      <c r="G185" s="8">
        <f t="shared" si="5"/>
        <v>42658.821620370371</v>
      </c>
    </row>
    <row r="186" spans="1:7" x14ac:dyDescent="0.25">
      <c r="A186" s="8">
        <v>42658.827199074076</v>
      </c>
      <c r="B186" s="21" t="s">
        <v>297</v>
      </c>
      <c r="C186" s="21" t="s">
        <v>604</v>
      </c>
      <c r="D186" s="21">
        <v>1300000</v>
      </c>
      <c r="E186" s="21" t="s">
        <v>114</v>
      </c>
      <c r="F186" s="21" t="str">
        <f t="shared" si="4"/>
        <v>rtdc.l.rtdc.4019:itc</v>
      </c>
      <c r="G186" s="8">
        <f t="shared" si="5"/>
        <v>42658.827199074076</v>
      </c>
    </row>
    <row r="187" spans="1:7" x14ac:dyDescent="0.25">
      <c r="A187" s="8">
        <v>42658.831087962964</v>
      </c>
      <c r="B187" s="21" t="s">
        <v>196</v>
      </c>
      <c r="C187" s="21" t="s">
        <v>605</v>
      </c>
      <c r="D187" s="21">
        <v>1800000</v>
      </c>
      <c r="E187" s="21" t="s">
        <v>217</v>
      </c>
      <c r="F187" s="21" t="str">
        <f t="shared" si="4"/>
        <v>rtdc.l.rtdc.4003:itc</v>
      </c>
      <c r="G187" s="8">
        <f t="shared" si="5"/>
        <v>42658.831087962964</v>
      </c>
    </row>
    <row r="188" spans="1:7" x14ac:dyDescent="0.25">
      <c r="A188" s="8">
        <v>42658.843148148146</v>
      </c>
      <c r="B188" s="21" t="s">
        <v>188</v>
      </c>
      <c r="C188" s="21" t="s">
        <v>606</v>
      </c>
      <c r="D188" s="21">
        <v>2270000</v>
      </c>
      <c r="E188" s="21" t="s">
        <v>549</v>
      </c>
      <c r="F188" s="21" t="str">
        <f t="shared" si="4"/>
        <v>rtdc.l.rtdc.4018:itc</v>
      </c>
      <c r="G188" s="8">
        <f t="shared" si="5"/>
        <v>42658.843148148146</v>
      </c>
    </row>
    <row r="189" spans="1:7" x14ac:dyDescent="0.25">
      <c r="A189" s="8">
        <v>42658.843854166669</v>
      </c>
      <c r="B189" s="21" t="s">
        <v>478</v>
      </c>
      <c r="C189" s="21" t="s">
        <v>607</v>
      </c>
      <c r="D189" s="21">
        <v>1810000</v>
      </c>
      <c r="E189" s="21" t="s">
        <v>310</v>
      </c>
      <c r="F189" s="21" t="str">
        <f t="shared" si="4"/>
        <v>rtdc.l.rtdc.4054:itc</v>
      </c>
      <c r="G189" s="8">
        <f t="shared" si="5"/>
        <v>42658.843854166669</v>
      </c>
    </row>
    <row r="190" spans="1:7" x14ac:dyDescent="0.25">
      <c r="A190" s="8">
        <v>42658.845648148148</v>
      </c>
      <c r="B190" s="21" t="s">
        <v>290</v>
      </c>
      <c r="C190" s="21" t="s">
        <v>608</v>
      </c>
      <c r="D190" s="21">
        <v>2360000</v>
      </c>
      <c r="E190" s="21" t="s">
        <v>230</v>
      </c>
      <c r="F190" s="21" t="str">
        <f t="shared" si="4"/>
        <v>rtdc.l.rtdc.4016:itc</v>
      </c>
      <c r="G190" s="8">
        <f t="shared" si="5"/>
        <v>42658.845648148148</v>
      </c>
    </row>
    <row r="191" spans="1:7" x14ac:dyDescent="0.25">
      <c r="A191" s="8">
        <v>42658.859236111108</v>
      </c>
      <c r="B191" s="21" t="s">
        <v>291</v>
      </c>
      <c r="C191" s="21" t="s">
        <v>609</v>
      </c>
      <c r="D191" s="21">
        <v>2270000</v>
      </c>
      <c r="E191" s="21" t="s">
        <v>549</v>
      </c>
      <c r="F191" s="21" t="str">
        <f t="shared" si="4"/>
        <v>rtdc.l.rtdc.4017:itc</v>
      </c>
      <c r="G191" s="8">
        <f t="shared" si="5"/>
        <v>42658.859236111108</v>
      </c>
    </row>
    <row r="192" spans="1:7" x14ac:dyDescent="0.25">
      <c r="A192" s="8">
        <v>42658.870462962965</v>
      </c>
      <c r="B192" s="21" t="s">
        <v>197</v>
      </c>
      <c r="C192" s="21" t="s">
        <v>610</v>
      </c>
      <c r="D192" s="21">
        <v>1800000</v>
      </c>
      <c r="E192" s="21" t="s">
        <v>217</v>
      </c>
      <c r="F192" s="21" t="str">
        <f t="shared" si="4"/>
        <v>rtdc.l.rtdc.4004:itc</v>
      </c>
      <c r="G192" s="8">
        <f t="shared" si="5"/>
        <v>42658.870462962965</v>
      </c>
    </row>
    <row r="193" spans="1:7" x14ac:dyDescent="0.25">
      <c r="A193" s="8">
        <v>42658.871064814812</v>
      </c>
      <c r="B193" s="21" t="s">
        <v>215</v>
      </c>
      <c r="C193" s="21" t="s">
        <v>611</v>
      </c>
      <c r="D193" s="21">
        <v>1300000</v>
      </c>
      <c r="E193" s="21" t="s">
        <v>114</v>
      </c>
      <c r="F193" s="21" t="str">
        <f t="shared" si="4"/>
        <v>rtdc.l.rtdc.4020:itc</v>
      </c>
      <c r="G193" s="8">
        <f t="shared" si="5"/>
        <v>42658.871064814812</v>
      </c>
    </row>
    <row r="194" spans="1:7" x14ac:dyDescent="0.25">
      <c r="A194" s="8">
        <v>42658.883449074077</v>
      </c>
      <c r="B194" s="21" t="s">
        <v>188</v>
      </c>
      <c r="C194" s="21" t="s">
        <v>612</v>
      </c>
      <c r="D194" s="21">
        <v>2270000</v>
      </c>
      <c r="E194" s="21" t="s">
        <v>549</v>
      </c>
      <c r="F194" s="21" t="str">
        <f t="shared" ref="F194:F235" si="6">B194</f>
        <v>rtdc.l.rtdc.4018:itc</v>
      </c>
      <c r="G194" s="8">
        <f t="shared" ref="G194:G235" si="7">A194</f>
        <v>42658.883449074077</v>
      </c>
    </row>
    <row r="195" spans="1:7" x14ac:dyDescent="0.25">
      <c r="A195" s="8">
        <v>42658.979062500002</v>
      </c>
      <c r="B195" s="21" t="s">
        <v>196</v>
      </c>
      <c r="C195" s="21" t="s">
        <v>613</v>
      </c>
      <c r="D195" s="21">
        <v>1800000</v>
      </c>
      <c r="E195" s="21" t="s">
        <v>217</v>
      </c>
      <c r="F195" s="21" t="str">
        <f t="shared" si="6"/>
        <v>rtdc.l.rtdc.4003:itc</v>
      </c>
      <c r="G195" s="8">
        <f t="shared" si="7"/>
        <v>42658.979062500002</v>
      </c>
    </row>
    <row r="196" spans="1:7" x14ac:dyDescent="0.25">
      <c r="A196" s="8">
        <v>42658.98777777778</v>
      </c>
      <c r="B196" s="21" t="s">
        <v>188</v>
      </c>
      <c r="C196" s="21" t="s">
        <v>614</v>
      </c>
      <c r="D196" s="21">
        <v>2270000</v>
      </c>
      <c r="E196" s="21" t="s">
        <v>549</v>
      </c>
      <c r="F196" s="21" t="str">
        <f t="shared" si="6"/>
        <v>rtdc.l.rtdc.4018:itc</v>
      </c>
      <c r="G196" s="8">
        <f t="shared" si="7"/>
        <v>42658.98777777778</v>
      </c>
    </row>
    <row r="197" spans="1:7" x14ac:dyDescent="0.25">
      <c r="A197" s="8">
        <v>42658.993148148147</v>
      </c>
      <c r="B197" s="21" t="s">
        <v>297</v>
      </c>
      <c r="C197" s="21" t="s">
        <v>615</v>
      </c>
      <c r="D197" s="21">
        <v>1300000</v>
      </c>
      <c r="E197" s="21" t="s">
        <v>114</v>
      </c>
      <c r="F197" s="21" t="str">
        <f t="shared" si="6"/>
        <v>rtdc.l.rtdc.4019:itc</v>
      </c>
      <c r="G197" s="8">
        <f t="shared" si="7"/>
        <v>42658.993148148147</v>
      </c>
    </row>
    <row r="198" spans="1:7" x14ac:dyDescent="0.25">
      <c r="A198" s="8">
        <v>42658.998854166668</v>
      </c>
      <c r="B198" s="21" t="s">
        <v>304</v>
      </c>
      <c r="C198" s="21" t="s">
        <v>616</v>
      </c>
      <c r="D198" s="21">
        <v>2260000</v>
      </c>
      <c r="E198" s="21" t="s">
        <v>617</v>
      </c>
      <c r="F198" s="21" t="str">
        <f t="shared" si="6"/>
        <v>rtdc.l.rtdc.4002:itc</v>
      </c>
      <c r="G198" s="8">
        <f t="shared" si="7"/>
        <v>42658.998854166668</v>
      </c>
    </row>
    <row r="199" spans="1:7" x14ac:dyDescent="0.25">
      <c r="A199" s="8">
        <v>42659.010682870372</v>
      </c>
      <c r="B199" s="21" t="s">
        <v>290</v>
      </c>
      <c r="C199" s="21" t="s">
        <v>618</v>
      </c>
      <c r="D199" s="21">
        <v>2360000</v>
      </c>
      <c r="E199" s="21" t="s">
        <v>230</v>
      </c>
      <c r="F199" s="21" t="str">
        <f t="shared" si="6"/>
        <v>rtdc.l.rtdc.4016:itc</v>
      </c>
      <c r="G199" s="8">
        <f t="shared" si="7"/>
        <v>42659.010682870372</v>
      </c>
    </row>
    <row r="200" spans="1:7" x14ac:dyDescent="0.25">
      <c r="A200" s="8">
        <v>42659.014699074076</v>
      </c>
      <c r="B200" s="21" t="s">
        <v>478</v>
      </c>
      <c r="C200" s="21" t="s">
        <v>619</v>
      </c>
      <c r="D200" s="21">
        <v>1810000</v>
      </c>
      <c r="E200" s="21" t="s">
        <v>310</v>
      </c>
      <c r="F200" s="21" t="str">
        <f t="shared" si="6"/>
        <v>rtdc.l.rtdc.4054:itc</v>
      </c>
      <c r="G200" s="8">
        <f t="shared" si="7"/>
        <v>42659.014699074076</v>
      </c>
    </row>
    <row r="201" spans="1:7" x14ac:dyDescent="0.25">
      <c r="A201" s="8">
        <v>42659.034826388888</v>
      </c>
      <c r="B201" s="21" t="s">
        <v>305</v>
      </c>
      <c r="C201" s="21" t="s">
        <v>451</v>
      </c>
      <c r="D201" s="21">
        <v>1800000</v>
      </c>
      <c r="E201" s="21" t="s">
        <v>217</v>
      </c>
      <c r="F201" s="21" t="str">
        <f t="shared" si="6"/>
        <v>rtdc.l.rtdc.4001:itc</v>
      </c>
      <c r="G201" s="8">
        <f t="shared" si="7"/>
        <v>42659.034826388888</v>
      </c>
    </row>
    <row r="202" spans="1:7" x14ac:dyDescent="0.25">
      <c r="A202" s="27">
        <v>42659.039189814815</v>
      </c>
      <c r="B202" s="21" t="s">
        <v>215</v>
      </c>
      <c r="C202" s="21" t="s">
        <v>620</v>
      </c>
      <c r="D202" s="21">
        <v>1300000</v>
      </c>
      <c r="E202" s="21" t="s">
        <v>114</v>
      </c>
      <c r="F202" s="21" t="str">
        <f t="shared" si="6"/>
        <v>rtdc.l.rtdc.4020:itc</v>
      </c>
      <c r="G202" s="8">
        <f t="shared" si="7"/>
        <v>42659.039189814815</v>
      </c>
    </row>
    <row r="203" spans="1:7" x14ac:dyDescent="0.25">
      <c r="A203" s="8">
        <v>42659.05296296296</v>
      </c>
      <c r="B203" s="21" t="s">
        <v>225</v>
      </c>
      <c r="C203" s="21" t="s">
        <v>450</v>
      </c>
      <c r="D203" s="21">
        <v>0</v>
      </c>
      <c r="E203" s="21" t="s">
        <v>621</v>
      </c>
      <c r="F203" s="21" t="str">
        <f t="shared" si="6"/>
        <v>rtdc.l.rtdc.4015:itc</v>
      </c>
      <c r="G203" s="8">
        <f t="shared" si="7"/>
        <v>42659.05296296296</v>
      </c>
    </row>
    <row r="204" spans="1:7" x14ac:dyDescent="0.25">
      <c r="A204" s="8">
        <v>42659.073437500003</v>
      </c>
      <c r="B204" s="21" t="s">
        <v>297</v>
      </c>
      <c r="C204" s="21" t="s">
        <v>622</v>
      </c>
      <c r="D204" s="21">
        <v>1300000</v>
      </c>
      <c r="E204" s="21" t="s">
        <v>114</v>
      </c>
      <c r="F204" s="21" t="str">
        <f t="shared" si="6"/>
        <v>rtdc.l.rtdc.4019:itc</v>
      </c>
      <c r="G204" s="8">
        <f t="shared" si="7"/>
        <v>42659.073437500003</v>
      </c>
    </row>
    <row r="205" spans="1:7" x14ac:dyDescent="0.25">
      <c r="A205" s="8">
        <v>42659.074606481481</v>
      </c>
      <c r="B205" s="21" t="s">
        <v>196</v>
      </c>
      <c r="C205" s="21" t="s">
        <v>623</v>
      </c>
      <c r="D205" s="21">
        <v>1800000</v>
      </c>
      <c r="E205" s="21" t="s">
        <v>217</v>
      </c>
      <c r="F205" s="21" t="str">
        <f t="shared" si="6"/>
        <v>rtdc.l.rtdc.4003:itc</v>
      </c>
      <c r="G205" s="8">
        <f t="shared" si="7"/>
        <v>42659.074606481481</v>
      </c>
    </row>
    <row r="206" spans="1:7" x14ac:dyDescent="0.25">
      <c r="A206" s="8">
        <v>42659.091736111113</v>
      </c>
      <c r="B206" s="21" t="s">
        <v>290</v>
      </c>
      <c r="C206" s="21" t="s">
        <v>624</v>
      </c>
      <c r="D206" s="21">
        <v>2360000</v>
      </c>
      <c r="E206" s="21" t="s">
        <v>230</v>
      </c>
      <c r="F206" s="21" t="str">
        <f t="shared" si="6"/>
        <v>rtdc.l.rtdc.4016:itc</v>
      </c>
      <c r="G206" s="8">
        <f t="shared" si="7"/>
        <v>42659.091736111113</v>
      </c>
    </row>
    <row r="207" spans="1:7" x14ac:dyDescent="0.25">
      <c r="A207" s="8">
        <v>42659.108703703707</v>
      </c>
      <c r="B207" s="21" t="s">
        <v>215</v>
      </c>
      <c r="C207" s="21" t="s">
        <v>625</v>
      </c>
      <c r="D207" s="21">
        <v>1300000</v>
      </c>
      <c r="E207" s="21" t="s">
        <v>114</v>
      </c>
      <c r="F207" s="21" t="str">
        <f t="shared" si="6"/>
        <v>rtdc.l.rtdc.4020:itc</v>
      </c>
      <c r="G207" s="8">
        <f t="shared" si="7"/>
        <v>42659.108703703707</v>
      </c>
    </row>
    <row r="208" spans="1:7" x14ac:dyDescent="0.25">
      <c r="A208" s="8">
        <v>42657.788194444445</v>
      </c>
      <c r="B208" s="21" t="s">
        <v>305</v>
      </c>
      <c r="C208" s="21" t="s">
        <v>341</v>
      </c>
      <c r="D208" s="21">
        <v>1740000</v>
      </c>
      <c r="E208" s="21" t="s">
        <v>229</v>
      </c>
      <c r="F208" s="21" t="str">
        <f t="shared" si="6"/>
        <v>rtdc.l.rtdc.4001:itc</v>
      </c>
      <c r="G208" s="8">
        <f t="shared" si="7"/>
        <v>42657.788194444445</v>
      </c>
    </row>
    <row r="209" spans="1:7" x14ac:dyDescent="0.25">
      <c r="A209" s="8">
        <v>42657.788553240738</v>
      </c>
      <c r="B209" s="21" t="s">
        <v>296</v>
      </c>
      <c r="C209" s="21" t="s">
        <v>352</v>
      </c>
      <c r="D209" s="21">
        <v>1300000</v>
      </c>
      <c r="E209" s="21" t="s">
        <v>114</v>
      </c>
      <c r="F209" s="21" t="str">
        <f t="shared" si="6"/>
        <v>rtdc.l.rtdc.4040:itc</v>
      </c>
      <c r="G209" s="8">
        <f t="shared" si="7"/>
        <v>42657.788553240738</v>
      </c>
    </row>
    <row r="210" spans="1:7" x14ac:dyDescent="0.25">
      <c r="A210" s="8">
        <v>42657.793530092589</v>
      </c>
      <c r="B210" s="21" t="s">
        <v>311</v>
      </c>
      <c r="C210" s="21" t="s">
        <v>353</v>
      </c>
      <c r="D210" s="21">
        <v>2230000</v>
      </c>
      <c r="E210" s="21" t="s">
        <v>350</v>
      </c>
      <c r="F210" s="21" t="str">
        <f t="shared" si="6"/>
        <v>rtdc.l.rtdc.4027:itc</v>
      </c>
      <c r="G210" s="8">
        <f t="shared" si="7"/>
        <v>42657.793530092589</v>
      </c>
    </row>
    <row r="211" spans="1:7" x14ac:dyDescent="0.25">
      <c r="A211" s="8">
        <v>42657.796064814815</v>
      </c>
      <c r="B211" s="21" t="s">
        <v>306</v>
      </c>
      <c r="C211" s="21" t="s">
        <v>354</v>
      </c>
      <c r="D211" s="21">
        <v>1800000</v>
      </c>
      <c r="E211" s="21" t="s">
        <v>217</v>
      </c>
      <c r="F211" s="21" t="str">
        <f t="shared" si="6"/>
        <v>rtdc.l.rtdc.4041:itc</v>
      </c>
      <c r="G211" s="8">
        <f t="shared" si="7"/>
        <v>42657.796064814815</v>
      </c>
    </row>
    <row r="212" spans="1:7" x14ac:dyDescent="0.25">
      <c r="A212" s="8">
        <v>42657.79791666667</v>
      </c>
      <c r="B212" s="21" t="s">
        <v>297</v>
      </c>
      <c r="C212" s="21" t="s">
        <v>355</v>
      </c>
      <c r="D212" s="21">
        <v>1810000</v>
      </c>
      <c r="E212" s="21" t="s">
        <v>310</v>
      </c>
      <c r="F212" s="21" t="str">
        <f t="shared" si="6"/>
        <v>rtdc.l.rtdc.4019:itc</v>
      </c>
      <c r="G212" s="8">
        <f t="shared" si="7"/>
        <v>42657.79791666667</v>
      </c>
    </row>
    <row r="213" spans="1:7" x14ac:dyDescent="0.25">
      <c r="A213" s="8">
        <v>42657.802152777775</v>
      </c>
      <c r="B213" s="21" t="s">
        <v>226</v>
      </c>
      <c r="C213" s="21" t="s">
        <v>356</v>
      </c>
      <c r="D213" s="21">
        <v>1480000</v>
      </c>
      <c r="E213" s="21" t="s">
        <v>192</v>
      </c>
      <c r="F213" s="21" t="str">
        <f t="shared" si="6"/>
        <v>rtdc.l.rtdc.4032:itc</v>
      </c>
      <c r="G213" s="8">
        <f t="shared" si="7"/>
        <v>42657.802152777775</v>
      </c>
    </row>
    <row r="214" spans="1:7" x14ac:dyDescent="0.25">
      <c r="A214" s="8">
        <v>42657.803749999999</v>
      </c>
      <c r="B214" s="21" t="s">
        <v>346</v>
      </c>
      <c r="C214" s="21" t="s">
        <v>357</v>
      </c>
      <c r="D214" s="21">
        <v>1540000</v>
      </c>
      <c r="E214" s="21" t="s">
        <v>228</v>
      </c>
      <c r="F214" s="21" t="str">
        <f t="shared" si="6"/>
        <v>rtdc.l.rtdc.4011:itc</v>
      </c>
      <c r="G214" s="8">
        <f t="shared" si="7"/>
        <v>42657.803749999999</v>
      </c>
    </row>
    <row r="215" spans="1:7" x14ac:dyDescent="0.25">
      <c r="A215" s="8">
        <v>42657.81077546296</v>
      </c>
      <c r="B215" s="21" t="s">
        <v>202</v>
      </c>
      <c r="C215" s="21" t="s">
        <v>358</v>
      </c>
      <c r="D215" s="21">
        <v>1230000</v>
      </c>
      <c r="E215" s="21" t="s">
        <v>224</v>
      </c>
      <c r="F215" s="21" t="str">
        <f t="shared" si="6"/>
        <v>rtdc.l.rtdc.4046:itc</v>
      </c>
      <c r="G215" s="8">
        <f t="shared" si="7"/>
        <v>42657.81077546296</v>
      </c>
    </row>
    <row r="216" spans="1:7" x14ac:dyDescent="0.25">
      <c r="A216" s="8">
        <v>42657.817152777781</v>
      </c>
      <c r="B216" s="21" t="s">
        <v>339</v>
      </c>
      <c r="C216" s="21" t="s">
        <v>359</v>
      </c>
      <c r="D216" s="21">
        <v>1540000</v>
      </c>
      <c r="E216" s="21" t="s">
        <v>228</v>
      </c>
      <c r="F216" s="21" t="str">
        <f t="shared" si="6"/>
        <v>rtdc.l.rtdc.4012:itc</v>
      </c>
      <c r="G216" s="8">
        <f t="shared" si="7"/>
        <v>42657.817152777781</v>
      </c>
    </row>
    <row r="217" spans="1:7" x14ac:dyDescent="0.25">
      <c r="A217" s="8">
        <v>42657.822824074072</v>
      </c>
      <c r="B217" s="21" t="s">
        <v>304</v>
      </c>
      <c r="C217" s="21" t="s">
        <v>360</v>
      </c>
      <c r="D217" s="21">
        <v>1740000</v>
      </c>
      <c r="E217" s="21" t="s">
        <v>229</v>
      </c>
      <c r="F217" s="21" t="str">
        <f t="shared" si="6"/>
        <v>rtdc.l.rtdc.4002:itc</v>
      </c>
      <c r="G217" s="8">
        <f t="shared" si="7"/>
        <v>42657.822824074072</v>
      </c>
    </row>
    <row r="218" spans="1:7" x14ac:dyDescent="0.25">
      <c r="A218" s="8">
        <v>42657.826620370368</v>
      </c>
      <c r="B218" s="21" t="s">
        <v>222</v>
      </c>
      <c r="C218" s="21" t="s">
        <v>361</v>
      </c>
      <c r="D218" s="21">
        <v>1300000</v>
      </c>
      <c r="E218" s="21" t="s">
        <v>114</v>
      </c>
      <c r="F218" s="21" t="str">
        <f t="shared" si="6"/>
        <v>rtdc.l.rtdc.4039:itc</v>
      </c>
      <c r="G218" s="8">
        <f t="shared" si="7"/>
        <v>42657.826620370368</v>
      </c>
    </row>
    <row r="219" spans="1:7" x14ac:dyDescent="0.25">
      <c r="A219" s="8">
        <v>42657.832037037035</v>
      </c>
      <c r="B219" s="21" t="s">
        <v>303</v>
      </c>
      <c r="C219" s="21" t="s">
        <v>362</v>
      </c>
      <c r="D219" s="21">
        <v>1800000</v>
      </c>
      <c r="E219" s="21" t="s">
        <v>217</v>
      </c>
      <c r="F219" s="21" t="str">
        <f t="shared" si="6"/>
        <v>rtdc.l.rtdc.4042:itc</v>
      </c>
      <c r="G219" s="8">
        <f t="shared" si="7"/>
        <v>42657.832037037035</v>
      </c>
    </row>
    <row r="220" spans="1:7" x14ac:dyDescent="0.25">
      <c r="A220" s="8">
        <v>42657.838009259256</v>
      </c>
      <c r="B220" s="21" t="s">
        <v>346</v>
      </c>
      <c r="C220" s="21" t="s">
        <v>363</v>
      </c>
      <c r="D220" s="21">
        <v>1540000</v>
      </c>
      <c r="E220" s="21" t="s">
        <v>228</v>
      </c>
      <c r="F220" s="21" t="str">
        <f t="shared" si="6"/>
        <v>rtdc.l.rtdc.4011:itc</v>
      </c>
      <c r="G220" s="8">
        <f t="shared" si="7"/>
        <v>42657.838009259256</v>
      </c>
    </row>
    <row r="221" spans="1:7" x14ac:dyDescent="0.25">
      <c r="A221" s="8">
        <v>42657.846851851849</v>
      </c>
      <c r="B221" s="21" t="s">
        <v>227</v>
      </c>
      <c r="C221" s="21" t="s">
        <v>364</v>
      </c>
      <c r="D221" s="21">
        <v>1480000</v>
      </c>
      <c r="E221" s="21" t="s">
        <v>192</v>
      </c>
      <c r="F221" s="21" t="str">
        <f t="shared" si="6"/>
        <v>rtdc.l.rtdc.4031:itc</v>
      </c>
      <c r="G221" s="8">
        <f t="shared" si="7"/>
        <v>42657.846851851849</v>
      </c>
    </row>
    <row r="222" spans="1:7" x14ac:dyDescent="0.25">
      <c r="A222" s="8">
        <v>42657.848564814813</v>
      </c>
      <c r="B222" s="21" t="s">
        <v>338</v>
      </c>
      <c r="C222" s="21" t="s">
        <v>365</v>
      </c>
      <c r="D222" s="21">
        <v>1230000</v>
      </c>
      <c r="E222" s="21" t="s">
        <v>224</v>
      </c>
      <c r="F222" s="21" t="str">
        <f t="shared" si="6"/>
        <v>rtdc.l.rtdc.4045:itc</v>
      </c>
      <c r="G222" s="8">
        <f t="shared" si="7"/>
        <v>42657.848564814813</v>
      </c>
    </row>
    <row r="223" spans="1:7" x14ac:dyDescent="0.25">
      <c r="A223" s="8">
        <v>42657.859456018516</v>
      </c>
      <c r="B223" s="21" t="s">
        <v>339</v>
      </c>
      <c r="C223" s="21" t="s">
        <v>363</v>
      </c>
      <c r="D223" s="21">
        <v>1540000</v>
      </c>
      <c r="E223" s="21" t="s">
        <v>228</v>
      </c>
      <c r="F223" s="21" t="str">
        <f t="shared" si="6"/>
        <v>rtdc.l.rtdc.4012:itc</v>
      </c>
      <c r="G223" s="8">
        <f t="shared" si="7"/>
        <v>42657.859456018516</v>
      </c>
    </row>
    <row r="224" spans="1:7" x14ac:dyDescent="0.25">
      <c r="A224" s="8">
        <v>42657.860127314816</v>
      </c>
      <c r="B224" t="s">
        <v>339</v>
      </c>
      <c r="C224" t="s">
        <v>366</v>
      </c>
      <c r="D224">
        <v>1540000</v>
      </c>
      <c r="E224" t="s">
        <v>228</v>
      </c>
      <c r="F224" s="21" t="str">
        <f t="shared" si="6"/>
        <v>rtdc.l.rtdc.4012:itc</v>
      </c>
      <c r="G224" s="8">
        <f t="shared" si="7"/>
        <v>42657.860127314816</v>
      </c>
    </row>
    <row r="225" spans="1:7" x14ac:dyDescent="0.25">
      <c r="A225" s="8">
        <v>42657.867581018516</v>
      </c>
      <c r="B225" t="s">
        <v>296</v>
      </c>
      <c r="C225" t="s">
        <v>367</v>
      </c>
      <c r="D225">
        <v>1300000</v>
      </c>
      <c r="E225" t="s">
        <v>114</v>
      </c>
      <c r="F225" s="21" t="str">
        <f t="shared" si="6"/>
        <v>rtdc.l.rtdc.4040:itc</v>
      </c>
      <c r="G225" s="8">
        <f t="shared" si="7"/>
        <v>42657.867581018516</v>
      </c>
    </row>
    <row r="226" spans="1:7" x14ac:dyDescent="0.25">
      <c r="A226" s="8">
        <v>42657.87128472222</v>
      </c>
      <c r="B226" t="s">
        <v>306</v>
      </c>
      <c r="C226" t="s">
        <v>368</v>
      </c>
      <c r="D226">
        <v>1800000</v>
      </c>
      <c r="E226" t="s">
        <v>217</v>
      </c>
      <c r="F226" s="21" t="str">
        <f t="shared" si="6"/>
        <v>rtdc.l.rtdc.4041:itc</v>
      </c>
      <c r="G226" s="8">
        <f t="shared" si="7"/>
        <v>42657.87128472222</v>
      </c>
    </row>
    <row r="227" spans="1:7" x14ac:dyDescent="0.25">
      <c r="A227" s="8">
        <v>42657.875717592593</v>
      </c>
      <c r="B227" t="s">
        <v>346</v>
      </c>
      <c r="C227" t="s">
        <v>369</v>
      </c>
      <c r="D227">
        <v>1810000</v>
      </c>
      <c r="E227" t="s">
        <v>310</v>
      </c>
      <c r="F227" s="21" t="str">
        <f t="shared" si="6"/>
        <v>rtdc.l.rtdc.4011:itc</v>
      </c>
      <c r="G227" s="8">
        <f t="shared" si="7"/>
        <v>42657.875717592593</v>
      </c>
    </row>
    <row r="228" spans="1:7" x14ac:dyDescent="0.25">
      <c r="A228" s="8">
        <v>42657.88076388889</v>
      </c>
      <c r="B228" t="s">
        <v>202</v>
      </c>
      <c r="C228" t="s">
        <v>370</v>
      </c>
      <c r="D228">
        <v>1230000</v>
      </c>
      <c r="E228" t="s">
        <v>224</v>
      </c>
      <c r="F228" s="21" t="str">
        <f t="shared" si="6"/>
        <v>rtdc.l.rtdc.4046:itc</v>
      </c>
      <c r="G228" s="8">
        <f t="shared" si="7"/>
        <v>42657.88076388889</v>
      </c>
    </row>
    <row r="229" spans="1:7" x14ac:dyDescent="0.25">
      <c r="A229" s="8">
        <v>42657.887453703705</v>
      </c>
      <c r="B229" t="s">
        <v>226</v>
      </c>
      <c r="C229" t="s">
        <v>371</v>
      </c>
      <c r="D229">
        <v>1480000</v>
      </c>
      <c r="E229" t="s">
        <v>192</v>
      </c>
      <c r="F229" s="21" t="str">
        <f t="shared" si="6"/>
        <v>rtdc.l.rtdc.4032:itc</v>
      </c>
      <c r="G229" s="8">
        <f t="shared" si="7"/>
        <v>42657.887453703705</v>
      </c>
    </row>
    <row r="230" spans="1:7" x14ac:dyDescent="0.25">
      <c r="A230" s="8">
        <v>42657.90179398148</v>
      </c>
      <c r="B230" t="s">
        <v>339</v>
      </c>
      <c r="C230" t="s">
        <v>342</v>
      </c>
      <c r="D230">
        <v>1810000</v>
      </c>
      <c r="E230" t="s">
        <v>310</v>
      </c>
      <c r="F230" s="21" t="str">
        <f t="shared" si="6"/>
        <v>rtdc.l.rtdc.4012:itc</v>
      </c>
      <c r="G230" s="8">
        <f t="shared" si="7"/>
        <v>42657.90179398148</v>
      </c>
    </row>
    <row r="231" spans="1:7" x14ac:dyDescent="0.25">
      <c r="A231" s="8">
        <v>42657.910833333335</v>
      </c>
      <c r="B231" t="s">
        <v>222</v>
      </c>
      <c r="C231" t="s">
        <v>372</v>
      </c>
      <c r="D231">
        <v>1300000</v>
      </c>
      <c r="E231" t="s">
        <v>114</v>
      </c>
      <c r="F231" s="21" t="str">
        <f t="shared" si="6"/>
        <v>rtdc.l.rtdc.4039:itc</v>
      </c>
      <c r="G231" s="8">
        <f t="shared" si="7"/>
        <v>42657.910833333335</v>
      </c>
    </row>
    <row r="232" spans="1:7" x14ac:dyDescent="0.25">
      <c r="A232" s="8">
        <v>42657.914166666669</v>
      </c>
      <c r="B232" t="s">
        <v>303</v>
      </c>
      <c r="C232" t="s">
        <v>373</v>
      </c>
      <c r="D232">
        <v>1800000</v>
      </c>
      <c r="E232" t="s">
        <v>217</v>
      </c>
      <c r="F232" s="21" t="str">
        <f t="shared" si="6"/>
        <v>rtdc.l.rtdc.4042:itc</v>
      </c>
      <c r="G232" s="8">
        <f t="shared" si="7"/>
        <v>42657.914166666669</v>
      </c>
    </row>
    <row r="233" spans="1:7" x14ac:dyDescent="0.25">
      <c r="A233" s="8">
        <v>42657.916631944441</v>
      </c>
      <c r="B233" t="s">
        <v>346</v>
      </c>
      <c r="C233" t="s">
        <v>374</v>
      </c>
      <c r="D233">
        <v>1810000</v>
      </c>
      <c r="E233" t="s">
        <v>310</v>
      </c>
      <c r="F233" s="21" t="str">
        <f t="shared" si="6"/>
        <v>rtdc.l.rtdc.4011:itc</v>
      </c>
      <c r="G233" s="8">
        <f t="shared" si="7"/>
        <v>42657.916631944441</v>
      </c>
    </row>
    <row r="234" spans="1:7" x14ac:dyDescent="0.25">
      <c r="A234" s="8">
        <v>42657.931990740741</v>
      </c>
      <c r="B234" t="s">
        <v>338</v>
      </c>
      <c r="C234" t="s">
        <v>375</v>
      </c>
      <c r="D234">
        <v>1230000</v>
      </c>
      <c r="E234" t="s">
        <v>224</v>
      </c>
      <c r="F234" s="21" t="str">
        <f t="shared" si="6"/>
        <v>rtdc.l.rtdc.4045:itc</v>
      </c>
      <c r="G234" s="8">
        <f t="shared" si="7"/>
        <v>42657.931990740741</v>
      </c>
    </row>
    <row r="235" spans="1:7" x14ac:dyDescent="0.25">
      <c r="A235" s="8">
        <v>42657.934351851851</v>
      </c>
      <c r="B235" t="s">
        <v>227</v>
      </c>
      <c r="C235" t="s">
        <v>376</v>
      </c>
      <c r="D235">
        <v>1480000</v>
      </c>
      <c r="E235" t="s">
        <v>192</v>
      </c>
      <c r="F235" s="21" t="str">
        <f t="shared" si="6"/>
        <v>rtdc.l.rtdc.4031:itc</v>
      </c>
      <c r="G235" s="8">
        <f t="shared" si="7"/>
        <v>42657.934351851851</v>
      </c>
    </row>
    <row r="236" spans="1:7" x14ac:dyDescent="0.25">
      <c r="A236" s="8">
        <v>42657.942858796298</v>
      </c>
      <c r="B236" t="s">
        <v>339</v>
      </c>
      <c r="C236" t="s">
        <v>377</v>
      </c>
      <c r="D236">
        <v>1810000</v>
      </c>
      <c r="E236" t="s">
        <v>310</v>
      </c>
      <c r="F236" s="21" t="str">
        <f t="shared" ref="F236:F265" si="8">B236</f>
        <v>rtdc.l.rtdc.4012:itc</v>
      </c>
      <c r="G236" s="8">
        <f t="shared" ref="G236:G265" si="9">A236</f>
        <v>42657.942858796298</v>
      </c>
    </row>
    <row r="237" spans="1:7" x14ac:dyDescent="0.25">
      <c r="A237" s="8">
        <v>42657.95380787037</v>
      </c>
      <c r="B237" t="s">
        <v>296</v>
      </c>
      <c r="C237" t="s">
        <v>378</v>
      </c>
      <c r="D237">
        <v>1300000</v>
      </c>
      <c r="E237" t="s">
        <v>114</v>
      </c>
      <c r="F237" s="21" t="str">
        <f t="shared" si="8"/>
        <v>rtdc.l.rtdc.4040:itc</v>
      </c>
      <c r="G237" s="8">
        <f t="shared" si="9"/>
        <v>42657.95380787037</v>
      </c>
    </row>
    <row r="238" spans="1:7" x14ac:dyDescent="0.25">
      <c r="A238" s="8">
        <v>42657.954016203701</v>
      </c>
      <c r="B238" t="s">
        <v>306</v>
      </c>
      <c r="C238" t="s">
        <v>343</v>
      </c>
      <c r="D238">
        <v>1800000</v>
      </c>
      <c r="E238" t="s">
        <v>217</v>
      </c>
      <c r="F238" s="21" t="str">
        <f t="shared" si="8"/>
        <v>rtdc.l.rtdc.4041:itc</v>
      </c>
      <c r="G238" s="8">
        <f t="shared" si="9"/>
        <v>42657.954016203701</v>
      </c>
    </row>
    <row r="239" spans="1:7" x14ac:dyDescent="0.25">
      <c r="A239" s="8">
        <v>42657.962476851855</v>
      </c>
      <c r="B239" t="s">
        <v>202</v>
      </c>
      <c r="C239" t="s">
        <v>379</v>
      </c>
      <c r="D239">
        <v>1230000</v>
      </c>
      <c r="E239" t="s">
        <v>224</v>
      </c>
      <c r="F239" s="21" t="str">
        <f t="shared" si="8"/>
        <v>rtdc.l.rtdc.4046:itc</v>
      </c>
      <c r="G239" s="8">
        <f t="shared" si="9"/>
        <v>42657.962476851855</v>
      </c>
    </row>
    <row r="240" spans="1:7" x14ac:dyDescent="0.25">
      <c r="A240" s="8">
        <v>42657.969039351854</v>
      </c>
      <c r="B240" t="s">
        <v>226</v>
      </c>
      <c r="C240" t="s">
        <v>380</v>
      </c>
      <c r="D240">
        <v>1480000</v>
      </c>
      <c r="E240" t="s">
        <v>192</v>
      </c>
      <c r="F240" s="21" t="str">
        <f t="shared" si="8"/>
        <v>rtdc.l.rtdc.4032:itc</v>
      </c>
      <c r="G240" s="8">
        <f t="shared" si="9"/>
        <v>42657.969039351854</v>
      </c>
    </row>
    <row r="241" spans="1:7" x14ac:dyDescent="0.25">
      <c r="A241" s="8">
        <v>42657.995289351849</v>
      </c>
      <c r="B241" t="s">
        <v>222</v>
      </c>
      <c r="C241" t="s">
        <v>381</v>
      </c>
      <c r="D241">
        <v>1300000</v>
      </c>
      <c r="E241" t="s">
        <v>114</v>
      </c>
      <c r="F241" s="21" t="str">
        <f t="shared" si="8"/>
        <v>rtdc.l.rtdc.4039:itc</v>
      </c>
      <c r="G241" s="8">
        <f t="shared" si="9"/>
        <v>42657.995289351849</v>
      </c>
    </row>
    <row r="242" spans="1:7" x14ac:dyDescent="0.25">
      <c r="A242" s="8">
        <v>42657.997476851851</v>
      </c>
      <c r="B242" t="s">
        <v>303</v>
      </c>
      <c r="C242" t="s">
        <v>382</v>
      </c>
      <c r="D242">
        <v>1800000</v>
      </c>
      <c r="E242" t="s">
        <v>217</v>
      </c>
      <c r="F242" s="21" t="str">
        <f t="shared" si="8"/>
        <v>rtdc.l.rtdc.4042:itc</v>
      </c>
      <c r="G242" s="8">
        <f t="shared" si="9"/>
        <v>42657.997476851851</v>
      </c>
    </row>
    <row r="243" spans="1:7" x14ac:dyDescent="0.25">
      <c r="A243" s="8">
        <v>42658.011307870373</v>
      </c>
      <c r="B243" t="s">
        <v>227</v>
      </c>
      <c r="C243" t="s">
        <v>383</v>
      </c>
      <c r="D243">
        <v>1480000</v>
      </c>
      <c r="E243" t="s">
        <v>192</v>
      </c>
      <c r="F243" s="21" t="str">
        <f t="shared" si="8"/>
        <v>rtdc.l.rtdc.4031:itc</v>
      </c>
      <c r="G243" s="8">
        <f t="shared" si="9"/>
        <v>42658.011307870373</v>
      </c>
    </row>
    <row r="244" spans="1:7" x14ac:dyDescent="0.25">
      <c r="A244" s="8">
        <v>42658.014039351852</v>
      </c>
      <c r="B244" t="s">
        <v>338</v>
      </c>
      <c r="C244" t="s">
        <v>384</v>
      </c>
      <c r="D244">
        <v>1230000</v>
      </c>
      <c r="E244" t="s">
        <v>224</v>
      </c>
      <c r="F244" s="21" t="str">
        <f t="shared" si="8"/>
        <v>rtdc.l.rtdc.4045:itc</v>
      </c>
      <c r="G244" s="8">
        <f t="shared" si="9"/>
        <v>42658.014039351852</v>
      </c>
    </row>
    <row r="245" spans="1:7" x14ac:dyDescent="0.25">
      <c r="A245" s="8">
        <v>42658.036134259259</v>
      </c>
      <c r="B245" t="s">
        <v>306</v>
      </c>
      <c r="C245" t="s">
        <v>385</v>
      </c>
      <c r="D245">
        <v>1800000</v>
      </c>
      <c r="E245" t="s">
        <v>217</v>
      </c>
      <c r="F245" s="21" t="str">
        <f t="shared" si="8"/>
        <v>rtdc.l.rtdc.4041:itc</v>
      </c>
      <c r="G245" s="8">
        <f t="shared" si="9"/>
        <v>42658.036134259259</v>
      </c>
    </row>
    <row r="246" spans="1:7" x14ac:dyDescent="0.25">
      <c r="A246" s="8">
        <v>42658.036620370367</v>
      </c>
      <c r="B246" t="s">
        <v>296</v>
      </c>
      <c r="C246" t="s">
        <v>386</v>
      </c>
      <c r="D246">
        <v>1300000</v>
      </c>
      <c r="E246" t="s">
        <v>114</v>
      </c>
      <c r="F246" s="21" t="str">
        <f t="shared" si="8"/>
        <v>rtdc.l.rtdc.4040:itc</v>
      </c>
      <c r="G246" s="8">
        <f t="shared" si="9"/>
        <v>42658.036620370367</v>
      </c>
    </row>
    <row r="247" spans="1:7" x14ac:dyDescent="0.25">
      <c r="A247" s="8">
        <v>42658.046157407407</v>
      </c>
      <c r="B247" t="s">
        <v>202</v>
      </c>
      <c r="C247" t="s">
        <v>387</v>
      </c>
      <c r="D247">
        <v>1230000</v>
      </c>
      <c r="E247" t="s">
        <v>224</v>
      </c>
      <c r="F247" s="21" t="str">
        <f t="shared" si="8"/>
        <v>rtdc.l.rtdc.4046:itc</v>
      </c>
      <c r="G247" s="8">
        <f t="shared" si="9"/>
        <v>42658.046157407407</v>
      </c>
    </row>
    <row r="248" spans="1:7" x14ac:dyDescent="0.25">
      <c r="A248" s="8">
        <v>42658.055277777778</v>
      </c>
      <c r="B248" t="s">
        <v>226</v>
      </c>
      <c r="C248" t="s">
        <v>388</v>
      </c>
      <c r="D248">
        <v>1480000</v>
      </c>
      <c r="E248" t="s">
        <v>192</v>
      </c>
      <c r="F248" s="21" t="str">
        <f t="shared" si="8"/>
        <v>rtdc.l.rtdc.4032:itc</v>
      </c>
      <c r="G248" s="8">
        <f t="shared" si="9"/>
        <v>42658.055277777778</v>
      </c>
    </row>
    <row r="249" spans="1:7" x14ac:dyDescent="0.25">
      <c r="A249" s="8">
        <v>42658.071793981479</v>
      </c>
      <c r="B249" t="s">
        <v>303</v>
      </c>
      <c r="C249" t="s">
        <v>389</v>
      </c>
      <c r="D249">
        <v>1800000</v>
      </c>
      <c r="E249" t="s">
        <v>217</v>
      </c>
      <c r="F249" s="21" t="str">
        <f t="shared" si="8"/>
        <v>rtdc.l.rtdc.4042:itc</v>
      </c>
      <c r="G249" s="8">
        <f t="shared" si="9"/>
        <v>42658.071793981479</v>
      </c>
    </row>
    <row r="250" spans="1:7" x14ac:dyDescent="0.25">
      <c r="A250" s="8">
        <v>42658.0778125</v>
      </c>
      <c r="B250" t="s">
        <v>222</v>
      </c>
      <c r="C250" t="s">
        <v>390</v>
      </c>
      <c r="D250">
        <v>1300000</v>
      </c>
      <c r="E250" t="s">
        <v>114</v>
      </c>
      <c r="F250" s="21" t="str">
        <f t="shared" si="8"/>
        <v>rtdc.l.rtdc.4039:itc</v>
      </c>
      <c r="G250" s="8">
        <f t="shared" si="9"/>
        <v>42658.0778125</v>
      </c>
    </row>
    <row r="251" spans="1:7" x14ac:dyDescent="0.25">
      <c r="A251" s="8">
        <v>42658.092233796298</v>
      </c>
      <c r="B251" t="s">
        <v>227</v>
      </c>
      <c r="C251" t="s">
        <v>391</v>
      </c>
      <c r="D251">
        <v>1480000</v>
      </c>
      <c r="E251" t="s">
        <v>192</v>
      </c>
      <c r="F251" s="21" t="str">
        <f t="shared" si="8"/>
        <v>rtdc.l.rtdc.4031:itc</v>
      </c>
      <c r="G251" s="8">
        <f t="shared" si="9"/>
        <v>42658.092233796298</v>
      </c>
    </row>
    <row r="252" spans="1:7" x14ac:dyDescent="0.25">
      <c r="A252" s="8">
        <v>42658.108935185184</v>
      </c>
      <c r="B252" t="s">
        <v>296</v>
      </c>
      <c r="C252" t="s">
        <v>392</v>
      </c>
      <c r="D252">
        <v>1300000</v>
      </c>
      <c r="E252" t="s">
        <v>114</v>
      </c>
      <c r="F252" s="21" t="str">
        <f t="shared" si="8"/>
        <v>rtdc.l.rtdc.4040:itc</v>
      </c>
      <c r="G252" s="8">
        <f t="shared" si="9"/>
        <v>42658.108935185184</v>
      </c>
    </row>
    <row r="253" spans="1:7" x14ac:dyDescent="0.25">
      <c r="A253" s="8">
        <v>42651.069953703707</v>
      </c>
      <c r="B253" t="s">
        <v>202</v>
      </c>
      <c r="C253" t="s">
        <v>210</v>
      </c>
      <c r="D253">
        <v>1800000</v>
      </c>
      <c r="E253" t="s">
        <v>217</v>
      </c>
      <c r="F253" s="21" t="str">
        <f t="shared" si="8"/>
        <v>rtdc.l.rtdc.4046:itc</v>
      </c>
      <c r="G253" s="8">
        <f t="shared" si="9"/>
        <v>42651.069953703707</v>
      </c>
    </row>
    <row r="254" spans="1:7" x14ac:dyDescent="0.25">
      <c r="A254" s="8">
        <v>42651.076747685183</v>
      </c>
      <c r="B254" t="s">
        <v>199</v>
      </c>
      <c r="C254" t="s">
        <v>209</v>
      </c>
      <c r="D254">
        <v>1300000</v>
      </c>
      <c r="E254" t="s">
        <v>114</v>
      </c>
      <c r="F254" s="21" t="str">
        <f t="shared" si="8"/>
        <v>rtdc.l.rtdc.4008:itc</v>
      </c>
      <c r="G254" s="8">
        <f t="shared" si="9"/>
        <v>42651.076747685183</v>
      </c>
    </row>
    <row r="255" spans="1:7" x14ac:dyDescent="0.25">
      <c r="A255" s="8">
        <v>42651.087326388886</v>
      </c>
      <c r="B255" t="s">
        <v>157</v>
      </c>
      <c r="C255" t="s">
        <v>214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214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213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215</v>
      </c>
      <c r="C258" t="s">
        <v>211</v>
      </c>
      <c r="D258">
        <v>1480000</v>
      </c>
      <c r="E258" t="s">
        <v>192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201</v>
      </c>
      <c r="C259" t="s">
        <v>212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201</v>
      </c>
      <c r="C261" t="s">
        <v>204</v>
      </c>
      <c r="D261">
        <v>1180000</v>
      </c>
      <c r="E261" t="s">
        <v>190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203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194</v>
      </c>
      <c r="C263" t="s">
        <v>205</v>
      </c>
      <c r="D263">
        <v>1480000</v>
      </c>
      <c r="E263" t="s">
        <v>192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200</v>
      </c>
      <c r="C264" t="s">
        <v>206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203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203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203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203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203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195</v>
      </c>
      <c r="C270" t="s">
        <v>207</v>
      </c>
      <c r="D270">
        <v>1480000</v>
      </c>
      <c r="E270" t="s">
        <v>192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203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203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203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71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168</v>
      </c>
      <c r="B1" s="178" t="s">
        <v>171</v>
      </c>
      <c r="C1" s="178" t="s">
        <v>164</v>
      </c>
      <c r="D1" s="179" t="s">
        <v>178</v>
      </c>
      <c r="E1" s="178" t="s">
        <v>165</v>
      </c>
      <c r="F1" s="178" t="s">
        <v>163</v>
      </c>
      <c r="G1" s="178" t="s">
        <v>161</v>
      </c>
      <c r="H1" s="178" t="s">
        <v>174</v>
      </c>
      <c r="I1" s="178" t="s">
        <v>175</v>
      </c>
      <c r="J1" s="178" t="s">
        <v>169</v>
      </c>
      <c r="K1" s="178" t="s">
        <v>167</v>
      </c>
      <c r="L1" s="178" t="s">
        <v>162</v>
      </c>
      <c r="M1" s="178" t="s">
        <v>172</v>
      </c>
      <c r="N1" s="178" t="s">
        <v>166</v>
      </c>
      <c r="O1" s="178" t="s">
        <v>173</v>
      </c>
      <c r="P1" s="178" t="s">
        <v>170</v>
      </c>
      <c r="Q1"/>
    </row>
    <row r="2" spans="1:17" x14ac:dyDescent="0.25">
      <c r="A2" s="142">
        <v>58.7</v>
      </c>
      <c r="B2" s="142">
        <v>0.65</v>
      </c>
      <c r="C2" s="142">
        <v>29.03</v>
      </c>
      <c r="D2" s="8">
        <v>42658</v>
      </c>
      <c r="E2" s="142">
        <v>0.32</v>
      </c>
      <c r="F2" s="142" t="s">
        <v>221</v>
      </c>
      <c r="G2" s="142">
        <v>271.57</v>
      </c>
      <c r="H2" s="142">
        <v>0</v>
      </c>
      <c r="I2" s="142">
        <v>0</v>
      </c>
      <c r="J2" s="142">
        <v>1007.97</v>
      </c>
      <c r="K2" s="142" t="s">
        <v>393</v>
      </c>
      <c r="L2" s="142">
        <v>58.7</v>
      </c>
      <c r="M2" s="142">
        <v>1476511200</v>
      </c>
      <c r="N2" s="142">
        <v>9.32</v>
      </c>
      <c r="O2" s="142">
        <v>220</v>
      </c>
      <c r="P2" s="142">
        <v>3.8</v>
      </c>
      <c r="Q2"/>
    </row>
    <row r="3" spans="1:17" x14ac:dyDescent="0.25">
      <c r="A3" s="142">
        <v>57.21</v>
      </c>
      <c r="B3" s="142">
        <v>0.49</v>
      </c>
      <c r="C3" s="142">
        <v>28.38</v>
      </c>
      <c r="D3" s="8">
        <v>42658.041666666664</v>
      </c>
      <c r="E3" s="142">
        <v>0.33</v>
      </c>
      <c r="F3" s="142" t="s">
        <v>221</v>
      </c>
      <c r="G3" s="142">
        <v>271.89</v>
      </c>
      <c r="H3" s="142">
        <v>0</v>
      </c>
      <c r="I3" s="142">
        <v>0</v>
      </c>
      <c r="J3" s="142">
        <v>1008.11</v>
      </c>
      <c r="K3" s="142" t="s">
        <v>220</v>
      </c>
      <c r="L3" s="142">
        <v>57.21</v>
      </c>
      <c r="M3" s="142">
        <v>1476514800</v>
      </c>
      <c r="N3" s="142">
        <v>9.4</v>
      </c>
      <c r="O3" s="142">
        <v>227</v>
      </c>
      <c r="P3" s="142">
        <v>4.01</v>
      </c>
      <c r="Q3"/>
    </row>
    <row r="4" spans="1:17" x14ac:dyDescent="0.25">
      <c r="A4" s="142">
        <v>55.83</v>
      </c>
      <c r="B4" s="142">
        <v>0.33</v>
      </c>
      <c r="C4" s="142">
        <v>28.01</v>
      </c>
      <c r="D4" s="8">
        <v>42658.083333333336</v>
      </c>
      <c r="E4" s="142">
        <v>0.34</v>
      </c>
      <c r="F4" s="142" t="s">
        <v>221</v>
      </c>
      <c r="G4" s="142">
        <v>272.20999999999998</v>
      </c>
      <c r="H4" s="142">
        <v>0</v>
      </c>
      <c r="I4" s="142">
        <v>0</v>
      </c>
      <c r="J4" s="142">
        <v>1008.26</v>
      </c>
      <c r="K4" s="142" t="s">
        <v>220</v>
      </c>
      <c r="L4" s="142">
        <v>55.83</v>
      </c>
      <c r="M4" s="142">
        <v>1476518400</v>
      </c>
      <c r="N4" s="142">
        <v>9.39</v>
      </c>
      <c r="O4" s="142">
        <v>228</v>
      </c>
      <c r="P4" s="142">
        <v>4.1399999999999997</v>
      </c>
      <c r="Q4"/>
    </row>
    <row r="5" spans="1:17" x14ac:dyDescent="0.25">
      <c r="A5" s="142">
        <v>53.84</v>
      </c>
      <c r="B5" s="142">
        <v>0.21</v>
      </c>
      <c r="C5" s="142">
        <v>27.33</v>
      </c>
      <c r="D5" s="8">
        <v>42658.125</v>
      </c>
      <c r="E5" s="142">
        <v>0.36</v>
      </c>
      <c r="F5" s="142" t="s">
        <v>300</v>
      </c>
      <c r="G5" s="142">
        <v>272.52</v>
      </c>
      <c r="H5" s="142">
        <v>0</v>
      </c>
      <c r="I5" s="142">
        <v>0</v>
      </c>
      <c r="J5" s="142">
        <v>1008.45</v>
      </c>
      <c r="K5" s="142" t="s">
        <v>301</v>
      </c>
      <c r="L5" s="142">
        <v>53.84</v>
      </c>
      <c r="M5" s="142">
        <v>1476522000</v>
      </c>
      <c r="N5" s="142">
        <v>9.18</v>
      </c>
      <c r="O5" s="142">
        <v>224</v>
      </c>
      <c r="P5" s="142">
        <v>4.2699999999999996</v>
      </c>
      <c r="Q5"/>
    </row>
    <row r="6" spans="1:17" x14ac:dyDescent="0.25">
      <c r="A6" s="142">
        <v>52.86</v>
      </c>
      <c r="B6" s="142">
        <v>0.28000000000000003</v>
      </c>
      <c r="C6" s="142">
        <v>26.56</v>
      </c>
      <c r="D6" s="8">
        <v>42658.166666666664</v>
      </c>
      <c r="E6" s="142">
        <v>0.36</v>
      </c>
      <c r="F6" s="142" t="s">
        <v>221</v>
      </c>
      <c r="G6" s="142">
        <v>272.62</v>
      </c>
      <c r="H6" s="142">
        <v>0</v>
      </c>
      <c r="I6" s="142">
        <v>0</v>
      </c>
      <c r="J6" s="142">
        <v>1008.58</v>
      </c>
      <c r="K6" s="142" t="s">
        <v>220</v>
      </c>
      <c r="L6" s="142">
        <v>52.86</v>
      </c>
      <c r="M6" s="142">
        <v>1476525600</v>
      </c>
      <c r="N6" s="142">
        <v>9.1</v>
      </c>
      <c r="O6" s="142">
        <v>215</v>
      </c>
      <c r="P6" s="142">
        <v>4.1500000000000004</v>
      </c>
      <c r="Q6"/>
    </row>
    <row r="7" spans="1:17" x14ac:dyDescent="0.25">
      <c r="A7" s="142">
        <v>53.05</v>
      </c>
      <c r="B7" s="142">
        <v>0.4</v>
      </c>
      <c r="C7" s="142">
        <v>26.42</v>
      </c>
      <c r="D7" s="8">
        <v>42658.208333333336</v>
      </c>
      <c r="E7" s="142">
        <v>0.35</v>
      </c>
      <c r="F7" s="142" t="s">
        <v>221</v>
      </c>
      <c r="G7" s="142">
        <v>272.64999999999998</v>
      </c>
      <c r="H7" s="142">
        <v>0</v>
      </c>
      <c r="I7" s="142">
        <v>0</v>
      </c>
      <c r="J7" s="142">
        <v>1008.7</v>
      </c>
      <c r="K7" s="142" t="s">
        <v>220</v>
      </c>
      <c r="L7" s="142">
        <v>53.05</v>
      </c>
      <c r="M7" s="142">
        <v>1476529200</v>
      </c>
      <c r="N7" s="142">
        <v>9.4</v>
      </c>
      <c r="O7" s="142">
        <v>214</v>
      </c>
      <c r="P7" s="142">
        <v>4.3</v>
      </c>
      <c r="Q7"/>
    </row>
    <row r="8" spans="1:17" x14ac:dyDescent="0.25">
      <c r="A8" s="142">
        <v>54.59</v>
      </c>
      <c r="B8" s="142">
        <v>0.44</v>
      </c>
      <c r="C8" s="142">
        <v>27.38</v>
      </c>
      <c r="D8" s="8">
        <v>42658.25</v>
      </c>
      <c r="E8" s="142">
        <v>0.35</v>
      </c>
      <c r="F8" s="142" t="s">
        <v>221</v>
      </c>
      <c r="G8" s="142">
        <v>272.77999999999997</v>
      </c>
      <c r="H8" s="142">
        <v>0</v>
      </c>
      <c r="I8" s="142">
        <v>0</v>
      </c>
      <c r="J8" s="142">
        <v>1008.9</v>
      </c>
      <c r="K8" s="142" t="s">
        <v>220</v>
      </c>
      <c r="L8" s="142">
        <v>54.59</v>
      </c>
      <c r="M8" s="142">
        <v>1476532800</v>
      </c>
      <c r="N8" s="142">
        <v>9.02</v>
      </c>
      <c r="O8" s="142">
        <v>202</v>
      </c>
      <c r="P8" s="142">
        <v>3.91</v>
      </c>
      <c r="Q8"/>
    </row>
    <row r="9" spans="1:17" x14ac:dyDescent="0.25">
      <c r="A9" s="142">
        <v>52.67</v>
      </c>
      <c r="B9" s="142">
        <v>0.48</v>
      </c>
      <c r="C9" s="142">
        <v>25.63</v>
      </c>
      <c r="D9" s="8">
        <v>42658.291666666664</v>
      </c>
      <c r="E9" s="142">
        <v>0.35</v>
      </c>
      <c r="F9" s="142" t="s">
        <v>221</v>
      </c>
      <c r="G9" s="142">
        <v>273.13</v>
      </c>
      <c r="H9" s="142">
        <v>0</v>
      </c>
      <c r="I9" s="142">
        <v>0</v>
      </c>
      <c r="J9" s="142">
        <v>1009.29</v>
      </c>
      <c r="K9" s="142" t="s">
        <v>220</v>
      </c>
      <c r="L9" s="142">
        <v>52.67</v>
      </c>
      <c r="M9" s="142">
        <v>1476536400</v>
      </c>
      <c r="N9" s="142">
        <v>8.5299999999999994</v>
      </c>
      <c r="O9" s="142">
        <v>197</v>
      </c>
      <c r="P9" s="142">
        <v>3.83</v>
      </c>
      <c r="Q9"/>
    </row>
    <row r="10" spans="1:17" x14ac:dyDescent="0.25">
      <c r="A10" s="142">
        <v>54.63</v>
      </c>
      <c r="B10" s="142">
        <v>0.32</v>
      </c>
      <c r="C10" s="142">
        <v>26.89</v>
      </c>
      <c r="D10" s="8">
        <v>42658.333333333336</v>
      </c>
      <c r="E10" s="142">
        <v>0.34</v>
      </c>
      <c r="F10" s="142" t="s">
        <v>299</v>
      </c>
      <c r="G10" s="142">
        <v>273.58</v>
      </c>
      <c r="H10" s="142">
        <v>0</v>
      </c>
      <c r="I10" s="142">
        <v>0</v>
      </c>
      <c r="J10" s="142">
        <v>1009.75</v>
      </c>
      <c r="K10" s="142" t="s">
        <v>220</v>
      </c>
      <c r="L10" s="142">
        <v>54.63</v>
      </c>
      <c r="M10" s="142">
        <v>1476540000</v>
      </c>
      <c r="N10" s="142">
        <v>8.2100000000000009</v>
      </c>
      <c r="O10" s="142">
        <v>185</v>
      </c>
      <c r="P10" s="142">
        <v>3.16</v>
      </c>
      <c r="Q10"/>
    </row>
    <row r="11" spans="1:17" x14ac:dyDescent="0.25">
      <c r="A11" s="142">
        <v>59.36</v>
      </c>
      <c r="B11" s="142">
        <v>0.23</v>
      </c>
      <c r="C11" s="142">
        <v>29.04</v>
      </c>
      <c r="D11" s="8">
        <v>42658.375</v>
      </c>
      <c r="E11" s="142">
        <v>0.31</v>
      </c>
      <c r="F11" s="142" t="s">
        <v>626</v>
      </c>
      <c r="G11" s="142">
        <v>273.97000000000003</v>
      </c>
      <c r="H11" s="142">
        <v>0</v>
      </c>
      <c r="I11" s="142">
        <v>0</v>
      </c>
      <c r="J11" s="142">
        <v>1009.91</v>
      </c>
      <c r="K11" s="142" t="s">
        <v>301</v>
      </c>
      <c r="L11" s="142">
        <v>59.36</v>
      </c>
      <c r="M11" s="142">
        <v>1476543600</v>
      </c>
      <c r="N11" s="142">
        <v>8.09</v>
      </c>
      <c r="O11" s="142">
        <v>177</v>
      </c>
      <c r="P11" s="142">
        <v>2.69</v>
      </c>
      <c r="Q11"/>
    </row>
    <row r="12" spans="1:17" x14ac:dyDescent="0.25">
      <c r="A12" s="142">
        <v>66.98</v>
      </c>
      <c r="B12" s="142">
        <v>0.28999999999999998</v>
      </c>
      <c r="C12" s="142">
        <v>32.01</v>
      </c>
      <c r="D12" s="8">
        <v>42658.416666666664</v>
      </c>
      <c r="E12" s="142">
        <v>0.27</v>
      </c>
      <c r="F12" s="142" t="s">
        <v>299</v>
      </c>
      <c r="G12" s="142">
        <v>274.3</v>
      </c>
      <c r="H12" s="142">
        <v>0</v>
      </c>
      <c r="I12" s="142">
        <v>0</v>
      </c>
      <c r="J12" s="142">
        <v>1009.4</v>
      </c>
      <c r="K12" s="142" t="s">
        <v>220</v>
      </c>
      <c r="L12" s="142">
        <v>66.98</v>
      </c>
      <c r="M12" s="142">
        <v>1476547200</v>
      </c>
      <c r="N12" s="142">
        <v>8.06</v>
      </c>
      <c r="O12" s="142">
        <v>174</v>
      </c>
      <c r="P12" s="142">
        <v>2.2799999999999998</v>
      </c>
      <c r="Q12"/>
    </row>
    <row r="13" spans="1:17" x14ac:dyDescent="0.25">
      <c r="A13" s="142">
        <v>72.13</v>
      </c>
      <c r="B13" s="142">
        <v>0.45</v>
      </c>
      <c r="C13" s="142">
        <v>32.44</v>
      </c>
      <c r="D13" s="8">
        <v>42658.458333333336</v>
      </c>
      <c r="E13" s="142">
        <v>0.23</v>
      </c>
      <c r="F13" s="142" t="s">
        <v>299</v>
      </c>
      <c r="G13" s="142">
        <v>274.57</v>
      </c>
      <c r="H13" s="142">
        <v>0</v>
      </c>
      <c r="I13" s="142">
        <v>0</v>
      </c>
      <c r="J13" s="142">
        <v>1008.36</v>
      </c>
      <c r="K13" s="142" t="s">
        <v>220</v>
      </c>
      <c r="L13" s="142">
        <v>72.13</v>
      </c>
      <c r="M13" s="142">
        <v>1476550800</v>
      </c>
      <c r="N13" s="142">
        <v>8.08</v>
      </c>
      <c r="O13" s="142">
        <v>188</v>
      </c>
      <c r="P13" s="142">
        <v>2.0299999999999998</v>
      </c>
      <c r="Q13"/>
    </row>
    <row r="14" spans="1:17" x14ac:dyDescent="0.25">
      <c r="A14" s="142">
        <v>77.069999999999993</v>
      </c>
      <c r="B14" s="142">
        <v>0.5</v>
      </c>
      <c r="C14" s="142">
        <v>33.020000000000003</v>
      </c>
      <c r="D14" s="8">
        <v>42658.5</v>
      </c>
      <c r="E14" s="142">
        <v>0.2</v>
      </c>
      <c r="F14" s="142" t="s">
        <v>299</v>
      </c>
      <c r="G14" s="142">
        <v>274.62</v>
      </c>
      <c r="H14" s="142">
        <v>0</v>
      </c>
      <c r="I14" s="142">
        <v>0</v>
      </c>
      <c r="J14" s="142">
        <v>1007.41</v>
      </c>
      <c r="K14" s="142" t="s">
        <v>220</v>
      </c>
      <c r="L14" s="142">
        <v>77.069999999999993</v>
      </c>
      <c r="M14" s="142">
        <v>1476554400</v>
      </c>
      <c r="N14" s="142">
        <v>8.1300000000000008</v>
      </c>
      <c r="O14" s="142">
        <v>139</v>
      </c>
      <c r="P14" s="142">
        <v>0.79</v>
      </c>
      <c r="Q14"/>
    </row>
    <row r="15" spans="1:17" x14ac:dyDescent="0.25">
      <c r="A15" s="142">
        <v>79.12</v>
      </c>
      <c r="B15" s="142">
        <v>0.46</v>
      </c>
      <c r="C15" s="142">
        <v>31.24</v>
      </c>
      <c r="D15" s="8">
        <v>42658.541666666664</v>
      </c>
      <c r="E15" s="142">
        <v>0.17</v>
      </c>
      <c r="F15" s="142" t="s">
        <v>299</v>
      </c>
      <c r="G15" s="142">
        <v>274.22000000000003</v>
      </c>
      <c r="H15" s="142">
        <v>0</v>
      </c>
      <c r="I15" s="142">
        <v>0</v>
      </c>
      <c r="J15" s="142">
        <v>1006.56</v>
      </c>
      <c r="K15" s="142" t="s">
        <v>220</v>
      </c>
      <c r="L15" s="142">
        <v>79.12</v>
      </c>
      <c r="M15" s="142">
        <v>1476558000</v>
      </c>
      <c r="N15" s="142">
        <v>8.17</v>
      </c>
      <c r="O15" s="142">
        <v>122</v>
      </c>
      <c r="P15" s="142">
        <v>1.04</v>
      </c>
      <c r="Q15"/>
    </row>
    <row r="16" spans="1:17" x14ac:dyDescent="0.25">
      <c r="A16" s="142">
        <v>79.94</v>
      </c>
      <c r="B16" s="142">
        <v>0.33</v>
      </c>
      <c r="C16" s="142">
        <v>29.13</v>
      </c>
      <c r="D16" s="8">
        <v>42658.583333333336</v>
      </c>
      <c r="E16" s="142">
        <v>0.16</v>
      </c>
      <c r="F16" s="142" t="s">
        <v>299</v>
      </c>
      <c r="G16" s="142">
        <v>273.60000000000002</v>
      </c>
      <c r="H16" s="142">
        <v>0</v>
      </c>
      <c r="I16" s="142">
        <v>0</v>
      </c>
      <c r="J16" s="142">
        <v>1005.8</v>
      </c>
      <c r="K16" s="142" t="s">
        <v>220</v>
      </c>
      <c r="L16" s="142">
        <v>79.94</v>
      </c>
      <c r="M16" s="142">
        <v>1476561600</v>
      </c>
      <c r="N16" s="142">
        <v>8.19</v>
      </c>
      <c r="O16" s="142">
        <v>76</v>
      </c>
      <c r="P16" s="142">
        <v>0.82</v>
      </c>
      <c r="Q16"/>
    </row>
    <row r="17" spans="1:17" x14ac:dyDescent="0.25">
      <c r="A17" s="142">
        <v>78.8</v>
      </c>
      <c r="B17" s="142">
        <v>0.27</v>
      </c>
      <c r="C17" s="142">
        <v>28.81</v>
      </c>
      <c r="D17" s="8">
        <v>42658.625</v>
      </c>
      <c r="E17" s="142">
        <v>0.15</v>
      </c>
      <c r="F17" s="142" t="s">
        <v>299</v>
      </c>
      <c r="G17" s="142">
        <v>273.23</v>
      </c>
      <c r="H17" s="142">
        <v>0</v>
      </c>
      <c r="I17" s="142">
        <v>0</v>
      </c>
      <c r="J17" s="142">
        <v>1005.23</v>
      </c>
      <c r="K17" s="142" t="s">
        <v>220</v>
      </c>
      <c r="L17" s="142">
        <v>80.709999999999994</v>
      </c>
      <c r="M17" s="142">
        <v>1476565200</v>
      </c>
      <c r="N17" s="142">
        <v>8.2200000000000006</v>
      </c>
      <c r="O17" s="142">
        <v>82</v>
      </c>
      <c r="P17" s="142">
        <v>1.2</v>
      </c>
      <c r="Q17"/>
    </row>
    <row r="18" spans="1:17" x14ac:dyDescent="0.25">
      <c r="A18" s="142">
        <v>79.900000000000006</v>
      </c>
      <c r="B18" s="142">
        <v>0.28000000000000003</v>
      </c>
      <c r="C18" s="142">
        <v>30.15</v>
      </c>
      <c r="D18" s="8">
        <v>42658.666666666664</v>
      </c>
      <c r="E18" s="142">
        <v>0.16</v>
      </c>
      <c r="F18" s="142" t="s">
        <v>299</v>
      </c>
      <c r="G18" s="142">
        <v>273.32</v>
      </c>
      <c r="H18" s="142">
        <v>0</v>
      </c>
      <c r="I18" s="142">
        <v>0</v>
      </c>
      <c r="J18" s="142">
        <v>1005.28</v>
      </c>
      <c r="K18" s="142" t="s">
        <v>220</v>
      </c>
      <c r="L18" s="142">
        <v>79.900000000000006</v>
      </c>
      <c r="M18" s="142">
        <v>1476568800</v>
      </c>
      <c r="N18" s="142">
        <v>8.26</v>
      </c>
      <c r="O18" s="142">
        <v>64</v>
      </c>
      <c r="P18" s="142">
        <v>2.25</v>
      </c>
      <c r="Q18"/>
    </row>
    <row r="19" spans="1:17" x14ac:dyDescent="0.25">
      <c r="A19" s="142">
        <v>78.239999999999995</v>
      </c>
      <c r="B19" s="142">
        <v>0.34</v>
      </c>
      <c r="C19" s="142">
        <v>30.25</v>
      </c>
      <c r="D19" s="8">
        <v>42658.708333333336</v>
      </c>
      <c r="E19" s="142">
        <v>0.17</v>
      </c>
      <c r="F19" s="142" t="s">
        <v>299</v>
      </c>
      <c r="G19" s="142">
        <v>273.66000000000003</v>
      </c>
      <c r="H19" s="142">
        <v>0</v>
      </c>
      <c r="I19" s="142">
        <v>0</v>
      </c>
      <c r="J19" s="142">
        <v>1005.68</v>
      </c>
      <c r="K19" s="142" t="s">
        <v>220</v>
      </c>
      <c r="L19" s="142">
        <v>78.239999999999995</v>
      </c>
      <c r="M19" s="142">
        <v>1476572400</v>
      </c>
      <c r="N19" s="142">
        <v>9.33</v>
      </c>
      <c r="O19" s="142">
        <v>55</v>
      </c>
      <c r="P19" s="142">
        <v>3.14</v>
      </c>
      <c r="Q19"/>
    </row>
    <row r="20" spans="1:17" x14ac:dyDescent="0.25">
      <c r="A20" s="142">
        <v>73.16</v>
      </c>
      <c r="B20" s="142">
        <v>0.37</v>
      </c>
      <c r="C20" s="142">
        <v>29.61</v>
      </c>
      <c r="D20" s="8">
        <v>42658.75</v>
      </c>
      <c r="E20" s="142">
        <v>0.2</v>
      </c>
      <c r="F20" s="142" t="s">
        <v>299</v>
      </c>
      <c r="G20" s="142">
        <v>274.12</v>
      </c>
      <c r="H20" s="142">
        <v>0</v>
      </c>
      <c r="I20" s="142">
        <v>0</v>
      </c>
      <c r="J20" s="142">
        <v>1005.83</v>
      </c>
      <c r="K20" s="142" t="s">
        <v>220</v>
      </c>
      <c r="L20" s="142">
        <v>73.16</v>
      </c>
      <c r="M20" s="142">
        <v>1476576000</v>
      </c>
      <c r="N20" s="142">
        <v>9.41</v>
      </c>
      <c r="O20" s="142">
        <v>53</v>
      </c>
      <c r="P20" s="142">
        <v>3.09</v>
      </c>
      <c r="Q20"/>
    </row>
    <row r="21" spans="1:17" x14ac:dyDescent="0.25">
      <c r="A21" s="142">
        <v>68.8</v>
      </c>
      <c r="B21" s="142">
        <v>0.18</v>
      </c>
      <c r="C21" s="142">
        <v>30.63</v>
      </c>
      <c r="D21" s="8">
        <v>42658.791666666664</v>
      </c>
      <c r="E21" s="142">
        <v>0.24</v>
      </c>
      <c r="F21" s="142" t="s">
        <v>300</v>
      </c>
      <c r="G21" s="142">
        <v>274.76</v>
      </c>
      <c r="H21" s="142">
        <v>0</v>
      </c>
      <c r="I21" s="142">
        <v>0</v>
      </c>
      <c r="J21" s="142">
        <v>1006.07</v>
      </c>
      <c r="K21" s="142" t="s">
        <v>301</v>
      </c>
      <c r="L21" s="142">
        <v>68.8</v>
      </c>
      <c r="M21" s="142">
        <v>1476579600</v>
      </c>
      <c r="N21" s="142">
        <v>9.5299999999999994</v>
      </c>
      <c r="O21" s="142">
        <v>48</v>
      </c>
      <c r="P21" s="142">
        <v>1.73</v>
      </c>
      <c r="Q21"/>
    </row>
    <row r="22" spans="1:17" x14ac:dyDescent="0.25">
      <c r="A22" s="142">
        <v>64.91</v>
      </c>
      <c r="B22" s="142">
        <v>0.12</v>
      </c>
      <c r="C22" s="142">
        <v>31.17</v>
      </c>
      <c r="D22" s="8">
        <v>42658.833333333336</v>
      </c>
      <c r="E22" s="142">
        <v>0.28000000000000003</v>
      </c>
      <c r="F22" s="142" t="s">
        <v>300</v>
      </c>
      <c r="G22" s="142">
        <v>275.52</v>
      </c>
      <c r="H22" s="142">
        <v>0</v>
      </c>
      <c r="I22" s="142">
        <v>0</v>
      </c>
      <c r="J22" s="142">
        <v>1007.07</v>
      </c>
      <c r="K22" s="142" t="s">
        <v>301</v>
      </c>
      <c r="L22" s="142">
        <v>64.91</v>
      </c>
      <c r="M22" s="142">
        <v>1476583200</v>
      </c>
      <c r="N22" s="142">
        <v>9.66</v>
      </c>
      <c r="O22" s="142">
        <v>282</v>
      </c>
      <c r="P22" s="142">
        <v>1.1100000000000001</v>
      </c>
      <c r="Q22"/>
    </row>
    <row r="23" spans="1:17" x14ac:dyDescent="0.25">
      <c r="A23" s="142">
        <v>61.08</v>
      </c>
      <c r="B23" s="142">
        <v>7.0000000000000007E-2</v>
      </c>
      <c r="C23" s="142">
        <v>31.12</v>
      </c>
      <c r="D23" s="8">
        <v>42658.875</v>
      </c>
      <c r="E23" s="142">
        <v>0.32</v>
      </c>
      <c r="F23" s="142" t="s">
        <v>300</v>
      </c>
      <c r="G23" s="142">
        <v>276.07</v>
      </c>
      <c r="H23" s="142">
        <v>0</v>
      </c>
      <c r="I23" s="142">
        <v>0</v>
      </c>
      <c r="J23" s="142">
        <v>1008.02</v>
      </c>
      <c r="K23" s="142" t="s">
        <v>301</v>
      </c>
      <c r="L23" s="142">
        <v>61.08</v>
      </c>
      <c r="M23" s="142">
        <v>1476586800</v>
      </c>
      <c r="N23" s="142">
        <v>9.7899999999999991</v>
      </c>
      <c r="O23" s="142">
        <v>242</v>
      </c>
      <c r="P23" s="142">
        <v>4.17</v>
      </c>
      <c r="Q23"/>
    </row>
    <row r="24" spans="1:17" x14ac:dyDescent="0.25">
      <c r="A24" s="142">
        <v>58.25</v>
      </c>
      <c r="B24" s="142">
        <v>0.08</v>
      </c>
      <c r="C24" s="142">
        <v>29.51</v>
      </c>
      <c r="D24" s="8">
        <v>42658.916666666664</v>
      </c>
      <c r="E24" s="142">
        <v>0.33</v>
      </c>
      <c r="F24" s="142" t="s">
        <v>300</v>
      </c>
      <c r="G24" s="142">
        <v>276.31</v>
      </c>
      <c r="H24" s="142">
        <v>0</v>
      </c>
      <c r="I24" s="142">
        <v>0</v>
      </c>
      <c r="J24" s="142">
        <v>1008.27</v>
      </c>
      <c r="K24" s="142" t="s">
        <v>301</v>
      </c>
      <c r="L24" s="142">
        <v>58.25</v>
      </c>
      <c r="M24" s="142">
        <v>1476590400</v>
      </c>
      <c r="N24" s="142">
        <v>9.74</v>
      </c>
      <c r="O24" s="142">
        <v>245</v>
      </c>
      <c r="P24" s="142">
        <v>3.29</v>
      </c>
      <c r="Q24"/>
    </row>
    <row r="25" spans="1:17" x14ac:dyDescent="0.25">
      <c r="A25" s="142">
        <v>55.35</v>
      </c>
      <c r="B25" s="142">
        <v>0.11</v>
      </c>
      <c r="C25" s="142">
        <v>28.27</v>
      </c>
      <c r="D25" s="8">
        <v>42658.958333333336</v>
      </c>
      <c r="E25" s="142">
        <v>0.35</v>
      </c>
      <c r="F25" s="142" t="s">
        <v>300</v>
      </c>
      <c r="G25" s="142">
        <v>276.35000000000002</v>
      </c>
      <c r="H25" s="142">
        <v>0</v>
      </c>
      <c r="I25" s="142">
        <v>0</v>
      </c>
      <c r="J25" s="142">
        <v>1008.12</v>
      </c>
      <c r="K25" s="142" t="s">
        <v>301</v>
      </c>
      <c r="L25" s="142">
        <v>55.35</v>
      </c>
      <c r="M25" s="142">
        <v>1476594000</v>
      </c>
      <c r="N25" s="142">
        <v>9.7100000000000009</v>
      </c>
      <c r="O25" s="142">
        <v>228</v>
      </c>
      <c r="P25" s="142">
        <v>2.83</v>
      </c>
      <c r="Q25"/>
    </row>
    <row r="26" spans="1:17" x14ac:dyDescent="0.25">
      <c r="A26" s="142">
        <v>53.4</v>
      </c>
      <c r="B26" s="142">
        <v>0.12</v>
      </c>
      <c r="C26" s="142">
        <v>27.5</v>
      </c>
      <c r="D26" s="8">
        <v>42659</v>
      </c>
      <c r="E26" s="142">
        <v>0.37</v>
      </c>
      <c r="F26" s="142" t="s">
        <v>300</v>
      </c>
      <c r="G26" s="142">
        <v>276.12</v>
      </c>
      <c r="H26" s="142">
        <v>0</v>
      </c>
      <c r="I26" s="142">
        <v>0</v>
      </c>
      <c r="J26" s="142">
        <v>1007.94</v>
      </c>
      <c r="K26" s="142" t="s">
        <v>301</v>
      </c>
      <c r="L26" s="142">
        <v>53.4</v>
      </c>
      <c r="M26" s="142">
        <v>1476597600</v>
      </c>
      <c r="N26" s="142">
        <v>9.75</v>
      </c>
      <c r="O26" s="142">
        <v>232</v>
      </c>
      <c r="P26" s="142">
        <v>3.16</v>
      </c>
      <c r="Q26"/>
    </row>
    <row r="27" spans="1:17" x14ac:dyDescent="0.25">
      <c r="A27" s="142">
        <v>52.48</v>
      </c>
      <c r="B27" s="142">
        <v>0.06</v>
      </c>
      <c r="C27" s="142">
        <v>27.34</v>
      </c>
      <c r="D27" s="8">
        <v>42659.041666666664</v>
      </c>
      <c r="E27" s="142">
        <v>0.38</v>
      </c>
      <c r="F27" s="142" t="s">
        <v>300</v>
      </c>
      <c r="G27" s="142">
        <v>275.32</v>
      </c>
      <c r="H27" s="142">
        <v>0</v>
      </c>
      <c r="I27" s="142">
        <v>0</v>
      </c>
      <c r="J27" s="142">
        <v>1007.96</v>
      </c>
      <c r="K27" s="142" t="s">
        <v>301</v>
      </c>
      <c r="L27" s="142">
        <v>52.48</v>
      </c>
      <c r="M27" s="142">
        <v>1476601200</v>
      </c>
      <c r="N27" s="142">
        <v>9.77</v>
      </c>
      <c r="O27" s="142">
        <v>234</v>
      </c>
      <c r="P27" s="142">
        <v>3.39</v>
      </c>
      <c r="Q27"/>
    </row>
    <row r="28" spans="1:17" x14ac:dyDescent="0.25">
      <c r="A28" s="142">
        <v>49.05</v>
      </c>
      <c r="B28" s="142">
        <v>0.1</v>
      </c>
      <c r="C28" s="142">
        <v>25.93</v>
      </c>
      <c r="D28" s="8">
        <v>42659.083333333336</v>
      </c>
      <c r="E28" s="142">
        <v>0.39</v>
      </c>
      <c r="F28" s="142" t="s">
        <v>300</v>
      </c>
      <c r="G28" s="142">
        <v>274.52</v>
      </c>
      <c r="H28" s="142">
        <v>0</v>
      </c>
      <c r="I28" s="142">
        <v>0</v>
      </c>
      <c r="J28" s="142">
        <v>1007.93</v>
      </c>
      <c r="K28" s="142" t="s">
        <v>301</v>
      </c>
      <c r="L28" s="142">
        <v>49.81</v>
      </c>
      <c r="M28" s="142">
        <v>1476604800</v>
      </c>
      <c r="N28" s="142">
        <v>9.76</v>
      </c>
      <c r="O28" s="142">
        <v>223</v>
      </c>
      <c r="P28" s="142">
        <v>3.48</v>
      </c>
      <c r="Q28"/>
    </row>
    <row r="29" spans="1:17" x14ac:dyDescent="0.25">
      <c r="A29" s="142">
        <v>48.24</v>
      </c>
      <c r="B29" s="142">
        <v>0.3</v>
      </c>
      <c r="C29" s="142">
        <v>25.21</v>
      </c>
      <c r="D29" s="8">
        <v>42659.125</v>
      </c>
      <c r="E29" s="142">
        <v>0.39</v>
      </c>
      <c r="F29" s="142" t="s">
        <v>221</v>
      </c>
      <c r="G29" s="142">
        <v>273.72000000000003</v>
      </c>
      <c r="H29" s="142">
        <v>0</v>
      </c>
      <c r="I29" s="142">
        <v>0</v>
      </c>
      <c r="J29" s="142">
        <v>1007.87</v>
      </c>
      <c r="K29" s="142" t="s">
        <v>220</v>
      </c>
      <c r="L29" s="142">
        <v>49.26</v>
      </c>
      <c r="M29" s="142">
        <v>1476608400</v>
      </c>
      <c r="N29" s="142">
        <v>9.44</v>
      </c>
      <c r="O29" s="142">
        <v>209</v>
      </c>
      <c r="P29" s="142">
        <v>3.7</v>
      </c>
      <c r="Q29"/>
    </row>
    <row r="31" spans="1:17" x14ac:dyDescent="0.25">
      <c r="A31" s="136" t="s">
        <v>302</v>
      </c>
    </row>
    <row r="33" spans="1:1" x14ac:dyDescent="0.25">
      <c r="A33" s="136" t="s">
        <v>218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D12" sqref="D12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59" t="s">
        <v>100</v>
      </c>
      <c r="D1" s="160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42658</v>
      </c>
      <c r="B2" s="4"/>
      <c r="C2" s="161">
        <v>50</v>
      </c>
      <c r="D2" s="162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59" t="s">
        <v>100</v>
      </c>
      <c r="D4" s="160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80" t="s">
        <v>337</v>
      </c>
      <c r="J17" s="33"/>
      <c r="K17" s="34"/>
      <c r="L17" s="34"/>
    </row>
    <row r="18" spans="3:13" x14ac:dyDescent="0.25">
      <c r="C18" t="s">
        <v>738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739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740</v>
      </c>
      <c r="J20" t="s">
        <v>87</v>
      </c>
      <c r="M20" s="68" t="s">
        <v>191</v>
      </c>
    </row>
    <row r="21" spans="3:13" x14ac:dyDescent="0.25">
      <c r="C21" t="s">
        <v>741</v>
      </c>
      <c r="J21" s="21" t="s">
        <v>90</v>
      </c>
      <c r="K21" s="21" t="s">
        <v>91</v>
      </c>
      <c r="M21" s="68" t="s">
        <v>193</v>
      </c>
    </row>
    <row r="22" spans="3:13" x14ac:dyDescent="0.25">
      <c r="C22" t="s">
        <v>742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743</v>
      </c>
      <c r="J23" s="29" t="s">
        <v>95</v>
      </c>
      <c r="K23" s="21"/>
      <c r="M23" s="69">
        <v>-6</v>
      </c>
    </row>
    <row r="24" spans="3:13" x14ac:dyDescent="0.25">
      <c r="C24" t="s">
        <v>744</v>
      </c>
      <c r="J24" s="21" t="s">
        <v>109</v>
      </c>
      <c r="K24" s="21"/>
      <c r="M24" s="68" t="s">
        <v>111</v>
      </c>
    </row>
    <row r="25" spans="3:13" x14ac:dyDescent="0.25">
      <c r="C25" t="s">
        <v>745</v>
      </c>
      <c r="J25" t="s">
        <v>152</v>
      </c>
      <c r="M25" s="68" t="b">
        <v>1</v>
      </c>
    </row>
    <row r="26" spans="3:13" x14ac:dyDescent="0.25">
      <c r="J26" t="s">
        <v>153</v>
      </c>
      <c r="M26" s="68" t="str">
        <f>"C:\Users\stu\Documents\GitHub\eaglep3-reporting\EC\"&amp;TEXT(A2,"yyyy-mm-dd")&amp;"-refined-times.txt"</f>
        <v>C:\Users\stu\Documents\GitHub\eaglep3-reporting\EC\2016-10-15-refined-times.txt</v>
      </c>
    </row>
    <row r="27" spans="3:13" x14ac:dyDescent="0.25">
      <c r="J27" t="s">
        <v>232</v>
      </c>
      <c r="M27" s="68" t="str">
        <f>"C:\Users\stu\Documents\GitHub\eaglep3-reporting\EC\"&amp;TEXT(A2,"YYYY-MM-DD")&amp;"-Enforcements.txt"</f>
        <v>C:\Users\stu\Documents\GitHub\eaglep3-reporting\EC\2016-10-15-Enforcements.txt</v>
      </c>
    </row>
    <row r="28" spans="3:13" x14ac:dyDescent="0.25">
      <c r="J28" t="s">
        <v>233</v>
      </c>
      <c r="M28" s="106" t="str">
        <f>"C:\Users\stu\Documents\GitHub\eaglep3-reporting\EC\"&amp;TEXT(A2,"YYYY-MM-DD")&amp;"-Runs-Refined.txt"</f>
        <v>C:\Users\stu\Documents\GitHub\eaglep3-reporting\EC\2016-10-15-Runs-Refined.txt</v>
      </c>
    </row>
    <row r="29" spans="3:13" x14ac:dyDescent="0.25">
      <c r="J29" t="s">
        <v>234</v>
      </c>
      <c r="M29" s="106" t="str">
        <f>"C:\Users\stu\Documents\GitHub\eaglep3-reporting\EC\"&amp;TEXT(A2,"YYYY-MM-DD")&amp;"-Trips.txt"</f>
        <v>C:\Users\stu\Documents\GitHub\eaglep3-reporting\EC\2016-10-15-Trips.txt</v>
      </c>
    </row>
    <row r="30" spans="3:13" x14ac:dyDescent="0.25">
      <c r="J30" t="s">
        <v>235</v>
      </c>
      <c r="M30" s="106" t="str">
        <f>"C:\Users\stu\Documents\GitHub\eaglep3-reporting\EC\"&amp;TEXT(A2,"YYYY-MM-DD")&amp;"-Weather.txt"</f>
        <v>C:\Users\stu\Documents\GitHub\eaglep3-reporting\EC\2016-10-15-Weather.txt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2016-10-18T17:46:54Z</dcterms:modified>
</cp:coreProperties>
</file>