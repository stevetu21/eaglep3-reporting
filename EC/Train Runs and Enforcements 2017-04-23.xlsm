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Enforcements!$A$6:$AC$66</definedName>
    <definedName name="_xlnm._FilterDatabase" localSheetId="2" hidden="1">'Missing Trips'!$A$2:$J$85</definedName>
    <definedName name="_xlnm._FilterDatabase" localSheetId="0" hidden="1">'Train Runs'!$A$12:$AG$261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Runs'!$A$12:$J$58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06" i="1" l="1"/>
  <c r="P204" i="1"/>
  <c r="P202" i="1"/>
  <c r="P200" i="1"/>
  <c r="P198" i="1"/>
  <c r="X163" i="1"/>
  <c r="X164" i="1"/>
  <c r="X165" i="1"/>
  <c r="X166" i="1"/>
  <c r="X167" i="1"/>
  <c r="X168" i="1"/>
  <c r="X169" i="1"/>
  <c r="X170" i="1"/>
  <c r="AN164" i="1"/>
  <c r="AM164" i="1"/>
  <c r="AH164" i="1"/>
  <c r="AF164" i="1"/>
  <c r="AE164" i="1"/>
  <c r="AD164" i="1"/>
  <c r="AG164" i="1" s="1"/>
  <c r="AC164" i="1"/>
  <c r="AB164" i="1"/>
  <c r="AA164" i="1"/>
  <c r="V164" i="1"/>
  <c r="T164" i="1"/>
  <c r="M164" i="1"/>
  <c r="L164" i="1"/>
  <c r="K164" i="1"/>
  <c r="K166" i="1"/>
  <c r="L166" i="1"/>
  <c r="M166" i="1"/>
  <c r="V166" i="1"/>
  <c r="AA166" i="1"/>
  <c r="AB166" i="1"/>
  <c r="AC166" i="1"/>
  <c r="AD166" i="1"/>
  <c r="T166" i="1" s="1"/>
  <c r="AE166" i="1"/>
  <c r="AF166" i="1"/>
  <c r="AH166" i="1"/>
  <c r="AM166" i="1"/>
  <c r="AN166" i="1"/>
  <c r="K167" i="1"/>
  <c r="L167" i="1"/>
  <c r="M167" i="1"/>
  <c r="V167" i="1"/>
  <c r="AA167" i="1"/>
  <c r="AB167" i="1"/>
  <c r="AC167" i="1"/>
  <c r="AD167" i="1"/>
  <c r="T167" i="1" s="1"/>
  <c r="AE167" i="1"/>
  <c r="AF167" i="1"/>
  <c r="AG167" i="1"/>
  <c r="AI167" i="1" s="1"/>
  <c r="AH167" i="1"/>
  <c r="AM167" i="1"/>
  <c r="AN167" i="1"/>
  <c r="K168" i="1"/>
  <c r="L168" i="1"/>
  <c r="M168" i="1"/>
  <c r="T168" i="1"/>
  <c r="V168" i="1"/>
  <c r="AA168" i="1"/>
  <c r="W168" i="1" s="1"/>
  <c r="AB168" i="1"/>
  <c r="AC168" i="1"/>
  <c r="AD168" i="1"/>
  <c r="AG168" i="1" s="1"/>
  <c r="AE168" i="1"/>
  <c r="AF168" i="1"/>
  <c r="AH168" i="1"/>
  <c r="AM168" i="1"/>
  <c r="AN168" i="1"/>
  <c r="K169" i="1"/>
  <c r="L169" i="1"/>
  <c r="M169" i="1"/>
  <c r="T169" i="1"/>
  <c r="V169" i="1"/>
  <c r="AA169" i="1"/>
  <c r="AB169" i="1"/>
  <c r="AC169" i="1"/>
  <c r="AD169" i="1"/>
  <c r="AE169" i="1"/>
  <c r="AF169" i="1"/>
  <c r="AG169" i="1"/>
  <c r="AH169" i="1"/>
  <c r="AM169" i="1"/>
  <c r="AN169" i="1"/>
  <c r="AN165" i="1"/>
  <c r="AM165" i="1"/>
  <c r="AH165" i="1"/>
  <c r="AF165" i="1"/>
  <c r="AE165" i="1"/>
  <c r="AD165" i="1"/>
  <c r="AG165" i="1" s="1"/>
  <c r="AC165" i="1"/>
  <c r="AB165" i="1"/>
  <c r="AA165" i="1"/>
  <c r="V165" i="1"/>
  <c r="M165" i="1"/>
  <c r="L165" i="1"/>
  <c r="K165" i="1"/>
  <c r="AI164" i="1" l="1"/>
  <c r="U164" i="1"/>
  <c r="S164" i="1" s="1"/>
  <c r="W164" i="1"/>
  <c r="W169" i="1"/>
  <c r="W167" i="1"/>
  <c r="U168" i="1"/>
  <c r="S168" i="1" s="1"/>
  <c r="AI168" i="1"/>
  <c r="U167" i="1"/>
  <c r="S167" i="1" s="1"/>
  <c r="U169" i="1"/>
  <c r="S169" i="1" s="1"/>
  <c r="AG166" i="1"/>
  <c r="AI169" i="1"/>
  <c r="AI165" i="1"/>
  <c r="W165" i="1"/>
  <c r="T165" i="1"/>
  <c r="U165" i="1" s="1"/>
  <c r="S165" i="1" s="1"/>
  <c r="K14" i="1"/>
  <c r="L14" i="1"/>
  <c r="M14" i="1"/>
  <c r="P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P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P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P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P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P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P20" i="1" s="1"/>
  <c r="V20" i="1"/>
  <c r="Y20" i="1"/>
  <c r="Z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P21" i="1" s="1"/>
  <c r="V21" i="1"/>
  <c r="Y21" i="1"/>
  <c r="Z21" i="1"/>
  <c r="AB21" i="1"/>
  <c r="AC21" i="1"/>
  <c r="AD21" i="1"/>
  <c r="AE21" i="1"/>
  <c r="AF21" i="1"/>
  <c r="AH21" i="1"/>
  <c r="AM21" i="1"/>
  <c r="AN21" i="1"/>
  <c r="K22" i="1"/>
  <c r="L22" i="1"/>
  <c r="M22" i="1"/>
  <c r="P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P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P24" i="1" s="1"/>
  <c r="V24" i="1"/>
  <c r="Y24" i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P25" i="1" s="1"/>
  <c r="V25" i="1"/>
  <c r="Y25" i="1"/>
  <c r="Z25" i="1"/>
  <c r="AB25" i="1"/>
  <c r="AC25" i="1"/>
  <c r="AD25" i="1"/>
  <c r="X25" i="1" s="1"/>
  <c r="AE25" i="1"/>
  <c r="AF25" i="1"/>
  <c r="AH25" i="1"/>
  <c r="AM25" i="1"/>
  <c r="AN25" i="1"/>
  <c r="K26" i="1"/>
  <c r="L26" i="1"/>
  <c r="M26" i="1"/>
  <c r="P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P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P28" i="1" s="1"/>
  <c r="V28" i="1"/>
  <c r="Y28" i="1"/>
  <c r="Z28" i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P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P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P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P32" i="1" s="1"/>
  <c r="V32" i="1"/>
  <c r="Y32" i="1"/>
  <c r="Z32" i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P33" i="1" s="1"/>
  <c r="V33" i="1"/>
  <c r="Y33" i="1"/>
  <c r="Z33" i="1"/>
  <c r="AB33" i="1"/>
  <c r="AC33" i="1"/>
  <c r="AD33" i="1"/>
  <c r="X33" i="1" s="1"/>
  <c r="AE33" i="1"/>
  <c r="AF33" i="1"/>
  <c r="AH33" i="1"/>
  <c r="AM33" i="1"/>
  <c r="AN33" i="1"/>
  <c r="K34" i="1"/>
  <c r="L34" i="1"/>
  <c r="M34" i="1"/>
  <c r="P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P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P36" i="1" s="1"/>
  <c r="V36" i="1"/>
  <c r="Y36" i="1"/>
  <c r="Z36" i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P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P38" i="1" s="1"/>
  <c r="V38" i="1"/>
  <c r="S19" i="3" s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V40" i="1"/>
  <c r="Y40" i="1"/>
  <c r="Z40" i="1"/>
  <c r="AB40" i="1"/>
  <c r="AC40" i="1"/>
  <c r="AD40" i="1"/>
  <c r="AG40" i="1" s="1"/>
  <c r="AE40" i="1"/>
  <c r="R16" i="3" s="1"/>
  <c r="AF40" i="1"/>
  <c r="AH40" i="1"/>
  <c r="AM40" i="1"/>
  <c r="AN40" i="1"/>
  <c r="K41" i="1"/>
  <c r="L41" i="1"/>
  <c r="M41" i="1"/>
  <c r="P41" i="1" s="1"/>
  <c r="V41" i="1"/>
  <c r="X41" i="1"/>
  <c r="Y41" i="1"/>
  <c r="Z41" i="1"/>
  <c r="AB41" i="1"/>
  <c r="AC41" i="1"/>
  <c r="AD41" i="1"/>
  <c r="T41" i="1" s="1"/>
  <c r="AE41" i="1"/>
  <c r="AF41" i="1"/>
  <c r="AG41" i="1"/>
  <c r="AH41" i="1"/>
  <c r="AM41" i="1"/>
  <c r="AN41" i="1"/>
  <c r="K42" i="1"/>
  <c r="L42" i="1"/>
  <c r="M42" i="1"/>
  <c r="P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V43" i="1"/>
  <c r="Y43" i="1"/>
  <c r="Z43" i="1"/>
  <c r="AA43" i="1" s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P44" i="1" s="1"/>
  <c r="T44" i="1"/>
  <c r="V44" i="1"/>
  <c r="X44" i="1"/>
  <c r="Y44" i="1"/>
  <c r="Z44" i="1"/>
  <c r="AA44" i="1" s="1"/>
  <c r="W44" i="1" s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P45" i="1" s="1"/>
  <c r="T45" i="1"/>
  <c r="V45" i="1"/>
  <c r="X45" i="1"/>
  <c r="Y45" i="1"/>
  <c r="Z45" i="1"/>
  <c r="AB45" i="1"/>
  <c r="AC45" i="1"/>
  <c r="AD45" i="1"/>
  <c r="AE45" i="1"/>
  <c r="AF45" i="1"/>
  <c r="AG45" i="1"/>
  <c r="AH45" i="1"/>
  <c r="AI45" i="1"/>
  <c r="AM45" i="1"/>
  <c r="AN45" i="1"/>
  <c r="K46" i="1"/>
  <c r="L46" i="1"/>
  <c r="M46" i="1"/>
  <c r="P46" i="1" s="1"/>
  <c r="V46" i="1"/>
  <c r="Y46" i="1"/>
  <c r="Z46" i="1"/>
  <c r="AA46" i="1" s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P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V48" i="1"/>
  <c r="Y48" i="1"/>
  <c r="Z48" i="1"/>
  <c r="AB48" i="1"/>
  <c r="AC48" i="1"/>
  <c r="AD48" i="1"/>
  <c r="AG48" i="1" s="1"/>
  <c r="AE48" i="1"/>
  <c r="AF48" i="1"/>
  <c r="AH48" i="1"/>
  <c r="AM48" i="1"/>
  <c r="AN48" i="1"/>
  <c r="K49" i="1"/>
  <c r="L49" i="1"/>
  <c r="M49" i="1"/>
  <c r="P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V50" i="1"/>
  <c r="Y50" i="1"/>
  <c r="Z50" i="1"/>
  <c r="AB50" i="1"/>
  <c r="AC50" i="1"/>
  <c r="AD50" i="1"/>
  <c r="AG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P52" i="1" s="1"/>
  <c r="V52" i="1"/>
  <c r="Y52" i="1"/>
  <c r="Z52" i="1"/>
  <c r="AB52" i="1"/>
  <c r="AC52" i="1"/>
  <c r="AD52" i="1"/>
  <c r="AG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X53" i="1" s="1"/>
  <c r="AE53" i="1"/>
  <c r="AF53" i="1"/>
  <c r="AH53" i="1"/>
  <c r="AM53" i="1"/>
  <c r="AN53" i="1"/>
  <c r="K54" i="1"/>
  <c r="L54" i="1"/>
  <c r="M54" i="1"/>
  <c r="V54" i="1"/>
  <c r="Y54" i="1"/>
  <c r="Z54" i="1"/>
  <c r="AB54" i="1"/>
  <c r="AC54" i="1"/>
  <c r="AD54" i="1"/>
  <c r="AG54" i="1" s="1"/>
  <c r="AE54" i="1"/>
  <c r="AF54" i="1"/>
  <c r="AH54" i="1"/>
  <c r="AM54" i="1"/>
  <c r="AN54" i="1"/>
  <c r="K55" i="1"/>
  <c r="L55" i="1"/>
  <c r="M55" i="1"/>
  <c r="P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A56" i="1" s="1"/>
  <c r="AB56" i="1"/>
  <c r="AC56" i="1"/>
  <c r="AD56" i="1"/>
  <c r="AG56" i="1" s="1"/>
  <c r="AE56" i="1"/>
  <c r="AF56" i="1"/>
  <c r="AH56" i="1"/>
  <c r="AM56" i="1"/>
  <c r="AN56" i="1"/>
  <c r="K57" i="1"/>
  <c r="L57" i="1"/>
  <c r="M57" i="1"/>
  <c r="P57" i="1" s="1"/>
  <c r="V57" i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V58" i="1"/>
  <c r="Y58" i="1"/>
  <c r="Z58" i="1"/>
  <c r="AB58" i="1"/>
  <c r="AC58" i="1"/>
  <c r="AD58" i="1"/>
  <c r="AG58" i="1" s="1"/>
  <c r="AE58" i="1"/>
  <c r="AF58" i="1"/>
  <c r="AH58" i="1"/>
  <c r="AM58" i="1"/>
  <c r="AN58" i="1"/>
  <c r="K59" i="1"/>
  <c r="L59" i="1"/>
  <c r="M59" i="1"/>
  <c r="N59" i="1" s="1"/>
  <c r="V59" i="1"/>
  <c r="S9" i="3" s="1"/>
  <c r="Y59" i="1"/>
  <c r="Z59" i="1"/>
  <c r="AB59" i="1"/>
  <c r="AC59" i="1"/>
  <c r="AD59" i="1"/>
  <c r="T59" i="1" s="1"/>
  <c r="AE59" i="1"/>
  <c r="R9" i="3" s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G62" i="1" s="1"/>
  <c r="AE62" i="1"/>
  <c r="AF62" i="1"/>
  <c r="AH62" i="1"/>
  <c r="AM62" i="1"/>
  <c r="AN62" i="1"/>
  <c r="K63" i="1"/>
  <c r="L63" i="1"/>
  <c r="M63" i="1"/>
  <c r="P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K66" i="1"/>
  <c r="L66" i="1"/>
  <c r="M66" i="1"/>
  <c r="N66" i="1" s="1"/>
  <c r="V66" i="1"/>
  <c r="S11" i="3" s="1"/>
  <c r="Y66" i="1"/>
  <c r="Z66" i="1"/>
  <c r="AB66" i="1"/>
  <c r="AC66" i="1"/>
  <c r="AD66" i="1"/>
  <c r="AG66" i="1" s="1"/>
  <c r="AE66" i="1"/>
  <c r="AF66" i="1"/>
  <c r="AH66" i="1"/>
  <c r="AM66" i="1"/>
  <c r="AN66" i="1"/>
  <c r="K67" i="1"/>
  <c r="L67" i="1"/>
  <c r="M67" i="1"/>
  <c r="N67" i="1" s="1"/>
  <c r="V67" i="1"/>
  <c r="S20" i="3" s="1"/>
  <c r="Y67" i="1"/>
  <c r="Z67" i="1"/>
  <c r="AB67" i="1"/>
  <c r="AC67" i="1"/>
  <c r="AD67" i="1"/>
  <c r="T67" i="1" s="1"/>
  <c r="AE67" i="1"/>
  <c r="R20" i="3" s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G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G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X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AH87" i="1"/>
  <c r="AM87" i="1"/>
  <c r="AN87" i="1"/>
  <c r="K88" i="1"/>
  <c r="L88" i="1"/>
  <c r="M88" i="1"/>
  <c r="N88" i="1" s="1"/>
  <c r="V88" i="1"/>
  <c r="S14" i="3" s="1"/>
  <c r="Y88" i="1"/>
  <c r="AA88" i="1" s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A89" i="1" s="1"/>
  <c r="W89" i="1" s="1"/>
  <c r="AB89" i="1"/>
  <c r="AC89" i="1"/>
  <c r="AD89" i="1"/>
  <c r="AG89" i="1" s="1"/>
  <c r="AE89" i="1"/>
  <c r="AF89" i="1"/>
  <c r="AH89" i="1"/>
  <c r="AM89" i="1"/>
  <c r="AN89" i="1"/>
  <c r="K90" i="1"/>
  <c r="L90" i="1"/>
  <c r="M90" i="1"/>
  <c r="N90" i="1" s="1"/>
  <c r="T90" i="1"/>
  <c r="V90" i="1"/>
  <c r="S13" i="3" s="1"/>
  <c r="Y90" i="1"/>
  <c r="Z90" i="1"/>
  <c r="AB90" i="1"/>
  <c r="AC90" i="1"/>
  <c r="AD90" i="1"/>
  <c r="AG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AG94" i="1" s="1"/>
  <c r="AE94" i="1"/>
  <c r="AF94" i="1"/>
  <c r="AH94" i="1"/>
  <c r="AM94" i="1"/>
  <c r="AN94" i="1"/>
  <c r="K95" i="1"/>
  <c r="L95" i="1"/>
  <c r="M95" i="1"/>
  <c r="N95" i="1"/>
  <c r="V95" i="1"/>
  <c r="Y95" i="1"/>
  <c r="Z95" i="1"/>
  <c r="AB95" i="1"/>
  <c r="AC95" i="1"/>
  <c r="AD95" i="1"/>
  <c r="AG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AG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AG99" i="1" s="1"/>
  <c r="AE99" i="1"/>
  <c r="AF99" i="1"/>
  <c r="AH99" i="1"/>
  <c r="AM99" i="1"/>
  <c r="AN99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00" i="1"/>
  <c r="AM100" i="1"/>
  <c r="AN100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01" i="1"/>
  <c r="AM101" i="1"/>
  <c r="AN101" i="1"/>
  <c r="K172" i="1"/>
  <c r="L172" i="1"/>
  <c r="M172" i="1"/>
  <c r="N172" i="1" s="1"/>
  <c r="T172" i="1"/>
  <c r="V172" i="1"/>
  <c r="Y172" i="1"/>
  <c r="Z172" i="1"/>
  <c r="AB172" i="1"/>
  <c r="AC172" i="1"/>
  <c r="AD172" i="1"/>
  <c r="AE172" i="1"/>
  <c r="AF172" i="1"/>
  <c r="AH102" i="1"/>
  <c r="AM102" i="1"/>
  <c r="AN102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03" i="1"/>
  <c r="AM103" i="1"/>
  <c r="AN103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4" i="1"/>
  <c r="AM104" i="1"/>
  <c r="AN104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05" i="1"/>
  <c r="AM105" i="1"/>
  <c r="AN105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06" i="1"/>
  <c r="AM106" i="1"/>
  <c r="AN106" i="1"/>
  <c r="K176" i="1"/>
  <c r="L176" i="1"/>
  <c r="M176" i="1"/>
  <c r="N176" i="1" s="1"/>
  <c r="T176" i="1"/>
  <c r="V176" i="1"/>
  <c r="Y176" i="1"/>
  <c r="Z176" i="1"/>
  <c r="AB176" i="1"/>
  <c r="AC176" i="1"/>
  <c r="AD176" i="1"/>
  <c r="AG176" i="1" s="1"/>
  <c r="AE176" i="1"/>
  <c r="AF176" i="1"/>
  <c r="AH107" i="1"/>
  <c r="AM107" i="1"/>
  <c r="AN107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08" i="1"/>
  <c r="AM108" i="1"/>
  <c r="AN108" i="1"/>
  <c r="K178" i="1"/>
  <c r="L178" i="1"/>
  <c r="M178" i="1"/>
  <c r="N178" i="1" s="1"/>
  <c r="V178" i="1"/>
  <c r="S27" i="3" s="1"/>
  <c r="Y178" i="1"/>
  <c r="Z178" i="1"/>
  <c r="AB178" i="1"/>
  <c r="AC178" i="1"/>
  <c r="AD178" i="1"/>
  <c r="AG178" i="1" s="1"/>
  <c r="AE178" i="1"/>
  <c r="R27" i="3" s="1"/>
  <c r="AF178" i="1"/>
  <c r="AH109" i="1"/>
  <c r="AM109" i="1"/>
  <c r="AN109" i="1"/>
  <c r="K179" i="1"/>
  <c r="L179" i="1"/>
  <c r="M179" i="1"/>
  <c r="N179" i="1" s="1"/>
  <c r="T179" i="1"/>
  <c r="V179" i="1"/>
  <c r="Y179" i="1"/>
  <c r="Z179" i="1"/>
  <c r="AA179" i="1"/>
  <c r="AB179" i="1"/>
  <c r="AC179" i="1"/>
  <c r="AD179" i="1"/>
  <c r="AG179" i="1" s="1"/>
  <c r="AE179" i="1"/>
  <c r="AF179" i="1"/>
  <c r="AH110" i="1"/>
  <c r="AM110" i="1"/>
  <c r="AN110" i="1"/>
  <c r="K180" i="1"/>
  <c r="L180" i="1"/>
  <c r="M180" i="1"/>
  <c r="N180" i="1"/>
  <c r="V180" i="1"/>
  <c r="Y180" i="1"/>
  <c r="Z180" i="1"/>
  <c r="AB180" i="1"/>
  <c r="AC180" i="1"/>
  <c r="AD180" i="1"/>
  <c r="AG180" i="1" s="1"/>
  <c r="AE180" i="1"/>
  <c r="AF180" i="1"/>
  <c r="AH111" i="1"/>
  <c r="AM111" i="1"/>
  <c r="AN111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12" i="1"/>
  <c r="AM112" i="1"/>
  <c r="AN112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R23" i="3" s="1"/>
  <c r="AF182" i="1"/>
  <c r="AH113" i="1"/>
  <c r="AM113" i="1"/>
  <c r="AN113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114" i="1"/>
  <c r="AM114" i="1"/>
  <c r="AN114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AH115" i="1"/>
  <c r="AM115" i="1"/>
  <c r="AN115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116" i="1"/>
  <c r="AM116" i="1"/>
  <c r="AN116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117" i="1"/>
  <c r="AM117" i="1"/>
  <c r="AN117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R24" i="3" s="1"/>
  <c r="AF186" i="1"/>
  <c r="AG186" i="1"/>
  <c r="AH118" i="1"/>
  <c r="AM118" i="1"/>
  <c r="AN118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AH119" i="1"/>
  <c r="AM119" i="1"/>
  <c r="AN119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AH120" i="1"/>
  <c r="AM120" i="1"/>
  <c r="AN120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AH121" i="1"/>
  <c r="AM121" i="1"/>
  <c r="AN121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122" i="1"/>
  <c r="AM122" i="1"/>
  <c r="AN122" i="1"/>
  <c r="K191" i="1"/>
  <c r="L191" i="1"/>
  <c r="M191" i="1"/>
  <c r="N191" i="1" s="1"/>
  <c r="T191" i="1"/>
  <c r="V191" i="1"/>
  <c r="Y191" i="1"/>
  <c r="AA191" i="1" s="1"/>
  <c r="Z191" i="1"/>
  <c r="AB191" i="1"/>
  <c r="AC191" i="1"/>
  <c r="AD191" i="1"/>
  <c r="AG191" i="1" s="1"/>
  <c r="AE191" i="1"/>
  <c r="AF191" i="1"/>
  <c r="AH123" i="1"/>
  <c r="AM123" i="1"/>
  <c r="AN123" i="1"/>
  <c r="K192" i="1"/>
  <c r="L192" i="1"/>
  <c r="M192" i="1"/>
  <c r="N192" i="1" s="1"/>
  <c r="V192" i="1"/>
  <c r="Y192" i="1"/>
  <c r="Z192" i="1"/>
  <c r="AB192" i="1"/>
  <c r="AC192" i="1"/>
  <c r="AD192" i="1"/>
  <c r="X192" i="1" s="1"/>
  <c r="AE192" i="1"/>
  <c r="AF192" i="1"/>
  <c r="AH124" i="1"/>
  <c r="AM124" i="1"/>
  <c r="AN124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125" i="1"/>
  <c r="AM125" i="1"/>
  <c r="AN125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26" i="1"/>
  <c r="AM126" i="1"/>
  <c r="AN126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AH127" i="1"/>
  <c r="AM127" i="1"/>
  <c r="AN127" i="1"/>
  <c r="K195" i="1"/>
  <c r="L195" i="1"/>
  <c r="M195" i="1"/>
  <c r="N195" i="1" s="1"/>
  <c r="T195" i="1"/>
  <c r="V195" i="1"/>
  <c r="Y195" i="1"/>
  <c r="Z195" i="1"/>
  <c r="AB195" i="1"/>
  <c r="AC195" i="1"/>
  <c r="AD195" i="1"/>
  <c r="AE195" i="1"/>
  <c r="AF195" i="1"/>
  <c r="AH128" i="1"/>
  <c r="AM128" i="1"/>
  <c r="AN128" i="1"/>
  <c r="K196" i="1"/>
  <c r="L196" i="1"/>
  <c r="M196" i="1"/>
  <c r="N196" i="1" s="1"/>
  <c r="V196" i="1"/>
  <c r="S26" i="3" s="1"/>
  <c r="Y196" i="1"/>
  <c r="Z196" i="1"/>
  <c r="AB196" i="1"/>
  <c r="AC196" i="1"/>
  <c r="AD196" i="1"/>
  <c r="T196" i="1" s="1"/>
  <c r="AE196" i="1"/>
  <c r="AF196" i="1"/>
  <c r="AH129" i="1"/>
  <c r="AM129" i="1"/>
  <c r="AN129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130" i="1"/>
  <c r="AM130" i="1"/>
  <c r="AN130" i="1"/>
  <c r="K103" i="1"/>
  <c r="L103" i="1"/>
  <c r="M103" i="1"/>
  <c r="N103" i="1" s="1"/>
  <c r="V103" i="1"/>
  <c r="Y103" i="1"/>
  <c r="Z103" i="1"/>
  <c r="AA103" i="1" s="1"/>
  <c r="AB103" i="1"/>
  <c r="AC103" i="1"/>
  <c r="AD103" i="1"/>
  <c r="AG103" i="1" s="1"/>
  <c r="AE103" i="1"/>
  <c r="AF103" i="1"/>
  <c r="AH131" i="1"/>
  <c r="AM131" i="1"/>
  <c r="AN131" i="1"/>
  <c r="K104" i="1"/>
  <c r="L104" i="1"/>
  <c r="M104" i="1"/>
  <c r="N104" i="1" s="1"/>
  <c r="T104" i="1"/>
  <c r="V104" i="1"/>
  <c r="Y104" i="1"/>
  <c r="Z104" i="1"/>
  <c r="AB104" i="1"/>
  <c r="AC104" i="1"/>
  <c r="AD104" i="1"/>
  <c r="AE104" i="1"/>
  <c r="AF104" i="1"/>
  <c r="AH132" i="1"/>
  <c r="AM132" i="1"/>
  <c r="AN132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33" i="1"/>
  <c r="AM133" i="1"/>
  <c r="AN133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34" i="1"/>
  <c r="AM134" i="1"/>
  <c r="AN134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AH135" i="1"/>
  <c r="AM135" i="1"/>
  <c r="AN135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36" i="1"/>
  <c r="AM136" i="1"/>
  <c r="AN136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37" i="1"/>
  <c r="AM137" i="1"/>
  <c r="AN137" i="1"/>
  <c r="K211" i="1"/>
  <c r="L211" i="1"/>
  <c r="M211" i="1"/>
  <c r="N211" i="1"/>
  <c r="V211" i="1"/>
  <c r="Y211" i="1"/>
  <c r="Z211" i="1"/>
  <c r="AB211" i="1"/>
  <c r="AC211" i="1"/>
  <c r="AD211" i="1"/>
  <c r="AE211" i="1"/>
  <c r="AF211" i="1"/>
  <c r="AH138" i="1"/>
  <c r="AM138" i="1"/>
  <c r="AN138" i="1"/>
  <c r="K212" i="1"/>
  <c r="L212" i="1"/>
  <c r="M212" i="1"/>
  <c r="N212" i="1" s="1"/>
  <c r="T212" i="1"/>
  <c r="V212" i="1"/>
  <c r="Y212" i="1"/>
  <c r="Z212" i="1"/>
  <c r="AA212" i="1"/>
  <c r="AB212" i="1"/>
  <c r="AC212" i="1"/>
  <c r="AD212" i="1"/>
  <c r="AG212" i="1" s="1"/>
  <c r="AE212" i="1"/>
  <c r="AF212" i="1"/>
  <c r="AH139" i="1"/>
  <c r="AM139" i="1"/>
  <c r="AN139" i="1"/>
  <c r="K110" i="1"/>
  <c r="L110" i="1"/>
  <c r="M110" i="1"/>
  <c r="N110" i="1" s="1"/>
  <c r="V110" i="1"/>
  <c r="S10" i="3" s="1"/>
  <c r="Y110" i="1"/>
  <c r="Z110" i="1"/>
  <c r="AB110" i="1"/>
  <c r="AC110" i="1"/>
  <c r="AD110" i="1"/>
  <c r="AE110" i="1"/>
  <c r="AF110" i="1"/>
  <c r="AH140" i="1"/>
  <c r="AM140" i="1"/>
  <c r="AN14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41" i="1"/>
  <c r="AM141" i="1"/>
  <c r="AN14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42" i="1"/>
  <c r="AM142" i="1"/>
  <c r="AN142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AF113" i="1"/>
  <c r="AH143" i="1"/>
  <c r="AM143" i="1"/>
  <c r="AN143" i="1"/>
  <c r="K114" i="1"/>
  <c r="L114" i="1"/>
  <c r="M114" i="1"/>
  <c r="N114" i="1" s="1"/>
  <c r="V114" i="1"/>
  <c r="S15" i="3" s="1"/>
  <c r="Y114" i="1"/>
  <c r="Z114" i="1"/>
  <c r="AB114" i="1"/>
  <c r="AC114" i="1"/>
  <c r="AD114" i="1"/>
  <c r="AE114" i="1"/>
  <c r="AF114" i="1"/>
  <c r="AH144" i="1"/>
  <c r="AM144" i="1"/>
  <c r="AN14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45" i="1"/>
  <c r="AM145" i="1"/>
  <c r="AN14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46" i="1"/>
  <c r="AM146" i="1"/>
  <c r="AN14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47" i="1"/>
  <c r="AM147" i="1"/>
  <c r="AN14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48" i="1"/>
  <c r="AM148" i="1"/>
  <c r="AN14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49" i="1"/>
  <c r="AM149" i="1"/>
  <c r="AN14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50" i="1"/>
  <c r="AM150" i="1"/>
  <c r="AN15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51" i="1"/>
  <c r="AM151" i="1"/>
  <c r="AN15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52" i="1"/>
  <c r="AM152" i="1"/>
  <c r="AN15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53" i="1"/>
  <c r="AM153" i="1"/>
  <c r="AN153" i="1"/>
  <c r="K124" i="1"/>
  <c r="L124" i="1"/>
  <c r="M124" i="1"/>
  <c r="N124" i="1" s="1"/>
  <c r="V124" i="1"/>
  <c r="S17" i="3" s="1"/>
  <c r="Y124" i="1"/>
  <c r="Z124" i="1"/>
  <c r="AB124" i="1"/>
  <c r="AC124" i="1"/>
  <c r="AD124" i="1"/>
  <c r="T124" i="1" s="1"/>
  <c r="AE124" i="1"/>
  <c r="AF124" i="1"/>
  <c r="AH154" i="1"/>
  <c r="AM154" i="1"/>
  <c r="AN154" i="1"/>
  <c r="K125" i="1"/>
  <c r="L125" i="1"/>
  <c r="M125" i="1"/>
  <c r="N125" i="1" s="1"/>
  <c r="V125" i="1"/>
  <c r="S7" i="3" s="1"/>
  <c r="Y125" i="1"/>
  <c r="Z125" i="1"/>
  <c r="AB125" i="1"/>
  <c r="AC125" i="1"/>
  <c r="AD125" i="1"/>
  <c r="AE125" i="1"/>
  <c r="AF125" i="1"/>
  <c r="AH155" i="1"/>
  <c r="AM155" i="1"/>
  <c r="AN155" i="1"/>
  <c r="K126" i="1"/>
  <c r="L126" i="1"/>
  <c r="M126" i="1"/>
  <c r="N126" i="1" s="1"/>
  <c r="V126" i="1"/>
  <c r="Y126" i="1"/>
  <c r="Z126" i="1"/>
  <c r="AA126" i="1" s="1"/>
  <c r="AB126" i="1"/>
  <c r="AC126" i="1"/>
  <c r="AD126" i="1"/>
  <c r="AG126" i="1" s="1"/>
  <c r="AE126" i="1"/>
  <c r="AF126" i="1"/>
  <c r="AH156" i="1"/>
  <c r="AM156" i="1"/>
  <c r="AN15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57" i="1"/>
  <c r="AM157" i="1"/>
  <c r="AN15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58" i="1"/>
  <c r="AM158" i="1"/>
  <c r="AN15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59" i="1"/>
  <c r="AM159" i="1"/>
  <c r="AN15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60" i="1"/>
  <c r="AM160" i="1"/>
  <c r="AN16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61" i="1"/>
  <c r="AM161" i="1"/>
  <c r="AN16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62" i="1"/>
  <c r="AM162" i="1"/>
  <c r="AN16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63" i="1"/>
  <c r="AM163" i="1"/>
  <c r="AN16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70" i="1"/>
  <c r="AM170" i="1"/>
  <c r="AN170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71" i="1"/>
  <c r="AM171" i="1"/>
  <c r="AN171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72" i="1"/>
  <c r="AM172" i="1"/>
  <c r="AN172" i="1"/>
  <c r="K138" i="1"/>
  <c r="L138" i="1"/>
  <c r="M138" i="1"/>
  <c r="N138" i="1" s="1"/>
  <c r="V138" i="1"/>
  <c r="Y138" i="1"/>
  <c r="Z138" i="1"/>
  <c r="AA138" i="1" s="1"/>
  <c r="AB138" i="1"/>
  <c r="AC138" i="1"/>
  <c r="AD138" i="1"/>
  <c r="AG138" i="1" s="1"/>
  <c r="AE138" i="1"/>
  <c r="AF138" i="1"/>
  <c r="AH173" i="1"/>
  <c r="AM173" i="1"/>
  <c r="AN173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74" i="1"/>
  <c r="AM174" i="1"/>
  <c r="AN174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75" i="1"/>
  <c r="AM175" i="1"/>
  <c r="AN175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76" i="1"/>
  <c r="AM176" i="1"/>
  <c r="AN176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77" i="1"/>
  <c r="AM177" i="1"/>
  <c r="AN177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78" i="1"/>
  <c r="AM178" i="1"/>
  <c r="AN178" i="1"/>
  <c r="K144" i="1"/>
  <c r="L144" i="1"/>
  <c r="M144" i="1"/>
  <c r="N144" i="1" s="1"/>
  <c r="V144" i="1"/>
  <c r="S8" i="3" s="1"/>
  <c r="Y144" i="1"/>
  <c r="Z144" i="1"/>
  <c r="AB144" i="1"/>
  <c r="AC144" i="1"/>
  <c r="AD144" i="1"/>
  <c r="T144" i="1" s="1"/>
  <c r="AE144" i="1"/>
  <c r="AF144" i="1"/>
  <c r="AH179" i="1"/>
  <c r="AM179" i="1"/>
  <c r="AN179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80" i="1"/>
  <c r="AM180" i="1"/>
  <c r="AN180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81" i="1"/>
  <c r="AM181" i="1"/>
  <c r="AN181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82" i="1"/>
  <c r="AM182" i="1"/>
  <c r="AN182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83" i="1"/>
  <c r="AM183" i="1"/>
  <c r="AN183" i="1"/>
  <c r="K149" i="1"/>
  <c r="L149" i="1"/>
  <c r="M149" i="1"/>
  <c r="N149" i="1"/>
  <c r="V149" i="1"/>
  <c r="Y149" i="1"/>
  <c r="Z149" i="1"/>
  <c r="AB149" i="1"/>
  <c r="AC149" i="1"/>
  <c r="AD149" i="1"/>
  <c r="AE149" i="1"/>
  <c r="AF149" i="1"/>
  <c r="AH184" i="1"/>
  <c r="AM184" i="1"/>
  <c r="AN184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85" i="1"/>
  <c r="AM185" i="1"/>
  <c r="AN185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86" i="1"/>
  <c r="AM186" i="1"/>
  <c r="AN186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87" i="1"/>
  <c r="AM187" i="1"/>
  <c r="AN187" i="1"/>
  <c r="K153" i="1"/>
  <c r="L153" i="1"/>
  <c r="M153" i="1"/>
  <c r="N153" i="1" s="1"/>
  <c r="V153" i="1"/>
  <c r="Y153" i="1"/>
  <c r="Z153" i="1"/>
  <c r="AA153" i="1" s="1"/>
  <c r="AB153" i="1"/>
  <c r="AC153" i="1"/>
  <c r="AD153" i="1"/>
  <c r="AE153" i="1"/>
  <c r="AF153" i="1"/>
  <c r="AH188" i="1"/>
  <c r="AM188" i="1"/>
  <c r="AN188" i="1"/>
  <c r="K154" i="1"/>
  <c r="L154" i="1"/>
  <c r="M154" i="1"/>
  <c r="N154" i="1" s="1"/>
  <c r="V154" i="1"/>
  <c r="Y154" i="1"/>
  <c r="AA154" i="1" s="1"/>
  <c r="Z154" i="1"/>
  <c r="AB154" i="1"/>
  <c r="AC154" i="1"/>
  <c r="AD154" i="1"/>
  <c r="AG154" i="1" s="1"/>
  <c r="AE154" i="1"/>
  <c r="AF154" i="1"/>
  <c r="AH189" i="1"/>
  <c r="AI189" i="1"/>
  <c r="AM189" i="1"/>
  <c r="AN189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90" i="1"/>
  <c r="AM190" i="1"/>
  <c r="AN190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91" i="1"/>
  <c r="AM191" i="1"/>
  <c r="AN191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92" i="1"/>
  <c r="AM192" i="1"/>
  <c r="AN192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93" i="1"/>
  <c r="AM193" i="1"/>
  <c r="AN193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94" i="1"/>
  <c r="AM194" i="1"/>
  <c r="AN194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195" i="1"/>
  <c r="AM195" i="1"/>
  <c r="AN195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AH196" i="1"/>
  <c r="AM196" i="1"/>
  <c r="AN196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97" i="1"/>
  <c r="AM197" i="1"/>
  <c r="AN197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198" i="1"/>
  <c r="AM198" i="1"/>
  <c r="AN198" i="1"/>
  <c r="AH199" i="1"/>
  <c r="AM199" i="1"/>
  <c r="AN199" i="1"/>
  <c r="K198" i="1"/>
  <c r="L198" i="1"/>
  <c r="M198" i="1"/>
  <c r="V198" i="1"/>
  <c r="Y198" i="1"/>
  <c r="Z198" i="1"/>
  <c r="AB198" i="1"/>
  <c r="AC198" i="1"/>
  <c r="AD198" i="1"/>
  <c r="AG198" i="1" s="1"/>
  <c r="AE198" i="1"/>
  <c r="AF198" i="1"/>
  <c r="AH200" i="1"/>
  <c r="AM200" i="1"/>
  <c r="AN200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01" i="1"/>
  <c r="AM201" i="1"/>
  <c r="AN201" i="1"/>
  <c r="K200" i="1"/>
  <c r="L200" i="1"/>
  <c r="M200" i="1"/>
  <c r="V200" i="1"/>
  <c r="Y200" i="1"/>
  <c r="Z200" i="1"/>
  <c r="AA200" i="1" s="1"/>
  <c r="AB200" i="1"/>
  <c r="AC200" i="1"/>
  <c r="AD200" i="1"/>
  <c r="T200" i="1" s="1"/>
  <c r="AE200" i="1"/>
  <c r="AF200" i="1"/>
  <c r="AG200" i="1"/>
  <c r="AH202" i="1"/>
  <c r="AM202" i="1"/>
  <c r="AN202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03" i="1"/>
  <c r="AM203" i="1"/>
  <c r="AN203" i="1"/>
  <c r="K202" i="1"/>
  <c r="L202" i="1"/>
  <c r="M202" i="1"/>
  <c r="V202" i="1"/>
  <c r="S31" i="3" s="1"/>
  <c r="Y202" i="1"/>
  <c r="Z202" i="1"/>
  <c r="AB202" i="1"/>
  <c r="AC202" i="1"/>
  <c r="AD202" i="1"/>
  <c r="AG202" i="1" s="1"/>
  <c r="AE202" i="1"/>
  <c r="AF202" i="1"/>
  <c r="AH204" i="1"/>
  <c r="AM204" i="1"/>
  <c r="AN204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05" i="1"/>
  <c r="AM205" i="1"/>
  <c r="AN205" i="1"/>
  <c r="K204" i="1"/>
  <c r="L204" i="1"/>
  <c r="M204" i="1"/>
  <c r="V204" i="1"/>
  <c r="Y204" i="1"/>
  <c r="Z204" i="1"/>
  <c r="AB204" i="1"/>
  <c r="AC204" i="1"/>
  <c r="AD204" i="1"/>
  <c r="T204" i="1" s="1"/>
  <c r="AE204" i="1"/>
  <c r="AF204" i="1"/>
  <c r="AH206" i="1"/>
  <c r="AM206" i="1"/>
  <c r="AN206" i="1"/>
  <c r="K205" i="1"/>
  <c r="L205" i="1"/>
  <c r="M205" i="1"/>
  <c r="N205" i="1"/>
  <c r="V205" i="1"/>
  <c r="Y205" i="1"/>
  <c r="Z205" i="1"/>
  <c r="AB205" i="1"/>
  <c r="AC205" i="1"/>
  <c r="AD205" i="1"/>
  <c r="T205" i="1" s="1"/>
  <c r="AE205" i="1"/>
  <c r="AF205" i="1"/>
  <c r="AH207" i="1"/>
  <c r="AM207" i="1"/>
  <c r="AN207" i="1"/>
  <c r="K206" i="1"/>
  <c r="L206" i="1"/>
  <c r="M206" i="1"/>
  <c r="V206" i="1"/>
  <c r="Y206" i="1"/>
  <c r="Z206" i="1"/>
  <c r="AB206" i="1"/>
  <c r="AC206" i="1"/>
  <c r="AD206" i="1"/>
  <c r="AG206" i="1" s="1"/>
  <c r="AE206" i="1"/>
  <c r="AF206" i="1"/>
  <c r="AH208" i="1"/>
  <c r="AM208" i="1"/>
  <c r="AN208" i="1"/>
  <c r="K207" i="1"/>
  <c r="L207" i="1"/>
  <c r="M207" i="1"/>
  <c r="N207" i="1" s="1"/>
  <c r="V207" i="1"/>
  <c r="Y207" i="1"/>
  <c r="Z207" i="1"/>
  <c r="AA207" i="1" s="1"/>
  <c r="AB207" i="1"/>
  <c r="AC207" i="1"/>
  <c r="AD207" i="1"/>
  <c r="T207" i="1" s="1"/>
  <c r="AE207" i="1"/>
  <c r="AF207" i="1"/>
  <c r="AH209" i="1"/>
  <c r="AM209" i="1"/>
  <c r="AN209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10" i="1"/>
  <c r="AM210" i="1"/>
  <c r="AN210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11" i="1"/>
  <c r="AM211" i="1"/>
  <c r="AN211" i="1"/>
  <c r="K210" i="1"/>
  <c r="L210" i="1"/>
  <c r="M210" i="1"/>
  <c r="N210" i="1" s="1"/>
  <c r="V210" i="1"/>
  <c r="Y210" i="1"/>
  <c r="Z210" i="1"/>
  <c r="AA210" i="1" s="1"/>
  <c r="AB210" i="1"/>
  <c r="AC210" i="1"/>
  <c r="AD210" i="1"/>
  <c r="AG210" i="1" s="1"/>
  <c r="AE210" i="1"/>
  <c r="AF210" i="1"/>
  <c r="AH212" i="1"/>
  <c r="AM212" i="1"/>
  <c r="AN212" i="1"/>
  <c r="K213" i="1"/>
  <c r="L213" i="1"/>
  <c r="M213" i="1"/>
  <c r="N213" i="1" s="1"/>
  <c r="V213" i="1"/>
  <c r="Y213" i="1"/>
  <c r="Z213" i="1"/>
  <c r="AA213" i="1" s="1"/>
  <c r="W213" i="1" s="1"/>
  <c r="AB213" i="1"/>
  <c r="AC213" i="1"/>
  <c r="AD213" i="1"/>
  <c r="T213" i="1" s="1"/>
  <c r="AE213" i="1"/>
  <c r="AF213" i="1"/>
  <c r="AG213" i="1"/>
  <c r="AH213" i="1"/>
  <c r="AM213" i="1"/>
  <c r="AN213" i="1"/>
  <c r="K214" i="1"/>
  <c r="L214" i="1"/>
  <c r="M214" i="1"/>
  <c r="N214" i="1" s="1"/>
  <c r="V214" i="1"/>
  <c r="Y214" i="1"/>
  <c r="Z214" i="1"/>
  <c r="AB214" i="1"/>
  <c r="AC214" i="1"/>
  <c r="AD214" i="1"/>
  <c r="X214" i="1" s="1"/>
  <c r="AE214" i="1"/>
  <c r="AF214" i="1"/>
  <c r="AH214" i="1"/>
  <c r="AM214" i="1"/>
  <c r="AN214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215" i="1"/>
  <c r="AM215" i="1"/>
  <c r="AN215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AH216" i="1"/>
  <c r="AM216" i="1"/>
  <c r="AN216" i="1"/>
  <c r="K217" i="1"/>
  <c r="L217" i="1"/>
  <c r="M217" i="1"/>
  <c r="N217" i="1" s="1"/>
  <c r="V217" i="1"/>
  <c r="Y217" i="1"/>
  <c r="Z217" i="1"/>
  <c r="AA217" i="1" s="1"/>
  <c r="AB217" i="1"/>
  <c r="AC217" i="1"/>
  <c r="AD217" i="1"/>
  <c r="X217" i="1" s="1"/>
  <c r="AE217" i="1"/>
  <c r="AF217" i="1"/>
  <c r="AH217" i="1"/>
  <c r="AM217" i="1"/>
  <c r="AN217" i="1"/>
  <c r="M29" i="3"/>
  <c r="R29" i="3"/>
  <c r="S29" i="3"/>
  <c r="U29" i="3"/>
  <c r="T29" i="3" s="1"/>
  <c r="V29" i="3"/>
  <c r="W29" i="3"/>
  <c r="X29" i="3"/>
  <c r="M30" i="3"/>
  <c r="R30" i="3"/>
  <c r="S30" i="3"/>
  <c r="U30" i="3"/>
  <c r="T30" i="3" s="1"/>
  <c r="V30" i="3"/>
  <c r="W30" i="3"/>
  <c r="X30" i="3"/>
  <c r="AC30" i="3"/>
  <c r="M31" i="3"/>
  <c r="R31" i="3"/>
  <c r="U31" i="3"/>
  <c r="AC31" i="3" s="1"/>
  <c r="V31" i="3"/>
  <c r="W31" i="3"/>
  <c r="X31" i="3"/>
  <c r="M32" i="3"/>
  <c r="R32" i="3"/>
  <c r="S32" i="3"/>
  <c r="U32" i="3"/>
  <c r="AC32" i="3" s="1"/>
  <c r="V32" i="3"/>
  <c r="W32" i="3"/>
  <c r="Y32" i="3" s="1"/>
  <c r="X32" i="3"/>
  <c r="M18" i="3"/>
  <c r="R18" i="3"/>
  <c r="S18" i="3"/>
  <c r="T18" i="3"/>
  <c r="U18" i="3"/>
  <c r="AC18" i="3" s="1"/>
  <c r="V18" i="3"/>
  <c r="W18" i="3"/>
  <c r="Y18" i="3" s="1"/>
  <c r="X18" i="3"/>
  <c r="M33" i="3"/>
  <c r="R33" i="3"/>
  <c r="S33" i="3"/>
  <c r="U33" i="3"/>
  <c r="V33" i="3"/>
  <c r="W33" i="3"/>
  <c r="X33" i="3"/>
  <c r="AC33" i="3"/>
  <c r="M19" i="3"/>
  <c r="R19" i="3"/>
  <c r="U19" i="3"/>
  <c r="AC19" i="3" s="1"/>
  <c r="V19" i="3"/>
  <c r="W19" i="3"/>
  <c r="X19" i="3"/>
  <c r="M16" i="3"/>
  <c r="S16" i="3"/>
  <c r="U16" i="3"/>
  <c r="AC16" i="3" s="1"/>
  <c r="V16" i="3"/>
  <c r="W16" i="3"/>
  <c r="X16" i="3"/>
  <c r="M11" i="3"/>
  <c r="R11" i="3"/>
  <c r="U11" i="3"/>
  <c r="AC11" i="3" s="1"/>
  <c r="V11" i="3"/>
  <c r="W11" i="3"/>
  <c r="X11" i="3"/>
  <c r="M9" i="3"/>
  <c r="U9" i="3"/>
  <c r="T9" i="3" s="1"/>
  <c r="V9" i="3"/>
  <c r="W9" i="3"/>
  <c r="X9" i="3"/>
  <c r="AC9" i="3"/>
  <c r="M20" i="3"/>
  <c r="U20" i="3"/>
  <c r="AC20" i="3" s="1"/>
  <c r="V20" i="3"/>
  <c r="W20" i="3"/>
  <c r="X20" i="3"/>
  <c r="M13" i="3"/>
  <c r="R13" i="3"/>
  <c r="U13" i="3"/>
  <c r="AC13" i="3" s="1"/>
  <c r="V13" i="3"/>
  <c r="W13" i="3"/>
  <c r="X13" i="3"/>
  <c r="M14" i="3"/>
  <c r="R14" i="3"/>
  <c r="U14" i="3"/>
  <c r="AC14" i="3" s="1"/>
  <c r="V14" i="3"/>
  <c r="W14" i="3"/>
  <c r="X14" i="3"/>
  <c r="M27" i="3"/>
  <c r="U27" i="3"/>
  <c r="AD21" i="3" s="1"/>
  <c r="V27" i="3"/>
  <c r="W27" i="3"/>
  <c r="X27" i="3"/>
  <c r="AC27" i="3"/>
  <c r="M23" i="3"/>
  <c r="S23" i="3"/>
  <c r="U23" i="3"/>
  <c r="AC23" i="3" s="1"/>
  <c r="V23" i="3"/>
  <c r="W23" i="3"/>
  <c r="X23" i="3"/>
  <c r="M10" i="3"/>
  <c r="R10" i="3"/>
  <c r="U10" i="3"/>
  <c r="AC10" i="3" s="1"/>
  <c r="V10" i="3"/>
  <c r="W10" i="3"/>
  <c r="X10" i="3"/>
  <c r="M12" i="3"/>
  <c r="R12" i="3"/>
  <c r="S12" i="3"/>
  <c r="U12" i="3"/>
  <c r="AC12" i="3" s="1"/>
  <c r="V12" i="3"/>
  <c r="W12" i="3"/>
  <c r="X12" i="3"/>
  <c r="M25" i="3"/>
  <c r="R25" i="3"/>
  <c r="S25" i="3"/>
  <c r="U25" i="3"/>
  <c r="AD25" i="3" s="1"/>
  <c r="V25" i="3"/>
  <c r="W25" i="3"/>
  <c r="X25" i="3"/>
  <c r="AC25" i="3"/>
  <c r="M15" i="3"/>
  <c r="R15" i="3"/>
  <c r="U15" i="3"/>
  <c r="V15" i="3"/>
  <c r="W15" i="3"/>
  <c r="X15" i="3"/>
  <c r="M24" i="3"/>
  <c r="S24" i="3"/>
  <c r="U24" i="3"/>
  <c r="AC24" i="3" s="1"/>
  <c r="V24" i="3"/>
  <c r="W24" i="3"/>
  <c r="X24" i="3"/>
  <c r="M17" i="3"/>
  <c r="R17" i="3"/>
  <c r="U17" i="3"/>
  <c r="AC17" i="3" s="1"/>
  <c r="V17" i="3"/>
  <c r="W17" i="3"/>
  <c r="X17" i="3"/>
  <c r="M21" i="3"/>
  <c r="R21" i="3"/>
  <c r="S21" i="3"/>
  <c r="U21" i="3"/>
  <c r="T21" i="3" s="1"/>
  <c r="V21" i="3"/>
  <c r="W21" i="3"/>
  <c r="Y21" i="3" s="1"/>
  <c r="X21" i="3"/>
  <c r="AC21" i="3"/>
  <c r="M7" i="3"/>
  <c r="R7" i="3"/>
  <c r="U7" i="3"/>
  <c r="V7" i="3"/>
  <c r="W7" i="3"/>
  <c r="Y7" i="3" s="1"/>
  <c r="X7" i="3"/>
  <c r="M8" i="3"/>
  <c r="R8" i="3"/>
  <c r="U8" i="3"/>
  <c r="AC8" i="3" s="1"/>
  <c r="V8" i="3"/>
  <c r="W8" i="3"/>
  <c r="X8" i="3"/>
  <c r="M22" i="3"/>
  <c r="R22" i="3"/>
  <c r="S22" i="3"/>
  <c r="U22" i="3"/>
  <c r="AC22" i="3" s="1"/>
  <c r="V22" i="3"/>
  <c r="W22" i="3"/>
  <c r="X22" i="3"/>
  <c r="AD32" i="3"/>
  <c r="M26" i="3"/>
  <c r="R26" i="3"/>
  <c r="U26" i="3"/>
  <c r="V26" i="3"/>
  <c r="W26" i="3"/>
  <c r="X26" i="3"/>
  <c r="AC26" i="3"/>
  <c r="AA119" i="1" l="1"/>
  <c r="T170" i="1"/>
  <c r="T94" i="1"/>
  <c r="U94" i="1" s="1"/>
  <c r="S94" i="1" s="1"/>
  <c r="AA93" i="1"/>
  <c r="W93" i="1" s="1"/>
  <c r="T87" i="1"/>
  <c r="AA74" i="1"/>
  <c r="W74" i="1" s="1"/>
  <c r="X61" i="1"/>
  <c r="T60" i="1"/>
  <c r="AG174" i="1"/>
  <c r="X174" i="1"/>
  <c r="AG173" i="1"/>
  <c r="AI173" i="1" s="1"/>
  <c r="X173" i="1"/>
  <c r="AA157" i="1"/>
  <c r="X108" i="1"/>
  <c r="T107" i="1"/>
  <c r="AG171" i="1"/>
  <c r="X171" i="1"/>
  <c r="X110" i="1"/>
  <c r="AG175" i="1"/>
  <c r="X175" i="1"/>
  <c r="AG172" i="1"/>
  <c r="U172" i="1" s="1"/>
  <c r="S172" i="1" s="1"/>
  <c r="X172" i="1"/>
  <c r="AA90" i="1"/>
  <c r="AA61" i="1"/>
  <c r="AG29" i="1"/>
  <c r="AI29" i="1" s="1"/>
  <c r="AI166" i="1"/>
  <c r="U166" i="1"/>
  <c r="S166" i="1" s="1"/>
  <c r="W166" i="1"/>
  <c r="AA152" i="1"/>
  <c r="X147" i="1"/>
  <c r="T126" i="1"/>
  <c r="X123" i="1"/>
  <c r="T110" i="1"/>
  <c r="X73" i="1"/>
  <c r="T72" i="1"/>
  <c r="AA53" i="1"/>
  <c r="AA47" i="1"/>
  <c r="X40" i="1"/>
  <c r="T25" i="1"/>
  <c r="AA24" i="1"/>
  <c r="AA16" i="1"/>
  <c r="AG25" i="1"/>
  <c r="AA23" i="1"/>
  <c r="AI41" i="1"/>
  <c r="AA146" i="1"/>
  <c r="W146" i="1" s="1"/>
  <c r="AG143" i="1"/>
  <c r="AG120" i="1"/>
  <c r="U120" i="1" s="1"/>
  <c r="S120" i="1" s="1"/>
  <c r="AA37" i="1"/>
  <c r="AA160" i="1"/>
  <c r="X158" i="1"/>
  <c r="AA156" i="1"/>
  <c r="AA134" i="1"/>
  <c r="AG123" i="1"/>
  <c r="AA122" i="1"/>
  <c r="AG116" i="1"/>
  <c r="AA109" i="1"/>
  <c r="AA178" i="1"/>
  <c r="W178" i="1" s="1"/>
  <c r="AA176" i="1"/>
  <c r="W176" i="1" s="1"/>
  <c r="AA95" i="1"/>
  <c r="W95" i="1" s="1"/>
  <c r="AA94" i="1"/>
  <c r="AA75" i="1"/>
  <c r="AA60" i="1"/>
  <c r="AA57" i="1"/>
  <c r="X21" i="1"/>
  <c r="AD29" i="3"/>
  <c r="AE29" i="3"/>
  <c r="AD33" i="3"/>
  <c r="AD30" i="3"/>
  <c r="Y15" i="3"/>
  <c r="T14" i="3"/>
  <c r="AD20" i="3"/>
  <c r="AE19" i="3"/>
  <c r="Y19" i="3"/>
  <c r="Y29" i="3"/>
  <c r="AE20" i="3"/>
  <c r="Y16" i="3"/>
  <c r="T22" i="3"/>
  <c r="Y24" i="3"/>
  <c r="T25" i="3"/>
  <c r="AE24" i="3"/>
  <c r="Y23" i="3"/>
  <c r="Y14" i="3"/>
  <c r="Y20" i="3"/>
  <c r="AA216" i="1"/>
  <c r="W216" i="1" s="1"/>
  <c r="AA214" i="1"/>
  <c r="AA202" i="1"/>
  <c r="X200" i="1"/>
  <c r="AG155" i="1"/>
  <c r="U155" i="1" s="1"/>
  <c r="S155" i="1" s="1"/>
  <c r="X155" i="1"/>
  <c r="AA147" i="1"/>
  <c r="T147" i="1"/>
  <c r="AA136" i="1"/>
  <c r="W136" i="1" s="1"/>
  <c r="AG132" i="1"/>
  <c r="W132" i="1" s="1"/>
  <c r="AG115" i="1"/>
  <c r="U115" i="1" s="1"/>
  <c r="S115" i="1" s="1"/>
  <c r="AA211" i="1"/>
  <c r="AA107" i="1"/>
  <c r="W107" i="1" s="1"/>
  <c r="X104" i="1"/>
  <c r="AA187" i="1"/>
  <c r="W187" i="1" s="1"/>
  <c r="AA180" i="1"/>
  <c r="AA96" i="1"/>
  <c r="T95" i="1"/>
  <c r="AA85" i="1"/>
  <c r="W85" i="1" s="1"/>
  <c r="AA81" i="1"/>
  <c r="W81" i="1" s="1"/>
  <c r="AA77" i="1"/>
  <c r="W77" i="1" s="1"/>
  <c r="AA72" i="1"/>
  <c r="W72" i="1" s="1"/>
  <c r="AA69" i="1"/>
  <c r="AA65" i="1"/>
  <c r="X57" i="1"/>
  <c r="T56" i="1"/>
  <c r="T33" i="1"/>
  <c r="AA32" i="1"/>
  <c r="W32" i="1" s="1"/>
  <c r="AA30" i="1"/>
  <c r="Y8" i="3"/>
  <c r="Y31" i="3"/>
  <c r="X207" i="1"/>
  <c r="AA198" i="1"/>
  <c r="W198" i="1" s="1"/>
  <c r="T161" i="1"/>
  <c r="U161" i="1" s="1"/>
  <c r="S161" i="1" s="1"/>
  <c r="T154" i="1"/>
  <c r="AA118" i="1"/>
  <c r="X114" i="1"/>
  <c r="AA196" i="1"/>
  <c r="AA102" i="1"/>
  <c r="W191" i="1"/>
  <c r="T189" i="1"/>
  <c r="T101" i="1"/>
  <c r="T99" i="1"/>
  <c r="U90" i="1"/>
  <c r="S90" i="1" s="1"/>
  <c r="X69" i="1"/>
  <c r="X65" i="1"/>
  <c r="X29" i="1"/>
  <c r="AA19" i="1"/>
  <c r="Y25" i="3"/>
  <c r="Y10" i="3"/>
  <c r="Y13" i="3"/>
  <c r="AE25" i="3"/>
  <c r="AD16" i="3"/>
  <c r="AA215" i="1"/>
  <c r="AA203" i="1"/>
  <c r="AA201" i="1"/>
  <c r="AA161" i="1"/>
  <c r="W161" i="1" s="1"/>
  <c r="AA158" i="1"/>
  <c r="AA155" i="1"/>
  <c r="X151" i="1"/>
  <c r="AG150" i="1"/>
  <c r="U150" i="1" s="1"/>
  <c r="S150" i="1" s="1"/>
  <c r="AG147" i="1"/>
  <c r="U147" i="1" s="1"/>
  <c r="S147" i="1" s="1"/>
  <c r="AA145" i="1"/>
  <c r="AG136" i="1"/>
  <c r="U136" i="1" s="1"/>
  <c r="S136" i="1" s="1"/>
  <c r="AA132" i="1"/>
  <c r="T122" i="1"/>
  <c r="AA121" i="1"/>
  <c r="AA115" i="1"/>
  <c r="AA113" i="1"/>
  <c r="W113" i="1" s="1"/>
  <c r="T103" i="1"/>
  <c r="AA194" i="1"/>
  <c r="AA189" i="1"/>
  <c r="W189" i="1" s="1"/>
  <c r="AA188" i="1"/>
  <c r="W188" i="1" s="1"/>
  <c r="AA175" i="1"/>
  <c r="W175" i="1" s="1"/>
  <c r="AA171" i="1"/>
  <c r="W171" i="1" s="1"/>
  <c r="AA99" i="1"/>
  <c r="W99" i="1" s="1"/>
  <c r="AA86" i="1"/>
  <c r="X77" i="1"/>
  <c r="AA73" i="1"/>
  <c r="AA64" i="1"/>
  <c r="AG49" i="1"/>
  <c r="X49" i="1"/>
  <c r="AA31" i="1"/>
  <c r="AA15" i="1"/>
  <c r="W138" i="1"/>
  <c r="AA206" i="1"/>
  <c r="W206" i="1" s="1"/>
  <c r="AG204" i="1"/>
  <c r="X204" i="1"/>
  <c r="AG162" i="1"/>
  <c r="U162" i="1" s="1"/>
  <c r="S162" i="1" s="1"/>
  <c r="X162" i="1"/>
  <c r="AA159" i="1"/>
  <c r="AA150" i="1"/>
  <c r="AG148" i="1"/>
  <c r="AI148" i="1" s="1"/>
  <c r="AG146" i="1"/>
  <c r="U146" i="1" s="1"/>
  <c r="S146" i="1" s="1"/>
  <c r="AA144" i="1"/>
  <c r="AG139" i="1"/>
  <c r="U139" i="1" s="1"/>
  <c r="S139" i="1" s="1"/>
  <c r="X139" i="1"/>
  <c r="T138" i="1"/>
  <c r="U138" i="1" s="1"/>
  <c r="S138" i="1" s="1"/>
  <c r="AA137" i="1"/>
  <c r="AG127" i="1"/>
  <c r="U127" i="1" s="1"/>
  <c r="X127" i="1"/>
  <c r="AG111" i="1"/>
  <c r="AG105" i="1"/>
  <c r="AA197" i="1"/>
  <c r="T194" i="1"/>
  <c r="U194" i="1" s="1"/>
  <c r="S194" i="1" s="1"/>
  <c r="AA193" i="1"/>
  <c r="AA186" i="1"/>
  <c r="W186" i="1" s="1"/>
  <c r="AG184" i="1"/>
  <c r="U184" i="1" s="1"/>
  <c r="S184" i="1" s="1"/>
  <c r="AA101" i="1"/>
  <c r="W101" i="1" s="1"/>
  <c r="AA183" i="1"/>
  <c r="U179" i="1"/>
  <c r="S179" i="1" s="1"/>
  <c r="AA87" i="1"/>
  <c r="W87" i="1" s="1"/>
  <c r="AA78" i="1"/>
  <c r="W78" i="1" s="1"/>
  <c r="T78" i="1"/>
  <c r="AA76" i="1"/>
  <c r="W76" i="1" s="1"/>
  <c r="T76" i="1"/>
  <c r="U76" i="1" s="1"/>
  <c r="S76" i="1" s="1"/>
  <c r="AA66" i="1"/>
  <c r="W66" i="1" s="1"/>
  <c r="T66" i="1"/>
  <c r="X58" i="1"/>
  <c r="AA40" i="1"/>
  <c r="W40" i="1" s="1"/>
  <c r="T40" i="1"/>
  <c r="AA39" i="1"/>
  <c r="AG37" i="1"/>
  <c r="X37" i="1"/>
  <c r="AA35" i="1"/>
  <c r="AA29" i="1"/>
  <c r="W29" i="1" s="1"/>
  <c r="AA27" i="1"/>
  <c r="T21" i="1"/>
  <c r="AA20" i="1"/>
  <c r="AG17" i="1"/>
  <c r="U17" i="1" s="1"/>
  <c r="X17" i="1"/>
  <c r="W202" i="1"/>
  <c r="T163" i="1"/>
  <c r="X159" i="1"/>
  <c r="W155" i="1"/>
  <c r="X143" i="1"/>
  <c r="X130" i="1"/>
  <c r="AG118" i="1"/>
  <c r="W118" i="1" s="1"/>
  <c r="T114" i="1"/>
  <c r="T113" i="1"/>
  <c r="U113" i="1" s="1"/>
  <c r="S113" i="1" s="1"/>
  <c r="T108" i="1"/>
  <c r="T192" i="1"/>
  <c r="U186" i="1"/>
  <c r="S186" i="1" s="1"/>
  <c r="X176" i="1"/>
  <c r="AA172" i="1"/>
  <c r="AG170" i="1"/>
  <c r="U170" i="1" s="1"/>
  <c r="S170" i="1" s="1"/>
  <c r="AA98" i="1"/>
  <c r="W90" i="1"/>
  <c r="T80" i="1"/>
  <c r="T68" i="1"/>
  <c r="AA62" i="1"/>
  <c r="W62" i="1" s="1"/>
  <c r="T62" i="1"/>
  <c r="U62" i="1" s="1"/>
  <c r="S62" i="1" s="1"/>
  <c r="X54" i="1"/>
  <c r="AG51" i="1"/>
  <c r="AI51" i="1" s="1"/>
  <c r="AA50" i="1"/>
  <c r="AA48" i="1"/>
  <c r="W48" i="1" s="1"/>
  <c r="T48" i="1"/>
  <c r="AA36" i="1"/>
  <c r="W36" i="1" s="1"/>
  <c r="T214" i="1"/>
  <c r="AG207" i="1"/>
  <c r="W207" i="1" s="1"/>
  <c r="X203" i="1"/>
  <c r="AA199" i="1"/>
  <c r="AA163" i="1"/>
  <c r="AA162" i="1"/>
  <c r="U154" i="1"/>
  <c r="S154" i="1" s="1"/>
  <c r="AG144" i="1"/>
  <c r="W144" i="1" s="1"/>
  <c r="AA142" i="1"/>
  <c r="W142" i="1" s="1"/>
  <c r="AA139" i="1"/>
  <c r="X135" i="1"/>
  <c r="AA127" i="1"/>
  <c r="U123" i="1"/>
  <c r="S123" i="1" s="1"/>
  <c r="AA120" i="1"/>
  <c r="AA112" i="1"/>
  <c r="AA111" i="1"/>
  <c r="AG109" i="1"/>
  <c r="W109" i="1" s="1"/>
  <c r="AA106" i="1"/>
  <c r="AA105" i="1"/>
  <c r="W105" i="1" s="1"/>
  <c r="X195" i="1"/>
  <c r="AA190" i="1"/>
  <c r="AA185" i="1"/>
  <c r="AA181" i="1"/>
  <c r="T180" i="1"/>
  <c r="T81" i="1"/>
  <c r="U81" i="1" s="1"/>
  <c r="S81" i="1" s="1"/>
  <c r="AA80" i="1"/>
  <c r="W80" i="1" s="1"/>
  <c r="AA79" i="1"/>
  <c r="X78" i="1"/>
  <c r="X76" i="1"/>
  <c r="T74" i="1"/>
  <c r="AA71" i="1"/>
  <c r="T70" i="1"/>
  <c r="U70" i="1" s="1"/>
  <c r="S70" i="1" s="1"/>
  <c r="AA68" i="1"/>
  <c r="W68" i="1" s="1"/>
  <c r="X66" i="1"/>
  <c r="T64" i="1"/>
  <c r="AA58" i="1"/>
  <c r="W58" i="1" s="1"/>
  <c r="T58" i="1"/>
  <c r="U58" i="1" s="1"/>
  <c r="AA38" i="1"/>
  <c r="AA28" i="1"/>
  <c r="W28" i="1" s="1"/>
  <c r="AA18" i="1"/>
  <c r="AA17" i="1"/>
  <c r="W17" i="1" s="1"/>
  <c r="AG16" i="1"/>
  <c r="W126" i="1"/>
  <c r="T175" i="1"/>
  <c r="U175" i="1" s="1"/>
  <c r="S175" i="1" s="1"/>
  <c r="AA174" i="1"/>
  <c r="AA70" i="1"/>
  <c r="X62" i="1"/>
  <c r="AA54" i="1"/>
  <c r="W54" i="1" s="1"/>
  <c r="T54" i="1"/>
  <c r="AA51" i="1"/>
  <c r="W51" i="1" s="1"/>
  <c r="X48" i="1"/>
  <c r="U213" i="1"/>
  <c r="S213" i="1" s="1"/>
  <c r="T199" i="1"/>
  <c r="W154" i="1"/>
  <c r="AA151" i="1"/>
  <c r="T151" i="1"/>
  <c r="X146" i="1"/>
  <c r="U143" i="1"/>
  <c r="S143" i="1" s="1"/>
  <c r="T142" i="1"/>
  <c r="U142" i="1" s="1"/>
  <c r="S142" i="1" s="1"/>
  <c r="AA141" i="1"/>
  <c r="AA140" i="1"/>
  <c r="AA135" i="1"/>
  <c r="T135" i="1"/>
  <c r="AG134" i="1"/>
  <c r="U134" i="1" s="1"/>
  <c r="S134" i="1" s="1"/>
  <c r="AA131" i="1"/>
  <c r="AA130" i="1"/>
  <c r="AG128" i="1"/>
  <c r="AI128" i="1" s="1"/>
  <c r="X126" i="1"/>
  <c r="AG124" i="1"/>
  <c r="X119" i="1"/>
  <c r="AG119" i="1"/>
  <c r="W119" i="1" s="1"/>
  <c r="T217" i="1"/>
  <c r="X213" i="1"/>
  <c r="AG208" i="1"/>
  <c r="AI208" i="1" s="1"/>
  <c r="X208" i="1"/>
  <c r="T203" i="1"/>
  <c r="W200" i="1"/>
  <c r="AG199" i="1"/>
  <c r="T158" i="1"/>
  <c r="X142" i="1"/>
  <c r="X131" i="1"/>
  <c r="AG131" i="1"/>
  <c r="U131" i="1" s="1"/>
  <c r="U126" i="1"/>
  <c r="S126" i="1" s="1"/>
  <c r="AI118" i="1"/>
  <c r="AI94" i="1"/>
  <c r="AI77" i="1"/>
  <c r="AG217" i="1"/>
  <c r="AG214" i="1"/>
  <c r="W214" i="1" s="1"/>
  <c r="AI213" i="1"/>
  <c r="AA205" i="1"/>
  <c r="AA204" i="1"/>
  <c r="W204" i="1" s="1"/>
  <c r="AG203" i="1"/>
  <c r="U203" i="1" s="1"/>
  <c r="S203" i="1" s="1"/>
  <c r="X199" i="1"/>
  <c r="AG163" i="1"/>
  <c r="X161" i="1"/>
  <c r="AG158" i="1"/>
  <c r="AG152" i="1"/>
  <c r="W152" i="1" s="1"/>
  <c r="AG151" i="1"/>
  <c r="AA149" i="1"/>
  <c r="AA148" i="1"/>
  <c r="AA143" i="1"/>
  <c r="W143" i="1" s="1"/>
  <c r="AG140" i="1"/>
  <c r="AI140" i="1" s="1"/>
  <c r="X138" i="1"/>
  <c r="AG135" i="1"/>
  <c r="AA133" i="1"/>
  <c r="AG130" i="1"/>
  <c r="U130" i="1" s="1"/>
  <c r="S130" i="1" s="1"/>
  <c r="X122" i="1"/>
  <c r="AG122" i="1"/>
  <c r="U122" i="1" s="1"/>
  <c r="S122" i="1" s="1"/>
  <c r="T119" i="1"/>
  <c r="W217" i="1"/>
  <c r="AA209" i="1"/>
  <c r="AA208" i="1"/>
  <c r="U207" i="1"/>
  <c r="S207" i="1" s="1"/>
  <c r="X150" i="1"/>
  <c r="X134" i="1"/>
  <c r="AI81" i="1"/>
  <c r="W179" i="1"/>
  <c r="W94" i="1"/>
  <c r="T86" i="1"/>
  <c r="T73" i="1"/>
  <c r="W37" i="1"/>
  <c r="T36" i="1"/>
  <c r="U36" i="1" s="1"/>
  <c r="S36" i="1" s="1"/>
  <c r="AA34" i="1"/>
  <c r="X32" i="1"/>
  <c r="T28" i="1"/>
  <c r="U28" i="1" s="1"/>
  <c r="S28" i="1" s="1"/>
  <c r="AA22" i="1"/>
  <c r="X20" i="1"/>
  <c r="X16" i="1"/>
  <c r="AA114" i="1"/>
  <c r="AA110" i="1"/>
  <c r="AA108" i="1"/>
  <c r="AA104" i="1"/>
  <c r="AA195" i="1"/>
  <c r="AA192" i="1"/>
  <c r="AG183" i="1"/>
  <c r="U183" i="1" s="1"/>
  <c r="S183" i="1" s="1"/>
  <c r="AG181" i="1"/>
  <c r="AI181" i="1" s="1"/>
  <c r="AA177" i="1"/>
  <c r="AG98" i="1"/>
  <c r="AG96" i="1"/>
  <c r="X91" i="1"/>
  <c r="AG88" i="1"/>
  <c r="AG86" i="1"/>
  <c r="X83" i="1"/>
  <c r="AG79" i="1"/>
  <c r="AI79" i="1" s="1"/>
  <c r="AG73" i="1"/>
  <c r="AG71" i="1"/>
  <c r="AI71" i="1" s="1"/>
  <c r="T69" i="1"/>
  <c r="AA67" i="1"/>
  <c r="T65" i="1"/>
  <c r="AA63" i="1"/>
  <c r="T61" i="1"/>
  <c r="AA59" i="1"/>
  <c r="T57" i="1"/>
  <c r="AA55" i="1"/>
  <c r="T53" i="1"/>
  <c r="AA52" i="1"/>
  <c r="T52" i="1"/>
  <c r="U52" i="1" s="1"/>
  <c r="S52" i="1" s="1"/>
  <c r="AA41" i="1"/>
  <c r="W41" i="1" s="1"/>
  <c r="AG39" i="1"/>
  <c r="AA25" i="1"/>
  <c r="W25" i="1" s="1"/>
  <c r="T24" i="1"/>
  <c r="U24" i="1" s="1"/>
  <c r="S24" i="1" s="1"/>
  <c r="AA14" i="1"/>
  <c r="AA129" i="1"/>
  <c r="AA128" i="1"/>
  <c r="AA123" i="1"/>
  <c r="AA117" i="1"/>
  <c r="AA116" i="1"/>
  <c r="W116" i="1" s="1"/>
  <c r="AG114" i="1"/>
  <c r="X113" i="1"/>
  <c r="AG110" i="1"/>
  <c r="X212" i="1"/>
  <c r="AG108" i="1"/>
  <c r="U108" i="1" s="1"/>
  <c r="X107" i="1"/>
  <c r="AG104" i="1"/>
  <c r="U104" i="1" s="1"/>
  <c r="X103" i="1"/>
  <c r="AG195" i="1"/>
  <c r="U195" i="1" s="1"/>
  <c r="X194" i="1"/>
  <c r="AG192" i="1"/>
  <c r="U192" i="1" s="1"/>
  <c r="X191" i="1"/>
  <c r="X101" i="1"/>
  <c r="AG177" i="1"/>
  <c r="AA100" i="1"/>
  <c r="X99" i="1"/>
  <c r="AA92" i="1"/>
  <c r="AI90" i="1"/>
  <c r="AA84" i="1"/>
  <c r="X80" i="1"/>
  <c r="T77" i="1"/>
  <c r="U77" i="1" s="1"/>
  <c r="S77" i="1" s="1"/>
  <c r="X74" i="1"/>
  <c r="X72" i="1"/>
  <c r="AG69" i="1"/>
  <c r="AG67" i="1"/>
  <c r="AI67" i="1" s="1"/>
  <c r="AG65" i="1"/>
  <c r="W65" i="1" s="1"/>
  <c r="AG63" i="1"/>
  <c r="AI63" i="1" s="1"/>
  <c r="AG61" i="1"/>
  <c r="AG59" i="1"/>
  <c r="AI59" i="1" s="1"/>
  <c r="AG57" i="1"/>
  <c r="AG55" i="1"/>
  <c r="U55" i="1" s="1"/>
  <c r="AG53" i="1"/>
  <c r="AA45" i="1"/>
  <c r="W45" i="1" s="1"/>
  <c r="AG43" i="1"/>
  <c r="AI43" i="1" s="1"/>
  <c r="X36" i="1"/>
  <c r="AA33" i="1"/>
  <c r="T32" i="1"/>
  <c r="X28" i="1"/>
  <c r="AA21" i="1"/>
  <c r="T20" i="1"/>
  <c r="U20" i="1" s="1"/>
  <c r="S20" i="1" s="1"/>
  <c r="AA125" i="1"/>
  <c r="AA124" i="1"/>
  <c r="W124" i="1" s="1"/>
  <c r="X118" i="1"/>
  <c r="AG196" i="1"/>
  <c r="AI196" i="1" s="1"/>
  <c r="AG193" i="1"/>
  <c r="AI193" i="1" s="1"/>
  <c r="X189" i="1"/>
  <c r="T187" i="1"/>
  <c r="AA184" i="1"/>
  <c r="AA182" i="1"/>
  <c r="X180" i="1"/>
  <c r="AG100" i="1"/>
  <c r="AA173" i="1"/>
  <c r="W173" i="1" s="1"/>
  <c r="T173" i="1"/>
  <c r="AA170" i="1"/>
  <c r="W170" i="1" s="1"/>
  <c r="AA97" i="1"/>
  <c r="W97" i="1" s="1"/>
  <c r="X95" i="1"/>
  <c r="AG92" i="1"/>
  <c r="AI92" i="1" s="1"/>
  <c r="AA91" i="1"/>
  <c r="W91" i="1" s="1"/>
  <c r="T91" i="1"/>
  <c r="X87" i="1"/>
  <c r="AG84" i="1"/>
  <c r="AI84" i="1" s="1"/>
  <c r="AA83" i="1"/>
  <c r="W83" i="1" s="1"/>
  <c r="T83" i="1"/>
  <c r="U83" i="1" s="1"/>
  <c r="S83" i="1" s="1"/>
  <c r="AA82" i="1"/>
  <c r="W82" i="1" s="1"/>
  <c r="AG75" i="1"/>
  <c r="AI75" i="1" s="1"/>
  <c r="X70" i="1"/>
  <c r="X68" i="1"/>
  <c r="X64" i="1"/>
  <c r="X60" i="1"/>
  <c r="X56" i="1"/>
  <c r="X52" i="1"/>
  <c r="AA49" i="1"/>
  <c r="W49" i="1" s="1"/>
  <c r="AG47" i="1"/>
  <c r="AA42" i="1"/>
  <c r="AG33" i="1"/>
  <c r="AA26" i="1"/>
  <c r="X24" i="1"/>
  <c r="AG21" i="1"/>
  <c r="U16" i="1"/>
  <c r="AI216" i="1"/>
  <c r="AI200" i="1"/>
  <c r="AI204" i="1"/>
  <c r="W210" i="1"/>
  <c r="AI212" i="1"/>
  <c r="X216" i="1"/>
  <c r="T216" i="1"/>
  <c r="U216" i="1" s="1"/>
  <c r="S216" i="1" s="1"/>
  <c r="X210" i="1"/>
  <c r="T210" i="1"/>
  <c r="U210" i="1" s="1"/>
  <c r="S210" i="1" s="1"/>
  <c r="X206" i="1"/>
  <c r="T206" i="1"/>
  <c r="U206" i="1" s="1"/>
  <c r="S206" i="1" s="1"/>
  <c r="X202" i="1"/>
  <c r="T202" i="1"/>
  <c r="U202" i="1" s="1"/>
  <c r="S202" i="1" s="1"/>
  <c r="X198" i="1"/>
  <c r="T198" i="1"/>
  <c r="U198" i="1" s="1"/>
  <c r="S198" i="1" s="1"/>
  <c r="X154" i="1"/>
  <c r="T153" i="1"/>
  <c r="X153" i="1"/>
  <c r="AG153" i="1"/>
  <c r="AI153" i="1" s="1"/>
  <c r="W212" i="1"/>
  <c r="W103" i="1"/>
  <c r="W194" i="1"/>
  <c r="U214" i="1"/>
  <c r="S214" i="1" s="1"/>
  <c r="U204" i="1"/>
  <c r="S204" i="1" s="1"/>
  <c r="U200" i="1"/>
  <c r="S200" i="1" s="1"/>
  <c r="AI187" i="1"/>
  <c r="AI143" i="1"/>
  <c r="U212" i="1"/>
  <c r="S212" i="1" s="1"/>
  <c r="AI135" i="1"/>
  <c r="U107" i="1"/>
  <c r="S107" i="1" s="1"/>
  <c r="U103" i="1"/>
  <c r="S103" i="1" s="1"/>
  <c r="AI123" i="1"/>
  <c r="U191" i="1"/>
  <c r="S191" i="1" s="1"/>
  <c r="AG215" i="1"/>
  <c r="AG209" i="1"/>
  <c r="AI209" i="1" s="1"/>
  <c r="AG205" i="1"/>
  <c r="AI205" i="1" s="1"/>
  <c r="AG201" i="1"/>
  <c r="AI201" i="1" s="1"/>
  <c r="T160" i="1"/>
  <c r="X160" i="1"/>
  <c r="T159" i="1"/>
  <c r="T156" i="1"/>
  <c r="X156" i="1"/>
  <c r="X215" i="1"/>
  <c r="AI214" i="1"/>
  <c r="X209" i="1"/>
  <c r="AI210" i="1"/>
  <c r="X205" i="1"/>
  <c r="AI206" i="1"/>
  <c r="X201" i="1"/>
  <c r="AI202" i="1"/>
  <c r="AI198" i="1"/>
  <c r="AG160" i="1"/>
  <c r="AI160" i="1" s="1"/>
  <c r="AG159" i="1"/>
  <c r="T157" i="1"/>
  <c r="X157" i="1"/>
  <c r="AG157" i="1"/>
  <c r="AI157" i="1" s="1"/>
  <c r="AG156" i="1"/>
  <c r="U111" i="1"/>
  <c r="S111" i="1" s="1"/>
  <c r="U105" i="1"/>
  <c r="S105" i="1" s="1"/>
  <c r="U196" i="1"/>
  <c r="U193" i="1"/>
  <c r="S193" i="1" s="1"/>
  <c r="AI120" i="1"/>
  <c r="U144" i="1"/>
  <c r="S144" i="1" s="1"/>
  <c r="U140" i="1"/>
  <c r="S140" i="1" s="1"/>
  <c r="U128" i="1"/>
  <c r="S128" i="1" s="1"/>
  <c r="U124" i="1"/>
  <c r="S124" i="1" s="1"/>
  <c r="U116" i="1"/>
  <c r="S116" i="1" s="1"/>
  <c r="X115" i="1"/>
  <c r="AI144" i="1"/>
  <c r="AG112" i="1"/>
  <c r="X111" i="1"/>
  <c r="AG211" i="1"/>
  <c r="X109" i="1"/>
  <c r="S108" i="1"/>
  <c r="AG106" i="1"/>
  <c r="AI106" i="1" s="1"/>
  <c r="X105" i="1"/>
  <c r="S104" i="1"/>
  <c r="AG197" i="1"/>
  <c r="AI197" i="1" s="1"/>
  <c r="X196" i="1"/>
  <c r="S195" i="1"/>
  <c r="AG102" i="1"/>
  <c r="AI102" i="1" s="1"/>
  <c r="X193" i="1"/>
  <c r="AI124" i="1"/>
  <c r="S192" i="1"/>
  <c r="AG190" i="1"/>
  <c r="AI190" i="1" s="1"/>
  <c r="AI113" i="1"/>
  <c r="AI103" i="1"/>
  <c r="AI97" i="1"/>
  <c r="AI91" i="1"/>
  <c r="U91" i="1"/>
  <c r="S91" i="1" s="1"/>
  <c r="AI83" i="1"/>
  <c r="X152" i="1"/>
  <c r="AI186" i="1"/>
  <c r="AG149" i="1"/>
  <c r="X148" i="1"/>
  <c r="AI182" i="1"/>
  <c r="AG145" i="1"/>
  <c r="AI145" i="1" s="1"/>
  <c r="X144" i="1"/>
  <c r="AI178" i="1"/>
  <c r="AG141" i="1"/>
  <c r="X140" i="1"/>
  <c r="AI174" i="1"/>
  <c r="AG137" i="1"/>
  <c r="X136" i="1"/>
  <c r="AI170" i="1"/>
  <c r="AG133" i="1"/>
  <c r="AI133" i="1" s="1"/>
  <c r="X132" i="1"/>
  <c r="AI161" i="1"/>
  <c r="S131" i="1"/>
  <c r="AG129" i="1"/>
  <c r="W129" i="1" s="1"/>
  <c r="X128" i="1"/>
  <c r="AG125" i="1"/>
  <c r="W125" i="1" s="1"/>
  <c r="X124" i="1"/>
  <c r="AG121" i="1"/>
  <c r="AI121" i="1" s="1"/>
  <c r="X120" i="1"/>
  <c r="AI149" i="1"/>
  <c r="AG117" i="1"/>
  <c r="X116" i="1"/>
  <c r="X112" i="1"/>
  <c r="T112" i="1"/>
  <c r="AI141" i="1"/>
  <c r="X211" i="1"/>
  <c r="T211" i="1"/>
  <c r="AI137" i="1"/>
  <c r="X106" i="1"/>
  <c r="T106" i="1"/>
  <c r="X197" i="1"/>
  <c r="T197" i="1"/>
  <c r="S196" i="1"/>
  <c r="X102" i="1"/>
  <c r="T102" i="1"/>
  <c r="X190" i="1"/>
  <c r="T190" i="1"/>
  <c r="U189" i="1"/>
  <c r="S189" i="1" s="1"/>
  <c r="AI119" i="1"/>
  <c r="U187" i="1"/>
  <c r="S187" i="1" s="1"/>
  <c r="U101" i="1"/>
  <c r="S101" i="1" s="1"/>
  <c r="W180" i="1"/>
  <c r="W174" i="1"/>
  <c r="AI99" i="1"/>
  <c r="U99" i="1"/>
  <c r="S99" i="1" s="1"/>
  <c r="AI93" i="1"/>
  <c r="AI85" i="1"/>
  <c r="X149" i="1"/>
  <c r="T149" i="1"/>
  <c r="AI183" i="1"/>
  <c r="X145" i="1"/>
  <c r="T145" i="1"/>
  <c r="AI179" i="1"/>
  <c r="X141" i="1"/>
  <c r="T141" i="1"/>
  <c r="AI175" i="1"/>
  <c r="X137" i="1"/>
  <c r="T137" i="1"/>
  <c r="AI171" i="1"/>
  <c r="X133" i="1"/>
  <c r="T133" i="1"/>
  <c r="X129" i="1"/>
  <c r="T129" i="1"/>
  <c r="AI158" i="1"/>
  <c r="X125" i="1"/>
  <c r="T125" i="1"/>
  <c r="AI154" i="1"/>
  <c r="X121" i="1"/>
  <c r="X117" i="1"/>
  <c r="T117" i="1"/>
  <c r="AI146" i="1"/>
  <c r="X187" i="1"/>
  <c r="AG185" i="1"/>
  <c r="AI185" i="1" s="1"/>
  <c r="X186" i="1"/>
  <c r="T185" i="1"/>
  <c r="X185" i="1"/>
  <c r="W184" i="1"/>
  <c r="AI111" i="1"/>
  <c r="U180" i="1"/>
  <c r="S180" i="1" s="1"/>
  <c r="AI105" i="1"/>
  <c r="AI95" i="1"/>
  <c r="U95" i="1"/>
  <c r="S95" i="1" s="1"/>
  <c r="AI87" i="1"/>
  <c r="U87" i="1"/>
  <c r="S87" i="1" s="1"/>
  <c r="T188" i="1"/>
  <c r="U188" i="1" s="1"/>
  <c r="S188" i="1" s="1"/>
  <c r="X188" i="1"/>
  <c r="AI116" i="1"/>
  <c r="W182" i="1"/>
  <c r="AI107" i="1"/>
  <c r="U176" i="1"/>
  <c r="S176" i="1" s="1"/>
  <c r="AI101" i="1"/>
  <c r="U92" i="1"/>
  <c r="S92" i="1" s="1"/>
  <c r="AI89" i="1"/>
  <c r="U84" i="1"/>
  <c r="X182" i="1"/>
  <c r="T182" i="1"/>
  <c r="U182" i="1" s="1"/>
  <c r="S182" i="1" s="1"/>
  <c r="AI112" i="1"/>
  <c r="X178" i="1"/>
  <c r="T178" i="1"/>
  <c r="U178" i="1" s="1"/>
  <c r="S178" i="1" s="1"/>
  <c r="AI108" i="1"/>
  <c r="T174" i="1"/>
  <c r="U174" i="1" s="1"/>
  <c r="S174" i="1" s="1"/>
  <c r="T171" i="1"/>
  <c r="U171" i="1" s="1"/>
  <c r="S171" i="1" s="1"/>
  <c r="AI100" i="1"/>
  <c r="X97" i="1"/>
  <c r="T97" i="1"/>
  <c r="U97" i="1" s="1"/>
  <c r="S97" i="1" s="1"/>
  <c r="AI96" i="1"/>
  <c r="X93" i="1"/>
  <c r="T93" i="1"/>
  <c r="U93" i="1" s="1"/>
  <c r="S93" i="1" s="1"/>
  <c r="X89" i="1"/>
  <c r="T89" i="1"/>
  <c r="U89" i="1" s="1"/>
  <c r="S89" i="1" s="1"/>
  <c r="X85" i="1"/>
  <c r="T85" i="1"/>
  <c r="U85" i="1" s="1"/>
  <c r="S85" i="1" s="1"/>
  <c r="S84" i="1"/>
  <c r="AI82" i="1"/>
  <c r="X183" i="1"/>
  <c r="X179" i="1"/>
  <c r="X98" i="1"/>
  <c r="X94" i="1"/>
  <c r="X90" i="1"/>
  <c r="X82" i="1"/>
  <c r="U80" i="1"/>
  <c r="S80" i="1" s="1"/>
  <c r="AI80" i="1"/>
  <c r="AI74" i="1"/>
  <c r="U74" i="1"/>
  <c r="S74" i="1" s="1"/>
  <c r="U72" i="1"/>
  <c r="S72" i="1" s="1"/>
  <c r="AI72" i="1"/>
  <c r="W70" i="1"/>
  <c r="W64" i="1"/>
  <c r="W60" i="1"/>
  <c r="W56" i="1"/>
  <c r="W52" i="1"/>
  <c r="AI70" i="1"/>
  <c r="U68" i="1"/>
  <c r="S68" i="1" s="1"/>
  <c r="AI68" i="1"/>
  <c r="U64" i="1"/>
  <c r="S64" i="1" s="1"/>
  <c r="AI64" i="1"/>
  <c r="U60" i="1"/>
  <c r="S60" i="1" s="1"/>
  <c r="AI60" i="1"/>
  <c r="U56" i="1"/>
  <c r="S56" i="1" s="1"/>
  <c r="AI56" i="1"/>
  <c r="AI52" i="1"/>
  <c r="X184" i="1"/>
  <c r="X181" i="1"/>
  <c r="X177" i="1"/>
  <c r="X100" i="1"/>
  <c r="X96" i="1"/>
  <c r="X92" i="1"/>
  <c r="X88" i="1"/>
  <c r="X84" i="1"/>
  <c r="T82" i="1"/>
  <c r="U82" i="1" s="1"/>
  <c r="S82" i="1" s="1"/>
  <c r="AI78" i="1"/>
  <c r="U78" i="1"/>
  <c r="S78" i="1" s="1"/>
  <c r="AI76" i="1"/>
  <c r="U75" i="1"/>
  <c r="S75" i="1" s="1"/>
  <c r="AI66" i="1"/>
  <c r="U66" i="1"/>
  <c r="S66" i="1" s="1"/>
  <c r="AI62" i="1"/>
  <c r="AI58" i="1"/>
  <c r="AI54" i="1"/>
  <c r="U54" i="1"/>
  <c r="X81" i="1"/>
  <c r="X50" i="1"/>
  <c r="AI36" i="1"/>
  <c r="AI28" i="1"/>
  <c r="W24" i="1"/>
  <c r="U71" i="1"/>
  <c r="S71" i="1" s="1"/>
  <c r="U67" i="1"/>
  <c r="S67" i="1" s="1"/>
  <c r="U59" i="1"/>
  <c r="S59" i="1" s="1"/>
  <c r="U51" i="1"/>
  <c r="S51" i="1" s="1"/>
  <c r="U40" i="1"/>
  <c r="AI40" i="1"/>
  <c r="AI24" i="1"/>
  <c r="W20" i="1"/>
  <c r="X79" i="1"/>
  <c r="X75" i="1"/>
  <c r="X71" i="1"/>
  <c r="X67" i="1"/>
  <c r="X63" i="1"/>
  <c r="X59" i="1"/>
  <c r="X55" i="1"/>
  <c r="X51" i="1"/>
  <c r="W50" i="1"/>
  <c r="T50" i="1"/>
  <c r="U50" i="1" s="1"/>
  <c r="U44" i="1"/>
  <c r="S44" i="1" s="1"/>
  <c r="AI44" i="1"/>
  <c r="U43" i="1"/>
  <c r="U32" i="1"/>
  <c r="S32" i="1" s="1"/>
  <c r="AI32" i="1"/>
  <c r="AI20" i="1"/>
  <c r="AI50" i="1"/>
  <c r="U48" i="1"/>
  <c r="AI48" i="1"/>
  <c r="U45" i="1"/>
  <c r="S45" i="1" s="1"/>
  <c r="U41" i="1"/>
  <c r="S41" i="1" s="1"/>
  <c r="U37" i="1"/>
  <c r="U25" i="1"/>
  <c r="AG46" i="1"/>
  <c r="AG42" i="1"/>
  <c r="AG38" i="1"/>
  <c r="AG34" i="1"/>
  <c r="AG30" i="1"/>
  <c r="AG26" i="1"/>
  <c r="AG22" i="1"/>
  <c r="AG18" i="1"/>
  <c r="AG14" i="1"/>
  <c r="X46" i="1"/>
  <c r="X42" i="1"/>
  <c r="X38" i="1"/>
  <c r="AG35" i="1"/>
  <c r="X34" i="1"/>
  <c r="AG31" i="1"/>
  <c r="X30" i="1"/>
  <c r="AG27" i="1"/>
  <c r="X26" i="1"/>
  <c r="AG23" i="1"/>
  <c r="X22" i="1"/>
  <c r="AG19" i="1"/>
  <c r="X18" i="1"/>
  <c r="AG15" i="1"/>
  <c r="X47" i="1"/>
  <c r="X43" i="1"/>
  <c r="X39" i="1"/>
  <c r="X35" i="1"/>
  <c r="X31" i="1"/>
  <c r="X27" i="1"/>
  <c r="X23" i="1"/>
  <c r="X19" i="1"/>
  <c r="X15" i="1"/>
  <c r="Y27" i="3"/>
  <c r="T16" i="3"/>
  <c r="Y33" i="3"/>
  <c r="AE12" i="3"/>
  <c r="Y12" i="3"/>
  <c r="AD22" i="3"/>
  <c r="AD17" i="3"/>
  <c r="AE17" i="3"/>
  <c r="AD12" i="3"/>
  <c r="AD9" i="3"/>
  <c r="AE9" i="3"/>
  <c r="AD26" i="3"/>
  <c r="AD13" i="3"/>
  <c r="AD24" i="3"/>
  <c r="T27" i="3"/>
  <c r="T33" i="3"/>
  <c r="AE11" i="3"/>
  <c r="AD8" i="3"/>
  <c r="T26" i="3"/>
  <c r="T17" i="3"/>
  <c r="T11" i="3"/>
  <c r="Y22" i="3"/>
  <c r="Y26" i="3"/>
  <c r="AE32" i="3"/>
  <c r="AC7" i="3"/>
  <c r="Y17" i="3"/>
  <c r="T12" i="3"/>
  <c r="AE21" i="3"/>
  <c r="T13" i="3"/>
  <c r="Y11" i="3"/>
  <c r="AE15" i="3"/>
  <c r="AE13" i="3"/>
  <c r="T32" i="3"/>
  <c r="AE33" i="3"/>
  <c r="AC15" i="3"/>
  <c r="Y9" i="3"/>
  <c r="AE16" i="3"/>
  <c r="Y30" i="3"/>
  <c r="AE23" i="3"/>
  <c r="T10" i="3"/>
  <c r="AD31" i="3"/>
  <c r="AE30" i="3"/>
  <c r="T7" i="3"/>
  <c r="AD27" i="3"/>
  <c r="AE26" i="3"/>
  <c r="T15" i="3"/>
  <c r="AD23" i="3"/>
  <c r="AE22" i="3"/>
  <c r="T23" i="3"/>
  <c r="AD19" i="3"/>
  <c r="AE18" i="3"/>
  <c r="T20" i="3"/>
  <c r="AD15" i="3"/>
  <c r="AE14" i="3"/>
  <c r="T19" i="3"/>
  <c r="AD11" i="3"/>
  <c r="AE10" i="3"/>
  <c r="T31" i="3"/>
  <c r="AC29" i="3"/>
  <c r="AE31" i="3"/>
  <c r="T8" i="3"/>
  <c r="AE27" i="3"/>
  <c r="T24" i="3"/>
  <c r="AD18" i="3"/>
  <c r="AD14" i="3"/>
  <c r="AD10" i="3"/>
  <c r="AE8" i="3"/>
  <c r="S28" i="3"/>
  <c r="R28" i="3"/>
  <c r="M28" i="3"/>
  <c r="U28" i="3"/>
  <c r="V28" i="3"/>
  <c r="W28" i="3"/>
  <c r="X28" i="3"/>
  <c r="W26" i="1" l="1"/>
  <c r="U29" i="1"/>
  <c r="S29" i="1" s="1"/>
  <c r="AI127" i="1"/>
  <c r="W96" i="1"/>
  <c r="W111" i="1"/>
  <c r="U173" i="1"/>
  <c r="S173" i="1" s="1"/>
  <c r="U132" i="1"/>
  <c r="S132" i="1" s="1"/>
  <c r="W123" i="1"/>
  <c r="U79" i="1"/>
  <c r="S79" i="1" s="1"/>
  <c r="AI132" i="1"/>
  <c r="AI136" i="1"/>
  <c r="W159" i="1"/>
  <c r="AI131" i="1"/>
  <c r="AI139" i="1"/>
  <c r="W163" i="1"/>
  <c r="U118" i="1"/>
  <c r="S118" i="1" s="1"/>
  <c r="W120" i="1"/>
  <c r="W139" i="1"/>
  <c r="W172" i="1"/>
  <c r="AI33" i="1"/>
  <c r="AI55" i="1"/>
  <c r="S55" i="1"/>
  <c r="U100" i="1"/>
  <c r="S100" i="1" s="1"/>
  <c r="U96" i="1"/>
  <c r="S96" i="1" s="1"/>
  <c r="S127" i="1"/>
  <c r="AI21" i="1"/>
  <c r="S21" i="1"/>
  <c r="W57" i="1"/>
  <c r="W127" i="1"/>
  <c r="AI37" i="1"/>
  <c r="S37" i="1"/>
  <c r="S25" i="1"/>
  <c r="AI25" i="1"/>
  <c r="W35" i="1"/>
  <c r="W14" i="1"/>
  <c r="W46" i="1"/>
  <c r="U33" i="1"/>
  <c r="S33" i="1" s="1"/>
  <c r="W18" i="1"/>
  <c r="U63" i="1"/>
  <c r="S63" i="1" s="1"/>
  <c r="S47" i="1"/>
  <c r="AI17" i="1"/>
  <c r="S17" i="1"/>
  <c r="W31" i="1"/>
  <c r="W22" i="1"/>
  <c r="W38" i="1"/>
  <c r="AI104" i="1"/>
  <c r="W117" i="1"/>
  <c r="U151" i="1"/>
  <c r="S151" i="1" s="1"/>
  <c r="AI16" i="1"/>
  <c r="S16" i="1"/>
  <c r="U49" i="1"/>
  <c r="S49" i="1" s="1"/>
  <c r="W147" i="1"/>
  <c r="AI150" i="1"/>
  <c r="AI162" i="1"/>
  <c r="U148" i="1"/>
  <c r="S148" i="1" s="1"/>
  <c r="U21" i="1"/>
  <c r="W42" i="1"/>
  <c r="U181" i="1"/>
  <c r="S181" i="1" s="1"/>
  <c r="U109" i="1"/>
  <c r="S109" i="1" s="1"/>
  <c r="AI49" i="1"/>
  <c r="AI109" i="1"/>
  <c r="AI115" i="1"/>
  <c r="U208" i="1"/>
  <c r="S208" i="1" s="1"/>
  <c r="W208" i="1"/>
  <c r="W150" i="1"/>
  <c r="W115" i="1"/>
  <c r="W55" i="1"/>
  <c r="W63" i="1"/>
  <c r="W104" i="1"/>
  <c r="U199" i="1"/>
  <c r="S199" i="1" s="1"/>
  <c r="W128" i="1"/>
  <c r="U135" i="1"/>
  <c r="S135" i="1" s="1"/>
  <c r="W148" i="1"/>
  <c r="U158" i="1"/>
  <c r="S158" i="1" s="1"/>
  <c r="W16" i="1"/>
  <c r="W185" i="1"/>
  <c r="U163" i="1"/>
  <c r="S163" i="1" s="1"/>
  <c r="W181" i="1"/>
  <c r="W162" i="1"/>
  <c r="U47" i="1"/>
  <c r="AI47" i="1"/>
  <c r="W92" i="1"/>
  <c r="U114" i="1"/>
  <c r="S114" i="1" s="1"/>
  <c r="AI114" i="1"/>
  <c r="U73" i="1"/>
  <c r="S73" i="1" s="1"/>
  <c r="AI73" i="1"/>
  <c r="W177" i="1"/>
  <c r="W193" i="1"/>
  <c r="W108" i="1"/>
  <c r="W43" i="1"/>
  <c r="U119" i="1"/>
  <c r="S119" i="1" s="1"/>
  <c r="W33" i="1"/>
  <c r="U53" i="1"/>
  <c r="S53" i="1" s="1"/>
  <c r="AI53" i="1"/>
  <c r="U61" i="1"/>
  <c r="S61" i="1" s="1"/>
  <c r="AI61" i="1"/>
  <c r="U69" i="1"/>
  <c r="S69" i="1" s="1"/>
  <c r="AI69" i="1"/>
  <c r="U39" i="1"/>
  <c r="AI39" i="1"/>
  <c r="W59" i="1"/>
  <c r="W67" i="1"/>
  <c r="W75" i="1"/>
  <c r="U86" i="1"/>
  <c r="S86" i="1" s="1"/>
  <c r="AI86" i="1"/>
  <c r="U98" i="1"/>
  <c r="S98" i="1" s="1"/>
  <c r="AI98" i="1"/>
  <c r="W195" i="1"/>
  <c r="W110" i="1"/>
  <c r="W53" i="1"/>
  <c r="W69" i="1"/>
  <c r="W79" i="1"/>
  <c r="U217" i="1"/>
  <c r="S217" i="1" s="1"/>
  <c r="AI217" i="1"/>
  <c r="W122" i="1"/>
  <c r="W130" i="1"/>
  <c r="W135" i="1"/>
  <c r="W151" i="1"/>
  <c r="W134" i="1"/>
  <c r="W156" i="1"/>
  <c r="AI156" i="1"/>
  <c r="W21" i="1"/>
  <c r="W84" i="1"/>
  <c r="W100" i="1"/>
  <c r="U110" i="1"/>
  <c r="S110" i="1" s="1"/>
  <c r="AI110" i="1"/>
  <c r="U88" i="1"/>
  <c r="S88" i="1" s="1"/>
  <c r="AI88" i="1"/>
  <c r="W196" i="1"/>
  <c r="W114" i="1"/>
  <c r="W71" i="1"/>
  <c r="W88" i="1"/>
  <c r="W86" i="1"/>
  <c r="W98" i="1"/>
  <c r="W39" i="1"/>
  <c r="W131" i="1"/>
  <c r="W140" i="1"/>
  <c r="AI125" i="1"/>
  <c r="AI129" i="1"/>
  <c r="U57" i="1"/>
  <c r="S57" i="1" s="1"/>
  <c r="AI57" i="1"/>
  <c r="U65" i="1"/>
  <c r="S65" i="1" s="1"/>
  <c r="AI65" i="1"/>
  <c r="U177" i="1"/>
  <c r="S177" i="1" s="1"/>
  <c r="AI177" i="1"/>
  <c r="W47" i="1"/>
  <c r="W192" i="1"/>
  <c r="W61" i="1"/>
  <c r="W73" i="1"/>
  <c r="U152" i="1"/>
  <c r="S152" i="1" s="1"/>
  <c r="AI152" i="1"/>
  <c r="W183" i="1"/>
  <c r="W158" i="1"/>
  <c r="W203" i="1"/>
  <c r="W199" i="1"/>
  <c r="AI26" i="1"/>
  <c r="U26" i="1"/>
  <c r="S26" i="1" s="1"/>
  <c r="AI42" i="1"/>
  <c r="U42" i="1"/>
  <c r="S42" i="1" s="1"/>
  <c r="AI199" i="1"/>
  <c r="U215" i="1"/>
  <c r="S215" i="1" s="1"/>
  <c r="AI215" i="1"/>
  <c r="AI188" i="1"/>
  <c r="U153" i="1"/>
  <c r="S153" i="1" s="1"/>
  <c r="U23" i="1"/>
  <c r="S23" i="1" s="1"/>
  <c r="AI23" i="1"/>
  <c r="U31" i="1"/>
  <c r="S31" i="1" s="1"/>
  <c r="AI31" i="1"/>
  <c r="AI22" i="1"/>
  <c r="U22" i="1"/>
  <c r="S22" i="1" s="1"/>
  <c r="U19" i="1"/>
  <c r="S19" i="1" s="1"/>
  <c r="AI19" i="1"/>
  <c r="U27" i="1"/>
  <c r="S27" i="1" s="1"/>
  <c r="AI27" i="1"/>
  <c r="U35" i="1"/>
  <c r="S35" i="1" s="1"/>
  <c r="AI35" i="1"/>
  <c r="AI14" i="1"/>
  <c r="U14" i="1"/>
  <c r="S14" i="1" s="1"/>
  <c r="AI30" i="1"/>
  <c r="U30" i="1"/>
  <c r="S30" i="1" s="1"/>
  <c r="AI46" i="1"/>
  <c r="U46" i="1"/>
  <c r="S46" i="1" s="1"/>
  <c r="W19" i="1"/>
  <c r="AI147" i="1"/>
  <c r="U117" i="1"/>
  <c r="S117" i="1" s="1"/>
  <c r="AI151" i="1"/>
  <c r="U121" i="1"/>
  <c r="S121" i="1" s="1"/>
  <c r="AI155" i="1"/>
  <c r="U125" i="1"/>
  <c r="S125" i="1" s="1"/>
  <c r="AI159" i="1"/>
  <c r="U129" i="1"/>
  <c r="S129" i="1" s="1"/>
  <c r="AI163" i="1"/>
  <c r="U133" i="1"/>
  <c r="S133" i="1" s="1"/>
  <c r="AI172" i="1"/>
  <c r="U137" i="1"/>
  <c r="S137" i="1" s="1"/>
  <c r="AI176" i="1"/>
  <c r="U141" i="1"/>
  <c r="S141" i="1" s="1"/>
  <c r="AI180" i="1"/>
  <c r="U145" i="1"/>
  <c r="S145" i="1" s="1"/>
  <c r="AI184" i="1"/>
  <c r="U149" i="1"/>
  <c r="S149" i="1" s="1"/>
  <c r="AI122" i="1"/>
  <c r="U190" i="1"/>
  <c r="S190" i="1" s="1"/>
  <c r="AI126" i="1"/>
  <c r="U102" i="1"/>
  <c r="S102" i="1" s="1"/>
  <c r="AI130" i="1"/>
  <c r="U197" i="1"/>
  <c r="S197" i="1" s="1"/>
  <c r="AI134" i="1"/>
  <c r="U106" i="1"/>
  <c r="S106" i="1" s="1"/>
  <c r="AI138" i="1"/>
  <c r="U211" i="1"/>
  <c r="S211" i="1" s="1"/>
  <c r="AI142" i="1"/>
  <c r="U112" i="1"/>
  <c r="S112" i="1" s="1"/>
  <c r="W153" i="1"/>
  <c r="U201" i="1"/>
  <c r="S201" i="1" s="1"/>
  <c r="AI203" i="1"/>
  <c r="W190" i="1"/>
  <c r="W102" i="1"/>
  <c r="W197" i="1"/>
  <c r="W106" i="1"/>
  <c r="W211" i="1"/>
  <c r="W112" i="1"/>
  <c r="W121" i="1"/>
  <c r="W149" i="1"/>
  <c r="AI18" i="1"/>
  <c r="U18" i="1"/>
  <c r="S18" i="1" s="1"/>
  <c r="AI34" i="1"/>
  <c r="U34" i="1"/>
  <c r="S34" i="1" s="1"/>
  <c r="W30" i="1"/>
  <c r="W27" i="1"/>
  <c r="W34" i="1"/>
  <c r="U185" i="1"/>
  <c r="S185" i="1" s="1"/>
  <c r="AI117" i="1"/>
  <c r="W141" i="1"/>
  <c r="AI191" i="1"/>
  <c r="U156" i="1"/>
  <c r="S156" i="1" s="1"/>
  <c r="AI194" i="1"/>
  <c r="U159" i="1"/>
  <c r="S159" i="1" s="1"/>
  <c r="W145" i="1"/>
  <c r="U205" i="1"/>
  <c r="S205" i="1" s="1"/>
  <c r="AI207" i="1"/>
  <c r="W137" i="1"/>
  <c r="W215" i="1"/>
  <c r="W205" i="1"/>
  <c r="U15" i="1"/>
  <c r="S15" i="1" s="1"/>
  <c r="AI15" i="1"/>
  <c r="AI38" i="1"/>
  <c r="U38" i="1"/>
  <c r="S38" i="1" s="1"/>
  <c r="W15" i="1"/>
  <c r="W23" i="1"/>
  <c r="U157" i="1"/>
  <c r="S157" i="1" s="1"/>
  <c r="AI192" i="1"/>
  <c r="W157" i="1"/>
  <c r="U160" i="1"/>
  <c r="S160" i="1" s="1"/>
  <c r="AI195" i="1"/>
  <c r="U209" i="1"/>
  <c r="S209" i="1" s="1"/>
  <c r="AI211" i="1"/>
  <c r="W133" i="1"/>
  <c r="W209" i="1"/>
  <c r="W160" i="1"/>
  <c r="W201" i="1"/>
  <c r="AC28" i="3"/>
  <c r="AD28" i="3"/>
  <c r="AE28" i="3"/>
  <c r="T28" i="3"/>
  <c r="Y28" i="3"/>
  <c r="B3" i="6" l="1"/>
  <c r="M28" i="5" l="1"/>
  <c r="M23" i="5" l="1"/>
  <c r="AD7" i="3" l="1"/>
  <c r="AN13" i="1"/>
  <c r="AE7" i="3" l="1"/>
  <c r="K13" i="1" l="1"/>
  <c r="M13" i="1"/>
  <c r="P13" i="1" s="1"/>
  <c r="Y13" i="1"/>
  <c r="Z13" i="1"/>
  <c r="AB13" i="1"/>
  <c r="AC13" i="1"/>
  <c r="AD13" i="1"/>
  <c r="X14" i="1" s="1"/>
  <c r="AE13" i="1"/>
  <c r="AM13" i="1"/>
  <c r="AG13" i="1" l="1"/>
  <c r="AI13" i="1" s="1"/>
  <c r="X13" i="1"/>
  <c r="AA13" i="1"/>
  <c r="T13" i="1"/>
  <c r="W13" i="1" l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C114" i="9" l="1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B31" i="9"/>
  <c r="B32" i="9"/>
  <c r="C33" i="9" s="1"/>
  <c r="C32" i="9" l="1"/>
  <c r="G3" i="4" l="1"/>
  <c r="G4" i="4"/>
  <c r="G5" i="4"/>
  <c r="G6" i="4"/>
  <c r="G7" i="4"/>
  <c r="G8" i="4"/>
  <c r="G9" i="4"/>
  <c r="G10" i="4"/>
  <c r="N29" i="3" s="1"/>
  <c r="G11" i="4"/>
  <c r="G12" i="4"/>
  <c r="N30" i="3" s="1"/>
  <c r="G13" i="4"/>
  <c r="G14" i="4"/>
  <c r="G15" i="4"/>
  <c r="N31" i="3" s="1"/>
  <c r="G16" i="4"/>
  <c r="N18" i="3" s="1"/>
  <c r="G17" i="4"/>
  <c r="N32" i="3" s="1"/>
  <c r="G18" i="4"/>
  <c r="G19" i="4"/>
  <c r="N33" i="3" s="1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N9" i="3" s="1"/>
  <c r="G70" i="4"/>
  <c r="G71" i="4"/>
  <c r="N11" i="3" s="1"/>
  <c r="G72" i="4"/>
  <c r="G73" i="4"/>
  <c r="G74" i="4"/>
  <c r="G75" i="4"/>
  <c r="G76" i="4"/>
  <c r="G77" i="4"/>
  <c r="G78" i="4"/>
  <c r="G79" i="4"/>
  <c r="N20" i="3" s="1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N14" i="3" s="1"/>
  <c r="G104" i="4"/>
  <c r="G105" i="4"/>
  <c r="G106" i="4"/>
  <c r="N13" i="3" s="1"/>
  <c r="G107" i="4"/>
  <c r="N27" i="3" s="1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N23" i="3" s="1"/>
  <c r="G130" i="4"/>
  <c r="G131" i="4"/>
  <c r="N10" i="3" s="1"/>
  <c r="G132" i="4"/>
  <c r="N12" i="3" s="1"/>
  <c r="G133" i="4"/>
  <c r="G134" i="4"/>
  <c r="G135" i="4"/>
  <c r="N15" i="3" s="1"/>
  <c r="G136" i="4"/>
  <c r="G137" i="4"/>
  <c r="N25" i="3" s="1"/>
  <c r="G138" i="4"/>
  <c r="G139" i="4"/>
  <c r="G140" i="4"/>
  <c r="G141" i="4"/>
  <c r="G142" i="4"/>
  <c r="G143" i="4"/>
  <c r="G144" i="4"/>
  <c r="G145" i="4"/>
  <c r="G146" i="4"/>
  <c r="G147" i="4"/>
  <c r="G148" i="4"/>
  <c r="N24" i="3" s="1"/>
  <c r="G149" i="4"/>
  <c r="N17" i="3" s="1"/>
  <c r="G150" i="4"/>
  <c r="N21" i="3" s="1"/>
  <c r="G151" i="4"/>
  <c r="G152" i="4"/>
  <c r="G153" i="4"/>
  <c r="G154" i="4"/>
  <c r="G155" i="4"/>
  <c r="G156" i="4"/>
  <c r="G157" i="4"/>
  <c r="G158" i="4"/>
  <c r="N7" i="3" s="1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N26" i="3" s="1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8" i="3" l="1"/>
  <c r="N22" i="3"/>
  <c r="N28" i="3"/>
  <c r="N19" i="3"/>
  <c r="N16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I3" i="6" l="1"/>
  <c r="F3" i="6"/>
  <c r="H3" i="6"/>
  <c r="J3" i="6"/>
  <c r="G3" i="6"/>
  <c r="B4" i="6" l="1"/>
  <c r="I4" i="6" l="1"/>
  <c r="F4" i="6"/>
  <c r="B5" i="6"/>
  <c r="J4" i="6"/>
  <c r="G4" i="6"/>
  <c r="H4" i="6"/>
  <c r="I5" i="6" l="1"/>
  <c r="F5" i="6"/>
  <c r="B6" i="6"/>
  <c r="J5" i="6"/>
  <c r="G5" i="6"/>
  <c r="H5" i="6"/>
  <c r="I6" i="6" l="1"/>
  <c r="F6" i="6"/>
  <c r="H6" i="6"/>
  <c r="J6" i="6"/>
  <c r="G6" i="6"/>
  <c r="B7" i="6"/>
  <c r="I7" i="6" l="1"/>
  <c r="F7" i="6"/>
  <c r="B8" i="6"/>
  <c r="G7" i="6"/>
  <c r="J7" i="6"/>
  <c r="H7" i="6"/>
  <c r="I8" i="6" l="1"/>
  <c r="F8" i="6"/>
  <c r="G8" i="6"/>
  <c r="H8" i="6"/>
  <c r="J8" i="6"/>
  <c r="B9" i="6"/>
  <c r="I9" i="6" l="1"/>
  <c r="F9" i="6"/>
  <c r="J9" i="6"/>
  <c r="G9" i="6"/>
  <c r="H9" i="6"/>
  <c r="B10" i="6"/>
  <c r="I10" i="6" l="1"/>
  <c r="F10" i="6"/>
  <c r="G10" i="6"/>
  <c r="H10" i="6"/>
  <c r="J10" i="6"/>
  <c r="B11" i="6"/>
  <c r="I11" i="6" l="1"/>
  <c r="F11" i="6"/>
  <c r="B12" i="6"/>
  <c r="J11" i="6"/>
  <c r="H11" i="6"/>
  <c r="G11" i="6"/>
  <c r="I12" i="6" l="1"/>
  <c r="F12" i="6"/>
  <c r="J12" i="6"/>
  <c r="G12" i="6"/>
  <c r="H12" i="6"/>
  <c r="B13" i="6"/>
  <c r="I13" i="6" l="1"/>
  <c r="F13" i="6"/>
  <c r="B14" i="6"/>
  <c r="G13" i="6"/>
  <c r="J13" i="6"/>
  <c r="H13" i="6"/>
  <c r="I14" i="6" l="1"/>
  <c r="F14" i="6"/>
  <c r="G14" i="6"/>
  <c r="J14" i="6"/>
  <c r="H14" i="6"/>
  <c r="B15" i="6"/>
  <c r="I15" i="6" l="1"/>
  <c r="F15" i="6"/>
  <c r="B16" i="6"/>
  <c r="G15" i="6"/>
  <c r="J15" i="6"/>
  <c r="H15" i="6"/>
  <c r="I16" i="6" l="1"/>
  <c r="F16" i="6"/>
  <c r="G16" i="6"/>
  <c r="H16" i="6"/>
  <c r="J16" i="6"/>
  <c r="B17" i="6" l="1"/>
  <c r="I17" i="6" l="1"/>
  <c r="F17" i="6"/>
  <c r="G17" i="6"/>
  <c r="H17" i="6"/>
  <c r="J17" i="6"/>
  <c r="B18" i="6"/>
  <c r="I18" i="6" l="1"/>
  <c r="F18" i="6"/>
  <c r="G18" i="6"/>
  <c r="H18" i="6"/>
  <c r="J18" i="6"/>
  <c r="B19" i="6"/>
  <c r="I19" i="6" l="1"/>
  <c r="F19" i="6"/>
  <c r="B20" i="6"/>
  <c r="J19" i="6"/>
  <c r="G19" i="6"/>
  <c r="H19" i="6"/>
  <c r="I20" i="6" l="1"/>
  <c r="F20" i="6"/>
  <c r="B21" i="6"/>
  <c r="J20" i="6"/>
  <c r="G20" i="6"/>
  <c r="H20" i="6"/>
  <c r="I21" i="6" l="1"/>
  <c r="F21" i="6"/>
  <c r="H21" i="6"/>
  <c r="G21" i="6"/>
  <c r="J21" i="6"/>
  <c r="B22" i="6"/>
  <c r="I22" i="6" l="1"/>
  <c r="F22" i="6"/>
  <c r="B23" i="6"/>
  <c r="G22" i="6"/>
  <c r="J22" i="6"/>
  <c r="H22" i="6"/>
  <c r="I23" i="6" l="1"/>
  <c r="F23" i="6"/>
  <c r="B24" i="6"/>
  <c r="J23" i="6"/>
  <c r="G23" i="6"/>
  <c r="H23" i="6"/>
  <c r="I24" i="6" l="1"/>
  <c r="F24" i="6"/>
  <c r="J24" i="6"/>
  <c r="G24" i="6"/>
  <c r="H24" i="6"/>
  <c r="B25" i="6"/>
  <c r="I25" i="6" l="1"/>
  <c r="F25" i="6"/>
  <c r="H25" i="6"/>
  <c r="J25" i="6"/>
  <c r="G25" i="6"/>
  <c r="B26" i="6"/>
  <c r="I26" i="6" l="1"/>
  <c r="F26" i="6"/>
  <c r="B27" i="6"/>
  <c r="J26" i="6"/>
  <c r="H26" i="6"/>
  <c r="G26" i="6"/>
  <c r="I27" i="6" l="1"/>
  <c r="F27" i="6"/>
  <c r="J27" i="6"/>
  <c r="G27" i="6"/>
  <c r="H27" i="6"/>
  <c r="B28" i="6"/>
  <c r="I28" i="6" l="1"/>
  <c r="F28" i="6"/>
  <c r="G28" i="6"/>
  <c r="H28" i="6"/>
  <c r="J28" i="6"/>
  <c r="B29" i="6"/>
  <c r="I29" i="6" l="1"/>
  <c r="F29" i="6"/>
  <c r="G29" i="6"/>
  <c r="H29" i="6"/>
  <c r="J29" i="6"/>
  <c r="B30" i="6"/>
  <c r="I30" i="6" l="1"/>
  <c r="F30" i="6"/>
  <c r="B31" i="6"/>
  <c r="J30" i="6"/>
  <c r="H30" i="6"/>
  <c r="G30" i="6"/>
  <c r="I31" i="6" l="1"/>
  <c r="F31" i="6"/>
  <c r="B32" i="6"/>
  <c r="J31" i="6"/>
  <c r="G31" i="6"/>
  <c r="H31" i="6"/>
  <c r="I32" i="6" l="1"/>
  <c r="F32" i="6"/>
  <c r="H32" i="6"/>
  <c r="G32" i="6"/>
  <c r="J32" i="6"/>
  <c r="B33" i="6"/>
  <c r="I33" i="6" l="1"/>
  <c r="F33" i="6"/>
  <c r="G33" i="6"/>
  <c r="H33" i="6"/>
  <c r="J33" i="6"/>
  <c r="B34" i="6"/>
  <c r="I34" i="6" l="1"/>
  <c r="F34" i="6"/>
  <c r="B35" i="6"/>
  <c r="J34" i="6"/>
  <c r="H34" i="6"/>
  <c r="G34" i="6"/>
  <c r="I35" i="6" l="1"/>
  <c r="F35" i="6"/>
  <c r="B36" i="6"/>
  <c r="J35" i="6"/>
  <c r="G35" i="6"/>
  <c r="H35" i="6"/>
  <c r="I36" i="6" l="1"/>
  <c r="F36" i="6"/>
  <c r="B37" i="6"/>
  <c r="J36" i="6"/>
  <c r="G36" i="6"/>
  <c r="H36" i="6"/>
  <c r="I37" i="6" l="1"/>
  <c r="F37" i="6"/>
  <c r="J37" i="6"/>
  <c r="H37" i="6"/>
  <c r="G37" i="6"/>
  <c r="B38" i="6"/>
  <c r="I38" i="6" l="1"/>
  <c r="F38" i="6"/>
  <c r="J38" i="6"/>
  <c r="H38" i="6"/>
  <c r="G38" i="6"/>
  <c r="B39" i="6"/>
  <c r="I39" i="6" l="1"/>
  <c r="F39" i="6"/>
  <c r="J39" i="6"/>
  <c r="G39" i="6"/>
  <c r="H39" i="6"/>
  <c r="B40" i="6"/>
  <c r="I40" i="6" l="1"/>
  <c r="F40" i="6"/>
  <c r="B41" i="6"/>
  <c r="G40" i="6"/>
  <c r="H40" i="6"/>
  <c r="J40" i="6"/>
  <c r="I41" i="6" l="1"/>
  <c r="F41" i="6"/>
  <c r="G41" i="6"/>
  <c r="H41" i="6"/>
  <c r="J41" i="6"/>
  <c r="B42" i="6"/>
  <c r="I42" i="6" l="1"/>
  <c r="F42" i="6"/>
  <c r="B43" i="6"/>
  <c r="J42" i="6"/>
  <c r="G42" i="6"/>
  <c r="H42" i="6"/>
  <c r="I43" i="6" l="1"/>
  <c r="F43" i="6"/>
  <c r="H43" i="6"/>
  <c r="G43" i="6"/>
  <c r="J43" i="6"/>
  <c r="B44" i="6"/>
  <c r="I44" i="6" l="1"/>
  <c r="F44" i="6"/>
  <c r="B45" i="6"/>
  <c r="H44" i="6"/>
  <c r="G44" i="6"/>
  <c r="J44" i="6"/>
  <c r="I45" i="6" l="1"/>
  <c r="F45" i="6"/>
  <c r="B46" i="6"/>
  <c r="J45" i="6"/>
  <c r="H45" i="6"/>
  <c r="G45" i="6"/>
  <c r="I46" i="6" l="1"/>
  <c r="F46" i="6"/>
  <c r="J46" i="6"/>
  <c r="H46" i="6"/>
  <c r="G46" i="6"/>
  <c r="B47" i="6"/>
  <c r="I47" i="6" l="1"/>
  <c r="F47" i="6"/>
  <c r="J47" i="6"/>
  <c r="H47" i="6"/>
  <c r="G47" i="6"/>
  <c r="B48" i="6"/>
  <c r="I48" i="6" l="1"/>
  <c r="F48" i="6"/>
  <c r="B49" i="6"/>
  <c r="J48" i="6"/>
  <c r="G48" i="6"/>
  <c r="H48" i="6"/>
  <c r="I49" i="6" l="1"/>
  <c r="F49" i="6"/>
  <c r="B50" i="6"/>
  <c r="G49" i="6"/>
  <c r="H49" i="6"/>
  <c r="J49" i="6"/>
  <c r="I50" i="6" l="1"/>
  <c r="F50" i="6"/>
  <c r="B51" i="6"/>
  <c r="J50" i="6"/>
  <c r="H50" i="6"/>
  <c r="G50" i="6"/>
  <c r="I51" i="6" l="1"/>
  <c r="F51" i="6"/>
  <c r="B52" i="6"/>
  <c r="H51" i="6"/>
  <c r="J51" i="6"/>
  <c r="G51" i="6"/>
  <c r="I52" i="6" l="1"/>
  <c r="F52" i="6"/>
  <c r="G52" i="6"/>
  <c r="H52" i="6"/>
  <c r="J52" i="6"/>
  <c r="B53" i="6"/>
  <c r="I53" i="6" l="1"/>
  <c r="F53" i="6"/>
  <c r="B54" i="6"/>
  <c r="G53" i="6"/>
  <c r="J53" i="6"/>
  <c r="H53" i="6"/>
  <c r="I54" i="6" l="1"/>
  <c r="F54" i="6"/>
  <c r="H54" i="6"/>
  <c r="J54" i="6"/>
  <c r="G54" i="6"/>
  <c r="B55" i="6"/>
  <c r="I55" i="6" l="1"/>
  <c r="F55" i="6"/>
  <c r="H55" i="6"/>
  <c r="G55" i="6"/>
  <c r="J55" i="6"/>
  <c r="B56" i="6"/>
  <c r="I56" i="6" l="1"/>
  <c r="F56" i="6"/>
  <c r="H56" i="6"/>
  <c r="G56" i="6"/>
  <c r="J56" i="6"/>
  <c r="B57" i="6"/>
  <c r="I57" i="6" l="1"/>
  <c r="F57" i="6"/>
  <c r="H57" i="6"/>
  <c r="J57" i="6"/>
  <c r="G57" i="6"/>
  <c r="B58" i="6"/>
  <c r="I58" i="6" l="1"/>
  <c r="F58" i="6"/>
  <c r="J58" i="6"/>
  <c r="G58" i="6"/>
  <c r="H58" i="6"/>
  <c r="B59" i="6"/>
  <c r="I59" i="6" l="1"/>
  <c r="F59" i="6"/>
  <c r="J59" i="6"/>
  <c r="H59" i="6"/>
  <c r="G59" i="6"/>
  <c r="B60" i="6"/>
  <c r="I60" i="6" l="1"/>
  <c r="F60" i="6"/>
  <c r="G60" i="6"/>
  <c r="H60" i="6"/>
  <c r="J60" i="6"/>
  <c r="B61" i="6"/>
  <c r="I61" i="6" l="1"/>
  <c r="F61" i="6"/>
  <c r="B62" i="6"/>
  <c r="J61" i="6"/>
  <c r="G61" i="6"/>
  <c r="H61" i="6"/>
  <c r="I62" i="6" l="1"/>
  <c r="F62" i="6"/>
  <c r="J62" i="6"/>
  <c r="H62" i="6"/>
  <c r="G62" i="6"/>
  <c r="B63" i="6"/>
  <c r="I63" i="6" l="1"/>
  <c r="F63" i="6"/>
  <c r="B64" i="6"/>
  <c r="J63" i="6"/>
  <c r="G63" i="6"/>
  <c r="H63" i="6"/>
  <c r="I64" i="6" l="1"/>
  <c r="F64" i="6"/>
  <c r="B65" i="6"/>
  <c r="H64" i="6"/>
  <c r="G64" i="6"/>
  <c r="J64" i="6"/>
  <c r="I65" i="6" l="1"/>
  <c r="F65" i="6"/>
  <c r="B66" i="6"/>
  <c r="J65" i="6"/>
  <c r="G65" i="6"/>
  <c r="H65" i="6"/>
  <c r="I66" i="6" l="1"/>
  <c r="F66" i="6"/>
  <c r="B67" i="6"/>
  <c r="J66" i="6"/>
  <c r="H66" i="6"/>
  <c r="G66" i="6"/>
  <c r="I67" i="6" l="1"/>
  <c r="F67" i="6"/>
  <c r="G67" i="6"/>
  <c r="H67" i="6"/>
  <c r="J67" i="6"/>
  <c r="B68" i="6"/>
  <c r="I68" i="6" l="1"/>
  <c r="F68" i="6"/>
  <c r="B69" i="6"/>
  <c r="J68" i="6"/>
  <c r="G68" i="6"/>
  <c r="H68" i="6"/>
  <c r="I69" i="6" l="1"/>
  <c r="F69" i="6"/>
  <c r="G69" i="6"/>
  <c r="H69" i="6"/>
  <c r="J69" i="6"/>
  <c r="B70" i="6"/>
  <c r="I70" i="6" l="1"/>
  <c r="F70" i="6"/>
  <c r="H70" i="6"/>
  <c r="G70" i="6"/>
  <c r="J70" i="6"/>
  <c r="B71" i="6"/>
  <c r="I71" i="6" l="1"/>
  <c r="F71" i="6"/>
  <c r="J71" i="6"/>
  <c r="H71" i="6"/>
  <c r="G71" i="6"/>
  <c r="B72" i="6"/>
  <c r="I72" i="6" l="1"/>
  <c r="F72" i="6"/>
  <c r="H72" i="6"/>
  <c r="G72" i="6"/>
  <c r="J72" i="6"/>
  <c r="B73" i="6"/>
  <c r="I73" i="6" l="1"/>
  <c r="F73" i="6"/>
  <c r="H73" i="6"/>
  <c r="G73" i="6"/>
  <c r="J73" i="6"/>
  <c r="B74" i="6"/>
  <c r="I74" i="6" l="1"/>
  <c r="F74" i="6"/>
  <c r="J74" i="6"/>
  <c r="G74" i="6"/>
  <c r="H74" i="6"/>
  <c r="B75" i="6"/>
  <c r="I75" i="6" l="1"/>
  <c r="F75" i="6"/>
  <c r="G75" i="6"/>
  <c r="H75" i="6"/>
  <c r="J75" i="6"/>
  <c r="B76" i="6"/>
  <c r="I76" i="6" l="1"/>
  <c r="F76" i="6"/>
  <c r="B77" i="6"/>
  <c r="H76" i="6"/>
  <c r="G76" i="6"/>
  <c r="J76" i="6"/>
  <c r="I77" i="6" l="1"/>
  <c r="F77" i="6"/>
  <c r="B78" i="6"/>
  <c r="J77" i="6"/>
  <c r="G77" i="6"/>
  <c r="H77" i="6"/>
  <c r="I78" i="6" l="1"/>
  <c r="F78" i="6"/>
  <c r="H78" i="6"/>
  <c r="G78" i="6"/>
  <c r="J78" i="6"/>
  <c r="B79" i="6"/>
  <c r="I79" i="6" l="1"/>
  <c r="F79" i="6"/>
  <c r="H79" i="6"/>
  <c r="J79" i="6"/>
  <c r="G79" i="6"/>
  <c r="B80" i="6"/>
  <c r="I80" i="6" l="1"/>
  <c r="F80" i="6"/>
  <c r="G80" i="6"/>
  <c r="J80" i="6"/>
  <c r="H80" i="6"/>
  <c r="B81" i="6"/>
  <c r="I81" i="6" l="1"/>
  <c r="F81" i="6"/>
  <c r="B82" i="6"/>
  <c r="H81" i="6"/>
  <c r="J81" i="6"/>
  <c r="G81" i="6"/>
  <c r="I82" i="6" l="1"/>
  <c r="F82" i="6"/>
  <c r="B83" i="6"/>
  <c r="J82" i="6"/>
  <c r="H82" i="6"/>
  <c r="G82" i="6"/>
  <c r="I83" i="6" l="1"/>
  <c r="F83" i="6"/>
  <c r="B85" i="6"/>
  <c r="B84" i="6"/>
  <c r="G83" i="6"/>
  <c r="H83" i="6"/>
  <c r="J83" i="6"/>
  <c r="I84" i="6" l="1"/>
  <c r="F84" i="6"/>
  <c r="I85" i="6"/>
  <c r="F85" i="6"/>
  <c r="G84" i="6"/>
  <c r="H84" i="6"/>
  <c r="J84" i="6"/>
  <c r="J85" i="6"/>
  <c r="G85" i="6"/>
  <c r="H85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<sst xmlns="http://schemas.openxmlformats.org/spreadsheetml/2006/main" count="2702" uniqueCount="1034">
  <si>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</si>
  <si>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</si>
  <si>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</si>
  <si>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</si>
  <si>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</si>
  <si>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</si>
  <si>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</si>
  <si>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</si>
  <si>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</si>
  <si>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</si>
  <si>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</si>
  <si>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</si>
  <si>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</si>
  <si>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</si>
  <si>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</si>
  <si>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</si>
  <si>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</si>
  <si>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</si>
  <si>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</si>
  <si>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</si>
  <si>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</si>
  <si>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</si>
  <si>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</si>
  <si>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</si>
  <si>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</si>
  <si>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</si>
  <si>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</si>
  <si>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</si>
  <si>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</si>
  <si>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</si>
  <si>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</si>
  <si>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</si>
  <si>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</si>
  <si>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</si>
  <si>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</si>
  <si>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</si>
  <si>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</si>
  <si>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</si>
  <si>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</si>
  <si>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</si>
  <si>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</si>
  <si>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</si>
  <si>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</si>
  <si>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</si>
  <si>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</si>
  <si>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</si>
  <si>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</si>
  <si>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</si>
  <si>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</si>
  <si>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</si>
  <si>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</si>
  <si>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</si>
  <si>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</si>
  <si>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</si>
  <si>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</si>
  <si>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</si>
  <si>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</si>
  <si>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</si>
  <si>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</si>
  <si>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</si>
  <si>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</si>
  <si>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</si>
  <si>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</si>
  <si>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</si>
  <si>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</si>
  <si>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</si>
  <si>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</si>
  <si>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</si>
  <si>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</si>
  <si>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</si>
  <si>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</si>
  <si>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</si>
  <si>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</si>
  <si>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</si>
  <si>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</si>
  <si>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</si>
  <si>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</si>
  <si>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</si>
  <si>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</si>
  <si>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</si>
  <si>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</si>
  <si>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</si>
  <si>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</si>
  <si>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</si>
  <si>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</si>
  <si>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</si>
  <si>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</si>
  <si>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</si>
  <si>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</si>
  <si>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</si>
  <si>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</si>
  <si>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</si>
  <si>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</si>
  <si>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</si>
  <si>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</si>
  <si>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</si>
  <si>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</si>
  <si>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</si>
  <si>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</si>
  <si>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</si>
  <si>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</si>
  <si>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</si>
  <si>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</si>
  <si>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</si>
  <si>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</si>
  <si>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</si>
  <si>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</si>
  <si>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</si>
  <si>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</si>
  <si>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</si>
  <si>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</si>
  <si>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</si>
  <si>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</si>
  <si>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</si>
  <si>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</si>
  <si>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</si>
  <si>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</si>
  <si>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</si>
  <si>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</si>
  <si>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</si>
  <si>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</si>
  <si>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</si>
  <si>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</si>
  <si>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</si>
  <si>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</si>
  <si>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</si>
  <si>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</si>
  <si>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</si>
  <si>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</si>
  <si>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</si>
  <si>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</si>
  <si>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</si>
  <si>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</si>
  <si>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</si>
  <si>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</si>
  <si>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</si>
  <si>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</si>
  <si>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</si>
  <si>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</si>
  <si>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</si>
  <si>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</si>
  <si>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</si>
  <si>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</si>
  <si>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</si>
  <si>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</si>
  <si>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</si>
  <si>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</si>
  <si>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</si>
  <si>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</si>
  <si>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</si>
  <si>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</si>
  <si>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</si>
  <si>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</si>
  <si>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</si>
  <si>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</si>
  <si>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</si>
  <si>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</si>
  <si>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</si>
  <si>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</si>
  <si>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</si>
  <si>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</si>
  <si>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</si>
  <si>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</si>
  <si>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</si>
  <si>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</si>
  <si>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</si>
  <si>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</si>
  <si>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</si>
  <si>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</si>
  <si>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</si>
  <si>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</si>
  <si>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</si>
  <si>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</si>
  <si>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</si>
  <si>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</si>
  <si>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</si>
  <si>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</si>
  <si>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</si>
  <si>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</si>
  <si>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</si>
  <si>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</si>
  <si>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</si>
  <si>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</si>
  <si>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</si>
  <si>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</si>
  <si>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</si>
  <si>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</si>
  <si>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</si>
  <si>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</si>
  <si>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</si>
  <si>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</si>
  <si>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</si>
  <si>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</si>
  <si>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</si>
  <si>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</si>
  <si>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</si>
  <si>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</si>
  <si>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</si>
  <si>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</si>
  <si>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</si>
  <si>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</si>
  <si>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</si>
  <si>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</si>
  <si>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</si>
  <si>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204:457</t>
  </si>
  <si>
    <t>204:460</t>
  </si>
  <si>
    <t>BROWN</t>
  </si>
  <si>
    <t>JACOB</t>
  </si>
  <si>
    <t>204:453</t>
  </si>
  <si>
    <t>204:455</t>
  </si>
  <si>
    <t>204:147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</si>
  <si>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</si>
  <si>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</si>
  <si>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</si>
  <si>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</si>
  <si>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</si>
  <si>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</si>
  <si>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</si>
  <si>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</si>
  <si>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</si>
  <si>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</si>
  <si>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</si>
  <si>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</si>
  <si>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</si>
  <si>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</si>
  <si>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</si>
  <si>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</si>
  <si>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</si>
  <si>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</si>
  <si>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</si>
  <si>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</si>
  <si>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</si>
  <si>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</si>
  <si>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</si>
  <si>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</si>
  <si>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</si>
  <si>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</si>
  <si>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</si>
  <si>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</si>
  <si>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</si>
  <si>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</si>
  <si>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</si>
  <si>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</si>
  <si>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</si>
  <si>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</si>
  <si>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</si>
  <si>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</si>
  <si>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</si>
  <si>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</si>
  <si>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</si>
  <si>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</si>
  <si>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</si>
  <si>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</si>
  <si>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</si>
  <si>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</si>
  <si>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</si>
  <si>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</si>
  <si>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</si>
  <si>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</si>
  <si>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</si>
  <si>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</si>
  <si>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</si>
  <si>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</si>
  <si>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</si>
  <si>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</si>
  <si>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</si>
  <si>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</si>
  <si>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</si>
  <si>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</si>
  <si>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</si>
  <si>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</si>
  <si>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</si>
  <si>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</si>
  <si>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</si>
  <si>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</si>
  <si>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</si>
  <si>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</si>
  <si>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</si>
  <si>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</si>
  <si>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</si>
  <si>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</si>
  <si>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</si>
  <si>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</si>
  <si>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</si>
  <si>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</si>
  <si>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</si>
  <si>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</si>
  <si>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</si>
  <si>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</si>
  <si>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</si>
  <si>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</si>
  <si>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</si>
  <si>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</si>
  <si>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</si>
  <si>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</si>
  <si>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</si>
  <si>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</si>
  <si>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</si>
  <si>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</si>
  <si>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</si>
  <si>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</si>
  <si>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</si>
  <si>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</si>
  <si>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</si>
  <si>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</si>
  <si>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</si>
  <si>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</si>
  <si>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</si>
  <si>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</si>
  <si>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</si>
  <si>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</si>
  <si>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</si>
  <si>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</si>
  <si>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</si>
  <si>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</si>
  <si>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</si>
  <si>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</si>
  <si>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</si>
  <si>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</si>
  <si>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</si>
  <si>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</si>
  <si>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</si>
  <si>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</si>
  <si>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</si>
  <si>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</si>
  <si>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</si>
  <si>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</si>
  <si>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</si>
  <si>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</si>
  <si>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</si>
  <si>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</si>
  <si>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</si>
  <si>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</si>
  <si>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</si>
  <si>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</si>
  <si>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</si>
  <si>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</si>
  <si>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</si>
  <si>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</si>
  <si>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</si>
  <si>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</si>
  <si>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</si>
  <si>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</si>
  <si>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</si>
  <si>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Partly Cloudy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</si>
  <si>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</si>
  <si>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</si>
  <si>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</si>
  <si>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</si>
  <si>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</si>
  <si>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</si>
  <si>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SWANSON</t>
  </si>
  <si>
    <t>BRYCE</t>
  </si>
  <si>
    <t>rtdc.l.rtdc.4028:itc</t>
  </si>
  <si>
    <t>rtdc.l.rtdc.4027:itc</t>
  </si>
  <si>
    <t>STAMBAUGH</t>
  </si>
  <si>
    <t>rtdc.l.rtdc.4031:itc</t>
  </si>
  <si>
    <t>rtdc.l.rtdc.4046:itc</t>
  </si>
  <si>
    <t>rtdc.l.rtdc.4021:itc</t>
  </si>
  <si>
    <t>rtdc.l.rtdc.4022:itc</t>
  </si>
  <si>
    <t>SMITH</t>
  </si>
  <si>
    <t>rtdc.l.rtdc.4012:itc</t>
  </si>
  <si>
    <t>rtdc.l.rtdc.4029:itc</t>
  </si>
  <si>
    <t>242-18</t>
  </si>
  <si>
    <t>309-18</t>
  </si>
  <si>
    <t>244-18</t>
  </si>
  <si>
    <t>311-18</t>
  </si>
  <si>
    <t>246-18</t>
  </si>
  <si>
    <t>313-18</t>
  </si>
  <si>
    <t>315-18</t>
  </si>
  <si>
    <t>204:449</t>
  </si>
  <si>
    <t>CHANDLER</t>
  </si>
  <si>
    <t>KELVIN</t>
  </si>
  <si>
    <t>NEWELL</t>
  </si>
  <si>
    <t>STORY</t>
  </si>
  <si>
    <t>SAMANTHA</t>
  </si>
  <si>
    <t>204:232977</t>
  </si>
  <si>
    <t>rtdc.l.rtdc.4014:itc</t>
  </si>
  <si>
    <t>rtdc.l.rtdc.4013:itc</t>
  </si>
  <si>
    <t>204:233295</t>
  </si>
  <si>
    <t>204:138</t>
  </si>
  <si>
    <t>204:141</t>
  </si>
  <si>
    <t>WCR Redmine cURL</t>
  </si>
  <si>
    <t>27f4683f8c668ceb395ce0223286e38dfe180cf8</t>
  </si>
  <si>
    <t>https://ptcsupport.wabtec.com/issues.json</t>
  </si>
  <si>
    <t>rtdc.l.rtdc.4010:itc</t>
  </si>
  <si>
    <t>204:462</t>
  </si>
  <si>
    <t>204:232989</t>
  </si>
  <si>
    <t>204:446</t>
  </si>
  <si>
    <t>rtdc.l.rtdc.4009:itc</t>
  </si>
  <si>
    <t>rtdc.l.rtdc.4045:itc</t>
  </si>
  <si>
    <t>204:145</t>
  </si>
  <si>
    <t>204:160</t>
  </si>
  <si>
    <t>DUNCAN</t>
  </si>
  <si>
    <t>SHEILA</t>
  </si>
  <si>
    <t>204:458</t>
  </si>
  <si>
    <t>rtdc.l.rtdc.4041:itc</t>
  </si>
  <si>
    <t>rtdc.l.rtdc.4004:itc</t>
  </si>
  <si>
    <t>rtdc.l.rtdc.4003:itc</t>
  </si>
  <si>
    <t>rtdc.l.rtdc.4042:itc</t>
  </si>
  <si>
    <t>GUZMAN</t>
  </si>
  <si>
    <t>DANNY</t>
  </si>
  <si>
    <t>81-04</t>
  </si>
  <si>
    <t>rtdc.l.rtdc.4020:itc</t>
  </si>
  <si>
    <t>82-04</t>
  </si>
  <si>
    <t>241-04</t>
  </si>
  <si>
    <t>238-04</t>
  </si>
  <si>
    <t>243-04</t>
  </si>
  <si>
    <t>240-04</t>
  </si>
  <si>
    <t>315-04</t>
  </si>
  <si>
    <t>242-04</t>
  </si>
  <si>
    <t>244-04</t>
  </si>
  <si>
    <t>309-04</t>
  </si>
  <si>
    <t>311-04</t>
  </si>
  <si>
    <t>313-04</t>
  </si>
  <si>
    <t>204:467</t>
  </si>
  <si>
    <t>204:233291</t>
  </si>
  <si>
    <t>rtdc.l.rtdc.4054:itc</t>
  </si>
  <si>
    <t>204:150</t>
  </si>
  <si>
    <t>204:447</t>
  </si>
  <si>
    <t>204:473</t>
  </si>
  <si>
    <t>rtdc.l.rtdc.4006:itc</t>
  </si>
  <si>
    <t>partly-cloudy-night</t>
  </si>
  <si>
    <t>204:149</t>
  </si>
  <si>
    <t>204:143</t>
  </si>
  <si>
    <t>204:475</t>
  </si>
  <si>
    <t>204:442</t>
  </si>
  <si>
    <t>300:58630</t>
  </si>
  <si>
    <t>204:139</t>
  </si>
  <si>
    <t>204:163</t>
  </si>
  <si>
    <t>rtdc.l.rtdc.4026:itc</t>
  </si>
  <si>
    <t>rtdc.l.rtdc.4025:itc</t>
  </si>
  <si>
    <t>rtdc.l.rtdc.4005:itc</t>
  </si>
  <si>
    <t>Y</t>
  </si>
  <si>
    <t>partly-cloudy-day</t>
  </si>
  <si>
    <t>204:466</t>
  </si>
  <si>
    <t>204:233315</t>
  </si>
  <si>
    <t>204:444</t>
  </si>
  <si>
    <t>204:136</t>
  </si>
  <si>
    <t>204:233000</t>
  </si>
  <si>
    <t>rtdc.l.rtdc.4015:itc</t>
  </si>
  <si>
    <t>SWITCH UNKNOWN</t>
  </si>
  <si>
    <t>Track device (7)</t>
  </si>
  <si>
    <t>YORK</t>
  </si>
  <si>
    <t>EDGAR</t>
  </si>
  <si>
    <t>rtdc.l.rtdc.4023:itc</t>
  </si>
  <si>
    <t>rtdc.l.rtdc.4024:itc</t>
  </si>
  <si>
    <t>204:233312</t>
  </si>
  <si>
    <t>204:232984</t>
  </si>
  <si>
    <t>204:233323</t>
  </si>
  <si>
    <t>300:58933</t>
  </si>
  <si>
    <t>204:232969</t>
  </si>
  <si>
    <t>204:438</t>
  </si>
  <si>
    <t>300:23304</t>
  </si>
  <si>
    <t>SIGNAL</t>
  </si>
  <si>
    <t>Signal based authority (5)</t>
  </si>
  <si>
    <t>rtdc.l.rtdc.4001:itc</t>
  </si>
  <si>
    <t>Mostly Cloudy</t>
  </si>
  <si>
    <t>204:232980</t>
  </si>
  <si>
    <t>204:469</t>
  </si>
  <si>
    <t>204:232981</t>
  </si>
  <si>
    <t>204:165</t>
  </si>
  <si>
    <t>300:58944</t>
  </si>
  <si>
    <t>204:972</t>
  </si>
  <si>
    <t>rtdc.l.rtdc.4019:itc</t>
  </si>
  <si>
    <t>rtdc.l.rtdc.4039:itc</t>
  </si>
  <si>
    <t>4023-18</t>
  </si>
  <si>
    <t>243-18</t>
  </si>
  <si>
    <t>rtdc.l.rtdc.4040:itc</t>
  </si>
  <si>
    <t>YANG</t>
  </si>
  <si>
    <t>JAN</t>
  </si>
  <si>
    <t>4024-18</t>
  </si>
  <si>
    <t>241-18</t>
  </si>
  <si>
    <t>238-18</t>
  </si>
  <si>
    <t>240-18</t>
  </si>
  <si>
    <t>204:232994</t>
  </si>
  <si>
    <t>204:451</t>
  </si>
  <si>
    <t>204:233301</t>
  </si>
  <si>
    <t>204:134</t>
  </si>
  <si>
    <t>204:232972</t>
  </si>
  <si>
    <t>300:23346</t>
  </si>
  <si>
    <t>300:58939</t>
  </si>
  <si>
    <t>300:58948</t>
  </si>
  <si>
    <t>300:58636</t>
  </si>
  <si>
    <t>rtdc.l.rtdc.4017:itc</t>
  </si>
  <si>
    <t>rtdc.l.rtdc.4007:itc</t>
  </si>
  <si>
    <t>rtdc.l.rtdc.4018:itc</t>
  </si>
  <si>
    <t>rtdc.l.rtdc.4032:itc</t>
  </si>
  <si>
    <t>rtdc.l.rtdc.4008:itc</t>
  </si>
  <si>
    <t>BADERTSCHER</t>
  </si>
  <si>
    <t>DIANE</t>
  </si>
  <si>
    <t>GEBRETEKLE</t>
  </si>
  <si>
    <t>DAGNEW</t>
  </si>
  <si>
    <t>HELVIE</t>
  </si>
  <si>
    <t>ADAM</t>
  </si>
  <si>
    <t>DELGADO</t>
  </si>
  <si>
    <t>DIANAH</t>
  </si>
  <si>
    <t>LOPES</t>
  </si>
  <si>
    <t>KIMBERLY</t>
  </si>
  <si>
    <t>BRUDER</t>
  </si>
  <si>
    <t>RICHARD</t>
  </si>
  <si>
    <t>MCREYNOLDS</t>
  </si>
  <si>
    <t>KYLE</t>
  </si>
  <si>
    <t>315-19</t>
  </si>
  <si>
    <t>242-19</t>
  </si>
  <si>
    <t>309-19</t>
  </si>
  <si>
    <t>244-19</t>
  </si>
  <si>
    <t>311-19</t>
  </si>
  <si>
    <t>313-19</t>
  </si>
  <si>
    <t>precipType</t>
  </si>
  <si>
    <t>rain</t>
  </si>
  <si>
    <t>Drizzle</t>
  </si>
  <si>
    <t>204:232985</t>
  </si>
  <si>
    <t>204:170</t>
  </si>
  <si>
    <t>204:127</t>
  </si>
  <si>
    <t>204:233297</t>
  </si>
  <si>
    <t>204:488</t>
  </si>
  <si>
    <t>204:233282</t>
  </si>
  <si>
    <t>204:232975</t>
  </si>
  <si>
    <t>204:132</t>
  </si>
  <si>
    <t>300:58626</t>
  </si>
  <si>
    <t>300:58952</t>
  </si>
  <si>
    <t>300:58615</t>
  </si>
  <si>
    <t>rtdc.l.rtdc.4002:itc</t>
  </si>
  <si>
    <t>rtdc.l.rtdc.4043:itc</t>
  </si>
  <si>
    <t>234-20</t>
  </si>
  <si>
    <t>JOHN</t>
  </si>
  <si>
    <t>WHITED</t>
  </si>
  <si>
    <t>DUSTIN</t>
  </si>
  <si>
    <t>MACDONALD</t>
  </si>
  <si>
    <t>THOMAS</t>
  </si>
  <si>
    <t>rtdc.l.rtdc.4044:itc</t>
  </si>
  <si>
    <t>70-20</t>
  </si>
  <si>
    <t>69-20</t>
  </si>
  <si>
    <t>229-20</t>
  </si>
  <si>
    <t>226-20</t>
  </si>
  <si>
    <t>845-20</t>
  </si>
  <si>
    <t>80-20</t>
  </si>
  <si>
    <t>HOLCOMB</t>
  </si>
  <si>
    <t>KAMDEN</t>
  </si>
  <si>
    <t>228-20</t>
  </si>
  <si>
    <t>231-20</t>
  </si>
  <si>
    <t>844-20</t>
  </si>
  <si>
    <t>230-20</t>
  </si>
  <si>
    <t>233-20</t>
  </si>
  <si>
    <t>4017-20</t>
  </si>
  <si>
    <t>847-20</t>
  </si>
  <si>
    <t>235-20</t>
  </si>
  <si>
    <t>232-20</t>
  </si>
  <si>
    <t>908-20</t>
  </si>
  <si>
    <t>237-20</t>
  </si>
  <si>
    <t>239-20</t>
  </si>
  <si>
    <t>4018-20</t>
  </si>
  <si>
    <t>236-20</t>
  </si>
  <si>
    <t>241-20</t>
  </si>
  <si>
    <t>238-20</t>
  </si>
  <si>
    <t>240-20</t>
  </si>
  <si>
    <t>243-20</t>
  </si>
  <si>
    <t>315-20</t>
  </si>
  <si>
    <t>242-20</t>
  </si>
  <si>
    <t>309-20</t>
  </si>
  <si>
    <t>244-20</t>
  </si>
  <si>
    <t>311-20</t>
  </si>
  <si>
    <t>313-20</t>
  </si>
  <si>
    <t>302-21</t>
  </si>
  <si>
    <t>204:766</t>
  </si>
  <si>
    <t>204:233314</t>
  </si>
  <si>
    <t>204:233318</t>
  </si>
  <si>
    <t>204:435</t>
  </si>
  <si>
    <t>204:232988</t>
  </si>
  <si>
    <t>204:233304</t>
  </si>
  <si>
    <t>204:233289</t>
  </si>
  <si>
    <t>204:464</t>
  </si>
  <si>
    <t>204:232961</t>
  </si>
  <si>
    <t>204:233302</t>
  </si>
  <si>
    <t>204:232968</t>
  </si>
  <si>
    <t>204:233003</t>
  </si>
  <si>
    <t>204:233305</t>
  </si>
  <si>
    <t>204:232965</t>
  </si>
  <si>
    <t>204:232955</t>
  </si>
  <si>
    <t>204:233280</t>
  </si>
  <si>
    <t>204:232979</t>
  </si>
  <si>
    <t>204:232986</t>
  </si>
  <si>
    <t>204:119</t>
  </si>
  <si>
    <t>204:232947</t>
  </si>
  <si>
    <t>204:491</t>
  </si>
  <si>
    <t>204:232992</t>
  </si>
  <si>
    <t>204:233320</t>
  </si>
  <si>
    <t>204:129</t>
  </si>
  <si>
    <t>204:232993</t>
  </si>
  <si>
    <t>300:23306</t>
  </si>
  <si>
    <t>204:478</t>
  </si>
  <si>
    <t>300:58617</t>
  </si>
  <si>
    <t>204:712</t>
  </si>
  <si>
    <t>204:1013</t>
  </si>
  <si>
    <t>300:58937</t>
  </si>
  <si>
    <t>302-23</t>
  </si>
  <si>
    <t>304-23</t>
  </si>
  <si>
    <t>306-23</t>
  </si>
  <si>
    <t>308-23</t>
  </si>
  <si>
    <t>102-23</t>
  </si>
  <si>
    <t>310-23</t>
  </si>
  <si>
    <t>126-23</t>
  </si>
  <si>
    <t>rtdc.l.rtdc.4016:itc</t>
  </si>
  <si>
    <t>147-23</t>
  </si>
  <si>
    <t>140-23</t>
  </si>
  <si>
    <t>148-23</t>
  </si>
  <si>
    <t>171-23</t>
  </si>
  <si>
    <t>169-23</t>
  </si>
  <si>
    <t>1814-23</t>
  </si>
  <si>
    <t>1818-23</t>
  </si>
  <si>
    <t>191-23</t>
  </si>
  <si>
    <t>186-23</t>
  </si>
  <si>
    <t>1820-23</t>
  </si>
  <si>
    <t>195-23</t>
  </si>
  <si>
    <t>1822-23</t>
  </si>
  <si>
    <t>205-23</t>
  </si>
  <si>
    <t>200-23</t>
  </si>
  <si>
    <t>206-23</t>
  </si>
  <si>
    <t>225-23</t>
  </si>
  <si>
    <t>1832-23</t>
  </si>
  <si>
    <t>242-22</t>
  </si>
  <si>
    <t>rtdc.l.rtdc.4056:itc</t>
  </si>
  <si>
    <t>245-22</t>
  </si>
  <si>
    <t>309-22</t>
  </si>
  <si>
    <t>DAVIDSON</t>
  </si>
  <si>
    <t>DAVID</t>
  </si>
  <si>
    <t>rtdc.l.rtdc.4063:itc</t>
  </si>
  <si>
    <t>244-22</t>
  </si>
  <si>
    <t>MAGEE</t>
  </si>
  <si>
    <t>KENYA</t>
  </si>
  <si>
    <t>311-22</t>
  </si>
  <si>
    <t>rtdc.l.rtdc.4055:itc</t>
  </si>
  <si>
    <t>246-22</t>
  </si>
  <si>
    <t>rtdc.l.rtdc.4064:itc</t>
  </si>
  <si>
    <t>313-22</t>
  </si>
  <si>
    <t>315-22</t>
  </si>
  <si>
    <t>SANTIZO</t>
  </si>
  <si>
    <t>D. EDY</t>
  </si>
  <si>
    <t>101-23</t>
  </si>
  <si>
    <t>MAELZER</t>
  </si>
  <si>
    <t>KURT</t>
  </si>
  <si>
    <t>103-23</t>
  </si>
  <si>
    <t>DAVIS</t>
  </si>
  <si>
    <t>WENDY</t>
  </si>
  <si>
    <t>105-23</t>
  </si>
  <si>
    <t>ROBINSON</t>
  </si>
  <si>
    <t>KADDIBA</t>
  </si>
  <si>
    <t>107-23</t>
  </si>
  <si>
    <t>104-23</t>
  </si>
  <si>
    <t>109-23</t>
  </si>
  <si>
    <t>111-23</t>
  </si>
  <si>
    <t>113-23</t>
  </si>
  <si>
    <t>106-23</t>
  </si>
  <si>
    <t>108-23</t>
  </si>
  <si>
    <t>115-23</t>
  </si>
  <si>
    <t>SHOOK</t>
  </si>
  <si>
    <t>1901-23</t>
  </si>
  <si>
    <t>110-23</t>
  </si>
  <si>
    <t>117-23</t>
  </si>
  <si>
    <t>112-23</t>
  </si>
  <si>
    <t>114-23</t>
  </si>
  <si>
    <t>119-23</t>
  </si>
  <si>
    <t>121-23</t>
  </si>
  <si>
    <t>MOSES</t>
  </si>
  <si>
    <t>BRADLEY</t>
  </si>
  <si>
    <t>116-23</t>
  </si>
  <si>
    <t>123-23</t>
  </si>
  <si>
    <t>118-23</t>
  </si>
  <si>
    <t>125-23</t>
  </si>
  <si>
    <t>120-23</t>
  </si>
  <si>
    <t>127-23</t>
  </si>
  <si>
    <t>122-23</t>
  </si>
  <si>
    <t>129-23</t>
  </si>
  <si>
    <t>124-23</t>
  </si>
  <si>
    <t>131-23</t>
  </si>
  <si>
    <t>128-23</t>
  </si>
  <si>
    <t>133-23</t>
  </si>
  <si>
    <t>135-23</t>
  </si>
  <si>
    <t>130-23</t>
  </si>
  <si>
    <t>137-23</t>
  </si>
  <si>
    <t>132-23</t>
  </si>
  <si>
    <t>139-23</t>
  </si>
  <si>
    <t>134-23</t>
  </si>
  <si>
    <t>141-23</t>
  </si>
  <si>
    <t>1806-23</t>
  </si>
  <si>
    <t>136-23</t>
  </si>
  <si>
    <t>143-23</t>
  </si>
  <si>
    <t>1807-23</t>
  </si>
  <si>
    <t>138-23</t>
  </si>
  <si>
    <t>145-23</t>
  </si>
  <si>
    <t>142-23</t>
  </si>
  <si>
    <t>1808-23</t>
  </si>
  <si>
    <t>144-23</t>
  </si>
  <si>
    <t>149-23</t>
  </si>
  <si>
    <t>151-23</t>
  </si>
  <si>
    <t>1809-23</t>
  </si>
  <si>
    <t>146-23</t>
  </si>
  <si>
    <t>153-23</t>
  </si>
  <si>
    <t>155-23</t>
  </si>
  <si>
    <t>ROMERO</t>
  </si>
  <si>
    <t>CHAD</t>
  </si>
  <si>
    <t>55-23</t>
  </si>
  <si>
    <t>1810-23</t>
  </si>
  <si>
    <t>150-23</t>
  </si>
  <si>
    <t>157-23</t>
  </si>
  <si>
    <t>KILLION</t>
  </si>
  <si>
    <t>152-23</t>
  </si>
  <si>
    <t>159-23</t>
  </si>
  <si>
    <t>STEWART</t>
  </si>
  <si>
    <t>1811-23</t>
  </si>
  <si>
    <t>57-23</t>
  </si>
  <si>
    <t>154-23</t>
  </si>
  <si>
    <t>156-23</t>
  </si>
  <si>
    <t>161-23</t>
  </si>
  <si>
    <t>NELSON</t>
  </si>
  <si>
    <t>ARIANE</t>
  </si>
  <si>
    <t>163-23</t>
  </si>
  <si>
    <t>LEVIN</t>
  </si>
  <si>
    <t>SCOTT</t>
  </si>
  <si>
    <t>158-23</t>
  </si>
  <si>
    <t>1812-23</t>
  </si>
  <si>
    <t>165-23</t>
  </si>
  <si>
    <t>160-23</t>
  </si>
  <si>
    <t>167-23</t>
  </si>
  <si>
    <t>1813-23</t>
  </si>
  <si>
    <t>162-23</t>
  </si>
  <si>
    <t>164-23</t>
  </si>
  <si>
    <t>BRANDNER</t>
  </si>
  <si>
    <t>MELINDA</t>
  </si>
  <si>
    <t>166-23</t>
  </si>
  <si>
    <t>173-23</t>
  </si>
  <si>
    <t>168-23</t>
  </si>
  <si>
    <t>170-23</t>
  </si>
  <si>
    <t>1815-23</t>
  </si>
  <si>
    <t>175-23</t>
  </si>
  <si>
    <t>177-23</t>
  </si>
  <si>
    <t>172-23</t>
  </si>
  <si>
    <t>179-23</t>
  </si>
  <si>
    <t>LALONDE</t>
  </si>
  <si>
    <t>GREGORY</t>
  </si>
  <si>
    <t>1816-23</t>
  </si>
  <si>
    <t>174-23</t>
  </si>
  <si>
    <t>181-23</t>
  </si>
  <si>
    <t>183-23</t>
  </si>
  <si>
    <t>176-23</t>
  </si>
  <si>
    <t>178-23</t>
  </si>
  <si>
    <t>180-23</t>
  </si>
  <si>
    <t>185-23</t>
  </si>
  <si>
    <t>1817-23</t>
  </si>
  <si>
    <t>187-23</t>
  </si>
  <si>
    <t>182-23</t>
  </si>
  <si>
    <t>184-23</t>
  </si>
  <si>
    <t>189-23</t>
  </si>
  <si>
    <t>193-23</t>
  </si>
  <si>
    <t>1819-23</t>
  </si>
  <si>
    <t>188-23</t>
  </si>
  <si>
    <t>190-23</t>
  </si>
  <si>
    <t>197-23</t>
  </si>
  <si>
    <t>192-23</t>
  </si>
  <si>
    <t>199-23</t>
  </si>
  <si>
    <t>194-23</t>
  </si>
  <si>
    <t>201-23</t>
  </si>
  <si>
    <t>1821-23</t>
  </si>
  <si>
    <t>196-23</t>
  </si>
  <si>
    <t>198-23</t>
  </si>
  <si>
    <t>203-23</t>
  </si>
  <si>
    <t>69-23</t>
  </si>
  <si>
    <t>207-23</t>
  </si>
  <si>
    <t>202-23</t>
  </si>
  <si>
    <t>209-23</t>
  </si>
  <si>
    <t>1823-23</t>
  </si>
  <si>
    <t>211-23</t>
  </si>
  <si>
    <t>204-23</t>
  </si>
  <si>
    <t>1824-23</t>
  </si>
  <si>
    <t>213-23</t>
  </si>
  <si>
    <t>51-23</t>
  </si>
  <si>
    <t>208-23</t>
  </si>
  <si>
    <t>215-23</t>
  </si>
  <si>
    <t>210-23</t>
  </si>
  <si>
    <t>217-23</t>
  </si>
  <si>
    <t>212-23</t>
  </si>
  <si>
    <t>1825-23</t>
  </si>
  <si>
    <t>219-23</t>
  </si>
  <si>
    <t>214-23</t>
  </si>
  <si>
    <t>303-23</t>
  </si>
  <si>
    <t>1826-23</t>
  </si>
  <si>
    <t>216-23</t>
  </si>
  <si>
    <t>221-23</t>
  </si>
  <si>
    <t>218-23</t>
  </si>
  <si>
    <t>305-23</t>
  </si>
  <si>
    <t>220-23</t>
  </si>
  <si>
    <t>1827-23</t>
  </si>
  <si>
    <t>223-23</t>
  </si>
  <si>
    <t>1828-23</t>
  </si>
  <si>
    <t>307-23</t>
  </si>
  <si>
    <t>222-23</t>
  </si>
  <si>
    <t>224-23</t>
  </si>
  <si>
    <t>227-23</t>
  </si>
  <si>
    <t>1829-23</t>
  </si>
  <si>
    <t>1830-23</t>
  </si>
  <si>
    <t>226-23</t>
  </si>
  <si>
    <t>229-23</t>
  </si>
  <si>
    <t>231-23</t>
  </si>
  <si>
    <t>1831-23</t>
  </si>
  <si>
    <t>228-23</t>
  </si>
  <si>
    <t>233-23</t>
  </si>
  <si>
    <t>230-23</t>
  </si>
  <si>
    <t>235-23</t>
  </si>
  <si>
    <t>1833-23</t>
  </si>
  <si>
    <t>232-23</t>
  </si>
  <si>
    <t>1902-23</t>
  </si>
  <si>
    <t>234-23</t>
  </si>
  <si>
    <t>237-23</t>
  </si>
  <si>
    <t>236-23</t>
  </si>
  <si>
    <t>239-23</t>
  </si>
  <si>
    <t>241-23</t>
  </si>
  <si>
    <t>238-23</t>
  </si>
  <si>
    <t>243-23</t>
  </si>
  <si>
    <t>240-23</t>
  </si>
  <si>
    <t>315-23</t>
  </si>
  <si>
    <t>242-23</t>
  </si>
  <si>
    <t>309-23</t>
  </si>
  <si>
    <t>244-23</t>
  </si>
  <si>
    <t>311-23</t>
  </si>
  <si>
    <t>313-23</t>
  </si>
  <si>
    <t>clear-night</t>
  </si>
  <si>
    <t>Clear</t>
  </si>
  <si>
    <t>204:697</t>
  </si>
  <si>
    <t>204:1244</t>
  </si>
  <si>
    <t>204:232751</t>
  </si>
  <si>
    <t>204:232133</t>
  </si>
  <si>
    <t>204:748</t>
  </si>
  <si>
    <t>204:872</t>
  </si>
  <si>
    <t>204:232779</t>
  </si>
  <si>
    <t>204:232371</t>
  </si>
  <si>
    <t>204:786</t>
  </si>
  <si>
    <t>204:759</t>
  </si>
  <si>
    <t>204:232679</t>
  </si>
  <si>
    <t>204:232254</t>
  </si>
  <si>
    <t>204:792</t>
  </si>
  <si>
    <t>204:232594</t>
  </si>
  <si>
    <t>204:1315</t>
  </si>
  <si>
    <t>204:232996</t>
  </si>
  <si>
    <t>204:232260</t>
  </si>
  <si>
    <t>204:744</t>
  </si>
  <si>
    <t>204:1138</t>
  </si>
  <si>
    <t>204:232011</t>
  </si>
  <si>
    <t>204:427</t>
  </si>
  <si>
    <t>204:941</t>
  </si>
  <si>
    <t>204:233004</t>
  </si>
  <si>
    <t>204:232275</t>
  </si>
  <si>
    <t>204:1247</t>
  </si>
  <si>
    <t>204:233017</t>
  </si>
  <si>
    <t>204:232414</t>
  </si>
  <si>
    <t>204:868</t>
  </si>
  <si>
    <t>204:233021</t>
  </si>
  <si>
    <t>204:232630</t>
  </si>
  <si>
    <t>204:1098</t>
  </si>
  <si>
    <t>204:232161</t>
  </si>
  <si>
    <t>204:905</t>
  </si>
  <si>
    <t>204:233010</t>
  </si>
  <si>
    <t>204:232492</t>
  </si>
  <si>
    <t>204:1043</t>
  </si>
  <si>
    <t>204:232990</t>
  </si>
  <si>
    <t>204:231702</t>
  </si>
  <si>
    <t>204:1267</t>
  </si>
  <si>
    <t>204:127855</t>
  </si>
  <si>
    <t>204:125748</t>
  </si>
  <si>
    <t>204:154009</t>
  </si>
  <si>
    <t>204:144475</t>
  </si>
  <si>
    <t>204:233028</t>
  </si>
  <si>
    <t>204:232332</t>
  </si>
  <si>
    <t>204:1067</t>
  </si>
  <si>
    <t>204:233001</t>
  </si>
  <si>
    <t>204:231562</t>
  </si>
  <si>
    <t>204:232573</t>
  </si>
  <si>
    <t>204:1010</t>
  </si>
  <si>
    <t>204:127861</t>
  </si>
  <si>
    <t>204:232475</t>
  </si>
  <si>
    <t>204:64698</t>
  </si>
  <si>
    <t>204:66881</t>
  </si>
  <si>
    <t>204:233053</t>
  </si>
  <si>
    <t>204:19126</t>
  </si>
  <si>
    <t>204:27967</t>
  </si>
  <si>
    <t>204:961</t>
  </si>
  <si>
    <t>204:233008</t>
  </si>
  <si>
    <t>204:939</t>
  </si>
  <si>
    <t>204:64710</t>
  </si>
  <si>
    <t>204:233300</t>
  </si>
  <si>
    <t>204:440</t>
  </si>
  <si>
    <t>204:82114</t>
  </si>
  <si>
    <t>204:355</t>
  </si>
  <si>
    <t>204:232991</t>
  </si>
  <si>
    <t>204:233391</t>
  </si>
  <si>
    <t>204:233059</t>
  </si>
  <si>
    <t>204:125</t>
  </si>
  <si>
    <t>204:233355</t>
  </si>
  <si>
    <t>204:650</t>
  </si>
  <si>
    <t>204:471</t>
  </si>
  <si>
    <t>204:233397</t>
  </si>
  <si>
    <t>204:233099</t>
  </si>
  <si>
    <t>204:112</t>
  </si>
  <si>
    <t>204:233340</t>
  </si>
  <si>
    <t>204:232983</t>
  </si>
  <si>
    <t>204:413</t>
  </si>
  <si>
    <t>204:233415</t>
  </si>
  <si>
    <t>204:233098</t>
  </si>
  <si>
    <t>204:233370</t>
  </si>
  <si>
    <t>204:233048</t>
  </si>
  <si>
    <t>204:416</t>
  </si>
  <si>
    <t>204:233091</t>
  </si>
  <si>
    <t>204:233341</t>
  </si>
  <si>
    <t>204:233032</t>
  </si>
  <si>
    <t>300:57343</t>
  </si>
  <si>
    <t>204:743</t>
  </si>
  <si>
    <t>204:1030</t>
  </si>
  <si>
    <t>300:58619</t>
  </si>
  <si>
    <t>204:720</t>
  </si>
  <si>
    <t>300:58941</t>
  </si>
  <si>
    <t>204:233308</t>
  </si>
  <si>
    <t>300:58628</t>
  </si>
  <si>
    <t>204:762</t>
  </si>
  <si>
    <t>204:1042</t>
  </si>
  <si>
    <t>204:741</t>
  </si>
  <si>
    <t>204:1035</t>
  </si>
  <si>
    <t>300:58623</t>
  </si>
  <si>
    <t>204:745</t>
  </si>
  <si>
    <t>204:1018</t>
  </si>
  <si>
    <t>204:755</t>
  </si>
  <si>
    <t>204:1062</t>
  </si>
  <si>
    <t>300:58935</t>
  </si>
  <si>
    <t>204:825</t>
  </si>
  <si>
    <t>204:1109</t>
  </si>
  <si>
    <t>300:58931</t>
  </si>
  <si>
    <t>300:58611</t>
  </si>
  <si>
    <t>204:726</t>
  </si>
  <si>
    <t>204:768</t>
  </si>
  <si>
    <t>204:1072</t>
  </si>
  <si>
    <t>204:785</t>
  </si>
  <si>
    <t>204:1079</t>
  </si>
  <si>
    <t>204:764</t>
  </si>
  <si>
    <t>204:1058</t>
  </si>
  <si>
    <t>204:1077</t>
  </si>
  <si>
    <t>204:433</t>
  </si>
  <si>
    <t>204:233378</t>
  </si>
  <si>
    <t>204:783</t>
  </si>
  <si>
    <t>204:233071</t>
  </si>
  <si>
    <t>204:233346</t>
  </si>
  <si>
    <t>204:233023</t>
  </si>
  <si>
    <t>204:232967</t>
  </si>
  <si>
    <t>300:30078</t>
  </si>
  <si>
    <t>300:32258</t>
  </si>
  <si>
    <t>300:21729</t>
  </si>
  <si>
    <t>204:233410</t>
  </si>
  <si>
    <t>204:233078</t>
  </si>
  <si>
    <t>204:121</t>
  </si>
  <si>
    <t>204:233288</t>
  </si>
  <si>
    <t>204:233406</t>
  </si>
  <si>
    <t>204:233083</t>
  </si>
  <si>
    <t>204:233364</t>
  </si>
  <si>
    <t>204:233044</t>
  </si>
  <si>
    <t>204:228243</t>
  </si>
  <si>
    <t>204:431</t>
  </si>
  <si>
    <t>204:228064</t>
  </si>
  <si>
    <t>204:233123</t>
  </si>
  <si>
    <t>204:232966</t>
  </si>
  <si>
    <t>204:477</t>
  </si>
  <si>
    <t>204:233026</t>
  </si>
  <si>
    <t>204:420</t>
  </si>
  <si>
    <t>204:233283</t>
  </si>
  <si>
    <t>204:233263</t>
  </si>
  <si>
    <t>204:123</t>
  </si>
  <si>
    <t>204:233272</t>
  </si>
  <si>
    <t>204:232974</t>
  </si>
  <si>
    <t>204:233285</t>
  </si>
  <si>
    <t>204:232970</t>
  </si>
  <si>
    <t>300:19547</t>
  </si>
  <si>
    <t>300:5059</t>
  </si>
  <si>
    <t>300:23314</t>
  </si>
  <si>
    <t>300:23389</t>
  </si>
  <si>
    <t>300:22542</t>
  </si>
  <si>
    <t>300:22900</t>
  </si>
  <si>
    <t>300:22467</t>
  </si>
  <si>
    <t>300:23020</t>
  </si>
  <si>
    <t>300:23561</t>
  </si>
  <si>
    <t>300:22987</t>
  </si>
  <si>
    <t>300:23308</t>
  </si>
  <si>
    <t>300:23408</t>
  </si>
  <si>
    <t>300:12515</t>
  </si>
  <si>
    <t>300:18723</t>
  </si>
  <si>
    <t>300:23297</t>
  </si>
  <si>
    <t>204:504</t>
  </si>
  <si>
    <t>300:22299</t>
  </si>
  <si>
    <t>204:1963</t>
  </si>
  <si>
    <t>204:3104</t>
  </si>
  <si>
    <t>204:1475</t>
  </si>
  <si>
    <t>204:3473</t>
  </si>
  <si>
    <t>204:3155</t>
  </si>
  <si>
    <t>204:1148</t>
  </si>
  <si>
    <t>204:342</t>
  </si>
  <si>
    <t>204:3471</t>
  </si>
  <si>
    <t>start /low /b %USERPROFILE%\Documents\GitHub\eaglep3\Utilities\DownloadLogsFromS3.py --loco 4004 --day 2017-04-23</t>
  </si>
  <si>
    <t>start /low /b %USERPROFILE%\Documents\GitHub\eaglep3\Utilities\DownloadLogsFromS3.py --loco 4001 --day 2017-04-23</t>
  </si>
  <si>
    <t>start /low /b %USERPROFILE%\Documents\GitHub\eaglep3\Utilities\DownloadLogsFromS3.py --loco 4028 --day 2017-04-23</t>
  </si>
  <si>
    <t>start /low /b %USERPROFILE%\Documents\GitHub\eaglep3\Utilities\DownloadLogsFromS3.py --loco 4043 --day 2017-04-23</t>
  </si>
  <si>
    <t>start /low /b %USERPROFILE%\Documents\GitHub\eaglep3\Utilities\DownloadLogsFromS3.py --loco 4016 --day 2017-04-23</t>
  </si>
  <si>
    <t>start /low /b %USERPROFILE%\Documents\GitHub\eaglep3\Utilities\DownloadLogsFromS3.py --loco 4045 --day 2017-04-23</t>
  </si>
  <si>
    <t>start /low /b %USERPROFILE%\Documents\GitHub\eaglep3\Utilities\DownloadLogsFromS3.py --loco 4022 --day 2017-04-23</t>
  </si>
  <si>
    <t>start /low /b %USERPROFILE%\Documents\GitHub\eaglep3\Utilities\DownloadLogsFromS3.py --loco 4021 --day 2017-04-23</t>
  </si>
  <si>
    <t>start /low /b %USERPROFILE%\Documents\GitHub\eaglep3\Utilities\DownloadLogsFromS3.py --loco 4042 --day 2017-04-23</t>
  </si>
  <si>
    <t>start /low /b %USERPROFILE%\Documents\GitHub\eaglep3\Utilities\DownloadLogsFromS3.py --loco 4041 --day 2017-04-23</t>
  </si>
  <si>
    <t>start /low /b %USERPROFILE%\Documents\GitHub\eaglep3\Utilities\DownloadLogsFromS3.py --loco 4003 --day 2017-04-23</t>
  </si>
  <si>
    <t>start /low /b %USERPROFILE%\Documents\GitHub\eaglep3\Utilities\DownloadLogsFromS3.py --loco 4002 --day 2017-04-23</t>
  </si>
  <si>
    <t>start /low /b %USERPROFILE%\Documents\GitHub\eaglep3\Utilities\DownloadLogsFromS3.py --loco 4027 --day 2017-04-23</t>
  </si>
  <si>
    <t>start /low /b %USERPROFILE%\Documents\GitHub\eaglep3\Utilities\DownloadLogsFromS3.py --loco 4044 --day 2017-04-23</t>
  </si>
  <si>
    <t>start /low /b %USERPROFILE%\Documents\GitHub\eaglep3\Utilities\DownloadLogsFromS3.py --loco 4015 --day 2017-04-23</t>
  </si>
  <si>
    <t>start /low /b %USERPROFILE%\Documents\GitHub\eaglep3\Utilities\DownloadLogsFromS3.py --loco 4021 --day 2017-04-24</t>
  </si>
  <si>
    <t>start /low /b %USERPROFILE%\Documents\GitHub\eaglep3\Utilities\DownloadLogsFromS3.py --loco 4016 --day 2017-04-24</t>
  </si>
  <si>
    <t>start /low /b %USERPROFILE%\Documents\GitHub\eaglep3\Utilities\DownloadLogsFromS3.py --loco 4046 --day 2017-04-23</t>
  </si>
  <si>
    <t>start /low /b %USERPROFILE%\Documents\GitHub\eaglep3\Utilities\DownloadLogsFromS3.py --loco 4031 --day 2017-04-23</t>
  </si>
  <si>
    <t>start /low /b %USERPROFILE%\Documents\GitHub\eaglep3\Utilities\DownloadLogsFromS3.py --loco 4031 --day 2017-04-24</t>
  </si>
  <si>
    <t>FEP-02 outage - virus scan caused PTC Comms apps to lock up</t>
  </si>
  <si>
    <t>Onboard in-route failure, banner without braking</t>
  </si>
  <si>
    <t>DTO Efficiency Test</t>
  </si>
  <si>
    <t>1801-23</t>
  </si>
  <si>
    <t>1802-23</t>
  </si>
  <si>
    <t>1803-23</t>
  </si>
  <si>
    <t>1804-23</t>
  </si>
  <si>
    <t>1805-23</t>
  </si>
  <si>
    <t>1800-23</t>
  </si>
  <si>
    <t>Early arrival</t>
  </si>
  <si>
    <t>Wi-MAX data drop</t>
  </si>
  <si>
    <t>Unhealthy at York due to stopping from enforcement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</si>
</sst>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Fill="1" applyBorder="1"/>
    <xf numFmtId="169" fontId="0" fillId="0" borderId="0" xfId="0" applyNumberFormat="1" applyBorder="1"/>
    <xf numFmtId="169" fontId="1" fillId="0" borderId="0" xfId="0" applyNumberFormat="1" applyFont="1"/>
    <xf numFmtId="169" fontId="0" fillId="2" borderId="13" xfId="0" applyNumberFormat="1" applyFill="1" applyBorder="1" applyAlignment="1"/>
    <xf numFmtId="169" fontId="0" fillId="0" borderId="16" xfId="0" applyNumberFormat="1" applyBorder="1" applyAlignment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5" fillId="0" borderId="0" xfId="0" applyNumberFormat="1" applyFont="1"/>
    <xf numFmtId="0" fontId="0" fillId="0" borderId="1" xfId="0" applyNumberForma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1" xfId="0" applyNumberForma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2" borderId="3" xfId="0" applyNumberFormat="1" applyFill="1" applyBorder="1" applyAlignment="1">
      <alignment horizontal="left" vertical="center"/>
    </xf>
    <xf numFmtId="0" fontId="0" fillId="3" borderId="3" xfId="0" applyNumberFormat="1" applyFill="1" applyBorder="1" applyAlignment="1">
      <alignment horizontal="left" vertical="center"/>
    </xf>
    <xf numFmtId="0" fontId="0" fillId="0" borderId="0" xfId="2" applyNumberFormat="1" applyFont="1" applyAlignment="1">
      <alignment horizontal="left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1" fillId="0" borderId="5" xfId="0" applyNumberFormat="1" applyFont="1" applyBorder="1" applyAlignment="1">
      <alignment horizontal="center" vertical="center" wrapText="1"/>
    </xf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2" applyNumberFormat="1" applyFont="1"/>
  </cellXfs>
  <cellStyles count="4">
    <cellStyle name="Normal" xfId="0" builtinId="0"/>
    <cellStyle name="Normal 2" xfId="3"/>
    <cellStyle name="Normal_XINGS" xfId="1"/>
    <cellStyle name="Percent" xfId="2" builtinId="5"/>
  </cellStyles>
  <dxfs count="42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7"/>
  <sheetViews>
    <sheetView tabSelected="1" topLeftCell="A109" zoomScaleNormal="100" workbookViewId="0">
      <selection activeCell="R63" sqref="R63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5" width="3.7109375" style="2" customWidth="1"/>
    <col min="16" max="16" width="3" style="2" customWidth="1"/>
    <col min="17" max="17" width="3.7109375" hidden="1" customWidth="1"/>
    <col min="18" max="18" width="32.28515625" style="177" customWidth="1"/>
    <col min="19" max="19" width="6" style="204" customWidth="1"/>
    <col min="20" max="20" width="3.85546875" style="177" customWidth="1"/>
    <col min="21" max="21" width="5" style="177" customWidth="1"/>
    <col min="22" max="22" width="5.7109375" style="203" customWidth="1"/>
    <col min="23" max="23" width="3.85546875" style="178" customWidth="1"/>
    <col min="24" max="24" width="6.5703125" style="178" customWidth="1"/>
    <col min="25" max="25" width="11.5703125" style="178" bestFit="1" customWidth="1"/>
    <col min="26" max="26" width="7.28515625" style="178" customWidth="1"/>
    <col min="27" max="27" width="9.140625" style="178"/>
    <col min="28" max="28" width="10.7109375" style="55" hidden="1" customWidth="1"/>
    <col min="29" max="29" width="9.42578125" style="49" hidden="1" customWidth="1"/>
    <col min="30" max="30" width="7.85546875" style="50" customWidth="1"/>
    <col min="31" max="31" width="4.5703125" style="78" customWidth="1"/>
    <col min="32" max="32" width="6.28515625" style="75" customWidth="1"/>
    <col min="33" max="33" width="5.42578125" customWidth="1"/>
    <col min="34" max="34" width="5" style="81" customWidth="1"/>
    <col min="35" max="35" width="5.7109375" style="94" customWidth="1"/>
    <col min="36" max="36" width="9.85546875" customWidth="1"/>
    <col min="37" max="37" width="5" customWidth="1"/>
    <col min="38" max="38" width="4.140625" customWidth="1"/>
    <col min="39" max="39" width="9.140625" style="145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105</v>
      </c>
      <c r="J1" s="36"/>
      <c r="K1" s="27"/>
      <c r="L1" s="27"/>
      <c r="M1" s="35"/>
      <c r="N1" s="36"/>
      <c r="O1" s="2"/>
      <c r="P1" s="2"/>
      <c r="R1" s="175" t="s">
        <v>106</v>
      </c>
      <c r="S1" s="192"/>
      <c r="T1" s="175"/>
      <c r="U1" s="175"/>
      <c r="V1" s="176"/>
      <c r="W1" s="175"/>
      <c r="X1" s="177"/>
      <c r="Y1" s="178"/>
      <c r="Z1" s="178"/>
      <c r="AA1" s="178"/>
      <c r="AB1" s="55"/>
      <c r="AC1" s="49"/>
      <c r="AD1" s="50"/>
      <c r="AE1" s="1"/>
      <c r="AF1" s="1"/>
      <c r="AG1" s="1"/>
      <c r="AH1" s="47"/>
      <c r="AI1" s="1"/>
      <c r="AM1" s="145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60">
        <f>Variables!$A$2</f>
        <v>42848</v>
      </c>
      <c r="J2" s="61"/>
      <c r="K2" s="62"/>
      <c r="L2" s="62"/>
      <c r="M2" s="63" t="s">
        <v>8</v>
      </c>
      <c r="N2" s="64"/>
      <c r="O2" s="65"/>
      <c r="P2" s="2"/>
      <c r="R2" s="179">
        <f>Variables!$A$2</f>
        <v>42848</v>
      </c>
      <c r="S2" s="207"/>
      <c r="T2" s="180"/>
      <c r="U2" s="180"/>
      <c r="V2" s="181" t="s">
        <v>8</v>
      </c>
      <c r="W2" s="182"/>
      <c r="X2" s="183"/>
      <c r="Y2" s="178"/>
      <c r="Z2" s="178"/>
      <c r="AA2" s="178"/>
      <c r="AB2" s="55"/>
      <c r="AC2" s="49"/>
      <c r="AD2" s="50"/>
      <c r="AE2" s="1"/>
      <c r="AF2" s="1"/>
      <c r="AG2" s="1"/>
      <c r="AH2" s="47"/>
      <c r="AI2" s="1"/>
      <c r="AM2" s="145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6" t="s">
        <v>10</v>
      </c>
      <c r="J3" s="67"/>
      <c r="K3" s="68"/>
      <c r="L3" s="68"/>
      <c r="M3" s="37" t="s">
        <v>11</v>
      </c>
      <c r="N3" s="38" t="s">
        <v>12</v>
      </c>
      <c r="O3" s="3" t="s">
        <v>13</v>
      </c>
      <c r="P3" s="2"/>
      <c r="R3" s="184" t="s">
        <v>10</v>
      </c>
      <c r="S3" s="208"/>
      <c r="T3" s="185"/>
      <c r="U3" s="185"/>
      <c r="V3" s="186" t="s">
        <v>11</v>
      </c>
      <c r="W3" s="187" t="s">
        <v>12</v>
      </c>
      <c r="X3" s="188" t="s">
        <v>13</v>
      </c>
      <c r="Y3" s="178"/>
      <c r="Z3" s="178"/>
      <c r="AA3" s="178"/>
      <c r="AB3" s="55"/>
      <c r="AC3" s="49"/>
      <c r="AD3" s="50"/>
      <c r="AE3" s="1"/>
      <c r="AF3" s="1"/>
      <c r="AG3" s="1"/>
      <c r="AH3" s="47"/>
      <c r="AI3" s="1"/>
      <c r="AM3" s="145"/>
    </row>
    <row r="4" spans="1:91" s="20" customFormat="1" ht="15.75" thickBot="1" x14ac:dyDescent="0.3">
      <c r="A4" s="34"/>
      <c r="B4" s="36"/>
      <c r="C4" s="27"/>
      <c r="D4" s="27"/>
      <c r="E4" s="33"/>
      <c r="F4" s="33"/>
      <c r="G4" s="36"/>
      <c r="H4" s="33"/>
      <c r="I4" s="69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87" t="s">
        <v>14</v>
      </c>
      <c r="S4" s="209">
        <f>SUM(S5:S7)</f>
        <v>34</v>
      </c>
      <c r="T4" s="189"/>
      <c r="U4" s="189"/>
      <c r="V4" s="186" t="s">
        <v>15</v>
      </c>
      <c r="W4" s="187" t="s">
        <v>15</v>
      </c>
      <c r="X4" s="188" t="s">
        <v>15</v>
      </c>
      <c r="Y4" s="178"/>
      <c r="Z4" s="178"/>
      <c r="AA4" s="178"/>
      <c r="AB4" s="55"/>
      <c r="AC4" s="49"/>
      <c r="AD4" s="50"/>
      <c r="AE4" s="1"/>
      <c r="AF4" s="1"/>
      <c r="AG4" s="1"/>
      <c r="AH4" s="47"/>
      <c r="AI4" s="1"/>
      <c r="AM4" s="145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9" t="s">
        <v>17</v>
      </c>
      <c r="J5" s="48">
        <f>COUNTIFS($N$13:$N$9326,"&gt;0",$AG$13:$AG$9326,I1)</f>
        <v>107</v>
      </c>
      <c r="K5" s="39"/>
      <c r="L5" s="39"/>
      <c r="M5" s="40">
        <f>AVERAGEIFS($N$13:$N$9326,$AG$13:$AG$9326,I1)</f>
        <v>37.949999999766298</v>
      </c>
      <c r="N5" s="38">
        <f t="array" ref="N5">MIN(IF($AG$13:$AG$9326=I1,IF(ISNUMBER($N$13:$N$9326),IF($N$13:$N$9326&gt;0,$N$13:$N$9326))))</f>
        <v>34.466666666558012</v>
      </c>
      <c r="O5" s="3">
        <f t="array" ref="O5">MAX(IF($AG$13:$AG$9326=I1,IF(ISNUMBER($N$13:$N$9326),IF($N$13:$N$9326&gt;0,$N$13:$N$9326))))</f>
        <v>42.666666666045785</v>
      </c>
      <c r="P5" s="2"/>
      <c r="R5" s="187" t="s">
        <v>17</v>
      </c>
      <c r="S5" s="209">
        <f>COUNTIFS($N$13:$N$9326,"&gt;0",$AG$13:$AG$9326,R1)</f>
        <v>28</v>
      </c>
      <c r="T5" s="189"/>
      <c r="U5" s="189"/>
      <c r="V5" s="186">
        <f>AVERAGEIFS($N$13:$N$9326,$AG$13:$AG$9326,R1)</f>
        <v>13.298809524899948</v>
      </c>
      <c r="W5" s="187">
        <f t="array" ref="W5">MIN(IF($AG$13:$AG$9326=R1,IF(ISNUMBER($N$13:$N$9326),IF($N$13:$N$9326&gt;0,$N$13:$N$9326))))</f>
        <v>12.016666667768732</v>
      </c>
      <c r="X5" s="188">
        <f t="array" ref="X5">MAX(IF($AG$13:$AG$9326=R1,IF(ISNUMBER($N$13:$N$9326),IF($N$13:$N$9326&gt;0,$N$13:$N$9326))))</f>
        <v>20.233333337819204</v>
      </c>
      <c r="Y5" s="178"/>
      <c r="Z5" s="178"/>
      <c r="AA5" s="178"/>
      <c r="AB5" s="55"/>
      <c r="AC5" s="49"/>
      <c r="AD5" s="50"/>
      <c r="AE5" s="1"/>
      <c r="AF5" s="1"/>
      <c r="AG5" s="1"/>
      <c r="AH5" s="47"/>
      <c r="AI5" s="1"/>
      <c r="AM5" s="145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70" t="s">
        <v>43</v>
      </c>
      <c r="J6" s="48">
        <f>COUNT($O$13:$O$109)</f>
        <v>0</v>
      </c>
      <c r="K6" s="39"/>
      <c r="L6" s="39"/>
      <c r="M6" s="40">
        <f>IFERROR(AVERAGE($O$13:$O$109),0)</f>
        <v>0</v>
      </c>
      <c r="N6" s="38">
        <f>MIN($O$13:$O$109)</f>
        <v>0</v>
      </c>
      <c r="O6" s="3">
        <f>MAX($O$13:$O$109)</f>
        <v>0</v>
      </c>
      <c r="P6" s="2"/>
      <c r="R6" s="190" t="s">
        <v>43</v>
      </c>
      <c r="S6" s="209">
        <f>COUNT($O$13:$O$109)</f>
        <v>0</v>
      </c>
      <c r="T6" s="189"/>
      <c r="U6" s="189"/>
      <c r="V6" s="186">
        <f>IFERROR(AVERAGE($O$13:$O$109),0)</f>
        <v>0</v>
      </c>
      <c r="W6" s="187">
        <f>MIN($O$13:$O$109)</f>
        <v>0</v>
      </c>
      <c r="X6" s="188">
        <f>MAX($O$13:$O$109)</f>
        <v>0</v>
      </c>
      <c r="Y6" s="178"/>
      <c r="Z6" s="178"/>
      <c r="AA6" s="178"/>
      <c r="AB6" s="55"/>
      <c r="AC6" s="49"/>
      <c r="AD6" s="50"/>
      <c r="AE6" s="1"/>
      <c r="AF6" s="1"/>
      <c r="AG6" s="1"/>
      <c r="AH6" s="47"/>
      <c r="AI6" s="1"/>
      <c r="AM6" s="145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71" t="s">
        <v>9</v>
      </c>
      <c r="J7" s="48">
        <f>COUNTIFS($P$13:$P$9326,"&gt;0",$AG$13:$AG$9326,I1)</f>
        <v>37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91" t="s">
        <v>9</v>
      </c>
      <c r="S7" s="209">
        <f>COUNTIFS($P$13:$P$9326,"&gt;0",$AG$13:$AG$9326,R1)</f>
        <v>6</v>
      </c>
      <c r="T7" s="189"/>
      <c r="U7" s="189"/>
      <c r="V7" s="186" t="s">
        <v>15</v>
      </c>
      <c r="W7" s="187" t="s">
        <v>15</v>
      </c>
      <c r="X7" s="188" t="s">
        <v>15</v>
      </c>
      <c r="Y7" s="178"/>
      <c r="Z7" s="178"/>
      <c r="AA7" s="178"/>
      <c r="AB7" s="55"/>
      <c r="AC7" s="49"/>
      <c r="AD7" s="50"/>
      <c r="AE7" s="1"/>
      <c r="AF7" s="1"/>
      <c r="AG7" s="1"/>
      <c r="AH7" s="47"/>
      <c r="AI7" s="1"/>
      <c r="AM7" s="145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9" t="s">
        <v>16</v>
      </c>
      <c r="J8" s="48">
        <f>J5</f>
        <v>107</v>
      </c>
      <c r="K8" s="39"/>
      <c r="L8" s="39"/>
      <c r="M8" s="40">
        <f>M5</f>
        <v>37.949999999766298</v>
      </c>
      <c r="N8" s="38">
        <f>N5</f>
        <v>34.466666666558012</v>
      </c>
      <c r="O8" s="3">
        <f>O5</f>
        <v>42.666666666045785</v>
      </c>
      <c r="P8" s="2"/>
      <c r="R8" s="187" t="s">
        <v>16</v>
      </c>
      <c r="S8" s="209">
        <f>S5</f>
        <v>28</v>
      </c>
      <c r="T8" s="189"/>
      <c r="U8" s="189"/>
      <c r="V8" s="186">
        <f>V5</f>
        <v>13.298809524899948</v>
      </c>
      <c r="W8" s="187">
        <f>W5</f>
        <v>12.016666667768732</v>
      </c>
      <c r="X8" s="188">
        <f>X5</f>
        <v>20.233333337819204</v>
      </c>
      <c r="Y8" s="178"/>
      <c r="Z8" s="178"/>
      <c r="AA8" s="178"/>
      <c r="AB8" s="55"/>
      <c r="AC8" s="49"/>
      <c r="AD8" s="50"/>
      <c r="AE8" s="1"/>
      <c r="AF8" s="1"/>
      <c r="AG8" s="1"/>
      <c r="AH8" s="47"/>
      <c r="AI8" s="1"/>
      <c r="AM8" s="145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9" t="s">
        <v>19</v>
      </c>
      <c r="J9" s="126">
        <f>J8/J4</f>
        <v>0.74305555555555558</v>
      </c>
      <c r="K9" s="41"/>
      <c r="L9" s="41"/>
      <c r="M9" s="72"/>
      <c r="N9" s="36"/>
      <c r="O9" s="73"/>
      <c r="P9" s="2"/>
      <c r="R9" s="187" t="s">
        <v>19</v>
      </c>
      <c r="S9" s="192">
        <f>S8/S4</f>
        <v>0.82352941176470584</v>
      </c>
      <c r="T9" s="175"/>
      <c r="U9" s="175"/>
      <c r="V9" s="193"/>
      <c r="W9" s="175"/>
      <c r="X9" s="194"/>
      <c r="Y9" s="178"/>
      <c r="Z9" s="178"/>
      <c r="AA9" s="178"/>
      <c r="AB9" s="55"/>
      <c r="AC9" s="49"/>
      <c r="AD9" s="50"/>
      <c r="AE9" s="1"/>
      <c r="AF9" s="1"/>
      <c r="AG9" s="1"/>
      <c r="AH9" s="47"/>
      <c r="AI9" s="1"/>
      <c r="AM9" s="145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77"/>
      <c r="S10" s="210"/>
      <c r="T10" s="177"/>
      <c r="U10" s="177"/>
      <c r="V10" s="195"/>
      <c r="W10" s="178"/>
      <c r="X10" s="178"/>
      <c r="Y10" s="178"/>
      <c r="Z10" s="178"/>
      <c r="AA10" s="178"/>
      <c r="AB10" s="55"/>
      <c r="AC10" s="49"/>
      <c r="AD10" s="50"/>
      <c r="AE10" s="1"/>
      <c r="AF10" s="1"/>
      <c r="AG10" s="1"/>
      <c r="AH10" s="47"/>
      <c r="AI10" s="1"/>
      <c r="AM10" s="145"/>
    </row>
    <row r="11" spans="1:91" ht="16.5" thickBot="1" x14ac:dyDescent="0.3">
      <c r="A11" s="173" t="str">
        <f>"Eagle P3 System Performance - "&amp;TEXT(Variables!A2,"yyyy-mm-dd")</f>
        <v>Eagle P3 System Performance - 2017-04-23</v>
      </c>
      <c r="B11" s="173"/>
      <c r="C11" s="173"/>
      <c r="D11" s="173"/>
      <c r="E11" s="173"/>
      <c r="F11" s="173"/>
      <c r="G11" s="173"/>
      <c r="H11" s="173"/>
      <c r="I11" s="173"/>
      <c r="J11" s="173"/>
      <c r="K11" s="173"/>
      <c r="L11" s="173"/>
      <c r="M11" s="173"/>
      <c r="N11" s="173"/>
      <c r="O11" s="173"/>
      <c r="P11" s="173"/>
      <c r="S11" s="210">
        <f>AVERAGE(S13:S81)</f>
        <v>0.42607526881720426</v>
      </c>
      <c r="V11" s="195"/>
      <c r="AE11" s="1"/>
      <c r="AF11" s="1"/>
      <c r="AG11" s="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4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6" t="s">
        <v>24</v>
      </c>
      <c r="S12" s="205" t="s">
        <v>63</v>
      </c>
      <c r="T12" s="197" t="s">
        <v>64</v>
      </c>
      <c r="U12" s="197" t="s">
        <v>65</v>
      </c>
      <c r="V12" s="198" t="s">
        <v>45</v>
      </c>
      <c r="W12" s="199" t="s">
        <v>23</v>
      </c>
      <c r="X12" s="199" t="s">
        <v>48</v>
      </c>
      <c r="Y12" s="199" t="s">
        <v>20</v>
      </c>
      <c r="Z12" s="199" t="s">
        <v>21</v>
      </c>
      <c r="AA12" s="199" t="s">
        <v>22</v>
      </c>
      <c r="AB12" s="56" t="s">
        <v>39</v>
      </c>
      <c r="AC12" s="52" t="s">
        <v>40</v>
      </c>
      <c r="AD12" s="51" t="s">
        <v>82</v>
      </c>
      <c r="AE12" s="79" t="s">
        <v>89</v>
      </c>
      <c r="AF12" s="76" t="s">
        <v>94</v>
      </c>
      <c r="AG12" s="4" t="s">
        <v>107</v>
      </c>
      <c r="AH12" s="82" t="s">
        <v>109</v>
      </c>
      <c r="AI12" s="98" t="s">
        <v>147</v>
      </c>
      <c r="AJ12" s="46" t="s">
        <v>148</v>
      </c>
      <c r="AK12" s="46" t="s">
        <v>121</v>
      </c>
      <c r="AL12" s="46" t="s">
        <v>149</v>
      </c>
      <c r="AM12" s="146" t="s">
        <v>200</v>
      </c>
      <c r="AN12" s="46" t="s">
        <v>382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639</v>
      </c>
      <c r="B13" s="7">
        <v>4004</v>
      </c>
      <c r="C13" s="21" t="s">
        <v>213</v>
      </c>
      <c r="D13" s="21" t="s">
        <v>828</v>
      </c>
      <c r="E13" s="13">
        <v>42848.131666666668</v>
      </c>
      <c r="F13" s="13">
        <v>42848.135601851849</v>
      </c>
      <c r="G13" s="7">
        <v>1</v>
      </c>
      <c r="H13" s="21" t="s">
        <v>829</v>
      </c>
      <c r="I13" s="13">
        <v>42848.135787037034</v>
      </c>
      <c r="J13" s="7">
        <v>0</v>
      </c>
      <c r="K13" s="92" t="str">
        <f t="shared" ref="K13:K44" si="0">IF(ISEVEN(B13),(B13-1)&amp;"/"&amp;B13,B13&amp;"/"&amp;(B13+1))</f>
        <v>4003/4004</v>
      </c>
      <c r="L13" s="21" t="str">
        <f>VLOOKUP(A13,'Trips&amp;Operators'!$C$1:$G$99999,5,FALSE)</f>
        <v>SANTIZO D. EDY</v>
      </c>
      <c r="M13" s="6">
        <f t="shared" ref="M13:M44" si="1">I13-F13</f>
        <v>1.8518518481869251E-4</v>
      </c>
      <c r="N13" s="7"/>
      <c r="O13" s="7"/>
      <c r="P13" s="7">
        <f>24*60*SUM($M13:$M13)</f>
        <v>0.26666666613891721</v>
      </c>
      <c r="Q13" s="22"/>
      <c r="R13" s="200" t="s">
        <v>1022</v>
      </c>
      <c r="S13" s="206">
        <f>SUM(U13:U13)/IF(AG13="EC",12,1)</f>
        <v>0</v>
      </c>
      <c r="T13" s="200" t="str">
        <f t="shared" ref="T13:T44" si="2">IF(ISEVEN(LEFT(AD13,4)),"Southbound","NorthBound")</f>
        <v>NorthBound</v>
      </c>
      <c r="U13" s="200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0</v>
      </c>
      <c r="V13" s="201" t="str">
        <f t="shared" ref="V13:V44" si="3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-04-23T02:09:36-0600',mode:absolute,to:'2017-04-23T04:15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" s="202" t="str">
        <f t="shared" ref="W13:W44" si="4">IF(AA13&lt;IF(AG13="EC",23,5.65),"Y","N")</f>
        <v>Y</v>
      </c>
      <c r="X13" s="202" t="e">
        <f t="shared" ref="X13:X44" si="5">VALUE(LEFT(AD13,4))-VALUE(LEFT(AD12,4))</f>
        <v>#VALUE!</v>
      </c>
      <c r="Y13" s="202">
        <f t="shared" ref="Y13:Y44" si="6">RIGHT(D13,LEN(D13)-4)/10000</f>
        <v>6.9699999999999998E-2</v>
      </c>
      <c r="Z13" s="202">
        <f t="shared" ref="Z13:Z44" si="7">RIGHT(H13,LEN(H13)-4)/10000</f>
        <v>0.1244</v>
      </c>
      <c r="AA13" s="202">
        <f t="shared" ref="AA13:AA44" si="8">ABS(Z13-Y13)</f>
        <v>5.4699999999999999E-2</v>
      </c>
      <c r="AB13" s="57" t="e">
        <f>VLOOKUP(A13,Enforcements!$C$7:$K$13,8,0)</f>
        <v>#N/A</v>
      </c>
      <c r="AC13" s="53" t="e">
        <f>VLOOKUP(A13,Enforcements!$C$7:$E$13,3,0)</f>
        <v>#N/A</v>
      </c>
      <c r="AD13" s="54" t="str">
        <f t="shared" ref="AD13:AD44" si="9">IF(LEN(A13)=6,"0"&amp;A13,A13)</f>
        <v>0101-23</v>
      </c>
      <c r="AE13" s="80" t="str">
        <f t="shared" ref="AE13:AE44" si="10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s3://rtdc.mdm.uploadarchive.raw/RTDC4004/ "%USERPROFILE%\AppData\Local\Temp\OnboardLogs"\RTDC4004\2017-04-23 --exclude "*" --recursive --include "*20170423*" &amp; "%USERPROFILE%\Documents\GitHub\mrs-test-scripts\Headless Mode &amp; Sideloading\WalkAndUnGZ.bat" "%USERPROFILE%\AppData\Local\Temp\OnboardLogs"\RTDC4004\2017-04-23 &amp; aws s3 cp s3://rtdc.mdm.uploadarchive.raw/RTDC4004/ "%USERPROFILE%\AppData\Local\Temp\OnboardLogs"\RTDC4004\2017-04-24 --exclude "*" --recursive --include "*20170424*" &amp; "%USERPROFILE%\Documents\GitHub\mrs-test-scripts\Headless Mode &amp; Sideloading\WalkAndUnGZ.bat" "%USERPROFILE%\AppData\Local\Temp\OnboardLogs"\RTDC4004\2017-04-24</v>
      </c>
      <c r="AF13" s="77" t="str">
        <f t="shared" ref="AF13:AF44" si="11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/stypes="app*4004*20170423*" /stext=" 09:.+((SYSTEM_STATE.+slice.+state.+changed )|(ment ac)|(multiple cpu faults)|(system.+state.+changed )|(\[timeout)|(PRM\|1\|D)|(kpr)|(kdp)|(\|lc)|(penalty))"</v>
      </c>
      <c r="AG13" s="1" t="str">
        <f t="shared" ref="AG13:AG44" si="12">IFERROR(IF(VALUE(LEFT(AD13,2))&lt;=2,"EC",IF(OR(VALUE(LEFT(AD13,2))=8,VALUE(LEFT(AD13,2))=18),"NW","Other")),"Other")</f>
        <v>EC</v>
      </c>
      <c r="AH13" s="81" t="str">
        <f t="shared" ref="AH13" si="13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101-23 --locoid 4004 --swversion DE.1.0.9.0 --startMP 204:697 --initTime 2017-04-23T03:09:36 --startdatetime 2017-04-23T03:15:16 --delay 1 --endMP 204:1244 --enddatetime 2017-04-23T03:15:32 --enforcementcount 0 &gt;&gt;C:\Users\stu\Documents\GitHub\eaglep3-reporting\EC\2017-04-23-refined-times.txt</v>
      </c>
      <c r="AI13" s="99" t="str">
        <f t="shared" ref="AI13" si="14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{"issue":{"subject":"FEP-02 outage - virus scan caused PTC Comms apps to lock up","project_id":79,"tracker_id":40,"status_id":1,"priority_id":2,"assigned_to_id":23,"start_date":"2017-04-23","description":"","custom_fields":[{"id":1,"name":"Subdivision","value":"EC"},{"id":4,"name":"Milepost","value":"0.1244"},{"id":17,"name":"Train ID","value":"101-23"},{"id":16,"name":"Locomotive ID","value":"4004"},{"id":130,"name":"Impact","value":""},{"id":150,"name":"Time of Event (Mountain Time)","value":"03:15:32"},{"id":151,"name":"Denver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5" t="str">
        <f t="shared" ref="AM13" si="15">"start /low /b "&amp;dls3logs&amp;" --loco "&amp;B13&amp;" --day "&amp;TEXT(F13,"YYYY-MM-DD")</f>
        <v>start /low /b %USERPROFILE%\Documents\GitHub\eaglep3\Utilities\DownloadLogsFromS3.py --loco 4004 --day 2017-04-23</v>
      </c>
      <c r="AN13" s="154" t="str">
        <f t="shared" ref="AN13" si="16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{"issue":{"subject":"FEP-02 outage - virus scan caused PTC Comms apps to lock up","project_id":30,"tracker_id":4,"status_id":1,"priority_id":1,"assigned_to_id":10,"start_date":"2017-04-23","description":"","custom_fields":[{"id":30,"name":"Category","value":"Issue"},{"id":3,"name":"Functional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09:15:32"},{"id":29,"name":"Sharepoint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2" t="s">
        <v>600</v>
      </c>
      <c r="B14" s="7">
        <v>4001</v>
      </c>
      <c r="C14" s="21" t="s">
        <v>213</v>
      </c>
      <c r="D14" s="21" t="s">
        <v>830</v>
      </c>
      <c r="E14" s="13">
        <v>42848.164398148147</v>
      </c>
      <c r="F14" s="13">
        <v>42848.174490740741</v>
      </c>
      <c r="G14" s="7">
        <v>9</v>
      </c>
      <c r="H14" s="21" t="s">
        <v>831</v>
      </c>
      <c r="I14" s="13">
        <v>42848.174641203703</v>
      </c>
      <c r="J14" s="7">
        <v>0</v>
      </c>
      <c r="K14" s="92" t="str">
        <f t="shared" si="0"/>
        <v>4001/4002</v>
      </c>
      <c r="L14" s="21" t="str">
        <f>VLOOKUP(A14,'Trips&amp;Operators'!$C$1:$G$99999,5,FALSE)</f>
        <v>SANTIZO D. EDY</v>
      </c>
      <c r="M14" s="6">
        <f t="shared" si="1"/>
        <v>1.5046296175569296E-4</v>
      </c>
      <c r="N14" s="7"/>
      <c r="O14" s="7"/>
      <c r="P14" s="7">
        <f t="shared" ref="P14:P57" si="17">24*60*SUM($M14:$M14)</f>
        <v>0.21666666492819786</v>
      </c>
      <c r="Q14" s="22"/>
      <c r="R14" s="200" t="s">
        <v>1022</v>
      </c>
      <c r="S14" s="206">
        <f t="shared" ref="S14:S49" si="18">SUM(U14:U14)/IF(AG14="EC",12,1)</f>
        <v>0</v>
      </c>
      <c r="T14" s="200" t="str">
        <f t="shared" si="2"/>
        <v>Southbound</v>
      </c>
      <c r="U14" s="200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0</v>
      </c>
      <c r="V14" s="201" t="str">
        <f t="shared" si="3"/>
        <v>https://d0f6bd738d7f1b3e5a7ca70fe4ff75f0.us-east-1.aws.found.io/app/kibana#/discover/Steve-Slow-Train-Analysis-(2080s-and-2083s)?_g=(refreshInterval:(display:Off,pause:!f,section:0,value:0),time:(from:'2017-04-23T02:56:44-0600',mode:absolute,to:'2017-04-23T05:11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" s="202" t="str">
        <f t="shared" si="4"/>
        <v>Y</v>
      </c>
      <c r="X14" s="202">
        <f t="shared" si="5"/>
        <v>1</v>
      </c>
      <c r="Y14" s="202">
        <f t="shared" si="6"/>
        <v>23.275099999999998</v>
      </c>
      <c r="Z14" s="202">
        <f t="shared" si="7"/>
        <v>23.2133</v>
      </c>
      <c r="AA14" s="202">
        <f t="shared" si="8"/>
        <v>6.1799999999998079E-2</v>
      </c>
      <c r="AB14" s="57" t="e">
        <f>VLOOKUP(A14,Enforcements!$C$7:$K$13,8,0)</f>
        <v>#N/A</v>
      </c>
      <c r="AC14" s="53" t="e">
        <f>VLOOKUP(A14,Enforcements!$C$7:$E$13,3,0)</f>
        <v>#N/A</v>
      </c>
      <c r="AD14" s="54" t="str">
        <f t="shared" si="9"/>
        <v>0102-23</v>
      </c>
      <c r="AE14" s="80" t="str">
        <f t="shared" si="10"/>
        <v>aws s3 cp s3://rtdc.mdm.uploadarchive.raw/RTDC4001/ "%USERPROFILE%\AppData\Local\Temp\OnboardLogs"\RTDC4001\2017-04-23 --exclude "*" --recursive --include "*20170423*" &amp; "%USERPROFILE%\Documents\GitHub\mrs-test-scripts\Headless Mode &amp; Sideloading\WalkAndUnGZ.bat" "%USERPROFILE%\AppData\Local\Temp\OnboardLogs"\RTDC4001\2017-04-23 &amp; aws s3 cp s3://rtdc.mdm.uploadarchive.raw/RTDC4001/ "%USERPROFILE%\AppData\Local\Temp\OnboardLogs"\RTDC4001\2017-04-24 --exclude "*" --recursive --include "*20170424*" &amp; "%USERPROFILE%\Documents\GitHub\mrs-test-scripts\Headless Mode &amp; Sideloading\WalkAndUnGZ.bat" "%USERPROFILE%\AppData\Local\Temp\OnboardLogs"\RTDC4001\2017-04-24</v>
      </c>
      <c r="AF14" s="77" t="str">
        <f t="shared" si="11"/>
        <v>"C:\Program Files (x86)\AstroGrep\AstroGrep.exe" /e /r /s /spath="%USERPROFILE%\AppData\Local\Temp\OnboardLogs" /stypes="app*4001*20170423*" /stext=" 10:.+((SYSTEM_STATE.+slice.+state.+changed )|(ment ac)|(multiple cpu faults)|(system.+state.+changed )|(\[timeout)|(PRM\|1\|D)|(kpr)|(kdp)|(\|lc)|(penalty))"</v>
      </c>
      <c r="AG14" s="1" t="str">
        <f t="shared" si="12"/>
        <v>EC</v>
      </c>
      <c r="AH14" s="81" t="str">
        <f t="shared" ref="AH14:AH77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102-23 --locoid 4001 --swversion DE.1.0.9.0 --startMP 204:232751 --initTime 2017-04-23T03:56:44 --startdatetime 2017-04-23T04:11:16 --delay 9 --endMP 204:232133 --enddatetime 2017-04-23T04:11:29 --enforcementcount 0 &gt;&gt;C:\Users\stu\Documents\GitHub\eaglep3-reporting\EC\2017-04-23-refined-times.txt</v>
      </c>
      <c r="AI14" s="99" t="str">
        <f t="shared" ref="AI14:AI77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{"issue":{"subject":"FEP-02 outage - virus scan caused PTC Comms apps to lock up","project_id":79,"tracker_id":40,"status_id":1,"priority_id":2,"assigned_to_id":23,"start_date":"2017-04-23","description":"","custom_fields":[{"id":1,"name":"Subdivision","value":"EC"},{"id":4,"name":"Milepost","value":"23.2133"},{"id":17,"name":"Train ID","value":"102-23"},{"id":16,"name":"Locomotive ID","value":"4001"},{"id":130,"name":"Impact","value":""},{"id":150,"name":"Time of Event (Mountain Time)","value":"04:11:29"},{"id":151,"name":"Denver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5" t="str">
        <f t="shared" ref="AM14:AM77" si="21">"start /low /b "&amp;dls3logs&amp;" --loco "&amp;B14&amp;" --day "&amp;TEXT(F14,"YYYY-MM-DD")</f>
        <v>start /low /b %USERPROFILE%\Documents\GitHub\eaglep3\Utilities\DownloadLogsFromS3.py --loco 4001 --day 2017-04-23</v>
      </c>
      <c r="AN14" s="154" t="str">
        <f t="shared" ref="AN14:AN77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{"issue":{"subject":"FEP-02 outage - virus scan caused PTC Comms apps to lock up","project_id":30,"tracker_id":4,"status_id":1,"priority_id":1,"assigned_to_id":10,"start_date":"2017-04-23","description":"","custom_fields":[{"id":30,"name":"Category","value":"Issue"},{"id":3,"name":"Functional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10:11:29"},{"id":29,"name":"Sharepoint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642</v>
      </c>
      <c r="B15" s="7">
        <v>4028</v>
      </c>
      <c r="C15" s="21" t="s">
        <v>213</v>
      </c>
      <c r="D15" s="21" t="s">
        <v>832</v>
      </c>
      <c r="E15" s="13">
        <v>42848.156851851854</v>
      </c>
      <c r="F15" s="13">
        <v>42848.158622685187</v>
      </c>
      <c r="G15" s="7">
        <v>1</v>
      </c>
      <c r="H15" s="21" t="s">
        <v>833</v>
      </c>
      <c r="I15" s="13">
        <v>42848.15902777778</v>
      </c>
      <c r="J15" s="7">
        <v>0</v>
      </c>
      <c r="K15" s="92" t="str">
        <f t="shared" si="0"/>
        <v>4027/4028</v>
      </c>
      <c r="L15" s="21" t="str">
        <f>VLOOKUP(A15,'Trips&amp;Operators'!$C$1:$G$99999,5,FALSE)</f>
        <v>MAELZER KURT</v>
      </c>
      <c r="M15" s="6">
        <f t="shared" si="1"/>
        <v>4.0509259270038456E-4</v>
      </c>
      <c r="N15" s="7"/>
      <c r="O15" s="7"/>
      <c r="P15" s="7">
        <f t="shared" si="17"/>
        <v>0.58333333348855376</v>
      </c>
      <c r="Q15" s="22"/>
      <c r="R15" s="200" t="s">
        <v>1022</v>
      </c>
      <c r="S15" s="206">
        <f t="shared" si="18"/>
        <v>0</v>
      </c>
      <c r="T15" s="200" t="str">
        <f t="shared" si="2"/>
        <v>NorthBound</v>
      </c>
      <c r="U15" s="200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0</v>
      </c>
      <c r="V15" s="201" t="str">
        <f t="shared" si="3"/>
        <v>https://d0f6bd738d7f1b3e5a7ca70fe4ff75f0.us-east-1.aws.found.io/app/kibana#/discover/Steve-Slow-Train-Analysis-(2080s-and-2083s)?_g=(refreshInterval:(display:Off,pause:!f,section:0,value:0),time:(from:'2017-04-23T02:45:52-0600',mode:absolute,to:'2017-04-23T04:49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" s="202" t="str">
        <f t="shared" si="4"/>
        <v>Y</v>
      </c>
      <c r="X15" s="202">
        <f t="shared" si="5"/>
        <v>1</v>
      </c>
      <c r="Y15" s="202">
        <f t="shared" si="6"/>
        <v>7.4800000000000005E-2</v>
      </c>
      <c r="Z15" s="202">
        <f t="shared" si="7"/>
        <v>8.72E-2</v>
      </c>
      <c r="AA15" s="202">
        <f t="shared" si="8"/>
        <v>1.2399999999999994E-2</v>
      </c>
      <c r="AB15" s="57" t="e">
        <f>VLOOKUP(A15,Enforcements!$C$7:$K$13,8,0)</f>
        <v>#N/A</v>
      </c>
      <c r="AC15" s="53" t="e">
        <f>VLOOKUP(A15,Enforcements!$C$7:$E$13,3,0)</f>
        <v>#N/A</v>
      </c>
      <c r="AD15" s="54" t="str">
        <f t="shared" si="9"/>
        <v>0103-23</v>
      </c>
      <c r="AE15" s="80" t="str">
        <f t="shared" si="10"/>
        <v>aws s3 cp s3://rtdc.mdm.uploadarchive.raw/RTDC4028/ "%USERPROFILE%\AppData\Local\Temp\OnboardLogs"\RTDC4028\2017-04-23 --exclude "*" --recursive --include "*20170423*" &amp; "%USERPROFILE%\Documents\GitHub\mrs-test-scripts\Headless Mode &amp; Sideloading\WalkAndUnGZ.bat" "%USERPROFILE%\AppData\Local\Temp\OnboardLogs"\RTDC4028\2017-04-23 &amp; aws s3 cp s3://rtdc.mdm.uploadarchive.raw/RTDC4028/ "%USERPROFILE%\AppData\Local\Temp\OnboardLogs"\RTDC4028\2017-04-24 --exclude "*" --recursive --include "*20170424*" &amp; "%USERPROFILE%\Documents\GitHub\mrs-test-scripts\Headless Mode &amp; Sideloading\WalkAndUnGZ.bat" "%USERPROFILE%\AppData\Local\Temp\OnboardLogs"\RTDC4028\2017-04-24</v>
      </c>
      <c r="AF15" s="77" t="str">
        <f t="shared" si="11"/>
        <v>"C:\Program Files (x86)\AstroGrep\AstroGrep.exe" /e /r /s /spath="%USERPROFILE%\AppData\Local\Temp\OnboardLogs" /stypes="app*4028*20170423*" /stext=" 09:.+((SYSTEM_STATE.+slice.+state.+changed )|(ment ac)|(multiple cpu faults)|(system.+state.+changed )|(\[timeout)|(PRM\|1\|D)|(kpr)|(kdp)|(\|lc)|(penalty))"</v>
      </c>
      <c r="AG15" s="1" t="str">
        <f t="shared" si="12"/>
        <v>EC</v>
      </c>
      <c r="AH15" s="81" t="str">
        <f t="shared" si="19"/>
        <v>"%USERPROFILE%\Documents\GitHub\eaglep3\Utilities\RefineRTDCRunTimes.py" --tripid 103-23 --locoid 4028 --swversion DE.1.0.9.0 --startMP 204:748 --initTime 2017-04-23T03:45:52 --startdatetime 2017-04-23T03:48:25 --delay 1 --endMP 204:872 --enddatetime 2017-04-23T03:49:00 --enforcementcount 0 &gt;&gt;C:\Users\stu\Documents\GitHub\eaglep3-reporting\EC\2017-04-23-refined-times.txt</v>
      </c>
      <c r="AI15" s="99" t="str">
        <f t="shared" si="20"/>
        <v>echo {"issue":{"subject":"FEP-02 outage - virus scan caused PTC Comms apps to lock up","project_id":79,"tracker_id":40,"status_id":1,"priority_id":2,"assigned_to_id":23,"start_date":"2017-04-23","description":"","custom_fields":[{"id":1,"name":"Subdivision","value":"EC"},{"id":4,"name":"Milepost","value":"0.0872"},{"id":17,"name":"Train ID","value":"103-23"},{"id":16,"name":"Locomotive ID","value":"4028"},{"id":130,"name":"Impact","value":""},{"id":150,"name":"Time of Event (Mountain Time)","value":"03:49:00"},{"id":151,"name":"Denver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5" t="str">
        <f t="shared" si="21"/>
        <v>start /low /b %USERPROFILE%\Documents\GitHub\eaglep3\Utilities\DownloadLogsFromS3.py --loco 4028 --day 2017-04-23</v>
      </c>
      <c r="AN15" s="154" t="str">
        <f t="shared" si="22"/>
        <v>echo {"issue":{"subject":"FEP-02 outage - virus scan caused PTC Comms apps to lock up","project_id":30,"tracker_id":4,"status_id":1,"priority_id":1,"assigned_to_id":10,"start_date":"2017-04-23","description":"","custom_fields":[{"id":30,"name":"Category","value":"Issue"},{"id":3,"name":"Functional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09:49:00"},{"id":29,"name":"Sharepoint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649</v>
      </c>
      <c r="B16" s="7">
        <v>4043</v>
      </c>
      <c r="C16" s="21" t="s">
        <v>213</v>
      </c>
      <c r="D16" s="21" t="s">
        <v>834</v>
      </c>
      <c r="E16" s="13">
        <v>42848.193240740744</v>
      </c>
      <c r="F16" s="13">
        <v>42848.195462962962</v>
      </c>
      <c r="G16" s="7">
        <v>0</v>
      </c>
      <c r="H16" s="21" t="s">
        <v>835</v>
      </c>
      <c r="I16" s="13">
        <v>42848.195590277777</v>
      </c>
      <c r="J16" s="7">
        <v>0</v>
      </c>
      <c r="K16" s="92" t="str">
        <f t="shared" si="0"/>
        <v>4043/4044</v>
      </c>
      <c r="L16" s="21" t="str">
        <f>VLOOKUP(A16,'Trips&amp;Operators'!$C$1:$G$99999,5,FALSE)</f>
        <v>MAELZER KURT</v>
      </c>
      <c r="M16" s="6">
        <f t="shared" si="1"/>
        <v>1.273148154723458E-4</v>
      </c>
      <c r="N16" s="7"/>
      <c r="O16" s="7"/>
      <c r="P16" s="7">
        <f t="shared" si="17"/>
        <v>0.18333333428017795</v>
      </c>
      <c r="Q16" s="22"/>
      <c r="R16" s="200" t="s">
        <v>1022</v>
      </c>
      <c r="S16" s="206">
        <f t="shared" si="18"/>
        <v>0</v>
      </c>
      <c r="T16" s="200" t="str">
        <f t="shared" si="2"/>
        <v>Southbound</v>
      </c>
      <c r="U16" s="200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0</v>
      </c>
      <c r="V16" s="201" t="str">
        <f t="shared" si="3"/>
        <v>https://d0f6bd738d7f1b3e5a7ca70fe4ff75f0.us-east-1.aws.found.io/app/kibana#/discover/Steve-Slow-Train-Analysis-(2080s-and-2083s)?_g=(refreshInterval:(display:Off,pause:!f,section:0,value:0),time:(from:'2017-04-23T03:38:16-0600',mode:absolute,to:'2017-04-23T05:41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" s="202" t="str">
        <f t="shared" si="4"/>
        <v>Y</v>
      </c>
      <c r="X16" s="202">
        <f t="shared" si="5"/>
        <v>1</v>
      </c>
      <c r="Y16" s="202">
        <f t="shared" si="6"/>
        <v>23.277899999999999</v>
      </c>
      <c r="Z16" s="202">
        <f t="shared" si="7"/>
        <v>23.237100000000002</v>
      </c>
      <c r="AA16" s="202">
        <f t="shared" si="8"/>
        <v>4.0799999999997283E-2</v>
      </c>
      <c r="AB16" s="57" t="e">
        <f>VLOOKUP(A16,Enforcements!$C$7:$K$13,8,0)</f>
        <v>#N/A</v>
      </c>
      <c r="AC16" s="53" t="e">
        <f>VLOOKUP(A16,Enforcements!$C$7:$E$13,3,0)</f>
        <v>#N/A</v>
      </c>
      <c r="AD16" s="54" t="str">
        <f t="shared" si="9"/>
        <v>0104-23</v>
      </c>
      <c r="AE16" s="80" t="str">
        <f t="shared" si="10"/>
        <v>aws s3 cp s3://rtdc.mdm.uploadarchive.raw/RTDC4043/ "%USERPROFILE%\AppData\Local\Temp\OnboardLogs"\RTDC4043\2017-04-23 --exclude "*" --recursive --include "*20170423*" &amp; "%USERPROFILE%\Documents\GitHub\mrs-test-scripts\Headless Mode &amp; Sideloading\WalkAndUnGZ.bat" "%USERPROFILE%\AppData\Local\Temp\OnboardLogs"\RTDC4043\2017-04-23 &amp; aws s3 cp s3://rtdc.mdm.uploadarchive.raw/RTDC4043/ "%USERPROFILE%\AppData\Local\Temp\OnboardLogs"\RTDC4043\2017-04-24 --exclude "*" --recursive --include "*20170424*" &amp; "%USERPROFILE%\Documents\GitHub\mrs-test-scripts\Headless Mode &amp; Sideloading\WalkAndUnGZ.bat" "%USERPROFILE%\AppData\Local\Temp\OnboardLogs"\RTDC4043\2017-04-24</v>
      </c>
      <c r="AF16" s="77" t="str">
        <f t="shared" si="11"/>
        <v>"C:\Program Files (x86)\AstroGrep\AstroGrep.exe" /e /r /s /spath="%USERPROFILE%\AppData\Local\Temp\OnboardLogs" /stypes="app*4043*20170423*" /stext=" 10:.+((SYSTEM_STATE.+slice.+state.+changed )|(ment ac)|(multiple cpu faults)|(system.+state.+changed )|(\[timeout)|(PRM\|1\|D)|(kpr)|(kdp)|(\|lc)|(penalty))"</v>
      </c>
      <c r="AG16" s="1" t="str">
        <f t="shared" si="12"/>
        <v>EC</v>
      </c>
      <c r="AH16" s="81" t="str">
        <f t="shared" si="19"/>
        <v>"%USERPROFILE%\Documents\GitHub\eaglep3\Utilities\RefineRTDCRunTimes.py" --tripid 104-23 --locoid 4043 --swversion DE.1.0.9.0 --startMP 204:232779 --initTime 2017-04-23T04:38:16 --startdatetime 2017-04-23T04:41:28 --delay 0 --endMP 204:232371 --enddatetime 2017-04-23T04:41:39 --enforcementcount 0 &gt;&gt;C:\Users\stu\Documents\GitHub\eaglep3-reporting\EC\2017-04-23-refined-times.txt</v>
      </c>
      <c r="AI16" s="99" t="str">
        <f t="shared" si="20"/>
        <v>echo {"issue":{"subject":"FEP-02 outage - virus scan caused PTC Comms apps to lock up","project_id":79,"tracker_id":40,"status_id":1,"priority_id":2,"assigned_to_id":23,"start_date":"2017-04-23","description":"","custom_fields":[{"id":1,"name":"Subdivision","value":"EC"},{"id":4,"name":"Milepost","value":"23.2371"},{"id":17,"name":"Train ID","value":"104-23"},{"id":16,"name":"Locomotive ID","value":"4043"},{"id":130,"name":"Impact","value":""},{"id":150,"name":"Time of Event (Mountain Time)","value":"04:41:39"},{"id":151,"name":"Denver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5" t="str">
        <f t="shared" si="21"/>
        <v>start /low /b %USERPROFILE%\Documents\GitHub\eaglep3\Utilities\DownloadLogsFromS3.py --loco 4043 --day 2017-04-23</v>
      </c>
      <c r="AN16" s="154" t="str">
        <f t="shared" si="22"/>
        <v>echo {"issue":{"subject":"FEP-02 outage - virus scan caused PTC Comms apps to lock up","project_id":30,"tracker_id":4,"status_id":1,"priority_id":1,"assigned_to_id":10,"start_date":"2017-04-23","description":"","custom_fields":[{"id":30,"name":"Category","value":"Issue"},{"id":3,"name":"Functional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10:41:39"},{"id":29,"name":"Sharepoint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645</v>
      </c>
      <c r="B17" s="7">
        <v>4016</v>
      </c>
      <c r="C17" s="21" t="s">
        <v>213</v>
      </c>
      <c r="D17" s="21" t="s">
        <v>836</v>
      </c>
      <c r="E17" s="13">
        <v>42848.173402777778</v>
      </c>
      <c r="F17" s="13">
        <v>42848.250914351855</v>
      </c>
      <c r="G17" s="7">
        <v>1</v>
      </c>
      <c r="H17" s="21" t="s">
        <v>837</v>
      </c>
      <c r="I17" s="13">
        <v>42848.251145833332</v>
      </c>
      <c r="J17" s="7">
        <v>0</v>
      </c>
      <c r="K17" s="92" t="str">
        <f t="shared" si="0"/>
        <v>4015/4016</v>
      </c>
      <c r="L17" s="21" t="str">
        <f>VLOOKUP(A17,'Trips&amp;Operators'!$C$1:$G$99999,5,FALSE)</f>
        <v>BADERTSCHER DIANE</v>
      </c>
      <c r="M17" s="6">
        <f t="shared" si="1"/>
        <v>2.3148147738538682E-4</v>
      </c>
      <c r="N17" s="7"/>
      <c r="O17" s="7"/>
      <c r="P17" s="7">
        <f t="shared" si="17"/>
        <v>0.33333332743495703</v>
      </c>
      <c r="Q17" s="22"/>
      <c r="R17" s="200" t="s">
        <v>1022</v>
      </c>
      <c r="S17" s="206">
        <f t="shared" si="18"/>
        <v>0</v>
      </c>
      <c r="T17" s="200" t="str">
        <f t="shared" si="2"/>
        <v>NorthBound</v>
      </c>
      <c r="U17" s="200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0</v>
      </c>
      <c r="V17" s="201" t="str">
        <f t="shared" si="3"/>
        <v>https://d0f6bd738d7f1b3e5a7ca70fe4ff75f0.us-east-1.aws.found.io/app/kibana#/discover/Steve-Slow-Train-Analysis-(2080s-and-2083s)?_g=(refreshInterval:(display:Off,pause:!f,section:0,value:0),time:(from:'2017-04-23T03:09:42-0600',mode:absolute,to:'2017-04-23T07:01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" s="202" t="str">
        <f t="shared" si="4"/>
        <v>Y</v>
      </c>
      <c r="X17" s="202">
        <f t="shared" si="5"/>
        <v>1</v>
      </c>
      <c r="Y17" s="202">
        <f t="shared" si="6"/>
        <v>7.8600000000000003E-2</v>
      </c>
      <c r="Z17" s="202">
        <f t="shared" si="7"/>
        <v>7.5899999999999995E-2</v>
      </c>
      <c r="AA17" s="202">
        <f t="shared" si="8"/>
        <v>2.7000000000000079E-3</v>
      </c>
      <c r="AB17" s="57" t="e">
        <f>VLOOKUP(A17,Enforcements!$C$7:$K$13,8,0)</f>
        <v>#N/A</v>
      </c>
      <c r="AC17" s="53" t="e">
        <f>VLOOKUP(A17,Enforcements!$C$7:$E$13,3,0)</f>
        <v>#N/A</v>
      </c>
      <c r="AD17" s="54" t="str">
        <f t="shared" si="9"/>
        <v>0105-23</v>
      </c>
      <c r="AE17" s="80" t="str">
        <f t="shared" si="10"/>
        <v>aws s3 cp s3://rtdc.mdm.uploadarchive.raw/RTDC4016/ "%USERPROFILE%\AppData\Local\Temp\OnboardLogs"\RTDC4016\2017-04-23 --exclude "*" --recursive --include "*20170423*" &amp; "%USERPROFILE%\Documents\GitHub\mrs-test-scripts\Headless Mode &amp; Sideloading\WalkAndUnGZ.bat" "%USERPROFILE%\AppData\Local\Temp\OnboardLogs"\RTDC4016\2017-04-23 &amp; aws s3 cp s3://rtdc.mdm.uploadarchive.raw/RTDC4016/ "%USERPROFILE%\AppData\Local\Temp\OnboardLogs"\RTDC4016\2017-04-24 --exclude "*" --recursive --include "*20170424*" &amp; "%USERPROFILE%\Documents\GitHub\mrs-test-scripts\Headless Mode &amp; Sideloading\WalkAndUnGZ.bat" "%USERPROFILE%\AppData\Local\Temp\OnboardLogs"\RTDC4016\2017-04-24</v>
      </c>
      <c r="AF17" s="77" t="str">
        <f t="shared" si="11"/>
        <v>"C:\Program Files (x86)\AstroGrep\AstroGrep.exe" /e /r /s /spath="%USERPROFILE%\AppData\Local\Temp\OnboardLogs" /stypes="app*4016*20170423*" /stext=" 12:.+((SYSTEM_STATE.+slice.+state.+changed )|(ment ac)|(multiple cpu faults)|(system.+state.+changed )|(\[timeout)|(PRM\|1\|D)|(kpr)|(kdp)|(\|lc)|(penalty))"</v>
      </c>
      <c r="AG17" s="1" t="str">
        <f t="shared" si="12"/>
        <v>EC</v>
      </c>
      <c r="AH17" s="81" t="str">
        <f t="shared" si="19"/>
        <v>"%USERPROFILE%\Documents\GitHub\eaglep3\Utilities\RefineRTDCRunTimes.py" --tripid 105-23 --locoid 4016 --swversion DE.1.0.9.0 --startMP 204:786 --initTime 2017-04-23T04:09:42 --startdatetime 2017-04-23T06:01:19 --delay 1 --endMP 204:759 --enddatetime 2017-04-23T06:01:39 --enforcementcount 0 &gt;&gt;C:\Users\stu\Documents\GitHub\eaglep3-reporting\EC\2017-04-23-refined-times.txt</v>
      </c>
      <c r="AI17" s="99" t="str">
        <f t="shared" si="20"/>
        <v>echo {"issue":{"subject":"FEP-02 outage - virus scan caused PTC Comms apps to lock up","project_id":79,"tracker_id":40,"status_id":1,"priority_id":2,"assigned_to_id":23,"start_date":"2017-04-23","description":"","custom_fields":[{"id":1,"name":"Subdivision","value":"EC"},{"id":4,"name":"Milepost","value":"0.0759"},{"id":17,"name":"Train ID","value":"105-23"},{"id":16,"name":"Locomotive ID","value":"4016"},{"id":130,"name":"Impact","value":""},{"id":150,"name":"Time of Event (Mountain Time)","value":"06:01:39"},{"id":151,"name":"Denver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5" t="str">
        <f t="shared" si="21"/>
        <v>start /low /b %USERPROFILE%\Documents\GitHub\eaglep3\Utilities\DownloadLogsFromS3.py --loco 4016 --day 2017-04-23</v>
      </c>
      <c r="AN17" s="154" t="str">
        <f t="shared" si="22"/>
        <v>echo {"issue":{"subject":"FEP-02 outage - virus scan caused PTC Comms apps to lock up","project_id":30,"tracker_id":4,"status_id":1,"priority_id":1,"assigned_to_id":10,"start_date":"2017-04-23","description":"","custom_fields":[{"id":30,"name":"Category","value":"Issue"},{"id":3,"name":"Functional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12:01:39"},{"id":29,"name":"Sharepoint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653</v>
      </c>
      <c r="B18" s="7">
        <v>4045</v>
      </c>
      <c r="C18" s="21" t="s">
        <v>213</v>
      </c>
      <c r="D18" s="21" t="s">
        <v>838</v>
      </c>
      <c r="E18" s="13">
        <v>42848.210358796299</v>
      </c>
      <c r="F18" s="13">
        <v>42848.216168981482</v>
      </c>
      <c r="G18" s="7">
        <v>1</v>
      </c>
      <c r="H18" s="21" t="s">
        <v>839</v>
      </c>
      <c r="I18" s="13">
        <v>42848.216527777775</v>
      </c>
      <c r="J18" s="7">
        <v>0</v>
      </c>
      <c r="K18" s="92" t="str">
        <f t="shared" si="0"/>
        <v>4045/4046</v>
      </c>
      <c r="L18" s="21" t="str">
        <f>VLOOKUP(A18,'Trips&amp;Operators'!$C$1:$G$99999,5,FALSE)</f>
        <v>BADERTSCHER DIANE</v>
      </c>
      <c r="M18" s="6">
        <f t="shared" si="1"/>
        <v>3.5879629285773262E-4</v>
      </c>
      <c r="N18" s="7"/>
      <c r="O18" s="7"/>
      <c r="P18" s="7">
        <f t="shared" si="17"/>
        <v>0.51666666171513498</v>
      </c>
      <c r="Q18" s="22"/>
      <c r="R18" s="200" t="s">
        <v>1022</v>
      </c>
      <c r="S18" s="206">
        <f t="shared" si="18"/>
        <v>0</v>
      </c>
      <c r="T18" s="200" t="str">
        <f t="shared" si="2"/>
        <v>Southbound</v>
      </c>
      <c r="U18" s="200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0</v>
      </c>
      <c r="V18" s="201" t="str">
        <f t="shared" si="3"/>
        <v>https://d0f6bd738d7f1b3e5a7ca70fe4ff75f0.us-east-1.aws.found.io/app/kibana#/discover/Steve-Slow-Train-Analysis-(2080s-and-2083s)?_g=(refreshInterval:(display:Off,pause:!f,section:0,value:0),time:(from:'2017-04-23T04:02:55-0600',mode:absolute,to:'2017-04-23T06:11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" s="202" t="str">
        <f t="shared" si="4"/>
        <v>Y</v>
      </c>
      <c r="X18" s="202">
        <f t="shared" si="5"/>
        <v>1</v>
      </c>
      <c r="Y18" s="202">
        <f t="shared" si="6"/>
        <v>23.267900000000001</v>
      </c>
      <c r="Z18" s="202">
        <f t="shared" si="7"/>
        <v>23.2254</v>
      </c>
      <c r="AA18" s="202">
        <f t="shared" si="8"/>
        <v>4.2500000000000426E-2</v>
      </c>
      <c r="AB18" s="57" t="e">
        <f>VLOOKUP(A18,Enforcements!$C$7:$K$13,8,0)</f>
        <v>#N/A</v>
      </c>
      <c r="AC18" s="53" t="e">
        <f>VLOOKUP(A18,Enforcements!$C$7:$E$13,3,0)</f>
        <v>#N/A</v>
      </c>
      <c r="AD18" s="54" t="str">
        <f t="shared" si="9"/>
        <v>0106-23</v>
      </c>
      <c r="AE18" s="80" t="str">
        <f t="shared" si="10"/>
        <v>aws s3 cp s3://rtdc.mdm.uploadarchive.raw/RTDC4045/ "%USERPROFILE%\AppData\Local\Temp\OnboardLogs"\RTDC4045\2017-04-23 --exclude "*" --recursive --include "*20170423*" &amp; "%USERPROFILE%\Documents\GitHub\mrs-test-scripts\Headless Mode &amp; Sideloading\WalkAndUnGZ.bat" "%USERPROFILE%\AppData\Local\Temp\OnboardLogs"\RTDC4045\2017-04-23 &amp; aws s3 cp s3://rtdc.mdm.uploadarchive.raw/RTDC4045/ "%USERPROFILE%\AppData\Local\Temp\OnboardLogs"\RTDC4045\2017-04-24 --exclude "*" --recursive --include "*20170424*" &amp; "%USERPROFILE%\Documents\GitHub\mrs-test-scripts\Headless Mode &amp; Sideloading\WalkAndUnGZ.bat" "%USERPROFILE%\AppData\Local\Temp\OnboardLogs"\RTDC4045\2017-04-24</v>
      </c>
      <c r="AF18" s="77" t="str">
        <f t="shared" si="11"/>
        <v>"C:\Program Files (x86)\AstroGrep\AstroGrep.exe" /e /r /s /spath="%USERPROFILE%\AppData\Local\Temp\OnboardLogs" /stypes="app*4045*20170423*" /stext=" 11:.+((SYSTEM_STATE.+slice.+state.+changed )|(ment ac)|(multiple cpu faults)|(system.+state.+changed )|(\[timeout)|(PRM\|1\|D)|(kpr)|(kdp)|(\|lc)|(penalty))"</v>
      </c>
      <c r="AG18" s="1" t="str">
        <f t="shared" si="12"/>
        <v>EC</v>
      </c>
      <c r="AH18" s="81" t="str">
        <f t="shared" si="19"/>
        <v>"%USERPROFILE%\Documents\GitHub\eaglep3\Utilities\RefineRTDCRunTimes.py" --tripid 106-23 --locoid 4045 --swversion DE.1.0.9.0 --startMP 204:232679 --initTime 2017-04-23T05:02:55 --startdatetime 2017-04-23T05:11:17 --delay 1 --endMP 204:232254 --enddatetime 2017-04-23T05:11:48 --enforcementcount 0 &gt;&gt;C:\Users\stu\Documents\GitHub\eaglep3-reporting\EC\2017-04-23-refined-times.txt</v>
      </c>
      <c r="AI18" s="99" t="str">
        <f t="shared" si="20"/>
        <v>echo {"issue":{"subject":"FEP-02 outage - virus scan caused PTC Comms apps to lock up","project_id":79,"tracker_id":40,"status_id":1,"priority_id":2,"assigned_to_id":23,"start_date":"2017-04-23","description":"","custom_fields":[{"id":1,"name":"Subdivision","value":"EC"},{"id":4,"name":"Milepost","value":"23.2254"},{"id":17,"name":"Train ID","value":"106-23"},{"id":16,"name":"Locomotive ID","value":"4045"},{"id":130,"name":"Impact","value":""},{"id":150,"name":"Time of Event (Mountain Time)","value":"05:11:48"},{"id":151,"name":"Denver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5" t="str">
        <f t="shared" si="21"/>
        <v>start /low /b %USERPROFILE%\Documents\GitHub\eaglep3\Utilities\DownloadLogsFromS3.py --loco 4045 --day 2017-04-23</v>
      </c>
      <c r="AN18" s="154" t="str">
        <f t="shared" si="22"/>
        <v>echo {"issue":{"subject":"FEP-02 outage - virus scan caused PTC Comms apps to lock up","project_id":30,"tracker_id":4,"status_id":1,"priority_id":1,"assigned_to_id":10,"start_date":"2017-04-23","description":"","custom_fields":[{"id":30,"name":"Category","value":"Issue"},{"id":3,"name":"Functional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11:11:48"},{"id":29,"name":"Sharepoint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648</v>
      </c>
      <c r="B19" s="7">
        <v>4022</v>
      </c>
      <c r="C19" s="21" t="s">
        <v>213</v>
      </c>
      <c r="D19" s="21" t="s">
        <v>204</v>
      </c>
      <c r="E19" s="13">
        <v>42848.179768518516</v>
      </c>
      <c r="F19" s="13">
        <v>42848.187835648147</v>
      </c>
      <c r="G19" s="7">
        <v>1</v>
      </c>
      <c r="H19" s="21" t="s">
        <v>840</v>
      </c>
      <c r="I19" s="13">
        <v>42848.188009259262</v>
      </c>
      <c r="J19" s="7">
        <v>0</v>
      </c>
      <c r="K19" s="92" t="str">
        <f t="shared" si="0"/>
        <v>4021/4022</v>
      </c>
      <c r="L19" s="21" t="str">
        <f>VLOOKUP(A19,'Trips&amp;Operators'!$C$1:$G$99999,5,FALSE)</f>
        <v>DAVIS WENDY</v>
      </c>
      <c r="M19" s="6">
        <f t="shared" si="1"/>
        <v>1.7361111531499773E-4</v>
      </c>
      <c r="N19" s="7"/>
      <c r="O19" s="7"/>
      <c r="P19" s="7">
        <f t="shared" si="17"/>
        <v>0.25000000605359674</v>
      </c>
      <c r="Q19" s="22"/>
      <c r="R19" s="200" t="s">
        <v>1022</v>
      </c>
      <c r="S19" s="206">
        <f t="shared" si="18"/>
        <v>0</v>
      </c>
      <c r="T19" s="200" t="str">
        <f t="shared" si="2"/>
        <v>NorthBound</v>
      </c>
      <c r="U19" s="200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0</v>
      </c>
      <c r="V19" s="201" t="str">
        <f t="shared" si="3"/>
        <v>https://d0f6bd738d7f1b3e5a7ca70fe4ff75f0.us-east-1.aws.found.io/app/kibana#/discover/Steve-Slow-Train-Analysis-(2080s-and-2083s)?_g=(refreshInterval:(display:Off,pause:!f,section:0,value:0),time:(from:'2017-04-23T03:18:52-0600',mode:absolute,to:'2017-04-23T05:30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" s="202" t="str">
        <f t="shared" si="4"/>
        <v>Y</v>
      </c>
      <c r="X19" s="202">
        <f t="shared" si="5"/>
        <v>1</v>
      </c>
      <c r="Y19" s="202">
        <f t="shared" si="6"/>
        <v>4.5699999999999998E-2</v>
      </c>
      <c r="Z19" s="202">
        <f t="shared" si="7"/>
        <v>7.9200000000000007E-2</v>
      </c>
      <c r="AA19" s="202">
        <f t="shared" si="8"/>
        <v>3.3500000000000009E-2</v>
      </c>
      <c r="AB19" s="57" t="e">
        <f>VLOOKUP(A19,Enforcements!$C$7:$K$13,8,0)</f>
        <v>#N/A</v>
      </c>
      <c r="AC19" s="53" t="e">
        <f>VLOOKUP(A19,Enforcements!$C$7:$E$13,3,0)</f>
        <v>#N/A</v>
      </c>
      <c r="AD19" s="54" t="str">
        <f t="shared" si="9"/>
        <v>0107-23</v>
      </c>
      <c r="AE19" s="80" t="str">
        <f t="shared" si="10"/>
        <v>aws s3 cp s3://rtdc.mdm.uploadarchive.raw/RTDC4022/ "%USERPROFILE%\AppData\Local\Temp\OnboardLogs"\RTDC4022\2017-04-23 --exclude "*" --recursive --include "*20170423*" &amp; "%USERPROFILE%\Documents\GitHub\mrs-test-scripts\Headless Mode &amp; Sideloading\WalkAndUnGZ.bat" "%USERPROFILE%\AppData\Local\Temp\OnboardLogs"\RTDC4022\2017-04-23 &amp; aws s3 cp s3://rtdc.mdm.uploadarchive.raw/RTDC4022/ "%USERPROFILE%\AppData\Local\Temp\OnboardLogs"\RTDC4022\2017-04-24 --exclude "*" --recursive --include "*20170424*" &amp; "%USERPROFILE%\Documents\GitHub\mrs-test-scripts\Headless Mode &amp; Sideloading\WalkAndUnGZ.bat" "%USERPROFILE%\AppData\Local\Temp\OnboardLogs"\RTDC4022\2017-04-24</v>
      </c>
      <c r="AF19" s="77" t="str">
        <f t="shared" si="11"/>
        <v>"C:\Program Files (x86)\AstroGrep\AstroGrep.exe" /e /r /s /spath="%USERPROFILE%\AppData\Local\Temp\OnboardLogs" /stypes="app*4022*20170423*" /stext=" 10:.+((SYSTEM_STATE.+slice.+state.+changed )|(ment ac)|(multiple cpu faults)|(system.+state.+changed )|(\[timeout)|(PRM\|1\|D)|(kpr)|(kdp)|(\|lc)|(penalty))"</v>
      </c>
      <c r="AG19" s="1" t="str">
        <f t="shared" si="12"/>
        <v>EC</v>
      </c>
      <c r="AH19" s="81" t="str">
        <f t="shared" si="19"/>
        <v>"%USERPROFILE%\Documents\GitHub\eaglep3\Utilities\RefineRTDCRunTimes.py" --tripid 107-23 --locoid 4022 --swversion DE.1.0.9.0 --startMP 204:457 --initTime 2017-04-23T04:18:52 --startdatetime 2017-04-23T04:30:29 --delay 1 --endMP 204:792 --enddatetime 2017-04-23T04:30:44 --enforcementcount 0 &gt;&gt;C:\Users\stu\Documents\GitHub\eaglep3-reporting\EC\2017-04-23-refined-times.txt</v>
      </c>
      <c r="AI19" s="99" t="str">
        <f t="shared" si="20"/>
        <v>echo {"issue":{"subject":"FEP-02 outage - virus scan caused PTC Comms apps to lock up","project_id":79,"tracker_id":40,"status_id":1,"priority_id":2,"assigned_to_id":23,"start_date":"2017-04-23","description":"","custom_fields":[{"id":1,"name":"Subdivision","value":"EC"},{"id":4,"name":"Milepost","value":"0.0792"},{"id":17,"name":"Train ID","value":"107-23"},{"id":16,"name":"Locomotive ID","value":"4022"},{"id":130,"name":"Impact","value":""},{"id":150,"name":"Time of Event (Mountain Time)","value":"04:30:44"},{"id":151,"name":"Denver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5" t="str">
        <f t="shared" si="21"/>
        <v>start /low /b %USERPROFILE%\Documents\GitHub\eaglep3\Utilities\DownloadLogsFromS3.py --loco 4022 --day 2017-04-23</v>
      </c>
      <c r="AN19" s="154" t="str">
        <f t="shared" si="22"/>
        <v>echo {"issue":{"subject":"FEP-02 outage - virus scan caused PTC Comms apps to lock up","project_id":30,"tracker_id":4,"status_id":1,"priority_id":1,"assigned_to_id":10,"start_date":"2017-04-23","description":"","custom_fields":[{"id":30,"name":"Category","value":"Issue"},{"id":3,"name":"Functional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10:30:44"},{"id":29,"name":"Sharepoint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654</v>
      </c>
      <c r="B20" s="7">
        <v>4021</v>
      </c>
      <c r="C20" s="21" t="s">
        <v>213</v>
      </c>
      <c r="D20" s="21" t="s">
        <v>448</v>
      </c>
      <c r="E20" s="13">
        <v>42848.222430555557</v>
      </c>
      <c r="F20" s="13">
        <v>42848.226539351854</v>
      </c>
      <c r="G20" s="7">
        <v>1</v>
      </c>
      <c r="H20" s="21" t="s">
        <v>841</v>
      </c>
      <c r="I20" s="13">
        <v>42848.226689814815</v>
      </c>
      <c r="J20" s="7">
        <v>0</v>
      </c>
      <c r="K20" s="92" t="str">
        <f t="shared" si="0"/>
        <v>4021/4022</v>
      </c>
      <c r="L20" s="21" t="str">
        <f>VLOOKUP(A20,'Trips&amp;Operators'!$C$1:$G$99999,5,FALSE)</f>
        <v>DAVIS WENDY</v>
      </c>
      <c r="M20" s="6">
        <f t="shared" si="1"/>
        <v>1.5046296175569296E-4</v>
      </c>
      <c r="N20" s="7"/>
      <c r="O20" s="7"/>
      <c r="P20" s="7">
        <f t="shared" si="17"/>
        <v>0.21666666492819786</v>
      </c>
      <c r="Q20" s="22"/>
      <c r="R20" s="200" t="s">
        <v>1022</v>
      </c>
      <c r="S20" s="206">
        <f t="shared" si="18"/>
        <v>0</v>
      </c>
      <c r="T20" s="200" t="str">
        <f t="shared" si="2"/>
        <v>Southbound</v>
      </c>
      <c r="U20" s="200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0</v>
      </c>
      <c r="V20" s="201" t="str">
        <f t="shared" si="3"/>
        <v>https://d0f6bd738d7f1b3e5a7ca70fe4ff75f0.us-east-1.aws.found.io/app/kibana#/discover/Steve-Slow-Train-Analysis-(2080s-and-2083s)?_g=(refreshInterval:(display:Off,pause:!f,section:0,value:0),time:(from:'2017-04-23T04:20:18-0600',mode:absolute,to:'2017-04-23T06:26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" s="202" t="str">
        <f t="shared" si="4"/>
        <v>Y</v>
      </c>
      <c r="X20" s="202">
        <f t="shared" si="5"/>
        <v>1</v>
      </c>
      <c r="Y20" s="202">
        <f t="shared" si="6"/>
        <v>23.298400000000001</v>
      </c>
      <c r="Z20" s="202">
        <f t="shared" si="7"/>
        <v>23.259399999999999</v>
      </c>
      <c r="AA20" s="202">
        <f t="shared" si="8"/>
        <v>3.9000000000001478E-2</v>
      </c>
      <c r="AB20" s="57" t="e">
        <f>VLOOKUP(A20,Enforcements!$C$7:$K$13,8,0)</f>
        <v>#N/A</v>
      </c>
      <c r="AC20" s="53" t="e">
        <f>VLOOKUP(A20,Enforcements!$C$7:$E$13,3,0)</f>
        <v>#N/A</v>
      </c>
      <c r="AD20" s="54" t="str">
        <f t="shared" si="9"/>
        <v>0108-23</v>
      </c>
      <c r="AE20" s="80" t="str">
        <f t="shared" si="10"/>
        <v>aws s3 cp s3://rtdc.mdm.uploadarchive.raw/RTDC4021/ "%USERPROFILE%\AppData\Local\Temp\OnboardLogs"\RTDC4021\2017-04-23 --exclude "*" --recursive --include "*20170423*" &amp; "%USERPROFILE%\Documents\GitHub\mrs-test-scripts\Headless Mode &amp; Sideloading\WalkAndUnGZ.bat" "%USERPROFILE%\AppData\Local\Temp\OnboardLogs"\RTDC4021\2017-04-23 &amp; aws s3 cp s3://rtdc.mdm.uploadarchive.raw/RTDC4021/ "%USERPROFILE%\AppData\Local\Temp\OnboardLogs"\RTDC4021\2017-04-24 --exclude "*" --recursive --include "*20170424*" &amp; "%USERPROFILE%\Documents\GitHub\mrs-test-scripts\Headless Mode &amp; Sideloading\WalkAndUnGZ.bat" "%USERPROFILE%\AppData\Local\Temp\OnboardLogs"\RTDC4021\2017-04-24</v>
      </c>
      <c r="AF20" s="77" t="str">
        <f t="shared" si="11"/>
        <v>"C:\Program Files (x86)\AstroGrep\AstroGrep.exe" /e /r /s /spath="%USERPROFILE%\AppData\Local\Temp\OnboardLogs" /stypes="app*4021*20170423*" /stext=" 11:.+((SYSTEM_STATE.+slice.+state.+changed )|(ment ac)|(multiple cpu faults)|(system.+state.+changed )|(\[timeout)|(PRM\|1\|D)|(kpr)|(kdp)|(\|lc)|(penalty))"</v>
      </c>
      <c r="AG20" s="1" t="str">
        <f t="shared" si="12"/>
        <v>EC</v>
      </c>
      <c r="AH20" s="81" t="str">
        <f t="shared" si="19"/>
        <v>"%USERPROFILE%\Documents\GitHub\eaglep3\Utilities\RefineRTDCRunTimes.py" --tripid 108-23 --locoid 4021 --swversion DE.1.0.9.0 --startMP 204:232984 --initTime 2017-04-23T05:20:18 --startdatetime 2017-04-23T05:26:13 --delay 1 --endMP 204:232594 --enddatetime 2017-04-23T05:26:26 --enforcementcount 0 &gt;&gt;C:\Users\stu\Documents\GitHub\eaglep3-reporting\EC\2017-04-23-refined-times.txt</v>
      </c>
      <c r="AI20" s="99" t="str">
        <f t="shared" si="20"/>
        <v>echo {"issue":{"subject":"FEP-02 outage - virus scan caused PTC Comms apps to lock up","project_id":79,"tracker_id":40,"status_id":1,"priority_id":2,"assigned_to_id":23,"start_date":"2017-04-23","description":"","custom_fields":[{"id":1,"name":"Subdivision","value":"EC"},{"id":4,"name":"Milepost","value":"23.2594"},{"id":17,"name":"Train ID","value":"108-23"},{"id":16,"name":"Locomotive ID","value":"4021"},{"id":130,"name":"Impact","value":""},{"id":150,"name":"Time of Event (Mountain Time)","value":"05:26:26"},{"id":151,"name":"Denver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5" t="str">
        <f t="shared" si="21"/>
        <v>start /low /b %USERPROFILE%\Documents\GitHub\eaglep3\Utilities\DownloadLogsFromS3.py --loco 4021 --day 2017-04-23</v>
      </c>
      <c r="AN20" s="154" t="str">
        <f t="shared" si="22"/>
        <v>echo {"issue":{"subject":"FEP-02 outage - virus scan caused PTC Comms apps to lock up","project_id":30,"tracker_id":4,"status_id":1,"priority_id":1,"assigned_to_id":10,"start_date":"2017-04-23","description":"","custom_fields":[{"id":30,"name":"Category","value":"Issue"},{"id":3,"name":"Functional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11:26:26"},{"id":29,"name":"Sharepoint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650</v>
      </c>
      <c r="B21" s="7">
        <v>4042</v>
      </c>
      <c r="C21" s="21" t="s">
        <v>213</v>
      </c>
      <c r="D21" s="21" t="s">
        <v>209</v>
      </c>
      <c r="E21" s="13">
        <v>42848.193831018521</v>
      </c>
      <c r="F21" s="13">
        <v>42848.19809027778</v>
      </c>
      <c r="G21" s="7">
        <v>1</v>
      </c>
      <c r="H21" s="21" t="s">
        <v>842</v>
      </c>
      <c r="I21" s="13">
        <v>42848.198680555557</v>
      </c>
      <c r="J21" s="7">
        <v>0</v>
      </c>
      <c r="K21" s="92" t="str">
        <f t="shared" si="0"/>
        <v>4041/4042</v>
      </c>
      <c r="L21" s="21" t="str">
        <f>VLOOKUP(A21,'Trips&amp;Operators'!$C$1:$G$99999,5,FALSE)</f>
        <v>ROBINSON KADDIBA</v>
      </c>
      <c r="M21" s="6">
        <f t="shared" si="1"/>
        <v>5.9027777751907706E-4</v>
      </c>
      <c r="N21" s="7"/>
      <c r="O21" s="7"/>
      <c r="P21" s="7">
        <f t="shared" si="17"/>
        <v>0.84999999962747097</v>
      </c>
      <c r="Q21" s="22"/>
      <c r="R21" s="200" t="s">
        <v>1022</v>
      </c>
      <c r="S21" s="206">
        <f t="shared" si="18"/>
        <v>0</v>
      </c>
      <c r="T21" s="200" t="str">
        <f t="shared" si="2"/>
        <v>NorthBound</v>
      </c>
      <c r="U21" s="200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0</v>
      </c>
      <c r="V21" s="201" t="str">
        <f t="shared" si="3"/>
        <v>https://d0f6bd738d7f1b3e5a7ca70fe4ff75f0.us-east-1.aws.found.io/app/kibana#/discover/Steve-Slow-Train-Analysis-(2080s-and-2083s)?_g=(refreshInterval:(display:Off,pause:!f,section:0,value:0),time:(from:'2017-04-23T03:39:07-0600',mode:absolute,to:'2017-04-23T05:46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" s="202" t="str">
        <f t="shared" si="4"/>
        <v>Y</v>
      </c>
      <c r="X21" s="202">
        <f t="shared" si="5"/>
        <v>1</v>
      </c>
      <c r="Y21" s="202">
        <f t="shared" si="6"/>
        <v>4.5499999999999999E-2</v>
      </c>
      <c r="Z21" s="202">
        <f t="shared" si="7"/>
        <v>0.13150000000000001</v>
      </c>
      <c r="AA21" s="202">
        <f t="shared" si="8"/>
        <v>8.6000000000000007E-2</v>
      </c>
      <c r="AB21" s="57" t="e">
        <f>VLOOKUP(A21,Enforcements!$C$7:$K$13,8,0)</f>
        <v>#N/A</v>
      </c>
      <c r="AC21" s="53" t="e">
        <f>VLOOKUP(A21,Enforcements!$C$7:$E$13,3,0)</f>
        <v>#N/A</v>
      </c>
      <c r="AD21" s="54" t="str">
        <f t="shared" si="9"/>
        <v>0109-23</v>
      </c>
      <c r="AE21" s="80" t="str">
        <f t="shared" si="10"/>
        <v>aws s3 cp s3://rtdc.mdm.uploadarchive.raw/RTDC4042/ "%USERPROFILE%\AppData\Local\Temp\OnboardLogs"\RTDC4042\2017-04-23 --exclude "*" --recursive --include "*20170423*" &amp; "%USERPROFILE%\Documents\GitHub\mrs-test-scripts\Headless Mode &amp; Sideloading\WalkAndUnGZ.bat" "%USERPROFILE%\AppData\Local\Temp\OnboardLogs"\RTDC4042\2017-04-23 &amp; aws s3 cp s3://rtdc.mdm.uploadarchive.raw/RTDC4042/ "%USERPROFILE%\AppData\Local\Temp\OnboardLogs"\RTDC4042\2017-04-24 --exclude "*" --recursive --include "*20170424*" &amp; "%USERPROFILE%\Documents\GitHub\mrs-test-scripts\Headless Mode &amp; Sideloading\WalkAndUnGZ.bat" "%USERPROFILE%\AppData\Local\Temp\OnboardLogs"\RTDC4042\2017-04-24</v>
      </c>
      <c r="AF21" s="77" t="str">
        <f t="shared" si="11"/>
        <v>"C:\Program Files (x86)\AstroGrep\AstroGrep.exe" /e /r /s /spath="%USERPROFILE%\AppData\Local\Temp\OnboardLogs" /stypes="app*4042*20170423*" /stext=" 10:.+((SYSTEM_STATE.+slice.+state.+changed )|(ment ac)|(multiple cpu faults)|(system.+state.+changed )|(\[timeout)|(PRM\|1\|D)|(kpr)|(kdp)|(\|lc)|(penalty))"</v>
      </c>
      <c r="AG21" s="1" t="str">
        <f t="shared" si="12"/>
        <v>EC</v>
      </c>
      <c r="AH21" s="81" t="str">
        <f t="shared" si="19"/>
        <v>"%USERPROFILE%\Documents\GitHub\eaglep3\Utilities\RefineRTDCRunTimes.py" --tripid 109-23 --locoid 4042 --swversion DE.1.0.9.0 --startMP 204:455 --initTime 2017-04-23T04:39:07 --startdatetime 2017-04-23T04:45:15 --delay 1 --endMP 204:1315 --enddatetime 2017-04-23T04:46:06 --enforcementcount 0 &gt;&gt;C:\Users\stu\Documents\GitHub\eaglep3-reporting\EC\2017-04-23-refined-times.txt</v>
      </c>
      <c r="AI21" s="99" t="str">
        <f t="shared" si="20"/>
        <v>echo {"issue":{"subject":"FEP-02 outage - virus scan caused PTC Comms apps to lock up","project_id":79,"tracker_id":40,"status_id":1,"priority_id":2,"assigned_to_id":23,"start_date":"2017-04-23","description":"","custom_fields":[{"id":1,"name":"Subdivision","value":"EC"},{"id":4,"name":"Milepost","value":"0.1315"},{"id":17,"name":"Train ID","value":"109-23"},{"id":16,"name":"Locomotive ID","value":"4042"},{"id":130,"name":"Impact","value":""},{"id":150,"name":"Time of Event (Mountain Time)","value":"04:46:06"},{"id":151,"name":"Denver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5" t="str">
        <f t="shared" si="21"/>
        <v>start /low /b %USERPROFILE%\Documents\GitHub\eaglep3\Utilities\DownloadLogsFromS3.py --loco 4042 --day 2017-04-23</v>
      </c>
      <c r="AN21" s="154" t="str">
        <f t="shared" si="22"/>
        <v>echo {"issue":{"subject":"FEP-02 outage - virus scan caused PTC Comms apps to lock up","project_id":30,"tracker_id":4,"status_id":1,"priority_id":1,"assigned_to_id":10,"start_date":"2017-04-23","description":"","custom_fields":[{"id":30,"name":"Category","value":"Issue"},{"id":3,"name":"Functional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10:46:06"},{"id":29,"name":"Sharepoint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658</v>
      </c>
      <c r="B22" s="7">
        <v>4041</v>
      </c>
      <c r="C22" s="21" t="s">
        <v>213</v>
      </c>
      <c r="D22" s="21" t="s">
        <v>843</v>
      </c>
      <c r="E22" s="13">
        <v>42848.232025462959</v>
      </c>
      <c r="F22" s="13">
        <v>42848.236979166664</v>
      </c>
      <c r="G22" s="7">
        <v>1</v>
      </c>
      <c r="H22" s="21" t="s">
        <v>844</v>
      </c>
      <c r="I22" s="13">
        <v>42848.237650462965</v>
      </c>
      <c r="J22" s="7">
        <v>0</v>
      </c>
      <c r="K22" s="92" t="str">
        <f t="shared" si="0"/>
        <v>4041/4042</v>
      </c>
      <c r="L22" s="21" t="str">
        <f>VLOOKUP(A22,'Trips&amp;Operators'!$C$1:$G$99999,5,FALSE)</f>
        <v>ROBINSON KADDIBA</v>
      </c>
      <c r="M22" s="6">
        <f t="shared" si="1"/>
        <v>6.7129630042472854E-4</v>
      </c>
      <c r="N22" s="7"/>
      <c r="O22" s="7"/>
      <c r="P22" s="7">
        <f t="shared" si="17"/>
        <v>0.9666666726116091</v>
      </c>
      <c r="Q22" s="22"/>
      <c r="R22" s="200" t="s">
        <v>1022</v>
      </c>
      <c r="S22" s="206">
        <f t="shared" si="18"/>
        <v>0</v>
      </c>
      <c r="T22" s="200" t="str">
        <f t="shared" si="2"/>
        <v>Southbound</v>
      </c>
      <c r="U22" s="200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0</v>
      </c>
      <c r="V22" s="201" t="str">
        <f t="shared" si="3"/>
        <v>https://d0f6bd738d7f1b3e5a7ca70fe4ff75f0.us-east-1.aws.found.io/app/kibana#/discover/Steve-Slow-Train-Analysis-(2080s-and-2083s)?_g=(refreshInterval:(display:Off,pause:!f,section:0,value:0),time:(from:'2017-04-23T04:34:07-0600',mode:absolute,to:'2017-04-23T06:42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" s="202" t="str">
        <f t="shared" si="4"/>
        <v>Y</v>
      </c>
      <c r="X22" s="202">
        <f t="shared" si="5"/>
        <v>1</v>
      </c>
      <c r="Y22" s="202">
        <f t="shared" si="6"/>
        <v>23.299600000000002</v>
      </c>
      <c r="Z22" s="202">
        <f t="shared" si="7"/>
        <v>23.225999999999999</v>
      </c>
      <c r="AA22" s="202">
        <f t="shared" si="8"/>
        <v>7.3600000000002552E-2</v>
      </c>
      <c r="AB22" s="57" t="e">
        <f>VLOOKUP(A22,Enforcements!$C$7:$K$13,8,0)</f>
        <v>#N/A</v>
      </c>
      <c r="AC22" s="53" t="e">
        <f>VLOOKUP(A22,Enforcements!$C$7:$E$13,3,0)</f>
        <v>#N/A</v>
      </c>
      <c r="AD22" s="54" t="str">
        <f t="shared" si="9"/>
        <v>0110-23</v>
      </c>
      <c r="AE22" s="80" t="str">
        <f t="shared" si="10"/>
        <v>aws s3 cp s3://rtdc.mdm.uploadarchive.raw/RTDC4041/ "%USERPROFILE%\AppData\Local\Temp\OnboardLogs"\RTDC4041\2017-04-23 --exclude "*" --recursive --include "*20170423*" &amp; "%USERPROFILE%\Documents\GitHub\mrs-test-scripts\Headless Mode &amp; Sideloading\WalkAndUnGZ.bat" "%USERPROFILE%\AppData\Local\Temp\OnboardLogs"\RTDC4041\2017-04-23 &amp; aws s3 cp s3://rtdc.mdm.uploadarchive.raw/RTDC4041/ "%USERPROFILE%\AppData\Local\Temp\OnboardLogs"\RTDC4041\2017-04-24 --exclude "*" --recursive --include "*20170424*" &amp; "%USERPROFILE%\Documents\GitHub\mrs-test-scripts\Headless Mode &amp; Sideloading\WalkAndUnGZ.bat" "%USERPROFILE%\AppData\Local\Temp\OnboardLogs"\RTDC4041\2017-04-24</v>
      </c>
      <c r="AF22" s="77" t="str">
        <f t="shared" si="11"/>
        <v>"C:\Program Files (x86)\AstroGrep\AstroGrep.exe" /e /r /s /spath="%USERPROFILE%\AppData\Local\Temp\OnboardLogs" /stypes="app*4041*20170423*" /stext=" 11:.+((SYSTEM_STATE.+slice.+state.+changed )|(ment ac)|(multiple cpu faults)|(system.+state.+changed )|(\[timeout)|(PRM\|1\|D)|(kpr)|(kdp)|(\|lc)|(penalty))"</v>
      </c>
      <c r="AG22" s="1" t="str">
        <f t="shared" si="12"/>
        <v>EC</v>
      </c>
      <c r="AH22" s="81" t="str">
        <f t="shared" si="19"/>
        <v>"%USERPROFILE%\Documents\GitHub\eaglep3\Utilities\RefineRTDCRunTimes.py" --tripid 110-23 --locoid 4041 --swversion DE.1.0.9.0 --startMP 204:232996 --initTime 2017-04-23T05:34:07 --startdatetime 2017-04-23T05:41:15 --delay 1 --endMP 204:232260 --enddatetime 2017-04-23T05:42:13 --enforcementcount 0 &gt;&gt;C:\Users\stu\Documents\GitHub\eaglep3-reporting\EC\2017-04-23-refined-times.txt</v>
      </c>
      <c r="AI22" s="99" t="str">
        <f t="shared" si="20"/>
        <v>echo {"issue":{"subject":"FEP-02 outage - virus scan caused PTC Comms apps to lock up","project_id":79,"tracker_id":40,"status_id":1,"priority_id":2,"assigned_to_id":23,"start_date":"2017-04-23","description":"","custom_fields":[{"id":1,"name":"Subdivision","value":"EC"},{"id":4,"name":"Milepost","value":"23.226"},{"id":17,"name":"Train ID","value":"110-23"},{"id":16,"name":"Locomotive ID","value":"4041"},{"id":130,"name":"Impact","value":""},{"id":150,"name":"Time of Event (Mountain Time)","value":"05:42:13"},{"id":151,"name":"Denver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5" t="str">
        <f t="shared" si="21"/>
        <v>start /low /b %USERPROFILE%\Documents\GitHub\eaglep3\Utilities\DownloadLogsFromS3.py --loco 4041 --day 2017-04-23</v>
      </c>
      <c r="AN22" s="154" t="str">
        <f t="shared" si="22"/>
        <v>echo {"issue":{"subject":"FEP-02 outage - virus scan caused PTC Comms apps to lock up","project_id":30,"tracker_id":4,"status_id":1,"priority_id":1,"assigned_to_id":10,"start_date":"2017-04-23","description":"","custom_fields":[{"id":30,"name":"Category","value":"Issue"},{"id":3,"name":"Functional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11:42:13"},{"id":29,"name":"Sharepoint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651</v>
      </c>
      <c r="B23" s="7">
        <v>4004</v>
      </c>
      <c r="C23" s="21" t="s">
        <v>213</v>
      </c>
      <c r="D23" s="21" t="s">
        <v>845</v>
      </c>
      <c r="E23" s="13">
        <v>42848.203449074077</v>
      </c>
      <c r="F23" s="13">
        <v>42848.208506944444</v>
      </c>
      <c r="G23" s="7">
        <v>1</v>
      </c>
      <c r="H23" s="21" t="s">
        <v>846</v>
      </c>
      <c r="I23" s="13">
        <v>42848.208634259259</v>
      </c>
      <c r="J23" s="7">
        <v>0</v>
      </c>
      <c r="K23" s="92" t="str">
        <f t="shared" si="0"/>
        <v>4003/4004</v>
      </c>
      <c r="L23" s="21" t="str">
        <f>VLOOKUP(A23,'Trips&amp;Operators'!$C$1:$G$99999,5,FALSE)</f>
        <v>GEBRETEKLE DAGNEW</v>
      </c>
      <c r="M23" s="6">
        <f t="shared" si="1"/>
        <v>1.273148154723458E-4</v>
      </c>
      <c r="N23" s="7"/>
      <c r="O23" s="7"/>
      <c r="P23" s="7">
        <f t="shared" si="17"/>
        <v>0.18333333428017795</v>
      </c>
      <c r="Q23" s="22"/>
      <c r="R23" s="200" t="s">
        <v>1022</v>
      </c>
      <c r="S23" s="206">
        <f t="shared" si="18"/>
        <v>0</v>
      </c>
      <c r="T23" s="200" t="str">
        <f t="shared" si="2"/>
        <v>NorthBound</v>
      </c>
      <c r="U23" s="200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0</v>
      </c>
      <c r="V23" s="201" t="str">
        <f t="shared" si="3"/>
        <v>https://d0f6bd738d7f1b3e5a7ca70fe4ff75f0.us-east-1.aws.found.io/app/kibana#/discover/Steve-Slow-Train-Analysis-(2080s-and-2083s)?_g=(refreshInterval:(display:Off,pause:!f,section:0,value:0),time:(from:'2017-04-23T03:52:58-0600',mode:absolute,to:'2017-04-23T06:00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3" s="202" t="str">
        <f t="shared" si="4"/>
        <v>Y</v>
      </c>
      <c r="X23" s="202">
        <f t="shared" si="5"/>
        <v>1</v>
      </c>
      <c r="Y23" s="202">
        <f t="shared" si="6"/>
        <v>7.4399999999999994E-2</v>
      </c>
      <c r="Z23" s="202">
        <f t="shared" si="7"/>
        <v>0.1138</v>
      </c>
      <c r="AA23" s="202">
        <f t="shared" si="8"/>
        <v>3.9400000000000004E-2</v>
      </c>
      <c r="AB23" s="57" t="e">
        <f>VLOOKUP(A23,Enforcements!$C$7:$K$13,8,0)</f>
        <v>#N/A</v>
      </c>
      <c r="AC23" s="53" t="e">
        <f>VLOOKUP(A23,Enforcements!$C$7:$E$13,3,0)</f>
        <v>#N/A</v>
      </c>
      <c r="AD23" s="54" t="str">
        <f t="shared" si="9"/>
        <v>0111-23</v>
      </c>
      <c r="AE23" s="80" t="str">
        <f t="shared" si="10"/>
        <v>aws s3 cp s3://rtdc.mdm.uploadarchive.raw/RTDC4004/ "%USERPROFILE%\AppData\Local\Temp\OnboardLogs"\RTDC4004\2017-04-23 --exclude "*" --recursive --include "*20170423*" &amp; "%USERPROFILE%\Documents\GitHub\mrs-test-scripts\Headless Mode &amp; Sideloading\WalkAndUnGZ.bat" "%USERPROFILE%\AppData\Local\Temp\OnboardLogs"\RTDC4004\2017-04-23 &amp; aws s3 cp s3://rtdc.mdm.uploadarchive.raw/RTDC4004/ "%USERPROFILE%\AppData\Local\Temp\OnboardLogs"\RTDC4004\2017-04-24 --exclude "*" --recursive --include "*20170424*" &amp; "%USERPROFILE%\Documents\GitHub\mrs-test-scripts\Headless Mode &amp; Sideloading\WalkAndUnGZ.bat" "%USERPROFILE%\AppData\Local\Temp\OnboardLogs"\RTDC4004\2017-04-24</v>
      </c>
      <c r="AF23" s="77" t="str">
        <f t="shared" si="11"/>
        <v>"C:\Program Files (x86)\AstroGrep\AstroGrep.exe" /e /r /s /spath="%USERPROFILE%\AppData\Local\Temp\OnboardLogs" /stypes="app*4004*20170423*" /stext=" 11:.+((SYSTEM_STATE.+slice.+state.+changed )|(ment ac)|(multiple cpu faults)|(system.+state.+changed )|(\[timeout)|(PRM\|1\|D)|(kpr)|(kdp)|(\|lc)|(penalty))"</v>
      </c>
      <c r="AG23" s="1" t="str">
        <f t="shared" si="12"/>
        <v>EC</v>
      </c>
      <c r="AH23" s="81" t="str">
        <f t="shared" si="19"/>
        <v>"%USERPROFILE%\Documents\GitHub\eaglep3\Utilities\RefineRTDCRunTimes.py" --tripid 111-23 --locoid 4004 --swversion DE.1.0.9.0 --startMP 204:744 --initTime 2017-04-23T04:52:58 --startdatetime 2017-04-23T05:00:15 --delay 1 --endMP 204:1138 --enddatetime 2017-04-23T05:00:26 --enforcementcount 0 &gt;&gt;C:\Users\stu\Documents\GitHub\eaglep3-reporting\EC\2017-04-23-refined-times.txt</v>
      </c>
      <c r="AI23" s="99" t="str">
        <f t="shared" si="20"/>
        <v>echo {"issue":{"subject":"FEP-02 outage - virus scan caused PTC Comms apps to lock up","project_id":79,"tracker_id":40,"status_id":1,"priority_id":2,"assigned_to_id":23,"start_date":"2017-04-23","description":"","custom_fields":[{"id":1,"name":"Subdivision","value":"EC"},{"id":4,"name":"Milepost","value":"0.1138"},{"id":17,"name":"Train ID","value":"111-23"},{"id":16,"name":"Locomotive ID","value":"4004"},{"id":130,"name":"Impact","value":""},{"id":150,"name":"Time of Event (Mountain Time)","value":"05:00:26"},{"id":151,"name":"Denver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5" t="str">
        <f t="shared" si="21"/>
        <v>start /low /b %USERPROFILE%\Documents\GitHub\eaglep3\Utilities\DownloadLogsFromS3.py --loco 4004 --day 2017-04-23</v>
      </c>
      <c r="AN23" s="154" t="str">
        <f t="shared" si="22"/>
        <v>echo {"issue":{"subject":"FEP-02 outage - virus scan caused PTC Comms apps to lock up","project_id":30,"tracker_id":4,"status_id":1,"priority_id":1,"assigned_to_id":10,"start_date":"2017-04-23","description":"","custom_fields":[{"id":30,"name":"Category","value":"Issue"},{"id":3,"name":"Functional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11:00:26"},{"id":29,"name":"Sharepoint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660</v>
      </c>
      <c r="B24" s="7">
        <v>4003</v>
      </c>
      <c r="C24" s="21" t="s">
        <v>213</v>
      </c>
      <c r="D24" s="21" t="s">
        <v>586</v>
      </c>
      <c r="E24" s="13">
        <v>42848.243356481478</v>
      </c>
      <c r="F24" s="13">
        <v>42848.247418981482</v>
      </c>
      <c r="G24" s="7">
        <v>2</v>
      </c>
      <c r="H24" s="21" t="s">
        <v>847</v>
      </c>
      <c r="I24" s="13">
        <v>42848.247893518521</v>
      </c>
      <c r="J24" s="7">
        <v>0</v>
      </c>
      <c r="K24" s="92" t="str">
        <f t="shared" si="0"/>
        <v>4003/4004</v>
      </c>
      <c r="L24" s="21" t="str">
        <f>VLOOKUP(A24,'Trips&amp;Operators'!$C$1:$G$99999,5,FALSE)</f>
        <v>GEBRETEKLE DAGNEW</v>
      </c>
      <c r="M24" s="6">
        <f t="shared" si="1"/>
        <v>4.7453703882638365E-4</v>
      </c>
      <c r="N24" s="7"/>
      <c r="O24" s="7"/>
      <c r="P24" s="7">
        <f t="shared" si="17"/>
        <v>0.68333333590999246</v>
      </c>
      <c r="Q24" s="22"/>
      <c r="R24" s="200" t="s">
        <v>1022</v>
      </c>
      <c r="S24" s="206">
        <f t="shared" si="18"/>
        <v>0</v>
      </c>
      <c r="T24" s="200" t="str">
        <f t="shared" si="2"/>
        <v>Southbound</v>
      </c>
      <c r="U24" s="200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0</v>
      </c>
      <c r="V24" s="201" t="str">
        <f t="shared" si="3"/>
        <v>https://d0f6bd738d7f1b3e5a7ca70fe4ff75f0.us-east-1.aws.found.io/app/kibana#/discover/Steve-Slow-Train-Analysis-(2080s-and-2083s)?_g=(refreshInterval:(display:Off,pause:!f,section:0,value:0),time:(from:'2017-04-23T04:50:26-0600',mode:absolute,to:'2017-04-23T06:56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4" s="202" t="str">
        <f t="shared" si="4"/>
        <v>Y</v>
      </c>
      <c r="X24" s="202">
        <f t="shared" si="5"/>
        <v>1</v>
      </c>
      <c r="Y24" s="202">
        <f t="shared" si="6"/>
        <v>23.299199999999999</v>
      </c>
      <c r="Z24" s="202">
        <f t="shared" si="7"/>
        <v>23.2011</v>
      </c>
      <c r="AA24" s="202">
        <f t="shared" si="8"/>
        <v>9.8099999999998744E-2</v>
      </c>
      <c r="AB24" s="57" t="e">
        <f>VLOOKUP(A24,Enforcements!$C$7:$K$13,8,0)</f>
        <v>#N/A</v>
      </c>
      <c r="AC24" s="53" t="e">
        <f>VLOOKUP(A24,Enforcements!$C$7:$E$13,3,0)</f>
        <v>#N/A</v>
      </c>
      <c r="AD24" s="54" t="str">
        <f t="shared" si="9"/>
        <v>0112-23</v>
      </c>
      <c r="AE24" s="80" t="str">
        <f t="shared" si="10"/>
        <v>aws s3 cp s3://rtdc.mdm.uploadarchive.raw/RTDC4003/ "%USERPROFILE%\AppData\Local\Temp\OnboardLogs"\RTDC4003\2017-04-23 --exclude "*" --recursive --include "*20170423*" &amp; "%USERPROFILE%\Documents\GitHub\mrs-test-scripts\Headless Mode &amp; Sideloading\WalkAndUnGZ.bat" "%USERPROFILE%\AppData\Local\Temp\OnboardLogs"\RTDC4003\2017-04-23 &amp; aws s3 cp s3://rtdc.mdm.uploadarchive.raw/RTDC4003/ "%USERPROFILE%\AppData\Local\Temp\OnboardLogs"\RTDC4003\2017-04-24 --exclude "*" --recursive --include "*20170424*" &amp; "%USERPROFILE%\Documents\GitHub\mrs-test-scripts\Headless Mode &amp; Sideloading\WalkAndUnGZ.bat" "%USERPROFILE%\AppData\Local\Temp\OnboardLogs"\RTDC4003\2017-04-24</v>
      </c>
      <c r="AF24" s="77" t="str">
        <f t="shared" si="11"/>
        <v>"C:\Program Files (x86)\AstroGrep\AstroGrep.exe" /e /r /s /spath="%USERPROFILE%\AppData\Local\Temp\OnboardLogs" /stypes="app*4003*20170423*" /stext=" 11:.+((SYSTEM_STATE.+slice.+state.+changed )|(ment ac)|(multiple cpu faults)|(system.+state.+changed )|(\[timeout)|(PRM\|1\|D)|(kpr)|(kdp)|(\|lc)|(penalty))"</v>
      </c>
      <c r="AG24" s="1" t="str">
        <f t="shared" si="12"/>
        <v>EC</v>
      </c>
      <c r="AH24" s="81" t="str">
        <f t="shared" si="19"/>
        <v>"%USERPROFILE%\Documents\GitHub\eaglep3\Utilities\RefineRTDCRunTimes.py" --tripid 112-23 --locoid 4003 --swversion DE.1.0.9.0 --startMP 204:232992 --initTime 2017-04-23T05:50:26 --startdatetime 2017-04-23T05:56:17 --delay 2 --endMP 204:232011 --enddatetime 2017-04-23T05:56:58 --enforcementcount 0 &gt;&gt;C:\Users\stu\Documents\GitHub\eaglep3-reporting\EC\2017-04-23-refined-times.txt</v>
      </c>
      <c r="AI24" s="99" t="str">
        <f t="shared" si="20"/>
        <v>echo {"issue":{"subject":"FEP-02 outage - virus scan caused PTC Comms apps to lock up","project_id":79,"tracker_id":40,"status_id":1,"priority_id":2,"assigned_to_id":23,"start_date":"2017-04-23","description":"","custom_fields":[{"id":1,"name":"Subdivision","value":"EC"},{"id":4,"name":"Milepost","value":"23.2011"},{"id":17,"name":"Train ID","value":"112-23"},{"id":16,"name":"Locomotive ID","value":"4003"},{"id":130,"name":"Impact","value":""},{"id":150,"name":"Time of Event (Mountain Time)","value":"05:56:58"},{"id":151,"name":"Denver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5" t="str">
        <f t="shared" si="21"/>
        <v>start /low /b %USERPROFILE%\Documents\GitHub\eaglep3\Utilities\DownloadLogsFromS3.py --loco 4003 --day 2017-04-23</v>
      </c>
      <c r="AN24" s="154" t="str">
        <f t="shared" si="22"/>
        <v>echo {"issue":{"subject":"FEP-02 outage - virus scan caused PTC Comms apps to lock up","project_id":30,"tracker_id":4,"status_id":1,"priority_id":1,"assigned_to_id":10,"start_date":"2017-04-23","description":"","custom_fields":[{"id":30,"name":"Category","value":"Issue"},{"id":3,"name":"Functional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11:56:58"},{"id":29,"name":"Sharepoint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652</v>
      </c>
      <c r="B25" s="7">
        <v>4002</v>
      </c>
      <c r="C25" s="21" t="s">
        <v>213</v>
      </c>
      <c r="D25" s="21" t="s">
        <v>848</v>
      </c>
      <c r="E25" s="13">
        <v>42848.208749999998</v>
      </c>
      <c r="F25" s="13">
        <v>42848.218993055554</v>
      </c>
      <c r="G25" s="7">
        <v>2</v>
      </c>
      <c r="H25" s="21" t="s">
        <v>849</v>
      </c>
      <c r="I25" s="13">
        <v>42848.219386574077</v>
      </c>
      <c r="J25" s="7">
        <v>0</v>
      </c>
      <c r="K25" s="92" t="str">
        <f t="shared" si="0"/>
        <v>4001/4002</v>
      </c>
      <c r="L25" s="21" t="str">
        <f>VLOOKUP(A25,'Trips&amp;Operators'!$C$1:$G$99999,5,FALSE)</f>
        <v>SANTIZO D. EDY</v>
      </c>
      <c r="M25" s="6">
        <f t="shared" si="1"/>
        <v>3.9351852319668978E-4</v>
      </c>
      <c r="N25" s="7"/>
      <c r="O25" s="7"/>
      <c r="P25" s="7">
        <f t="shared" si="17"/>
        <v>0.56666667340323329</v>
      </c>
      <c r="Q25" s="22"/>
      <c r="R25" s="200" t="s">
        <v>1022</v>
      </c>
      <c r="S25" s="206">
        <f t="shared" si="18"/>
        <v>0</v>
      </c>
      <c r="T25" s="200" t="str">
        <f t="shared" si="2"/>
        <v>NorthBound</v>
      </c>
      <c r="U25" s="200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0</v>
      </c>
      <c r="V25" s="201" t="str">
        <f t="shared" si="3"/>
        <v>https://d0f6bd738d7f1b3e5a7ca70fe4ff75f0.us-east-1.aws.found.io/app/kibana#/discover/Steve-Slow-Train-Analysis-(2080s-and-2083s)?_g=(refreshInterval:(display:Off,pause:!f,section:0,value:0),time:(from:'2017-04-23T04:00:36-0600',mode:absolute,to:'2017-04-23T06:15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5" s="202" t="str">
        <f t="shared" si="4"/>
        <v>Y</v>
      </c>
      <c r="X25" s="202">
        <f t="shared" si="5"/>
        <v>1</v>
      </c>
      <c r="Y25" s="202">
        <f t="shared" si="6"/>
        <v>4.2700000000000002E-2</v>
      </c>
      <c r="Z25" s="202">
        <f t="shared" si="7"/>
        <v>9.4100000000000003E-2</v>
      </c>
      <c r="AA25" s="202">
        <f t="shared" si="8"/>
        <v>5.1400000000000001E-2</v>
      </c>
      <c r="AB25" s="57" t="e">
        <f>VLOOKUP(A25,Enforcements!$C$7:$K$13,8,0)</f>
        <v>#N/A</v>
      </c>
      <c r="AC25" s="53" t="e">
        <f>VLOOKUP(A25,Enforcements!$C$7:$E$13,3,0)</f>
        <v>#N/A</v>
      </c>
      <c r="AD25" s="54" t="str">
        <f t="shared" si="9"/>
        <v>0113-23</v>
      </c>
      <c r="AE25" s="80" t="str">
        <f t="shared" si="10"/>
        <v>aws s3 cp s3://rtdc.mdm.uploadarchive.raw/RTDC4002/ "%USERPROFILE%\AppData\Local\Temp\OnboardLogs"\RTDC4002\2017-04-23 --exclude "*" --recursive --include "*20170423*" &amp; "%USERPROFILE%\Documents\GitHub\mrs-test-scripts\Headless Mode &amp; Sideloading\WalkAndUnGZ.bat" "%USERPROFILE%\AppData\Local\Temp\OnboardLogs"\RTDC4002\2017-04-23 &amp; aws s3 cp s3://rtdc.mdm.uploadarchive.raw/RTDC4002/ "%USERPROFILE%\AppData\Local\Temp\OnboardLogs"\RTDC4002\2017-04-24 --exclude "*" --recursive --include "*20170424*" &amp; "%USERPROFILE%\Documents\GitHub\mrs-test-scripts\Headless Mode &amp; Sideloading\WalkAndUnGZ.bat" "%USERPROFILE%\AppData\Local\Temp\OnboardLogs"\RTDC4002\2017-04-24</v>
      </c>
      <c r="AF25" s="77" t="str">
        <f t="shared" si="11"/>
        <v>"C:\Program Files (x86)\AstroGrep\AstroGrep.exe" /e /r /s /spath="%USERPROFILE%\AppData\Local\Temp\OnboardLogs" /stypes="app*4002*20170423*" /stext=" 11:.+((SYSTEM_STATE.+slice.+state.+changed )|(ment ac)|(multiple cpu faults)|(system.+state.+changed )|(\[timeout)|(PRM\|1\|D)|(kpr)|(kdp)|(\|lc)|(penalty))"</v>
      </c>
      <c r="AG25" s="1" t="str">
        <f t="shared" si="12"/>
        <v>EC</v>
      </c>
      <c r="AH25" s="81" t="str">
        <f t="shared" si="19"/>
        <v>"%USERPROFILE%\Documents\GitHub\eaglep3\Utilities\RefineRTDCRunTimes.py" --tripid 113-23 --locoid 4002 --swversion DE.1.0.9.0 --startMP 204:427 --initTime 2017-04-23T05:00:36 --startdatetime 2017-04-23T05:15:21 --delay 2 --endMP 204:941 --enddatetime 2017-04-23T05:15:55 --enforcementcount 0 &gt;&gt;C:\Users\stu\Documents\GitHub\eaglep3-reporting\EC\2017-04-23-refined-times.txt</v>
      </c>
      <c r="AI25" s="99" t="str">
        <f t="shared" si="20"/>
        <v>echo {"issue":{"subject":"FEP-02 outage - virus scan caused PTC Comms apps to lock up","project_id":79,"tracker_id":40,"status_id":1,"priority_id":2,"assigned_to_id":23,"start_date":"2017-04-23","description":"","custom_fields":[{"id":1,"name":"Subdivision","value":"EC"},{"id":4,"name":"Milepost","value":"0.0941"},{"id":17,"name":"Train ID","value":"113-23"},{"id":16,"name":"Locomotive ID","value":"4002"},{"id":130,"name":"Impact","value":""},{"id":150,"name":"Time of Event (Mountain Time)","value":"05:15:55"},{"id":151,"name":"Denver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5" t="str">
        <f t="shared" si="21"/>
        <v>start /low /b %USERPROFILE%\Documents\GitHub\eaglep3\Utilities\DownloadLogsFromS3.py --loco 4002 --day 2017-04-23</v>
      </c>
      <c r="AN25" s="154" t="str">
        <f t="shared" si="22"/>
        <v>echo {"issue":{"subject":"FEP-02 outage - virus scan caused PTC Comms apps to lock up","project_id":30,"tracker_id":4,"status_id":1,"priority_id":1,"assigned_to_id":10,"start_date":"2017-04-23","description":"","custom_fields":[{"id":30,"name":"Category","value":"Issue"},{"id":3,"name":"Functional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11:15:55"},{"id":29,"name":"Sharepoint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661</v>
      </c>
      <c r="B26" s="7">
        <v>4001</v>
      </c>
      <c r="C26" s="21" t="s">
        <v>213</v>
      </c>
      <c r="D26" s="21" t="s">
        <v>850</v>
      </c>
      <c r="E26" s="13">
        <v>42848.246006944442</v>
      </c>
      <c r="F26" s="13">
        <v>42848.2578125</v>
      </c>
      <c r="G26" s="7">
        <v>1</v>
      </c>
      <c r="H26" s="21" t="s">
        <v>851</v>
      </c>
      <c r="I26" s="13">
        <v>42848.258159722223</v>
      </c>
      <c r="J26" s="7">
        <v>0</v>
      </c>
      <c r="K26" s="92" t="str">
        <f t="shared" si="0"/>
        <v>4001/4002</v>
      </c>
      <c r="L26" s="21" t="str">
        <f>VLOOKUP(A26,'Trips&amp;Operators'!$C$1:$G$99999,5,FALSE)</f>
        <v>SANTIZO D. EDY</v>
      </c>
      <c r="M26" s="6">
        <f t="shared" si="1"/>
        <v>3.4722222335403785E-4</v>
      </c>
      <c r="N26" s="7"/>
      <c r="O26" s="7"/>
      <c r="P26" s="7">
        <f t="shared" si="17"/>
        <v>0.50000000162981451</v>
      </c>
      <c r="Q26" s="22"/>
      <c r="R26" s="200" t="s">
        <v>1022</v>
      </c>
      <c r="S26" s="206">
        <f t="shared" si="18"/>
        <v>0</v>
      </c>
      <c r="T26" s="200" t="str">
        <f t="shared" si="2"/>
        <v>Southbound</v>
      </c>
      <c r="U26" s="200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0</v>
      </c>
      <c r="V26" s="201" t="str">
        <f t="shared" si="3"/>
        <v>https://d0f6bd738d7f1b3e5a7ca70fe4ff75f0.us-east-1.aws.found.io/app/kibana#/discover/Steve-Slow-Train-Analysis-(2080s-and-2083s)?_g=(refreshInterval:(display:Off,pause:!f,section:0,value:0),time:(from:'2017-04-23T04:54:15-0600',mode:absolute,to:'2017-04-23T07:11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6" s="202" t="str">
        <f t="shared" si="4"/>
        <v>Y</v>
      </c>
      <c r="X26" s="202">
        <f t="shared" si="5"/>
        <v>1</v>
      </c>
      <c r="Y26" s="202">
        <f t="shared" si="6"/>
        <v>23.3004</v>
      </c>
      <c r="Z26" s="202">
        <f t="shared" si="7"/>
        <v>23.227499999999999</v>
      </c>
      <c r="AA26" s="202">
        <f t="shared" si="8"/>
        <v>7.2900000000000631E-2</v>
      </c>
      <c r="AB26" s="57" t="e">
        <f>VLOOKUP(A26,Enforcements!$C$7:$K$13,8,0)</f>
        <v>#N/A</v>
      </c>
      <c r="AC26" s="53" t="e">
        <f>VLOOKUP(A26,Enforcements!$C$7:$E$13,3,0)</f>
        <v>#N/A</v>
      </c>
      <c r="AD26" s="54" t="str">
        <f t="shared" si="9"/>
        <v>0114-23</v>
      </c>
      <c r="AE26" s="80" t="str">
        <f t="shared" si="10"/>
        <v>aws s3 cp s3://rtdc.mdm.uploadarchive.raw/RTDC4001/ "%USERPROFILE%\AppData\Local\Temp\OnboardLogs"\RTDC4001\2017-04-23 --exclude "*" --recursive --include "*20170423*" &amp; "%USERPROFILE%\Documents\GitHub\mrs-test-scripts\Headless Mode &amp; Sideloading\WalkAndUnGZ.bat" "%USERPROFILE%\AppData\Local\Temp\OnboardLogs"\RTDC4001\2017-04-23 &amp; aws s3 cp s3://rtdc.mdm.uploadarchive.raw/RTDC4001/ "%USERPROFILE%\AppData\Local\Temp\OnboardLogs"\RTDC4001\2017-04-24 --exclude "*" --recursive --include "*20170424*" &amp; "%USERPROFILE%\Documents\GitHub\mrs-test-scripts\Headless Mode &amp; Sideloading\WalkAndUnGZ.bat" "%USERPROFILE%\AppData\Local\Temp\OnboardLogs"\RTDC4001\2017-04-24</v>
      </c>
      <c r="AF26" s="77" t="str">
        <f t="shared" si="11"/>
        <v>"C:\Program Files (x86)\AstroGrep\AstroGrep.exe" /e /r /s /spath="%USERPROFILE%\AppData\Local\Temp\OnboardLogs" /stypes="app*4001*20170423*" /stext=" 12:.+((SYSTEM_STATE.+slice.+state.+changed )|(ment ac)|(multiple cpu faults)|(system.+state.+changed )|(\[timeout)|(PRM\|1\|D)|(kpr)|(kdp)|(\|lc)|(penalty))"</v>
      </c>
      <c r="AG26" s="1" t="str">
        <f t="shared" si="12"/>
        <v>EC</v>
      </c>
      <c r="AH26" s="81" t="str">
        <f t="shared" si="19"/>
        <v>"%USERPROFILE%\Documents\GitHub\eaglep3\Utilities\RefineRTDCRunTimes.py" --tripid 114-23 --locoid 4001 --swversion DE.1.0.9.0 --startMP 204:233004 --initTime 2017-04-23T05:54:15 --startdatetime 2017-04-23T06:11:15 --delay 1 --endMP 204:232275 --enddatetime 2017-04-23T06:11:45 --enforcementcount 0 &gt;&gt;C:\Users\stu\Documents\GitHub\eaglep3-reporting\EC\2017-04-23-refined-times.txt</v>
      </c>
      <c r="AI26" s="99" t="str">
        <f t="shared" si="20"/>
        <v>echo {"issue":{"subject":"FEP-02 outage - virus scan caused PTC Comms apps to lock up","project_id":79,"tracker_id":40,"status_id":1,"priority_id":2,"assigned_to_id":23,"start_date":"2017-04-23","description":"","custom_fields":[{"id":1,"name":"Subdivision","value":"EC"},{"id":4,"name":"Milepost","value":"23.2275"},{"id":17,"name":"Train ID","value":"114-23"},{"id":16,"name":"Locomotive ID","value":"4001"},{"id":130,"name":"Impact","value":""},{"id":150,"name":"Time of Event (Mountain Time)","value":"06:11:45"},{"id":151,"name":"Denver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5" t="str">
        <f t="shared" si="21"/>
        <v>start /low /b %USERPROFILE%\Documents\GitHub\eaglep3\Utilities\DownloadLogsFromS3.py --loco 4001 --day 2017-04-23</v>
      </c>
      <c r="AN26" s="154" t="str">
        <f t="shared" si="22"/>
        <v>echo {"issue":{"subject":"FEP-02 outage - virus scan caused PTC Comms apps to lock up","project_id":30,"tracker_id":4,"status_id":1,"priority_id":1,"assigned_to_id":10,"start_date":"2017-04-23","description":"","custom_fields":[{"id":30,"name":"Category","value":"Issue"},{"id":3,"name":"Functional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12:11:45"},{"id":29,"name":"Sharepoint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655</v>
      </c>
      <c r="B27" s="7">
        <v>4028</v>
      </c>
      <c r="C27" s="21" t="s">
        <v>213</v>
      </c>
      <c r="D27" s="21" t="s">
        <v>565</v>
      </c>
      <c r="E27" s="13">
        <v>42848.224745370368</v>
      </c>
      <c r="F27" s="13">
        <v>42848.229351851849</v>
      </c>
      <c r="G27" s="7">
        <v>1</v>
      </c>
      <c r="H27" s="21" t="s">
        <v>852</v>
      </c>
      <c r="I27" s="13">
        <v>42848.229513888888</v>
      </c>
      <c r="J27" s="7">
        <v>0</v>
      </c>
      <c r="K27" s="92" t="str">
        <f t="shared" si="0"/>
        <v>4027/4028</v>
      </c>
      <c r="L27" s="21" t="str">
        <f>VLOOKUP(A27,'Trips&amp;Operators'!$C$1:$G$99999,5,FALSE)</f>
        <v>SHOOK JOHN</v>
      </c>
      <c r="M27" s="6">
        <f t="shared" si="1"/>
        <v>1.6203703853534535E-4</v>
      </c>
      <c r="N27" s="7"/>
      <c r="O27" s="7"/>
      <c r="P27" s="7">
        <f t="shared" si="17"/>
        <v>0.2333333354908973</v>
      </c>
      <c r="Q27" s="22"/>
      <c r="R27" s="200" t="s">
        <v>1022</v>
      </c>
      <c r="S27" s="206">
        <f t="shared" si="18"/>
        <v>0</v>
      </c>
      <c r="T27" s="200" t="str">
        <f t="shared" si="2"/>
        <v>NorthBound</v>
      </c>
      <c r="U27" s="200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0</v>
      </c>
      <c r="V27" s="201" t="str">
        <f t="shared" si="3"/>
        <v>https://d0f6bd738d7f1b3e5a7ca70fe4ff75f0.us-east-1.aws.found.io/app/kibana#/discover/Steve-Slow-Train-Analysis-(2080s-and-2083s)?_g=(refreshInterval:(display:Off,pause:!f,section:0,value:0),time:(from:'2017-04-23T04:23:38-0600',mode:absolute,to:'2017-04-23T06:30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7" s="202" t="str">
        <f t="shared" si="4"/>
        <v>Y</v>
      </c>
      <c r="X27" s="202">
        <f t="shared" si="5"/>
        <v>1</v>
      </c>
      <c r="Y27" s="202">
        <f t="shared" si="6"/>
        <v>7.6600000000000001E-2</v>
      </c>
      <c r="Z27" s="202">
        <f t="shared" si="7"/>
        <v>0.12470000000000001</v>
      </c>
      <c r="AA27" s="202">
        <f t="shared" si="8"/>
        <v>4.8100000000000004E-2</v>
      </c>
      <c r="AB27" s="57" t="e">
        <f>VLOOKUP(A27,Enforcements!$C$7:$K$13,8,0)</f>
        <v>#N/A</v>
      </c>
      <c r="AC27" s="53" t="e">
        <f>VLOOKUP(A27,Enforcements!$C$7:$E$13,3,0)</f>
        <v>#N/A</v>
      </c>
      <c r="AD27" s="54" t="str">
        <f t="shared" si="9"/>
        <v>0115-23</v>
      </c>
      <c r="AE27" s="80" t="str">
        <f t="shared" si="10"/>
        <v>aws s3 cp s3://rtdc.mdm.uploadarchive.raw/RTDC4028/ "%USERPROFILE%\AppData\Local\Temp\OnboardLogs"\RTDC4028\2017-04-23 --exclude "*" --recursive --include "*20170423*" &amp; "%USERPROFILE%\Documents\GitHub\mrs-test-scripts\Headless Mode &amp; Sideloading\WalkAndUnGZ.bat" "%USERPROFILE%\AppData\Local\Temp\OnboardLogs"\RTDC4028\2017-04-23 &amp; aws s3 cp s3://rtdc.mdm.uploadarchive.raw/RTDC4028/ "%USERPROFILE%\AppData\Local\Temp\OnboardLogs"\RTDC4028\2017-04-24 --exclude "*" --recursive --include "*20170424*" &amp; "%USERPROFILE%\Documents\GitHub\mrs-test-scripts\Headless Mode &amp; Sideloading\WalkAndUnGZ.bat" "%USERPROFILE%\AppData\Local\Temp\OnboardLogs"\RTDC4028\2017-04-24</v>
      </c>
      <c r="AF27" s="77" t="str">
        <f t="shared" si="11"/>
        <v>"C:\Program Files (x86)\AstroGrep\AstroGrep.exe" /e /r /s /spath="%USERPROFILE%\AppData\Local\Temp\OnboardLogs" /stypes="app*4028*20170423*" /stext=" 11:.+((SYSTEM_STATE.+slice.+state.+changed )|(ment ac)|(multiple cpu faults)|(system.+state.+changed )|(\[timeout)|(PRM\|1\|D)|(kpr)|(kdp)|(\|lc)|(penalty))"</v>
      </c>
      <c r="AG27" s="1" t="str">
        <f t="shared" si="12"/>
        <v>EC</v>
      </c>
      <c r="AH27" s="81" t="str">
        <f t="shared" si="19"/>
        <v>"%USERPROFILE%\Documents\GitHub\eaglep3\Utilities\RefineRTDCRunTimes.py" --tripid 115-23 --locoid 4028 --swversion DE.1.0.9.0 --startMP 204:766 --initTime 2017-04-23T05:23:38 --startdatetime 2017-04-23T05:30:16 --delay 1 --endMP 204:1247 --enddatetime 2017-04-23T05:30:30 --enforcementcount 0 &gt;&gt;C:\Users\stu\Documents\GitHub\eaglep3-reporting\EC\2017-04-23-refined-times.txt</v>
      </c>
      <c r="AI27" s="99" t="str">
        <f t="shared" si="20"/>
        <v>echo {"issue":{"subject":"FEP-02 outage - virus scan caused PTC Comms apps to lock up","project_id":79,"tracker_id":40,"status_id":1,"priority_id":2,"assigned_to_id":23,"start_date":"2017-04-23","description":"","custom_fields":[{"id":1,"name":"Subdivision","value":"EC"},{"id":4,"name":"Milepost","value":"0.1247"},{"id":17,"name":"Train ID","value":"115-23"},{"id":16,"name":"Locomotive ID","value":"4028"},{"id":130,"name":"Impact","value":""},{"id":150,"name":"Time of Event (Mountain Time)","value":"05:30:30"},{"id":151,"name":"Denver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5" t="str">
        <f t="shared" si="21"/>
        <v>start /low /b %USERPROFILE%\Documents\GitHub\eaglep3\Utilities\DownloadLogsFromS3.py --loco 4028 --day 2017-04-23</v>
      </c>
      <c r="AN27" s="154" t="str">
        <f t="shared" si="22"/>
        <v>echo {"issue":{"subject":"FEP-02 outage - virus scan caused PTC Comms apps to lock up","project_id":30,"tracker_id":4,"status_id":1,"priority_id":1,"assigned_to_id":10,"start_date":"2017-04-23","description":"","custom_fields":[{"id":30,"name":"Category","value":"Issue"},{"id":3,"name":"Functional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11:30:30"},{"id":29,"name":"Sharepoint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666</v>
      </c>
      <c r="B28" s="7">
        <v>4027</v>
      </c>
      <c r="C28" s="21" t="s">
        <v>213</v>
      </c>
      <c r="D28" s="21" t="s">
        <v>853</v>
      </c>
      <c r="E28" s="13">
        <v>42848.257303240738</v>
      </c>
      <c r="F28" s="13">
        <v>42848.268217592595</v>
      </c>
      <c r="G28" s="7">
        <v>10</v>
      </c>
      <c r="H28" s="21" t="s">
        <v>854</v>
      </c>
      <c r="I28" s="13">
        <v>42848.268460648149</v>
      </c>
      <c r="J28" s="7">
        <v>0</v>
      </c>
      <c r="K28" s="92" t="str">
        <f t="shared" si="0"/>
        <v>4027/4028</v>
      </c>
      <c r="L28" s="21" t="str">
        <f>VLOOKUP(A28,'Trips&amp;Operators'!$C$1:$G$99999,5,FALSE)</f>
        <v>SHOOK JOHN</v>
      </c>
      <c r="M28" s="6">
        <f t="shared" si="1"/>
        <v>2.4305555416503921E-4</v>
      </c>
      <c r="N28" s="7"/>
      <c r="O28" s="7"/>
      <c r="P28" s="7">
        <f t="shared" si="17"/>
        <v>0.34999999799765646</v>
      </c>
      <c r="Q28" s="22"/>
      <c r="R28" s="200" t="s">
        <v>1022</v>
      </c>
      <c r="S28" s="206">
        <f t="shared" si="18"/>
        <v>0</v>
      </c>
      <c r="T28" s="200" t="str">
        <f t="shared" si="2"/>
        <v>Southbound</v>
      </c>
      <c r="U28" s="200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0</v>
      </c>
      <c r="V28" s="201" t="str">
        <f t="shared" si="3"/>
        <v>https://d0f6bd738d7f1b3e5a7ca70fe4ff75f0.us-east-1.aws.found.io/app/kibana#/discover/Steve-Slow-Train-Analysis-(2080s-and-2083s)?_g=(refreshInterval:(display:Off,pause:!f,section:0,value:0),time:(from:'2017-04-23T05:10:31-0600',mode:absolute,to:'2017-04-23T07:26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8" s="202" t="str">
        <f t="shared" si="4"/>
        <v>Y</v>
      </c>
      <c r="X28" s="202">
        <f t="shared" si="5"/>
        <v>1</v>
      </c>
      <c r="Y28" s="202">
        <f t="shared" si="6"/>
        <v>23.3017</v>
      </c>
      <c r="Z28" s="202">
        <f t="shared" si="7"/>
        <v>23.241399999999999</v>
      </c>
      <c r="AA28" s="202">
        <f t="shared" si="8"/>
        <v>6.0300000000001575E-2</v>
      </c>
      <c r="AB28" s="57" t="e">
        <f>VLOOKUP(A28,Enforcements!$C$7:$K$13,8,0)</f>
        <v>#N/A</v>
      </c>
      <c r="AC28" s="53" t="e">
        <f>VLOOKUP(A28,Enforcements!$C$7:$E$13,3,0)</f>
        <v>#N/A</v>
      </c>
      <c r="AD28" s="54" t="str">
        <f t="shared" si="9"/>
        <v>0116-23</v>
      </c>
      <c r="AE28" s="80" t="str">
        <f t="shared" si="10"/>
        <v>aws s3 cp s3://rtdc.mdm.uploadarchive.raw/RTDC4027/ "%USERPROFILE%\AppData\Local\Temp\OnboardLogs"\RTDC4027\2017-04-23 --exclude "*" --recursive --include "*20170423*" &amp; "%USERPROFILE%\Documents\GitHub\mrs-test-scripts\Headless Mode &amp; Sideloading\WalkAndUnGZ.bat" "%USERPROFILE%\AppData\Local\Temp\OnboardLogs"\RTDC4027\2017-04-23 &amp; aws s3 cp s3://rtdc.mdm.uploadarchive.raw/RTDC4027/ "%USERPROFILE%\AppData\Local\Temp\OnboardLogs"\RTDC4027\2017-04-24 --exclude "*" --recursive --include "*20170424*" &amp; "%USERPROFILE%\Documents\GitHub\mrs-test-scripts\Headless Mode &amp; Sideloading\WalkAndUnGZ.bat" "%USERPROFILE%\AppData\Local\Temp\OnboardLogs"\RTDC4027\2017-04-24</v>
      </c>
      <c r="AF28" s="77" t="str">
        <f t="shared" si="11"/>
        <v>"C:\Program Files (x86)\AstroGrep\AstroGrep.exe" /e /r /s /spath="%USERPROFILE%\AppData\Local\Temp\OnboardLogs" /stypes="app*4027*20170423*" /stext=" 12:.+((SYSTEM_STATE.+slice.+state.+changed )|(ment ac)|(multiple cpu faults)|(system.+state.+changed )|(\[timeout)|(PRM\|1\|D)|(kpr)|(kdp)|(\|lc)|(penalty))"</v>
      </c>
      <c r="AG28" s="1" t="str">
        <f t="shared" si="12"/>
        <v>EC</v>
      </c>
      <c r="AH28" s="81" t="str">
        <f t="shared" si="19"/>
        <v>"%USERPROFILE%\Documents\GitHub\eaglep3\Utilities\RefineRTDCRunTimes.py" --tripid 116-23 --locoid 4027 --swversion DE.1.0.9.0 --startMP 204:233017 --initTime 2017-04-23T06:10:31 --startdatetime 2017-04-23T06:26:14 --delay 10 --endMP 204:232414 --enddatetime 2017-04-23T06:26:35 --enforcementcount 0 &gt;&gt;C:\Users\stu\Documents\GitHub\eaglep3-reporting\EC\2017-04-23-refined-times.txt</v>
      </c>
      <c r="AI28" s="99" t="str">
        <f t="shared" si="20"/>
        <v>echo {"issue":{"subject":"FEP-02 outage - virus scan caused PTC Comms apps to lock up","project_id":79,"tracker_id":40,"status_id":1,"priority_id":2,"assigned_to_id":23,"start_date":"2017-04-23","description":"","custom_fields":[{"id":1,"name":"Subdivision","value":"EC"},{"id":4,"name":"Milepost","value":"23.2414"},{"id":17,"name":"Train ID","value":"116-23"},{"id":16,"name":"Locomotive ID","value":"4027"},{"id":130,"name":"Impact","value":""},{"id":150,"name":"Time of Event (Mountain Time)","value":"06:26:35"},{"id":151,"name":"Denver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5" t="str">
        <f t="shared" si="21"/>
        <v>start /low /b %USERPROFILE%\Documents\GitHub\eaglep3\Utilities\DownloadLogsFromS3.py --loco 4027 --day 2017-04-23</v>
      </c>
      <c r="AN28" s="154" t="str">
        <f t="shared" si="22"/>
        <v>echo {"issue":{"subject":"FEP-02 outage - virus scan caused PTC Comms apps to lock up","project_id":30,"tracker_id":4,"status_id":1,"priority_id":1,"assigned_to_id":10,"start_date":"2017-04-23","description":"","custom_fields":[{"id":30,"name":"Category","value":"Issue"},{"id":3,"name":"Functional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12:26:35"},{"id":29,"name":"Sharepoint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659</v>
      </c>
      <c r="B29" s="7">
        <v>4044</v>
      </c>
      <c r="C29" s="21" t="s">
        <v>213</v>
      </c>
      <c r="D29" s="21" t="s">
        <v>419</v>
      </c>
      <c r="E29" s="13">
        <v>42848.235162037039</v>
      </c>
      <c r="F29" s="13">
        <v>42848.23982638889</v>
      </c>
      <c r="G29" s="7">
        <v>1</v>
      </c>
      <c r="H29" s="21" t="s">
        <v>855</v>
      </c>
      <c r="I29" s="13">
        <v>42848.239976851852</v>
      </c>
      <c r="J29" s="7">
        <v>0</v>
      </c>
      <c r="K29" s="92" t="str">
        <f t="shared" si="0"/>
        <v>4043/4044</v>
      </c>
      <c r="L29" s="21" t="str">
        <f>VLOOKUP(A29,'Trips&amp;Operators'!$C$1:$G$99999,5,FALSE)</f>
        <v>MAELZER KURT</v>
      </c>
      <c r="M29" s="6">
        <f t="shared" si="1"/>
        <v>1.5046296175569296E-4</v>
      </c>
      <c r="N29" s="7"/>
      <c r="O29" s="7"/>
      <c r="P29" s="7">
        <f t="shared" si="17"/>
        <v>0.21666666492819786</v>
      </c>
      <c r="Q29" s="22"/>
      <c r="R29" s="200" t="s">
        <v>1022</v>
      </c>
      <c r="S29" s="206">
        <f t="shared" si="18"/>
        <v>0</v>
      </c>
      <c r="T29" s="200" t="str">
        <f t="shared" si="2"/>
        <v>NorthBound</v>
      </c>
      <c r="U29" s="200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0</v>
      </c>
      <c r="V29" s="201" t="str">
        <f t="shared" si="3"/>
        <v>https://d0f6bd738d7f1b3e5a7ca70fe4ff75f0.us-east-1.aws.found.io/app/kibana#/discover/Steve-Slow-Train-Analysis-(2080s-and-2083s)?_g=(refreshInterval:(display:Off,pause:!f,section:0,value:0),time:(from:'2017-04-23T04:38:38-0600',mode:absolute,to:'2017-04-23T06:45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9" s="202" t="str">
        <f t="shared" si="4"/>
        <v>Y</v>
      </c>
      <c r="X29" s="202">
        <f t="shared" si="5"/>
        <v>1</v>
      </c>
      <c r="Y29" s="202">
        <f t="shared" si="6"/>
        <v>4.4699999999999997E-2</v>
      </c>
      <c r="Z29" s="202">
        <f t="shared" si="7"/>
        <v>8.6800000000000002E-2</v>
      </c>
      <c r="AA29" s="202">
        <f t="shared" si="8"/>
        <v>4.2100000000000005E-2</v>
      </c>
      <c r="AB29" s="57" t="e">
        <f>VLOOKUP(A29,Enforcements!$C$7:$K$13,8,0)</f>
        <v>#N/A</v>
      </c>
      <c r="AC29" s="53" t="e">
        <f>VLOOKUP(A29,Enforcements!$C$7:$E$13,3,0)</f>
        <v>#N/A</v>
      </c>
      <c r="AD29" s="54" t="str">
        <f t="shared" si="9"/>
        <v>0117-23</v>
      </c>
      <c r="AE29" s="80" t="str">
        <f t="shared" si="10"/>
        <v>aws s3 cp s3://rtdc.mdm.uploadarchive.raw/RTDC4044/ "%USERPROFILE%\AppData\Local\Temp\OnboardLogs"\RTDC4044\2017-04-23 --exclude "*" --recursive --include "*20170423*" &amp; "%USERPROFILE%\Documents\GitHub\mrs-test-scripts\Headless Mode &amp; Sideloading\WalkAndUnGZ.bat" "%USERPROFILE%\AppData\Local\Temp\OnboardLogs"\RTDC4044\2017-04-23 &amp; aws s3 cp s3://rtdc.mdm.uploadarchive.raw/RTDC4044/ "%USERPROFILE%\AppData\Local\Temp\OnboardLogs"\RTDC4044\2017-04-24 --exclude "*" --recursive --include "*20170424*" &amp; "%USERPROFILE%\Documents\GitHub\mrs-test-scripts\Headless Mode &amp; Sideloading\WalkAndUnGZ.bat" "%USERPROFILE%\AppData\Local\Temp\OnboardLogs"\RTDC4044\2017-04-24</v>
      </c>
      <c r="AF29" s="77" t="str">
        <f t="shared" si="11"/>
        <v>"C:\Program Files (x86)\AstroGrep\AstroGrep.exe" /e /r /s /spath="%USERPROFILE%\AppData\Local\Temp\OnboardLogs" /stypes="app*4044*20170423*" /stext=" 11:.+((SYSTEM_STATE.+slice.+state.+changed )|(ment ac)|(multiple cpu faults)|(system.+state.+changed )|(\[timeout)|(PRM\|1\|D)|(kpr)|(kdp)|(\|lc)|(penalty))"</v>
      </c>
      <c r="AG29" s="1" t="str">
        <f t="shared" si="12"/>
        <v>EC</v>
      </c>
      <c r="AH29" s="81" t="str">
        <f t="shared" si="19"/>
        <v>"%USERPROFILE%\Documents\GitHub\eaglep3\Utilities\RefineRTDCRunTimes.py" --tripid 117-23 --locoid 4044 --swversion DE.1.0.9.0 --startMP 204:447 --initTime 2017-04-23T05:38:38 --startdatetime 2017-04-23T05:45:21 --delay 1 --endMP 204:868 --enddatetime 2017-04-23T05:45:34 --enforcementcount 0 &gt;&gt;C:\Users\stu\Documents\GitHub\eaglep3-reporting\EC\2017-04-23-refined-times.txt</v>
      </c>
      <c r="AI29" s="99" t="str">
        <f t="shared" si="20"/>
        <v>echo {"issue":{"subject":"FEP-02 outage - virus scan caused PTC Comms apps to lock up","project_id":79,"tracker_id":40,"status_id":1,"priority_id":2,"assigned_to_id":23,"start_date":"2017-04-23","description":"","custom_fields":[{"id":1,"name":"Subdivision","value":"EC"},{"id":4,"name":"Milepost","value":"0.0868"},{"id":17,"name":"Train ID","value":"117-23"},{"id":16,"name":"Locomotive ID","value":"4044"},{"id":130,"name":"Impact","value":""},{"id":150,"name":"Time of Event (Mountain Time)","value":"05:45:34"},{"id":151,"name":"Denver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5" t="str">
        <f t="shared" si="21"/>
        <v>start /low /b %USERPROFILE%\Documents\GitHub\eaglep3\Utilities\DownloadLogsFromS3.py --loco 4044 --day 2017-04-23</v>
      </c>
      <c r="AN29" s="154" t="str">
        <f t="shared" si="22"/>
        <v>echo {"issue":{"subject":"FEP-02 outage - virus scan caused PTC Comms apps to lock up","project_id":30,"tracker_id":4,"status_id":1,"priority_id":1,"assigned_to_id":10,"start_date":"2017-04-23","description":"","custom_fields":[{"id":30,"name":"Category","value":"Issue"},{"id":3,"name":"Functional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11:45:34"},{"id":29,"name":"Sharepoint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668</v>
      </c>
      <c r="B30" s="7">
        <v>4043</v>
      </c>
      <c r="C30" s="21" t="s">
        <v>213</v>
      </c>
      <c r="D30" s="21" t="s">
        <v>856</v>
      </c>
      <c r="E30" s="13">
        <v>42848.274236111109</v>
      </c>
      <c r="F30" s="13">
        <v>42848.278715277775</v>
      </c>
      <c r="G30" s="7">
        <v>1</v>
      </c>
      <c r="H30" s="21" t="s">
        <v>857</v>
      </c>
      <c r="I30" s="13">
        <v>42848.278854166667</v>
      </c>
      <c r="J30" s="7">
        <v>0</v>
      </c>
      <c r="K30" s="92" t="str">
        <f t="shared" si="0"/>
        <v>4043/4044</v>
      </c>
      <c r="L30" s="21" t="str">
        <f>VLOOKUP(A30,'Trips&amp;Operators'!$C$1:$G$99999,5,FALSE)</f>
        <v>MAELZER KURT</v>
      </c>
      <c r="M30" s="6">
        <f t="shared" si="1"/>
        <v>1.3888889225199819E-4</v>
      </c>
      <c r="N30" s="7"/>
      <c r="O30" s="7"/>
      <c r="P30" s="7">
        <f t="shared" si="17"/>
        <v>0.20000000484287739</v>
      </c>
      <c r="Q30" s="22"/>
      <c r="R30" s="200" t="s">
        <v>1022</v>
      </c>
      <c r="S30" s="206">
        <f t="shared" si="18"/>
        <v>0</v>
      </c>
      <c r="T30" s="200" t="str">
        <f t="shared" si="2"/>
        <v>Southbound</v>
      </c>
      <c r="U30" s="200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0</v>
      </c>
      <c r="V30" s="201" t="str">
        <f t="shared" si="3"/>
        <v>https://d0f6bd738d7f1b3e5a7ca70fe4ff75f0.us-east-1.aws.found.io/app/kibana#/discover/Steve-Slow-Train-Analysis-(2080s-and-2083s)?_g=(refreshInterval:(display:Off,pause:!f,section:0,value:0),time:(from:'2017-04-23T05:34:54-0600',mode:absolute,to:'2017-04-23T07:41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0" s="202" t="str">
        <f t="shared" si="4"/>
        <v>Y</v>
      </c>
      <c r="X30" s="202">
        <f t="shared" si="5"/>
        <v>1</v>
      </c>
      <c r="Y30" s="202">
        <f t="shared" si="6"/>
        <v>23.302099999999999</v>
      </c>
      <c r="Z30" s="202">
        <f t="shared" si="7"/>
        <v>23.263000000000002</v>
      </c>
      <c r="AA30" s="202">
        <f t="shared" si="8"/>
        <v>3.9099999999997692E-2</v>
      </c>
      <c r="AB30" s="57" t="e">
        <f>VLOOKUP(A30,Enforcements!$C$7:$K$13,8,0)</f>
        <v>#N/A</v>
      </c>
      <c r="AC30" s="53" t="e">
        <f>VLOOKUP(A30,Enforcements!$C$7:$E$13,3,0)</f>
        <v>#N/A</v>
      </c>
      <c r="AD30" s="54" t="str">
        <f t="shared" si="9"/>
        <v>0118-23</v>
      </c>
      <c r="AE30" s="80" t="str">
        <f t="shared" si="10"/>
        <v>aws s3 cp s3://rtdc.mdm.uploadarchive.raw/RTDC4043/ "%USERPROFILE%\AppData\Local\Temp\OnboardLogs"\RTDC4043\2017-04-23 --exclude "*" --recursive --include "*20170423*" &amp; "%USERPROFILE%\Documents\GitHub\mrs-test-scripts\Headless Mode &amp; Sideloading\WalkAndUnGZ.bat" "%USERPROFILE%\AppData\Local\Temp\OnboardLogs"\RTDC4043\2017-04-23 &amp; aws s3 cp s3://rtdc.mdm.uploadarchive.raw/RTDC4043/ "%USERPROFILE%\AppData\Local\Temp\OnboardLogs"\RTDC4043\2017-04-24 --exclude "*" --recursive --include "*20170424*" &amp; "%USERPROFILE%\Documents\GitHub\mrs-test-scripts\Headless Mode &amp; Sideloading\WalkAndUnGZ.bat" "%USERPROFILE%\AppData\Local\Temp\OnboardLogs"\RTDC4043\2017-04-24</v>
      </c>
      <c r="AF30" s="77" t="str">
        <f t="shared" si="11"/>
        <v>"C:\Program Files (x86)\AstroGrep\AstroGrep.exe" /e /r /s /spath="%USERPROFILE%\AppData\Local\Temp\OnboardLogs" /stypes="app*4043*20170423*" /stext=" 12:.+((SYSTEM_STATE.+slice.+state.+changed )|(ment ac)|(multiple cpu faults)|(system.+state.+changed )|(\[timeout)|(PRM\|1\|D)|(kpr)|(kdp)|(\|lc)|(penalty))"</v>
      </c>
      <c r="AG30" s="1" t="str">
        <f t="shared" si="12"/>
        <v>EC</v>
      </c>
      <c r="AH30" s="81" t="str">
        <f t="shared" si="19"/>
        <v>"%USERPROFILE%\Documents\GitHub\eaglep3\Utilities\RefineRTDCRunTimes.py" --tripid 118-23 --locoid 4043 --swversion DE.1.0.9.0 --startMP 204:233021 --initTime 2017-04-23T06:34:54 --startdatetime 2017-04-23T06:41:21 --delay 1 --endMP 204:232630 --enddatetime 2017-04-23T06:41:33 --enforcementcount 0 &gt;&gt;C:\Users\stu\Documents\GitHub\eaglep3-reporting\EC\2017-04-23-refined-times.txt</v>
      </c>
      <c r="AI30" s="99" t="str">
        <f t="shared" si="20"/>
        <v>echo {"issue":{"subject":"FEP-02 outage - virus scan caused PTC Comms apps to lock up","project_id":79,"tracker_id":40,"status_id":1,"priority_id":2,"assigned_to_id":23,"start_date":"2017-04-23","description":"","custom_fields":[{"id":1,"name":"Subdivision","value":"EC"},{"id":4,"name":"Milepost","value":"23.263"},{"id":17,"name":"Train ID","value":"118-23"},{"id":16,"name":"Locomotive ID","value":"4043"},{"id":130,"name":"Impact","value":""},{"id":150,"name":"Time of Event (Mountain Time)","value":"06:41:33"},{"id":151,"name":"Denver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5" t="str">
        <f t="shared" si="21"/>
        <v>start /low /b %USERPROFILE%\Documents\GitHub\eaglep3\Utilities\DownloadLogsFromS3.py --loco 4043 --day 2017-04-23</v>
      </c>
      <c r="AN30" s="154" t="str">
        <f t="shared" si="22"/>
        <v>echo {"issue":{"subject":"FEP-02 outage - virus scan caused PTC Comms apps to lock up","project_id":30,"tracker_id":4,"status_id":1,"priority_id":1,"assigned_to_id":10,"start_date":"2017-04-23","description":"","custom_fields":[{"id":30,"name":"Category","value":"Issue"},{"id":3,"name":"Functional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12:41:33"},{"id":29,"name":"Sharepoint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662</v>
      </c>
      <c r="B31" s="7">
        <v>4016</v>
      </c>
      <c r="C31" s="21" t="s">
        <v>213</v>
      </c>
      <c r="D31" s="21" t="s">
        <v>836</v>
      </c>
      <c r="E31" s="13">
        <v>42848.249027777776</v>
      </c>
      <c r="F31" s="13">
        <v>42848.250914351855</v>
      </c>
      <c r="G31" s="7">
        <v>1</v>
      </c>
      <c r="H31" s="21" t="s">
        <v>858</v>
      </c>
      <c r="I31" s="13">
        <v>42848.251145833332</v>
      </c>
      <c r="J31" s="7">
        <v>0</v>
      </c>
      <c r="K31" s="92" t="str">
        <f t="shared" si="0"/>
        <v>4015/4016</v>
      </c>
      <c r="L31" s="21" t="str">
        <f>VLOOKUP(A31,'Trips&amp;Operators'!$C$1:$G$99999,5,FALSE)</f>
        <v>BADERTSCHER DIANE</v>
      </c>
      <c r="M31" s="6">
        <f t="shared" si="1"/>
        <v>2.3148147738538682E-4</v>
      </c>
      <c r="N31" s="7"/>
      <c r="O31" s="7"/>
      <c r="P31" s="7">
        <f t="shared" si="17"/>
        <v>0.33333332743495703</v>
      </c>
      <c r="Q31" s="22"/>
      <c r="R31" s="200" t="s">
        <v>1022</v>
      </c>
      <c r="S31" s="206">
        <f t="shared" si="18"/>
        <v>0</v>
      </c>
      <c r="T31" s="200" t="str">
        <f t="shared" si="2"/>
        <v>NorthBound</v>
      </c>
      <c r="U31" s="200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0</v>
      </c>
      <c r="V31" s="201" t="str">
        <f t="shared" si="3"/>
        <v>https://d0f6bd738d7f1b3e5a7ca70fe4ff75f0.us-east-1.aws.found.io/app/kibana#/discover/Steve-Slow-Train-Analysis-(2080s-and-2083s)?_g=(refreshInterval:(display:Off,pause:!f,section:0,value:0),time:(from:'2017-04-23T04:58:36-0600',mode:absolute,to:'2017-04-23T07:01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1" s="202" t="str">
        <f t="shared" si="4"/>
        <v>Y</v>
      </c>
      <c r="X31" s="202">
        <f t="shared" si="5"/>
        <v>1</v>
      </c>
      <c r="Y31" s="202">
        <f t="shared" si="6"/>
        <v>7.8600000000000003E-2</v>
      </c>
      <c r="Z31" s="202">
        <f t="shared" si="7"/>
        <v>0.10979999999999999</v>
      </c>
      <c r="AA31" s="202">
        <f t="shared" si="8"/>
        <v>3.1199999999999992E-2</v>
      </c>
      <c r="AB31" s="57" t="e">
        <f>VLOOKUP(A31,Enforcements!$C$7:$K$13,8,0)</f>
        <v>#N/A</v>
      </c>
      <c r="AC31" s="53" t="e">
        <f>VLOOKUP(A31,Enforcements!$C$7:$E$13,3,0)</f>
        <v>#N/A</v>
      </c>
      <c r="AD31" s="54" t="str">
        <f t="shared" si="9"/>
        <v>0119-23</v>
      </c>
      <c r="AE31" s="80" t="str">
        <f t="shared" si="10"/>
        <v>aws s3 cp s3://rtdc.mdm.uploadarchive.raw/RTDC4016/ "%USERPROFILE%\AppData\Local\Temp\OnboardLogs"\RTDC4016\2017-04-23 --exclude "*" --recursive --include "*20170423*" &amp; "%USERPROFILE%\Documents\GitHub\mrs-test-scripts\Headless Mode &amp; Sideloading\WalkAndUnGZ.bat" "%USERPROFILE%\AppData\Local\Temp\OnboardLogs"\RTDC4016\2017-04-23 &amp; aws s3 cp s3://rtdc.mdm.uploadarchive.raw/RTDC4016/ "%USERPROFILE%\AppData\Local\Temp\OnboardLogs"\RTDC4016\2017-04-24 --exclude "*" --recursive --include "*20170424*" &amp; "%USERPROFILE%\Documents\GitHub\mrs-test-scripts\Headless Mode &amp; Sideloading\WalkAndUnGZ.bat" "%USERPROFILE%\AppData\Local\Temp\OnboardLogs"\RTDC4016\2017-04-24</v>
      </c>
      <c r="AF31" s="77" t="str">
        <f t="shared" si="11"/>
        <v>"C:\Program Files (x86)\AstroGrep\AstroGrep.exe" /e /r /s /spath="%USERPROFILE%\AppData\Local\Temp\OnboardLogs" /stypes="app*4016*20170423*" /stext=" 12:.+((SYSTEM_STATE.+slice.+state.+changed )|(ment ac)|(multiple cpu faults)|(system.+state.+changed )|(\[timeout)|(PRM\|1\|D)|(kpr)|(kdp)|(\|lc)|(penalty))"</v>
      </c>
      <c r="AG31" s="1" t="str">
        <f t="shared" si="12"/>
        <v>EC</v>
      </c>
      <c r="AH31" s="81" t="str">
        <f t="shared" si="19"/>
        <v>"%USERPROFILE%\Documents\GitHub\eaglep3\Utilities\RefineRTDCRunTimes.py" --tripid 119-23 --locoid 4016 --swversion DE.1.0.9.0 --startMP 204:786 --initTime 2017-04-23T05:58:36 --startdatetime 2017-04-23T06:01:19 --delay 1 --endMP 204:1098 --enddatetime 2017-04-23T06:01:39 --enforcementcount 0 &gt;&gt;C:\Users\stu\Documents\GitHub\eaglep3-reporting\EC\2017-04-23-refined-times.txt</v>
      </c>
      <c r="AI31" s="99" t="str">
        <f t="shared" si="20"/>
        <v>echo {"issue":{"subject":"FEP-02 outage - virus scan caused PTC Comms apps to lock up","project_id":79,"tracker_id":40,"status_id":1,"priority_id":2,"assigned_to_id":23,"start_date":"2017-04-23","description":"","custom_fields":[{"id":1,"name":"Subdivision","value":"EC"},{"id":4,"name":"Milepost","value":"0.1098"},{"id":17,"name":"Train ID","value":"119-23"},{"id":16,"name":"Locomotive ID","value":"4016"},{"id":130,"name":"Impact","value":""},{"id":150,"name":"Time of Event (Mountain Time)","value":"06:01:39"},{"id":151,"name":"Denver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5" t="str">
        <f t="shared" si="21"/>
        <v>start /low /b %USERPROFILE%\Documents\GitHub\eaglep3\Utilities\DownloadLogsFromS3.py --loco 4016 --day 2017-04-23</v>
      </c>
      <c r="AN31" s="154" t="str">
        <f t="shared" si="22"/>
        <v>echo {"issue":{"subject":"FEP-02 outage - virus scan caused PTC Comms apps to lock up","project_id":30,"tracker_id":4,"status_id":1,"priority_id":1,"assigned_to_id":10,"start_date":"2017-04-23","description":"","custom_fields":[{"id":30,"name":"Category","value":"Issue"},{"id":3,"name":"Functional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12:01:39"},{"id":29,"name":"Sharepoint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670</v>
      </c>
      <c r="B32" s="7">
        <v>4015</v>
      </c>
      <c r="C32" s="21" t="s">
        <v>213</v>
      </c>
      <c r="D32" s="21" t="s">
        <v>843</v>
      </c>
      <c r="E32" s="13">
        <v>42848.278946759259</v>
      </c>
      <c r="F32" s="13">
        <v>42848.289085648146</v>
      </c>
      <c r="G32" s="7">
        <v>2</v>
      </c>
      <c r="H32" s="21" t="s">
        <v>859</v>
      </c>
      <c r="I32" s="13">
        <v>42848.289618055554</v>
      </c>
      <c r="J32" s="7">
        <v>0</v>
      </c>
      <c r="K32" s="92" t="str">
        <f t="shared" si="0"/>
        <v>4015/4016</v>
      </c>
      <c r="L32" s="21" t="str">
        <f>VLOOKUP(A32,'Trips&amp;Operators'!$C$1:$G$99999,5,FALSE)</f>
        <v>BADERTSCHER DIANE</v>
      </c>
      <c r="M32" s="6">
        <f t="shared" si="1"/>
        <v>5.3240740817273036E-4</v>
      </c>
      <c r="N32" s="7"/>
      <c r="O32" s="7"/>
      <c r="P32" s="7">
        <f t="shared" si="17"/>
        <v>0.76666666776873171</v>
      </c>
      <c r="Q32" s="22"/>
      <c r="R32" s="200" t="s">
        <v>1022</v>
      </c>
      <c r="S32" s="206">
        <f t="shared" si="18"/>
        <v>0</v>
      </c>
      <c r="T32" s="200" t="str">
        <f t="shared" si="2"/>
        <v>Southbound</v>
      </c>
      <c r="U32" s="200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0</v>
      </c>
      <c r="V32" s="201" t="str">
        <f t="shared" si="3"/>
        <v>https://d0f6bd738d7f1b3e5a7ca70fe4ff75f0.us-east-1.aws.found.io/app/kibana#/discover/Steve-Slow-Train-Analysis-(2080s-and-2083s)?_g=(refreshInterval:(display:Off,pause:!f,section:0,value:0),time:(from:'2017-04-23T05:41:41-0600',mode:absolute,to:'2017-04-23T07:57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2" s="202" t="str">
        <f t="shared" si="4"/>
        <v>Y</v>
      </c>
      <c r="X32" s="202">
        <f t="shared" si="5"/>
        <v>1</v>
      </c>
      <c r="Y32" s="202">
        <f t="shared" si="6"/>
        <v>23.299600000000002</v>
      </c>
      <c r="Z32" s="202">
        <f t="shared" si="7"/>
        <v>23.216100000000001</v>
      </c>
      <c r="AA32" s="202">
        <f t="shared" si="8"/>
        <v>8.3500000000000796E-2</v>
      </c>
      <c r="AB32" s="57" t="e">
        <f>VLOOKUP(A32,Enforcements!$C$7:$K$13,8,0)</f>
        <v>#N/A</v>
      </c>
      <c r="AC32" s="53" t="e">
        <f>VLOOKUP(A32,Enforcements!$C$7:$E$13,3,0)</f>
        <v>#N/A</v>
      </c>
      <c r="AD32" s="54" t="str">
        <f t="shared" si="9"/>
        <v>0120-23</v>
      </c>
      <c r="AE32" s="80" t="str">
        <f t="shared" si="10"/>
        <v>aws s3 cp s3://rtdc.mdm.uploadarchive.raw/RTDC4015/ "%USERPROFILE%\AppData\Local\Temp\OnboardLogs"\RTDC4015\2017-04-23 --exclude "*" --recursive --include "*20170423*" &amp; "%USERPROFILE%\Documents\GitHub\mrs-test-scripts\Headless Mode &amp; Sideloading\WalkAndUnGZ.bat" "%USERPROFILE%\AppData\Local\Temp\OnboardLogs"\RTDC4015\2017-04-23 &amp; aws s3 cp s3://rtdc.mdm.uploadarchive.raw/RTDC4015/ "%USERPROFILE%\AppData\Local\Temp\OnboardLogs"\RTDC4015\2017-04-24 --exclude "*" --recursive --include "*20170424*" &amp; "%USERPROFILE%\Documents\GitHub\mrs-test-scripts\Headless Mode &amp; Sideloading\WalkAndUnGZ.bat" "%USERPROFILE%\AppData\Local\Temp\OnboardLogs"\RTDC4015\2017-04-24</v>
      </c>
      <c r="AF32" s="77" t="str">
        <f t="shared" si="11"/>
        <v>"C:\Program Files (x86)\AstroGrep\AstroGrep.exe" /e /r /s /spath="%USERPROFILE%\AppData\Local\Temp\OnboardLogs" /stypes="app*4015*20170423*" /stext=" 12:.+((SYSTEM_STATE.+slice.+state.+changed )|(ment ac)|(multiple cpu faults)|(system.+state.+changed )|(\[timeout)|(PRM\|1\|D)|(kpr)|(kdp)|(\|lc)|(penalty))"</v>
      </c>
      <c r="AG32" s="1" t="str">
        <f t="shared" si="12"/>
        <v>EC</v>
      </c>
      <c r="AH32" s="81" t="str">
        <f t="shared" si="19"/>
        <v>"%USERPROFILE%\Documents\GitHub\eaglep3\Utilities\RefineRTDCRunTimes.py" --tripid 120-23 --locoid 4015 --swversion DE.1.0.9.0 --startMP 204:232996 --initTime 2017-04-23T06:41:41 --startdatetime 2017-04-23T06:56:17 --delay 2 --endMP 204:232161 --enddatetime 2017-04-23T06:57:03 --enforcementcount 0 &gt;&gt;C:\Users\stu\Documents\GitHub\eaglep3-reporting\EC\2017-04-23-refined-times.txt</v>
      </c>
      <c r="AI32" s="99" t="str">
        <f t="shared" si="20"/>
        <v>echo {"issue":{"subject":"FEP-02 outage - virus scan caused PTC Comms apps to lock up","project_id":79,"tracker_id":40,"status_id":1,"priority_id":2,"assigned_to_id":23,"start_date":"2017-04-23","description":"","custom_fields":[{"id":1,"name":"Subdivision","value":"EC"},{"id":4,"name":"Milepost","value":"23.2161"},{"id":17,"name":"Train ID","value":"120-23"},{"id":16,"name":"Locomotive ID","value":"4015"},{"id":130,"name":"Impact","value":""},{"id":150,"name":"Time of Event (Mountain Time)","value":"06:57:03"},{"id":151,"name":"Denver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5" t="str">
        <f t="shared" si="21"/>
        <v>start /low /b %USERPROFILE%\Documents\GitHub\eaglep3\Utilities\DownloadLogsFromS3.py --loco 4015 --day 2017-04-23</v>
      </c>
      <c r="AN32" s="154" t="str">
        <f t="shared" si="22"/>
        <v>echo {"issue":{"subject":"FEP-02 outage - virus scan caused PTC Comms apps to lock up","project_id":30,"tracker_id":4,"status_id":1,"priority_id":1,"assigned_to_id":10,"start_date":"2017-04-23","description":"","custom_fields":[{"id":30,"name":"Category","value":"Issue"},{"id":3,"name":"Functional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12:57:03"},{"id":29,"name":"Sharepoint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663</v>
      </c>
      <c r="B33" s="7">
        <v>4022</v>
      </c>
      <c r="C33" s="21" t="s">
        <v>213</v>
      </c>
      <c r="D33" s="21" t="s">
        <v>204</v>
      </c>
      <c r="E33" s="13">
        <v>42848.255601851852</v>
      </c>
      <c r="F33" s="13">
        <v>42848.260636574072</v>
      </c>
      <c r="G33" s="7">
        <v>1</v>
      </c>
      <c r="H33" s="21" t="s">
        <v>860</v>
      </c>
      <c r="I33" s="13">
        <v>42848.260891203703</v>
      </c>
      <c r="J33" s="7">
        <v>0</v>
      </c>
      <c r="K33" s="92" t="str">
        <f t="shared" si="0"/>
        <v>4021/4022</v>
      </c>
      <c r="L33" s="21" t="str">
        <f>VLOOKUP(A33,'Trips&amp;Operators'!$C$1:$G$99999,5,FALSE)</f>
        <v>MOSES BRADLEY</v>
      </c>
      <c r="M33" s="6">
        <f t="shared" si="1"/>
        <v>2.546296309446916E-4</v>
      </c>
      <c r="N33" s="7"/>
      <c r="O33" s="7"/>
      <c r="P33" s="7">
        <f t="shared" si="17"/>
        <v>0.3666666685603559</v>
      </c>
      <c r="Q33" s="22"/>
      <c r="R33" s="200" t="s">
        <v>1022</v>
      </c>
      <c r="S33" s="206">
        <f t="shared" si="18"/>
        <v>0</v>
      </c>
      <c r="T33" s="200" t="str">
        <f t="shared" si="2"/>
        <v>NorthBound</v>
      </c>
      <c r="U33" s="200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0</v>
      </c>
      <c r="V33" s="201" t="str">
        <f t="shared" si="3"/>
        <v>https://d0f6bd738d7f1b3e5a7ca70fe4ff75f0.us-east-1.aws.found.io/app/kibana#/discover/Steve-Slow-Train-Analysis-(2080s-and-2083s)?_g=(refreshInterval:(display:Off,pause:!f,section:0,value:0),time:(from:'2017-04-23T05:08:04-0600',mode:absolute,to:'2017-04-23T07:15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33" s="202" t="str">
        <f t="shared" si="4"/>
        <v>Y</v>
      </c>
      <c r="X33" s="202">
        <f t="shared" si="5"/>
        <v>1</v>
      </c>
      <c r="Y33" s="202">
        <f t="shared" si="6"/>
        <v>4.5699999999999998E-2</v>
      </c>
      <c r="Z33" s="202">
        <f t="shared" si="7"/>
        <v>9.0499999999999997E-2</v>
      </c>
      <c r="AA33" s="202">
        <f t="shared" si="8"/>
        <v>4.48E-2</v>
      </c>
      <c r="AB33" s="57" t="e">
        <f>VLOOKUP(A33,Enforcements!$C$7:$K$13,8,0)</f>
        <v>#N/A</v>
      </c>
      <c r="AC33" s="53" t="e">
        <f>VLOOKUP(A33,Enforcements!$C$7:$E$13,3,0)</f>
        <v>#N/A</v>
      </c>
      <c r="AD33" s="54" t="str">
        <f t="shared" si="9"/>
        <v>0121-23</v>
      </c>
      <c r="AE33" s="80" t="str">
        <f t="shared" si="10"/>
        <v>aws s3 cp s3://rtdc.mdm.uploadarchive.raw/RTDC4022/ "%USERPROFILE%\AppData\Local\Temp\OnboardLogs"\RTDC4022\2017-04-23 --exclude "*" --recursive --include "*20170423*" &amp; "%USERPROFILE%\Documents\GitHub\mrs-test-scripts\Headless Mode &amp; Sideloading\WalkAndUnGZ.bat" "%USERPROFILE%\AppData\Local\Temp\OnboardLogs"\RTDC4022\2017-04-23 &amp; aws s3 cp s3://rtdc.mdm.uploadarchive.raw/RTDC4022/ "%USERPROFILE%\AppData\Local\Temp\OnboardLogs"\RTDC4022\2017-04-24 --exclude "*" --recursive --include "*20170424*" &amp; "%USERPROFILE%\Documents\GitHub\mrs-test-scripts\Headless Mode &amp; Sideloading\WalkAndUnGZ.bat" "%USERPROFILE%\AppData\Local\Temp\OnboardLogs"\RTDC4022\2017-04-24</v>
      </c>
      <c r="AF33" s="77" t="str">
        <f t="shared" si="11"/>
        <v>"C:\Program Files (x86)\AstroGrep\AstroGrep.exe" /e /r /s /spath="%USERPROFILE%\AppData\Local\Temp\OnboardLogs" /stypes="app*4022*20170423*" /stext=" 12:.+((SYSTEM_STATE.+slice.+state.+changed )|(ment ac)|(multiple cpu faults)|(system.+state.+changed )|(\[timeout)|(PRM\|1\|D)|(kpr)|(kdp)|(\|lc)|(penalty))"</v>
      </c>
      <c r="AG33" s="1" t="str">
        <f t="shared" si="12"/>
        <v>EC</v>
      </c>
      <c r="AH33" s="81" t="str">
        <f t="shared" si="19"/>
        <v>"%USERPROFILE%\Documents\GitHub\eaglep3\Utilities\RefineRTDCRunTimes.py" --tripid 121-23 --locoid 4022 --swversion DE.1.0.9.0 --startMP 204:457 --initTime 2017-04-23T06:08:04 --startdatetime 2017-04-23T06:15:19 --delay 1 --endMP 204:905 --enddatetime 2017-04-23T06:15:41 --enforcementcount 0 &gt;&gt;C:\Users\stu\Documents\GitHub\eaglep3-reporting\EC\2017-04-23-refined-times.txt</v>
      </c>
      <c r="AI33" s="99" t="str">
        <f t="shared" si="20"/>
        <v>echo {"issue":{"subject":"FEP-02 outage - virus scan caused PTC Comms apps to lock up","project_id":79,"tracker_id":40,"status_id":1,"priority_id":2,"assigned_to_id":23,"start_date":"2017-04-23","description":"","custom_fields":[{"id":1,"name":"Subdivision","value":"EC"},{"id":4,"name":"Milepost","value":"0.0905"},{"id":17,"name":"Train ID","value":"121-23"},{"id":16,"name":"Locomotive ID","value":"4022"},{"id":130,"name":"Impact","value":""},{"id":150,"name":"Time of Event (Mountain Time)","value":"06:15:41"},{"id":151,"name":"Denver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5" t="str">
        <f t="shared" si="21"/>
        <v>start /low /b %USERPROFILE%\Documents\GitHub\eaglep3\Utilities\DownloadLogsFromS3.py --loco 4022 --day 2017-04-23</v>
      </c>
      <c r="AN33" s="154" t="str">
        <f t="shared" si="22"/>
        <v>echo {"issue":{"subject":"FEP-02 outage - virus scan caused PTC Comms apps to lock up","project_id":30,"tracker_id":4,"status_id":1,"priority_id":1,"assigned_to_id":10,"start_date":"2017-04-23","description":"","custom_fields":[{"id":30,"name":"Category","value":"Issue"},{"id":3,"name":"Functional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12:15:41"},{"id":29,"name":"Sharepoint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672</v>
      </c>
      <c r="B34" s="7">
        <v>4021</v>
      </c>
      <c r="C34" s="21" t="s">
        <v>213</v>
      </c>
      <c r="D34" s="21" t="s">
        <v>861</v>
      </c>
      <c r="E34" s="13">
        <v>42848.295289351852</v>
      </c>
      <c r="F34" s="13">
        <v>42848.299571759257</v>
      </c>
      <c r="G34" s="7">
        <v>1</v>
      </c>
      <c r="H34" s="21" t="s">
        <v>862</v>
      </c>
      <c r="I34" s="13">
        <v>42848.299780092595</v>
      </c>
      <c r="J34" s="7">
        <v>0</v>
      </c>
      <c r="K34" s="92" t="str">
        <f t="shared" si="0"/>
        <v>4021/4022</v>
      </c>
      <c r="L34" s="21" t="str">
        <f>VLOOKUP(A34,'Trips&amp;Operators'!$C$1:$G$99999,5,FALSE)</f>
        <v>MOSES BRADLEY</v>
      </c>
      <c r="M34" s="6">
        <f t="shared" si="1"/>
        <v>2.0833333837799728E-4</v>
      </c>
      <c r="N34" s="7"/>
      <c r="O34" s="7"/>
      <c r="P34" s="7">
        <f t="shared" si="17"/>
        <v>0.30000000726431608</v>
      </c>
      <c r="Q34" s="22"/>
      <c r="R34" s="200" t="s">
        <v>1022</v>
      </c>
      <c r="S34" s="206">
        <f t="shared" si="18"/>
        <v>0</v>
      </c>
      <c r="T34" s="200" t="str">
        <f t="shared" si="2"/>
        <v>Southbound</v>
      </c>
      <c r="U34" s="200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0</v>
      </c>
      <c r="V34" s="201" t="str">
        <f t="shared" si="3"/>
        <v>https://d0f6bd738d7f1b3e5a7ca70fe4ff75f0.us-east-1.aws.found.io/app/kibana#/discover/Steve-Slow-Train-Analysis-(2080s-and-2083s)?_g=(refreshInterval:(display:Off,pause:!f,section:0,value:0),time:(from:'2017-04-23T06:05:13-0600',mode:absolute,to:'2017-04-23T08:11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34" s="202" t="str">
        <f t="shared" si="4"/>
        <v>Y</v>
      </c>
      <c r="X34" s="202">
        <f t="shared" si="5"/>
        <v>1</v>
      </c>
      <c r="Y34" s="202">
        <f t="shared" si="6"/>
        <v>23.300999999999998</v>
      </c>
      <c r="Z34" s="202">
        <f t="shared" si="7"/>
        <v>23.249199999999998</v>
      </c>
      <c r="AA34" s="202">
        <f t="shared" si="8"/>
        <v>5.1800000000000068E-2</v>
      </c>
      <c r="AB34" s="57" t="e">
        <f>VLOOKUP(A34,Enforcements!$C$7:$K$13,8,0)</f>
        <v>#N/A</v>
      </c>
      <c r="AC34" s="53" t="e">
        <f>VLOOKUP(A34,Enforcements!$C$7:$E$13,3,0)</f>
        <v>#N/A</v>
      </c>
      <c r="AD34" s="54" t="str">
        <f t="shared" si="9"/>
        <v>0122-23</v>
      </c>
      <c r="AE34" s="80" t="str">
        <f t="shared" si="10"/>
        <v>aws s3 cp s3://rtdc.mdm.uploadarchive.raw/RTDC4021/ "%USERPROFILE%\AppData\Local\Temp\OnboardLogs"\RTDC4021\2017-04-23 --exclude "*" --recursive --include "*20170423*" &amp; "%USERPROFILE%\Documents\GitHub\mrs-test-scripts\Headless Mode &amp; Sideloading\WalkAndUnGZ.bat" "%USERPROFILE%\AppData\Local\Temp\OnboardLogs"\RTDC4021\2017-04-23 &amp; aws s3 cp s3://rtdc.mdm.uploadarchive.raw/RTDC4021/ "%USERPROFILE%\AppData\Local\Temp\OnboardLogs"\RTDC4021\2017-04-24 --exclude "*" --recursive --include "*20170424*" &amp; "%USERPROFILE%\Documents\GitHub\mrs-test-scripts\Headless Mode &amp; Sideloading\WalkAndUnGZ.bat" "%USERPROFILE%\AppData\Local\Temp\OnboardLogs"\RTDC4021\2017-04-24</v>
      </c>
      <c r="AF34" s="77" t="str">
        <f t="shared" si="11"/>
        <v>"C:\Program Files (x86)\AstroGrep\AstroGrep.exe" /e /r /s /spath="%USERPROFILE%\AppData\Local\Temp\OnboardLogs" /stypes="app*4021*20170423*" /stext=" 13:.+((SYSTEM_STATE.+slice.+state.+changed )|(ment ac)|(multiple cpu faults)|(system.+state.+changed )|(\[timeout)|(PRM\|1\|D)|(kpr)|(kdp)|(\|lc)|(penalty))"</v>
      </c>
      <c r="AG34" s="1" t="str">
        <f t="shared" si="12"/>
        <v>EC</v>
      </c>
      <c r="AH34" s="81" t="str">
        <f t="shared" si="19"/>
        <v>"%USERPROFILE%\Documents\GitHub\eaglep3\Utilities\RefineRTDCRunTimes.py" --tripid 122-23 --locoid 4021 --swversion DE.1.0.9.0 --startMP 204:233010 --initTime 2017-04-23T07:05:13 --startdatetime 2017-04-23T07:11:23 --delay 1 --endMP 204:232492 --enddatetime 2017-04-23T07:11:41 --enforcementcount 0 &gt;&gt;C:\Users\stu\Documents\GitHub\eaglep3-reporting\EC\2017-04-23-refined-times.txt</v>
      </c>
      <c r="AI34" s="99" t="str">
        <f t="shared" si="20"/>
        <v>echo {"issue":{"subject":"FEP-02 outage - virus scan caused PTC Comms apps to lock up","project_id":79,"tracker_id":40,"status_id":1,"priority_id":2,"assigned_to_id":23,"start_date":"2017-04-23","description":"","custom_fields":[{"id":1,"name":"Subdivision","value":"EC"},{"id":4,"name":"Milepost","value":"23.2492"},{"id":17,"name":"Train ID","value":"122-23"},{"id":16,"name":"Locomotive ID","value":"4021"},{"id":130,"name":"Impact","value":""},{"id":150,"name":"Time of Event (Mountain Time)","value":"07:11:41"},{"id":151,"name":"Denver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5" t="str">
        <f t="shared" si="21"/>
        <v>start /low /b %USERPROFILE%\Documents\GitHub\eaglep3\Utilities\DownloadLogsFromS3.py --loco 4021 --day 2017-04-23</v>
      </c>
      <c r="AN34" s="154" t="str">
        <f t="shared" si="22"/>
        <v>echo {"issue":{"subject":"FEP-02 outage - virus scan caused PTC Comms apps to lock up","project_id":30,"tracker_id":4,"status_id":1,"priority_id":1,"assigned_to_id":10,"start_date":"2017-04-23","description":"","custom_fields":[{"id":30,"name":"Category","value":"Issue"},{"id":3,"name":"Functional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13:11:41"},{"id":29,"name":"Sharepoint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667</v>
      </c>
      <c r="B35" s="7">
        <v>4042</v>
      </c>
      <c r="C35" s="21" t="s">
        <v>213</v>
      </c>
      <c r="D35" s="21" t="s">
        <v>208</v>
      </c>
      <c r="E35" s="13">
        <v>42848.263668981483</v>
      </c>
      <c r="F35" s="13">
        <v>42848.270995370367</v>
      </c>
      <c r="G35" s="7">
        <v>0</v>
      </c>
      <c r="H35" s="21" t="s">
        <v>863</v>
      </c>
      <c r="I35" s="13">
        <v>42848.27138888889</v>
      </c>
      <c r="J35" s="7">
        <v>0</v>
      </c>
      <c r="K35" s="92" t="str">
        <f t="shared" si="0"/>
        <v>4041/4042</v>
      </c>
      <c r="L35" s="21" t="str">
        <f>VLOOKUP(A35,'Trips&amp;Operators'!$C$1:$G$99999,5,FALSE)</f>
        <v>ROBINSON KADDIBA</v>
      </c>
      <c r="M35" s="6">
        <f t="shared" si="1"/>
        <v>3.9351852319668978E-4</v>
      </c>
      <c r="N35" s="7"/>
      <c r="O35" s="7"/>
      <c r="P35" s="7">
        <f t="shared" si="17"/>
        <v>0.56666667340323329</v>
      </c>
      <c r="Q35" s="22"/>
      <c r="R35" s="200" t="s">
        <v>1022</v>
      </c>
      <c r="S35" s="206">
        <f t="shared" si="18"/>
        <v>0</v>
      </c>
      <c r="T35" s="200" t="str">
        <f t="shared" si="2"/>
        <v>NorthBound</v>
      </c>
      <c r="U35" s="200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0</v>
      </c>
      <c r="V35" s="201" t="str">
        <f t="shared" si="3"/>
        <v>https://d0f6bd738d7f1b3e5a7ca70fe4ff75f0.us-east-1.aws.found.io/app/kibana#/discover/Steve-Slow-Train-Analysis-(2080s-and-2083s)?_g=(refreshInterval:(display:Off,pause:!f,section:0,value:0),time:(from:'2017-04-23T05:19:41-0600',mode:absolute,to:'2017-04-23T07:30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5" s="202" t="str">
        <f t="shared" si="4"/>
        <v>Y</v>
      </c>
      <c r="X35" s="202">
        <f t="shared" si="5"/>
        <v>1</v>
      </c>
      <c r="Y35" s="202">
        <f t="shared" si="6"/>
        <v>4.53E-2</v>
      </c>
      <c r="Z35" s="202">
        <f t="shared" si="7"/>
        <v>0.1043</v>
      </c>
      <c r="AA35" s="202">
        <f t="shared" si="8"/>
        <v>5.9000000000000004E-2</v>
      </c>
      <c r="AB35" s="57" t="e">
        <f>VLOOKUP(A35,Enforcements!$C$7:$K$13,8,0)</f>
        <v>#N/A</v>
      </c>
      <c r="AC35" s="53" t="e">
        <f>VLOOKUP(A35,Enforcements!$C$7:$E$13,3,0)</f>
        <v>#N/A</v>
      </c>
      <c r="AD35" s="54" t="str">
        <f t="shared" si="9"/>
        <v>0123-23</v>
      </c>
      <c r="AE35" s="80" t="str">
        <f t="shared" si="10"/>
        <v>aws s3 cp s3://rtdc.mdm.uploadarchive.raw/RTDC4042/ "%USERPROFILE%\AppData\Local\Temp\OnboardLogs"\RTDC4042\2017-04-23 --exclude "*" --recursive --include "*20170423*" &amp; "%USERPROFILE%\Documents\GitHub\mrs-test-scripts\Headless Mode &amp; Sideloading\WalkAndUnGZ.bat" "%USERPROFILE%\AppData\Local\Temp\OnboardLogs"\RTDC4042\2017-04-23 &amp; aws s3 cp s3://rtdc.mdm.uploadarchive.raw/RTDC4042/ "%USERPROFILE%\AppData\Local\Temp\OnboardLogs"\RTDC4042\2017-04-24 --exclude "*" --recursive --include "*20170424*" &amp; "%USERPROFILE%\Documents\GitHub\mrs-test-scripts\Headless Mode &amp; Sideloading\WalkAndUnGZ.bat" "%USERPROFILE%\AppData\Local\Temp\OnboardLogs"\RTDC4042\2017-04-24</v>
      </c>
      <c r="AF35" s="77" t="str">
        <f t="shared" si="11"/>
        <v>"C:\Program Files (x86)\AstroGrep\AstroGrep.exe" /e /r /s /spath="%USERPROFILE%\AppData\Local\Temp\OnboardLogs" /stypes="app*4042*20170423*" /stext=" 12:.+((SYSTEM_STATE.+slice.+state.+changed )|(ment ac)|(multiple cpu faults)|(system.+state.+changed )|(\[timeout)|(PRM\|1\|D)|(kpr)|(kdp)|(\|lc)|(penalty))"</v>
      </c>
      <c r="AG35" s="1" t="str">
        <f t="shared" si="12"/>
        <v>EC</v>
      </c>
      <c r="AH35" s="81" t="str">
        <f t="shared" si="19"/>
        <v>"%USERPROFILE%\Documents\GitHub\eaglep3\Utilities\RefineRTDCRunTimes.py" --tripid 123-23 --locoid 4042 --swversion DE.1.0.9.0 --startMP 204:453 --initTime 2017-04-23T06:19:41 --startdatetime 2017-04-23T06:30:14 --delay 0 --endMP 204:1043 --enddatetime 2017-04-23T06:30:48 --enforcementcount 0 &gt;&gt;C:\Users\stu\Documents\GitHub\eaglep3-reporting\EC\2017-04-23-refined-times.txt</v>
      </c>
      <c r="AI35" s="99" t="str">
        <f t="shared" si="20"/>
        <v>echo {"issue":{"subject":"FEP-02 outage - virus scan caused PTC Comms apps to lock up","project_id":79,"tracker_id":40,"status_id":1,"priority_id":2,"assigned_to_id":23,"start_date":"2017-04-23","description":"","custom_fields":[{"id":1,"name":"Subdivision","value":"EC"},{"id":4,"name":"Milepost","value":"0.1043"},{"id":17,"name":"Train ID","value":"123-23"},{"id":16,"name":"Locomotive ID","value":"4042"},{"id":130,"name":"Impact","value":""},{"id":150,"name":"Time of Event (Mountain Time)","value":"06:30:48"},{"id":151,"name":"Denver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5" t="str">
        <f t="shared" si="21"/>
        <v>start /low /b %USERPROFILE%\Documents\GitHub\eaglep3\Utilities\DownloadLogsFromS3.py --loco 4042 --day 2017-04-23</v>
      </c>
      <c r="AN35" s="154" t="str">
        <f t="shared" si="22"/>
        <v>echo {"issue":{"subject":"FEP-02 outage - virus scan caused PTC Comms apps to lock up","project_id":30,"tracker_id":4,"status_id":1,"priority_id":1,"assigned_to_id":10,"start_date":"2017-04-23","description":"","custom_fields":[{"id":30,"name":"Category","value":"Issue"},{"id":3,"name":"Functional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12:30:48"},{"id":29,"name":"Sharepoint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674</v>
      </c>
      <c r="B36" s="7">
        <v>4041</v>
      </c>
      <c r="C36" s="21" t="s">
        <v>213</v>
      </c>
      <c r="D36" s="21" t="s">
        <v>864</v>
      </c>
      <c r="E36" s="13">
        <v>42848.306342592594</v>
      </c>
      <c r="F36" s="13">
        <v>42848.309895833336</v>
      </c>
      <c r="G36" s="7">
        <v>1</v>
      </c>
      <c r="H36" s="21" t="s">
        <v>865</v>
      </c>
      <c r="I36" s="13">
        <v>42848.31045138889</v>
      </c>
      <c r="J36" s="7">
        <v>0</v>
      </c>
      <c r="K36" s="92" t="str">
        <f t="shared" si="0"/>
        <v>4041/4042</v>
      </c>
      <c r="L36" s="21" t="str">
        <f>VLOOKUP(A36,'Trips&amp;Operators'!$C$1:$G$99999,5,FALSE)</f>
        <v>ROBINSON KADDIBA</v>
      </c>
      <c r="M36" s="6">
        <f t="shared" si="1"/>
        <v>5.5555555445607752E-4</v>
      </c>
      <c r="N36" s="7"/>
      <c r="O36" s="7"/>
      <c r="P36" s="7">
        <f t="shared" si="17"/>
        <v>0.79999999841675162</v>
      </c>
      <c r="Q36" s="22"/>
      <c r="R36" s="200" t="s">
        <v>1022</v>
      </c>
      <c r="S36" s="206">
        <f t="shared" si="18"/>
        <v>0</v>
      </c>
      <c r="T36" s="200" t="str">
        <f t="shared" si="2"/>
        <v>Southbound</v>
      </c>
      <c r="U36" s="200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0</v>
      </c>
      <c r="V36" s="201" t="str">
        <f t="shared" si="3"/>
        <v>https://d0f6bd738d7f1b3e5a7ca70fe4ff75f0.us-east-1.aws.found.io/app/kibana#/discover/Steve-Slow-Train-Analysis-(2080s-and-2083s)?_g=(refreshInterval:(display:Off,pause:!f,section:0,value:0),time:(from:'2017-04-23T06:21:08-0600',mode:absolute,to:'2017-04-23T08:27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6" s="202" t="str">
        <f t="shared" si="4"/>
        <v>Y</v>
      </c>
      <c r="X36" s="202">
        <f t="shared" si="5"/>
        <v>1</v>
      </c>
      <c r="Y36" s="202">
        <f t="shared" si="6"/>
        <v>23.298999999999999</v>
      </c>
      <c r="Z36" s="202">
        <f t="shared" si="7"/>
        <v>23.170200000000001</v>
      </c>
      <c r="AA36" s="202">
        <f t="shared" si="8"/>
        <v>0.12879999999999825</v>
      </c>
      <c r="AB36" s="57" t="e">
        <f>VLOOKUP(A36,Enforcements!$C$7:$K$13,8,0)</f>
        <v>#N/A</v>
      </c>
      <c r="AC36" s="53" t="e">
        <f>VLOOKUP(A36,Enforcements!$C$7:$E$13,3,0)</f>
        <v>#N/A</v>
      </c>
      <c r="AD36" s="54" t="str">
        <f t="shared" si="9"/>
        <v>0124-23</v>
      </c>
      <c r="AE36" s="80" t="str">
        <f t="shared" si="10"/>
        <v>aws s3 cp s3://rtdc.mdm.uploadarchive.raw/RTDC4041/ "%USERPROFILE%\AppData\Local\Temp\OnboardLogs"\RTDC4041\2017-04-23 --exclude "*" --recursive --include "*20170423*" &amp; "%USERPROFILE%\Documents\GitHub\mrs-test-scripts\Headless Mode &amp; Sideloading\WalkAndUnGZ.bat" "%USERPROFILE%\AppData\Local\Temp\OnboardLogs"\RTDC4041\2017-04-23 &amp; aws s3 cp s3://rtdc.mdm.uploadarchive.raw/RTDC4041/ "%USERPROFILE%\AppData\Local\Temp\OnboardLogs"\RTDC4041\2017-04-24 --exclude "*" --recursive --include "*20170424*" &amp; "%USERPROFILE%\Documents\GitHub\mrs-test-scripts\Headless Mode &amp; Sideloading\WalkAndUnGZ.bat" "%USERPROFILE%\AppData\Local\Temp\OnboardLogs"\RTDC4041\2017-04-24</v>
      </c>
      <c r="AF36" s="77" t="str">
        <f t="shared" si="11"/>
        <v>"C:\Program Files (x86)\AstroGrep\AstroGrep.exe" /e /r /s /spath="%USERPROFILE%\AppData\Local\Temp\OnboardLogs" /stypes="app*4041*20170423*" /stext=" 13:.+((SYSTEM_STATE.+slice.+state.+changed )|(ment ac)|(multiple cpu faults)|(system.+state.+changed )|(\[timeout)|(PRM\|1\|D)|(kpr)|(kdp)|(\|lc)|(penalty))"</v>
      </c>
      <c r="AG36" s="1" t="str">
        <f t="shared" si="12"/>
        <v>EC</v>
      </c>
      <c r="AH36" s="81" t="str">
        <f t="shared" si="19"/>
        <v>"%USERPROFILE%\Documents\GitHub\eaglep3\Utilities\RefineRTDCRunTimes.py" --tripid 124-23 --locoid 4041 --swversion DE.1.0.9.0 --startMP 204:232990 --initTime 2017-04-23T07:21:08 --startdatetime 2017-04-23T07:26:15 --delay 1 --endMP 204:231702 --enddatetime 2017-04-23T07:27:03 --enforcementcount 0 &gt;&gt;C:\Users\stu\Documents\GitHub\eaglep3-reporting\EC\2017-04-23-refined-times.txt</v>
      </c>
      <c r="AI36" s="99" t="str">
        <f t="shared" si="20"/>
        <v>echo {"issue":{"subject":"FEP-02 outage - virus scan caused PTC Comms apps to lock up","project_id":79,"tracker_id":40,"status_id":1,"priority_id":2,"assigned_to_id":23,"start_date":"2017-04-23","description":"","custom_fields":[{"id":1,"name":"Subdivision","value":"EC"},{"id":4,"name":"Milepost","value":"23.1702"},{"id":17,"name":"Train ID","value":"124-23"},{"id":16,"name":"Locomotive ID","value":"4041"},{"id":130,"name":"Impact","value":""},{"id":150,"name":"Time of Event (Mountain Time)","value":"07:27:03"},{"id":151,"name":"Denver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5" t="str">
        <f t="shared" si="21"/>
        <v>start /low /b %USERPROFILE%\Documents\GitHub\eaglep3\Utilities\DownloadLogsFromS3.py --loco 4041 --day 2017-04-23</v>
      </c>
      <c r="AN36" s="154" t="str">
        <f t="shared" si="22"/>
        <v>echo {"issue":{"subject":"FEP-02 outage - virus scan caused PTC Comms apps to lock up","project_id":30,"tracker_id":4,"status_id":1,"priority_id":1,"assigned_to_id":10,"start_date":"2017-04-23","description":"","custom_fields":[{"id":30,"name":"Category","value":"Issue"},{"id":3,"name":"Functional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13:27:03"},{"id":29,"name":"Sharepoint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669</v>
      </c>
      <c r="B37" s="7">
        <v>4004</v>
      </c>
      <c r="C37" s="21" t="s">
        <v>213</v>
      </c>
      <c r="D37" s="21" t="s">
        <v>452</v>
      </c>
      <c r="E37" s="13">
        <v>42848.274976851855</v>
      </c>
      <c r="F37" s="13">
        <v>42848.281458333331</v>
      </c>
      <c r="G37" s="7">
        <v>2</v>
      </c>
      <c r="H37" s="21" t="s">
        <v>866</v>
      </c>
      <c r="I37" s="13">
        <v>42848.282002314816</v>
      </c>
      <c r="J37" s="7">
        <v>0</v>
      </c>
      <c r="K37" s="92" t="str">
        <f t="shared" si="0"/>
        <v>4003/4004</v>
      </c>
      <c r="L37" s="21" t="str">
        <f>VLOOKUP(A37,'Trips&amp;Operators'!$C$1:$G$99999,5,FALSE)</f>
        <v>GEBRETEKLE DAGNEW</v>
      </c>
      <c r="M37" s="6">
        <f t="shared" si="1"/>
        <v>5.4398148495238274E-4</v>
      </c>
      <c r="N37" s="7"/>
      <c r="O37" s="7"/>
      <c r="P37" s="7">
        <f t="shared" si="17"/>
        <v>0.78333333833143115</v>
      </c>
      <c r="Q37" s="22"/>
      <c r="R37" s="200" t="s">
        <v>1022</v>
      </c>
      <c r="S37" s="206">
        <f t="shared" si="18"/>
        <v>0</v>
      </c>
      <c r="T37" s="200" t="str">
        <f t="shared" si="2"/>
        <v>NorthBound</v>
      </c>
      <c r="U37" s="200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0</v>
      </c>
      <c r="V37" s="201" t="str">
        <f t="shared" si="3"/>
        <v>https://d0f6bd738d7f1b3e5a7ca70fe4ff75f0.us-east-1.aws.found.io/app/kibana#/discover/Steve-Slow-Train-Analysis-(2080s-and-2083s)?_g=(refreshInterval:(display:Off,pause:!f,section:0,value:0),time:(from:'2017-04-23T05:35:58-0600',mode:absolute,to:'2017-04-23T07:46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7" s="202" t="str">
        <f t="shared" si="4"/>
        <v>Y</v>
      </c>
      <c r="X37" s="202">
        <f t="shared" si="5"/>
        <v>1</v>
      </c>
      <c r="Y37" s="202">
        <f t="shared" si="6"/>
        <v>4.3799999999999999E-2</v>
      </c>
      <c r="Z37" s="202">
        <f t="shared" si="7"/>
        <v>0.12670000000000001</v>
      </c>
      <c r="AA37" s="202">
        <f t="shared" si="8"/>
        <v>8.2900000000000001E-2</v>
      </c>
      <c r="AB37" s="57" t="e">
        <f>VLOOKUP(A37,Enforcements!$C$7:$K$13,8,0)</f>
        <v>#N/A</v>
      </c>
      <c r="AC37" s="53" t="e">
        <f>VLOOKUP(A37,Enforcements!$C$7:$E$13,3,0)</f>
        <v>#N/A</v>
      </c>
      <c r="AD37" s="54" t="str">
        <f t="shared" si="9"/>
        <v>0125-23</v>
      </c>
      <c r="AE37" s="80" t="str">
        <f t="shared" si="10"/>
        <v>aws s3 cp s3://rtdc.mdm.uploadarchive.raw/RTDC4004/ "%USERPROFILE%\AppData\Local\Temp\OnboardLogs"\RTDC4004\2017-04-23 --exclude "*" --recursive --include "*20170423*" &amp; "%USERPROFILE%\Documents\GitHub\mrs-test-scripts\Headless Mode &amp; Sideloading\WalkAndUnGZ.bat" "%USERPROFILE%\AppData\Local\Temp\OnboardLogs"\RTDC4004\2017-04-23 &amp; aws s3 cp s3://rtdc.mdm.uploadarchive.raw/RTDC4004/ "%USERPROFILE%\AppData\Local\Temp\OnboardLogs"\RTDC4004\2017-04-24 --exclude "*" --recursive --include "*20170424*" &amp; "%USERPROFILE%\Documents\GitHub\mrs-test-scripts\Headless Mode &amp; Sideloading\WalkAndUnGZ.bat" "%USERPROFILE%\AppData\Local\Temp\OnboardLogs"\RTDC4004\2017-04-24</v>
      </c>
      <c r="AF37" s="77" t="str">
        <f t="shared" si="11"/>
        <v>"C:\Program Files (x86)\AstroGrep\AstroGrep.exe" /e /r /s /spath="%USERPROFILE%\AppData\Local\Temp\OnboardLogs" /stypes="app*4004*20170423*" /stext=" 12:.+((SYSTEM_STATE.+slice.+state.+changed )|(ment ac)|(multiple cpu faults)|(system.+state.+changed )|(\[timeout)|(PRM\|1\|D)|(kpr)|(kdp)|(\|lc)|(penalty))"</v>
      </c>
      <c r="AG37" s="1" t="str">
        <f t="shared" si="12"/>
        <v>EC</v>
      </c>
      <c r="AH37" s="81" t="str">
        <f t="shared" si="19"/>
        <v>"%USERPROFILE%\Documents\GitHub\eaglep3\Utilities\RefineRTDCRunTimes.py" --tripid 125-23 --locoid 4004 --swversion DE.1.0.9.0 --startMP 204:438 --initTime 2017-04-23T06:35:58 --startdatetime 2017-04-23T06:45:18 --delay 2 --endMP 204:1267 --enddatetime 2017-04-23T06:46:05 --enforcementcount 0 &gt;&gt;C:\Users\stu\Documents\GitHub\eaglep3-reporting\EC\2017-04-23-refined-times.txt</v>
      </c>
      <c r="AI37" s="99" t="str">
        <f t="shared" si="20"/>
        <v>echo {"issue":{"subject":"FEP-02 outage - virus scan caused PTC Comms apps to lock up","project_id":79,"tracker_id":40,"status_id":1,"priority_id":2,"assigned_to_id":23,"start_date":"2017-04-23","description":"","custom_fields":[{"id":1,"name":"Subdivision","value":"EC"},{"id":4,"name":"Milepost","value":"0.1267"},{"id":17,"name":"Train ID","value":"125-23"},{"id":16,"name":"Locomotive ID","value":"4004"},{"id":130,"name":"Impact","value":""},{"id":150,"name":"Time of Event (Mountain Time)","value":"06:46:05"},{"id":151,"name":"Denver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5" t="str">
        <f t="shared" si="21"/>
        <v>start /low /b %USERPROFILE%\Documents\GitHub\eaglep3\Utilities\DownloadLogsFromS3.py --loco 4004 --day 2017-04-23</v>
      </c>
      <c r="AN37" s="154" t="str">
        <f t="shared" si="22"/>
        <v>echo {"issue":{"subject":"FEP-02 outage - virus scan caused PTC Comms apps to lock up","project_id":30,"tracker_id":4,"status_id":1,"priority_id":1,"assigned_to_id":10,"start_date":"2017-04-23","description":"","custom_fields":[{"id":30,"name":"Category","value":"Issue"},{"id":3,"name":"Functional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12:46:05"},{"id":29,"name":"Sharepoint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602</v>
      </c>
      <c r="B38" s="7">
        <v>4003</v>
      </c>
      <c r="C38" s="21" t="s">
        <v>213</v>
      </c>
      <c r="D38" s="21" t="s">
        <v>867</v>
      </c>
      <c r="E38" s="13">
        <v>42848.333321759259</v>
      </c>
      <c r="F38" s="13">
        <v>42848.334305555552</v>
      </c>
      <c r="G38" s="7">
        <v>1</v>
      </c>
      <c r="H38" s="21" t="s">
        <v>868</v>
      </c>
      <c r="I38" s="13">
        <v>42848.334907407407</v>
      </c>
      <c r="J38" s="7">
        <v>0</v>
      </c>
      <c r="K38" s="92" t="str">
        <f t="shared" si="0"/>
        <v>4003/4004</v>
      </c>
      <c r="L38" s="21" t="str">
        <f>VLOOKUP(A38,'Trips&amp;Operators'!$C$1:$G$99999,5,FALSE)</f>
        <v>GEBRETEKLE DAGNEW</v>
      </c>
      <c r="M38" s="6">
        <f t="shared" si="1"/>
        <v>6.0185185429872945E-4</v>
      </c>
      <c r="N38" s="7"/>
      <c r="O38" s="7"/>
      <c r="P38" s="7">
        <f t="shared" si="17"/>
        <v>0.86666667019017041</v>
      </c>
      <c r="Q38" s="22"/>
      <c r="R38" s="200" t="s">
        <v>1022</v>
      </c>
      <c r="S38" s="206">
        <f t="shared" si="18"/>
        <v>0</v>
      </c>
      <c r="T38" s="200" t="str">
        <f t="shared" si="2"/>
        <v>Southbound</v>
      </c>
      <c r="U38" s="200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0</v>
      </c>
      <c r="V38" s="201" t="str">
        <f t="shared" si="3"/>
        <v>https://d0f6bd738d7f1b3e5a7ca70fe4ff75f0.us-east-1.aws.found.io/app/kibana#/discover/Steve-Slow-Train-Analysis-(2080s-and-2083s)?_g=(refreshInterval:(display:Off,pause:!f,section:0,value:0),time:(from:'2017-04-23T06:59:59-0600',mode:absolute,to:'2017-04-23T09:02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8" s="202" t="str">
        <f t="shared" si="4"/>
        <v>Y</v>
      </c>
      <c r="X38" s="202">
        <f t="shared" si="5"/>
        <v>1</v>
      </c>
      <c r="Y38" s="202">
        <f t="shared" si="6"/>
        <v>12.785500000000001</v>
      </c>
      <c r="Z38" s="202">
        <f t="shared" si="7"/>
        <v>12.5748</v>
      </c>
      <c r="AA38" s="202">
        <f t="shared" si="8"/>
        <v>0.210700000000001</v>
      </c>
      <c r="AB38" s="57" t="e">
        <f>VLOOKUP(A38,Enforcements!$C$7:$K$13,8,0)</f>
        <v>#N/A</v>
      </c>
      <c r="AC38" s="53" t="e">
        <f>VLOOKUP(A38,Enforcements!$C$7:$E$13,3,0)</f>
        <v>#N/A</v>
      </c>
      <c r="AD38" s="54" t="str">
        <f t="shared" si="9"/>
        <v>0126-23</v>
      </c>
      <c r="AE38" s="80" t="str">
        <f t="shared" si="10"/>
        <v>aws s3 cp s3://rtdc.mdm.uploadarchive.raw/RTDC4003/ "%USERPROFILE%\AppData\Local\Temp\OnboardLogs"\RTDC4003\2017-04-23 --exclude "*" --recursive --include "*20170423*" &amp; "%USERPROFILE%\Documents\GitHub\mrs-test-scripts\Headless Mode &amp; Sideloading\WalkAndUnGZ.bat" "%USERPROFILE%\AppData\Local\Temp\OnboardLogs"\RTDC4003\2017-04-23 &amp; aws s3 cp s3://rtdc.mdm.uploadarchive.raw/RTDC4003/ "%USERPROFILE%\AppData\Local\Temp\OnboardLogs"\RTDC4003\2017-04-24 --exclude "*" --recursive --include "*20170424*" &amp; "%USERPROFILE%\Documents\GitHub\mrs-test-scripts\Headless Mode &amp; Sideloading\WalkAndUnGZ.bat" "%USERPROFILE%\AppData\Local\Temp\OnboardLogs"\RTDC4003\2017-04-24</v>
      </c>
      <c r="AF38" s="77" t="str">
        <f t="shared" si="11"/>
        <v>"C:\Program Files (x86)\AstroGrep\AstroGrep.exe" /e /r /s /spath="%USERPROFILE%\AppData\Local\Temp\OnboardLogs" /stypes="app*4003*20170423*" /stext=" 14:.+((SYSTEM_STATE.+slice.+state.+changed )|(ment ac)|(multiple cpu faults)|(system.+state.+changed )|(\[timeout)|(PRM\|1\|D)|(kpr)|(kdp)|(\|lc)|(penalty))"</v>
      </c>
      <c r="AG38" s="1" t="str">
        <f t="shared" si="12"/>
        <v>EC</v>
      </c>
      <c r="AH38" s="81" t="str">
        <f t="shared" si="19"/>
        <v>"%USERPROFILE%\Documents\GitHub\eaglep3\Utilities\RefineRTDCRunTimes.py" --tripid 126-23 --locoid 4003 --swversion DE.1.0.9.0 --startMP 204:127855 --initTime 2017-04-23T07:59:59 --startdatetime 2017-04-23T08:01:24 --delay 1 --endMP 204:125748 --enddatetime 2017-04-23T08:02:16 --enforcementcount 0 &gt;&gt;C:\Users\stu\Documents\GitHub\eaglep3-reporting\EC\2017-04-23-refined-times.txt</v>
      </c>
      <c r="AI38" s="99" t="str">
        <f t="shared" si="20"/>
        <v>echo {"issue":{"subject":"FEP-02 outage - virus scan caused PTC Comms apps to lock up","project_id":79,"tracker_id":40,"status_id":1,"priority_id":2,"assigned_to_id":23,"start_date":"2017-04-23","description":"","custom_fields":[{"id":1,"name":"Subdivision","value":"EC"},{"id":4,"name":"Milepost","value":"12.5748"},{"id":17,"name":"Train ID","value":"126-23"},{"id":16,"name":"Locomotive ID","value":"4003"},{"id":130,"name":"Impact","value":""},{"id":150,"name":"Time of Event (Mountain Time)","value":"08:02:16"},{"id":151,"name":"Denver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5" t="str">
        <f t="shared" si="21"/>
        <v>start /low /b %USERPROFILE%\Documents\GitHub\eaglep3\Utilities\DownloadLogsFromS3.py --loco 4003 --day 2017-04-23</v>
      </c>
      <c r="AN38" s="154" t="str">
        <f t="shared" si="22"/>
        <v>echo {"issue":{"subject":"FEP-02 outage - virus scan caused PTC Comms apps to lock up","project_id":30,"tracker_id":4,"status_id":1,"priority_id":1,"assigned_to_id":10,"start_date":"2017-04-23","description":"","custom_fields":[{"id":30,"name":"Category","value":"Issue"},{"id":3,"name":"Functional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14:02:16"},{"id":29,"name":"Sharepoint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602</v>
      </c>
      <c r="B39" s="7">
        <v>4003</v>
      </c>
      <c r="C39" s="21" t="s">
        <v>213</v>
      </c>
      <c r="D39" s="21" t="s">
        <v>869</v>
      </c>
      <c r="E39" s="13">
        <v>42848.327418981484</v>
      </c>
      <c r="F39" s="13">
        <v>42848.334305555552</v>
      </c>
      <c r="G39" s="7">
        <v>1</v>
      </c>
      <c r="H39" s="21" t="s">
        <v>870</v>
      </c>
      <c r="I39" s="13">
        <v>42848.334907407407</v>
      </c>
      <c r="J39" s="7">
        <v>0</v>
      </c>
      <c r="K39" s="92" t="str">
        <f t="shared" si="0"/>
        <v>4003/4004</v>
      </c>
      <c r="L39" s="21" t="str">
        <f>VLOOKUP(A39,'Trips&amp;Operators'!$C$1:$G$99999,5,FALSE)</f>
        <v>GEBRETEKLE DAGNEW</v>
      </c>
      <c r="M39" s="6">
        <f t="shared" si="1"/>
        <v>6.0185185429872945E-4</v>
      </c>
      <c r="N39" s="7"/>
      <c r="O39" s="7"/>
      <c r="P39" s="7"/>
      <c r="Q39" s="22"/>
      <c r="R39" s="200"/>
      <c r="S39" s="206"/>
      <c r="T39" s="200" t="str">
        <f t="shared" si="2"/>
        <v>Southbound</v>
      </c>
      <c r="U39" s="200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0</v>
      </c>
      <c r="V39" s="201" t="str">
        <f t="shared" si="3"/>
        <v>https://d0f6bd738d7f1b3e5a7ca70fe4ff75f0.us-east-1.aws.found.io/app/kibana#/discover/Steve-Slow-Train-Analysis-(2080s-and-2083s)?_g=(refreshInterval:(display:Off,pause:!f,section:0,value:0),time:(from:'2017-04-23T06:51:29-0600',mode:absolute,to:'2017-04-23T09:02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9" s="202" t="str">
        <f t="shared" si="4"/>
        <v>Y</v>
      </c>
      <c r="X39" s="202">
        <f t="shared" si="5"/>
        <v>0</v>
      </c>
      <c r="Y39" s="202">
        <f t="shared" si="6"/>
        <v>15.4009</v>
      </c>
      <c r="Z39" s="202">
        <f t="shared" si="7"/>
        <v>14.4475</v>
      </c>
      <c r="AA39" s="202">
        <f t="shared" si="8"/>
        <v>0.95340000000000025</v>
      </c>
      <c r="AB39" s="57" t="e">
        <f>VLOOKUP(A39,Enforcements!$C$7:$K$13,8,0)</f>
        <v>#N/A</v>
      </c>
      <c r="AC39" s="53" t="e">
        <f>VLOOKUP(A39,Enforcements!$C$7:$E$13,3,0)</f>
        <v>#N/A</v>
      </c>
      <c r="AD39" s="54" t="str">
        <f t="shared" si="9"/>
        <v>0126-23</v>
      </c>
      <c r="AE39" s="80" t="str">
        <f t="shared" si="10"/>
        <v>aws s3 cp s3://rtdc.mdm.uploadarchive.raw/RTDC4003/ "%USERPROFILE%\AppData\Local\Temp\OnboardLogs"\RTDC4003\2017-04-23 --exclude "*" --recursive --include "*20170423*" &amp; "%USERPROFILE%\Documents\GitHub\mrs-test-scripts\Headless Mode &amp; Sideloading\WalkAndUnGZ.bat" "%USERPROFILE%\AppData\Local\Temp\OnboardLogs"\RTDC4003\2017-04-23 &amp; aws s3 cp s3://rtdc.mdm.uploadarchive.raw/RTDC4003/ "%USERPROFILE%\AppData\Local\Temp\OnboardLogs"\RTDC4003\2017-04-24 --exclude "*" --recursive --include "*20170424*" &amp; "%USERPROFILE%\Documents\GitHub\mrs-test-scripts\Headless Mode &amp; Sideloading\WalkAndUnGZ.bat" "%USERPROFILE%\AppData\Local\Temp\OnboardLogs"\RTDC4003\2017-04-24</v>
      </c>
      <c r="AF39" s="77" t="str">
        <f t="shared" si="11"/>
        <v>"C:\Program Files (x86)\AstroGrep\AstroGrep.exe" /e /r /s /spath="%USERPROFILE%\AppData\Local\Temp\OnboardLogs" /stypes="app*4003*20170423*" /stext=" 14:.+((SYSTEM_STATE.+slice.+state.+changed )|(ment ac)|(multiple cpu faults)|(system.+state.+changed )|(\[timeout)|(PRM\|1\|D)|(kpr)|(kdp)|(\|lc)|(penalty))"</v>
      </c>
      <c r="AG39" s="1" t="str">
        <f t="shared" si="12"/>
        <v>EC</v>
      </c>
      <c r="AH39" s="81" t="str">
        <f t="shared" si="19"/>
        <v>"%USERPROFILE%\Documents\GitHub\eaglep3\Utilities\RefineRTDCRunTimes.py" --tripid 126-23 --locoid 4003 --swversion DE.1.0.9.0 --startMP 204:154009 --initTime 2017-04-23T07:51:29 --startdatetime 2017-04-23T08:01:24 --delay 1 --endMP 204:144475 --enddatetime 2017-04-23T08:02:16 --enforcementcount 0 &gt;&gt;C:\Users\stu\Documents\GitHub\eaglep3-reporting\EC\2017-04-23-refined-times.txt</v>
      </c>
      <c r="AI39" s="99" t="str">
        <f t="shared" si="20"/>
        <v>echo {"issue":{"subject":"","project_id":79,"tracker_id":40,"status_id":1,"priority_id":2,"assigned_to_id":23,"start_date":"2017-04-23","description":"","custom_fields":[{"id":1,"name":"Subdivision","value":"EC"},{"id":4,"name":"Milepost","value":"14.4475"},{"id":17,"name":"Train ID","value":"126-23"},{"id":16,"name":"Locomotive ID","value":"4003"},{"id":130,"name":"Impact","value":""},{"id":150,"name":"Time of Event (Mountain Time)","value":"08:02:16"},{"id":151,"name":"Denver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5" t="str">
        <f t="shared" si="21"/>
        <v>start /low /b %USERPROFILE%\Documents\GitHub\eaglep3\Utilities\DownloadLogsFromS3.py --loco 4003 --day 2017-04-23</v>
      </c>
      <c r="AN39" s="154" t="str">
        <f t="shared" si="22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14:02:16"},{"id":29,"name":"Sharepoint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602</v>
      </c>
      <c r="B40" s="7">
        <v>4003</v>
      </c>
      <c r="C40" s="21" t="s">
        <v>213</v>
      </c>
      <c r="D40" s="21" t="s">
        <v>871</v>
      </c>
      <c r="E40" s="13">
        <v>42848.317708333336</v>
      </c>
      <c r="F40" s="13">
        <v>42848.334305555552</v>
      </c>
      <c r="G40" s="7">
        <v>1</v>
      </c>
      <c r="H40" s="21" t="s">
        <v>872</v>
      </c>
      <c r="I40" s="13">
        <v>42848.334907407407</v>
      </c>
      <c r="J40" s="7">
        <v>0</v>
      </c>
      <c r="K40" s="92" t="str">
        <f t="shared" si="0"/>
        <v>4003/4004</v>
      </c>
      <c r="L40" s="21" t="str">
        <f>VLOOKUP(A40,'Trips&amp;Operators'!$C$1:$G$99999,5,FALSE)</f>
        <v>GEBRETEKLE DAGNEW</v>
      </c>
      <c r="M40" s="6">
        <f t="shared" si="1"/>
        <v>6.0185185429872945E-4</v>
      </c>
      <c r="N40" s="7"/>
      <c r="O40" s="7"/>
      <c r="P40" s="7"/>
      <c r="Q40" s="22"/>
      <c r="R40" s="200"/>
      <c r="S40" s="206"/>
      <c r="T40" s="200" t="str">
        <f t="shared" si="2"/>
        <v>Southbound</v>
      </c>
      <c r="U40" s="200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0</v>
      </c>
      <c r="V40" s="201" t="str">
        <f t="shared" si="3"/>
        <v>https://d0f6bd738d7f1b3e5a7ca70fe4ff75f0.us-east-1.aws.found.io/app/kibana#/discover/Steve-Slow-Train-Analysis-(2080s-and-2083s)?_g=(refreshInterval:(display:Off,pause:!f,section:0,value:0),time:(from:'2017-04-23T06:37:30-0600',mode:absolute,to:'2017-04-23T09:02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0" s="202" t="str">
        <f t="shared" si="4"/>
        <v>Y</v>
      </c>
      <c r="X40" s="202">
        <f t="shared" si="5"/>
        <v>0</v>
      </c>
      <c r="Y40" s="202">
        <f t="shared" si="6"/>
        <v>23.302800000000001</v>
      </c>
      <c r="Z40" s="202">
        <f t="shared" si="7"/>
        <v>23.2332</v>
      </c>
      <c r="AA40" s="202">
        <f t="shared" si="8"/>
        <v>6.9600000000001216E-2</v>
      </c>
      <c r="AB40" s="57" t="e">
        <f>VLOOKUP(A40,Enforcements!$C$7:$K$13,8,0)</f>
        <v>#N/A</v>
      </c>
      <c r="AC40" s="53" t="e">
        <f>VLOOKUP(A40,Enforcements!$C$7:$E$13,3,0)</f>
        <v>#N/A</v>
      </c>
      <c r="AD40" s="54" t="str">
        <f t="shared" si="9"/>
        <v>0126-23</v>
      </c>
      <c r="AE40" s="80" t="str">
        <f t="shared" si="10"/>
        <v>aws s3 cp s3://rtdc.mdm.uploadarchive.raw/RTDC4003/ "%USERPROFILE%\AppData\Local\Temp\OnboardLogs"\RTDC4003\2017-04-23 --exclude "*" --recursive --include "*20170423*" &amp; "%USERPROFILE%\Documents\GitHub\mrs-test-scripts\Headless Mode &amp; Sideloading\WalkAndUnGZ.bat" "%USERPROFILE%\AppData\Local\Temp\OnboardLogs"\RTDC4003\2017-04-23 &amp; aws s3 cp s3://rtdc.mdm.uploadarchive.raw/RTDC4003/ "%USERPROFILE%\AppData\Local\Temp\OnboardLogs"\RTDC4003\2017-04-24 --exclude "*" --recursive --include "*20170424*" &amp; "%USERPROFILE%\Documents\GitHub\mrs-test-scripts\Headless Mode &amp; Sideloading\WalkAndUnGZ.bat" "%USERPROFILE%\AppData\Local\Temp\OnboardLogs"\RTDC4003\2017-04-24</v>
      </c>
      <c r="AF40" s="77" t="str">
        <f t="shared" si="11"/>
        <v>"C:\Program Files (x86)\AstroGrep\AstroGrep.exe" /e /r /s /spath="%USERPROFILE%\AppData\Local\Temp\OnboardLogs" /stypes="app*4003*20170423*" /stext=" 14:.+((SYSTEM_STATE.+slice.+state.+changed )|(ment ac)|(multiple cpu faults)|(system.+state.+changed )|(\[timeout)|(PRM\|1\|D)|(kpr)|(kdp)|(\|lc)|(penalty))"</v>
      </c>
      <c r="AG40" s="1" t="str">
        <f t="shared" si="12"/>
        <v>EC</v>
      </c>
      <c r="AH40" s="81" t="str">
        <f t="shared" si="19"/>
        <v>"%USERPROFILE%\Documents\GitHub\eaglep3\Utilities\RefineRTDCRunTimes.py" --tripid 126-23 --locoid 4003 --swversion DE.1.0.9.0 --startMP 204:233028 --initTime 2017-04-23T07:37:30 --startdatetime 2017-04-23T08:01:24 --delay 1 --endMP 204:232332 --enddatetime 2017-04-23T08:02:16 --enforcementcount 0 &gt;&gt;C:\Users\stu\Documents\GitHub\eaglep3-reporting\EC\2017-04-23-refined-times.txt</v>
      </c>
      <c r="AI40" s="99" t="str">
        <f t="shared" si="20"/>
        <v>echo {"issue":{"subject":"","project_id":79,"tracker_id":40,"status_id":1,"priority_id":2,"assigned_to_id":23,"start_date":"2017-04-23","description":"","custom_fields":[{"id":1,"name":"Subdivision","value":"EC"},{"id":4,"name":"Milepost","value":"23.2332"},{"id":17,"name":"Train ID","value":"126-23"},{"id":16,"name":"Locomotive ID","value":"4003"},{"id":130,"name":"Impact","value":""},{"id":150,"name":"Time of Event (Mountain Time)","value":"08:02:16"},{"id":151,"name":"Denver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5" t="str">
        <f t="shared" si="21"/>
        <v>start /low /b %USERPROFILE%\Documents\GitHub\eaglep3\Utilities\DownloadLogsFromS3.py --loco 4003 --day 2017-04-23</v>
      </c>
      <c r="AN40" s="154" t="str">
        <f t="shared" si="22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14:02:16"},{"id":29,"name":"Sharepoint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671</v>
      </c>
      <c r="B41" s="7">
        <v>4002</v>
      </c>
      <c r="C41" s="21" t="s">
        <v>213</v>
      </c>
      <c r="D41" s="21" t="s">
        <v>437</v>
      </c>
      <c r="E41" s="13">
        <v>42848.283564814818</v>
      </c>
      <c r="F41" s="13">
        <v>42848.291828703703</v>
      </c>
      <c r="G41" s="7">
        <v>1</v>
      </c>
      <c r="H41" s="21" t="s">
        <v>873</v>
      </c>
      <c r="I41" s="13">
        <v>42848.292025462964</v>
      </c>
      <c r="J41" s="7">
        <v>0</v>
      </c>
      <c r="K41" s="92" t="str">
        <f t="shared" si="0"/>
        <v>4001/4002</v>
      </c>
      <c r="L41" s="21" t="str">
        <f>VLOOKUP(A41,'Trips&amp;Operators'!$C$1:$G$99999,5,FALSE)</f>
        <v>SANTIZO D. EDY</v>
      </c>
      <c r="M41" s="6">
        <f t="shared" si="1"/>
        <v>1.9675926159834489E-4</v>
      </c>
      <c r="N41" s="7"/>
      <c r="O41" s="7"/>
      <c r="P41" s="7">
        <f t="shared" si="17"/>
        <v>0.28333333670161664</v>
      </c>
      <c r="Q41" s="22"/>
      <c r="R41" s="200" t="s">
        <v>1022</v>
      </c>
      <c r="S41" s="206">
        <f t="shared" si="18"/>
        <v>0</v>
      </c>
      <c r="T41" s="200" t="str">
        <f t="shared" si="2"/>
        <v>NorthBound</v>
      </c>
      <c r="U41" s="200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0</v>
      </c>
      <c r="V41" s="201" t="str">
        <f t="shared" si="3"/>
        <v>https://d0f6bd738d7f1b3e5a7ca70fe4ff75f0.us-east-1.aws.found.io/app/kibana#/discover/Steve-Slow-Train-Analysis-(2080s-and-2083s)?_g=(refreshInterval:(display:Off,pause:!f,section:0,value:0),time:(from:'2017-04-23T05:48:20-0600',mode:absolute,to:'2017-04-23T08:00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1" s="202" t="str">
        <f t="shared" si="4"/>
        <v>Y</v>
      </c>
      <c r="X41" s="202">
        <f t="shared" si="5"/>
        <v>1</v>
      </c>
      <c r="Y41" s="202">
        <f t="shared" si="6"/>
        <v>4.4400000000000002E-2</v>
      </c>
      <c r="Z41" s="202">
        <f t="shared" si="7"/>
        <v>0.1067</v>
      </c>
      <c r="AA41" s="202">
        <f t="shared" si="8"/>
        <v>6.2300000000000001E-2</v>
      </c>
      <c r="AB41" s="57" t="e">
        <f>VLOOKUP(A41,Enforcements!$C$7:$K$13,8,0)</f>
        <v>#N/A</v>
      </c>
      <c r="AC41" s="53" t="e">
        <f>VLOOKUP(A41,Enforcements!$C$7:$E$13,3,0)</f>
        <v>#N/A</v>
      </c>
      <c r="AD41" s="54" t="str">
        <f t="shared" si="9"/>
        <v>0127-23</v>
      </c>
      <c r="AE41" s="80" t="str">
        <f t="shared" si="10"/>
        <v>aws s3 cp s3://rtdc.mdm.uploadarchive.raw/RTDC4002/ "%USERPROFILE%\AppData\Local\Temp\OnboardLogs"\RTDC4002\2017-04-23 --exclude "*" --recursive --include "*20170423*" &amp; "%USERPROFILE%\Documents\GitHub\mrs-test-scripts\Headless Mode &amp; Sideloading\WalkAndUnGZ.bat" "%USERPROFILE%\AppData\Local\Temp\OnboardLogs"\RTDC4002\2017-04-23 &amp; aws s3 cp s3://rtdc.mdm.uploadarchive.raw/RTDC4002/ "%USERPROFILE%\AppData\Local\Temp\OnboardLogs"\RTDC4002\2017-04-24 --exclude "*" --recursive --include "*20170424*" &amp; "%USERPROFILE%\Documents\GitHub\mrs-test-scripts\Headless Mode &amp; Sideloading\WalkAndUnGZ.bat" "%USERPROFILE%\AppData\Local\Temp\OnboardLogs"\RTDC4002\2017-04-24</v>
      </c>
      <c r="AF41" s="77" t="str">
        <f t="shared" si="11"/>
        <v>"C:\Program Files (x86)\AstroGrep\AstroGrep.exe" /e /r /s /spath="%USERPROFILE%\AppData\Local\Temp\OnboardLogs" /stypes="app*4002*20170423*" /stext=" 13:.+((SYSTEM_STATE.+slice.+state.+changed )|(ment ac)|(multiple cpu faults)|(system.+state.+changed )|(\[timeout)|(PRM\|1\|D)|(kpr)|(kdp)|(\|lc)|(penalty))"</v>
      </c>
      <c r="AG41" s="1" t="str">
        <f t="shared" si="12"/>
        <v>EC</v>
      </c>
      <c r="AH41" s="81" t="str">
        <f t="shared" si="19"/>
        <v>"%USERPROFILE%\Documents\GitHub\eaglep3\Utilities\RefineRTDCRunTimes.py" --tripid 127-23 --locoid 4002 --swversion DE.1.0.9.0 --startMP 204:444 --initTime 2017-04-23T06:48:20 --startdatetime 2017-04-23T07:00:14 --delay 1 --endMP 204:1067 --enddatetime 2017-04-23T07:00:31 --enforcementcount 0 &gt;&gt;C:\Users\stu\Documents\GitHub\eaglep3-reporting\EC\2017-04-23-refined-times.txt</v>
      </c>
      <c r="AI41" s="99" t="str">
        <f t="shared" si="20"/>
        <v>echo {"issue":{"subject":"FEP-02 outage - virus scan caused PTC Comms apps to lock up","project_id":79,"tracker_id":40,"status_id":1,"priority_id":2,"assigned_to_id":23,"start_date":"2017-04-23","description":"","custom_fields":[{"id":1,"name":"Subdivision","value":"EC"},{"id":4,"name":"Milepost","value":"0.1067"},{"id":17,"name":"Train ID","value":"127-23"},{"id":16,"name":"Locomotive ID","value":"4002"},{"id":130,"name":"Impact","value":""},{"id":150,"name":"Time of Event (Mountain Time)","value":"07:00:31"},{"id":151,"name":"Denver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5" t="str">
        <f t="shared" si="21"/>
        <v>start /low /b %USERPROFILE%\Documents\GitHub\eaglep3\Utilities\DownloadLogsFromS3.py --loco 4002 --day 2017-04-23</v>
      </c>
      <c r="AN41" s="154" t="str">
        <f t="shared" si="22"/>
        <v>echo {"issue":{"subject":"FEP-02 outage - virus scan caused PTC Comms apps to lock up","project_id":30,"tracker_id":4,"status_id":1,"priority_id":1,"assigned_to_id":10,"start_date":"2017-04-23","description":"","custom_fields":[{"id":30,"name":"Category","value":"Issue"},{"id":3,"name":"Functional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13:00:31"},{"id":29,"name":"Sharepoint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676</v>
      </c>
      <c r="B42" s="7">
        <v>4001</v>
      </c>
      <c r="C42" s="21" t="s">
        <v>213</v>
      </c>
      <c r="D42" s="21" t="s">
        <v>874</v>
      </c>
      <c r="E42" s="13">
        <v>42848.317361111112</v>
      </c>
      <c r="F42" s="13">
        <v>42848.330775462964</v>
      </c>
      <c r="G42" s="7">
        <v>0</v>
      </c>
      <c r="H42" s="21" t="s">
        <v>586</v>
      </c>
      <c r="I42" s="13">
        <v>42848.331608796296</v>
      </c>
      <c r="J42" s="7">
        <v>0</v>
      </c>
      <c r="K42" s="92" t="str">
        <f t="shared" si="0"/>
        <v>4001/4002</v>
      </c>
      <c r="L42" s="21" t="str">
        <f>VLOOKUP(A42,'Trips&amp;Operators'!$C$1:$G$99999,5,FALSE)</f>
        <v>SANTIZO D. EDY</v>
      </c>
      <c r="M42" s="6">
        <f t="shared" si="1"/>
        <v>8.3333333168411627E-4</v>
      </c>
      <c r="N42" s="7"/>
      <c r="O42" s="7"/>
      <c r="P42" s="7">
        <f t="shared" si="17"/>
        <v>1.1999999976251274</v>
      </c>
      <c r="Q42" s="22"/>
      <c r="R42" s="200" t="s">
        <v>1022</v>
      </c>
      <c r="S42" s="206">
        <f t="shared" si="18"/>
        <v>0</v>
      </c>
      <c r="T42" s="200" t="str">
        <f t="shared" si="2"/>
        <v>Southbound</v>
      </c>
      <c r="U42" s="200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0</v>
      </c>
      <c r="V42" s="201" t="str">
        <f t="shared" si="3"/>
        <v>https://d0f6bd738d7f1b3e5a7ca70fe4ff75f0.us-east-1.aws.found.io/app/kibana#/discover/Steve-Slow-Train-Analysis-(2080s-and-2083s)?_g=(refreshInterval:(display:Off,pause:!f,section:0,value:0),time:(from:'2017-04-23T06:37:00-0600',mode:absolute,to:'2017-04-23T08:57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2" s="202" t="str">
        <f t="shared" si="4"/>
        <v>Y</v>
      </c>
      <c r="X42" s="202">
        <f t="shared" si="5"/>
        <v>1</v>
      </c>
      <c r="Y42" s="202">
        <f t="shared" si="6"/>
        <v>23.3001</v>
      </c>
      <c r="Z42" s="202">
        <f t="shared" si="7"/>
        <v>23.299199999999999</v>
      </c>
      <c r="AA42" s="202">
        <f t="shared" si="8"/>
        <v>9.0000000000145519E-4</v>
      </c>
      <c r="AB42" s="57" t="e">
        <f>VLOOKUP(A42,Enforcements!$C$7:$K$13,8,0)</f>
        <v>#N/A</v>
      </c>
      <c r="AC42" s="53" t="e">
        <f>VLOOKUP(A42,Enforcements!$C$7:$E$13,3,0)</f>
        <v>#N/A</v>
      </c>
      <c r="AD42" s="54" t="str">
        <f t="shared" si="9"/>
        <v>0128-23</v>
      </c>
      <c r="AE42" s="80" t="str">
        <f t="shared" si="10"/>
        <v>aws s3 cp s3://rtdc.mdm.uploadarchive.raw/RTDC4001/ "%USERPROFILE%\AppData\Local\Temp\OnboardLogs"\RTDC4001\2017-04-23 --exclude "*" --recursive --include "*20170423*" &amp; "%USERPROFILE%\Documents\GitHub\mrs-test-scripts\Headless Mode &amp; Sideloading\WalkAndUnGZ.bat" "%USERPROFILE%\AppData\Local\Temp\OnboardLogs"\RTDC4001\2017-04-23 &amp; aws s3 cp s3://rtdc.mdm.uploadarchive.raw/RTDC4001/ "%USERPROFILE%\AppData\Local\Temp\OnboardLogs"\RTDC4001\2017-04-24 --exclude "*" --recursive --include "*20170424*" &amp; "%USERPROFILE%\Documents\GitHub\mrs-test-scripts\Headless Mode &amp; Sideloading\WalkAndUnGZ.bat" "%USERPROFILE%\AppData\Local\Temp\OnboardLogs"\RTDC4001\2017-04-24</v>
      </c>
      <c r="AF42" s="77" t="str">
        <f t="shared" si="11"/>
        <v>"C:\Program Files (x86)\AstroGrep\AstroGrep.exe" /e /r /s /spath="%USERPROFILE%\AppData\Local\Temp\OnboardLogs" /stypes="app*4001*20170423*" /stext=" 13:.+((SYSTEM_STATE.+slice.+state.+changed )|(ment ac)|(multiple cpu faults)|(system.+state.+changed )|(\[timeout)|(PRM\|1\|D)|(kpr)|(kdp)|(\|lc)|(penalty))"</v>
      </c>
      <c r="AG42" s="1" t="str">
        <f t="shared" si="12"/>
        <v>EC</v>
      </c>
      <c r="AH42" s="81" t="str">
        <f t="shared" si="19"/>
        <v>"%USERPROFILE%\Documents\GitHub\eaglep3\Utilities\RefineRTDCRunTimes.py" --tripid 128-23 --locoid 4001 --swversion DE.1.0.9.0 --startMP 204:233001 --initTime 2017-04-23T07:37:00 --startdatetime 2017-04-23T07:56:19 --delay 0 --endMP 204:232992 --enddatetime 2017-04-23T07:57:31 --enforcementcount 0 &gt;&gt;C:\Users\stu\Documents\GitHub\eaglep3-reporting\EC\2017-04-23-refined-times.txt</v>
      </c>
      <c r="AI42" s="99" t="str">
        <f t="shared" si="20"/>
        <v>echo {"issue":{"subject":"FEP-02 outage - virus scan caused PTC Comms apps to lock up","project_id":79,"tracker_id":40,"status_id":1,"priority_id":2,"assigned_to_id":23,"start_date":"2017-04-23","description":"","custom_fields":[{"id":1,"name":"Subdivision","value":"EC"},{"id":4,"name":"Milepost","value":"23.2992"},{"id":17,"name":"Train ID","value":"128-23"},{"id":16,"name":"Locomotive ID","value":"4001"},{"id":130,"name":"Impact","value":""},{"id":150,"name":"Time of Event (Mountain Time)","value":"07:57:31"},{"id":151,"name":"Denver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5" t="str">
        <f t="shared" si="21"/>
        <v>start /low /b %USERPROFILE%\Documents\GitHub\eaglep3\Utilities\DownloadLogsFromS3.py --loco 4001 --day 2017-04-23</v>
      </c>
      <c r="AN42" s="154" t="str">
        <f t="shared" si="22"/>
        <v>echo {"issue":{"subject":"FEP-02 outage - virus scan caused PTC Comms apps to lock up","project_id":30,"tracker_id":4,"status_id":1,"priority_id":1,"assigned_to_id":10,"start_date":"2017-04-23","description":"","custom_fields":[{"id":30,"name":"Category","value":"Issue"},{"id":3,"name":"Functional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13:57:31"},{"id":29,"name":"Sharepoint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676</v>
      </c>
      <c r="B43" s="7">
        <v>4001</v>
      </c>
      <c r="C43" s="21" t="s">
        <v>213</v>
      </c>
      <c r="D43" s="21" t="s">
        <v>576</v>
      </c>
      <c r="E43" s="13">
        <v>42848.329351851855</v>
      </c>
      <c r="F43" s="13">
        <v>42848.330775462964</v>
      </c>
      <c r="G43" s="7">
        <v>1</v>
      </c>
      <c r="H43" s="21" t="s">
        <v>875</v>
      </c>
      <c r="I43" s="13">
        <v>42848.331608796296</v>
      </c>
      <c r="J43" s="7">
        <v>0</v>
      </c>
      <c r="K43" s="92" t="str">
        <f t="shared" si="0"/>
        <v>4001/4002</v>
      </c>
      <c r="L43" s="21" t="str">
        <f>VLOOKUP(A43,'Trips&amp;Operators'!$C$1:$G$99999,5,FALSE)</f>
        <v>SANTIZO D. EDY</v>
      </c>
      <c r="M43" s="6">
        <f t="shared" si="1"/>
        <v>8.3333333168411627E-4</v>
      </c>
      <c r="N43" s="7"/>
      <c r="O43" s="7"/>
      <c r="P43" s="7"/>
      <c r="Q43" s="22"/>
      <c r="R43" s="200"/>
      <c r="S43" s="206"/>
      <c r="T43" s="200" t="str">
        <f t="shared" si="2"/>
        <v>Southbound</v>
      </c>
      <c r="U43" s="200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0</v>
      </c>
      <c r="V43" s="201" t="str">
        <f t="shared" si="3"/>
        <v>https://d0f6bd738d7f1b3e5a7ca70fe4ff75f0.us-east-1.aws.found.io/app/kibana#/discover/Steve-Slow-Train-Analysis-(2080s-and-2083s)?_g=(refreshInterval:(display:Off,pause:!f,section:0,value:0),time:(from:'2017-04-23T06:54:16-0600',mode:absolute,to:'2017-04-23T08:57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3" s="202" t="str">
        <f t="shared" si="4"/>
        <v>Y</v>
      </c>
      <c r="X43" s="202">
        <f t="shared" si="5"/>
        <v>0</v>
      </c>
      <c r="Y43" s="202">
        <f t="shared" si="6"/>
        <v>23.3003</v>
      </c>
      <c r="Z43" s="202">
        <f t="shared" si="7"/>
        <v>23.156199999999998</v>
      </c>
      <c r="AA43" s="202">
        <f t="shared" si="8"/>
        <v>0.14410000000000167</v>
      </c>
      <c r="AB43" s="57" t="e">
        <f>VLOOKUP(A43,Enforcements!$C$7:$K$13,8,0)</f>
        <v>#N/A</v>
      </c>
      <c r="AC43" s="53" t="e">
        <f>VLOOKUP(A43,Enforcements!$C$7:$E$13,3,0)</f>
        <v>#N/A</v>
      </c>
      <c r="AD43" s="54" t="str">
        <f t="shared" si="9"/>
        <v>0128-23</v>
      </c>
      <c r="AE43" s="80" t="str">
        <f t="shared" si="10"/>
        <v>aws s3 cp s3://rtdc.mdm.uploadarchive.raw/RTDC4001/ "%USERPROFILE%\AppData\Local\Temp\OnboardLogs"\RTDC4001\2017-04-23 --exclude "*" --recursive --include "*20170423*" &amp; "%USERPROFILE%\Documents\GitHub\mrs-test-scripts\Headless Mode &amp; Sideloading\WalkAndUnGZ.bat" "%USERPROFILE%\AppData\Local\Temp\OnboardLogs"\RTDC4001\2017-04-23 &amp; aws s3 cp s3://rtdc.mdm.uploadarchive.raw/RTDC4001/ "%USERPROFILE%\AppData\Local\Temp\OnboardLogs"\RTDC4001\2017-04-24 --exclude "*" --recursive --include "*20170424*" &amp; "%USERPROFILE%\Documents\GitHub\mrs-test-scripts\Headless Mode &amp; Sideloading\WalkAndUnGZ.bat" "%USERPROFILE%\AppData\Local\Temp\OnboardLogs"\RTDC4001\2017-04-24</v>
      </c>
      <c r="AF43" s="77" t="str">
        <f t="shared" si="11"/>
        <v>"C:\Program Files (x86)\AstroGrep\AstroGrep.exe" /e /r /s /spath="%USERPROFILE%\AppData\Local\Temp\OnboardLogs" /stypes="app*4001*20170423*" /stext=" 13:.+((SYSTEM_STATE.+slice.+state.+changed )|(ment ac)|(multiple cpu faults)|(system.+state.+changed )|(\[timeout)|(PRM\|1\|D)|(kpr)|(kdp)|(\|lc)|(penalty))"</v>
      </c>
      <c r="AG43" s="1" t="str">
        <f t="shared" si="12"/>
        <v>EC</v>
      </c>
      <c r="AH43" s="81" t="str">
        <f t="shared" si="19"/>
        <v>"%USERPROFILE%\Documents\GitHub\eaglep3\Utilities\RefineRTDCRunTimes.py" --tripid 128-23 --locoid 4001 --swversion DE.1.0.9.0 --startMP 204:233003 --initTime 2017-04-23T07:54:16 --startdatetime 2017-04-23T07:56:19 --delay 1 --endMP 204:231562 --enddatetime 2017-04-23T07:57:31 --enforcementcount 0 &gt;&gt;C:\Users\stu\Documents\GitHub\eaglep3-reporting\EC\2017-04-23-refined-times.txt</v>
      </c>
      <c r="AI43" s="99" t="str">
        <f t="shared" si="20"/>
        <v>echo {"issue":{"subject":"","project_id":79,"tracker_id":40,"status_id":1,"priority_id":2,"assigned_to_id":23,"start_date":"2017-04-23","description":"","custom_fields":[{"id":1,"name":"Subdivision","value":"EC"},{"id":4,"name":"Milepost","value":"23.1562"},{"id":17,"name":"Train ID","value":"128-23"},{"id":16,"name":"Locomotive ID","value":"4001"},{"id":130,"name":"Impact","value":""},{"id":150,"name":"Time of Event (Mountain Time)","value":"07:57:31"},{"id":151,"name":"Denver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5" t="str">
        <f t="shared" si="21"/>
        <v>start /low /b %USERPROFILE%\Documents\GitHub\eaglep3\Utilities\DownloadLogsFromS3.py --loco 4001 --day 2017-04-23</v>
      </c>
      <c r="AN43" s="154" t="str">
        <f t="shared" si="22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13:57:31"},{"id":29,"name":"Sharepoint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673</v>
      </c>
      <c r="B44" s="7">
        <v>4028</v>
      </c>
      <c r="C44" s="21" t="s">
        <v>213</v>
      </c>
      <c r="D44" s="21" t="s">
        <v>370</v>
      </c>
      <c r="E44" s="13">
        <v>42848.297569444447</v>
      </c>
      <c r="F44" s="13">
        <v>42848.302256944444</v>
      </c>
      <c r="G44" s="7">
        <v>1</v>
      </c>
      <c r="H44" s="21" t="s">
        <v>463</v>
      </c>
      <c r="I44" s="13">
        <v>42848.302407407406</v>
      </c>
      <c r="J44" s="7">
        <v>0</v>
      </c>
      <c r="K44" s="92" t="str">
        <f t="shared" si="0"/>
        <v>4027/4028</v>
      </c>
      <c r="L44" s="21" t="str">
        <f>VLOOKUP(A44,'Trips&amp;Operators'!$C$1:$G$99999,5,FALSE)</f>
        <v>SHOOK JOHN</v>
      </c>
      <c r="M44" s="6">
        <f t="shared" si="1"/>
        <v>1.5046296175569296E-4</v>
      </c>
      <c r="N44" s="7"/>
      <c r="O44" s="7"/>
      <c r="P44" s="7">
        <f t="shared" si="17"/>
        <v>0.21666666492819786</v>
      </c>
      <c r="Q44" s="22"/>
      <c r="R44" s="200" t="s">
        <v>1022</v>
      </c>
      <c r="S44" s="206">
        <f t="shared" si="18"/>
        <v>0</v>
      </c>
      <c r="T44" s="200" t="str">
        <f t="shared" si="2"/>
        <v>NorthBound</v>
      </c>
      <c r="U44" s="200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0</v>
      </c>
      <c r="V44" s="201" t="str">
        <f t="shared" si="3"/>
        <v>https://d0f6bd738d7f1b3e5a7ca70fe4ff75f0.us-east-1.aws.found.io/app/kibana#/discover/Steve-Slow-Train-Analysis-(2080s-and-2083s)?_g=(refreshInterval:(display:Off,pause:!f,section:0,value:0),time:(from:'2017-04-23T06:08:30-0600',mode:absolute,to:'2017-04-23T08:15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4" s="202" t="str">
        <f t="shared" si="4"/>
        <v>Y</v>
      </c>
      <c r="X44" s="202">
        <f t="shared" si="5"/>
        <v>1</v>
      </c>
      <c r="Y44" s="202">
        <f t="shared" si="6"/>
        <v>4.4900000000000002E-2</v>
      </c>
      <c r="Z44" s="202">
        <f t="shared" si="7"/>
        <v>9.7199999999999995E-2</v>
      </c>
      <c r="AA44" s="202">
        <f t="shared" si="8"/>
        <v>5.2299999999999992E-2</v>
      </c>
      <c r="AB44" s="57" t="e">
        <f>VLOOKUP(A44,Enforcements!$C$7:$K$13,8,0)</f>
        <v>#N/A</v>
      </c>
      <c r="AC44" s="53" t="e">
        <f>VLOOKUP(A44,Enforcements!$C$7:$E$13,3,0)</f>
        <v>#N/A</v>
      </c>
      <c r="AD44" s="54" t="str">
        <f t="shared" si="9"/>
        <v>0129-23</v>
      </c>
      <c r="AE44" s="80" t="str">
        <f t="shared" si="10"/>
        <v>aws s3 cp s3://rtdc.mdm.uploadarchive.raw/RTDC4028/ "%USERPROFILE%\AppData\Local\Temp\OnboardLogs"\RTDC4028\2017-04-23 --exclude "*" --recursive --include "*20170423*" &amp; "%USERPROFILE%\Documents\GitHub\mrs-test-scripts\Headless Mode &amp; Sideloading\WalkAndUnGZ.bat" "%USERPROFILE%\AppData\Local\Temp\OnboardLogs"\RTDC4028\2017-04-23 &amp; aws s3 cp s3://rtdc.mdm.uploadarchive.raw/RTDC4028/ "%USERPROFILE%\AppData\Local\Temp\OnboardLogs"\RTDC4028\2017-04-24 --exclude "*" --recursive --include "*20170424*" &amp; "%USERPROFILE%\Documents\GitHub\mrs-test-scripts\Headless Mode &amp; Sideloading\WalkAndUnGZ.bat" "%USERPROFILE%\AppData\Local\Temp\OnboardLogs"\RTDC4028\2017-04-24</v>
      </c>
      <c r="AF44" s="77" t="str">
        <f t="shared" si="11"/>
        <v>"C:\Program Files (x86)\AstroGrep\AstroGrep.exe" /e /r /s /spath="%USERPROFILE%\AppData\Local\Temp\OnboardLogs" /stypes="app*4028*20170423*" /stext=" 13:.+((SYSTEM_STATE.+slice.+state.+changed )|(ment ac)|(multiple cpu faults)|(system.+state.+changed )|(\[timeout)|(PRM\|1\|D)|(kpr)|(kdp)|(\|lc)|(penalty))"</v>
      </c>
      <c r="AG44" s="1" t="str">
        <f t="shared" si="12"/>
        <v>EC</v>
      </c>
      <c r="AH44" s="81" t="str">
        <f t="shared" si="19"/>
        <v>"%USERPROFILE%\Documents\GitHub\eaglep3\Utilities\RefineRTDCRunTimes.py" --tripid 129-23 --locoid 4028 --swversion DE.1.0.9.0 --startMP 204:449 --initTime 2017-04-23T07:08:30 --startdatetime 2017-04-23T07:15:15 --delay 1 --endMP 204:972 --enddatetime 2017-04-23T07:15:28 --enforcementcount 0 &gt;&gt;C:\Users\stu\Documents\GitHub\eaglep3-reporting\EC\2017-04-23-refined-times.txt</v>
      </c>
      <c r="AI44" s="99" t="str">
        <f t="shared" si="20"/>
        <v>echo {"issue":{"subject":"FEP-02 outage - virus scan caused PTC Comms apps to lock up","project_id":79,"tracker_id":40,"status_id":1,"priority_id":2,"assigned_to_id":23,"start_date":"2017-04-23","description":"","custom_fields":[{"id":1,"name":"Subdivision","value":"EC"},{"id":4,"name":"Milepost","value":"0.0972"},{"id":17,"name":"Train ID","value":"129-23"},{"id":16,"name":"Locomotive ID","value":"4028"},{"id":130,"name":"Impact","value":""},{"id":150,"name":"Time of Event (Mountain Time)","value":"07:15:28"},{"id":151,"name":"Denver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5" t="str">
        <f t="shared" si="21"/>
        <v>start /low /b %USERPROFILE%\Documents\GitHub\eaglep3\Utilities\DownloadLogsFromS3.py --loco 4028 --day 2017-04-23</v>
      </c>
      <c r="AN44" s="154" t="str">
        <f t="shared" si="22"/>
        <v>echo {"issue":{"subject":"FEP-02 outage - virus scan caused PTC Comms apps to lock up","project_id":30,"tracker_id":4,"status_id":1,"priority_id":1,"assigned_to_id":10,"start_date":"2017-04-23","description":"","custom_fields":[{"id":30,"name":"Category","value":"Issue"},{"id":3,"name":"Functional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13:15:28"},{"id":29,"name":"Sharepoint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679</v>
      </c>
      <c r="B45" s="7">
        <v>4027</v>
      </c>
      <c r="C45" s="21" t="s">
        <v>213</v>
      </c>
      <c r="D45" s="21" t="s">
        <v>850</v>
      </c>
      <c r="E45" s="13">
        <v>42848.329340277778</v>
      </c>
      <c r="F45" s="13">
        <v>42848.341134259259</v>
      </c>
      <c r="G45" s="7">
        <v>0</v>
      </c>
      <c r="H45" s="21" t="s">
        <v>876</v>
      </c>
      <c r="I45" s="13">
        <v>42848.341261574074</v>
      </c>
      <c r="J45" s="7">
        <v>0</v>
      </c>
      <c r="K45" s="92" t="str">
        <f t="shared" ref="K45:K76" si="23">IF(ISEVEN(B45),(B45-1)&amp;"/"&amp;B45,B45&amp;"/"&amp;(B45+1))</f>
        <v>4027/4028</v>
      </c>
      <c r="L45" s="21" t="str">
        <f>VLOOKUP(A45,'Trips&amp;Operators'!$C$1:$G$99999,5,FALSE)</f>
        <v>SHOOK JOHN</v>
      </c>
      <c r="M45" s="6">
        <f t="shared" ref="M45:M76" si="24">I45-F45</f>
        <v>1.273148154723458E-4</v>
      </c>
      <c r="N45" s="7"/>
      <c r="O45" s="7"/>
      <c r="P45" s="7">
        <f t="shared" si="17"/>
        <v>0.18333333428017795</v>
      </c>
      <c r="Q45" s="22"/>
      <c r="R45" s="200" t="s">
        <v>1022</v>
      </c>
      <c r="S45" s="206">
        <f t="shared" si="18"/>
        <v>0</v>
      </c>
      <c r="T45" s="200" t="str">
        <f t="shared" ref="T45:T76" si="25">IF(ISEVEN(LEFT(AD45,4)),"Southbound","NorthBound")</f>
        <v>Southbound</v>
      </c>
      <c r="U45" s="200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0</v>
      </c>
      <c r="V45" s="201" t="str">
        <f t="shared" ref="V45:V76" si="26"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-04-23T06:54:15-0600',mode:absolute,to:'2017-04-23T09:11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5" s="202" t="str">
        <f t="shared" ref="W45:W76" si="27">IF(AA45&lt;IF(AG45="EC",23,5.65),"Y","N")</f>
        <v>Y</v>
      </c>
      <c r="X45" s="202">
        <f t="shared" ref="X45:X76" si="28">VALUE(LEFT(AD45,4))-VALUE(LEFT(AD44,4))</f>
        <v>1</v>
      </c>
      <c r="Y45" s="202">
        <f t="shared" ref="Y45:Y76" si="29">RIGHT(D45,LEN(D45)-4)/10000</f>
        <v>23.3004</v>
      </c>
      <c r="Z45" s="202">
        <f t="shared" ref="Z45:Z76" si="30">RIGHT(H45,LEN(H45)-4)/10000</f>
        <v>23.257300000000001</v>
      </c>
      <c r="AA45" s="202">
        <f t="shared" ref="AA45:AA76" si="31">ABS(Z45-Y45)</f>
        <v>4.3099999999999028E-2</v>
      </c>
      <c r="AB45" s="57" t="e">
        <f>VLOOKUP(A45,Enforcements!$C$7:$K$13,8,0)</f>
        <v>#N/A</v>
      </c>
      <c r="AC45" s="53" t="e">
        <f>VLOOKUP(A45,Enforcements!$C$7:$E$13,3,0)</f>
        <v>#N/A</v>
      </c>
      <c r="AD45" s="54" t="str">
        <f t="shared" ref="AD45:AD76" si="32">IF(LEN(A45)=6,"0"&amp;A45,A45)</f>
        <v>0130-23</v>
      </c>
      <c r="AE45" s="80" t="str">
        <f t="shared" ref="AE45:AE76" si="33"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s3://rtdc.mdm.uploadarchive.raw/RTDC4027/ "%USERPROFILE%\AppData\Local\Temp\OnboardLogs"\RTDC4027\2017-04-23 --exclude "*" --recursive --include "*20170423*" &amp; "%USERPROFILE%\Documents\GitHub\mrs-test-scripts\Headless Mode &amp; Sideloading\WalkAndUnGZ.bat" "%USERPROFILE%\AppData\Local\Temp\OnboardLogs"\RTDC4027\2017-04-23 &amp; aws s3 cp s3://rtdc.mdm.uploadarchive.raw/RTDC4027/ "%USERPROFILE%\AppData\Local\Temp\OnboardLogs"\RTDC4027\2017-04-24 --exclude "*" --recursive --include "*20170424*" &amp; "%USERPROFILE%\Documents\GitHub\mrs-test-scripts\Headless Mode &amp; Sideloading\WalkAndUnGZ.bat" "%USERPROFILE%\AppData\Local\Temp\OnboardLogs"\RTDC4027\2017-04-24</v>
      </c>
      <c r="AF45" s="77" t="str">
        <f t="shared" ref="AF45:AF76" si="34"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/stypes="app*4027*20170423*" /stext=" 14:.+((SYSTEM_STATE.+slice.+state.+changed )|(ment ac)|(multiple cpu faults)|(system.+state.+changed )|(\[timeout)|(PRM\|1\|D)|(kpr)|(kdp)|(\|lc)|(penalty))"</v>
      </c>
      <c r="AG45" s="1" t="str">
        <f t="shared" ref="AG45:AG76" si="35">IFERROR(IF(VALUE(LEFT(AD45,2))&lt;=2,"EC",IF(OR(VALUE(LEFT(AD45,2))=8,VALUE(LEFT(AD45,2))=18),"NW","Other")),"Other")</f>
        <v>EC</v>
      </c>
      <c r="AH45" s="81" t="str">
        <f t="shared" si="19"/>
        <v>"%USERPROFILE%\Documents\GitHub\eaglep3\Utilities\RefineRTDCRunTimes.py" --tripid 130-23 --locoid 4027 --swversion DE.1.0.9.0 --startMP 204:233004 --initTime 2017-04-23T07:54:15 --startdatetime 2017-04-23T08:11:14 --delay 0 --endMP 204:232573 --enddatetime 2017-04-23T08:11:25 --enforcementcount 0 &gt;&gt;C:\Users\stu\Documents\GitHub\eaglep3-reporting\EC\2017-04-23-refined-times.txt</v>
      </c>
      <c r="AI45" s="99" t="str">
        <f t="shared" si="20"/>
        <v>echo {"issue":{"subject":"FEP-02 outage - virus scan caused PTC Comms apps to lock up","project_id":79,"tracker_id":40,"status_id":1,"priority_id":2,"assigned_to_id":23,"start_date":"2017-04-23","description":"","custom_fields":[{"id":1,"name":"Subdivision","value":"EC"},{"id":4,"name":"Milepost","value":"23.2573"},{"id":17,"name":"Train ID","value":"130-23"},{"id":16,"name":"Locomotive ID","value":"4027"},{"id":130,"name":"Impact","value":""},{"id":150,"name":"Time of Event (Mountain Time)","value":"08:11:25"},{"id":151,"name":"Denver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5" t="str">
        <f t="shared" si="21"/>
        <v>start /low /b %USERPROFILE%\Documents\GitHub\eaglep3\Utilities\DownloadLogsFromS3.py --loco 4027 --day 2017-04-23</v>
      </c>
      <c r="AN45" s="154" t="str">
        <f t="shared" si="22"/>
        <v>echo {"issue":{"subject":"FEP-02 outage - virus scan caused PTC Comms apps to lock up","project_id":30,"tracker_id":4,"status_id":1,"priority_id":1,"assigned_to_id":10,"start_date":"2017-04-23","description":"","custom_fields":[{"id":30,"name":"Category","value":"Issue"},{"id":3,"name":"Functional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14:11:25"},{"id":29,"name":"Sharepoint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675</v>
      </c>
      <c r="B46" s="7">
        <v>4044</v>
      </c>
      <c r="C46" s="21" t="s">
        <v>213</v>
      </c>
      <c r="D46" s="21" t="s">
        <v>476</v>
      </c>
      <c r="E46" s="13">
        <v>42848.306956018518</v>
      </c>
      <c r="F46" s="13">
        <v>42848.312685185185</v>
      </c>
      <c r="G46" s="7">
        <v>1</v>
      </c>
      <c r="H46" s="21" t="s">
        <v>877</v>
      </c>
      <c r="I46" s="13">
        <v>42848.312858796293</v>
      </c>
      <c r="J46" s="7">
        <v>0</v>
      </c>
      <c r="K46" s="92" t="str">
        <f t="shared" si="23"/>
        <v>4043/4044</v>
      </c>
      <c r="L46" s="21" t="str">
        <f>VLOOKUP(A46,'Trips&amp;Operators'!$C$1:$G$99999,5,FALSE)</f>
        <v>MAELZER KURT</v>
      </c>
      <c r="M46" s="6">
        <f t="shared" si="24"/>
        <v>1.7361110803904012E-4</v>
      </c>
      <c r="N46" s="7"/>
      <c r="O46" s="7"/>
      <c r="P46" s="7">
        <f t="shared" si="17"/>
        <v>0.24999999557621777</v>
      </c>
      <c r="Q46" s="22"/>
      <c r="R46" s="200" t="s">
        <v>1022</v>
      </c>
      <c r="S46" s="206">
        <f t="shared" si="18"/>
        <v>0</v>
      </c>
      <c r="T46" s="200" t="str">
        <f t="shared" si="25"/>
        <v>NorthBound</v>
      </c>
      <c r="U46" s="200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0</v>
      </c>
      <c r="V46" s="201" t="str">
        <f t="shared" si="26"/>
        <v>https://d0f6bd738d7f1b3e5a7ca70fe4ff75f0.us-east-1.aws.found.io/app/kibana#/discover/Steve-Slow-Train-Analysis-(2080s-and-2083s)?_g=(refreshInterval:(display:Off,pause:!f,section:0,value:0),time:(from:'2017-04-23T06:22:01-0600',mode:absolute,to:'2017-04-23T08:30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6" s="202" t="str">
        <f t="shared" si="27"/>
        <v>Y</v>
      </c>
      <c r="X46" s="202">
        <f t="shared" si="28"/>
        <v>1</v>
      </c>
      <c r="Y46" s="202">
        <f t="shared" si="29"/>
        <v>4.5100000000000001E-2</v>
      </c>
      <c r="Z46" s="202">
        <f t="shared" si="30"/>
        <v>0.10100000000000001</v>
      </c>
      <c r="AA46" s="202">
        <f t="shared" si="31"/>
        <v>5.5900000000000005E-2</v>
      </c>
      <c r="AB46" s="57" t="e">
        <f>VLOOKUP(A46,Enforcements!$C$7:$K$13,8,0)</f>
        <v>#N/A</v>
      </c>
      <c r="AC46" s="53" t="e">
        <f>VLOOKUP(A46,Enforcements!$C$7:$E$13,3,0)</f>
        <v>#N/A</v>
      </c>
      <c r="AD46" s="54" t="str">
        <f t="shared" si="32"/>
        <v>0131-23</v>
      </c>
      <c r="AE46" s="80" t="str">
        <f t="shared" si="33"/>
        <v>aws s3 cp s3://rtdc.mdm.uploadarchive.raw/RTDC4044/ "%USERPROFILE%\AppData\Local\Temp\OnboardLogs"\RTDC4044\2017-04-23 --exclude "*" --recursive --include "*20170423*" &amp; "%USERPROFILE%\Documents\GitHub\mrs-test-scripts\Headless Mode &amp; Sideloading\WalkAndUnGZ.bat" "%USERPROFILE%\AppData\Local\Temp\OnboardLogs"\RTDC4044\2017-04-23 &amp; aws s3 cp s3://rtdc.mdm.uploadarchive.raw/RTDC4044/ "%USERPROFILE%\AppData\Local\Temp\OnboardLogs"\RTDC4044\2017-04-24 --exclude "*" --recursive --include "*20170424*" &amp; "%USERPROFILE%\Documents\GitHub\mrs-test-scripts\Headless Mode &amp; Sideloading\WalkAndUnGZ.bat" "%USERPROFILE%\AppData\Local\Temp\OnboardLogs"\RTDC4044\2017-04-24</v>
      </c>
      <c r="AF46" s="77" t="str">
        <f t="shared" si="34"/>
        <v>"C:\Program Files (x86)\AstroGrep\AstroGrep.exe" /e /r /s /spath="%USERPROFILE%\AppData\Local\Temp\OnboardLogs" /stypes="app*4044*20170423*" /stext=" 13:.+((SYSTEM_STATE.+slice.+state.+changed )|(ment ac)|(multiple cpu faults)|(system.+state.+changed )|(\[timeout)|(PRM\|1\|D)|(kpr)|(kdp)|(\|lc)|(penalty))"</v>
      </c>
      <c r="AG46" s="1" t="str">
        <f t="shared" si="35"/>
        <v>EC</v>
      </c>
      <c r="AH46" s="81" t="str">
        <f t="shared" si="19"/>
        <v>"%USERPROFILE%\Documents\GitHub\eaglep3\Utilities\RefineRTDCRunTimes.py" --tripid 131-23 --locoid 4044 --swversion DE.1.0.9.0 --startMP 204:451 --initTime 2017-04-23T07:22:01 --startdatetime 2017-04-23T07:30:16 --delay 1 --endMP 204:1010 --enddatetime 2017-04-23T07:30:31 --enforcementcount 0 &gt;&gt;C:\Users\stu\Documents\GitHub\eaglep3-reporting\EC\2017-04-23-refined-times.txt</v>
      </c>
      <c r="AI46" s="99" t="str">
        <f t="shared" si="20"/>
        <v>echo {"issue":{"subject":"FEP-02 outage - virus scan caused PTC Comms apps to lock up","project_id":79,"tracker_id":40,"status_id":1,"priority_id":2,"assigned_to_id":23,"start_date":"2017-04-23","description":"","custom_fields":[{"id":1,"name":"Subdivision","value":"EC"},{"id":4,"name":"Milepost","value":"0.101"},{"id":17,"name":"Train ID","value":"131-23"},{"id":16,"name":"Locomotive ID","value":"4044"},{"id":130,"name":"Impact","value":""},{"id":150,"name":"Time of Event (Mountain Time)","value":"07:30:31"},{"id":151,"name":"Denver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5" t="str">
        <f t="shared" si="21"/>
        <v>start /low /b %USERPROFILE%\Documents\GitHub\eaglep3\Utilities\DownloadLogsFromS3.py --loco 4044 --day 2017-04-23</v>
      </c>
      <c r="AN46" s="154" t="str">
        <f t="shared" si="22"/>
        <v>echo {"issue":{"subject":"FEP-02 outage - virus scan caused PTC Comms apps to lock up","project_id":30,"tracker_id":4,"status_id":1,"priority_id":1,"assigned_to_id":10,"start_date":"2017-04-23","description":"","custom_fields":[{"id":30,"name":"Category","value":"Issue"},{"id":3,"name":"Functional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13:30:31"},{"id":29,"name":"Sharepoint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681</v>
      </c>
      <c r="B47" s="7">
        <v>4043</v>
      </c>
      <c r="C47" s="21" t="s">
        <v>213</v>
      </c>
      <c r="D47" s="21" t="s">
        <v>878</v>
      </c>
      <c r="E47" s="13">
        <v>42848.36173611111</v>
      </c>
      <c r="F47" s="13">
        <v>42848.362615740742</v>
      </c>
      <c r="G47" s="7">
        <v>0</v>
      </c>
      <c r="H47" s="21" t="s">
        <v>424</v>
      </c>
      <c r="I47" s="13">
        <v>42848.379502314812</v>
      </c>
      <c r="J47" s="7">
        <v>0</v>
      </c>
      <c r="K47" s="92" t="str">
        <f t="shared" si="23"/>
        <v>4043/4044</v>
      </c>
      <c r="L47" s="21" t="str">
        <f>VLOOKUP(A47,'Trips&amp;Operators'!$C$1:$G$99999,5,FALSE)</f>
        <v>MAELZER KURT</v>
      </c>
      <c r="M47" s="6">
        <f t="shared" si="24"/>
        <v>1.6886574070667848E-2</v>
      </c>
      <c r="N47" s="7"/>
      <c r="O47" s="7"/>
      <c r="P47" s="7">
        <f t="shared" si="17"/>
        <v>24.316666661761701</v>
      </c>
      <c r="Q47" s="22"/>
      <c r="R47" s="200" t="s">
        <v>1022</v>
      </c>
      <c r="S47" s="206">
        <f t="shared" si="18"/>
        <v>1</v>
      </c>
      <c r="T47" s="200" t="str">
        <f t="shared" si="25"/>
        <v>Southbound</v>
      </c>
      <c r="U47" s="200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01" t="str">
        <f t="shared" si="26"/>
        <v>https://d0f6bd738d7f1b3e5a7ca70fe4ff75f0.us-east-1.aws.found.io/app/kibana#/discover/Steve-Slow-Train-Analysis-(2080s-and-2083s)?_g=(refreshInterval:(display:Off,pause:!f,section:0,value:0),time:(from:'2017-04-23T07:40:54-0600',mode:absolute,to:'2017-04-23T10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7" s="202" t="str">
        <f t="shared" si="27"/>
        <v>Y</v>
      </c>
      <c r="X47" s="202">
        <f t="shared" si="28"/>
        <v>1</v>
      </c>
      <c r="Y47" s="202">
        <f t="shared" si="29"/>
        <v>12.786099999999999</v>
      </c>
      <c r="Z47" s="202">
        <f t="shared" si="30"/>
        <v>1.43E-2</v>
      </c>
      <c r="AA47" s="202">
        <f t="shared" si="31"/>
        <v>12.771799999999999</v>
      </c>
      <c r="AB47" s="57" t="e">
        <f>VLOOKUP(A47,Enforcements!$C$7:$K$13,8,0)</f>
        <v>#N/A</v>
      </c>
      <c r="AC47" s="53" t="e">
        <f>VLOOKUP(A47,Enforcements!$C$7:$E$13,3,0)</f>
        <v>#N/A</v>
      </c>
      <c r="AD47" s="54" t="str">
        <f t="shared" si="32"/>
        <v>0132-23</v>
      </c>
      <c r="AE47" s="80" t="str">
        <f t="shared" si="33"/>
        <v>aws s3 cp s3://rtdc.mdm.uploadarchive.raw/RTDC4043/ "%USERPROFILE%\AppData\Local\Temp\OnboardLogs"\RTDC4043\2017-04-23 --exclude "*" --recursive --include "*20170423*" &amp; "%USERPROFILE%\Documents\GitHub\mrs-test-scripts\Headless Mode &amp; Sideloading\WalkAndUnGZ.bat" "%USERPROFILE%\AppData\Local\Temp\OnboardLogs"\RTDC4043\2017-04-23 &amp; aws s3 cp s3://rtdc.mdm.uploadarchive.raw/RTDC4043/ "%USERPROFILE%\AppData\Local\Temp\OnboardLogs"\RTDC4043\2017-04-24 --exclude "*" --recursive --include "*20170424*" &amp; "%USERPROFILE%\Documents\GitHub\mrs-test-scripts\Headless Mode &amp; Sideloading\WalkAndUnGZ.bat" "%USERPROFILE%\AppData\Local\Temp\OnboardLogs"\RTDC4043\2017-04-24</v>
      </c>
      <c r="AF47" s="77" t="str">
        <f t="shared" si="34"/>
        <v>"C:\Program Files (x86)\AstroGrep\AstroGrep.exe" /e /r /s /spath="%USERPROFILE%\AppData\Local\Temp\OnboardLogs" /stypes="app*4043*20170423*" /stext=" 15:.+((SYSTEM_STATE.+slice.+state.+changed )|(ment ac)|(multiple cpu faults)|(system.+state.+changed )|(\[timeout)|(PRM\|1\|D)|(kpr)|(kdp)|(\|lc)|(penalty))"</v>
      </c>
      <c r="AG47" s="1" t="str">
        <f t="shared" si="35"/>
        <v>EC</v>
      </c>
      <c r="AH47" s="81" t="str">
        <f t="shared" si="19"/>
        <v>"%USERPROFILE%\Documents\GitHub\eaglep3\Utilities\RefineRTDCRunTimes.py" --tripid 132-23 --locoid 4043 --swversion DE.1.0.9.0 --startMP 204:127861 --initTime 2017-04-23T08:40:54 --startdatetime 2017-04-23T08:42:10 --delay 0 --endMP 204:143 --enddatetime 2017-04-23T09:06:29 --enforcementcount 0 &gt;&gt;C:\Users\stu\Documents\GitHub\eaglep3-reporting\EC\2017-04-23-refined-times.txt</v>
      </c>
      <c r="AI47" s="99" t="str">
        <f t="shared" si="20"/>
        <v>echo {"issue":{"subject":"FEP-02 outage - virus scan caused PTC Comms apps to lock up","project_id":79,"tracker_id":40,"status_id":1,"priority_id":2,"assigned_to_id":23,"start_date":"2017-04-23","description":"","custom_fields":[{"id":1,"name":"Subdivision","value":"EC"},{"id":4,"name":"Milepost","value":"0.0143"},{"id":17,"name":"Train ID","value":"132-23"},{"id":16,"name":"Locomotive ID","value":"4043"},{"id":130,"name":"Impact","value":""},{"id":150,"name":"Time of Event (Mountain Time)","value":"09:06:29"},{"id":151,"name":"Denver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5" t="str">
        <f t="shared" si="21"/>
        <v>start /low /b %USERPROFILE%\Documents\GitHub\eaglep3\Utilities\DownloadLogsFromS3.py --loco 4043 --day 2017-04-23</v>
      </c>
      <c r="AN47" s="154" t="str">
        <f t="shared" si="22"/>
        <v>echo {"issue":{"subject":"FEP-02 outage - virus scan caused PTC Comms apps to lock up","project_id":30,"tracker_id":4,"status_id":1,"priority_id":1,"assigned_to_id":10,"start_date":"2017-04-23","description":"","custom_fields":[{"id":30,"name":"Category","value":"Issue"},{"id":3,"name":"Functional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15:06:29"},{"id":29,"name":"Sharepoint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681</v>
      </c>
      <c r="B48" s="7">
        <v>4043</v>
      </c>
      <c r="C48" s="21" t="s">
        <v>213</v>
      </c>
      <c r="D48" s="21" t="s">
        <v>582</v>
      </c>
      <c r="E48" s="13">
        <v>42848.345335648148</v>
      </c>
      <c r="F48" s="13">
        <v>42848.362615740742</v>
      </c>
      <c r="G48" s="7">
        <v>0</v>
      </c>
      <c r="H48" s="21" t="s">
        <v>879</v>
      </c>
      <c r="I48" s="13">
        <v>42848.379502314812</v>
      </c>
      <c r="J48" s="7">
        <v>0</v>
      </c>
      <c r="K48" s="92" t="str">
        <f t="shared" si="23"/>
        <v>4043/4044</v>
      </c>
      <c r="L48" s="21" t="str">
        <f>VLOOKUP(A48,'Trips&amp;Operators'!$C$1:$G$99999,5,FALSE)</f>
        <v>MAELZER KURT</v>
      </c>
      <c r="M48" s="6">
        <f t="shared" si="24"/>
        <v>1.6886574070667848E-2</v>
      </c>
      <c r="N48" s="7"/>
      <c r="O48" s="7"/>
      <c r="P48" s="7"/>
      <c r="Q48" s="22"/>
      <c r="R48" s="200"/>
      <c r="S48" s="206"/>
      <c r="T48" s="200" t="str">
        <f t="shared" si="25"/>
        <v>Southbound</v>
      </c>
      <c r="U48" s="200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0</v>
      </c>
      <c r="V48" s="201" t="str">
        <f t="shared" si="26"/>
        <v>https://d0f6bd738d7f1b3e5a7ca70fe4ff75f0.us-east-1.aws.found.io/app/kibana#/discover/Steve-Slow-Train-Analysis-(2080s-and-2083s)?_g=(refreshInterval:(display:Off,pause:!f,section:0,value:0),time:(from:'2017-04-23T07:17:17-0600',mode:absolute,to:'2017-04-23T10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8" s="202" t="str">
        <f t="shared" si="27"/>
        <v>Y</v>
      </c>
      <c r="X48" s="202">
        <f t="shared" si="28"/>
        <v>0</v>
      </c>
      <c r="Y48" s="202">
        <f t="shared" si="29"/>
        <v>23.2986</v>
      </c>
      <c r="Z48" s="202">
        <f t="shared" si="30"/>
        <v>23.247499999999999</v>
      </c>
      <c r="AA48" s="202">
        <f t="shared" si="31"/>
        <v>5.11000000000017E-2</v>
      </c>
      <c r="AB48" s="57" t="e">
        <f>VLOOKUP(A48,Enforcements!$C$7:$K$13,8,0)</f>
        <v>#N/A</v>
      </c>
      <c r="AC48" s="53" t="e">
        <f>VLOOKUP(A48,Enforcements!$C$7:$E$13,3,0)</f>
        <v>#N/A</v>
      </c>
      <c r="AD48" s="54" t="str">
        <f t="shared" si="32"/>
        <v>0132-23</v>
      </c>
      <c r="AE48" s="80" t="str">
        <f t="shared" si="33"/>
        <v>aws s3 cp s3://rtdc.mdm.uploadarchive.raw/RTDC4043/ "%USERPROFILE%\AppData\Local\Temp\OnboardLogs"\RTDC4043\2017-04-23 --exclude "*" --recursive --include "*20170423*" &amp; "%USERPROFILE%\Documents\GitHub\mrs-test-scripts\Headless Mode &amp; Sideloading\WalkAndUnGZ.bat" "%USERPROFILE%\AppData\Local\Temp\OnboardLogs"\RTDC4043\2017-04-23 &amp; aws s3 cp s3://rtdc.mdm.uploadarchive.raw/RTDC4043/ "%USERPROFILE%\AppData\Local\Temp\OnboardLogs"\RTDC4043\2017-04-24 --exclude "*" --recursive --include "*20170424*" &amp; "%USERPROFILE%\Documents\GitHub\mrs-test-scripts\Headless Mode &amp; Sideloading\WalkAndUnGZ.bat" "%USERPROFILE%\AppData\Local\Temp\OnboardLogs"\RTDC4043\2017-04-24</v>
      </c>
      <c r="AF48" s="77" t="str">
        <f t="shared" si="34"/>
        <v>"C:\Program Files (x86)\AstroGrep\AstroGrep.exe" /e /r /s /spath="%USERPROFILE%\AppData\Local\Temp\OnboardLogs" /stypes="app*4043*20170423*" /stext=" 15:.+((SYSTEM_STATE.+slice.+state.+changed )|(ment ac)|(multiple cpu faults)|(system.+state.+changed )|(\[timeout)|(PRM\|1\|D)|(kpr)|(kdp)|(\|lc)|(penalty))"</v>
      </c>
      <c r="AG48" s="1" t="str">
        <f t="shared" si="35"/>
        <v>EC</v>
      </c>
      <c r="AH48" s="81" t="str">
        <f t="shared" si="19"/>
        <v>"%USERPROFILE%\Documents\GitHub\eaglep3\Utilities\RefineRTDCRunTimes.py" --tripid 132-23 --locoid 4043 --swversion DE.1.0.9.0 --startMP 204:232986 --initTime 2017-04-23T08:17:17 --startdatetime 2017-04-23T08:42:10 --delay 0 --endMP 204:232475 --enddatetime 2017-04-23T09:06:29 --enforcementcount 0 &gt;&gt;C:\Users\stu\Documents\GitHub\eaglep3-reporting\EC\2017-04-23-refined-times.txt</v>
      </c>
      <c r="AI48" s="99" t="str">
        <f t="shared" si="20"/>
        <v>echo {"issue":{"subject":"","project_id":79,"tracker_id":40,"status_id":1,"priority_id":2,"assigned_to_id":23,"start_date":"2017-04-23","description":"","custom_fields":[{"id":1,"name":"Subdivision","value":"EC"},{"id":4,"name":"Milepost","value":"23.2475"},{"id":17,"name":"Train ID","value":"132-23"},{"id":16,"name":"Locomotive ID","value":"4043"},{"id":130,"name":"Impact","value":""},{"id":150,"name":"Time of Event (Mountain Time)","value":"09:06:29"},{"id":151,"name":"Denver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5" t="str">
        <f t="shared" si="21"/>
        <v>start /low /b %USERPROFILE%\Documents\GitHub\eaglep3\Utilities\DownloadLogsFromS3.py --loco 4043 --day 2017-04-23</v>
      </c>
      <c r="AN48" s="154" t="str">
        <f t="shared" si="22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15:06:29"},{"id":29,"name":"Sharepoint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677</v>
      </c>
      <c r="B49" s="7">
        <v>4016</v>
      </c>
      <c r="C49" s="21" t="s">
        <v>213</v>
      </c>
      <c r="D49" s="21" t="s">
        <v>370</v>
      </c>
      <c r="E49" s="13">
        <v>42848.317789351851</v>
      </c>
      <c r="F49" s="13">
        <v>42848.33315972222</v>
      </c>
      <c r="G49" s="7">
        <v>1</v>
      </c>
      <c r="H49" s="21" t="s">
        <v>593</v>
      </c>
      <c r="I49" s="13">
        <v>42848.333749999998</v>
      </c>
      <c r="J49" s="7">
        <v>0</v>
      </c>
      <c r="K49" s="92" t="str">
        <f t="shared" si="23"/>
        <v>4015/4016</v>
      </c>
      <c r="L49" s="21" t="str">
        <f>VLOOKUP(A49,'Trips&amp;Operators'!$C$1:$G$99999,5,FALSE)</f>
        <v>DELGADO DIANAH</v>
      </c>
      <c r="M49" s="6">
        <f t="shared" si="24"/>
        <v>5.9027777751907706E-4</v>
      </c>
      <c r="N49" s="7"/>
      <c r="O49" s="7"/>
      <c r="P49" s="7">
        <f t="shared" si="17"/>
        <v>0.84999999962747097</v>
      </c>
      <c r="Q49" s="22"/>
      <c r="R49" s="200" t="s">
        <v>1022</v>
      </c>
      <c r="S49" s="206">
        <f t="shared" si="18"/>
        <v>0</v>
      </c>
      <c r="T49" s="200" t="str">
        <f t="shared" si="25"/>
        <v>NorthBound</v>
      </c>
      <c r="U49" s="200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0</v>
      </c>
      <c r="V49" s="201" t="str">
        <f t="shared" si="26"/>
        <v>https://d0f6bd738d7f1b3e5a7ca70fe4ff75f0.us-east-1.aws.found.io/app/kibana#/discover/Steve-Slow-Train-Analysis-(2080s-and-2083s)?_g=(refreshInterval:(display:Off,pause:!f,section:0,value:0),time:(from:'2017-04-23T06:37:37-0600',mode:absolute,to:'2017-04-23T09:00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9" s="202" t="str">
        <f t="shared" si="27"/>
        <v>Y</v>
      </c>
      <c r="X49" s="202">
        <f t="shared" si="28"/>
        <v>1</v>
      </c>
      <c r="Y49" s="202">
        <f t="shared" si="29"/>
        <v>4.4900000000000002E-2</v>
      </c>
      <c r="Z49" s="202">
        <f t="shared" si="30"/>
        <v>7.1199999999999999E-2</v>
      </c>
      <c r="AA49" s="202">
        <f t="shared" si="31"/>
        <v>2.6299999999999997E-2</v>
      </c>
      <c r="AB49" s="57" t="e">
        <f>VLOOKUP(A49,Enforcements!$C$7:$K$13,8,0)</f>
        <v>#N/A</v>
      </c>
      <c r="AC49" s="53" t="e">
        <f>VLOOKUP(A49,Enforcements!$C$7:$E$13,3,0)</f>
        <v>#N/A</v>
      </c>
      <c r="AD49" s="54" t="str">
        <f t="shared" si="32"/>
        <v>0133-23</v>
      </c>
      <c r="AE49" s="80" t="str">
        <f t="shared" si="33"/>
        <v>aws s3 cp s3://rtdc.mdm.uploadarchive.raw/RTDC4016/ "%USERPROFILE%\AppData\Local\Temp\OnboardLogs"\RTDC4016\2017-04-23 --exclude "*" --recursive --include "*20170423*" &amp; "%USERPROFILE%\Documents\GitHub\mrs-test-scripts\Headless Mode &amp; Sideloading\WalkAndUnGZ.bat" "%USERPROFILE%\AppData\Local\Temp\OnboardLogs"\RTDC4016\2017-04-23 &amp; aws s3 cp s3://rtdc.mdm.uploadarchive.raw/RTDC4016/ "%USERPROFILE%\AppData\Local\Temp\OnboardLogs"\RTDC4016\2017-04-24 --exclude "*" --recursive --include "*20170424*" &amp; "%USERPROFILE%\Documents\GitHub\mrs-test-scripts\Headless Mode &amp; Sideloading\WalkAndUnGZ.bat" "%USERPROFILE%\AppData\Local\Temp\OnboardLogs"\RTDC4016\2017-04-24</v>
      </c>
      <c r="AF49" s="77" t="str">
        <f t="shared" si="34"/>
        <v>"C:\Program Files (x86)\AstroGrep\AstroGrep.exe" /e /r /s /spath="%USERPROFILE%\AppData\Local\Temp\OnboardLogs" /stypes="app*4016*20170423*" /stext=" 14:.+((SYSTEM_STATE.+slice.+state.+changed )|(ment ac)|(multiple cpu faults)|(system.+state.+changed )|(\[timeout)|(PRM\|1\|D)|(kpr)|(kdp)|(\|lc)|(penalty))"</v>
      </c>
      <c r="AG49" s="1" t="str">
        <f t="shared" si="35"/>
        <v>EC</v>
      </c>
      <c r="AH49" s="81" t="str">
        <f t="shared" si="19"/>
        <v>"%USERPROFILE%\Documents\GitHub\eaglep3\Utilities\RefineRTDCRunTimes.py" --tripid 133-23 --locoid 4016 --swversion DE.1.0.9.0 --startMP 204:449 --initTime 2017-04-23T07:37:37 --startdatetime 2017-04-23T07:59:45 --delay 1 --endMP 204:712 --enddatetime 2017-04-23T08:00:36 --enforcementcount 0 &gt;&gt;C:\Users\stu\Documents\GitHub\eaglep3-reporting\EC\2017-04-23-refined-times.txt</v>
      </c>
      <c r="AI49" s="99" t="str">
        <f t="shared" si="20"/>
        <v>echo {"issue":{"subject":"FEP-02 outage - virus scan caused PTC Comms apps to lock up","project_id":79,"tracker_id":40,"status_id":1,"priority_id":2,"assigned_to_id":23,"start_date":"2017-04-23","description":"","custom_fields":[{"id":1,"name":"Subdivision","value":"EC"},{"id":4,"name":"Milepost","value":"0.0712"},{"id":17,"name":"Train ID","value":"133-23"},{"id":16,"name":"Locomotive ID","value":"4016"},{"id":130,"name":"Impact","value":""},{"id":150,"name":"Time of Event (Mountain Time)","value":"08:00:36"},{"id":151,"name":"Denver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5" t="str">
        <f t="shared" si="21"/>
        <v>start /low /b %USERPROFILE%\Documents\GitHub\eaglep3\Utilities\DownloadLogsFromS3.py --loco 4016 --day 2017-04-23</v>
      </c>
      <c r="AN49" s="154" t="str">
        <f t="shared" si="22"/>
        <v>echo {"issue":{"subject":"FEP-02 outage - virus scan caused PTC Comms apps to lock up","project_id":30,"tracker_id":4,"status_id":1,"priority_id":1,"assigned_to_id":10,"start_date":"2017-04-23","description":"","custom_fields":[{"id":30,"name":"Category","value":"Issue"},{"id":3,"name":"Functional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14:00:36"},{"id":29,"name":"Sharepoint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677</v>
      </c>
      <c r="B50" s="7">
        <v>4016</v>
      </c>
      <c r="C50" s="21" t="s">
        <v>213</v>
      </c>
      <c r="D50" s="21" t="s">
        <v>880</v>
      </c>
      <c r="E50" s="13">
        <v>42848.332233796296</v>
      </c>
      <c r="F50" s="13">
        <v>42848.33315972222</v>
      </c>
      <c r="G50" s="7">
        <v>1</v>
      </c>
      <c r="H50" s="21" t="s">
        <v>881</v>
      </c>
      <c r="I50" s="13">
        <v>42848.333749999998</v>
      </c>
      <c r="J50" s="7">
        <v>0</v>
      </c>
      <c r="K50" s="92" t="str">
        <f t="shared" si="23"/>
        <v>4015/4016</v>
      </c>
      <c r="L50" s="21" t="str">
        <f>VLOOKUP(A50,'Trips&amp;Operators'!$C$1:$G$99999,5,FALSE)</f>
        <v>DELGADO DIANAH</v>
      </c>
      <c r="M50" s="6">
        <f t="shared" si="24"/>
        <v>5.9027777751907706E-4</v>
      </c>
      <c r="N50" s="7"/>
      <c r="O50" s="7"/>
      <c r="P50" s="7"/>
      <c r="Q50" s="22"/>
      <c r="R50" s="200"/>
      <c r="S50" s="206"/>
      <c r="T50" s="200" t="str">
        <f t="shared" si="25"/>
        <v>NorthBound</v>
      </c>
      <c r="U50" s="200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0</v>
      </c>
      <c r="V50" s="201" t="str">
        <f t="shared" si="26"/>
        <v>https://d0f6bd738d7f1b3e5a7ca70fe4ff75f0.us-east-1.aws.found.io/app/kibana#/discover/Steve-Slow-Train-Analysis-(2080s-and-2083s)?_g=(refreshInterval:(display:Off,pause:!f,section:0,value:0),time:(from:'2017-04-23T06:58:25-0600',mode:absolute,to:'2017-04-23T09:00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0" s="202" t="str">
        <f t="shared" si="27"/>
        <v>Y</v>
      </c>
      <c r="X50" s="202">
        <f t="shared" si="28"/>
        <v>0</v>
      </c>
      <c r="Y50" s="202">
        <f t="shared" si="29"/>
        <v>6.4698000000000002</v>
      </c>
      <c r="Z50" s="202">
        <f t="shared" si="30"/>
        <v>6.6881000000000004</v>
      </c>
      <c r="AA50" s="202">
        <f t="shared" si="31"/>
        <v>0.21830000000000016</v>
      </c>
      <c r="AB50" s="57" t="e">
        <f>VLOOKUP(A50,Enforcements!$C$7:$K$13,8,0)</f>
        <v>#N/A</v>
      </c>
      <c r="AC50" s="53" t="e">
        <f>VLOOKUP(A50,Enforcements!$C$7:$E$13,3,0)</f>
        <v>#N/A</v>
      </c>
      <c r="AD50" s="54" t="str">
        <f t="shared" si="32"/>
        <v>0133-23</v>
      </c>
      <c r="AE50" s="80" t="str">
        <f t="shared" si="33"/>
        <v>aws s3 cp s3://rtdc.mdm.uploadarchive.raw/RTDC4016/ "%USERPROFILE%\AppData\Local\Temp\OnboardLogs"\RTDC4016\2017-04-23 --exclude "*" --recursive --include "*20170423*" &amp; "%USERPROFILE%\Documents\GitHub\mrs-test-scripts\Headless Mode &amp; Sideloading\WalkAndUnGZ.bat" "%USERPROFILE%\AppData\Local\Temp\OnboardLogs"\RTDC4016\2017-04-23 &amp; aws s3 cp s3://rtdc.mdm.uploadarchive.raw/RTDC4016/ "%USERPROFILE%\AppData\Local\Temp\OnboardLogs"\RTDC4016\2017-04-24 --exclude "*" --recursive --include "*20170424*" &amp; "%USERPROFILE%\Documents\GitHub\mrs-test-scripts\Headless Mode &amp; Sideloading\WalkAndUnGZ.bat" "%USERPROFILE%\AppData\Local\Temp\OnboardLogs"\RTDC4016\2017-04-24</v>
      </c>
      <c r="AF50" s="77" t="str">
        <f t="shared" si="34"/>
        <v>"C:\Program Files (x86)\AstroGrep\AstroGrep.exe" /e /r /s /spath="%USERPROFILE%\AppData\Local\Temp\OnboardLogs" /stypes="app*4016*20170423*" /stext=" 14:.+((SYSTEM_STATE.+slice.+state.+changed )|(ment ac)|(multiple cpu faults)|(system.+state.+changed )|(\[timeout)|(PRM\|1\|D)|(kpr)|(kdp)|(\|lc)|(penalty))"</v>
      </c>
      <c r="AG50" s="1" t="str">
        <f t="shared" si="35"/>
        <v>EC</v>
      </c>
      <c r="AH50" s="81" t="str">
        <f t="shared" si="19"/>
        <v>"%USERPROFILE%\Documents\GitHub\eaglep3\Utilities\RefineRTDCRunTimes.py" --tripid 133-23 --locoid 4016 --swversion DE.1.0.9.0 --startMP 204:64698 --initTime 2017-04-23T07:58:25 --startdatetime 2017-04-23T07:59:45 --delay 1 --endMP 204:66881 --enddatetime 2017-04-23T08:00:36 --enforcementcount 0 &gt;&gt;C:\Users\stu\Documents\GitHub\eaglep3-reporting\EC\2017-04-23-refined-times.txt</v>
      </c>
      <c r="AI50" s="99" t="str">
        <f t="shared" si="20"/>
        <v>echo {"issue":{"subject":"","project_id":79,"tracker_id":40,"status_id":1,"priority_id":2,"assigned_to_id":23,"start_date":"2017-04-23","description":"","custom_fields":[{"id":1,"name":"Subdivision","value":"EC"},{"id":4,"name":"Milepost","value":"6.6881"},{"id":17,"name":"Train ID","value":"133-23"},{"id":16,"name":"Locomotive ID","value":"4016"},{"id":130,"name":"Impact","value":""},{"id":150,"name":"Time of Event (Mountain Time)","value":"08:00:36"},{"id":151,"name":"Denver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5" t="str">
        <f t="shared" si="21"/>
        <v>start /low /b %USERPROFILE%\Documents\GitHub\eaglep3\Utilities\DownloadLogsFromS3.py --loco 4016 --day 2017-04-23</v>
      </c>
      <c r="AN50" s="154" t="str">
        <f t="shared" si="22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14:00:36"},{"id":29,"name":"Sharepoint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683</v>
      </c>
      <c r="B51" s="7">
        <v>4015</v>
      </c>
      <c r="C51" s="21" t="s">
        <v>213</v>
      </c>
      <c r="D51" s="21" t="s">
        <v>882</v>
      </c>
      <c r="E51" s="13">
        <v>42848.351331018515</v>
      </c>
      <c r="F51" s="13">
        <v>42848.362037037034</v>
      </c>
      <c r="G51" s="7">
        <v>1</v>
      </c>
      <c r="H51" s="21" t="s">
        <v>438</v>
      </c>
      <c r="I51" s="13">
        <v>42848.388645833336</v>
      </c>
      <c r="J51" s="7">
        <v>0</v>
      </c>
      <c r="K51" s="92" t="str">
        <f t="shared" si="23"/>
        <v>4015/4016</v>
      </c>
      <c r="L51" s="21" t="str">
        <f>VLOOKUP(A51,'Trips&amp;Operators'!$C$1:$G$99999,5,FALSE)</f>
        <v>DELGADO DIANAH</v>
      </c>
      <c r="M51" s="6">
        <f t="shared" si="24"/>
        <v>2.6608796302753035E-2</v>
      </c>
      <c r="N51" s="7">
        <f>24*60*SUM($M51:$M51)</f>
        <v>38.31666667596437</v>
      </c>
      <c r="O51" s="7"/>
      <c r="P51" s="7"/>
      <c r="Q51" s="22"/>
      <c r="R51" s="200"/>
      <c r="S51" s="206">
        <f>SUM(U51:U51)/IF(AG51="EC",12,1)</f>
        <v>1</v>
      </c>
      <c r="T51" s="200" t="str">
        <f t="shared" si="25"/>
        <v>Southbound</v>
      </c>
      <c r="U51" s="200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01" t="str">
        <f t="shared" si="26"/>
        <v>https://d0f6bd738d7f1b3e5a7ca70fe4ff75f0.us-east-1.aws.found.io/app/kibana#/discover/Steve-Slow-Train-Analysis-(2080s-and-2083s)?_g=(refreshInterval:(display:Off,pause:!f,section:0,value:0),time:(from:'2017-04-23T07:25:55-0600',mode:absolute,to:'2017-04-23T10:19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1" s="202" t="str">
        <f t="shared" si="27"/>
        <v>N</v>
      </c>
      <c r="X51" s="202">
        <f t="shared" si="28"/>
        <v>1</v>
      </c>
      <c r="Y51" s="202">
        <f t="shared" si="29"/>
        <v>23.305299999999999</v>
      </c>
      <c r="Z51" s="202">
        <f t="shared" si="30"/>
        <v>1.3599999999999999E-2</v>
      </c>
      <c r="AA51" s="202">
        <f t="shared" si="31"/>
        <v>23.291699999999999</v>
      </c>
      <c r="AB51" s="57" t="e">
        <f>VLOOKUP(A51,Enforcements!$C$7:$K$13,8,0)</f>
        <v>#N/A</v>
      </c>
      <c r="AC51" s="53" t="e">
        <f>VLOOKUP(A51,Enforcements!$C$7:$E$13,3,0)</f>
        <v>#N/A</v>
      </c>
      <c r="AD51" s="54" t="str">
        <f t="shared" si="32"/>
        <v>0134-23</v>
      </c>
      <c r="AE51" s="80" t="str">
        <f t="shared" si="33"/>
        <v>aws s3 cp s3://rtdc.mdm.uploadarchive.raw/RTDC4015/ "%USERPROFILE%\AppData\Local\Temp\OnboardLogs"\RTDC4015\2017-04-23 --exclude "*" --recursive --include "*20170423*" &amp; "%USERPROFILE%\Documents\GitHub\mrs-test-scripts\Headless Mode &amp; Sideloading\WalkAndUnGZ.bat" "%USERPROFILE%\AppData\Local\Temp\OnboardLogs"\RTDC4015\2017-04-23 &amp; aws s3 cp s3://rtdc.mdm.uploadarchive.raw/RTDC4015/ "%USERPROFILE%\AppData\Local\Temp\OnboardLogs"\RTDC4015\2017-04-24 --exclude "*" --recursive --include "*20170424*" &amp; "%USERPROFILE%\Documents\GitHub\mrs-test-scripts\Headless Mode &amp; Sideloading\WalkAndUnGZ.bat" "%USERPROFILE%\AppData\Local\Temp\OnboardLogs"\RTDC4015\2017-04-24</v>
      </c>
      <c r="AF51" s="77" t="str">
        <f t="shared" si="34"/>
        <v>"C:\Program Files (x86)\AstroGrep\AstroGrep.exe" /e /r /s /spath="%USERPROFILE%\AppData\Local\Temp\OnboardLogs" /stypes="app*4015*20170423*" /stext=" 15:.+((SYSTEM_STATE.+slice.+state.+changed )|(ment ac)|(multiple cpu faults)|(system.+state.+changed )|(\[timeout)|(PRM\|1\|D)|(kpr)|(kdp)|(\|lc)|(penalty))"</v>
      </c>
      <c r="AG51" s="1" t="str">
        <f t="shared" si="35"/>
        <v>EC</v>
      </c>
      <c r="AH51" s="81" t="str">
        <f t="shared" si="19"/>
        <v>"%USERPROFILE%\Documents\GitHub\eaglep3\Utilities\RefineRTDCRunTimes.py" --tripid 134-23 --locoid 4015 --swversion DE.1.0.9.0 --startMP 204:233053 --initTime 2017-04-23T08:25:55 --startdatetime 2017-04-23T08:41:20 --delay 1 --endMP 204:136 --enddatetime 2017-04-23T09:19:39 --enforcementcount 0 &gt;&gt;C:\Users\stu\Documents\GitHub\eaglep3-reporting\EC\2017-04-23-refined-times.txt</v>
      </c>
      <c r="AI51" s="99" t="str">
        <f t="shared" si="20"/>
        <v>echo {"issue":{"subject":"","project_id":79,"tracker_id":40,"status_id":1,"priority_id":2,"assigned_to_id":23,"start_date":"2017-04-23","description":"","custom_fields":[{"id":1,"name":"Subdivision","value":"EC"},{"id":4,"name":"Milepost","value":"0.0136"},{"id":17,"name":"Train ID","value":"134-23"},{"id":16,"name":"Locomotive ID","value":"4015"},{"id":130,"name":"Impact","value":""},{"id":150,"name":"Time of Event (Mountain Time)","value":"09:19:39"},{"id":151,"name":"Denver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5" t="str">
        <f t="shared" si="21"/>
        <v>start /low /b %USERPROFILE%\Documents\GitHub\eaglep3\Utilities\DownloadLogsFromS3.py --loco 4015 --day 2017-04-23</v>
      </c>
      <c r="AN51" s="154" t="str">
        <f t="shared" si="22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15:19:39"},{"id":29,"name":"Sharepoint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678</v>
      </c>
      <c r="B52" s="7">
        <v>4022</v>
      </c>
      <c r="C52" s="21" t="s">
        <v>213</v>
      </c>
      <c r="D52" s="21" t="s">
        <v>386</v>
      </c>
      <c r="E52" s="13">
        <v>42848.327592592592</v>
      </c>
      <c r="F52" s="13">
        <v>42848.333541666667</v>
      </c>
      <c r="G52" s="7">
        <v>1</v>
      </c>
      <c r="H52" s="21" t="s">
        <v>840</v>
      </c>
      <c r="I52" s="13">
        <v>42848.333668981482</v>
      </c>
      <c r="J52" s="7">
        <v>0</v>
      </c>
      <c r="K52" s="92" t="str">
        <f t="shared" si="23"/>
        <v>4021/4022</v>
      </c>
      <c r="L52" s="21" t="str">
        <f>VLOOKUP(A52,'Trips&amp;Operators'!$C$1:$G$99999,5,FALSE)</f>
        <v>DAVIS WENDY</v>
      </c>
      <c r="M52" s="6">
        <f t="shared" si="24"/>
        <v>1.273148154723458E-4</v>
      </c>
      <c r="N52" s="7"/>
      <c r="O52" s="7"/>
      <c r="P52" s="7">
        <f t="shared" si="17"/>
        <v>0.18333333428017795</v>
      </c>
      <c r="Q52" s="22"/>
      <c r="R52" s="200" t="s">
        <v>1022</v>
      </c>
      <c r="S52" s="206">
        <f t="shared" ref="S52" si="36">SUM(U52:U52)/IF(AG52="EC",12,1)</f>
        <v>0</v>
      </c>
      <c r="T52" s="200" t="str">
        <f t="shared" si="25"/>
        <v>NorthBound</v>
      </c>
      <c r="U52" s="200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0</v>
      </c>
      <c r="V52" s="201" t="str">
        <f t="shared" si="26"/>
        <v>https://d0f6bd738d7f1b3e5a7ca70fe4ff75f0.us-east-1.aws.found.io/app/kibana#/discover/Steve-Slow-Train-Analysis-(2080s-and-2083s)?_g=(refreshInterval:(display:Off,pause:!f,section:0,value:0),time:(from:'2017-04-23T06:51:44-0600',mode:absolute,to:'2017-04-23T09:00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52" s="202" t="str">
        <f t="shared" si="27"/>
        <v>Y</v>
      </c>
      <c r="X52" s="202">
        <f t="shared" si="28"/>
        <v>1</v>
      </c>
      <c r="Y52" s="202">
        <f t="shared" si="29"/>
        <v>4.6199999999999998E-2</v>
      </c>
      <c r="Z52" s="202">
        <f t="shared" si="30"/>
        <v>7.9200000000000007E-2</v>
      </c>
      <c r="AA52" s="202">
        <f t="shared" si="31"/>
        <v>3.3000000000000008E-2</v>
      </c>
      <c r="AB52" s="57" t="e">
        <f>VLOOKUP(A52,Enforcements!$C$7:$K$13,8,0)</f>
        <v>#N/A</v>
      </c>
      <c r="AC52" s="53" t="e">
        <f>VLOOKUP(A52,Enforcements!$C$7:$E$13,3,0)</f>
        <v>#N/A</v>
      </c>
      <c r="AD52" s="54" t="str">
        <f t="shared" si="32"/>
        <v>0135-23</v>
      </c>
      <c r="AE52" s="80" t="str">
        <f t="shared" si="33"/>
        <v>aws s3 cp s3://rtdc.mdm.uploadarchive.raw/RTDC4022/ "%USERPROFILE%\AppData\Local\Temp\OnboardLogs"\RTDC4022\2017-04-23 --exclude "*" --recursive --include "*20170423*" &amp; "%USERPROFILE%\Documents\GitHub\mrs-test-scripts\Headless Mode &amp; Sideloading\WalkAndUnGZ.bat" "%USERPROFILE%\AppData\Local\Temp\OnboardLogs"\RTDC4022\2017-04-23 &amp; aws s3 cp s3://rtdc.mdm.uploadarchive.raw/RTDC4022/ "%USERPROFILE%\AppData\Local\Temp\OnboardLogs"\RTDC4022\2017-04-24 --exclude "*" --recursive --include "*20170424*" &amp; "%USERPROFILE%\Documents\GitHub\mrs-test-scripts\Headless Mode &amp; Sideloading\WalkAndUnGZ.bat" "%USERPROFILE%\AppData\Local\Temp\OnboardLogs"\RTDC4022\2017-04-24</v>
      </c>
      <c r="AF52" s="77" t="str">
        <f t="shared" si="34"/>
        <v>"C:\Program Files (x86)\AstroGrep\AstroGrep.exe" /e /r /s /spath="%USERPROFILE%\AppData\Local\Temp\OnboardLogs" /stypes="app*4022*20170423*" /stext=" 14:.+((SYSTEM_STATE.+slice.+state.+changed )|(ment ac)|(multiple cpu faults)|(system.+state.+changed )|(\[timeout)|(PRM\|1\|D)|(kpr)|(kdp)|(\|lc)|(penalty))"</v>
      </c>
      <c r="AG52" s="1" t="str">
        <f t="shared" si="35"/>
        <v>EC</v>
      </c>
      <c r="AH52" s="81" t="str">
        <f t="shared" si="19"/>
        <v>"%USERPROFILE%\Documents\GitHub\eaglep3\Utilities\RefineRTDCRunTimes.py" --tripid 135-23 --locoid 4022 --swversion DE.1.0.9.0 --startMP 204:462 --initTime 2017-04-23T07:51:44 --startdatetime 2017-04-23T08:00:18 --delay 1 --endMP 204:792 --enddatetime 2017-04-23T08:00:29 --enforcementcount 0 &gt;&gt;C:\Users\stu\Documents\GitHub\eaglep3-reporting\EC\2017-04-23-refined-times.txt</v>
      </c>
      <c r="AI52" s="99" t="str">
        <f t="shared" si="20"/>
        <v>echo {"issue":{"subject":"FEP-02 outage - virus scan caused PTC Comms apps to lock up","project_id":79,"tracker_id":40,"status_id":1,"priority_id":2,"assigned_to_id":23,"start_date":"2017-04-23","description":"","custom_fields":[{"id":1,"name":"Subdivision","value":"EC"},{"id":4,"name":"Milepost","value":"0.0792"},{"id":17,"name":"Train ID","value":"135-23"},{"id":16,"name":"Locomotive ID","value":"4022"},{"id":130,"name":"Impact","value":""},{"id":150,"name":"Time of Event (Mountain Time)","value":"08:00:29"},{"id":151,"name":"Denver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5" t="str">
        <f t="shared" si="21"/>
        <v>start /low /b %USERPROFILE%\Documents\GitHub\eaglep3\Utilities\DownloadLogsFromS3.py --loco 4022 --day 2017-04-23</v>
      </c>
      <c r="AN52" s="154" t="str">
        <f t="shared" si="22"/>
        <v>echo {"issue":{"subject":"FEP-02 outage - virus scan caused PTC Comms apps to lock up","project_id":30,"tracker_id":4,"status_id":1,"priority_id":1,"assigned_to_id":10,"start_date":"2017-04-23","description":"","custom_fields":[{"id":30,"name":"Category","value":"Issue"},{"id":3,"name":"Functional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14:00:29"},{"id":29,"name":"Sharepoint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686</v>
      </c>
      <c r="B53" s="7">
        <v>4021</v>
      </c>
      <c r="C53" s="21" t="s">
        <v>213</v>
      </c>
      <c r="D53" s="21" t="s">
        <v>843</v>
      </c>
      <c r="E53" s="13">
        <v>42848.365810185183</v>
      </c>
      <c r="F53" s="13">
        <v>42848.372384259259</v>
      </c>
      <c r="G53" s="7">
        <v>1</v>
      </c>
      <c r="H53" s="21" t="s">
        <v>478</v>
      </c>
      <c r="I53" s="13">
        <v>42848.400636574072</v>
      </c>
      <c r="J53" s="7">
        <v>0</v>
      </c>
      <c r="K53" s="92" t="str">
        <f t="shared" si="23"/>
        <v>4021/4022</v>
      </c>
      <c r="L53" s="21" t="str">
        <f>VLOOKUP(A53,'Trips&amp;Operators'!$C$1:$G$99999,5,FALSE)</f>
        <v>DAVIS WENDY</v>
      </c>
      <c r="M53" s="6">
        <f t="shared" si="24"/>
        <v>2.8252314812561963E-2</v>
      </c>
      <c r="N53" s="7">
        <f>24*60*SUM($M53:$M53)</f>
        <v>40.683333330089226</v>
      </c>
      <c r="O53" s="7"/>
      <c r="P53" s="7"/>
      <c r="Q53" s="22"/>
      <c r="R53" s="200"/>
      <c r="S53" s="206">
        <f>SUM(U53:U53)/IF(AG53="EC",12,1)</f>
        <v>1</v>
      </c>
      <c r="T53" s="200" t="str">
        <f t="shared" si="25"/>
        <v>Southbound</v>
      </c>
      <c r="U53" s="200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01" t="str">
        <f t="shared" si="26"/>
        <v>https://d0f6bd738d7f1b3e5a7ca70fe4ff75f0.us-east-1.aws.found.io/app/kibana#/discover/Steve-Slow-Train-Analysis-(2080s-and-2083s)?_g=(refreshInterval:(display:Off,pause:!f,section:0,value:0),time:(from:'2017-04-23T07:46:46-0600',mode:absolute,to:'2017-04-23T10:36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53" s="202" t="str">
        <f t="shared" si="27"/>
        <v>N</v>
      </c>
      <c r="X53" s="202">
        <f t="shared" si="28"/>
        <v>1</v>
      </c>
      <c r="Y53" s="202">
        <f t="shared" si="29"/>
        <v>23.299600000000002</v>
      </c>
      <c r="Z53" s="202">
        <f t="shared" si="30"/>
        <v>1.34E-2</v>
      </c>
      <c r="AA53" s="202">
        <f t="shared" si="31"/>
        <v>23.286200000000001</v>
      </c>
      <c r="AB53" s="57" t="e">
        <f>VLOOKUP(A53,Enforcements!$C$7:$K$13,8,0)</f>
        <v>#N/A</v>
      </c>
      <c r="AC53" s="53" t="e">
        <f>VLOOKUP(A53,Enforcements!$C$7:$E$13,3,0)</f>
        <v>#N/A</v>
      </c>
      <c r="AD53" s="54" t="str">
        <f t="shared" si="32"/>
        <v>0136-23</v>
      </c>
      <c r="AE53" s="80" t="str">
        <f t="shared" si="33"/>
        <v>aws s3 cp s3://rtdc.mdm.uploadarchive.raw/RTDC4021/ "%USERPROFILE%\AppData\Local\Temp\OnboardLogs"\RTDC4021\2017-04-23 --exclude "*" --recursive --include "*20170423*" &amp; "%USERPROFILE%\Documents\GitHub\mrs-test-scripts\Headless Mode &amp; Sideloading\WalkAndUnGZ.bat" "%USERPROFILE%\AppData\Local\Temp\OnboardLogs"\RTDC4021\2017-04-23 &amp; aws s3 cp s3://rtdc.mdm.uploadarchive.raw/RTDC4021/ "%USERPROFILE%\AppData\Local\Temp\OnboardLogs"\RTDC4021\2017-04-24 --exclude "*" --recursive --include "*20170424*" &amp; "%USERPROFILE%\Documents\GitHub\mrs-test-scripts\Headless Mode &amp; Sideloading\WalkAndUnGZ.bat" "%USERPROFILE%\AppData\Local\Temp\OnboardLogs"\RTDC4021\2017-04-24</v>
      </c>
      <c r="AF53" s="77" t="str">
        <f t="shared" si="34"/>
        <v>"C:\Program Files (x86)\AstroGrep\AstroGrep.exe" /e /r /s /spath="%USERPROFILE%\AppData\Local\Temp\OnboardLogs" /stypes="app*4021*20170423*" /stext=" 15:.+((SYSTEM_STATE.+slice.+state.+changed )|(ment ac)|(multiple cpu faults)|(system.+state.+changed )|(\[timeout)|(PRM\|1\|D)|(kpr)|(kdp)|(\|lc)|(penalty))"</v>
      </c>
      <c r="AG53" s="1" t="str">
        <f t="shared" si="35"/>
        <v>EC</v>
      </c>
      <c r="AH53" s="81" t="str">
        <f t="shared" si="19"/>
        <v>"%USERPROFILE%\Documents\GitHub\eaglep3\Utilities\RefineRTDCRunTimes.py" --tripid 136-23 --locoid 4021 --swversion DE.1.0.9.0 --startMP 204:232996 --initTime 2017-04-23T08:46:46 --startdatetime 2017-04-23T08:56:14 --delay 1 --endMP 204:134 --enddatetime 2017-04-23T09:36:55 --enforcementcount 0 &gt;&gt;C:\Users\stu\Documents\GitHub\eaglep3-reporting\EC\2017-04-23-refined-times.txt</v>
      </c>
      <c r="AI53" s="99" t="str">
        <f t="shared" si="20"/>
        <v>echo {"issue":{"subject":"","project_id":79,"tracker_id":40,"status_id":1,"priority_id":2,"assigned_to_id":23,"start_date":"2017-04-23","description":"","custom_fields":[{"id":1,"name":"Subdivision","value":"EC"},{"id":4,"name":"Milepost","value":"0.0134"},{"id":17,"name":"Train ID","value":"136-23"},{"id":16,"name":"Locomotive ID","value":"4021"},{"id":130,"name":"Impact","value":""},{"id":150,"name":"Time of Event (Mountain Time)","value":"09:36:55"},{"id":151,"name":"Denver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5" t="str">
        <f t="shared" si="21"/>
        <v>start /low /b %USERPROFILE%\Documents\GitHub\eaglep3\Utilities\DownloadLogsFromS3.py --loco 4021 --day 2017-04-23</v>
      </c>
      <c r="AN53" s="154" t="str">
        <f t="shared" si="22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15:36:55"},{"id":29,"name":"Sharepoint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680</v>
      </c>
      <c r="B54" s="7">
        <v>4042</v>
      </c>
      <c r="C54" s="21" t="s">
        <v>213</v>
      </c>
      <c r="D54" s="21" t="s">
        <v>883</v>
      </c>
      <c r="E54" s="13">
        <v>42848.346921296295</v>
      </c>
      <c r="F54" s="13">
        <v>42848.347812499997</v>
      </c>
      <c r="G54" s="7">
        <v>1</v>
      </c>
      <c r="H54" s="21" t="s">
        <v>884</v>
      </c>
      <c r="I54" s="13">
        <v>42848.34983796296</v>
      </c>
      <c r="J54" s="7">
        <v>0</v>
      </c>
      <c r="K54" s="92" t="str">
        <f t="shared" si="23"/>
        <v>4041/4042</v>
      </c>
      <c r="L54" s="21" t="str">
        <f>VLOOKUP(A54,'Trips&amp;Operators'!$C$1:$G$99999,5,FALSE)</f>
        <v>ROBINSON KADDIBA</v>
      </c>
      <c r="M54" s="6">
        <f t="shared" si="24"/>
        <v>2.0254629635019228E-3</v>
      </c>
      <c r="N54" s="7"/>
      <c r="O54" s="7"/>
      <c r="P54" s="7"/>
      <c r="Q54" s="22"/>
      <c r="R54" s="200"/>
      <c r="S54" s="206"/>
      <c r="T54" s="200" t="str">
        <f t="shared" si="25"/>
        <v>NorthBound</v>
      </c>
      <c r="U54" s="200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</v>
      </c>
      <c r="V54" s="201" t="str">
        <f t="shared" si="26"/>
        <v>https://d0f6bd738d7f1b3e5a7ca70fe4ff75f0.us-east-1.aws.found.io/app/kibana#/discover/Steve-Slow-Train-Analysis-(2080s-and-2083s)?_g=(refreshInterval:(display:Off,pause:!f,section:0,value:0),time:(from:'2017-04-23T07:19:34-0600',mode:absolute,to:'2017-04-23T09:23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4" s="202" t="str">
        <f t="shared" si="27"/>
        <v>Y</v>
      </c>
      <c r="X54" s="202">
        <f t="shared" si="28"/>
        <v>1</v>
      </c>
      <c r="Y54" s="202">
        <f t="shared" si="29"/>
        <v>1.9126000000000001</v>
      </c>
      <c r="Z54" s="202">
        <f t="shared" si="30"/>
        <v>2.7967</v>
      </c>
      <c r="AA54" s="202">
        <f t="shared" si="31"/>
        <v>0.88409999999999989</v>
      </c>
      <c r="AB54" s="57" t="e">
        <f>VLOOKUP(A54,Enforcements!$C$7:$K$13,8,0)</f>
        <v>#N/A</v>
      </c>
      <c r="AC54" s="53" t="e">
        <f>VLOOKUP(A54,Enforcements!$C$7:$E$13,3,0)</f>
        <v>#N/A</v>
      </c>
      <c r="AD54" s="54" t="str">
        <f t="shared" si="32"/>
        <v>0137-23</v>
      </c>
      <c r="AE54" s="80" t="str">
        <f t="shared" si="33"/>
        <v>aws s3 cp s3://rtdc.mdm.uploadarchive.raw/RTDC4042/ "%USERPROFILE%\AppData\Local\Temp\OnboardLogs"\RTDC4042\2017-04-23 --exclude "*" --recursive --include "*20170423*" &amp; "%USERPROFILE%\Documents\GitHub\mrs-test-scripts\Headless Mode &amp; Sideloading\WalkAndUnGZ.bat" "%USERPROFILE%\AppData\Local\Temp\OnboardLogs"\RTDC4042\2017-04-23 &amp; aws s3 cp s3://rtdc.mdm.uploadarchive.raw/RTDC4042/ "%USERPROFILE%\AppData\Local\Temp\OnboardLogs"\RTDC4042\2017-04-24 --exclude "*" --recursive --include "*20170424*" &amp; "%USERPROFILE%\Documents\GitHub\mrs-test-scripts\Headless Mode &amp; Sideloading\WalkAndUnGZ.bat" "%USERPROFILE%\AppData\Local\Temp\OnboardLogs"\RTDC4042\2017-04-24</v>
      </c>
      <c r="AF54" s="77" t="str">
        <f t="shared" si="34"/>
        <v>"C:\Program Files (x86)\AstroGrep\AstroGrep.exe" /e /r /s /spath="%USERPROFILE%\AppData\Local\Temp\OnboardLogs" /stypes="app*4042*20170423*" /stext=" 14:.+((SYSTEM_STATE.+slice.+state.+changed )|(ment ac)|(multiple cpu faults)|(system.+state.+changed )|(\[timeout)|(PRM\|1\|D)|(kpr)|(kdp)|(\|lc)|(penalty))"</v>
      </c>
      <c r="AG54" s="1" t="str">
        <f t="shared" si="35"/>
        <v>EC</v>
      </c>
      <c r="AH54" s="81" t="str">
        <f t="shared" si="19"/>
        <v>"%USERPROFILE%\Documents\GitHub\eaglep3\Utilities\RefineRTDCRunTimes.py" --tripid 137-23 --locoid 4042 --swversion DE.1.0.9.0 --startMP 204:19126 --initTime 2017-04-23T08:19:34 --startdatetime 2017-04-23T08:20:51 --delay 1 --endMP 204:27967 --enddatetime 2017-04-23T08:23:46 --enforcementcount 0 &gt;&gt;C:\Users\stu\Documents\GitHub\eaglep3-reporting\EC\2017-04-23-refined-times.txt</v>
      </c>
      <c r="AI54" s="99" t="str">
        <f t="shared" si="20"/>
        <v>echo {"issue":{"subject":"","project_id":79,"tracker_id":40,"status_id":1,"priority_id":2,"assigned_to_id":23,"start_date":"2017-04-23","description":"","custom_fields":[{"id":1,"name":"Subdivision","value":"EC"},{"id":4,"name":"Milepost","value":"2.7967"},{"id":17,"name":"Train ID","value":"137-23"},{"id":16,"name":"Locomotive ID","value":"4042"},{"id":130,"name":"Impact","value":""},{"id":150,"name":"Time of Event (Mountain Time)","value":"08:23:46"},{"id":151,"name":"Denver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5" t="str">
        <f t="shared" si="21"/>
        <v>start /low /b %USERPROFILE%\Documents\GitHub\eaglep3\Utilities\DownloadLogsFromS3.py --loco 4042 --day 2017-04-23</v>
      </c>
      <c r="AN54" s="154" t="str">
        <f t="shared" si="22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14:23:46"},{"id":29,"name":"Sharepoint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680</v>
      </c>
      <c r="B55" s="7">
        <v>4042</v>
      </c>
      <c r="C55" s="21" t="s">
        <v>213</v>
      </c>
      <c r="D55" s="21" t="s">
        <v>420</v>
      </c>
      <c r="E55" s="13">
        <v>42848.336724537039</v>
      </c>
      <c r="F55" s="13">
        <v>42848.347812499997</v>
      </c>
      <c r="G55" s="7">
        <v>1</v>
      </c>
      <c r="H55" s="21" t="s">
        <v>885</v>
      </c>
      <c r="I55" s="13">
        <v>42848.34983796296</v>
      </c>
      <c r="J55" s="7">
        <v>0</v>
      </c>
      <c r="K55" s="92" t="str">
        <f t="shared" si="23"/>
        <v>4041/4042</v>
      </c>
      <c r="L55" s="21" t="str">
        <f>VLOOKUP(A55,'Trips&amp;Operators'!$C$1:$G$99999,5,FALSE)</f>
        <v>ROBINSON KADDIBA</v>
      </c>
      <c r="M55" s="6">
        <f t="shared" si="24"/>
        <v>2.0254629635019228E-3</v>
      </c>
      <c r="N55" s="7"/>
      <c r="O55" s="7"/>
      <c r="P55" s="7">
        <f t="shared" si="17"/>
        <v>2.9166666674427688</v>
      </c>
      <c r="Q55" s="22"/>
      <c r="R55" s="200" t="s">
        <v>1022</v>
      </c>
      <c r="S55" s="206">
        <f t="shared" ref="S55" si="37">SUM(U55:U55)/IF(AG55="EC",12,1)</f>
        <v>0</v>
      </c>
      <c r="T55" s="200" t="str">
        <f t="shared" si="25"/>
        <v>NorthBound</v>
      </c>
      <c r="U55" s="200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0</v>
      </c>
      <c r="V55" s="201" t="str">
        <f t="shared" si="26"/>
        <v>https://d0f6bd738d7f1b3e5a7ca70fe4ff75f0.us-east-1.aws.found.io/app/kibana#/discover/Steve-Slow-Train-Analysis-(2080s-and-2083s)?_g=(refreshInterval:(display:Off,pause:!f,section:0,value:0),time:(from:'2017-04-23T07:04:53-0600',mode:absolute,to:'2017-04-23T09:23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5" s="202" t="str">
        <f t="shared" si="27"/>
        <v>Y</v>
      </c>
      <c r="X55" s="202">
        <f t="shared" si="28"/>
        <v>0</v>
      </c>
      <c r="Y55" s="202">
        <f t="shared" si="29"/>
        <v>4.7300000000000002E-2</v>
      </c>
      <c r="Z55" s="202">
        <f t="shared" si="30"/>
        <v>9.6100000000000005E-2</v>
      </c>
      <c r="AA55" s="202">
        <f t="shared" si="31"/>
        <v>4.8800000000000003E-2</v>
      </c>
      <c r="AB55" s="57" t="e">
        <f>VLOOKUP(A55,Enforcements!$C$7:$K$13,8,0)</f>
        <v>#N/A</v>
      </c>
      <c r="AC55" s="53" t="e">
        <f>VLOOKUP(A55,Enforcements!$C$7:$E$13,3,0)</f>
        <v>#N/A</v>
      </c>
      <c r="AD55" s="54" t="str">
        <f t="shared" si="32"/>
        <v>0137-23</v>
      </c>
      <c r="AE55" s="80" t="str">
        <f t="shared" si="33"/>
        <v>aws s3 cp s3://rtdc.mdm.uploadarchive.raw/RTDC4042/ "%USERPROFILE%\AppData\Local\Temp\OnboardLogs"\RTDC4042\2017-04-23 --exclude "*" --recursive --include "*20170423*" &amp; "%USERPROFILE%\Documents\GitHub\mrs-test-scripts\Headless Mode &amp; Sideloading\WalkAndUnGZ.bat" "%USERPROFILE%\AppData\Local\Temp\OnboardLogs"\RTDC4042\2017-04-23 &amp; aws s3 cp s3://rtdc.mdm.uploadarchive.raw/RTDC4042/ "%USERPROFILE%\AppData\Local\Temp\OnboardLogs"\RTDC4042\2017-04-24 --exclude "*" --recursive --include "*20170424*" &amp; "%USERPROFILE%\Documents\GitHub\mrs-test-scripts\Headless Mode &amp; Sideloading\WalkAndUnGZ.bat" "%USERPROFILE%\AppData\Local\Temp\OnboardLogs"\RTDC4042\2017-04-24</v>
      </c>
      <c r="AF55" s="77" t="str">
        <f t="shared" si="34"/>
        <v>"C:\Program Files (x86)\AstroGrep\AstroGrep.exe" /e /r /s /spath="%USERPROFILE%\AppData\Local\Temp\OnboardLogs" /stypes="app*4042*20170423*" /stext=" 14:.+((SYSTEM_STATE.+slice.+state.+changed )|(ment ac)|(multiple cpu faults)|(system.+state.+changed )|(\[timeout)|(PRM\|1\|D)|(kpr)|(kdp)|(\|lc)|(penalty))"</v>
      </c>
      <c r="AG55" s="1" t="str">
        <f t="shared" si="35"/>
        <v>EC</v>
      </c>
      <c r="AH55" s="81" t="str">
        <f t="shared" si="19"/>
        <v>"%USERPROFILE%\Documents\GitHub\eaglep3\Utilities\RefineRTDCRunTimes.py" --tripid 137-23 --locoid 4042 --swversion DE.1.0.9.0 --startMP 204:473 --initTime 2017-04-23T08:04:53 --startdatetime 2017-04-23T08:20:51 --delay 1 --endMP 204:961 --enddatetime 2017-04-23T08:23:46 --enforcementcount 0 &gt;&gt;C:\Users\stu\Documents\GitHub\eaglep3-reporting\EC\2017-04-23-refined-times.txt</v>
      </c>
      <c r="AI55" s="99" t="str">
        <f t="shared" si="20"/>
        <v>echo {"issue":{"subject":"FEP-02 outage - virus scan caused PTC Comms apps to lock up","project_id":79,"tracker_id":40,"status_id":1,"priority_id":2,"assigned_to_id":23,"start_date":"2017-04-23","description":"","custom_fields":[{"id":1,"name":"Subdivision","value":"EC"},{"id":4,"name":"Milepost","value":"0.0961"},{"id":17,"name":"Train ID","value":"137-23"},{"id":16,"name":"Locomotive ID","value":"4042"},{"id":130,"name":"Impact","value":""},{"id":150,"name":"Time of Event (Mountain Time)","value":"08:23:46"},{"id":151,"name":"Denver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5" t="str">
        <f t="shared" si="21"/>
        <v>start /low /b %USERPROFILE%\Documents\GitHub\eaglep3\Utilities\DownloadLogsFromS3.py --loco 4042 --day 2017-04-23</v>
      </c>
      <c r="AN55" s="154" t="str">
        <f t="shared" si="22"/>
        <v>echo {"issue":{"subject":"FEP-02 outage - virus scan caused PTC Comms apps to lock up","project_id":30,"tracker_id":4,"status_id":1,"priority_id":1,"assigned_to_id":10,"start_date":"2017-04-23","description":"","custom_fields":[{"id":30,"name":"Category","value":"Issue"},{"id":3,"name":"Functional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14:23:46"},{"id":29,"name":"Sharepoint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689</v>
      </c>
      <c r="B56" s="7">
        <v>4041</v>
      </c>
      <c r="C56" s="21" t="s">
        <v>213</v>
      </c>
      <c r="D56" s="21" t="s">
        <v>886</v>
      </c>
      <c r="E56" s="13">
        <v>42848.380046296297</v>
      </c>
      <c r="F56" s="13">
        <v>42848.382789351854</v>
      </c>
      <c r="G56" s="7">
        <v>1</v>
      </c>
      <c r="H56" s="21" t="s">
        <v>197</v>
      </c>
      <c r="I56" s="13">
        <v>42848.41002314815</v>
      </c>
      <c r="J56" s="7">
        <v>0</v>
      </c>
      <c r="K56" s="92" t="str">
        <f t="shared" si="23"/>
        <v>4041/4042</v>
      </c>
      <c r="L56" s="21" t="str">
        <f>VLOOKUP(A56,'Trips&amp;Operators'!$C$1:$G$99999,5,FALSE)</f>
        <v>ROBINSON KADDIBA</v>
      </c>
      <c r="M56" s="6">
        <f t="shared" si="24"/>
        <v>2.7233796296059154E-2</v>
      </c>
      <c r="N56" s="7">
        <f>24*60*SUM($M56:$M56)</f>
        <v>39.216666666325182</v>
      </c>
      <c r="O56" s="7"/>
      <c r="P56" s="7"/>
      <c r="Q56" s="22"/>
      <c r="R56" s="200"/>
      <c r="S56" s="206">
        <f>SUM(U56:U56)/IF(AG56="EC",12,1)</f>
        <v>1</v>
      </c>
      <c r="T56" s="200" t="str">
        <f t="shared" si="25"/>
        <v>Southbound</v>
      </c>
      <c r="U56" s="200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01" t="str">
        <f t="shared" si="26"/>
        <v>https://d0f6bd738d7f1b3e5a7ca70fe4ff75f0.us-east-1.aws.found.io/app/kibana#/discover/Steve-Slow-Train-Analysis-(2080s-and-2083s)?_g=(refreshInterval:(display:Off,pause:!f,section:0,value:0),time:(from:'2017-04-23T08:07:16-0600',mode:absolute,to:'2017-04-23T10:50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6" s="202" t="str">
        <f t="shared" si="27"/>
        <v>N</v>
      </c>
      <c r="X56" s="202">
        <f t="shared" si="28"/>
        <v>1</v>
      </c>
      <c r="Y56" s="202">
        <f t="shared" si="29"/>
        <v>23.300799999999999</v>
      </c>
      <c r="Z56" s="202">
        <f t="shared" si="30"/>
        <v>1.52E-2</v>
      </c>
      <c r="AA56" s="202">
        <f t="shared" si="31"/>
        <v>23.285599999999999</v>
      </c>
      <c r="AB56" s="57" t="e">
        <f>VLOOKUP(A56,Enforcements!$C$7:$K$13,8,0)</f>
        <v>#N/A</v>
      </c>
      <c r="AC56" s="53" t="e">
        <f>VLOOKUP(A56,Enforcements!$C$7:$E$13,3,0)</f>
        <v>#N/A</v>
      </c>
      <c r="AD56" s="54" t="str">
        <f t="shared" si="32"/>
        <v>0138-23</v>
      </c>
      <c r="AE56" s="80" t="str">
        <f t="shared" si="33"/>
        <v>aws s3 cp s3://rtdc.mdm.uploadarchive.raw/RTDC4041/ "%USERPROFILE%\AppData\Local\Temp\OnboardLogs"\RTDC4041\2017-04-23 --exclude "*" --recursive --include "*20170423*" &amp; "%USERPROFILE%\Documents\GitHub\mrs-test-scripts\Headless Mode &amp; Sideloading\WalkAndUnGZ.bat" "%USERPROFILE%\AppData\Local\Temp\OnboardLogs"\RTDC4041\2017-04-23 &amp; aws s3 cp s3://rtdc.mdm.uploadarchive.raw/RTDC4041/ "%USERPROFILE%\AppData\Local\Temp\OnboardLogs"\RTDC4041\2017-04-24 --exclude "*" --recursive --include "*20170424*" &amp; "%USERPROFILE%\Documents\GitHub\mrs-test-scripts\Headless Mode &amp; Sideloading\WalkAndUnGZ.bat" "%USERPROFILE%\AppData\Local\Temp\OnboardLogs"\RTDC4041\2017-04-24</v>
      </c>
      <c r="AF56" s="77" t="str">
        <f t="shared" si="34"/>
        <v>"C:\Program Files (x86)\AstroGrep\AstroGrep.exe" /e /r /s /spath="%USERPROFILE%\AppData\Local\Temp\OnboardLogs" /stypes="app*4041*20170423*" /stext=" 15:.+((SYSTEM_STATE.+slice.+state.+changed )|(ment ac)|(multiple cpu faults)|(system.+state.+changed )|(\[timeout)|(PRM\|1\|D)|(kpr)|(kdp)|(\|lc)|(penalty))"</v>
      </c>
      <c r="AG56" s="1" t="str">
        <f t="shared" si="35"/>
        <v>EC</v>
      </c>
      <c r="AH56" s="81" t="str">
        <f t="shared" si="19"/>
        <v>"%USERPROFILE%\Documents\GitHub\eaglep3\Utilities\RefineRTDCRunTimes.py" --tripid 138-23 --locoid 4041 --swversion DE.1.0.9.0 --startMP 204:233008 --initTime 2017-04-23T09:07:16 --startdatetime 2017-04-23T09:11:13 --delay 1 --endMP 204:152 --enddatetime 2017-04-23T09:50:26 --enforcementcount 0 &gt;&gt;C:\Users\stu\Documents\GitHub\eaglep3-reporting\EC\2017-04-23-refined-times.txt</v>
      </c>
      <c r="AI56" s="99" t="str">
        <f t="shared" si="20"/>
        <v>echo {"issue":{"subject":"","project_id":79,"tracker_id":40,"status_id":1,"priority_id":2,"assigned_to_id":23,"start_date":"2017-04-23","description":"","custom_fields":[{"id":1,"name":"Subdivision","value":"EC"},{"id":4,"name":"Milepost","value":"0.0152"},{"id":17,"name":"Train ID","value":"138-23"},{"id":16,"name":"Locomotive ID","value":"4041"},{"id":130,"name":"Impact","value":""},{"id":150,"name":"Time of Event (Mountain Time)","value":"09:50:26"},{"id":151,"name":"Denver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5" t="str">
        <f t="shared" si="21"/>
        <v>start /low /b %USERPROFILE%\Documents\GitHub\eaglep3\Utilities\DownloadLogsFromS3.py --loco 4041 --day 2017-04-23</v>
      </c>
      <c r="AN56" s="154" t="str">
        <f t="shared" si="22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15:50:26"},{"id":29,"name":"Sharepoint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682</v>
      </c>
      <c r="B57" s="7">
        <v>4004</v>
      </c>
      <c r="C57" s="21" t="s">
        <v>213</v>
      </c>
      <c r="D57" s="21" t="s">
        <v>437</v>
      </c>
      <c r="E57" s="13">
        <v>42848.351342592592</v>
      </c>
      <c r="F57" s="13">
        <v>42848.364525462966</v>
      </c>
      <c r="G57" s="7">
        <v>1</v>
      </c>
      <c r="H57" s="21" t="s">
        <v>887</v>
      </c>
      <c r="I57" s="13">
        <v>42848.379756944443</v>
      </c>
      <c r="J57" s="7">
        <v>0</v>
      </c>
      <c r="K57" s="92" t="str">
        <f t="shared" si="23"/>
        <v>4003/4004</v>
      </c>
      <c r="L57" s="21" t="str">
        <f>VLOOKUP(A57,'Trips&amp;Operators'!$C$1:$G$99999,5,FALSE)</f>
        <v>GEBRETEKLE DAGNEW</v>
      </c>
      <c r="M57" s="6">
        <f t="shared" si="24"/>
        <v>1.523148147680331E-2</v>
      </c>
      <c r="N57" s="7"/>
      <c r="O57" s="7"/>
      <c r="P57" s="7">
        <f t="shared" si="17"/>
        <v>21.933333326596767</v>
      </c>
      <c r="Q57" s="22"/>
      <c r="R57" s="200" t="s">
        <v>1022</v>
      </c>
      <c r="S57" s="206">
        <f>SUM(U57:U58)/IF(AG57="EC",12,1)</f>
        <v>0.25</v>
      </c>
      <c r="T57" s="200" t="str">
        <f t="shared" si="25"/>
        <v>NorthBound</v>
      </c>
      <c r="U57" s="200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0</v>
      </c>
      <c r="V57" s="201" t="str">
        <f t="shared" si="26"/>
        <v>https://d0f6bd738d7f1b3e5a7ca70fe4ff75f0.us-east-1.aws.found.io/app/kibana#/discover/Steve-Slow-Train-Analysis-(2080s-and-2083s)?_g=(refreshInterval:(display:Off,pause:!f,section:0,value:0),time:(from:'2017-04-23T07:25:56-0600',mode:absolute,to:'2017-04-23T10:06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7" s="202" t="str">
        <f t="shared" si="27"/>
        <v>Y</v>
      </c>
      <c r="X57" s="202">
        <f t="shared" si="28"/>
        <v>1</v>
      </c>
      <c r="Y57" s="202">
        <f t="shared" si="29"/>
        <v>4.4400000000000002E-2</v>
      </c>
      <c r="Z57" s="202">
        <f t="shared" si="30"/>
        <v>9.3899999999999997E-2</v>
      </c>
      <c r="AA57" s="202">
        <f t="shared" si="31"/>
        <v>4.9499999999999995E-2</v>
      </c>
      <c r="AB57" s="57" t="e">
        <f>VLOOKUP(A57,Enforcements!$C$7:$K$13,8,0)</f>
        <v>#N/A</v>
      </c>
      <c r="AC57" s="53" t="e">
        <f>VLOOKUP(A57,Enforcements!$C$7:$E$13,3,0)</f>
        <v>#N/A</v>
      </c>
      <c r="AD57" s="54" t="str">
        <f t="shared" si="32"/>
        <v>0139-23</v>
      </c>
      <c r="AE57" s="80" t="str">
        <f t="shared" si="33"/>
        <v>aws s3 cp s3://rtdc.mdm.uploadarchive.raw/RTDC4004/ "%USERPROFILE%\AppData\Local\Temp\OnboardLogs"\RTDC4004\2017-04-23 --exclude "*" --recursive --include "*20170423*" &amp; "%USERPROFILE%\Documents\GitHub\mrs-test-scripts\Headless Mode &amp; Sideloading\WalkAndUnGZ.bat" "%USERPROFILE%\AppData\Local\Temp\OnboardLogs"\RTDC4004\2017-04-23 &amp; aws s3 cp s3://rtdc.mdm.uploadarchive.raw/RTDC4004/ "%USERPROFILE%\AppData\Local\Temp\OnboardLogs"\RTDC4004\2017-04-24 --exclude "*" --recursive --include "*20170424*" &amp; "%USERPROFILE%\Documents\GitHub\mrs-test-scripts\Headless Mode &amp; Sideloading\WalkAndUnGZ.bat" "%USERPROFILE%\AppData\Local\Temp\OnboardLogs"\RTDC4004\2017-04-24</v>
      </c>
      <c r="AF57" s="77" t="str">
        <f t="shared" si="34"/>
        <v>"C:\Program Files (x86)\AstroGrep\AstroGrep.exe" /e /r /s /spath="%USERPROFILE%\AppData\Local\Temp\OnboardLogs" /stypes="app*4004*20170423*" /stext=" 15:.+((SYSTEM_STATE.+slice.+state.+changed )|(ment ac)|(multiple cpu faults)|(system.+state.+changed )|(\[timeout)|(PRM\|1\|D)|(kpr)|(kdp)|(\|lc)|(penalty))"</v>
      </c>
      <c r="AG57" s="1" t="str">
        <f t="shared" si="35"/>
        <v>EC</v>
      </c>
      <c r="AH57" s="81" t="str">
        <f t="shared" si="19"/>
        <v>"%USERPROFILE%\Documents\GitHub\eaglep3\Utilities\RefineRTDCRunTimes.py" --tripid 139-23 --locoid 4004 --swversion DE.1.0.9.0 --startMP 204:444 --initTime 2017-04-23T08:25:56 --startdatetime 2017-04-23T08:44:55 --delay 1 --endMP 204:939 --enddatetime 2017-04-23T09:06:51 --enforcementcount 0 &gt;&gt;C:\Users\stu\Documents\GitHub\eaglep3-reporting\EC\2017-04-23-refined-times.txt</v>
      </c>
      <c r="AI57" s="99" t="str">
        <f t="shared" si="20"/>
        <v>echo {"issue":{"subject":"FEP-02 outage - virus scan caused PTC Comms apps to lock up","project_id":79,"tracker_id":40,"status_id":1,"priority_id":2,"assigned_to_id":23,"start_date":"2017-04-23","description":"","custom_fields":[{"id":1,"name":"Subdivision","value":"EC"},{"id":4,"name":"Milepost","value":"0.0939"},{"id":17,"name":"Train ID","value":"139-23"},{"id":16,"name":"Locomotive ID","value":"4004"},{"id":130,"name":"Impact","value":""},{"id":150,"name":"Time of Event (Mountain Time)","value":"09:06:51"},{"id":151,"name":"Denver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5" t="str">
        <f t="shared" si="21"/>
        <v>start /low /b %USERPROFILE%\Documents\GitHub\eaglep3\Utilities\DownloadLogsFromS3.py --loco 4004 --day 2017-04-23</v>
      </c>
      <c r="AN57" s="154" t="str">
        <f t="shared" si="22"/>
        <v>echo {"issue":{"subject":"FEP-02 outage - virus scan caused PTC Comms apps to lock up","project_id":30,"tracker_id":4,"status_id":1,"priority_id":1,"assigned_to_id":10,"start_date":"2017-04-23","description":"","custom_fields":[{"id":30,"name":"Category","value":"Issue"},{"id":3,"name":"Functional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15:06:51"},{"id":29,"name":"Sharepoint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682</v>
      </c>
      <c r="B58" s="7">
        <v>4004</v>
      </c>
      <c r="C58" s="21" t="s">
        <v>213</v>
      </c>
      <c r="D58" s="21" t="s">
        <v>888</v>
      </c>
      <c r="E58" s="13">
        <v>42848.363449074073</v>
      </c>
      <c r="F58" s="13">
        <v>42848.364525462966</v>
      </c>
      <c r="G58" s="7">
        <v>1</v>
      </c>
      <c r="H58" s="21" t="s">
        <v>571</v>
      </c>
      <c r="I58" s="13">
        <v>42848.379756944443</v>
      </c>
      <c r="J58" s="7">
        <v>0</v>
      </c>
      <c r="K58" s="92" t="str">
        <f t="shared" si="23"/>
        <v>4003/4004</v>
      </c>
      <c r="L58" s="21" t="str">
        <f>VLOOKUP(A58,'Trips&amp;Operators'!$C$1:$G$99999,5,FALSE)</f>
        <v>GEBRETEKLE DAGNEW</v>
      </c>
      <c r="M58" s="6">
        <f t="shared" si="24"/>
        <v>1.523148147680331E-2</v>
      </c>
      <c r="N58" s="7"/>
      <c r="O58" s="7"/>
      <c r="P58" s="7"/>
      <c r="Q58" s="22"/>
      <c r="R58" s="200"/>
      <c r="S58" s="206"/>
      <c r="T58" s="200" t="str">
        <f t="shared" si="25"/>
        <v>NorthBound</v>
      </c>
      <c r="U58" s="200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3</v>
      </c>
      <c r="V58" s="201" t="str">
        <f t="shared" si="26"/>
        <v>https://d0f6bd738d7f1b3e5a7ca70fe4ff75f0.us-east-1.aws.found.io/app/kibana#/discover/Steve-Slow-Train-Analysis-(2080s-and-2083s)?_g=(refreshInterval:(display:Off,pause:!f,section:0,value:0),time:(from:'2017-04-23T07:43:22-0600',mode:absolute,to:'2017-04-23T10:06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8" s="202" t="str">
        <f t="shared" si="27"/>
        <v>Y</v>
      </c>
      <c r="X58" s="202">
        <f t="shared" si="28"/>
        <v>0</v>
      </c>
      <c r="Y58" s="202">
        <f t="shared" si="29"/>
        <v>6.4710000000000001</v>
      </c>
      <c r="Z58" s="202">
        <f t="shared" si="30"/>
        <v>23.328900000000001</v>
      </c>
      <c r="AA58" s="202">
        <f t="shared" si="31"/>
        <v>16.857900000000001</v>
      </c>
      <c r="AB58" s="57" t="e">
        <f>VLOOKUP(A58,Enforcements!$C$7:$K$13,8,0)</f>
        <v>#N/A</v>
      </c>
      <c r="AC58" s="53" t="e">
        <f>VLOOKUP(A58,Enforcements!$C$7:$E$13,3,0)</f>
        <v>#N/A</v>
      </c>
      <c r="AD58" s="54" t="str">
        <f t="shared" si="32"/>
        <v>0139-23</v>
      </c>
      <c r="AE58" s="80" t="str">
        <f t="shared" si="33"/>
        <v>aws s3 cp s3://rtdc.mdm.uploadarchive.raw/RTDC4004/ "%USERPROFILE%\AppData\Local\Temp\OnboardLogs"\RTDC4004\2017-04-23 --exclude "*" --recursive --include "*20170423*" &amp; "%USERPROFILE%\Documents\GitHub\mrs-test-scripts\Headless Mode &amp; Sideloading\WalkAndUnGZ.bat" "%USERPROFILE%\AppData\Local\Temp\OnboardLogs"\RTDC4004\2017-04-23 &amp; aws s3 cp s3://rtdc.mdm.uploadarchive.raw/RTDC4004/ "%USERPROFILE%\AppData\Local\Temp\OnboardLogs"\RTDC4004\2017-04-24 --exclude "*" --recursive --include "*20170424*" &amp; "%USERPROFILE%\Documents\GitHub\mrs-test-scripts\Headless Mode &amp; Sideloading\WalkAndUnGZ.bat" "%USERPROFILE%\AppData\Local\Temp\OnboardLogs"\RTDC4004\2017-04-24</v>
      </c>
      <c r="AF58" s="77" t="str">
        <f t="shared" si="34"/>
        <v>"C:\Program Files (x86)\AstroGrep\AstroGrep.exe" /e /r /s /spath="%USERPROFILE%\AppData\Local\Temp\OnboardLogs" /stypes="app*4004*20170423*" /stext=" 15:.+((SYSTEM_STATE.+slice.+state.+changed )|(ment ac)|(multiple cpu faults)|(system.+state.+changed )|(\[timeout)|(PRM\|1\|D)|(kpr)|(kdp)|(\|lc)|(penalty))"</v>
      </c>
      <c r="AG58" s="1" t="str">
        <f t="shared" si="35"/>
        <v>EC</v>
      </c>
      <c r="AH58" s="81" t="str">
        <f t="shared" si="19"/>
        <v>"%USERPROFILE%\Documents\GitHub\eaglep3\Utilities\RefineRTDCRunTimes.py" --tripid 139-23 --locoid 4004 --swversion DE.1.0.9.0 --startMP 204:64710 --initTime 2017-04-23T08:43:22 --startdatetime 2017-04-23T08:44:55 --delay 1 --endMP 204:233289 --enddatetime 2017-04-23T09:06:51 --enforcementcount 0 &gt;&gt;C:\Users\stu\Documents\GitHub\eaglep3-reporting\EC\2017-04-23-refined-times.txt</v>
      </c>
      <c r="AI58" s="99" t="str">
        <f t="shared" si="20"/>
        <v>echo {"issue":{"subject":"","project_id":79,"tracker_id":40,"status_id":1,"priority_id":2,"assigned_to_id":23,"start_date":"2017-04-23","description":"","custom_fields":[{"id":1,"name":"Subdivision","value":"EC"},{"id":4,"name":"Milepost","value":"23.3289"},{"id":17,"name":"Train ID","value":"139-23"},{"id":16,"name":"Locomotive ID","value":"4004"},{"id":130,"name":"Impact","value":""},{"id":150,"name":"Time of Event (Mountain Time)","value":"09:06:51"},{"id":151,"name":"Denver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5" t="str">
        <f t="shared" si="21"/>
        <v>start /low /b %USERPROFILE%\Documents\GitHub\eaglep3\Utilities\DownloadLogsFromS3.py --loco 4004 --day 2017-04-23</v>
      </c>
      <c r="AN58" s="154" t="str">
        <f t="shared" si="22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15:06:51"},{"id":29,"name":"Sharepoint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605</v>
      </c>
      <c r="B59" s="7">
        <v>4003</v>
      </c>
      <c r="C59" s="21" t="s">
        <v>213</v>
      </c>
      <c r="D59" s="21" t="s">
        <v>569</v>
      </c>
      <c r="E59" s="13">
        <v>42848.389467592591</v>
      </c>
      <c r="F59" s="13">
        <v>42848.393252314818</v>
      </c>
      <c r="G59" s="7">
        <v>1</v>
      </c>
      <c r="H59" s="21" t="s">
        <v>381</v>
      </c>
      <c r="I59" s="13">
        <v>42848.419849537036</v>
      </c>
      <c r="J59" s="7">
        <v>0</v>
      </c>
      <c r="K59" s="92" t="str">
        <f t="shared" si="23"/>
        <v>4003/4004</v>
      </c>
      <c r="L59" s="21" t="str">
        <f>VLOOKUP(A59,'Trips&amp;Operators'!$C$1:$G$99999,5,FALSE)</f>
        <v>GEBRETEKLE DAGNEW</v>
      </c>
      <c r="M59" s="6">
        <f t="shared" si="24"/>
        <v>2.6597222218697425E-2</v>
      </c>
      <c r="N59" s="7">
        <f t="shared" ref="N59:P90" si="38">24*60*SUM($M59:$M59)</f>
        <v>38.299999994924292</v>
      </c>
      <c r="O59" s="7"/>
      <c r="P59" s="7"/>
      <c r="Q59" s="22"/>
      <c r="R59" s="200" t="s">
        <v>1033</v>
      </c>
      <c r="S59" s="206">
        <f t="shared" ref="S59:S90" si="39">SUM(U59:U59)/IF(AG59="EC",12,1)</f>
        <v>1</v>
      </c>
      <c r="T59" s="200" t="str">
        <f t="shared" si="25"/>
        <v>Southbound</v>
      </c>
      <c r="U59" s="200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01" t="str">
        <f t="shared" si="26"/>
        <v>https://d0f6bd738d7f1b3e5a7ca70fe4ff75f0.us-east-1.aws.found.io/app/kibana#/discover/Steve-Slow-Train-Analysis-(2080s-and-2083s)?_g=(refreshInterval:(display:Off,pause:!f,section:0,value:0),time:(from:'2017-04-23T08:20:50-0600',mode:absolute,to:'2017-04-23T11:04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9" s="202" t="str">
        <f t="shared" si="27"/>
        <v>N</v>
      </c>
      <c r="X59" s="202">
        <f t="shared" si="28"/>
        <v>1</v>
      </c>
      <c r="Y59" s="202">
        <f t="shared" si="29"/>
        <v>23.2988</v>
      </c>
      <c r="Z59" s="202">
        <f t="shared" si="30"/>
        <v>1.41E-2</v>
      </c>
      <c r="AA59" s="202">
        <f t="shared" si="31"/>
        <v>23.284700000000001</v>
      </c>
      <c r="AB59" s="57" t="str">
        <f>VLOOKUP(A59,Enforcements!$C$7:$K$13,8,0)</f>
        <v>Bulletin (2)</v>
      </c>
      <c r="AC59" s="53" t="str">
        <f>VLOOKUP(A59,Enforcements!$C$7:$E$13,3,0)</f>
        <v>GRADE CROSSING</v>
      </c>
      <c r="AD59" s="54" t="str">
        <f t="shared" si="32"/>
        <v>0140-23</v>
      </c>
      <c r="AE59" s="80" t="str">
        <f t="shared" si="33"/>
        <v>aws s3 cp s3://rtdc.mdm.uploadarchive.raw/RTDC4003/ "%USERPROFILE%\AppData\Local\Temp\OnboardLogs"\RTDC4003\2017-04-23 --exclude "*" --recursive --include "*20170423*" &amp; "%USERPROFILE%\Documents\GitHub\mrs-test-scripts\Headless Mode &amp; Sideloading\WalkAndUnGZ.bat" "%USERPROFILE%\AppData\Local\Temp\OnboardLogs"\RTDC4003\2017-04-23 &amp; aws s3 cp s3://rtdc.mdm.uploadarchive.raw/RTDC4003/ "%USERPROFILE%\AppData\Local\Temp\OnboardLogs"\RTDC4003\2017-04-24 --exclude "*" --recursive --include "*20170424*" &amp; "%USERPROFILE%\Documents\GitHub\mrs-test-scripts\Headless Mode &amp; Sideloading\WalkAndUnGZ.bat" "%USERPROFILE%\AppData\Local\Temp\OnboardLogs"\RTDC4003\2017-04-24</v>
      </c>
      <c r="AF59" s="77" t="str">
        <f t="shared" si="34"/>
        <v>"C:\Program Files (x86)\AstroGrep\AstroGrep.exe" /e /r /s /spath="%USERPROFILE%\AppData\Local\Temp\OnboardLogs" /stypes="app*4003*20170423*" /stext=" 16:.+((SYSTEM_STATE.+slice.+state.+changed )|(ment ac)|(multiple cpu faults)|(system.+state.+changed )|(\[timeout)|(PRM\|1\|D)|(kpr)|(kdp)|(\|lc)|(penalty))"</v>
      </c>
      <c r="AG59" s="1" t="str">
        <f t="shared" si="35"/>
        <v>EC</v>
      </c>
      <c r="AH59" s="81" t="str">
        <f t="shared" si="19"/>
        <v>"%USERPROFILE%\Documents\GitHub\eaglep3\Utilities\RefineRTDCRunTimes.py" --tripid 140-23 --locoid 4003 --swversion DE.1.0.9.0 --startMP 204:232988 --initTime 2017-04-23T09:20:50 --startdatetime 2017-04-23T09:26:17 --delay 1 --endMP 204:141 --enddatetime 2017-04-23T10:04:35 --enforcementcount 0 &gt;&gt;C:\Users\stu\Documents\GitHub\eaglep3-reporting\EC\2017-04-23-refined-times.txt</v>
      </c>
      <c r="AI59" s="99" t="str">
        <f t="shared" si="20"/>
        <v>echo {"issue":{"subject":"Unhealthy at York due to stopping from enforcement","project_id":79,"tracker_id":40,"status_id":1,"priority_id":2,"assigned_to_id":23,"start_date":"2017-04-23","description":"","custom_fields":[{"id":1,"name":"Subdivision","value":"EC"},{"id":4,"name":"Milepost","value":"0.0141"},{"id":17,"name":"Train ID","value":"140-23"},{"id":16,"name":"Locomotive ID","value":"4003"},{"id":130,"name":"Impact","value":""},{"id":150,"name":"Time of Event (Mountain Time)","value":"10:04:35"},{"id":151,"name":"Denver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5" t="str">
        <f t="shared" si="21"/>
        <v>start /low /b %USERPROFILE%\Documents\GitHub\eaglep3\Utilities\DownloadLogsFromS3.py --loco 4003 --day 2017-04-23</v>
      </c>
      <c r="AN59" s="154" t="str">
        <f t="shared" si="22"/>
        <v>echo {"issue":{"subject":"Unhealthy at York due to stopping from enforcement","project_id":30,"tracker_id":4,"status_id":1,"priority_id":1,"assigned_to_id":10,"start_date":"2017-04-23","description":"","custom_fields":[{"id":30,"name":"Category","value":"Issue"},{"id":3,"name":"Functional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16:04:35"},{"id":29,"name":"Sharepoint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684</v>
      </c>
      <c r="B60" s="7">
        <v>4002</v>
      </c>
      <c r="C60" s="21" t="s">
        <v>213</v>
      </c>
      <c r="D60" s="21" t="s">
        <v>386</v>
      </c>
      <c r="E60" s="13">
        <v>42848.356608796297</v>
      </c>
      <c r="F60" s="13">
        <v>42848.365046296298</v>
      </c>
      <c r="G60" s="7">
        <v>1</v>
      </c>
      <c r="H60" s="21" t="s">
        <v>889</v>
      </c>
      <c r="I60" s="13">
        <v>42848.389884259261</v>
      </c>
      <c r="J60" s="7">
        <v>0</v>
      </c>
      <c r="K60" s="92" t="str">
        <f t="shared" si="23"/>
        <v>4001/4002</v>
      </c>
      <c r="L60" s="21" t="str">
        <f>VLOOKUP(A60,'Trips&amp;Operators'!$C$1:$G$99999,5,FALSE)</f>
        <v>SANTIZO D. EDY</v>
      </c>
      <c r="M60" s="6">
        <f t="shared" si="24"/>
        <v>2.4837962962919846E-2</v>
      </c>
      <c r="N60" s="7">
        <f t="shared" si="38"/>
        <v>35.766666666604578</v>
      </c>
      <c r="O60" s="7"/>
      <c r="P60" s="7"/>
      <c r="Q60" s="22"/>
      <c r="R60" s="200"/>
      <c r="S60" s="206">
        <f t="shared" si="39"/>
        <v>1</v>
      </c>
      <c r="T60" s="200" t="str">
        <f t="shared" si="25"/>
        <v>NorthBound</v>
      </c>
      <c r="U60" s="200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01" t="str">
        <f t="shared" si="26"/>
        <v>https://d0f6bd738d7f1b3e5a7ca70fe4ff75f0.us-east-1.aws.found.io/app/kibana#/discover/Steve-Slow-Train-Analysis-(2080s-and-2083s)?_g=(refreshInterval:(display:Off,pause:!f,section:0,value:0),time:(from:'2017-04-23T07:33:31-0600',mode:absolute,to:'2017-04-23T10:21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0" s="202" t="str">
        <f t="shared" si="27"/>
        <v>N</v>
      </c>
      <c r="X60" s="202">
        <f t="shared" si="28"/>
        <v>1</v>
      </c>
      <c r="Y60" s="202">
        <f t="shared" si="29"/>
        <v>4.6199999999999998E-2</v>
      </c>
      <c r="Z60" s="202">
        <f t="shared" si="30"/>
        <v>23.33</v>
      </c>
      <c r="AA60" s="202">
        <f t="shared" si="31"/>
        <v>23.283799999999999</v>
      </c>
      <c r="AB60" s="57" t="e">
        <f>VLOOKUP(A60,Enforcements!$C$7:$K$13,8,0)</f>
        <v>#N/A</v>
      </c>
      <c r="AC60" s="53" t="e">
        <f>VLOOKUP(A60,Enforcements!$C$7:$E$13,3,0)</f>
        <v>#N/A</v>
      </c>
      <c r="AD60" s="54" t="str">
        <f t="shared" si="32"/>
        <v>0141-23</v>
      </c>
      <c r="AE60" s="80" t="str">
        <f t="shared" si="33"/>
        <v>aws s3 cp s3://rtdc.mdm.uploadarchive.raw/RTDC4002/ "%USERPROFILE%\AppData\Local\Temp\OnboardLogs"\RTDC4002\2017-04-23 --exclude "*" --recursive --include "*20170423*" &amp; "%USERPROFILE%\Documents\GitHub\mrs-test-scripts\Headless Mode &amp; Sideloading\WalkAndUnGZ.bat" "%USERPROFILE%\AppData\Local\Temp\OnboardLogs"\RTDC4002\2017-04-23 &amp; aws s3 cp s3://rtdc.mdm.uploadarchive.raw/RTDC4002/ "%USERPROFILE%\AppData\Local\Temp\OnboardLogs"\RTDC4002\2017-04-24 --exclude "*" --recursive --include "*20170424*" &amp; "%USERPROFILE%\Documents\GitHub\mrs-test-scripts\Headless Mode &amp; Sideloading\WalkAndUnGZ.bat" "%USERPROFILE%\AppData\Local\Temp\OnboardLogs"\RTDC4002\2017-04-24</v>
      </c>
      <c r="AF60" s="77" t="str">
        <f t="shared" si="34"/>
        <v>"C:\Program Files (x86)\AstroGrep\AstroGrep.exe" /e /r /s /spath="%USERPROFILE%\AppData\Local\Temp\OnboardLogs" /stypes="app*4002*20170423*" /stext=" 15:.+((SYSTEM_STATE.+slice.+state.+changed )|(ment ac)|(multiple cpu faults)|(system.+state.+changed )|(\[timeout)|(PRM\|1\|D)|(kpr)|(kdp)|(\|lc)|(penalty))"</v>
      </c>
      <c r="AG60" s="1" t="str">
        <f t="shared" si="35"/>
        <v>EC</v>
      </c>
      <c r="AH60" s="81" t="str">
        <f t="shared" si="19"/>
        <v>"%USERPROFILE%\Documents\GitHub\eaglep3\Utilities\RefineRTDCRunTimes.py" --tripid 141-23 --locoid 4002 --swversion DE.1.0.9.0 --startMP 204:462 --initTime 2017-04-23T08:33:31 --startdatetime 2017-04-23T08:45:40 --delay 1 --endMP 204:233300 --enddatetime 2017-04-23T09:21:26 --enforcementcount 0 &gt;&gt;C:\Users\stu\Documents\GitHub\eaglep3-reporting\EC\2017-04-23-refined-times.txt</v>
      </c>
      <c r="AI60" s="99" t="str">
        <f t="shared" si="20"/>
        <v>echo {"issue":{"subject":"","project_id":79,"tracker_id":40,"status_id":1,"priority_id":2,"assigned_to_id":23,"start_date":"2017-04-23","description":"","custom_fields":[{"id":1,"name":"Subdivision","value":"EC"},{"id":4,"name":"Milepost","value":"23.33"},{"id":17,"name":"Train ID","value":"141-23"},{"id":16,"name":"Locomotive ID","value":"4002"},{"id":130,"name":"Impact","value":""},{"id":150,"name":"Time of Event (Mountain Time)","value":"09:21:26"},{"id":151,"name":"Denver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5" t="str">
        <f t="shared" si="21"/>
        <v>start /low /b %USERPROFILE%\Documents\GitHub\eaglep3\Utilities\DownloadLogsFromS3.py --loco 4002 --day 2017-04-23</v>
      </c>
      <c r="AN60" s="154" t="str">
        <f t="shared" si="22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15:21:26"},{"id":29,"name":"Sharepoint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691</v>
      </c>
      <c r="B61" s="7">
        <v>4001</v>
      </c>
      <c r="C61" s="21" t="s">
        <v>213</v>
      </c>
      <c r="D61" s="21" t="s">
        <v>589</v>
      </c>
      <c r="E61" s="13">
        <v>42848.390868055554</v>
      </c>
      <c r="F61" s="13">
        <v>42848.403680555559</v>
      </c>
      <c r="G61" s="7">
        <v>0</v>
      </c>
      <c r="H61" s="21" t="s">
        <v>197</v>
      </c>
      <c r="I61" s="13">
        <v>42848.430231481485</v>
      </c>
      <c r="J61" s="7">
        <v>0</v>
      </c>
      <c r="K61" s="92" t="str">
        <f t="shared" si="23"/>
        <v>4001/4002</v>
      </c>
      <c r="L61" s="21" t="str">
        <f>VLOOKUP(A61,'Trips&amp;Operators'!$C$1:$G$99999,5,FALSE)</f>
        <v>SANTIZO D. EDY</v>
      </c>
      <c r="M61" s="6">
        <f t="shared" si="24"/>
        <v>2.6550925926130731E-2</v>
      </c>
      <c r="N61" s="7">
        <f t="shared" si="38"/>
        <v>38.233333333628252</v>
      </c>
      <c r="O61" s="7"/>
      <c r="P61" s="7"/>
      <c r="Q61" s="22"/>
      <c r="R61" s="200"/>
      <c r="S61" s="206">
        <f t="shared" si="39"/>
        <v>1</v>
      </c>
      <c r="T61" s="200" t="str">
        <f t="shared" si="25"/>
        <v>Southbound</v>
      </c>
      <c r="U61" s="200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01" t="str">
        <f t="shared" si="26"/>
        <v>https://d0f6bd738d7f1b3e5a7ca70fe4ff75f0.us-east-1.aws.found.io/app/kibana#/discover/Steve-Slow-Train-Analysis-(2080s-and-2083s)?_g=(refreshInterval:(display:Off,pause:!f,section:0,value:0),time:(from:'2017-04-23T08:22:51-0600',mode:absolute,to:'2017-04-23T11:19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1" s="202" t="str">
        <f t="shared" si="27"/>
        <v>N</v>
      </c>
      <c r="X61" s="202">
        <f t="shared" si="28"/>
        <v>1</v>
      </c>
      <c r="Y61" s="202">
        <f t="shared" si="29"/>
        <v>23.299299999999999</v>
      </c>
      <c r="Z61" s="202">
        <f t="shared" si="30"/>
        <v>1.52E-2</v>
      </c>
      <c r="AA61" s="202">
        <f t="shared" si="31"/>
        <v>23.284099999999999</v>
      </c>
      <c r="AB61" s="57" t="e">
        <f>VLOOKUP(A61,Enforcements!$C$7:$K$13,8,0)</f>
        <v>#N/A</v>
      </c>
      <c r="AC61" s="53" t="e">
        <f>VLOOKUP(A61,Enforcements!$C$7:$E$13,3,0)</f>
        <v>#N/A</v>
      </c>
      <c r="AD61" s="54" t="str">
        <f t="shared" si="32"/>
        <v>0142-23</v>
      </c>
      <c r="AE61" s="80" t="str">
        <f t="shared" si="33"/>
        <v>aws s3 cp s3://rtdc.mdm.uploadarchive.raw/RTDC4001/ "%USERPROFILE%\AppData\Local\Temp\OnboardLogs"\RTDC4001\2017-04-23 --exclude "*" --recursive --include "*20170423*" &amp; "%USERPROFILE%\Documents\GitHub\mrs-test-scripts\Headless Mode &amp; Sideloading\WalkAndUnGZ.bat" "%USERPROFILE%\AppData\Local\Temp\OnboardLogs"\RTDC4001\2017-04-23 &amp; aws s3 cp s3://rtdc.mdm.uploadarchive.raw/RTDC4001/ "%USERPROFILE%\AppData\Local\Temp\OnboardLogs"\RTDC4001\2017-04-24 --exclude "*" --recursive --include "*20170424*" &amp; "%USERPROFILE%\Documents\GitHub\mrs-test-scripts\Headless Mode &amp; Sideloading\WalkAndUnGZ.bat" "%USERPROFILE%\AppData\Local\Temp\OnboardLogs"\RTDC4001\2017-04-24</v>
      </c>
      <c r="AF61" s="77" t="str">
        <f t="shared" si="34"/>
        <v>"C:\Program Files (x86)\AstroGrep\AstroGrep.exe" /e /r /s /spath="%USERPROFILE%\AppData\Local\Temp\OnboardLogs" /stypes="app*4001*20170423*" /stext=" 16:.+((SYSTEM_STATE.+slice.+state.+changed )|(ment ac)|(multiple cpu faults)|(system.+state.+changed )|(\[timeout)|(PRM\|1\|D)|(kpr)|(kdp)|(\|lc)|(penalty))"</v>
      </c>
      <c r="AG61" s="1" t="str">
        <f t="shared" si="35"/>
        <v>EC</v>
      </c>
      <c r="AH61" s="81" t="str">
        <f t="shared" si="19"/>
        <v>"%USERPROFILE%\Documents\GitHub\eaglep3\Utilities\RefineRTDCRunTimes.py" --tripid 142-23 --locoid 4001 --swversion DE.1.0.9.0 --startMP 204:232993 --initTime 2017-04-23T09:22:51 --startdatetime 2017-04-23T09:41:18 --delay 0 --endMP 204:152 --enddatetime 2017-04-23T10:19:32 --enforcementcount 0 &gt;&gt;C:\Users\stu\Documents\GitHub\eaglep3-reporting\EC\2017-04-23-refined-times.txt</v>
      </c>
      <c r="AI61" s="99" t="str">
        <f t="shared" si="20"/>
        <v>echo {"issue":{"subject":"","project_id":79,"tracker_id":40,"status_id":1,"priority_id":2,"assigned_to_id":23,"start_date":"2017-04-23","description":"","custom_fields":[{"id":1,"name":"Subdivision","value":"EC"},{"id":4,"name":"Milepost","value":"0.0152"},{"id":17,"name":"Train ID","value":"142-23"},{"id":16,"name":"Locomotive ID","value":"4001"},{"id":130,"name":"Impact","value":""},{"id":150,"name":"Time of Event (Mountain Time)","value":"10:19:32"},{"id":151,"name":"Denver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5" t="str">
        <f t="shared" si="21"/>
        <v>start /low /b %USERPROFILE%\Documents\GitHub\eaglep3\Utilities\DownloadLogsFromS3.py --loco 4001 --day 2017-04-23</v>
      </c>
      <c r="AN61" s="154" t="str">
        <f t="shared" si="22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16:19:32"},{"id":29,"name":"Sharepoint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687</v>
      </c>
      <c r="B62" s="7">
        <v>4028</v>
      </c>
      <c r="C62" s="21" t="s">
        <v>213</v>
      </c>
      <c r="D62" s="21" t="s">
        <v>890</v>
      </c>
      <c r="E62" s="13">
        <v>42848.369780092595</v>
      </c>
      <c r="F62" s="13">
        <v>42848.375185185185</v>
      </c>
      <c r="G62" s="7">
        <v>1</v>
      </c>
      <c r="H62" s="21" t="s">
        <v>587</v>
      </c>
      <c r="I62" s="13">
        <v>42848.400902777779</v>
      </c>
      <c r="J62" s="7">
        <v>0</v>
      </c>
      <c r="K62" s="92" t="str">
        <f t="shared" si="23"/>
        <v>4027/4028</v>
      </c>
      <c r="L62" s="21" t="str">
        <f>VLOOKUP(A62,'Trips&amp;Operators'!$C$1:$G$99999,5,FALSE)</f>
        <v>SHOOK JOHN</v>
      </c>
      <c r="M62" s="6">
        <f t="shared" si="24"/>
        <v>2.5717592594446614E-2</v>
      </c>
      <c r="N62" s="7">
        <f t="shared" si="38"/>
        <v>37.033333336003125</v>
      </c>
      <c r="O62" s="7"/>
      <c r="P62" s="7"/>
      <c r="Q62" s="22"/>
      <c r="R62" s="200"/>
      <c r="S62" s="206">
        <f t="shared" si="39"/>
        <v>1</v>
      </c>
      <c r="T62" s="200" t="str">
        <f t="shared" si="25"/>
        <v>NorthBound</v>
      </c>
      <c r="U62" s="200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01" t="str">
        <f t="shared" si="26"/>
        <v>https://d0f6bd738d7f1b3e5a7ca70fe4ff75f0.us-east-1.aws.found.io/app/kibana#/discover/Steve-Slow-Train-Analysis-(2080s-and-2083s)?_g=(refreshInterval:(display:Off,pause:!f,section:0,value:0),time:(from:'2017-04-23T07:52:29-0600',mode:absolute,to:'2017-04-23T10:37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2" s="202" t="str">
        <f t="shared" si="27"/>
        <v>N</v>
      </c>
      <c r="X62" s="202">
        <f t="shared" si="28"/>
        <v>1</v>
      </c>
      <c r="Y62" s="202">
        <f t="shared" si="29"/>
        <v>4.3999999999999997E-2</v>
      </c>
      <c r="Z62" s="202">
        <f t="shared" si="30"/>
        <v>23.332000000000001</v>
      </c>
      <c r="AA62" s="202">
        <f t="shared" si="31"/>
        <v>23.288</v>
      </c>
      <c r="AB62" s="57" t="e">
        <f>VLOOKUP(A62,Enforcements!$C$7:$K$13,8,0)</f>
        <v>#N/A</v>
      </c>
      <c r="AC62" s="53" t="e">
        <f>VLOOKUP(A62,Enforcements!$C$7:$E$13,3,0)</f>
        <v>#N/A</v>
      </c>
      <c r="AD62" s="54" t="str">
        <f t="shared" si="32"/>
        <v>0143-23</v>
      </c>
      <c r="AE62" s="80" t="str">
        <f t="shared" si="33"/>
        <v>aws s3 cp s3://rtdc.mdm.uploadarchive.raw/RTDC4028/ "%USERPROFILE%\AppData\Local\Temp\OnboardLogs"\RTDC4028\2017-04-23 --exclude "*" --recursive --include "*20170423*" &amp; "%USERPROFILE%\Documents\GitHub\mrs-test-scripts\Headless Mode &amp; Sideloading\WalkAndUnGZ.bat" "%USERPROFILE%\AppData\Local\Temp\OnboardLogs"\RTDC4028\2017-04-23 &amp; aws s3 cp s3://rtdc.mdm.uploadarchive.raw/RTDC4028/ "%USERPROFILE%\AppData\Local\Temp\OnboardLogs"\RTDC4028\2017-04-24 --exclude "*" --recursive --include "*20170424*" &amp; "%USERPROFILE%\Documents\GitHub\mrs-test-scripts\Headless Mode &amp; Sideloading\WalkAndUnGZ.bat" "%USERPROFILE%\AppData\Local\Temp\OnboardLogs"\RTDC4028\2017-04-24</v>
      </c>
      <c r="AF62" s="77" t="str">
        <f t="shared" si="34"/>
        <v>"C:\Program Files (x86)\AstroGrep\AstroGrep.exe" /e /r /s /spath="%USERPROFILE%\AppData\Local\Temp\OnboardLogs" /stypes="app*4028*20170423*" /stext=" 15:.+((SYSTEM_STATE.+slice.+state.+changed )|(ment ac)|(multiple cpu faults)|(system.+state.+changed )|(\[timeout)|(PRM\|1\|D)|(kpr)|(kdp)|(\|lc)|(penalty))"</v>
      </c>
      <c r="AG62" s="1" t="str">
        <f t="shared" si="35"/>
        <v>EC</v>
      </c>
      <c r="AH62" s="81" t="str">
        <f t="shared" si="19"/>
        <v>"%USERPROFILE%\Documents\GitHub\eaglep3\Utilities\RefineRTDCRunTimes.py" --tripid 143-23 --locoid 4028 --swversion DE.1.0.9.0 --startMP 204:440 --initTime 2017-04-23T08:52:29 --startdatetime 2017-04-23T09:00:16 --delay 1 --endMP 204:233320 --enddatetime 2017-04-23T09:37:18 --enforcementcount 0 &gt;&gt;C:\Users\stu\Documents\GitHub\eaglep3-reporting\EC\2017-04-23-refined-times.txt</v>
      </c>
      <c r="AI62" s="99" t="str">
        <f t="shared" si="20"/>
        <v>echo {"issue":{"subject":"","project_id":79,"tracker_id":40,"status_id":1,"priority_id":2,"assigned_to_id":23,"start_date":"2017-04-23","description":"","custom_fields":[{"id":1,"name":"Subdivision","value":"EC"},{"id":4,"name":"Milepost","value":"23.332"},{"id":17,"name":"Train ID","value":"143-23"},{"id":16,"name":"Locomotive ID","value":"4028"},{"id":130,"name":"Impact","value":""},{"id":150,"name":"Time of Event (Mountain Time)","value":"09:37:18"},{"id":151,"name":"Denver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5" t="str">
        <f t="shared" si="21"/>
        <v>start /low /b %USERPROFILE%\Documents\GitHub\eaglep3\Utilities\DownloadLogsFromS3.py --loco 4028 --day 2017-04-23</v>
      </c>
      <c r="AN62" s="154" t="str">
        <f t="shared" si="22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15:37:18"},{"id":29,"name":"Sharepoint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693</v>
      </c>
      <c r="B63" s="7">
        <v>4027</v>
      </c>
      <c r="C63" s="21" t="s">
        <v>213</v>
      </c>
      <c r="D63" s="21" t="s">
        <v>569</v>
      </c>
      <c r="E63" s="13">
        <v>42848.403113425928</v>
      </c>
      <c r="F63" s="13">
        <v>42848.414155092592</v>
      </c>
      <c r="G63" s="7">
        <v>1</v>
      </c>
      <c r="H63" s="21" t="s">
        <v>891</v>
      </c>
      <c r="I63" s="13">
        <v>42848.430069444446</v>
      </c>
      <c r="J63" s="7">
        <v>0</v>
      </c>
      <c r="K63" s="92" t="str">
        <f t="shared" si="23"/>
        <v>4027/4028</v>
      </c>
      <c r="L63" s="21" t="str">
        <f>VLOOKUP(A63,'Trips&amp;Operators'!$C$1:$G$99999,5,FALSE)</f>
        <v>SHOOK JOHN</v>
      </c>
      <c r="M63" s="6">
        <f t="shared" si="24"/>
        <v>1.5914351854007691E-2</v>
      </c>
      <c r="N63" s="7"/>
      <c r="O63" s="7"/>
      <c r="P63" s="7">
        <f t="shared" si="38"/>
        <v>22.916666669771075</v>
      </c>
      <c r="Q63" s="22"/>
      <c r="R63" s="200" t="s">
        <v>1023</v>
      </c>
      <c r="S63" s="206">
        <f t="shared" si="39"/>
        <v>0.16666666666666666</v>
      </c>
      <c r="T63" s="200" t="str">
        <f t="shared" si="25"/>
        <v>Southbound</v>
      </c>
      <c r="U63" s="200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2</v>
      </c>
      <c r="V63" s="201" t="str">
        <f t="shared" si="26"/>
        <v>https://d0f6bd738d7f1b3e5a7ca70fe4ff75f0.us-east-1.aws.found.io/app/kibana#/discover/Steve-Slow-Train-Analysis-(2080s-and-2083s)?_g=(refreshInterval:(display:Off,pause:!f,section:0,value:0),time:(from:'2017-04-23T08:40:29-0600',mode:absolute,to:'2017-04-23T11:19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3" s="202" t="str">
        <f t="shared" si="27"/>
        <v>Y</v>
      </c>
      <c r="X63" s="202">
        <f t="shared" si="28"/>
        <v>1</v>
      </c>
      <c r="Y63" s="202">
        <f t="shared" si="29"/>
        <v>23.2988</v>
      </c>
      <c r="Z63" s="202">
        <f t="shared" si="30"/>
        <v>8.2113999999999994</v>
      </c>
      <c r="AA63" s="202">
        <f t="shared" si="31"/>
        <v>15.087400000000001</v>
      </c>
      <c r="AB63" s="57" t="e">
        <f>VLOOKUP(A63,Enforcements!$C$7:$K$13,8,0)</f>
        <v>#N/A</v>
      </c>
      <c r="AC63" s="53" t="e">
        <f>VLOOKUP(A63,Enforcements!$C$7:$E$13,3,0)</f>
        <v>#N/A</v>
      </c>
      <c r="AD63" s="54" t="str">
        <f t="shared" si="32"/>
        <v>0144-23</v>
      </c>
      <c r="AE63" s="80" t="str">
        <f t="shared" si="33"/>
        <v>aws s3 cp s3://rtdc.mdm.uploadarchive.raw/RTDC4027/ "%USERPROFILE%\AppData\Local\Temp\OnboardLogs"\RTDC4027\2017-04-23 --exclude "*" --recursive --include "*20170423*" &amp; "%USERPROFILE%\Documents\GitHub\mrs-test-scripts\Headless Mode &amp; Sideloading\WalkAndUnGZ.bat" "%USERPROFILE%\AppData\Local\Temp\OnboardLogs"\RTDC4027\2017-04-23 &amp; aws s3 cp s3://rtdc.mdm.uploadarchive.raw/RTDC4027/ "%USERPROFILE%\AppData\Local\Temp\OnboardLogs"\RTDC4027\2017-04-24 --exclude "*" --recursive --include "*20170424*" &amp; "%USERPROFILE%\Documents\GitHub\mrs-test-scripts\Headless Mode &amp; Sideloading\WalkAndUnGZ.bat" "%USERPROFILE%\AppData\Local\Temp\OnboardLogs"\RTDC4027\2017-04-24</v>
      </c>
      <c r="AF63" s="77" t="str">
        <f t="shared" si="34"/>
        <v>"C:\Program Files (x86)\AstroGrep\AstroGrep.exe" /e /r /s /spath="%USERPROFILE%\AppData\Local\Temp\OnboardLogs" /stypes="app*4027*20170423*" /stext=" 16:.+((SYSTEM_STATE.+slice.+state.+changed )|(ment ac)|(multiple cpu faults)|(system.+state.+changed )|(\[timeout)|(PRM\|1\|D)|(kpr)|(kdp)|(\|lc)|(penalty))"</v>
      </c>
      <c r="AG63" s="1" t="str">
        <f t="shared" si="35"/>
        <v>EC</v>
      </c>
      <c r="AH63" s="81" t="str">
        <f t="shared" si="19"/>
        <v>"%USERPROFILE%\Documents\GitHub\eaglep3\Utilities\RefineRTDCRunTimes.py" --tripid 144-23 --locoid 4027 --swversion DE.1.0.9.0 --startMP 204:232988 --initTime 2017-04-23T09:40:29 --startdatetime 2017-04-23T09:56:23 --delay 1 --endMP 204:82114 --enddatetime 2017-04-23T10:19:18 --enforcementcount 0 &gt;&gt;C:\Users\stu\Documents\GitHub\eaglep3-reporting\EC\2017-04-23-refined-times.txt</v>
      </c>
      <c r="AI63" s="99" t="str">
        <f t="shared" si="20"/>
        <v>echo {"issue":{"subject":"Onboard in-route failure, banner without braking","project_id":79,"tracker_id":40,"status_id":1,"priority_id":2,"assigned_to_id":23,"start_date":"2017-04-23","description":"","custom_fields":[{"id":1,"name":"Subdivision","value":"EC"},{"id":4,"name":"Milepost","value":"8.2114"},{"id":17,"name":"Train ID","value":"144-23"},{"id":16,"name":"Locomotive ID","value":"4027"},{"id":130,"name":"Impact","value":""},{"id":150,"name":"Time of Event (Mountain Time)","value":"10:19:18"},{"id":151,"name":"Denver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5" t="str">
        <f t="shared" si="21"/>
        <v>start /low /b %USERPROFILE%\Documents\GitHub\eaglep3\Utilities\DownloadLogsFromS3.py --loco 4027 --day 2017-04-23</v>
      </c>
      <c r="AN63" s="154" t="str">
        <f t="shared" si="22"/>
        <v>echo {"issue":{"subject":"Onboard in-route failure, banner without braking","project_id":30,"tracker_id":4,"status_id":1,"priority_id":1,"assigned_to_id":10,"start_date":"2017-04-23","description":"","custom_fields":[{"id":30,"name":"Category","value":"Issue"},{"id":3,"name":"Functional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16:19:18"},{"id":29,"name":"Sharepoint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690</v>
      </c>
      <c r="B64" s="7">
        <v>4044</v>
      </c>
      <c r="C64" s="21" t="s">
        <v>213</v>
      </c>
      <c r="D64" s="21" t="s">
        <v>209</v>
      </c>
      <c r="E64" s="13">
        <v>42848.381932870368</v>
      </c>
      <c r="F64" s="13">
        <v>42848.385810185187</v>
      </c>
      <c r="G64" s="7">
        <v>1</v>
      </c>
      <c r="H64" s="21" t="s">
        <v>449</v>
      </c>
      <c r="I64" s="13">
        <v>42848.411145833335</v>
      </c>
      <c r="J64" s="7">
        <v>0</v>
      </c>
      <c r="K64" s="92" t="str">
        <f t="shared" si="23"/>
        <v>4043/4044</v>
      </c>
      <c r="L64" s="21" t="str">
        <f>VLOOKUP(A64,'Trips&amp;Operators'!$C$1:$G$99999,5,FALSE)</f>
        <v>MAELZER KURT</v>
      </c>
      <c r="M64" s="6">
        <f t="shared" si="24"/>
        <v>2.5335648148029577E-2</v>
      </c>
      <c r="N64" s="7">
        <f t="shared" si="38"/>
        <v>36.483333333162591</v>
      </c>
      <c r="O64" s="7"/>
      <c r="P64" s="7"/>
      <c r="Q64" s="22"/>
      <c r="R64" s="200"/>
      <c r="S64" s="206">
        <f t="shared" si="39"/>
        <v>1</v>
      </c>
      <c r="T64" s="200" t="str">
        <f t="shared" si="25"/>
        <v>NorthBound</v>
      </c>
      <c r="U64" s="200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01" t="str">
        <f t="shared" si="26"/>
        <v>https://d0f6bd738d7f1b3e5a7ca70fe4ff75f0.us-east-1.aws.found.io/app/kibana#/discover/Steve-Slow-Train-Analysis-(2080s-and-2083s)?_g=(refreshInterval:(display:Off,pause:!f,section:0,value:0),time:(from:'2017-04-23T08:09:59-0600',mode:absolute,to:'2017-04-23T10:52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4" s="202" t="str">
        <f t="shared" si="27"/>
        <v>N</v>
      </c>
      <c r="X64" s="202">
        <f t="shared" si="28"/>
        <v>1</v>
      </c>
      <c r="Y64" s="202">
        <f t="shared" si="29"/>
        <v>4.5499999999999999E-2</v>
      </c>
      <c r="Z64" s="202">
        <f t="shared" si="30"/>
        <v>23.3323</v>
      </c>
      <c r="AA64" s="202">
        <f t="shared" si="31"/>
        <v>23.286799999999999</v>
      </c>
      <c r="AB64" s="57" t="e">
        <f>VLOOKUP(A64,Enforcements!$C$7:$K$13,8,0)</f>
        <v>#N/A</v>
      </c>
      <c r="AC64" s="53" t="e">
        <f>VLOOKUP(A64,Enforcements!$C$7:$E$13,3,0)</f>
        <v>#N/A</v>
      </c>
      <c r="AD64" s="54" t="str">
        <f t="shared" si="32"/>
        <v>0145-23</v>
      </c>
      <c r="AE64" s="80" t="str">
        <f t="shared" si="33"/>
        <v>aws s3 cp s3://rtdc.mdm.uploadarchive.raw/RTDC4044/ "%USERPROFILE%\AppData\Local\Temp\OnboardLogs"\RTDC4044\2017-04-23 --exclude "*" --recursive --include "*20170423*" &amp; "%USERPROFILE%\Documents\GitHub\mrs-test-scripts\Headless Mode &amp; Sideloading\WalkAndUnGZ.bat" "%USERPROFILE%\AppData\Local\Temp\OnboardLogs"\RTDC4044\2017-04-23 &amp; aws s3 cp s3://rtdc.mdm.uploadarchive.raw/RTDC4044/ "%USERPROFILE%\AppData\Local\Temp\OnboardLogs"\RTDC4044\2017-04-24 --exclude "*" --recursive --include "*20170424*" &amp; "%USERPROFILE%\Documents\GitHub\mrs-test-scripts\Headless Mode &amp; Sideloading\WalkAndUnGZ.bat" "%USERPROFILE%\AppData\Local\Temp\OnboardLogs"\RTDC4044\2017-04-24</v>
      </c>
      <c r="AF64" s="77" t="str">
        <f t="shared" si="34"/>
        <v>"C:\Program Files (x86)\AstroGrep\AstroGrep.exe" /e /r /s /spath="%USERPROFILE%\AppData\Local\Temp\OnboardLogs" /stypes="app*4044*20170423*" /stext=" 15:.+((SYSTEM_STATE.+slice.+state.+changed )|(ment ac)|(multiple cpu faults)|(system.+state.+changed )|(\[timeout)|(PRM\|1\|D)|(kpr)|(kdp)|(\|lc)|(penalty))"</v>
      </c>
      <c r="AG64" s="1" t="str">
        <f t="shared" si="35"/>
        <v>EC</v>
      </c>
      <c r="AH64" s="81" t="str">
        <f t="shared" si="19"/>
        <v>"%USERPROFILE%\Documents\GitHub\eaglep3\Utilities\RefineRTDCRunTimes.py" --tripid 145-23 --locoid 4044 --swversion DE.1.0.9.0 --startMP 204:455 --initTime 2017-04-23T09:09:59 --startdatetime 2017-04-23T09:15:34 --delay 1 --endMP 204:233323 --enddatetime 2017-04-23T09:52:03 --enforcementcount 0 &gt;&gt;C:\Users\stu\Documents\GitHub\eaglep3-reporting\EC\2017-04-23-refined-times.txt</v>
      </c>
      <c r="AI64" s="99" t="str">
        <f t="shared" si="20"/>
        <v>echo {"issue":{"subject":"","project_id":79,"tracker_id":40,"status_id":1,"priority_id":2,"assigned_to_id":23,"start_date":"2017-04-23","description":"","custom_fields":[{"id":1,"name":"Subdivision","value":"EC"},{"id":4,"name":"Milepost","value":"23.3323"},{"id":17,"name":"Train ID","value":"145-23"},{"id":16,"name":"Locomotive ID","value":"4044"},{"id":130,"name":"Impact","value":""},{"id":150,"name":"Time of Event (Mountain Time)","value":"09:52:03"},{"id":151,"name":"Denver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5" t="str">
        <f t="shared" si="21"/>
        <v>start /low /b %USERPROFILE%\Documents\GitHub\eaglep3\Utilities\DownloadLogsFromS3.py --loco 4044 --day 2017-04-23</v>
      </c>
      <c r="AN64" s="154" t="str">
        <f t="shared" si="22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15:52:03"},{"id":29,"name":"Sharepoint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697</v>
      </c>
      <c r="B65" s="7">
        <v>4043</v>
      </c>
      <c r="C65" s="21" t="s">
        <v>213</v>
      </c>
      <c r="D65" s="21" t="s">
        <v>850</v>
      </c>
      <c r="E65" s="13">
        <v>42848.418541666666</v>
      </c>
      <c r="F65" s="13">
        <v>42848.424826388888</v>
      </c>
      <c r="G65" s="7">
        <v>1</v>
      </c>
      <c r="H65" s="21" t="s">
        <v>892</v>
      </c>
      <c r="I65" s="13">
        <v>42848.45208333333</v>
      </c>
      <c r="J65" s="7">
        <v>0</v>
      </c>
      <c r="K65" s="92" t="str">
        <f t="shared" si="23"/>
        <v>4043/4044</v>
      </c>
      <c r="L65" s="21" t="str">
        <f>VLOOKUP(A65,'Trips&amp;Operators'!$C$1:$G$99999,5,FALSE)</f>
        <v>MAELZER KURT</v>
      </c>
      <c r="M65" s="6">
        <f t="shared" si="24"/>
        <v>2.7256944442342501E-2</v>
      </c>
      <c r="N65" s="7">
        <f t="shared" si="38"/>
        <v>39.249999996973202</v>
      </c>
      <c r="O65" s="7"/>
      <c r="P65" s="7"/>
      <c r="Q65" s="22"/>
      <c r="R65" s="200"/>
      <c r="S65" s="206">
        <f t="shared" si="39"/>
        <v>1</v>
      </c>
      <c r="T65" s="200" t="str">
        <f t="shared" si="25"/>
        <v>Southbound</v>
      </c>
      <c r="U65" s="200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01" t="str">
        <f t="shared" si="26"/>
        <v>https://d0f6bd738d7f1b3e5a7ca70fe4ff75f0.us-east-1.aws.found.io/app/kibana#/discover/Steve-Slow-Train-Analysis-(2080s-and-2083s)?_g=(refreshInterval:(display:Off,pause:!f,section:0,value:0),time:(from:'2017-04-23T09:02:42-0600',mode:absolute,to:'2017-04-23T11:51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5" s="202" t="str">
        <f t="shared" si="27"/>
        <v>N</v>
      </c>
      <c r="X65" s="202">
        <f t="shared" si="28"/>
        <v>1</v>
      </c>
      <c r="Y65" s="202">
        <f t="shared" si="29"/>
        <v>23.3004</v>
      </c>
      <c r="Z65" s="202">
        <f t="shared" si="30"/>
        <v>3.5499999999999997E-2</v>
      </c>
      <c r="AA65" s="202">
        <f t="shared" si="31"/>
        <v>23.264900000000001</v>
      </c>
      <c r="AB65" s="57" t="e">
        <f>VLOOKUP(A65,Enforcements!$C$7:$K$13,8,0)</f>
        <v>#N/A</v>
      </c>
      <c r="AC65" s="53" t="e">
        <f>VLOOKUP(A65,Enforcements!$C$7:$E$13,3,0)</f>
        <v>#N/A</v>
      </c>
      <c r="AD65" s="54" t="str">
        <f t="shared" si="32"/>
        <v>0146-23</v>
      </c>
      <c r="AE65" s="80" t="str">
        <f t="shared" si="33"/>
        <v>aws s3 cp s3://rtdc.mdm.uploadarchive.raw/RTDC4043/ "%USERPROFILE%\AppData\Local\Temp\OnboardLogs"\RTDC4043\2017-04-23 --exclude "*" --recursive --include "*20170423*" &amp; "%USERPROFILE%\Documents\GitHub\mrs-test-scripts\Headless Mode &amp; Sideloading\WalkAndUnGZ.bat" "%USERPROFILE%\AppData\Local\Temp\OnboardLogs"\RTDC4043\2017-04-23 &amp; aws s3 cp s3://rtdc.mdm.uploadarchive.raw/RTDC4043/ "%USERPROFILE%\AppData\Local\Temp\OnboardLogs"\RTDC4043\2017-04-24 --exclude "*" --recursive --include "*20170424*" &amp; "%USERPROFILE%\Documents\GitHub\mrs-test-scripts\Headless Mode &amp; Sideloading\WalkAndUnGZ.bat" "%USERPROFILE%\AppData\Local\Temp\OnboardLogs"\RTDC4043\2017-04-24</v>
      </c>
      <c r="AF65" s="77" t="str">
        <f t="shared" si="34"/>
        <v>"C:\Program Files (x86)\AstroGrep\AstroGrep.exe" /e /r /s /spath="%USERPROFILE%\AppData\Local\Temp\OnboardLogs" /stypes="app*4043*20170423*" /stext=" 16:.+((SYSTEM_STATE.+slice.+state.+changed )|(ment ac)|(multiple cpu faults)|(system.+state.+changed )|(\[timeout)|(PRM\|1\|D)|(kpr)|(kdp)|(\|lc)|(penalty))"</v>
      </c>
      <c r="AG65" s="1" t="str">
        <f t="shared" si="35"/>
        <v>EC</v>
      </c>
      <c r="AH65" s="81" t="str">
        <f t="shared" si="19"/>
        <v>"%USERPROFILE%\Documents\GitHub\eaglep3\Utilities\RefineRTDCRunTimes.py" --tripid 146-23 --locoid 4043 --swversion DE.1.0.9.0 --startMP 204:233004 --initTime 2017-04-23T10:02:42 --startdatetime 2017-04-23T10:11:45 --delay 1 --endMP 204:355 --enddatetime 2017-04-23T10:51:00 --enforcementcount 0 &gt;&gt;C:\Users\stu\Documents\GitHub\eaglep3-reporting\EC\2017-04-23-refined-times.txt</v>
      </c>
      <c r="AI65" s="99" t="str">
        <f t="shared" si="20"/>
        <v>echo {"issue":{"subject":"","project_id":79,"tracker_id":40,"status_id":1,"priority_id":2,"assigned_to_id":23,"start_date":"2017-04-23","description":"","custom_fields":[{"id":1,"name":"Subdivision","value":"EC"},{"id":4,"name":"Milepost","value":"0.0355"},{"id":17,"name":"Train ID","value":"146-23"},{"id":16,"name":"Locomotive ID","value":"4043"},{"id":130,"name":"Impact","value":""},{"id":150,"name":"Time of Event (Mountain Time)","value":"10:51:00"},{"id":151,"name":"Denver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5" t="str">
        <f t="shared" si="21"/>
        <v>start /low /b %USERPROFILE%\Documents\GitHub\eaglep3\Utilities\DownloadLogsFromS3.py --loco 4043 --day 2017-04-23</v>
      </c>
      <c r="AN65" s="154" t="str">
        <f t="shared" si="22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16:51:00"},{"id":29,"name":"Sharepoint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604</v>
      </c>
      <c r="B66" s="7">
        <v>4016</v>
      </c>
      <c r="C66" s="21" t="s">
        <v>213</v>
      </c>
      <c r="D66" s="21" t="s">
        <v>426</v>
      </c>
      <c r="E66" s="13">
        <v>42848.391828703701</v>
      </c>
      <c r="F66" s="13">
        <v>42848.395972222221</v>
      </c>
      <c r="G66" s="7">
        <v>1</v>
      </c>
      <c r="H66" s="21" t="s">
        <v>577</v>
      </c>
      <c r="I66" s="13">
        <v>42848.422430555554</v>
      </c>
      <c r="J66" s="7">
        <v>0</v>
      </c>
      <c r="K66" s="92" t="str">
        <f t="shared" si="23"/>
        <v>4015/4016</v>
      </c>
      <c r="L66" s="21" t="str">
        <f>VLOOKUP(A66,'Trips&amp;Operators'!$C$1:$G$99999,5,FALSE)</f>
        <v>BADERTSCHER DIANE</v>
      </c>
      <c r="M66" s="6">
        <f t="shared" si="24"/>
        <v>2.6458333333721384E-2</v>
      </c>
      <c r="N66" s="7">
        <f t="shared" si="38"/>
        <v>38.100000000558794</v>
      </c>
      <c r="O66" s="7"/>
      <c r="P66" s="7"/>
      <c r="Q66" s="22"/>
      <c r="R66" s="200"/>
      <c r="S66" s="206">
        <f t="shared" si="39"/>
        <v>1</v>
      </c>
      <c r="T66" s="200" t="str">
        <f t="shared" si="25"/>
        <v>NorthBound</v>
      </c>
      <c r="U66" s="200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01" t="str">
        <f t="shared" si="26"/>
        <v>https://d0f6bd738d7f1b3e5a7ca70fe4ff75f0.us-east-1.aws.found.io/app/kibana#/discover/Steve-Slow-Train-Analysis-(2080s-and-2083s)?_g=(refreshInterval:(display:Off,pause:!f,section:0,value:0),time:(from:'2017-04-23T08:24:14-0600',mode:absolute,to:'2017-04-23T11:08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6" s="202" t="str">
        <f t="shared" si="27"/>
        <v>N</v>
      </c>
      <c r="X66" s="202">
        <f t="shared" si="28"/>
        <v>1</v>
      </c>
      <c r="Y66" s="202">
        <f t="shared" si="29"/>
        <v>4.4200000000000003E-2</v>
      </c>
      <c r="Z66" s="202">
        <f t="shared" si="30"/>
        <v>23.330500000000001</v>
      </c>
      <c r="AA66" s="202">
        <f t="shared" si="31"/>
        <v>23.286300000000001</v>
      </c>
      <c r="AB66" s="57" t="str">
        <f>VLOOKUP(A66,Enforcements!$C$7:$K$13,8,0)</f>
        <v>Bulletin (2)</v>
      </c>
      <c r="AC66" s="53" t="str">
        <f>VLOOKUP(A66,Enforcements!$C$7:$E$13,3,0)</f>
        <v>GRADE CROSSING</v>
      </c>
      <c r="AD66" s="54" t="str">
        <f t="shared" si="32"/>
        <v>0147-23</v>
      </c>
      <c r="AE66" s="80" t="str">
        <f t="shared" si="33"/>
        <v>aws s3 cp s3://rtdc.mdm.uploadarchive.raw/RTDC4016/ "%USERPROFILE%\AppData\Local\Temp\OnboardLogs"\RTDC4016\2017-04-23 --exclude "*" --recursive --include "*20170423*" &amp; "%USERPROFILE%\Documents\GitHub\mrs-test-scripts\Headless Mode &amp; Sideloading\WalkAndUnGZ.bat" "%USERPROFILE%\AppData\Local\Temp\OnboardLogs"\RTDC4016\2017-04-23 &amp; aws s3 cp s3://rtdc.mdm.uploadarchive.raw/RTDC4016/ "%USERPROFILE%\AppData\Local\Temp\OnboardLogs"\RTDC4016\2017-04-24 --exclude "*" --recursive --include "*20170424*" &amp; "%USERPROFILE%\Documents\GitHub\mrs-test-scripts\Headless Mode &amp; Sideloading\WalkAndUnGZ.bat" "%USERPROFILE%\AppData\Local\Temp\OnboardLogs"\RTDC4016\2017-04-24</v>
      </c>
      <c r="AF66" s="77" t="str">
        <f t="shared" si="34"/>
        <v>"C:\Program Files (x86)\AstroGrep\AstroGrep.exe" /e /r /s /spath="%USERPROFILE%\AppData\Local\Temp\OnboardLogs" /stypes="app*4016*20170423*" /stext=" 16:.+((SYSTEM_STATE.+slice.+state.+changed )|(ment ac)|(multiple cpu faults)|(system.+state.+changed )|(\[timeout)|(PRM\|1\|D)|(kpr)|(kdp)|(\|lc)|(penalty))"</v>
      </c>
      <c r="AG66" s="1" t="str">
        <f t="shared" si="35"/>
        <v>EC</v>
      </c>
      <c r="AH66" s="81" t="str">
        <f t="shared" si="19"/>
        <v>"%USERPROFILE%\Documents\GitHub\eaglep3\Utilities\RefineRTDCRunTimes.py" --tripid 147-23 --locoid 4016 --swversion DE.1.0.9.0 --startMP 204:442 --initTime 2017-04-23T09:24:14 --startdatetime 2017-04-23T09:30:12 --delay 1 --endMP 204:233305 --enddatetime 2017-04-23T10:08:18 --enforcementcount 0 &gt;&gt;C:\Users\stu\Documents\GitHub\eaglep3-reporting\EC\2017-04-23-refined-times.txt</v>
      </c>
      <c r="AI66" s="99" t="str">
        <f t="shared" si="20"/>
        <v>echo {"issue":{"subject":"","project_id":79,"tracker_id":40,"status_id":1,"priority_id":2,"assigned_to_id":23,"start_date":"2017-04-23","description":"","custom_fields":[{"id":1,"name":"Subdivision","value":"EC"},{"id":4,"name":"Milepost","value":"23.3305"},{"id":17,"name":"Train ID","value":"147-23"},{"id":16,"name":"Locomotive ID","value":"4016"},{"id":130,"name":"Impact","value":""},{"id":150,"name":"Time of Event (Mountain Time)","value":"10:08:18"},{"id":151,"name":"Denver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5" t="str">
        <f t="shared" si="21"/>
        <v>start /low /b %USERPROFILE%\Documents\GitHub\eaglep3\Utilities\DownloadLogsFromS3.py --loco 4016 --day 2017-04-23</v>
      </c>
      <c r="AN66" s="154" t="str">
        <f t="shared" si="22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16:08:18"},{"id":29,"name":"Sharepoint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606</v>
      </c>
      <c r="B67" s="7">
        <v>4015</v>
      </c>
      <c r="C67" s="21" t="s">
        <v>213</v>
      </c>
      <c r="D67" s="21" t="s">
        <v>376</v>
      </c>
      <c r="E67" s="13">
        <v>42848.429988425924</v>
      </c>
      <c r="F67" s="13">
        <v>42848.434930555559</v>
      </c>
      <c r="G67" s="7">
        <v>1</v>
      </c>
      <c r="H67" s="21" t="s">
        <v>381</v>
      </c>
      <c r="I67" s="13">
        <v>42848.462777777779</v>
      </c>
      <c r="J67" s="7">
        <v>0</v>
      </c>
      <c r="K67" s="92" t="str">
        <f t="shared" si="23"/>
        <v>4015/4016</v>
      </c>
      <c r="L67" s="21" t="str">
        <f>VLOOKUP(A67,'Trips&amp;Operators'!$C$1:$G$99999,5,FALSE)</f>
        <v>BADERTSCHER DIANE</v>
      </c>
      <c r="M67" s="6">
        <f t="shared" si="24"/>
        <v>2.7847222219861578E-2</v>
      </c>
      <c r="N67" s="7">
        <f t="shared" si="38"/>
        <v>40.099999996600673</v>
      </c>
      <c r="O67" s="7"/>
      <c r="P67" s="7"/>
      <c r="Q67" s="22"/>
      <c r="R67" s="200"/>
      <c r="S67" s="206">
        <f t="shared" si="39"/>
        <v>1</v>
      </c>
      <c r="T67" s="200" t="str">
        <f t="shared" si="25"/>
        <v>Southbound</v>
      </c>
      <c r="U67" s="200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01" t="str">
        <f t="shared" si="26"/>
        <v>https://d0f6bd738d7f1b3e5a7ca70fe4ff75f0.us-east-1.aws.found.io/app/kibana#/discover/Steve-Slow-Train-Analysis-(2080s-and-2083s)?_g=(refreshInterval:(display:Off,pause:!f,section:0,value:0),time:(from:'2017-04-23T09:19:11-0600',mode:absolute,to:'2017-04-23T12:06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7" s="202" t="str">
        <f t="shared" si="27"/>
        <v>N</v>
      </c>
      <c r="X67" s="202">
        <f t="shared" si="28"/>
        <v>1</v>
      </c>
      <c r="Y67" s="202">
        <f t="shared" si="29"/>
        <v>23.297699999999999</v>
      </c>
      <c r="Z67" s="202">
        <f t="shared" si="30"/>
        <v>1.41E-2</v>
      </c>
      <c r="AA67" s="202">
        <f t="shared" si="31"/>
        <v>23.2836</v>
      </c>
      <c r="AB67" s="57" t="e">
        <f>VLOOKUP(A67,Enforcements!$C$7:$K$13,8,0)</f>
        <v>#N/A</v>
      </c>
      <c r="AC67" s="53" t="e">
        <f>VLOOKUP(A67,Enforcements!$C$7:$E$13,3,0)</f>
        <v>#N/A</v>
      </c>
      <c r="AD67" s="54" t="str">
        <f t="shared" si="32"/>
        <v>0148-23</v>
      </c>
      <c r="AE67" s="80" t="str">
        <f t="shared" si="33"/>
        <v>aws s3 cp s3://rtdc.mdm.uploadarchive.raw/RTDC4015/ "%USERPROFILE%\AppData\Local\Temp\OnboardLogs"\RTDC4015\2017-04-23 --exclude "*" --recursive --include "*20170423*" &amp; "%USERPROFILE%\Documents\GitHub\mrs-test-scripts\Headless Mode &amp; Sideloading\WalkAndUnGZ.bat" "%USERPROFILE%\AppData\Local\Temp\OnboardLogs"\RTDC4015\2017-04-23 &amp; aws s3 cp s3://rtdc.mdm.uploadarchive.raw/RTDC4015/ "%USERPROFILE%\AppData\Local\Temp\OnboardLogs"\RTDC4015\2017-04-24 --exclude "*" --recursive --include "*20170424*" &amp; "%USERPROFILE%\Documents\GitHub\mrs-test-scripts\Headless Mode &amp; Sideloading\WalkAndUnGZ.bat" "%USERPROFILE%\AppData\Local\Temp\OnboardLogs"\RTDC4015\2017-04-24</v>
      </c>
      <c r="AF67" s="77" t="str">
        <f t="shared" si="34"/>
        <v>"C:\Program Files (x86)\AstroGrep\AstroGrep.exe" /e /r /s /spath="%USERPROFILE%\AppData\Local\Temp\OnboardLogs" /stypes="app*4015*20170423*" /stext=" 17:.+((SYSTEM_STATE.+slice.+state.+changed )|(ment ac)|(multiple cpu faults)|(system.+state.+changed )|(\[timeout)|(PRM\|1\|D)|(kpr)|(kdp)|(\|lc)|(penalty))"</v>
      </c>
      <c r="AG67" s="1" t="str">
        <f t="shared" si="35"/>
        <v>EC</v>
      </c>
      <c r="AH67" s="81" t="str">
        <f t="shared" si="19"/>
        <v>"%USERPROFILE%\Documents\GitHub\eaglep3\Utilities\RefineRTDCRunTimes.py" --tripid 148-23 --locoid 4015 --swversion DE.1.0.9.0 --startMP 204:232977 --initTime 2017-04-23T10:19:11 --startdatetime 2017-04-23T10:26:18 --delay 1 --endMP 204:141 --enddatetime 2017-04-23T11:06:24 --enforcementcount 0 &gt;&gt;C:\Users\stu\Documents\GitHub\eaglep3-reporting\EC\2017-04-23-refined-times.txt</v>
      </c>
      <c r="AI67" s="99" t="str">
        <f t="shared" si="20"/>
        <v>echo {"issue":{"subject":"","project_id":79,"tracker_id":40,"status_id":1,"priority_id":2,"assigned_to_id":23,"start_date":"2017-04-23","description":"","custom_fields":[{"id":1,"name":"Subdivision","value":"EC"},{"id":4,"name":"Milepost","value":"0.0141"},{"id":17,"name":"Train ID","value":"148-23"},{"id":16,"name":"Locomotive ID","value":"4015"},{"id":130,"name":"Impact","value":""},{"id":150,"name":"Time of Event (Mountain Time)","value":"11:06:24"},{"id":151,"name":"Denver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5" t="str">
        <f t="shared" si="21"/>
        <v>start /low /b %USERPROFILE%\Documents\GitHub\eaglep3\Utilities\DownloadLogsFromS3.py --loco 4015 --day 2017-04-23</v>
      </c>
      <c r="AN67" s="154" t="str">
        <f t="shared" si="22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17:06:24"},{"id":29,"name":"Sharepoint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694</v>
      </c>
      <c r="B68" s="7">
        <v>4022</v>
      </c>
      <c r="C68" s="21" t="s">
        <v>213</v>
      </c>
      <c r="D68" s="21" t="s">
        <v>437</v>
      </c>
      <c r="E68" s="13">
        <v>42848.403414351851</v>
      </c>
      <c r="F68" s="13">
        <v>42848.406412037039</v>
      </c>
      <c r="G68" s="7">
        <v>1</v>
      </c>
      <c r="H68" s="21" t="s">
        <v>447</v>
      </c>
      <c r="I68" s="13">
        <v>42848.432002314818</v>
      </c>
      <c r="J68" s="7">
        <v>0</v>
      </c>
      <c r="K68" s="92" t="str">
        <f t="shared" si="23"/>
        <v>4021/4022</v>
      </c>
      <c r="L68" s="21" t="str">
        <f>VLOOKUP(A68,'Trips&amp;Operators'!$C$1:$G$99999,5,FALSE)</f>
        <v>DAVIS WENDY</v>
      </c>
      <c r="M68" s="6">
        <f t="shared" si="24"/>
        <v>2.5590277778974269E-2</v>
      </c>
      <c r="N68" s="7">
        <f t="shared" si="38"/>
        <v>36.850000001722947</v>
      </c>
      <c r="O68" s="7"/>
      <c r="P68" s="7"/>
      <c r="Q68" s="22"/>
      <c r="R68" s="200"/>
      <c r="S68" s="206">
        <f t="shared" si="39"/>
        <v>1</v>
      </c>
      <c r="T68" s="200" t="str">
        <f t="shared" si="25"/>
        <v>NorthBound</v>
      </c>
      <c r="U68" s="200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01" t="str">
        <f t="shared" si="26"/>
        <v>https://d0f6bd738d7f1b3e5a7ca70fe4ff75f0.us-east-1.aws.found.io/app/kibana#/discover/Steve-Slow-Train-Analysis-(2080s-and-2083s)?_g=(refreshInterval:(display:Off,pause:!f,section:0,value:0),time:(from:'2017-04-23T08:40:55-0600',mode:absolute,to:'2017-04-23T11:22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68" s="202" t="str">
        <f t="shared" si="27"/>
        <v>N</v>
      </c>
      <c r="X68" s="202">
        <f t="shared" si="28"/>
        <v>1</v>
      </c>
      <c r="Y68" s="202">
        <f t="shared" si="29"/>
        <v>4.4400000000000002E-2</v>
      </c>
      <c r="Z68" s="202">
        <f t="shared" si="30"/>
        <v>23.331199999999999</v>
      </c>
      <c r="AA68" s="202">
        <f t="shared" si="31"/>
        <v>23.286799999999999</v>
      </c>
      <c r="AB68" s="57" t="e">
        <f>VLOOKUP(A68,Enforcements!$C$7:$K$13,8,0)</f>
        <v>#N/A</v>
      </c>
      <c r="AC68" s="53" t="e">
        <f>VLOOKUP(A68,Enforcements!$C$7:$E$13,3,0)</f>
        <v>#N/A</v>
      </c>
      <c r="AD68" s="54" t="str">
        <f t="shared" si="32"/>
        <v>0149-23</v>
      </c>
      <c r="AE68" s="80" t="str">
        <f t="shared" si="33"/>
        <v>aws s3 cp s3://rtdc.mdm.uploadarchive.raw/RTDC4022/ "%USERPROFILE%\AppData\Local\Temp\OnboardLogs"\RTDC4022\2017-04-23 --exclude "*" --recursive --include "*20170423*" &amp; "%USERPROFILE%\Documents\GitHub\mrs-test-scripts\Headless Mode &amp; Sideloading\WalkAndUnGZ.bat" "%USERPROFILE%\AppData\Local\Temp\OnboardLogs"\RTDC4022\2017-04-23 &amp; aws s3 cp s3://rtdc.mdm.uploadarchive.raw/RTDC4022/ "%USERPROFILE%\AppData\Local\Temp\OnboardLogs"\RTDC4022\2017-04-24 --exclude "*" --recursive --include "*20170424*" &amp; "%USERPROFILE%\Documents\GitHub\mrs-test-scripts\Headless Mode &amp; Sideloading\WalkAndUnGZ.bat" "%USERPROFILE%\AppData\Local\Temp\OnboardLogs"\RTDC4022\2017-04-24</v>
      </c>
      <c r="AF68" s="77" t="str">
        <f t="shared" si="34"/>
        <v>"C:\Program Files (x86)\AstroGrep\AstroGrep.exe" /e /r /s /spath="%USERPROFILE%\AppData\Local\Temp\OnboardLogs" /stypes="app*4022*20170423*" /stext=" 16:.+((SYSTEM_STATE.+slice.+state.+changed )|(ment ac)|(multiple cpu faults)|(system.+state.+changed )|(\[timeout)|(PRM\|1\|D)|(kpr)|(kdp)|(\|lc)|(penalty))"</v>
      </c>
      <c r="AG68" s="1" t="str">
        <f t="shared" si="35"/>
        <v>EC</v>
      </c>
      <c r="AH68" s="81" t="str">
        <f t="shared" si="19"/>
        <v>"%USERPROFILE%\Documents\GitHub\eaglep3\Utilities\RefineRTDCRunTimes.py" --tripid 149-23 --locoid 4022 --swversion DE.1.0.9.0 --startMP 204:444 --initTime 2017-04-23T09:40:55 --startdatetime 2017-04-23T09:45:14 --delay 1 --endMP 204:233312 --enddatetime 2017-04-23T10:22:05 --enforcementcount 0 &gt;&gt;C:\Users\stu\Documents\GitHub\eaglep3-reporting\EC\2017-04-23-refined-times.txt</v>
      </c>
      <c r="AI68" s="99" t="str">
        <f t="shared" si="20"/>
        <v>echo {"issue":{"subject":"","project_id":79,"tracker_id":40,"status_id":1,"priority_id":2,"assigned_to_id":23,"start_date":"2017-04-23","description":"","custom_fields":[{"id":1,"name":"Subdivision","value":"EC"},{"id":4,"name":"Milepost","value":"23.3312"},{"id":17,"name":"Train ID","value":"149-23"},{"id":16,"name":"Locomotive ID","value":"4022"},{"id":130,"name":"Impact","value":""},{"id":150,"name":"Time of Event (Mountain Time)","value":"10:22:05"},{"id":151,"name":"Denver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5" t="str">
        <f t="shared" si="21"/>
        <v>start /low /b %USERPROFILE%\Documents\GitHub\eaglep3\Utilities\DownloadLogsFromS3.py --loco 4022 --day 2017-04-23</v>
      </c>
      <c r="AN68" s="154" t="str">
        <f t="shared" si="22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16:22:05"},{"id":29,"name":"Sharepoint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704</v>
      </c>
      <c r="B69" s="7">
        <v>4021</v>
      </c>
      <c r="C69" s="21" t="s">
        <v>213</v>
      </c>
      <c r="D69" s="21" t="s">
        <v>439</v>
      </c>
      <c r="E69" s="13">
        <v>42848.442997685182</v>
      </c>
      <c r="F69" s="13">
        <v>42848.445289351854</v>
      </c>
      <c r="G69" s="7">
        <v>1</v>
      </c>
      <c r="H69" s="21" t="s">
        <v>203</v>
      </c>
      <c r="I69" s="13">
        <v>42848.473182870373</v>
      </c>
      <c r="J69" s="7">
        <v>0</v>
      </c>
      <c r="K69" s="92" t="str">
        <f t="shared" si="23"/>
        <v>4021/4022</v>
      </c>
      <c r="L69" s="21" t="str">
        <f>VLOOKUP(A69,'Trips&amp;Operators'!$C$1:$G$99999,5,FALSE)</f>
        <v>DAVIS WENDY</v>
      </c>
      <c r="M69" s="6">
        <f t="shared" si="24"/>
        <v>2.789351851970423E-2</v>
      </c>
      <c r="N69" s="7">
        <f t="shared" si="38"/>
        <v>40.166666668374091</v>
      </c>
      <c r="O69" s="7"/>
      <c r="P69" s="7"/>
      <c r="Q69" s="22"/>
      <c r="R69" s="200"/>
      <c r="S69" s="206">
        <f t="shared" si="39"/>
        <v>1</v>
      </c>
      <c r="T69" s="200" t="str">
        <f t="shared" si="25"/>
        <v>Southbound</v>
      </c>
      <c r="U69" s="200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01" t="str">
        <f t="shared" si="26"/>
        <v>https://d0f6bd738d7f1b3e5a7ca70fe4ff75f0.us-east-1.aws.found.io/app/kibana#/discover/Steve-Slow-Train-Analysis-(2080s-and-2083s)?_g=(refreshInterval:(display:Off,pause:!f,section:0,value:0),time:(from:'2017-04-23T09:37:55-0600',mode:absolute,to:'2017-04-23T12:21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69" s="202" t="str">
        <f t="shared" si="27"/>
        <v>N</v>
      </c>
      <c r="X69" s="202">
        <f t="shared" si="28"/>
        <v>1</v>
      </c>
      <c r="Y69" s="202">
        <f t="shared" si="29"/>
        <v>23.3</v>
      </c>
      <c r="Z69" s="202">
        <f t="shared" si="30"/>
        <v>1.54E-2</v>
      </c>
      <c r="AA69" s="202">
        <f t="shared" si="31"/>
        <v>23.284600000000001</v>
      </c>
      <c r="AB69" s="57" t="e">
        <f>VLOOKUP(A69,Enforcements!$C$7:$K$13,8,0)</f>
        <v>#N/A</v>
      </c>
      <c r="AC69" s="53" t="e">
        <f>VLOOKUP(A69,Enforcements!$C$7:$E$13,3,0)</f>
        <v>#N/A</v>
      </c>
      <c r="AD69" s="54" t="str">
        <f t="shared" si="32"/>
        <v>0150-23</v>
      </c>
      <c r="AE69" s="80" t="str">
        <f t="shared" si="33"/>
        <v>aws s3 cp s3://rtdc.mdm.uploadarchive.raw/RTDC4021/ "%USERPROFILE%\AppData\Local\Temp\OnboardLogs"\RTDC4021\2017-04-23 --exclude "*" --recursive --include "*20170423*" &amp; "%USERPROFILE%\Documents\GitHub\mrs-test-scripts\Headless Mode &amp; Sideloading\WalkAndUnGZ.bat" "%USERPROFILE%\AppData\Local\Temp\OnboardLogs"\RTDC4021\2017-04-23 &amp; aws s3 cp s3://rtdc.mdm.uploadarchive.raw/RTDC4021/ "%USERPROFILE%\AppData\Local\Temp\OnboardLogs"\RTDC4021\2017-04-24 --exclude "*" --recursive --include "*20170424*" &amp; "%USERPROFILE%\Documents\GitHub\mrs-test-scripts\Headless Mode &amp; Sideloading\WalkAndUnGZ.bat" "%USERPROFILE%\AppData\Local\Temp\OnboardLogs"\RTDC4021\2017-04-24</v>
      </c>
      <c r="AF69" s="77" t="str">
        <f t="shared" si="34"/>
        <v>"C:\Program Files (x86)\AstroGrep\AstroGrep.exe" /e /r /s /spath="%USERPROFILE%\AppData\Local\Temp\OnboardLogs" /stypes="app*4021*20170423*" /stext=" 17:.+((SYSTEM_STATE.+slice.+state.+changed )|(ment ac)|(multiple cpu faults)|(system.+state.+changed )|(\[timeout)|(PRM\|1\|D)|(kpr)|(kdp)|(\|lc)|(penalty))"</v>
      </c>
      <c r="AG69" s="1" t="str">
        <f t="shared" si="35"/>
        <v>EC</v>
      </c>
      <c r="AH69" s="81" t="str">
        <f t="shared" si="19"/>
        <v>"%USERPROFILE%\Documents\GitHub\eaglep3\Utilities\RefineRTDCRunTimes.py" --tripid 150-23 --locoid 4021 --swversion DE.1.0.9.0 --startMP 204:233000 --initTime 2017-04-23T10:37:55 --startdatetime 2017-04-23T10:41:13 --delay 1 --endMP 204:154 --enddatetime 2017-04-23T11:21:23 --enforcementcount 0 &gt;&gt;C:\Users\stu\Documents\GitHub\eaglep3-reporting\EC\2017-04-23-refined-times.txt</v>
      </c>
      <c r="AI69" s="99" t="str">
        <f t="shared" si="20"/>
        <v>echo {"issue":{"subject":"","project_id":79,"tracker_id":40,"status_id":1,"priority_id":2,"assigned_to_id":23,"start_date":"2017-04-23","description":"","custom_fields":[{"id":1,"name":"Subdivision","value":"EC"},{"id":4,"name":"Milepost","value":"0.0154"},{"id":17,"name":"Train ID","value":"150-23"},{"id":16,"name":"Locomotive ID","value":"4021"},{"id":130,"name":"Impact","value":""},{"id":150,"name":"Time of Event (Mountain Time)","value":"11:21:23"},{"id":151,"name":"Denver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5" t="str">
        <f t="shared" si="21"/>
        <v>start /low /b %USERPROFILE%\Documents\GitHub\eaglep3\Utilities\DownloadLogsFromS3.py --loco 4021 --day 2017-04-23</v>
      </c>
      <c r="AN69" s="154" t="str">
        <f t="shared" si="22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17:21:23"},{"id":29,"name":"Sharepoint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695</v>
      </c>
      <c r="B70" s="7">
        <v>4042</v>
      </c>
      <c r="C70" s="21" t="s">
        <v>213</v>
      </c>
      <c r="D70" s="21" t="s">
        <v>395</v>
      </c>
      <c r="E70" s="13">
        <v>42848.411643518521</v>
      </c>
      <c r="F70" s="13">
        <v>42848.41684027778</v>
      </c>
      <c r="G70" s="7">
        <v>1</v>
      </c>
      <c r="H70" s="21" t="s">
        <v>571</v>
      </c>
      <c r="I70" s="13">
        <v>42848.441296296296</v>
      </c>
      <c r="J70" s="7">
        <v>0</v>
      </c>
      <c r="K70" s="92" t="str">
        <f t="shared" si="23"/>
        <v>4041/4042</v>
      </c>
      <c r="L70" s="21" t="str">
        <f>VLOOKUP(A70,'Trips&amp;Operators'!$C$1:$G$99999,5,FALSE)</f>
        <v>ROBINSON KADDIBA</v>
      </c>
      <c r="M70" s="6">
        <f t="shared" si="24"/>
        <v>2.4456018516502809E-2</v>
      </c>
      <c r="N70" s="7">
        <f t="shared" si="38"/>
        <v>35.216666663764045</v>
      </c>
      <c r="O70" s="7"/>
      <c r="P70" s="7"/>
      <c r="Q70" s="22"/>
      <c r="R70" s="200"/>
      <c r="S70" s="206">
        <f t="shared" si="39"/>
        <v>1</v>
      </c>
      <c r="T70" s="200" t="str">
        <f t="shared" si="25"/>
        <v>NorthBound</v>
      </c>
      <c r="U70" s="200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01" t="str">
        <f t="shared" si="26"/>
        <v>https://d0f6bd738d7f1b3e5a7ca70fe4ff75f0.us-east-1.aws.found.io/app/kibana#/discover/Steve-Slow-Train-Analysis-(2080s-and-2083s)?_g=(refreshInterval:(display:Off,pause:!f,section:0,value:0),time:(from:'2017-04-23T08:52:46-0600',mode:absolute,to:'2017-04-23T11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0" s="202" t="str">
        <f t="shared" si="27"/>
        <v>N</v>
      </c>
      <c r="X70" s="202">
        <f t="shared" si="28"/>
        <v>1</v>
      </c>
      <c r="Y70" s="202">
        <f t="shared" si="29"/>
        <v>4.58E-2</v>
      </c>
      <c r="Z70" s="202">
        <f t="shared" si="30"/>
        <v>23.328900000000001</v>
      </c>
      <c r="AA70" s="202">
        <f t="shared" si="31"/>
        <v>23.283100000000001</v>
      </c>
      <c r="AB70" s="57" t="e">
        <f>VLOOKUP(A70,Enforcements!$C$7:$K$13,8,0)</f>
        <v>#N/A</v>
      </c>
      <c r="AC70" s="53" t="e">
        <f>VLOOKUP(A70,Enforcements!$C$7:$E$13,3,0)</f>
        <v>#N/A</v>
      </c>
      <c r="AD70" s="54" t="str">
        <f t="shared" si="32"/>
        <v>0151-23</v>
      </c>
      <c r="AE70" s="80" t="str">
        <f t="shared" si="33"/>
        <v>aws s3 cp s3://rtdc.mdm.uploadarchive.raw/RTDC4042/ "%USERPROFILE%\AppData\Local\Temp\OnboardLogs"\RTDC4042\2017-04-23 --exclude "*" --recursive --include "*20170423*" &amp; "%USERPROFILE%\Documents\GitHub\mrs-test-scripts\Headless Mode &amp; Sideloading\WalkAndUnGZ.bat" "%USERPROFILE%\AppData\Local\Temp\OnboardLogs"\RTDC4042\2017-04-23 &amp; aws s3 cp s3://rtdc.mdm.uploadarchive.raw/RTDC4042/ "%USERPROFILE%\AppData\Local\Temp\OnboardLogs"\RTDC4042\2017-04-24 --exclude "*" --recursive --include "*20170424*" &amp; "%USERPROFILE%\Documents\GitHub\mrs-test-scripts\Headless Mode &amp; Sideloading\WalkAndUnGZ.bat" "%USERPROFILE%\AppData\Local\Temp\OnboardLogs"\RTDC4042\2017-04-24</v>
      </c>
      <c r="AF70" s="77" t="str">
        <f t="shared" si="34"/>
        <v>"C:\Program Files (x86)\AstroGrep\AstroGrep.exe" /e /r /s /spath="%USERPROFILE%\AppData\Local\Temp\OnboardLogs" /stypes="app*4042*20170423*" /stext=" 16:.+((SYSTEM_STATE.+slice.+state.+changed )|(ment ac)|(multiple cpu faults)|(system.+state.+changed )|(\[timeout)|(PRM\|1\|D)|(kpr)|(kdp)|(\|lc)|(penalty))"</v>
      </c>
      <c r="AG70" s="1" t="str">
        <f t="shared" si="35"/>
        <v>EC</v>
      </c>
      <c r="AH70" s="81" t="str">
        <f t="shared" si="19"/>
        <v>"%USERPROFILE%\Documents\GitHub\eaglep3\Utilities\RefineRTDCRunTimes.py" --tripid 151-23 --locoid 4042 --swversion DE.1.0.9.0 --startMP 204:458 --initTime 2017-04-23T09:52:46 --startdatetime 2017-04-23T10:00:15 --delay 1 --endMP 204:233289 --enddatetime 2017-04-23T10:35:28 --enforcementcount 0 &gt;&gt;C:\Users\stu\Documents\GitHub\eaglep3-reporting\EC\2017-04-23-refined-times.txt</v>
      </c>
      <c r="AI70" s="99" t="str">
        <f t="shared" si="20"/>
        <v>echo {"issue":{"subject":"","project_id":79,"tracker_id":40,"status_id":1,"priority_id":2,"assigned_to_id":23,"start_date":"2017-04-23","description":"","custom_fields":[{"id":1,"name":"Subdivision","value":"EC"},{"id":4,"name":"Milepost","value":"23.3289"},{"id":17,"name":"Train ID","value":"151-23"},{"id":16,"name":"Locomotive ID","value":"4042"},{"id":130,"name":"Impact","value":""},{"id":150,"name":"Time of Event (Mountain Time)","value":"10:35:28"},{"id":151,"name":"Denver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5" t="str">
        <f t="shared" si="21"/>
        <v>start /low /b %USERPROFILE%\Documents\GitHub\eaglep3\Utilities\DownloadLogsFromS3.py --loco 4042 --day 2017-04-23</v>
      </c>
      <c r="AN70" s="154" t="str">
        <f t="shared" si="22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16:35:28"},{"id":29,"name":"Sharepoint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707</v>
      </c>
      <c r="B71" s="7">
        <v>4041</v>
      </c>
      <c r="C71" s="21" t="s">
        <v>213</v>
      </c>
      <c r="D71" s="21" t="s">
        <v>451</v>
      </c>
      <c r="E71" s="13">
        <v>42848.452314814815</v>
      </c>
      <c r="F71" s="13">
        <v>42848.455717592595</v>
      </c>
      <c r="G71" s="7">
        <v>1</v>
      </c>
      <c r="H71" s="21" t="s">
        <v>588</v>
      </c>
      <c r="I71" s="13">
        <v>42848.482893518521</v>
      </c>
      <c r="J71" s="7">
        <v>0</v>
      </c>
      <c r="K71" s="92" t="str">
        <f t="shared" si="23"/>
        <v>4041/4042</v>
      </c>
      <c r="L71" s="21" t="str">
        <f>VLOOKUP(A71,'Trips&amp;Operators'!$C$1:$G$99999,5,FALSE)</f>
        <v>ROBINSON KADDIBA</v>
      </c>
      <c r="M71" s="6">
        <f t="shared" si="24"/>
        <v>2.7175925926712807E-2</v>
      </c>
      <c r="N71" s="7">
        <f t="shared" si="38"/>
        <v>39.133333334466442</v>
      </c>
      <c r="O71" s="7"/>
      <c r="P71" s="7"/>
      <c r="Q71" s="22"/>
      <c r="R71" s="200"/>
      <c r="S71" s="206">
        <f t="shared" si="39"/>
        <v>1</v>
      </c>
      <c r="T71" s="200" t="str">
        <f t="shared" si="25"/>
        <v>Southbound</v>
      </c>
      <c r="U71" s="200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01" t="str">
        <f t="shared" si="26"/>
        <v>https://d0f6bd738d7f1b3e5a7ca70fe4ff75f0.us-east-1.aws.found.io/app/kibana#/discover/Steve-Slow-Train-Analysis-(2080s-and-2083s)?_g=(refreshInterval:(display:Off,pause:!f,section:0,value:0),time:(from:'2017-04-23T09:51:20-0600',mode:absolute,to:'2017-04-23T12:35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1" s="202" t="str">
        <f t="shared" si="27"/>
        <v>N</v>
      </c>
      <c r="X71" s="202">
        <f t="shared" si="28"/>
        <v>1</v>
      </c>
      <c r="Y71" s="202">
        <f t="shared" si="29"/>
        <v>23.296900000000001</v>
      </c>
      <c r="Z71" s="202">
        <f t="shared" si="30"/>
        <v>1.29E-2</v>
      </c>
      <c r="AA71" s="202">
        <f t="shared" si="31"/>
        <v>23.284000000000002</v>
      </c>
      <c r="AB71" s="57" t="e">
        <f>VLOOKUP(A71,Enforcements!$C$7:$K$13,8,0)</f>
        <v>#N/A</v>
      </c>
      <c r="AC71" s="53" t="e">
        <f>VLOOKUP(A71,Enforcements!$C$7:$E$13,3,0)</f>
        <v>#N/A</v>
      </c>
      <c r="AD71" s="54" t="str">
        <f t="shared" si="32"/>
        <v>0152-23</v>
      </c>
      <c r="AE71" s="80" t="str">
        <f t="shared" si="33"/>
        <v>aws s3 cp s3://rtdc.mdm.uploadarchive.raw/RTDC4041/ "%USERPROFILE%\AppData\Local\Temp\OnboardLogs"\RTDC4041\2017-04-23 --exclude "*" --recursive --include "*20170423*" &amp; "%USERPROFILE%\Documents\GitHub\mrs-test-scripts\Headless Mode &amp; Sideloading\WalkAndUnGZ.bat" "%USERPROFILE%\AppData\Local\Temp\OnboardLogs"\RTDC4041\2017-04-23 &amp; aws s3 cp s3://rtdc.mdm.uploadarchive.raw/RTDC4041/ "%USERPROFILE%\AppData\Local\Temp\OnboardLogs"\RTDC4041\2017-04-24 --exclude "*" --recursive --include "*20170424*" &amp; "%USERPROFILE%\Documents\GitHub\mrs-test-scripts\Headless Mode &amp; Sideloading\WalkAndUnGZ.bat" "%USERPROFILE%\AppData\Local\Temp\OnboardLogs"\RTDC4041\2017-04-24</v>
      </c>
      <c r="AF71" s="77" t="str">
        <f t="shared" si="34"/>
        <v>"C:\Program Files (x86)\AstroGrep\AstroGrep.exe" /e /r /s /spath="%USERPROFILE%\AppData\Local\Temp\OnboardLogs" /stypes="app*4041*20170423*" /stext=" 17:.+((SYSTEM_STATE.+slice.+state.+changed )|(ment ac)|(multiple cpu faults)|(system.+state.+changed )|(\[timeout)|(PRM\|1\|D)|(kpr)|(kdp)|(\|lc)|(penalty))"</v>
      </c>
      <c r="AG71" s="1" t="str">
        <f t="shared" si="35"/>
        <v>EC</v>
      </c>
      <c r="AH71" s="81" t="str">
        <f t="shared" si="19"/>
        <v>"%USERPROFILE%\Documents\GitHub\eaglep3\Utilities\RefineRTDCRunTimes.py" --tripid 152-23 --locoid 4041 --swversion DE.1.0.9.0 --startMP 204:232969 --initTime 2017-04-23T10:51:20 --startdatetime 2017-04-23T10:56:14 --delay 1 --endMP 204:129 --enddatetime 2017-04-23T11:35:22 --enforcementcount 0 &gt;&gt;C:\Users\stu\Documents\GitHub\eaglep3-reporting\EC\2017-04-23-refined-times.txt</v>
      </c>
      <c r="AI71" s="99" t="str">
        <f t="shared" si="20"/>
        <v>echo {"issue":{"subject":"","project_id":79,"tracker_id":40,"status_id":1,"priority_id":2,"assigned_to_id":23,"start_date":"2017-04-23","description":"","custom_fields":[{"id":1,"name":"Subdivision","value":"EC"},{"id":4,"name":"Milepost","value":"0.0129"},{"id":17,"name":"Train ID","value":"152-23"},{"id":16,"name":"Locomotive ID","value":"4041"},{"id":130,"name":"Impact","value":""},{"id":150,"name":"Time of Event (Mountain Time)","value":"11:35:22"},{"id":151,"name":"Denver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5" t="str">
        <f t="shared" si="21"/>
        <v>start /low /b %USERPROFILE%\Documents\GitHub\eaglep3\Utilities\DownloadLogsFromS3.py --loco 4041 --day 2017-04-23</v>
      </c>
      <c r="AN71" s="154" t="str">
        <f t="shared" si="22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17:35:22"},{"id":29,"name":"Sharepoint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698</v>
      </c>
      <c r="B72" s="7">
        <v>4004</v>
      </c>
      <c r="C72" s="21" t="s">
        <v>213</v>
      </c>
      <c r="D72" s="21" t="s">
        <v>426</v>
      </c>
      <c r="E72" s="13">
        <v>42848.422037037039</v>
      </c>
      <c r="F72" s="13">
        <v>42848.427314814813</v>
      </c>
      <c r="G72" s="7">
        <v>1</v>
      </c>
      <c r="H72" s="21" t="s">
        <v>566</v>
      </c>
      <c r="I72" s="13">
        <v>42848.452013888891</v>
      </c>
      <c r="J72" s="7">
        <v>0</v>
      </c>
      <c r="K72" s="92" t="str">
        <f t="shared" si="23"/>
        <v>4003/4004</v>
      </c>
      <c r="L72" s="21" t="str">
        <f>VLOOKUP(A72,'Trips&amp;Operators'!$C$1:$G$99999,5,FALSE)</f>
        <v>GEBRETEKLE DAGNEW</v>
      </c>
      <c r="M72" s="6">
        <f t="shared" si="24"/>
        <v>2.4699074077943806E-2</v>
      </c>
      <c r="N72" s="7">
        <f t="shared" si="38"/>
        <v>35.56666667223908</v>
      </c>
      <c r="O72" s="7"/>
      <c r="P72" s="7"/>
      <c r="Q72" s="22"/>
      <c r="R72" s="200"/>
      <c r="S72" s="206">
        <f t="shared" si="39"/>
        <v>1</v>
      </c>
      <c r="T72" s="200" t="str">
        <f t="shared" si="25"/>
        <v>NorthBound</v>
      </c>
      <c r="U72" s="200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01" t="str">
        <f t="shared" si="26"/>
        <v>https://d0f6bd738d7f1b3e5a7ca70fe4ff75f0.us-east-1.aws.found.io/app/kibana#/discover/Steve-Slow-Train-Analysis-(2080s-and-2083s)?_g=(refreshInterval:(display:Off,pause:!f,section:0,value:0),time:(from:'2017-04-23T09:07:44-0600',mode:absolute,to:'2017-04-23T11:50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2" s="202" t="str">
        <f t="shared" si="27"/>
        <v>N</v>
      </c>
      <c r="X72" s="202">
        <f t="shared" si="28"/>
        <v>1</v>
      </c>
      <c r="Y72" s="202">
        <f t="shared" si="29"/>
        <v>4.4200000000000003E-2</v>
      </c>
      <c r="Z72" s="202">
        <f t="shared" si="30"/>
        <v>23.331399999999999</v>
      </c>
      <c r="AA72" s="202">
        <f t="shared" si="31"/>
        <v>23.287199999999999</v>
      </c>
      <c r="AB72" s="57" t="e">
        <f>VLOOKUP(A72,Enforcements!$C$7:$K$13,8,0)</f>
        <v>#N/A</v>
      </c>
      <c r="AC72" s="53" t="e">
        <f>VLOOKUP(A72,Enforcements!$C$7:$E$13,3,0)</f>
        <v>#N/A</v>
      </c>
      <c r="AD72" s="54" t="str">
        <f t="shared" si="32"/>
        <v>0153-23</v>
      </c>
      <c r="AE72" s="80" t="str">
        <f t="shared" si="33"/>
        <v>aws s3 cp s3://rtdc.mdm.uploadarchive.raw/RTDC4004/ "%USERPROFILE%\AppData\Local\Temp\OnboardLogs"\RTDC4004\2017-04-23 --exclude "*" --recursive --include "*20170423*" &amp; "%USERPROFILE%\Documents\GitHub\mrs-test-scripts\Headless Mode &amp; Sideloading\WalkAndUnGZ.bat" "%USERPROFILE%\AppData\Local\Temp\OnboardLogs"\RTDC4004\2017-04-23 &amp; aws s3 cp s3://rtdc.mdm.uploadarchive.raw/RTDC4004/ "%USERPROFILE%\AppData\Local\Temp\OnboardLogs"\RTDC4004\2017-04-24 --exclude "*" --recursive --include "*20170424*" &amp; "%USERPROFILE%\Documents\GitHub\mrs-test-scripts\Headless Mode &amp; Sideloading\WalkAndUnGZ.bat" "%USERPROFILE%\AppData\Local\Temp\OnboardLogs"\RTDC4004\2017-04-24</v>
      </c>
      <c r="AF72" s="77" t="str">
        <f t="shared" si="34"/>
        <v>"C:\Program Files (x86)\AstroGrep\AstroGrep.exe" /e /r /s /spath="%USERPROFILE%\AppData\Local\Temp\OnboardLogs" /stypes="app*4004*20170423*" /stext=" 16:.+((SYSTEM_STATE.+slice.+state.+changed )|(ment ac)|(multiple cpu faults)|(system.+state.+changed )|(\[timeout)|(PRM\|1\|D)|(kpr)|(kdp)|(\|lc)|(penalty))"</v>
      </c>
      <c r="AG72" s="1" t="str">
        <f t="shared" si="35"/>
        <v>EC</v>
      </c>
      <c r="AH72" s="81" t="str">
        <f t="shared" si="19"/>
        <v>"%USERPROFILE%\Documents\GitHub\eaglep3\Utilities\RefineRTDCRunTimes.py" --tripid 153-23 --locoid 4004 --swversion DE.1.0.9.0 --startMP 204:442 --initTime 2017-04-23T10:07:44 --startdatetime 2017-04-23T10:15:20 --delay 1 --endMP 204:233314 --enddatetime 2017-04-23T10:50:54 --enforcementcount 0 &gt;&gt;C:\Users\stu\Documents\GitHub\eaglep3-reporting\EC\2017-04-23-refined-times.txt</v>
      </c>
      <c r="AI72" s="99" t="str">
        <f t="shared" si="20"/>
        <v>echo {"issue":{"subject":"","project_id":79,"tracker_id":40,"status_id":1,"priority_id":2,"assigned_to_id":23,"start_date":"2017-04-23","description":"","custom_fields":[{"id":1,"name":"Subdivision","value":"EC"},{"id":4,"name":"Milepost","value":"23.3314"},{"id":17,"name":"Train ID","value":"153-23"},{"id":16,"name":"Locomotive ID","value":"4004"},{"id":130,"name":"Impact","value":""},{"id":150,"name":"Time of Event (Mountain Time)","value":"10:50:54"},{"id":151,"name":"Denver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5" t="str">
        <f t="shared" si="21"/>
        <v>start /low /b %USERPROFILE%\Documents\GitHub\eaglep3\Utilities\DownloadLogsFromS3.py --loco 4004 --day 2017-04-23</v>
      </c>
      <c r="AN72" s="154" t="str">
        <f t="shared" si="22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16:50:54"},{"id":29,"name":"Sharepoint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712</v>
      </c>
      <c r="B73" s="7">
        <v>4003</v>
      </c>
      <c r="C73" s="21" t="s">
        <v>213</v>
      </c>
      <c r="D73" s="21" t="s">
        <v>893</v>
      </c>
      <c r="E73" s="13">
        <v>42848.461909722224</v>
      </c>
      <c r="F73" s="13">
        <v>42848.466157407405</v>
      </c>
      <c r="G73" s="7">
        <v>1</v>
      </c>
      <c r="H73" s="21" t="s">
        <v>429</v>
      </c>
      <c r="I73" s="13">
        <v>42848.492384259262</v>
      </c>
      <c r="J73" s="7">
        <v>0</v>
      </c>
      <c r="K73" s="92" t="str">
        <f t="shared" si="23"/>
        <v>4003/4004</v>
      </c>
      <c r="L73" s="21" t="str">
        <f>VLOOKUP(A73,'Trips&amp;Operators'!$C$1:$G$99999,5,FALSE)</f>
        <v>GEBRETEKLE DAGNEW</v>
      </c>
      <c r="M73" s="6">
        <f t="shared" si="24"/>
        <v>2.6226851856335998E-2</v>
      </c>
      <c r="N73" s="7">
        <f t="shared" si="38"/>
        <v>37.766666673123837</v>
      </c>
      <c r="O73" s="7"/>
      <c r="P73" s="7"/>
      <c r="Q73" s="22"/>
      <c r="R73" s="200"/>
      <c r="S73" s="206">
        <f t="shared" si="39"/>
        <v>1</v>
      </c>
      <c r="T73" s="200" t="str">
        <f t="shared" si="25"/>
        <v>Southbound</v>
      </c>
      <c r="U73" s="200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01" t="str">
        <f t="shared" si="26"/>
        <v>https://d0f6bd738d7f1b3e5a7ca70fe4ff75f0.us-east-1.aws.found.io/app/kibana#/discover/Steve-Slow-Train-Analysis-(2080s-and-2083s)?_g=(refreshInterval:(display:Off,pause:!f,section:0,value:0),time:(from:'2017-04-23T10:05:09-0600',mode:absolute,to:'2017-04-23T12:49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3" s="202" t="str">
        <f t="shared" si="27"/>
        <v>N</v>
      </c>
      <c r="X73" s="202">
        <f t="shared" si="28"/>
        <v>1</v>
      </c>
      <c r="Y73" s="202">
        <f t="shared" si="29"/>
        <v>23.299099999999999</v>
      </c>
      <c r="Z73" s="202">
        <f t="shared" si="30"/>
        <v>1.6299999999999999E-2</v>
      </c>
      <c r="AA73" s="202">
        <f t="shared" si="31"/>
        <v>23.282799999999998</v>
      </c>
      <c r="AB73" s="57" t="e">
        <f>VLOOKUP(A73,Enforcements!$C$7:$K$13,8,0)</f>
        <v>#N/A</v>
      </c>
      <c r="AC73" s="53" t="e">
        <f>VLOOKUP(A73,Enforcements!$C$7:$E$13,3,0)</f>
        <v>#N/A</v>
      </c>
      <c r="AD73" s="54" t="str">
        <f t="shared" si="32"/>
        <v>0154-23</v>
      </c>
      <c r="AE73" s="80" t="str">
        <f t="shared" si="33"/>
        <v>aws s3 cp s3://rtdc.mdm.uploadarchive.raw/RTDC4003/ "%USERPROFILE%\AppData\Local\Temp\OnboardLogs"\RTDC4003\2017-04-23 --exclude "*" --recursive --include "*20170423*" &amp; "%USERPROFILE%\Documents\GitHub\mrs-test-scripts\Headless Mode &amp; Sideloading\WalkAndUnGZ.bat" "%USERPROFILE%\AppData\Local\Temp\OnboardLogs"\RTDC4003\2017-04-23 &amp; aws s3 cp s3://rtdc.mdm.uploadarchive.raw/RTDC4003/ "%USERPROFILE%\AppData\Local\Temp\OnboardLogs"\RTDC4003\2017-04-24 --exclude "*" --recursive --include "*20170424*" &amp; "%USERPROFILE%\Documents\GitHub\mrs-test-scripts\Headless Mode &amp; Sideloading\WalkAndUnGZ.bat" "%USERPROFILE%\AppData\Local\Temp\OnboardLogs"\RTDC4003\2017-04-24</v>
      </c>
      <c r="AF73" s="77" t="str">
        <f t="shared" si="34"/>
        <v>"C:\Program Files (x86)\AstroGrep\AstroGrep.exe" /e /r /s /spath="%USERPROFILE%\AppData\Local\Temp\OnboardLogs" /stypes="app*4003*20170423*" /stext=" 17:.+((SYSTEM_STATE.+slice.+state.+changed )|(ment ac)|(multiple cpu faults)|(system.+state.+changed )|(\[timeout)|(PRM\|1\|D)|(kpr)|(kdp)|(\|lc)|(penalty))"</v>
      </c>
      <c r="AG73" s="1" t="str">
        <f t="shared" si="35"/>
        <v>EC</v>
      </c>
      <c r="AH73" s="81" t="str">
        <f t="shared" si="19"/>
        <v>"%USERPROFILE%\Documents\GitHub\eaglep3\Utilities\RefineRTDCRunTimes.py" --tripid 154-23 --locoid 4003 --swversion DE.1.0.9.0 --startMP 204:232991 --initTime 2017-04-23T11:05:09 --startdatetime 2017-04-23T11:11:16 --delay 1 --endMP 204:163 --enddatetime 2017-04-23T11:49:02 --enforcementcount 0 &gt;&gt;C:\Users\stu\Documents\GitHub\eaglep3-reporting\EC\2017-04-23-refined-times.txt</v>
      </c>
      <c r="AI73" s="99" t="str">
        <f t="shared" si="20"/>
        <v>echo {"issue":{"subject":"","project_id":79,"tracker_id":40,"status_id":1,"priority_id":2,"assigned_to_id":23,"start_date":"2017-04-23","description":"","custom_fields":[{"id":1,"name":"Subdivision","value":"EC"},{"id":4,"name":"Milepost","value":"0.0163"},{"id":17,"name":"Train ID","value":"154-23"},{"id":16,"name":"Locomotive ID","value":"4003"},{"id":130,"name":"Impact","value":""},{"id":150,"name":"Time of Event (Mountain Time)","value":"11:49:02"},{"id":151,"name":"Denver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5" t="str">
        <f t="shared" si="21"/>
        <v>start /low /b %USERPROFILE%\Documents\GitHub\eaglep3\Utilities\DownloadLogsFromS3.py --loco 4003 --day 2017-04-23</v>
      </c>
      <c r="AN73" s="154" t="str">
        <f t="shared" si="22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17:49:02"},{"id":29,"name":"Sharepoint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699</v>
      </c>
      <c r="B74" s="7">
        <v>4002</v>
      </c>
      <c r="C74" s="21" t="s">
        <v>213</v>
      </c>
      <c r="D74" s="21" t="s">
        <v>415</v>
      </c>
      <c r="E74" s="13">
        <v>42848.432523148149</v>
      </c>
      <c r="F74" s="13">
        <v>42848.437685185185</v>
      </c>
      <c r="G74" s="7">
        <v>1</v>
      </c>
      <c r="H74" s="21" t="s">
        <v>894</v>
      </c>
      <c r="I74" s="13">
        <v>42848.46162037037</v>
      </c>
      <c r="J74" s="7">
        <v>0</v>
      </c>
      <c r="K74" s="92" t="str">
        <f t="shared" si="23"/>
        <v>4001/4002</v>
      </c>
      <c r="L74" s="21" t="str">
        <f>VLOOKUP(A74,'Trips&amp;Operators'!$C$1:$G$99999,5,FALSE)</f>
        <v>ROMERO CHAD</v>
      </c>
      <c r="M74" s="6">
        <f t="shared" si="24"/>
        <v>2.3935185185109731E-2</v>
      </c>
      <c r="N74" s="7">
        <f t="shared" si="38"/>
        <v>34.466666666558012</v>
      </c>
      <c r="O74" s="7"/>
      <c r="P74" s="7"/>
      <c r="Q74" s="22"/>
      <c r="R74" s="200"/>
      <c r="S74" s="206">
        <f t="shared" si="39"/>
        <v>1</v>
      </c>
      <c r="T74" s="200" t="str">
        <f t="shared" si="25"/>
        <v>NorthBound</v>
      </c>
      <c r="U74" s="200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01" t="str">
        <f t="shared" si="26"/>
        <v>https://d0f6bd738d7f1b3e5a7ca70fe4ff75f0.us-east-1.aws.found.io/app/kibana#/discover/Steve-Slow-Train-Analysis-(2080s-and-2083s)?_g=(refreshInterval:(display:Off,pause:!f,section:0,value:0),time:(from:'2017-04-23T09:22:50-0600',mode:absolute,to:'2017-04-23T12:04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4" s="202" t="str">
        <f t="shared" si="27"/>
        <v>N</v>
      </c>
      <c r="X74" s="202">
        <f t="shared" si="28"/>
        <v>1</v>
      </c>
      <c r="Y74" s="202">
        <f t="shared" si="29"/>
        <v>4.6699999999999998E-2</v>
      </c>
      <c r="Z74" s="202">
        <f t="shared" si="30"/>
        <v>23.339099999999998</v>
      </c>
      <c r="AA74" s="202">
        <f t="shared" si="31"/>
        <v>23.292399999999997</v>
      </c>
      <c r="AB74" s="57" t="e">
        <f>VLOOKUP(A74,Enforcements!$C$7:$K$13,8,0)</f>
        <v>#N/A</v>
      </c>
      <c r="AC74" s="53" t="e">
        <f>VLOOKUP(A74,Enforcements!$C$7:$E$13,3,0)</f>
        <v>#N/A</v>
      </c>
      <c r="AD74" s="54" t="str">
        <f t="shared" si="32"/>
        <v>0155-23</v>
      </c>
      <c r="AE74" s="80" t="str">
        <f t="shared" si="33"/>
        <v>aws s3 cp s3://rtdc.mdm.uploadarchive.raw/RTDC4002/ "%USERPROFILE%\AppData\Local\Temp\OnboardLogs"\RTDC4002\2017-04-23 --exclude "*" --recursive --include "*20170423*" &amp; "%USERPROFILE%\Documents\GitHub\mrs-test-scripts\Headless Mode &amp; Sideloading\WalkAndUnGZ.bat" "%USERPROFILE%\AppData\Local\Temp\OnboardLogs"\RTDC4002\2017-04-23 &amp; aws s3 cp s3://rtdc.mdm.uploadarchive.raw/RTDC4002/ "%USERPROFILE%\AppData\Local\Temp\OnboardLogs"\RTDC4002\2017-04-24 --exclude "*" --recursive --include "*20170424*" &amp; "%USERPROFILE%\Documents\GitHub\mrs-test-scripts\Headless Mode &amp; Sideloading\WalkAndUnGZ.bat" "%USERPROFILE%\AppData\Local\Temp\OnboardLogs"\RTDC4002\2017-04-24</v>
      </c>
      <c r="AF74" s="77" t="str">
        <f t="shared" si="34"/>
        <v>"C:\Program Files (x86)\AstroGrep\AstroGrep.exe" /e /r /s /spath="%USERPROFILE%\AppData\Local\Temp\OnboardLogs" /stypes="app*4002*20170423*" /stext=" 17:.+((SYSTEM_STATE.+slice.+state.+changed )|(ment ac)|(multiple cpu faults)|(system.+state.+changed )|(\[timeout)|(PRM\|1\|D)|(kpr)|(kdp)|(\|lc)|(penalty))"</v>
      </c>
      <c r="AG74" s="1" t="str">
        <f t="shared" si="35"/>
        <v>EC</v>
      </c>
      <c r="AH74" s="81" t="str">
        <f t="shared" si="19"/>
        <v>"%USERPROFILE%\Documents\GitHub\eaglep3\Utilities\RefineRTDCRunTimes.py" --tripid 155-23 --locoid 4002 --swversion DE.1.0.9.0 --startMP 204:467 --initTime 2017-04-23T10:22:50 --startdatetime 2017-04-23T10:30:16 --delay 1 --endMP 204:233391 --enddatetime 2017-04-23T11:04:44 --enforcementcount 0 &gt;&gt;C:\Users\stu\Documents\GitHub\eaglep3-reporting\EC\2017-04-23-refined-times.txt</v>
      </c>
      <c r="AI74" s="99" t="str">
        <f t="shared" si="20"/>
        <v>echo {"issue":{"subject":"","project_id":79,"tracker_id":40,"status_id":1,"priority_id":2,"assigned_to_id":23,"start_date":"2017-04-23","description":"","custom_fields":[{"id":1,"name":"Subdivision","value":"EC"},{"id":4,"name":"Milepost","value":"23.3391"},{"id":17,"name":"Train ID","value":"155-23"},{"id":16,"name":"Locomotive ID","value":"4002"},{"id":130,"name":"Impact","value":""},{"id":150,"name":"Time of Event (Mountain Time)","value":"11:04:44"},{"id":151,"name":"Denver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5" t="str">
        <f t="shared" si="21"/>
        <v>start /low /b %USERPROFILE%\Documents\GitHub\eaglep3\Utilities\DownloadLogsFromS3.py --loco 4002 --day 2017-04-23</v>
      </c>
      <c r="AN74" s="154" t="str">
        <f t="shared" si="22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17:04:44"},{"id":29,"name":"Sharepoint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713</v>
      </c>
      <c r="B75" s="7">
        <v>4001</v>
      </c>
      <c r="C75" s="21" t="s">
        <v>213</v>
      </c>
      <c r="D75" s="21" t="s">
        <v>895</v>
      </c>
      <c r="E75" s="13">
        <v>42848.463402777779</v>
      </c>
      <c r="F75" s="13">
        <v>42848.476550925923</v>
      </c>
      <c r="G75" s="7">
        <v>1</v>
      </c>
      <c r="H75" s="21" t="s">
        <v>896</v>
      </c>
      <c r="I75" s="13">
        <v>42848.502337962964</v>
      </c>
      <c r="J75" s="7">
        <v>0</v>
      </c>
      <c r="K75" s="92" t="str">
        <f t="shared" si="23"/>
        <v>4001/4002</v>
      </c>
      <c r="L75" s="21" t="str">
        <f>VLOOKUP(A75,'Trips&amp;Operators'!$C$1:$G$99999,5,FALSE)</f>
        <v>ROMERO CHAD</v>
      </c>
      <c r="M75" s="6">
        <f t="shared" si="24"/>
        <v>2.5787037040572613E-2</v>
      </c>
      <c r="N75" s="7">
        <f t="shared" si="38"/>
        <v>37.133333338424563</v>
      </c>
      <c r="O75" s="7"/>
      <c r="P75" s="7"/>
      <c r="Q75" s="22"/>
      <c r="R75" s="200"/>
      <c r="S75" s="206">
        <f t="shared" si="39"/>
        <v>1</v>
      </c>
      <c r="T75" s="200" t="str">
        <f t="shared" si="25"/>
        <v>Southbound</v>
      </c>
      <c r="U75" s="200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01" t="str">
        <f t="shared" si="26"/>
        <v>https://d0f6bd738d7f1b3e5a7ca70fe4ff75f0.us-east-1.aws.found.io/app/kibana#/discover/Steve-Slow-Train-Analysis-(2080s-and-2083s)?_g=(refreshInterval:(display:Off,pause:!f,section:0,value:0),time:(from:'2017-04-23T10:07:18-0600',mode:absolute,to:'2017-04-23T13:03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5" s="202" t="str">
        <f t="shared" si="27"/>
        <v>N</v>
      </c>
      <c r="X75" s="202">
        <f t="shared" si="28"/>
        <v>1</v>
      </c>
      <c r="Y75" s="202">
        <f t="shared" si="29"/>
        <v>23.305900000000001</v>
      </c>
      <c r="Z75" s="202">
        <f t="shared" si="30"/>
        <v>1.2500000000000001E-2</v>
      </c>
      <c r="AA75" s="202">
        <f t="shared" si="31"/>
        <v>23.293400000000002</v>
      </c>
      <c r="AB75" s="57" t="e">
        <f>VLOOKUP(A75,Enforcements!$C$7:$K$13,8,0)</f>
        <v>#N/A</v>
      </c>
      <c r="AC75" s="53" t="e">
        <f>VLOOKUP(A75,Enforcements!$C$7:$E$13,3,0)</f>
        <v>#N/A</v>
      </c>
      <c r="AD75" s="54" t="str">
        <f t="shared" si="32"/>
        <v>0156-23</v>
      </c>
      <c r="AE75" s="80" t="str">
        <f t="shared" si="33"/>
        <v>aws s3 cp s3://rtdc.mdm.uploadarchive.raw/RTDC4001/ "%USERPROFILE%\AppData\Local\Temp\OnboardLogs"\RTDC4001\2017-04-23 --exclude "*" --recursive --include "*20170423*" &amp; "%USERPROFILE%\Documents\GitHub\mrs-test-scripts\Headless Mode &amp; Sideloading\WalkAndUnGZ.bat" "%USERPROFILE%\AppData\Local\Temp\OnboardLogs"\RTDC4001\2017-04-23 &amp; aws s3 cp s3://rtdc.mdm.uploadarchive.raw/RTDC4001/ "%USERPROFILE%\AppData\Local\Temp\OnboardLogs"\RTDC4001\2017-04-24 --exclude "*" --recursive --include "*20170424*" &amp; "%USERPROFILE%\Documents\GitHub\mrs-test-scripts\Headless Mode &amp; Sideloading\WalkAndUnGZ.bat" "%USERPROFILE%\AppData\Local\Temp\OnboardLogs"\RTDC4001\2017-04-24</v>
      </c>
      <c r="AF75" s="77" t="str">
        <f t="shared" si="34"/>
        <v>"C:\Program Files (x86)\AstroGrep\AstroGrep.exe" /e /r /s /spath="%USERPROFILE%\AppData\Local\Temp\OnboardLogs" /stypes="app*4001*20170423*" /stext=" 18:.+((SYSTEM_STATE.+slice.+state.+changed )|(ment ac)|(multiple cpu faults)|(system.+state.+changed )|(\[timeout)|(PRM\|1\|D)|(kpr)|(kdp)|(\|lc)|(penalty))"</v>
      </c>
      <c r="AG75" s="1" t="str">
        <f t="shared" si="35"/>
        <v>EC</v>
      </c>
      <c r="AH75" s="81" t="str">
        <f t="shared" si="19"/>
        <v>"%USERPROFILE%\Documents\GitHub\eaglep3\Utilities\RefineRTDCRunTimes.py" --tripid 156-23 --locoid 4001 --swversion DE.1.0.9.0 --startMP 204:233059 --initTime 2017-04-23T11:07:18 --startdatetime 2017-04-23T11:26:14 --delay 1 --endMP 204:125 --enddatetime 2017-04-23T12:03:22 --enforcementcount 0 &gt;&gt;C:\Users\stu\Documents\GitHub\eaglep3-reporting\EC\2017-04-23-refined-times.txt</v>
      </c>
      <c r="AI75" s="99" t="str">
        <f t="shared" si="20"/>
        <v>echo {"issue":{"subject":"","project_id":79,"tracker_id":40,"status_id":1,"priority_id":2,"assigned_to_id":23,"start_date":"2017-04-23","description":"","custom_fields":[{"id":1,"name":"Subdivision","value":"EC"},{"id":4,"name":"Milepost","value":"0.0125"},{"id":17,"name":"Train ID","value":"156-23"},{"id":16,"name":"Locomotive ID","value":"4001"},{"id":130,"name":"Impact","value":""},{"id":150,"name":"Time of Event (Mountain Time)","value":"12:03:22"},{"id":151,"name":"Denver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5" t="str">
        <f t="shared" si="21"/>
        <v>start /low /b %USERPROFILE%\Documents\GitHub\eaglep3\Utilities\DownloadLogsFromS3.py --loco 4001 --day 2017-04-23</v>
      </c>
      <c r="AN75" s="154" t="str">
        <f t="shared" si="22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18:03:22"},{"id":29,"name":"Sharepoint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20" customFormat="1" x14ac:dyDescent="0.25">
      <c r="A76" s="32" t="s">
        <v>705</v>
      </c>
      <c r="B76" s="7">
        <v>4046</v>
      </c>
      <c r="C76" s="21" t="s">
        <v>213</v>
      </c>
      <c r="D76" s="21" t="s">
        <v>419</v>
      </c>
      <c r="E76" s="13">
        <v>42848.442662037036</v>
      </c>
      <c r="F76" s="13">
        <v>42848.448240740741</v>
      </c>
      <c r="G76" s="7">
        <v>4</v>
      </c>
      <c r="H76" s="21" t="s">
        <v>897</v>
      </c>
      <c r="I76" s="13">
        <v>42848.473692129628</v>
      </c>
      <c r="J76" s="7">
        <v>0</v>
      </c>
      <c r="K76" s="92" t="str">
        <f t="shared" si="23"/>
        <v>4045/4046</v>
      </c>
      <c r="L76" s="21" t="str">
        <f>VLOOKUP(A76,'Trips&amp;Operators'!$C$1:$G$99999,5,FALSE)</f>
        <v>KILLION DAVID</v>
      </c>
      <c r="M76" s="6">
        <f t="shared" si="24"/>
        <v>2.545138888672227E-2</v>
      </c>
      <c r="N76" s="7">
        <f t="shared" si="38"/>
        <v>36.649999996880069</v>
      </c>
      <c r="O76" s="7"/>
      <c r="P76" s="7"/>
      <c r="Q76" s="22"/>
      <c r="R76" s="200"/>
      <c r="S76" s="206">
        <f t="shared" si="39"/>
        <v>1</v>
      </c>
      <c r="T76" s="200" t="str">
        <f t="shared" si="25"/>
        <v>NorthBound</v>
      </c>
      <c r="U76" s="200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01" t="str">
        <f t="shared" si="26"/>
        <v>https://d0f6bd738d7f1b3e5a7ca70fe4ff75f0.us-east-1.aws.found.io/app/kibana#/discover/Steve-Slow-Train-Analysis-(2080s-and-2083s)?_g=(refreshInterval:(display:Off,pause:!f,section:0,value:0),time:(from:'2017-04-23T09:37:26-0600',mode:absolute,to:'2017-04-23T12:22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6" s="202" t="str">
        <f t="shared" si="27"/>
        <v>N</v>
      </c>
      <c r="X76" s="202">
        <f t="shared" si="28"/>
        <v>1</v>
      </c>
      <c r="Y76" s="202">
        <f t="shared" si="29"/>
        <v>4.4699999999999997E-2</v>
      </c>
      <c r="Z76" s="202">
        <f t="shared" si="30"/>
        <v>23.3355</v>
      </c>
      <c r="AA76" s="202">
        <f t="shared" si="31"/>
        <v>23.290800000000001</v>
      </c>
      <c r="AB76" s="57" t="e">
        <f>VLOOKUP(A76,Enforcements!$C$7:$K$13,8,0)</f>
        <v>#N/A</v>
      </c>
      <c r="AC76" s="53" t="e">
        <f>VLOOKUP(A76,Enforcements!$C$7:$E$13,3,0)</f>
        <v>#N/A</v>
      </c>
      <c r="AD76" s="54" t="str">
        <f t="shared" si="32"/>
        <v>0157-23</v>
      </c>
      <c r="AE76" s="80" t="str">
        <f t="shared" si="33"/>
        <v>aws s3 cp s3://rtdc.mdm.uploadarchive.raw/RTDC4046/ "%USERPROFILE%\AppData\Local\Temp\OnboardLogs"\RTDC4046\2017-04-23 --exclude "*" --recursive --include "*20170423*" &amp; "%USERPROFILE%\Documents\GitHub\mrs-test-scripts\Headless Mode &amp; Sideloading\WalkAndUnGZ.bat" "%USERPROFILE%\AppData\Local\Temp\OnboardLogs"\RTDC4046\2017-04-23 &amp; aws s3 cp s3://rtdc.mdm.uploadarchive.raw/RTDC4046/ "%USERPROFILE%\AppData\Local\Temp\OnboardLogs"\RTDC4046\2017-04-24 --exclude "*" --recursive --include "*20170424*" &amp; "%USERPROFILE%\Documents\GitHub\mrs-test-scripts\Headless Mode &amp; Sideloading\WalkAndUnGZ.bat" "%USERPROFILE%\AppData\Local\Temp\OnboardLogs"\RTDC4046\2017-04-24</v>
      </c>
      <c r="AF76" s="77" t="str">
        <f t="shared" si="34"/>
        <v>"C:\Program Files (x86)\AstroGrep\AstroGrep.exe" /e /r /s /spath="%USERPROFILE%\AppData\Local\Temp\OnboardLogs" /stypes="app*4046*20170423*" /stext=" 17:.+((SYSTEM_STATE.+slice.+state.+changed )|(ment ac)|(multiple cpu faults)|(system.+state.+changed )|(\[timeout)|(PRM\|1\|D)|(kpr)|(kdp)|(\|lc)|(penalty))"</v>
      </c>
      <c r="AG76" s="1" t="str">
        <f t="shared" si="35"/>
        <v>EC</v>
      </c>
      <c r="AH76" s="81" t="str">
        <f t="shared" si="19"/>
        <v>"%USERPROFILE%\Documents\GitHub\eaglep3\Utilities\RefineRTDCRunTimes.py" --tripid 157-23 --locoid 4046 --swversion DE.1.0.9.0 --startMP 204:447 --initTime 2017-04-23T10:37:26 --startdatetime 2017-04-23T10:45:28 --delay 4 --endMP 204:233355 --enddatetime 2017-04-23T11:22:07 --enforcementcount 0 &gt;&gt;C:\Users\stu\Documents\GitHub\eaglep3-reporting\EC\2017-04-23-refined-times.txt</v>
      </c>
      <c r="AI76" s="99" t="str">
        <f t="shared" si="20"/>
        <v>echo {"issue":{"subject":"","project_id":79,"tracker_id":40,"status_id":1,"priority_id":2,"assigned_to_id":23,"start_date":"2017-04-23","description":"","custom_fields":[{"id":1,"name":"Subdivision","value":"EC"},{"id":4,"name":"Milepost","value":"23.3355"},{"id":17,"name":"Train ID","value":"157-23"},{"id":16,"name":"Locomotive ID","value":"4046"},{"id":130,"name":"Impact","value":""},{"id":150,"name":"Time of Event (Mountain Time)","value":"11:22:07"},{"id":151,"name":"Denver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76" s="47"/>
      <c r="AL76" s="47"/>
      <c r="AM76" s="145" t="str">
        <f t="shared" si="21"/>
        <v>start /low /b %USERPROFILE%\Documents\GitHub\eaglep3\Utilities\DownloadLogsFromS3.py --loco 4046 --day 2017-04-23</v>
      </c>
      <c r="AN76" s="154" t="str">
        <f t="shared" si="22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17:22:07"},{"id":29,"name":"Sharepoint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20" customFormat="1" x14ac:dyDescent="0.25">
      <c r="A77" s="32" t="s">
        <v>720</v>
      </c>
      <c r="B77" s="7">
        <v>4045</v>
      </c>
      <c r="C77" s="21" t="s">
        <v>213</v>
      </c>
      <c r="D77" s="21" t="s">
        <v>882</v>
      </c>
      <c r="E77" s="13">
        <v>42848.477997685186</v>
      </c>
      <c r="F77" s="13">
        <v>42848.487002314818</v>
      </c>
      <c r="G77" s="7">
        <v>1</v>
      </c>
      <c r="H77" s="21" t="s">
        <v>391</v>
      </c>
      <c r="I77" s="13">
        <v>42848.514131944445</v>
      </c>
      <c r="J77" s="7">
        <v>0</v>
      </c>
      <c r="K77" s="92" t="str">
        <f t="shared" ref="K77:K108" si="40">IF(ISEVEN(B77),(B77-1)&amp;"/"&amp;B77,B77&amp;"/"&amp;(B77+1))</f>
        <v>4045/4046</v>
      </c>
      <c r="L77" s="21" t="str">
        <f>VLOOKUP(A77,'Trips&amp;Operators'!$C$1:$G$99999,5,FALSE)</f>
        <v>SHOOK JOHN</v>
      </c>
      <c r="M77" s="6">
        <f t="shared" ref="M77:M108" si="41">I77-F77</f>
        <v>2.7129629626870155E-2</v>
      </c>
      <c r="N77" s="7">
        <f t="shared" si="38"/>
        <v>39.066666662693024</v>
      </c>
      <c r="O77" s="7"/>
      <c r="P77" s="7"/>
      <c r="Q77" s="22"/>
      <c r="R77" s="200"/>
      <c r="S77" s="206">
        <f t="shared" si="39"/>
        <v>1</v>
      </c>
      <c r="T77" s="200" t="str">
        <f t="shared" ref="T77:T108" si="42">IF(ISEVEN(LEFT(AD77,4)),"Southbound","NorthBound")</f>
        <v>Southbound</v>
      </c>
      <c r="U77" s="200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01" t="str">
        <f t="shared" ref="V77:V108" si="43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-04-23T10:28:19-0600',mode:absolute,to:'2017-04-23T13:20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7" s="202" t="str">
        <f t="shared" ref="W77:W108" si="44">IF(AA77&lt;IF(AG77="EC",23,5.65),"Y","N")</f>
        <v>N</v>
      </c>
      <c r="X77" s="202">
        <f t="shared" ref="X77:X108" si="45">VALUE(LEFT(AD77,4))-VALUE(LEFT(AD76,4))</f>
        <v>1</v>
      </c>
      <c r="Y77" s="202">
        <f t="shared" ref="Y77:Y108" si="46">RIGHT(D77,LEN(D77)-4)/10000</f>
        <v>23.305299999999999</v>
      </c>
      <c r="Z77" s="202">
        <f t="shared" ref="Z77:Z108" si="47">RIGHT(H77,LEN(H77)-4)/10000</f>
        <v>1.4500000000000001E-2</v>
      </c>
      <c r="AA77" s="202">
        <f t="shared" ref="AA77:AA108" si="48">ABS(Z77-Y77)</f>
        <v>23.290799999999997</v>
      </c>
      <c r="AB77" s="57" t="e">
        <f>VLOOKUP(A77,Enforcements!$C$7:$K$13,8,0)</f>
        <v>#N/A</v>
      </c>
      <c r="AC77" s="53" t="e">
        <f>VLOOKUP(A77,Enforcements!$C$7:$E$13,3,0)</f>
        <v>#N/A</v>
      </c>
      <c r="AD77" s="54" t="str">
        <f t="shared" ref="AD77:AD108" si="49">IF(LEN(A77)=6,"0"&amp;A77,A77)</f>
        <v>0158-23</v>
      </c>
      <c r="AE77" s="80" t="str">
        <f t="shared" ref="AE77:AE108" si="50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s3://rtdc.mdm.uploadarchive.raw/RTDC4045/ "%USERPROFILE%\AppData\Local\Temp\OnboardLogs"\RTDC4045\2017-04-23 --exclude "*" --recursive --include "*20170423*" &amp; "%USERPROFILE%\Documents\GitHub\mrs-test-scripts\Headless Mode &amp; Sideloading\WalkAndUnGZ.bat" "%USERPROFILE%\AppData\Local\Temp\OnboardLogs"\RTDC4045\2017-04-23 &amp; aws s3 cp s3://rtdc.mdm.uploadarchive.raw/RTDC4045/ "%USERPROFILE%\AppData\Local\Temp\OnboardLogs"\RTDC4045\2017-04-24 --exclude "*" --recursive --include "*20170424*" &amp; "%USERPROFILE%\Documents\GitHub\mrs-test-scripts\Headless Mode &amp; Sideloading\WalkAndUnGZ.bat" "%USERPROFILE%\AppData\Local\Temp\OnboardLogs"\RTDC4045\2017-04-24</v>
      </c>
      <c r="AF77" s="77" t="str">
        <f t="shared" ref="AF77:AF108" si="51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/stypes="app*4045*20170423*" /stext=" 18:.+((SYSTEM_STATE.+slice.+state.+changed )|(ment ac)|(multiple cpu faults)|(system.+state.+changed )|(\[timeout)|(PRM\|1\|D)|(kpr)|(kdp)|(\|lc)|(penalty))"</v>
      </c>
      <c r="AG77" s="1" t="str">
        <f t="shared" ref="AG77:AG108" si="52">IFERROR(IF(VALUE(LEFT(AD77,2))&lt;=2,"EC",IF(OR(VALUE(LEFT(AD77,2))=8,VALUE(LEFT(AD77,2))=18),"NW","Other")),"Other")</f>
        <v>EC</v>
      </c>
      <c r="AH77" s="81" t="str">
        <f t="shared" si="19"/>
        <v>"%USERPROFILE%\Documents\GitHub\eaglep3\Utilities\RefineRTDCRunTimes.py" --tripid 158-23 --locoid 4045 --swversion DE.1.0.9.0 --startMP 204:233053 --initTime 2017-04-23T11:28:19 --startdatetime 2017-04-23T11:41:17 --delay 1 --endMP 204:145 --enddatetime 2017-04-23T12:20:21 --enforcementcount 0 &gt;&gt;C:\Users\stu\Documents\GitHub\eaglep3-reporting\EC\2017-04-23-refined-times.txt</v>
      </c>
      <c r="AI77" s="99" t="str">
        <f t="shared" si="20"/>
        <v>echo {"issue":{"subject":"","project_id":79,"tracker_id":40,"status_id":1,"priority_id":2,"assigned_to_id":23,"start_date":"2017-04-23","description":"","custom_fields":[{"id":1,"name":"Subdivision","value":"EC"},{"id":4,"name":"Milepost","value":"0.0145"},{"id":17,"name":"Train ID","value":"158-23"},{"id":16,"name":"Locomotive ID","value":"4045"},{"id":130,"name":"Impact","value":""},{"id":150,"name":"Time of Event (Mountain Time)","value":"12:20:21"},{"id":151,"name":"Denver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77" s="47"/>
      <c r="AL77" s="47"/>
      <c r="AM77" s="145" t="str">
        <f t="shared" si="21"/>
        <v>start /low /b %USERPROFILE%\Documents\GitHub\eaglep3\Utilities\DownloadLogsFromS3.py --loco 4045 --day 2017-04-23</v>
      </c>
      <c r="AN77" s="154" t="str">
        <f t="shared" si="22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18:20:21"},{"id":29,"name":"Sharepoint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x14ac:dyDescent="0.25">
      <c r="A78" s="32" t="s">
        <v>708</v>
      </c>
      <c r="B78" s="7">
        <v>4044</v>
      </c>
      <c r="C78" s="21" t="s">
        <v>213</v>
      </c>
      <c r="D78" s="21" t="s">
        <v>898</v>
      </c>
      <c r="E78" s="13">
        <v>42848.454282407409</v>
      </c>
      <c r="F78" s="13">
        <v>42848.458599537036</v>
      </c>
      <c r="G78" s="7">
        <v>1</v>
      </c>
      <c r="H78" s="21" t="s">
        <v>515</v>
      </c>
      <c r="I78" s="13">
        <v>42848.483414351853</v>
      </c>
      <c r="J78" s="7">
        <v>0</v>
      </c>
      <c r="K78" s="92" t="str">
        <f t="shared" si="40"/>
        <v>4043/4044</v>
      </c>
      <c r="L78" s="21" t="str">
        <f>VLOOKUP(A78,'Trips&amp;Operators'!$C$1:$G$99999,5,FALSE)</f>
        <v>STEWART MICHAEL</v>
      </c>
      <c r="M78" s="6">
        <f t="shared" si="41"/>
        <v>2.4814814816636499E-2</v>
      </c>
      <c r="N78" s="7">
        <f t="shared" si="38"/>
        <v>35.733333335956559</v>
      </c>
      <c r="O78" s="7"/>
      <c r="P78" s="7"/>
      <c r="Q78" s="22"/>
      <c r="R78" s="200"/>
      <c r="S78" s="206">
        <f t="shared" si="39"/>
        <v>1</v>
      </c>
      <c r="T78" s="200" t="str">
        <f t="shared" si="42"/>
        <v>NorthBound</v>
      </c>
      <c r="U78" s="200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01" t="str">
        <f t="shared" si="43"/>
        <v>https://d0f6bd738d7f1b3e5a7ca70fe4ff75f0.us-east-1.aws.found.io/app/kibana#/discover/Steve-Slow-Train-Analysis-(2080s-and-2083s)?_g=(refreshInterval:(display:Off,pause:!f,section:0,value:0),time:(from:'2017-04-23T09:54:10-0600',mode:absolute,to:'2017-04-23T12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8" s="202" t="str">
        <f t="shared" si="44"/>
        <v>N</v>
      </c>
      <c r="X78" s="202">
        <f t="shared" si="45"/>
        <v>1</v>
      </c>
      <c r="Y78" s="202">
        <f t="shared" si="46"/>
        <v>6.5000000000000002E-2</v>
      </c>
      <c r="Z78" s="202">
        <f t="shared" si="47"/>
        <v>23.329699999999999</v>
      </c>
      <c r="AA78" s="202">
        <f t="shared" si="48"/>
        <v>23.264699999999998</v>
      </c>
      <c r="AB78" s="57" t="e">
        <f>VLOOKUP(A78,Enforcements!$C$7:$K$13,8,0)</f>
        <v>#N/A</v>
      </c>
      <c r="AC78" s="53" t="e">
        <f>VLOOKUP(A78,Enforcements!$C$7:$E$13,3,0)</f>
        <v>#N/A</v>
      </c>
      <c r="AD78" s="54" t="str">
        <f t="shared" si="49"/>
        <v>0159-23</v>
      </c>
      <c r="AE78" s="80" t="str">
        <f t="shared" si="50"/>
        <v>aws s3 cp s3://rtdc.mdm.uploadarchive.raw/RTDC4044/ "%USERPROFILE%\AppData\Local\Temp\OnboardLogs"\RTDC4044\2017-04-23 --exclude "*" --recursive --include "*20170423*" &amp; "%USERPROFILE%\Documents\GitHub\mrs-test-scripts\Headless Mode &amp; Sideloading\WalkAndUnGZ.bat" "%USERPROFILE%\AppData\Local\Temp\OnboardLogs"\RTDC4044\2017-04-23 &amp; aws s3 cp s3://rtdc.mdm.uploadarchive.raw/RTDC4044/ "%USERPROFILE%\AppData\Local\Temp\OnboardLogs"\RTDC4044\2017-04-24 --exclude "*" --recursive --include "*20170424*" &amp; "%USERPROFILE%\Documents\GitHub\mrs-test-scripts\Headless Mode &amp; Sideloading\WalkAndUnGZ.bat" "%USERPROFILE%\AppData\Local\Temp\OnboardLogs"\RTDC4044\2017-04-24</v>
      </c>
      <c r="AF78" s="77" t="str">
        <f t="shared" si="51"/>
        <v>"C:\Program Files (x86)\AstroGrep\AstroGrep.exe" /e /r /s /spath="%USERPROFILE%\AppData\Local\Temp\OnboardLogs" /stypes="app*4044*20170423*" /stext=" 17:.+((SYSTEM_STATE.+slice.+state.+changed )|(ment ac)|(multiple cpu faults)|(system.+state.+changed )|(\[timeout)|(PRM\|1\|D)|(kpr)|(kdp)|(\|lc)|(penalty))"</v>
      </c>
      <c r="AG78" s="1" t="str">
        <f t="shared" si="52"/>
        <v>EC</v>
      </c>
      <c r="AH78" s="81" t="str">
        <f t="shared" ref="AH78:AH141" si="53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159-23 --locoid 4044 --swversion DE.1.0.9.0 --startMP 204:650 --initTime 2017-04-23T10:54:10 --startdatetime 2017-04-23T11:00:23 --delay 1 --endMP 204:233297 --enddatetime 2017-04-23T11:36:07 --enforcementcount 0 &gt;&gt;C:\Users\stu\Documents\GitHub\eaglep3-reporting\EC\2017-04-23-refined-times.txt</v>
      </c>
      <c r="AI78" s="99" t="str">
        <f t="shared" ref="AI78:AI141" si="54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{"issue":{"subject":"","project_id":79,"tracker_id":40,"status_id":1,"priority_id":2,"assigned_to_id":23,"start_date":"2017-04-23","description":"","custom_fields":[{"id":1,"name":"Subdivision","value":"EC"},{"id":4,"name":"Milepost","value":"23.3297"},{"id":17,"name":"Train ID","value":"159-23"},{"id":16,"name":"Locomotive ID","value":"4044"},{"id":130,"name":"Impact","value":""},{"id":150,"name":"Time of Event (Mountain Time)","value":"11:36:07"},{"id":151,"name":"Denver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5" t="str">
        <f t="shared" ref="AM78:AM141" si="55">"start /low /b "&amp;dls3logs&amp;" --loco "&amp;B78&amp;" --day "&amp;TEXT(F78,"YYYY-MM-DD")</f>
        <v>start /low /b %USERPROFILE%\Documents\GitHub\eaglep3\Utilities\DownloadLogsFromS3.py --loco 4044 --day 2017-04-23</v>
      </c>
      <c r="AN78" s="154" t="str">
        <f t="shared" ref="AN78:AN141" si="56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17:36:07"},{"id":29,"name":"Sharepoint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79" spans="1:91" s="20" customFormat="1" x14ac:dyDescent="0.25">
      <c r="A79" s="32" t="s">
        <v>723</v>
      </c>
      <c r="B79" s="7">
        <v>4043</v>
      </c>
      <c r="C79" s="21" t="s">
        <v>213</v>
      </c>
      <c r="D79" s="21" t="s">
        <v>458</v>
      </c>
      <c r="E79" s="13">
        <v>42848.493391203701</v>
      </c>
      <c r="F79" s="13">
        <v>42848.497407407405</v>
      </c>
      <c r="G79" s="7">
        <v>3</v>
      </c>
      <c r="H79" s="21" t="s">
        <v>429</v>
      </c>
      <c r="I79" s="13">
        <v>42848.524710648147</v>
      </c>
      <c r="J79" s="7">
        <v>0</v>
      </c>
      <c r="K79" s="92" t="str">
        <f t="shared" si="40"/>
        <v>4043/4044</v>
      </c>
      <c r="L79" s="21" t="str">
        <f>VLOOKUP(A79,'Trips&amp;Operators'!$C$1:$G$99999,5,FALSE)</f>
        <v>STEWART MICHAEL</v>
      </c>
      <c r="M79" s="6">
        <f t="shared" si="41"/>
        <v>2.7303240742185153E-2</v>
      </c>
      <c r="N79" s="7">
        <f t="shared" si="38"/>
        <v>39.31666666874662</v>
      </c>
      <c r="O79" s="7"/>
      <c r="P79" s="7"/>
      <c r="Q79" s="22"/>
      <c r="R79" s="200"/>
      <c r="S79" s="206">
        <f t="shared" si="39"/>
        <v>1</v>
      </c>
      <c r="T79" s="200" t="str">
        <f t="shared" si="42"/>
        <v>Southbound</v>
      </c>
      <c r="U79" s="200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01" t="str">
        <f t="shared" si="43"/>
        <v>https://d0f6bd738d7f1b3e5a7ca70fe4ff75f0.us-east-1.aws.found.io/app/kibana#/discover/Steve-Slow-Train-Analysis-(2080s-and-2083s)?_g=(refreshInterval:(display:Off,pause:!f,section:0,value:0),time:(from:'2017-04-23T10:50:29-0600',mode:absolute,to:'2017-04-23T13:35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9" s="202" t="str">
        <f t="shared" si="44"/>
        <v>N</v>
      </c>
      <c r="X79" s="202">
        <f t="shared" si="45"/>
        <v>1</v>
      </c>
      <c r="Y79" s="202">
        <f t="shared" si="46"/>
        <v>23.297999999999998</v>
      </c>
      <c r="Z79" s="202">
        <f t="shared" si="47"/>
        <v>1.6299999999999999E-2</v>
      </c>
      <c r="AA79" s="202">
        <f t="shared" si="48"/>
        <v>23.281699999999997</v>
      </c>
      <c r="AB79" s="57" t="e">
        <f>VLOOKUP(A79,Enforcements!$C$7:$K$13,8,0)</f>
        <v>#N/A</v>
      </c>
      <c r="AC79" s="53" t="e">
        <f>VLOOKUP(A79,Enforcements!$C$7:$E$13,3,0)</f>
        <v>#N/A</v>
      </c>
      <c r="AD79" s="54" t="str">
        <f t="shared" si="49"/>
        <v>0160-23</v>
      </c>
      <c r="AE79" s="80" t="str">
        <f t="shared" si="50"/>
        <v>aws s3 cp s3://rtdc.mdm.uploadarchive.raw/RTDC4043/ "%USERPROFILE%\AppData\Local\Temp\OnboardLogs"\RTDC4043\2017-04-23 --exclude "*" --recursive --include "*20170423*" &amp; "%USERPROFILE%\Documents\GitHub\mrs-test-scripts\Headless Mode &amp; Sideloading\WalkAndUnGZ.bat" "%USERPROFILE%\AppData\Local\Temp\OnboardLogs"\RTDC4043\2017-04-23 &amp; aws s3 cp s3://rtdc.mdm.uploadarchive.raw/RTDC4043/ "%USERPROFILE%\AppData\Local\Temp\OnboardLogs"\RTDC4043\2017-04-24 --exclude "*" --recursive --include "*20170424*" &amp; "%USERPROFILE%\Documents\GitHub\mrs-test-scripts\Headless Mode &amp; Sideloading\WalkAndUnGZ.bat" "%USERPROFILE%\AppData\Local\Temp\OnboardLogs"\RTDC4043\2017-04-24</v>
      </c>
      <c r="AF79" s="77" t="str">
        <f t="shared" si="51"/>
        <v>"C:\Program Files (x86)\AstroGrep\AstroGrep.exe" /e /r /s /spath="%USERPROFILE%\AppData\Local\Temp\OnboardLogs" /stypes="app*4043*20170423*" /stext=" 18:.+((SYSTEM_STATE.+slice.+state.+changed )|(ment ac)|(multiple cpu faults)|(system.+state.+changed )|(\[timeout)|(PRM\|1\|D)|(kpr)|(kdp)|(\|lc)|(penalty))"</v>
      </c>
      <c r="AG79" s="1" t="str">
        <f t="shared" si="52"/>
        <v>EC</v>
      </c>
      <c r="AH79" s="81" t="str">
        <f t="shared" si="53"/>
        <v>"%USERPROFILE%\Documents\GitHub\eaglep3\Utilities\RefineRTDCRunTimes.py" --tripid 160-23 --locoid 4043 --swversion DE.1.0.9.0 --startMP 204:232980 --initTime 2017-04-23T11:50:29 --startdatetime 2017-04-23T11:56:16 --delay 3 --endMP 204:163 --enddatetime 2017-04-23T12:35:35 --enforcementcount 0 &gt;&gt;C:\Users\stu\Documents\GitHub\eaglep3-reporting\EC\2017-04-23-refined-times.txt</v>
      </c>
      <c r="AI79" s="99" t="str">
        <f t="shared" si="54"/>
        <v>echo {"issue":{"subject":"","project_id":79,"tracker_id":40,"status_id":1,"priority_id":2,"assigned_to_id":23,"start_date":"2017-04-23","description":"","custom_fields":[{"id":1,"name":"Subdivision","value":"EC"},{"id":4,"name":"Milepost","value":"0.0163"},{"id":17,"name":"Train ID","value":"160-23"},{"id":16,"name":"Locomotive ID","value":"4043"},{"id":130,"name":"Impact","value":""},{"id":150,"name":"Time of Event (Mountain Time)","value":"12:35:35"},{"id":151,"name":"Denver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79" s="47"/>
      <c r="AL79" s="47"/>
      <c r="AM79" s="145" t="str">
        <f t="shared" si="55"/>
        <v>start /low /b %USERPROFILE%\Documents\GitHub\eaglep3\Utilities\DownloadLogsFromS3.py --loco 4043 --day 2017-04-23</v>
      </c>
      <c r="AN79" s="154" t="str">
        <f t="shared" si="56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18:35:35"},{"id":29,"name":"Sharepoint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20" customFormat="1" x14ac:dyDescent="0.25">
      <c r="A80" s="32" t="s">
        <v>714</v>
      </c>
      <c r="B80" s="7">
        <v>4016</v>
      </c>
      <c r="C80" s="21" t="s">
        <v>213</v>
      </c>
      <c r="D80" s="21" t="s">
        <v>419</v>
      </c>
      <c r="E80" s="13">
        <v>42848.465729166666</v>
      </c>
      <c r="F80" s="13">
        <v>42848.468946759262</v>
      </c>
      <c r="G80" s="7">
        <v>1</v>
      </c>
      <c r="H80" s="21" t="s">
        <v>574</v>
      </c>
      <c r="I80" s="13">
        <v>42848.494560185187</v>
      </c>
      <c r="J80" s="7">
        <v>0</v>
      </c>
      <c r="K80" s="92" t="str">
        <f t="shared" si="40"/>
        <v>4015/4016</v>
      </c>
      <c r="L80" s="21" t="str">
        <f>VLOOKUP(A80,'Trips&amp;Operators'!$C$1:$G$99999,5,FALSE)</f>
        <v>NELSON ARIANE</v>
      </c>
      <c r="M80" s="6">
        <f t="shared" si="41"/>
        <v>2.5613425925257616E-2</v>
      </c>
      <c r="N80" s="7">
        <f t="shared" si="38"/>
        <v>36.883333332370967</v>
      </c>
      <c r="O80" s="7"/>
      <c r="P80" s="7"/>
      <c r="Q80" s="22"/>
      <c r="R80" s="200"/>
      <c r="S80" s="206">
        <f t="shared" si="39"/>
        <v>1</v>
      </c>
      <c r="T80" s="200" t="str">
        <f t="shared" si="42"/>
        <v>NorthBound</v>
      </c>
      <c r="U80" s="200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01" t="str">
        <f t="shared" si="43"/>
        <v>https://d0f6bd738d7f1b3e5a7ca70fe4ff75f0.us-east-1.aws.found.io/app/kibana#/discover/Steve-Slow-Train-Analysis-(2080s-and-2083s)?_g=(refreshInterval:(display:Off,pause:!f,section:0,value:0),time:(from:'2017-04-23T10:10:39-0600',mode:absolute,to:'2017-04-23T12:52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0" s="202" t="str">
        <f t="shared" si="44"/>
        <v>N</v>
      </c>
      <c r="X80" s="202">
        <f t="shared" si="45"/>
        <v>1</v>
      </c>
      <c r="Y80" s="202">
        <f t="shared" si="46"/>
        <v>4.4699999999999997E-2</v>
      </c>
      <c r="Z80" s="202">
        <f t="shared" si="47"/>
        <v>23.330200000000001</v>
      </c>
      <c r="AA80" s="202">
        <f t="shared" si="48"/>
        <v>23.285500000000003</v>
      </c>
      <c r="AB80" s="57" t="e">
        <f>VLOOKUP(A80,Enforcements!$C$7:$K$13,8,0)</f>
        <v>#N/A</v>
      </c>
      <c r="AC80" s="53" t="e">
        <f>VLOOKUP(A80,Enforcements!$C$7:$E$13,3,0)</f>
        <v>#N/A</v>
      </c>
      <c r="AD80" s="54" t="str">
        <f t="shared" si="49"/>
        <v>0161-23</v>
      </c>
      <c r="AE80" s="80" t="str">
        <f t="shared" si="50"/>
        <v>aws s3 cp s3://rtdc.mdm.uploadarchive.raw/RTDC4016/ "%USERPROFILE%\AppData\Local\Temp\OnboardLogs"\RTDC4016\2017-04-23 --exclude "*" --recursive --include "*20170423*" &amp; "%USERPROFILE%\Documents\GitHub\mrs-test-scripts\Headless Mode &amp; Sideloading\WalkAndUnGZ.bat" "%USERPROFILE%\AppData\Local\Temp\OnboardLogs"\RTDC4016\2017-04-23 &amp; aws s3 cp s3://rtdc.mdm.uploadarchive.raw/RTDC4016/ "%USERPROFILE%\AppData\Local\Temp\OnboardLogs"\RTDC4016\2017-04-24 --exclude "*" --recursive --include "*20170424*" &amp; "%USERPROFILE%\Documents\GitHub\mrs-test-scripts\Headless Mode &amp; Sideloading\WalkAndUnGZ.bat" "%USERPROFILE%\AppData\Local\Temp\OnboardLogs"\RTDC4016\2017-04-24</v>
      </c>
      <c r="AF80" s="77" t="str">
        <f t="shared" si="51"/>
        <v>"C:\Program Files (x86)\AstroGrep\AstroGrep.exe" /e /r /s /spath="%USERPROFILE%\AppData\Local\Temp\OnboardLogs" /stypes="app*4016*20170423*" /stext=" 17:.+((SYSTEM_STATE.+slice.+state.+changed )|(ment ac)|(multiple cpu faults)|(system.+state.+changed )|(\[timeout)|(PRM\|1\|D)|(kpr)|(kdp)|(\|lc)|(penalty))"</v>
      </c>
      <c r="AG80" s="1" t="str">
        <f t="shared" si="52"/>
        <v>EC</v>
      </c>
      <c r="AH80" s="81" t="str">
        <f t="shared" si="53"/>
        <v>"%USERPROFILE%\Documents\GitHub\eaglep3\Utilities\RefineRTDCRunTimes.py" --tripid 161-23 --locoid 4016 --swversion DE.1.0.9.0 --startMP 204:447 --initTime 2017-04-23T11:10:39 --startdatetime 2017-04-23T11:15:17 --delay 1 --endMP 204:233302 --enddatetime 2017-04-23T11:52:10 --enforcementcount 0 &gt;&gt;C:\Users\stu\Documents\GitHub\eaglep3-reporting\EC\2017-04-23-refined-times.txt</v>
      </c>
      <c r="AI80" s="99" t="str">
        <f t="shared" si="54"/>
        <v>echo {"issue":{"subject":"","project_id":79,"tracker_id":40,"status_id":1,"priority_id":2,"assigned_to_id":23,"start_date":"2017-04-23","description":"","custom_fields":[{"id":1,"name":"Subdivision","value":"EC"},{"id":4,"name":"Milepost","value":"23.3302"},{"id":17,"name":"Train ID","value":"161-23"},{"id":16,"name":"Locomotive ID","value":"4016"},{"id":130,"name":"Impact","value":""},{"id":150,"name":"Time of Event (Mountain Time)","value":"11:52:10"},{"id":151,"name":"Denver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0" s="47"/>
      <c r="AL80" s="47"/>
      <c r="AM80" s="145" t="str">
        <f t="shared" si="55"/>
        <v>start /low /b %USERPROFILE%\Documents\GitHub\eaglep3\Utilities\DownloadLogsFromS3.py --loco 4016 --day 2017-04-23</v>
      </c>
      <c r="AN80" s="154" t="str">
        <f t="shared" si="56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17:52:10"},{"id":29,"name":"Sharepoint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20" customFormat="1" x14ac:dyDescent="0.25">
      <c r="A81" s="32" t="s">
        <v>726</v>
      </c>
      <c r="B81" s="7">
        <v>4015</v>
      </c>
      <c r="C81" s="21" t="s">
        <v>213</v>
      </c>
      <c r="D81" s="21" t="s">
        <v>843</v>
      </c>
      <c r="E81" s="13">
        <v>42848.505196759259</v>
      </c>
      <c r="F81" s="13">
        <v>42848.507905092592</v>
      </c>
      <c r="G81" s="7">
        <v>1</v>
      </c>
      <c r="H81" s="21" t="s">
        <v>429</v>
      </c>
      <c r="I81" s="13">
        <v>42848.535543981481</v>
      </c>
      <c r="J81" s="7">
        <v>0</v>
      </c>
      <c r="K81" s="92" t="str">
        <f t="shared" si="40"/>
        <v>4015/4016</v>
      </c>
      <c r="L81" s="21" t="str">
        <f>VLOOKUP(A81,'Trips&amp;Operators'!$C$1:$G$99999,5,FALSE)</f>
        <v>NELSON ARIANE</v>
      </c>
      <c r="M81" s="6">
        <f t="shared" si="41"/>
        <v>2.7638888888759539E-2</v>
      </c>
      <c r="N81" s="7">
        <f t="shared" si="38"/>
        <v>39.799999999813735</v>
      </c>
      <c r="O81" s="7"/>
      <c r="P81" s="7"/>
      <c r="Q81" s="22"/>
      <c r="R81" s="200"/>
      <c r="S81" s="206">
        <f t="shared" si="39"/>
        <v>1</v>
      </c>
      <c r="T81" s="200" t="str">
        <f t="shared" si="42"/>
        <v>Southbound</v>
      </c>
      <c r="U81" s="200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01" t="str">
        <f t="shared" si="43"/>
        <v>https://d0f6bd738d7f1b3e5a7ca70fe4ff75f0.us-east-1.aws.found.io/app/kibana#/discover/Steve-Slow-Train-Analysis-(2080s-and-2083s)?_g=(refreshInterval:(display:Off,pause:!f,section:0,value:0),time:(from:'2017-04-23T11:07:29-0600',mode:absolute,to:'2017-04-23T13:51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1" s="202" t="str">
        <f t="shared" si="44"/>
        <v>N</v>
      </c>
      <c r="X81" s="202">
        <f t="shared" si="45"/>
        <v>1</v>
      </c>
      <c r="Y81" s="202">
        <f t="shared" si="46"/>
        <v>23.299600000000002</v>
      </c>
      <c r="Z81" s="202">
        <f t="shared" si="47"/>
        <v>1.6299999999999999E-2</v>
      </c>
      <c r="AA81" s="202">
        <f t="shared" si="48"/>
        <v>23.283300000000001</v>
      </c>
      <c r="AB81" s="57" t="e">
        <f>VLOOKUP(A81,Enforcements!$C$7:$K$13,8,0)</f>
        <v>#N/A</v>
      </c>
      <c r="AC81" s="53" t="e">
        <f>VLOOKUP(A81,Enforcements!$C$7:$E$13,3,0)</f>
        <v>#N/A</v>
      </c>
      <c r="AD81" s="54" t="str">
        <f t="shared" si="49"/>
        <v>0162-23</v>
      </c>
      <c r="AE81" s="80" t="str">
        <f t="shared" si="50"/>
        <v>aws s3 cp s3://rtdc.mdm.uploadarchive.raw/RTDC4015/ "%USERPROFILE%\AppData\Local\Temp\OnboardLogs"\RTDC4015\2017-04-23 --exclude "*" --recursive --include "*20170423*" &amp; "%USERPROFILE%\Documents\GitHub\mrs-test-scripts\Headless Mode &amp; Sideloading\WalkAndUnGZ.bat" "%USERPROFILE%\AppData\Local\Temp\OnboardLogs"\RTDC4015\2017-04-23 &amp; aws s3 cp s3://rtdc.mdm.uploadarchive.raw/RTDC4015/ "%USERPROFILE%\AppData\Local\Temp\OnboardLogs"\RTDC4015\2017-04-24 --exclude "*" --recursive --include "*20170424*" &amp; "%USERPROFILE%\Documents\GitHub\mrs-test-scripts\Headless Mode &amp; Sideloading\WalkAndUnGZ.bat" "%USERPROFILE%\AppData\Local\Temp\OnboardLogs"\RTDC4015\2017-04-24</v>
      </c>
      <c r="AF81" s="77" t="str">
        <f t="shared" si="51"/>
        <v>"C:\Program Files (x86)\AstroGrep\AstroGrep.exe" /e /r /s /spath="%USERPROFILE%\AppData\Local\Temp\OnboardLogs" /stypes="app*4015*20170423*" /stext=" 18:.+((SYSTEM_STATE.+slice.+state.+changed )|(ment ac)|(multiple cpu faults)|(system.+state.+changed )|(\[timeout)|(PRM\|1\|D)|(kpr)|(kdp)|(\|lc)|(penalty))"</v>
      </c>
      <c r="AG81" s="1" t="str">
        <f t="shared" si="52"/>
        <v>EC</v>
      </c>
      <c r="AH81" s="81" t="str">
        <f t="shared" si="53"/>
        <v>"%USERPROFILE%\Documents\GitHub\eaglep3\Utilities\RefineRTDCRunTimes.py" --tripid 162-23 --locoid 4015 --swversion DE.1.0.9.0 --startMP 204:232996 --initTime 2017-04-23T12:07:29 --startdatetime 2017-04-23T12:11:23 --delay 1 --endMP 204:163 --enddatetime 2017-04-23T12:51:11 --enforcementcount 0 &gt;&gt;C:\Users\stu\Documents\GitHub\eaglep3-reporting\EC\2017-04-23-refined-times.txt</v>
      </c>
      <c r="AI81" s="99" t="str">
        <f t="shared" si="54"/>
        <v>echo {"issue":{"subject":"","project_id":79,"tracker_id":40,"status_id":1,"priority_id":2,"assigned_to_id":23,"start_date":"2017-04-23","description":"","custom_fields":[{"id":1,"name":"Subdivision","value":"EC"},{"id":4,"name":"Milepost","value":"0.0163"},{"id":17,"name":"Train ID","value":"162-23"},{"id":16,"name":"Locomotive ID","value":"4015"},{"id":130,"name":"Impact","value":""},{"id":150,"name":"Time of Event (Mountain Time)","value":"12:51:11"},{"id":151,"name":"Denver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1" s="47"/>
      <c r="AL81" s="47"/>
      <c r="AM81" s="145" t="str">
        <f t="shared" si="55"/>
        <v>start /low /b %USERPROFILE%\Documents\GitHub\eaglep3\Utilities\DownloadLogsFromS3.py --loco 4015 --day 2017-04-23</v>
      </c>
      <c r="AN81" s="154" t="str">
        <f t="shared" si="56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18:51:11"},{"id":29,"name":"Sharepoint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20" customFormat="1" x14ac:dyDescent="0.25">
      <c r="A82" s="32" t="s">
        <v>717</v>
      </c>
      <c r="B82" s="7">
        <v>4022</v>
      </c>
      <c r="C82" s="21" t="s">
        <v>213</v>
      </c>
      <c r="D82" s="21" t="s">
        <v>899</v>
      </c>
      <c r="E82" s="13">
        <v>42848.475428240738</v>
      </c>
      <c r="F82" s="13">
        <v>42848.479328703703</v>
      </c>
      <c r="G82" s="7">
        <v>1</v>
      </c>
      <c r="H82" s="21" t="s">
        <v>900</v>
      </c>
      <c r="I82" s="13">
        <v>42848.503865740742</v>
      </c>
      <c r="J82" s="7">
        <v>0</v>
      </c>
      <c r="K82" s="92" t="str">
        <f t="shared" si="40"/>
        <v>4021/4022</v>
      </c>
      <c r="L82" s="21" t="str">
        <f>VLOOKUP(A82,'Trips&amp;Operators'!$C$1:$G$99999,5,FALSE)</f>
        <v>LEVIN SCOTT</v>
      </c>
      <c r="M82" s="6">
        <f t="shared" si="41"/>
        <v>2.453703703940846E-2</v>
      </c>
      <c r="N82" s="7">
        <f t="shared" si="38"/>
        <v>35.333333336748183</v>
      </c>
      <c r="O82" s="7"/>
      <c r="P82" s="7"/>
      <c r="Q82" s="22"/>
      <c r="R82" s="200"/>
      <c r="S82" s="206">
        <f t="shared" si="39"/>
        <v>1</v>
      </c>
      <c r="T82" s="200" t="str">
        <f t="shared" si="42"/>
        <v>NorthBound</v>
      </c>
      <c r="U82" s="200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01" t="str">
        <f t="shared" si="43"/>
        <v>https://d0f6bd738d7f1b3e5a7ca70fe4ff75f0.us-east-1.aws.found.io/app/kibana#/discover/Steve-Slow-Train-Analysis-(2080s-and-2083s)?_g=(refreshInterval:(display:Off,pause:!f,section:0,value:0),time:(from:'2017-04-23T10:24:37-0600',mode:absolute,to:'2017-04-23T13:05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82" s="202" t="str">
        <f t="shared" si="44"/>
        <v>N</v>
      </c>
      <c r="X82" s="202">
        <f t="shared" si="45"/>
        <v>1</v>
      </c>
      <c r="Y82" s="202">
        <f t="shared" si="46"/>
        <v>4.7100000000000003E-2</v>
      </c>
      <c r="Z82" s="202">
        <f t="shared" si="47"/>
        <v>23.339700000000001</v>
      </c>
      <c r="AA82" s="202">
        <f t="shared" si="48"/>
        <v>23.2926</v>
      </c>
      <c r="AB82" s="57" t="e">
        <f>VLOOKUP(A82,Enforcements!$C$7:$K$13,8,0)</f>
        <v>#N/A</v>
      </c>
      <c r="AC82" s="53" t="e">
        <f>VLOOKUP(A82,Enforcements!$C$7:$E$13,3,0)</f>
        <v>#N/A</v>
      </c>
      <c r="AD82" s="54" t="str">
        <f t="shared" si="49"/>
        <v>0163-23</v>
      </c>
      <c r="AE82" s="80" t="str">
        <f t="shared" si="50"/>
        <v>aws s3 cp s3://rtdc.mdm.uploadarchive.raw/RTDC4022/ "%USERPROFILE%\AppData\Local\Temp\OnboardLogs"\RTDC4022\2017-04-23 --exclude "*" --recursive --include "*20170423*" &amp; "%USERPROFILE%\Documents\GitHub\mrs-test-scripts\Headless Mode &amp; Sideloading\WalkAndUnGZ.bat" "%USERPROFILE%\AppData\Local\Temp\OnboardLogs"\RTDC4022\2017-04-23 &amp; aws s3 cp s3://rtdc.mdm.uploadarchive.raw/RTDC4022/ "%USERPROFILE%\AppData\Local\Temp\OnboardLogs"\RTDC4022\2017-04-24 --exclude "*" --recursive --include "*20170424*" &amp; "%USERPROFILE%\Documents\GitHub\mrs-test-scripts\Headless Mode &amp; Sideloading\WalkAndUnGZ.bat" "%USERPROFILE%\AppData\Local\Temp\OnboardLogs"\RTDC4022\2017-04-24</v>
      </c>
      <c r="AF82" s="77" t="str">
        <f t="shared" si="51"/>
        <v>"C:\Program Files (x86)\AstroGrep\AstroGrep.exe" /e /r /s /spath="%USERPROFILE%\AppData\Local\Temp\OnboardLogs" /stypes="app*4022*20170423*" /stext=" 18:.+((SYSTEM_STATE.+slice.+state.+changed )|(ment ac)|(multiple cpu faults)|(system.+state.+changed )|(\[timeout)|(PRM\|1\|D)|(kpr)|(kdp)|(\|lc)|(penalty))"</v>
      </c>
      <c r="AG82" s="1" t="str">
        <f t="shared" si="52"/>
        <v>EC</v>
      </c>
      <c r="AH82" s="81" t="str">
        <f t="shared" si="53"/>
        <v>"%USERPROFILE%\Documents\GitHub\eaglep3\Utilities\RefineRTDCRunTimes.py" --tripid 163-23 --locoid 4022 --swversion DE.1.0.9.0 --startMP 204:471 --initTime 2017-04-23T11:24:37 --startdatetime 2017-04-23T11:30:14 --delay 1 --endMP 204:233397 --enddatetime 2017-04-23T12:05:34 --enforcementcount 0 &gt;&gt;C:\Users\stu\Documents\GitHub\eaglep3-reporting\EC\2017-04-23-refined-times.txt</v>
      </c>
      <c r="AI82" s="99" t="str">
        <f t="shared" si="54"/>
        <v>echo {"issue":{"subject":"","project_id":79,"tracker_id":40,"status_id":1,"priority_id":2,"assigned_to_id":23,"start_date":"2017-04-23","description":"","custom_fields":[{"id":1,"name":"Subdivision","value":"EC"},{"id":4,"name":"Milepost","value":"23.3397"},{"id":17,"name":"Train ID","value":"163-23"},{"id":16,"name":"Locomotive ID","value":"4022"},{"id":130,"name":"Impact","value":""},{"id":150,"name":"Time of Event (Mountain Time)","value":"12:05:34"},{"id":151,"name":"Denver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2" s="47"/>
      <c r="AL82" s="47"/>
      <c r="AM82" s="145" t="str">
        <f t="shared" si="55"/>
        <v>start /low /b %USERPROFILE%\Documents\GitHub\eaglep3\Utilities\DownloadLogsFromS3.py --loco 4022 --day 2017-04-23</v>
      </c>
      <c r="AN82" s="154" t="str">
        <f t="shared" si="56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18:05:34"},{"id":29,"name":"Sharepoint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x14ac:dyDescent="0.25">
      <c r="A83" s="32" t="s">
        <v>727</v>
      </c>
      <c r="B83" s="7">
        <v>4021</v>
      </c>
      <c r="C83" s="21" t="s">
        <v>213</v>
      </c>
      <c r="D83" s="21" t="s">
        <v>901</v>
      </c>
      <c r="E83" s="13">
        <v>42848.514004629629</v>
      </c>
      <c r="F83" s="13">
        <v>42848.518576388888</v>
      </c>
      <c r="G83" s="7">
        <v>1</v>
      </c>
      <c r="H83" s="21" t="s">
        <v>902</v>
      </c>
      <c r="I83" s="13">
        <v>42848.545381944445</v>
      </c>
      <c r="J83" s="7">
        <v>0</v>
      </c>
      <c r="K83" s="92" t="str">
        <f t="shared" si="40"/>
        <v>4021/4022</v>
      </c>
      <c r="L83" s="21" t="str">
        <f>VLOOKUP(A83,'Trips&amp;Operators'!$C$1:$G$99999,5,FALSE)</f>
        <v>LEVIN SCOTT</v>
      </c>
      <c r="M83" s="6">
        <f t="shared" si="41"/>
        <v>2.6805555557075422E-2</v>
      </c>
      <c r="N83" s="7">
        <f t="shared" si="38"/>
        <v>38.600000002188608</v>
      </c>
      <c r="O83" s="7"/>
      <c r="P83" s="7"/>
      <c r="Q83" s="22"/>
      <c r="R83" s="200"/>
      <c r="S83" s="206">
        <f t="shared" si="39"/>
        <v>1</v>
      </c>
      <c r="T83" s="200" t="str">
        <f t="shared" si="42"/>
        <v>Southbound</v>
      </c>
      <c r="U83" s="200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01" t="str">
        <f t="shared" si="43"/>
        <v>https://d0f6bd738d7f1b3e5a7ca70fe4ff75f0.us-east-1.aws.found.io/app/kibana#/discover/Steve-Slow-Train-Analysis-(2080s-and-2083s)?_g=(refreshInterval:(display:Off,pause:!f,section:0,value:0),time:(from:'2017-04-23T11:20:10-0600',mode:absolute,to:'2017-04-23T14:05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83" s="202" t="str">
        <f t="shared" si="44"/>
        <v>N</v>
      </c>
      <c r="X83" s="202">
        <f t="shared" si="45"/>
        <v>1</v>
      </c>
      <c r="Y83" s="202">
        <f t="shared" si="46"/>
        <v>23.309899999999999</v>
      </c>
      <c r="Z83" s="202">
        <f t="shared" si="47"/>
        <v>1.12E-2</v>
      </c>
      <c r="AA83" s="202">
        <f t="shared" si="48"/>
        <v>23.2987</v>
      </c>
      <c r="AB83" s="57" t="e">
        <f>VLOOKUP(A83,Enforcements!$C$7:$K$13,8,0)</f>
        <v>#N/A</v>
      </c>
      <c r="AC83" s="53" t="e">
        <f>VLOOKUP(A83,Enforcements!$C$7:$E$13,3,0)</f>
        <v>#N/A</v>
      </c>
      <c r="AD83" s="54" t="str">
        <f t="shared" si="49"/>
        <v>0164-23</v>
      </c>
      <c r="AE83" s="80" t="str">
        <f t="shared" si="50"/>
        <v>aws s3 cp s3://rtdc.mdm.uploadarchive.raw/RTDC4021/ "%USERPROFILE%\AppData\Local\Temp\OnboardLogs"\RTDC4021\2017-04-23 --exclude "*" --recursive --include "*20170423*" &amp; "%USERPROFILE%\Documents\GitHub\mrs-test-scripts\Headless Mode &amp; Sideloading\WalkAndUnGZ.bat" "%USERPROFILE%\AppData\Local\Temp\OnboardLogs"\RTDC4021\2017-04-23 &amp; aws s3 cp s3://rtdc.mdm.uploadarchive.raw/RTDC4021/ "%USERPROFILE%\AppData\Local\Temp\OnboardLogs"\RTDC4021\2017-04-24 --exclude "*" --recursive --include "*20170424*" &amp; "%USERPROFILE%\Documents\GitHub\mrs-test-scripts\Headless Mode &amp; Sideloading\WalkAndUnGZ.bat" "%USERPROFILE%\AppData\Local\Temp\OnboardLogs"\RTDC4021\2017-04-24</v>
      </c>
      <c r="AF83" s="77" t="str">
        <f t="shared" si="51"/>
        <v>"C:\Program Files (x86)\AstroGrep\AstroGrep.exe" /e /r /s /spath="%USERPROFILE%\AppData\Local\Temp\OnboardLogs" /stypes="app*4021*20170423*" /stext=" 19:.+((SYSTEM_STATE.+slice.+state.+changed )|(ment ac)|(multiple cpu faults)|(system.+state.+changed )|(\[timeout)|(PRM\|1\|D)|(kpr)|(kdp)|(\|lc)|(penalty))"</v>
      </c>
      <c r="AG83" s="1" t="str">
        <f t="shared" si="52"/>
        <v>EC</v>
      </c>
      <c r="AH83" s="81" t="str">
        <f t="shared" si="53"/>
        <v>"%USERPROFILE%\Documents\GitHub\eaglep3\Utilities\RefineRTDCRunTimes.py" --tripid 164-23 --locoid 4021 --swversion DE.1.0.9.0 --startMP 204:233099 --initTime 2017-04-23T12:20:10 --startdatetime 2017-04-23T12:26:45 --delay 1 --endMP 204:112 --enddatetime 2017-04-23T13:05:21 --enforcementcount 0 &gt;&gt;C:\Users\stu\Documents\GitHub\eaglep3-reporting\EC\2017-04-23-refined-times.txt</v>
      </c>
      <c r="AI83" s="99" t="str">
        <f t="shared" si="54"/>
        <v>echo {"issue":{"subject":"","project_id":79,"tracker_id":40,"status_id":1,"priority_id":2,"assigned_to_id":23,"start_date":"2017-04-23","description":"","custom_fields":[{"id":1,"name":"Subdivision","value":"EC"},{"id":4,"name":"Milepost","value":"0.0112"},{"id":17,"name":"Train ID","value":"164-23"},{"id":16,"name":"Locomotive ID","value":"4021"},{"id":130,"name":"Impact","value":""},{"id":150,"name":"Time of Event (Mountain Time)","value":"13:05:21"},{"id":151,"name":"Denver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5" t="str">
        <f t="shared" si="55"/>
        <v>start /low /b %USERPROFILE%\Documents\GitHub\eaglep3\Utilities\DownloadLogsFromS3.py --loco 4021 --day 2017-04-23</v>
      </c>
      <c r="AN83" s="154" t="str">
        <f t="shared" si="56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19:05:21"},{"id":29,"name":"Sharepoint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4" spans="1:91" s="1" customFormat="1" x14ac:dyDescent="0.25">
      <c r="A84" s="32" t="s">
        <v>722</v>
      </c>
      <c r="B84" s="7">
        <v>4042</v>
      </c>
      <c r="C84" s="21" t="s">
        <v>213</v>
      </c>
      <c r="D84" s="21" t="s">
        <v>568</v>
      </c>
      <c r="E84" s="13">
        <v>42848.486493055556</v>
      </c>
      <c r="F84" s="13">
        <v>42848.48978009259</v>
      </c>
      <c r="G84" s="7">
        <v>1</v>
      </c>
      <c r="H84" s="21" t="s">
        <v>903</v>
      </c>
      <c r="I84" s="13">
        <v>42848.514675925922</v>
      </c>
      <c r="J84" s="7">
        <v>0</v>
      </c>
      <c r="K84" s="92" t="str">
        <f t="shared" si="40"/>
        <v>4041/4042</v>
      </c>
      <c r="L84" s="21" t="str">
        <f>VLOOKUP(A84,'Trips&amp;Operators'!$C$1:$G$99999,5,FALSE)</f>
        <v>BRUDER RICHARD</v>
      </c>
      <c r="M84" s="6">
        <f t="shared" si="41"/>
        <v>2.4895833332266193E-2</v>
      </c>
      <c r="N84" s="7">
        <f t="shared" si="38"/>
        <v>35.849999998463318</v>
      </c>
      <c r="O84" s="7"/>
      <c r="P84" s="7"/>
      <c r="Q84" s="22"/>
      <c r="R84" s="200"/>
      <c r="S84" s="206">
        <f t="shared" si="39"/>
        <v>1</v>
      </c>
      <c r="T84" s="200" t="str">
        <f t="shared" si="42"/>
        <v>NorthBound</v>
      </c>
      <c r="U84" s="200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01" t="str">
        <f t="shared" si="43"/>
        <v>https://d0f6bd738d7f1b3e5a7ca70fe4ff75f0.us-east-1.aws.found.io/app/kibana#/discover/Steve-Slow-Train-Analysis-(2080s-and-2083s)?_g=(refreshInterval:(display:Off,pause:!f,section:0,value:0),time:(from:'2017-04-23T10:40:33-0600',mode:absolute,to:'2017-04-23T13:21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4" s="202" t="str">
        <f t="shared" si="44"/>
        <v>N</v>
      </c>
      <c r="X84" s="202">
        <f t="shared" si="45"/>
        <v>1</v>
      </c>
      <c r="Y84" s="202">
        <f t="shared" si="46"/>
        <v>4.3499999999999997E-2</v>
      </c>
      <c r="Z84" s="202">
        <f t="shared" si="47"/>
        <v>23.334</v>
      </c>
      <c r="AA84" s="202">
        <f t="shared" si="48"/>
        <v>23.290499999999998</v>
      </c>
      <c r="AB84" s="57" t="e">
        <f>VLOOKUP(A84,Enforcements!$C$7:$K$13,8,0)</f>
        <v>#N/A</v>
      </c>
      <c r="AC84" s="53" t="e">
        <f>VLOOKUP(A84,Enforcements!$C$7:$E$13,3,0)</f>
        <v>#N/A</v>
      </c>
      <c r="AD84" s="54" t="str">
        <f t="shared" si="49"/>
        <v>0165-23</v>
      </c>
      <c r="AE84" s="80" t="str">
        <f t="shared" si="50"/>
        <v>aws s3 cp s3://rtdc.mdm.uploadarchive.raw/RTDC4042/ "%USERPROFILE%\AppData\Local\Temp\OnboardLogs"\RTDC4042\2017-04-23 --exclude "*" --recursive --include "*20170423*" &amp; "%USERPROFILE%\Documents\GitHub\mrs-test-scripts\Headless Mode &amp; Sideloading\WalkAndUnGZ.bat" "%USERPROFILE%\AppData\Local\Temp\OnboardLogs"\RTDC4042\2017-04-23 &amp; aws s3 cp s3://rtdc.mdm.uploadarchive.raw/RTDC4042/ "%USERPROFILE%\AppData\Local\Temp\OnboardLogs"\RTDC4042\2017-04-24 --exclude "*" --recursive --include "*20170424*" &amp; "%USERPROFILE%\Documents\GitHub\mrs-test-scripts\Headless Mode &amp; Sideloading\WalkAndUnGZ.bat" "%USERPROFILE%\AppData\Local\Temp\OnboardLogs"\RTDC4042\2017-04-24</v>
      </c>
      <c r="AF84" s="77" t="str">
        <f t="shared" si="51"/>
        <v>"C:\Program Files (x86)\AstroGrep\AstroGrep.exe" /e /r /s /spath="%USERPROFILE%\AppData\Local\Temp\OnboardLogs" /stypes="app*4042*20170423*" /stext=" 18:.+((SYSTEM_STATE.+slice.+state.+changed )|(ment ac)|(multiple cpu faults)|(system.+state.+changed )|(\[timeout)|(PRM\|1\|D)|(kpr)|(kdp)|(\|lc)|(penalty))"</v>
      </c>
      <c r="AG84" s="1" t="str">
        <f t="shared" si="52"/>
        <v>EC</v>
      </c>
      <c r="AH84" s="81" t="str">
        <f t="shared" si="53"/>
        <v>"%USERPROFILE%\Documents\GitHub\eaglep3\Utilities\RefineRTDCRunTimes.py" --tripid 165-23 --locoid 4042 --swversion DE.1.0.9.0 --startMP 204:435 --initTime 2017-04-23T11:40:33 --startdatetime 2017-04-23T11:45:17 --delay 1 --endMP 204:233340 --enddatetime 2017-04-23T12:21:08 --enforcementcount 0 &gt;&gt;C:\Users\stu\Documents\GitHub\eaglep3-reporting\EC\2017-04-23-refined-times.txt</v>
      </c>
      <c r="AI84" s="99" t="str">
        <f t="shared" si="54"/>
        <v>echo {"issue":{"subject":"","project_id":79,"tracker_id":40,"status_id":1,"priority_id":2,"assigned_to_id":23,"start_date":"2017-04-23","description":"","custom_fields":[{"id":1,"name":"Subdivision","value":"EC"},{"id":4,"name":"Milepost","value":"23.334"},{"id":17,"name":"Train ID","value":"165-23"},{"id":16,"name":"Locomotive ID","value":"4042"},{"id":130,"name":"Impact","value":""},{"id":150,"name":"Time of Event (Mountain Time)","value":"12:21:08"},{"id":151,"name":"Denver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5" t="str">
        <f t="shared" si="55"/>
        <v>start /low /b %USERPROFILE%\Documents\GitHub\eaglep3\Utilities\DownloadLogsFromS3.py --loco 4042 --day 2017-04-23</v>
      </c>
      <c r="AN84" s="154" t="str">
        <f t="shared" si="56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18:21:08"},{"id":29,"name":"Sharepoint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0" customFormat="1" x14ac:dyDescent="0.25">
      <c r="A85" s="32" t="s">
        <v>730</v>
      </c>
      <c r="B85" s="7">
        <v>4041</v>
      </c>
      <c r="C85" s="21" t="s">
        <v>213</v>
      </c>
      <c r="D85" s="21" t="s">
        <v>904</v>
      </c>
      <c r="E85" s="13">
        <v>42848.524571759262</v>
      </c>
      <c r="F85" s="13">
        <v>42848.528703703705</v>
      </c>
      <c r="G85" s="7">
        <v>2</v>
      </c>
      <c r="H85" s="21" t="s">
        <v>380</v>
      </c>
      <c r="I85" s="13">
        <v>42848.556689814817</v>
      </c>
      <c r="J85" s="7">
        <v>0</v>
      </c>
      <c r="K85" s="92" t="str">
        <f t="shared" si="40"/>
        <v>4041/4042</v>
      </c>
      <c r="L85" s="21" t="str">
        <f>VLOOKUP(A85,'Trips&amp;Operators'!$C$1:$G$99999,5,FALSE)</f>
        <v>BRUDER RICHARD</v>
      </c>
      <c r="M85" s="6">
        <f t="shared" si="41"/>
        <v>2.7986111112113576E-2</v>
      </c>
      <c r="N85" s="7">
        <f t="shared" si="38"/>
        <v>40.30000000144355</v>
      </c>
      <c r="O85" s="7"/>
      <c r="P85" s="7"/>
      <c r="Q85" s="22"/>
      <c r="R85" s="200"/>
      <c r="S85" s="206">
        <f t="shared" si="39"/>
        <v>1</v>
      </c>
      <c r="T85" s="200" t="str">
        <f t="shared" si="42"/>
        <v>Southbound</v>
      </c>
      <c r="U85" s="200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01" t="str">
        <f t="shared" si="43"/>
        <v>https://d0f6bd738d7f1b3e5a7ca70fe4ff75f0.us-east-1.aws.found.io/app/kibana#/discover/Steve-Slow-Train-Analysis-(2080s-and-2083s)?_g=(refreshInterval:(display:Off,pause:!f,section:0,value:0),time:(from:'2017-04-23T11:35:23-0600',mode:absolute,to:'2017-04-23T14:21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5" s="202" t="str">
        <f t="shared" si="44"/>
        <v>N</v>
      </c>
      <c r="X85" s="202">
        <f t="shared" si="45"/>
        <v>1</v>
      </c>
      <c r="Y85" s="202">
        <f t="shared" si="46"/>
        <v>23.298300000000001</v>
      </c>
      <c r="Z85" s="202">
        <f t="shared" si="47"/>
        <v>1.38E-2</v>
      </c>
      <c r="AA85" s="202">
        <f t="shared" si="48"/>
        <v>23.284500000000001</v>
      </c>
      <c r="AB85" s="57" t="e">
        <f>VLOOKUP(A85,Enforcements!$C$7:$K$13,8,0)</f>
        <v>#N/A</v>
      </c>
      <c r="AC85" s="53" t="e">
        <f>VLOOKUP(A85,Enforcements!$C$7:$E$13,3,0)</f>
        <v>#N/A</v>
      </c>
      <c r="AD85" s="54" t="str">
        <f t="shared" si="49"/>
        <v>0166-23</v>
      </c>
      <c r="AE85" s="80" t="str">
        <f t="shared" si="50"/>
        <v>aws s3 cp s3://rtdc.mdm.uploadarchive.raw/RTDC4041/ "%USERPROFILE%\AppData\Local\Temp\OnboardLogs"\RTDC4041\2017-04-23 --exclude "*" --recursive --include "*20170423*" &amp; "%USERPROFILE%\Documents\GitHub\mrs-test-scripts\Headless Mode &amp; Sideloading\WalkAndUnGZ.bat" "%USERPROFILE%\AppData\Local\Temp\OnboardLogs"\RTDC4041\2017-04-23 &amp; aws s3 cp s3://rtdc.mdm.uploadarchive.raw/RTDC4041/ "%USERPROFILE%\AppData\Local\Temp\OnboardLogs"\RTDC4041\2017-04-24 --exclude "*" --recursive --include "*20170424*" &amp; "%USERPROFILE%\Documents\GitHub\mrs-test-scripts\Headless Mode &amp; Sideloading\WalkAndUnGZ.bat" "%USERPROFILE%\AppData\Local\Temp\OnboardLogs"\RTDC4041\2017-04-24</v>
      </c>
      <c r="AF85" s="77" t="str">
        <f t="shared" si="51"/>
        <v>"C:\Program Files (x86)\AstroGrep\AstroGrep.exe" /e /r /s /spath="%USERPROFILE%\AppData\Local\Temp\OnboardLogs" /stypes="app*4041*20170423*" /stext=" 19:.+((SYSTEM_STATE.+slice.+state.+changed )|(ment ac)|(multiple cpu faults)|(system.+state.+changed )|(\[timeout)|(PRM\|1\|D)|(kpr)|(kdp)|(\|lc)|(penalty))"</v>
      </c>
      <c r="AG85" s="1" t="str">
        <f t="shared" si="52"/>
        <v>EC</v>
      </c>
      <c r="AH85" s="81" t="str">
        <f t="shared" si="53"/>
        <v>"%USERPROFILE%\Documents\GitHub\eaglep3\Utilities\RefineRTDCRunTimes.py" --tripid 166-23 --locoid 4041 --swversion DE.1.0.9.0 --startMP 204:232983 --initTime 2017-04-23T12:35:23 --startdatetime 2017-04-23T12:41:20 --delay 2 --endMP 204:138 --enddatetime 2017-04-23T13:21:38 --enforcementcount 0 &gt;&gt;C:\Users\stu\Documents\GitHub\eaglep3-reporting\EC\2017-04-23-refined-times.txt</v>
      </c>
      <c r="AI85" s="99" t="str">
        <f t="shared" si="54"/>
        <v>echo {"issue":{"subject":"","project_id":79,"tracker_id":40,"status_id":1,"priority_id":2,"assigned_to_id":23,"start_date":"2017-04-23","description":"","custom_fields":[{"id":1,"name":"Subdivision","value":"EC"},{"id":4,"name":"Milepost","value":"0.0138"},{"id":17,"name":"Train ID","value":"166-23"},{"id":16,"name":"Locomotive ID","value":"4041"},{"id":130,"name":"Impact","value":""},{"id":150,"name":"Time of Event (Mountain Time)","value":"13:21:38"},{"id":151,"name":"Denver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5" s="47"/>
      <c r="AL85" s="47"/>
      <c r="AM85" s="145" t="str">
        <f t="shared" si="55"/>
        <v>start /low /b %USERPROFILE%\Documents\GitHub\eaglep3\Utilities\DownloadLogsFromS3.py --loco 4041 --day 2017-04-23</v>
      </c>
      <c r="AN85" s="154" t="str">
        <f t="shared" si="56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19:21:38"},{"id":29,"name":"Sharepoint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0" customFormat="1" x14ac:dyDescent="0.25">
      <c r="A86" s="32" t="s">
        <v>724</v>
      </c>
      <c r="B86" s="7">
        <v>4004</v>
      </c>
      <c r="C86" s="21" t="s">
        <v>213</v>
      </c>
      <c r="D86" s="21" t="s">
        <v>209</v>
      </c>
      <c r="E86" s="13">
        <v>42848.494733796295</v>
      </c>
      <c r="F86" s="13">
        <v>42848.500208333331</v>
      </c>
      <c r="G86" s="7">
        <v>1</v>
      </c>
      <c r="H86" s="21" t="s">
        <v>477</v>
      </c>
      <c r="I86" s="13">
        <v>42848.526145833333</v>
      </c>
      <c r="J86" s="7">
        <v>0</v>
      </c>
      <c r="K86" s="92" t="str">
        <f t="shared" si="40"/>
        <v>4003/4004</v>
      </c>
      <c r="L86" s="21" t="str">
        <f>VLOOKUP(A86,'Trips&amp;Operators'!$C$1:$G$99999,5,FALSE)</f>
        <v>DAVIDSON DAVID</v>
      </c>
      <c r="M86" s="6">
        <f t="shared" si="41"/>
        <v>2.5937500002328306E-2</v>
      </c>
      <c r="N86" s="7">
        <f t="shared" si="38"/>
        <v>37.350000003352761</v>
      </c>
      <c r="O86" s="7"/>
      <c r="P86" s="7"/>
      <c r="Q86" s="22"/>
      <c r="R86" s="200"/>
      <c r="S86" s="206">
        <f t="shared" si="39"/>
        <v>1</v>
      </c>
      <c r="T86" s="200" t="str">
        <f t="shared" si="42"/>
        <v>NorthBound</v>
      </c>
      <c r="U86" s="200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01" t="str">
        <f t="shared" si="43"/>
        <v>https://d0f6bd738d7f1b3e5a7ca70fe4ff75f0.us-east-1.aws.found.io/app/kibana#/discover/Steve-Slow-Train-Analysis-(2080s-and-2083s)?_g=(refreshInterval:(display:Off,pause:!f,section:0,value:0),time:(from:'2017-04-23T10:52:25-0600',mode:absolute,to:'2017-04-23T13:37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6" s="202" t="str">
        <f t="shared" si="44"/>
        <v>N</v>
      </c>
      <c r="X86" s="202">
        <f t="shared" si="45"/>
        <v>1</v>
      </c>
      <c r="Y86" s="202">
        <f t="shared" si="46"/>
        <v>4.5499999999999999E-2</v>
      </c>
      <c r="Z86" s="202">
        <f t="shared" si="47"/>
        <v>23.330100000000002</v>
      </c>
      <c r="AA86" s="202">
        <f t="shared" si="48"/>
        <v>23.284600000000001</v>
      </c>
      <c r="AB86" s="57" t="e">
        <f>VLOOKUP(A86,Enforcements!$C$7:$K$13,8,0)</f>
        <v>#N/A</v>
      </c>
      <c r="AC86" s="53" t="e">
        <f>VLOOKUP(A86,Enforcements!$C$7:$E$13,3,0)</f>
        <v>#N/A</v>
      </c>
      <c r="AD86" s="54" t="str">
        <f t="shared" si="49"/>
        <v>0167-23</v>
      </c>
      <c r="AE86" s="80" t="str">
        <f t="shared" si="50"/>
        <v>aws s3 cp s3://rtdc.mdm.uploadarchive.raw/RTDC4004/ "%USERPROFILE%\AppData\Local\Temp\OnboardLogs"\RTDC4004\2017-04-23 --exclude "*" --recursive --include "*20170423*" &amp; "%USERPROFILE%\Documents\GitHub\mrs-test-scripts\Headless Mode &amp; Sideloading\WalkAndUnGZ.bat" "%USERPROFILE%\AppData\Local\Temp\OnboardLogs"\RTDC4004\2017-04-23 &amp; aws s3 cp s3://rtdc.mdm.uploadarchive.raw/RTDC4004/ "%USERPROFILE%\AppData\Local\Temp\OnboardLogs"\RTDC4004\2017-04-24 --exclude "*" --recursive --include "*20170424*" &amp; "%USERPROFILE%\Documents\GitHub\mrs-test-scripts\Headless Mode &amp; Sideloading\WalkAndUnGZ.bat" "%USERPROFILE%\AppData\Local\Temp\OnboardLogs"\RTDC4004\2017-04-24</v>
      </c>
      <c r="AF86" s="77" t="str">
        <f t="shared" si="51"/>
        <v>"C:\Program Files (x86)\AstroGrep\AstroGrep.exe" /e /r /s /spath="%USERPROFILE%\AppData\Local\Temp\OnboardLogs" /stypes="app*4004*20170423*" /stext=" 18:.+((SYSTEM_STATE.+slice.+state.+changed )|(ment ac)|(multiple cpu faults)|(system.+state.+changed )|(\[timeout)|(PRM\|1\|D)|(kpr)|(kdp)|(\|lc)|(penalty))"</v>
      </c>
      <c r="AG86" s="1" t="str">
        <f t="shared" si="52"/>
        <v>EC</v>
      </c>
      <c r="AH86" s="81" t="str">
        <f t="shared" si="53"/>
        <v>"%USERPROFILE%\Documents\GitHub\eaglep3\Utilities\RefineRTDCRunTimes.py" --tripid 167-23 --locoid 4004 --swversion DE.1.0.9.0 --startMP 204:455 --initTime 2017-04-23T11:52:25 --startdatetime 2017-04-23T12:00:18 --delay 1 --endMP 204:233301 --enddatetime 2017-04-23T12:37:39 --enforcementcount 0 &gt;&gt;C:\Users\stu\Documents\GitHub\eaglep3-reporting\EC\2017-04-23-refined-times.txt</v>
      </c>
      <c r="AI86" s="99" t="str">
        <f t="shared" si="54"/>
        <v>echo {"issue":{"subject":"","project_id":79,"tracker_id":40,"status_id":1,"priority_id":2,"assigned_to_id":23,"start_date":"2017-04-23","description":"","custom_fields":[{"id":1,"name":"Subdivision","value":"EC"},{"id":4,"name":"Milepost","value":"23.3301"},{"id":17,"name":"Train ID","value":"167-23"},{"id":16,"name":"Locomotive ID","value":"4004"},{"id":130,"name":"Impact","value":""},{"id":150,"name":"Time of Event (Mountain Time)","value":"12:37:39"},{"id":151,"name":"Denver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6" s="47"/>
      <c r="AL86" s="47"/>
      <c r="AM86" s="145" t="str">
        <f t="shared" si="55"/>
        <v>start /low /b %USERPROFILE%\Documents\GitHub\eaglep3\Utilities\DownloadLogsFromS3.py --loco 4004 --day 2017-04-23</v>
      </c>
      <c r="AN86" s="154" t="str">
        <f t="shared" si="56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18:37:39"},{"id":29,"name":"Sharepoint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2" t="s">
        <v>732</v>
      </c>
      <c r="B87" s="7">
        <v>4003</v>
      </c>
      <c r="C87" s="21" t="s">
        <v>213</v>
      </c>
      <c r="D87" s="21" t="s">
        <v>518</v>
      </c>
      <c r="E87" s="13">
        <v>42848.528923611113</v>
      </c>
      <c r="F87" s="13">
        <v>42848.539120370369</v>
      </c>
      <c r="G87" s="7">
        <v>1</v>
      </c>
      <c r="H87" s="21" t="s">
        <v>210</v>
      </c>
      <c r="I87" s="13">
        <v>42848.568460648145</v>
      </c>
      <c r="J87" s="7">
        <v>0</v>
      </c>
      <c r="K87" s="92" t="str">
        <f t="shared" si="40"/>
        <v>4003/4004</v>
      </c>
      <c r="L87" s="21" t="str">
        <f>VLOOKUP(A87,'Trips&amp;Operators'!$C$1:$G$99999,5,FALSE)</f>
        <v>DAVIDSON DAVID</v>
      </c>
      <c r="M87" s="6">
        <f t="shared" si="41"/>
        <v>2.9340277775190771E-2</v>
      </c>
      <c r="N87" s="7">
        <f t="shared" si="38"/>
        <v>42.24999999627471</v>
      </c>
      <c r="O87" s="7"/>
      <c r="P87" s="7"/>
      <c r="Q87" s="22"/>
      <c r="R87" s="200"/>
      <c r="S87" s="206">
        <f t="shared" si="39"/>
        <v>1</v>
      </c>
      <c r="T87" s="200" t="str">
        <f t="shared" si="42"/>
        <v>Southbound</v>
      </c>
      <c r="U87" s="200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01" t="str">
        <f t="shared" si="43"/>
        <v>https://d0f6bd738d7f1b3e5a7ca70fe4ff75f0.us-east-1.aws.found.io/app/kibana#/discover/Steve-Slow-Train-Analysis-(2080s-and-2083s)?_g=(refreshInterval:(display:Off,pause:!f,section:0,value:0),time:(from:'2017-04-23T11:41:39-0600',mode:absolute,to:'2017-04-23T14:38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7" s="202" t="str">
        <f t="shared" si="44"/>
        <v>N</v>
      </c>
      <c r="X87" s="202">
        <f t="shared" si="45"/>
        <v>1</v>
      </c>
      <c r="Y87" s="202">
        <f t="shared" si="46"/>
        <v>23.297499999999999</v>
      </c>
      <c r="Z87" s="202">
        <f t="shared" si="47"/>
        <v>1.47E-2</v>
      </c>
      <c r="AA87" s="202">
        <f t="shared" si="48"/>
        <v>23.282799999999998</v>
      </c>
      <c r="AB87" s="57" t="e">
        <f>VLOOKUP(A87,Enforcements!$C$7:$K$13,8,0)</f>
        <v>#N/A</v>
      </c>
      <c r="AC87" s="53" t="e">
        <f>VLOOKUP(A87,Enforcements!$C$7:$E$13,3,0)</f>
        <v>#N/A</v>
      </c>
      <c r="AD87" s="54" t="str">
        <f t="shared" si="49"/>
        <v>0168-23</v>
      </c>
      <c r="AE87" s="80" t="str">
        <f t="shared" si="50"/>
        <v>aws s3 cp s3://rtdc.mdm.uploadarchive.raw/RTDC4003/ "%USERPROFILE%\AppData\Local\Temp\OnboardLogs"\RTDC4003\2017-04-23 --exclude "*" --recursive --include "*20170423*" &amp; "%USERPROFILE%\Documents\GitHub\mrs-test-scripts\Headless Mode &amp; Sideloading\WalkAndUnGZ.bat" "%USERPROFILE%\AppData\Local\Temp\OnboardLogs"\RTDC4003\2017-04-23 &amp; aws s3 cp s3://rtdc.mdm.uploadarchive.raw/RTDC4003/ "%USERPROFILE%\AppData\Local\Temp\OnboardLogs"\RTDC4003\2017-04-24 --exclude "*" --recursive --include "*20170424*" &amp; "%USERPROFILE%\Documents\GitHub\mrs-test-scripts\Headless Mode &amp; Sideloading\WalkAndUnGZ.bat" "%USERPROFILE%\AppData\Local\Temp\OnboardLogs"\RTDC4003\2017-04-24</v>
      </c>
      <c r="AF87" s="77" t="str">
        <f t="shared" si="51"/>
        <v>"C:\Program Files (x86)\AstroGrep\AstroGrep.exe" /e /r /s /spath="%USERPROFILE%\AppData\Local\Temp\OnboardLogs" /stypes="app*4003*20170423*" /stext=" 19:.+((SYSTEM_STATE.+slice.+state.+changed )|(ment ac)|(multiple cpu faults)|(system.+state.+changed )|(\[timeout)|(PRM\|1\|D)|(kpr)|(kdp)|(\|lc)|(penalty))"</v>
      </c>
      <c r="AG87" s="1" t="str">
        <f t="shared" si="52"/>
        <v>EC</v>
      </c>
      <c r="AH87" s="81" t="str">
        <f t="shared" si="53"/>
        <v>"%USERPROFILE%\Documents\GitHub\eaglep3\Utilities\RefineRTDCRunTimes.py" --tripid 168-23 --locoid 4003 --swversion DE.1.0.9.0 --startMP 204:232975 --initTime 2017-04-23T12:41:39 --startdatetime 2017-04-23T12:56:20 --delay 1 --endMP 204:147 --enddatetime 2017-04-23T13:38:35 --enforcementcount 0 &gt;&gt;C:\Users\stu\Documents\GitHub\eaglep3-reporting\EC\2017-04-23-refined-times.txt</v>
      </c>
      <c r="AI87" s="99" t="str">
        <f t="shared" si="54"/>
        <v>echo {"issue":{"subject":"","project_id":79,"tracker_id":40,"status_id":1,"priority_id":2,"assigned_to_id":23,"start_date":"2017-04-23","description":"","custom_fields":[{"id":1,"name":"Subdivision","value":"EC"},{"id":4,"name":"Milepost","value":"0.0147"},{"id":17,"name":"Train ID","value":"168-23"},{"id":16,"name":"Locomotive ID","value":"4003"},{"id":130,"name":"Impact","value":""},{"id":150,"name":"Time of Event (Mountain Time)","value":"13:38:35"},{"id":151,"name":"Denver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7" s="47"/>
      <c r="AL87" s="47"/>
      <c r="AM87" s="145" t="str">
        <f t="shared" si="55"/>
        <v>start /low /b %USERPROFILE%\Documents\GitHub\eaglep3\Utilities\DownloadLogsFromS3.py --loco 4003 --day 2017-04-23</v>
      </c>
      <c r="AN87" s="154" t="str">
        <f t="shared" si="56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19:38:35"},{"id":29,"name":"Sharepoint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2" t="s">
        <v>608</v>
      </c>
      <c r="B88" s="7">
        <v>4002</v>
      </c>
      <c r="C88" s="21" t="s">
        <v>213</v>
      </c>
      <c r="D88" s="21" t="s">
        <v>905</v>
      </c>
      <c r="E88" s="13">
        <v>42848.504050925927</v>
      </c>
      <c r="F88" s="13">
        <v>42848.510636574072</v>
      </c>
      <c r="G88" s="7">
        <v>1</v>
      </c>
      <c r="H88" s="21" t="s">
        <v>906</v>
      </c>
      <c r="I88" s="13">
        <v>42848.535555555558</v>
      </c>
      <c r="J88" s="7">
        <v>0</v>
      </c>
      <c r="K88" s="92" t="str">
        <f t="shared" si="40"/>
        <v>4001/4002</v>
      </c>
      <c r="L88" s="21" t="str">
        <f>VLOOKUP(A88,'Trips&amp;Operators'!$C$1:$G$99999,5,FALSE)</f>
        <v>ROMERO CHAD</v>
      </c>
      <c r="M88" s="6">
        <f t="shared" si="41"/>
        <v>2.4918981485825498E-2</v>
      </c>
      <c r="N88" s="7">
        <f t="shared" si="38"/>
        <v>35.883333339588717</v>
      </c>
      <c r="O88" s="7"/>
      <c r="P88" s="7"/>
      <c r="Q88" s="22"/>
      <c r="R88" s="200"/>
      <c r="S88" s="206">
        <f t="shared" si="39"/>
        <v>1</v>
      </c>
      <c r="T88" s="200" t="str">
        <f t="shared" si="42"/>
        <v>NorthBound</v>
      </c>
      <c r="U88" s="200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01" t="str">
        <f t="shared" si="43"/>
        <v>https://d0f6bd738d7f1b3e5a7ca70fe4ff75f0.us-east-1.aws.found.io/app/kibana#/discover/Steve-Slow-Train-Analysis-(2080s-and-2083s)?_g=(refreshInterval:(display:Off,pause:!f,section:0,value:0),time:(from:'2017-04-23T11:05:50-0600',mode:absolute,to:'2017-04-23T13:51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8" s="202" t="str">
        <f t="shared" si="44"/>
        <v>N</v>
      </c>
      <c r="X88" s="202">
        <f t="shared" si="45"/>
        <v>1</v>
      </c>
      <c r="Y88" s="202">
        <f t="shared" si="46"/>
        <v>4.1300000000000003E-2</v>
      </c>
      <c r="Z88" s="202">
        <f t="shared" si="47"/>
        <v>23.3415</v>
      </c>
      <c r="AA88" s="202">
        <f t="shared" si="48"/>
        <v>23.3002</v>
      </c>
      <c r="AB88" s="57" t="e">
        <f>VLOOKUP(A88,Enforcements!$C$7:$K$13,8,0)</f>
        <v>#N/A</v>
      </c>
      <c r="AC88" s="53" t="e">
        <f>VLOOKUP(A88,Enforcements!$C$7:$E$13,3,0)</f>
        <v>#N/A</v>
      </c>
      <c r="AD88" s="54" t="str">
        <f t="shared" si="49"/>
        <v>0169-23</v>
      </c>
      <c r="AE88" s="80" t="str">
        <f t="shared" si="50"/>
        <v>aws s3 cp s3://rtdc.mdm.uploadarchive.raw/RTDC4002/ "%USERPROFILE%\AppData\Local\Temp\OnboardLogs"\RTDC4002\2017-04-23 --exclude "*" --recursive --include "*20170423*" &amp; "%USERPROFILE%\Documents\GitHub\mrs-test-scripts\Headless Mode &amp; Sideloading\WalkAndUnGZ.bat" "%USERPROFILE%\AppData\Local\Temp\OnboardLogs"\RTDC4002\2017-04-23 &amp; aws s3 cp s3://rtdc.mdm.uploadarchive.raw/RTDC4002/ "%USERPROFILE%\AppData\Local\Temp\OnboardLogs"\RTDC4002\2017-04-24 --exclude "*" --recursive --include "*20170424*" &amp; "%USERPROFILE%\Documents\GitHub\mrs-test-scripts\Headless Mode &amp; Sideloading\WalkAndUnGZ.bat" "%USERPROFILE%\AppData\Local\Temp\OnboardLogs"\RTDC4002\2017-04-24</v>
      </c>
      <c r="AF88" s="77" t="str">
        <f t="shared" si="51"/>
        <v>"C:\Program Files (x86)\AstroGrep\AstroGrep.exe" /e /r /s /spath="%USERPROFILE%\AppData\Local\Temp\OnboardLogs" /stypes="app*4002*20170423*" /stext=" 18:.+((SYSTEM_STATE.+slice.+state.+changed )|(ment ac)|(multiple cpu faults)|(system.+state.+changed )|(\[timeout)|(PRM\|1\|D)|(kpr)|(kdp)|(\|lc)|(penalty))"</v>
      </c>
      <c r="AG88" s="1" t="str">
        <f t="shared" si="52"/>
        <v>EC</v>
      </c>
      <c r="AH88" s="81" t="str">
        <f t="shared" si="53"/>
        <v>"%USERPROFILE%\Documents\GitHub\eaglep3\Utilities\RefineRTDCRunTimes.py" --tripid 169-23 --locoid 4002 --swversion DE.1.0.9.0 --startMP 204:413 --initTime 2017-04-23T12:05:50 --startdatetime 2017-04-23T12:15:19 --delay 1 --endMP 204:233415 --enddatetime 2017-04-23T12:51:12 --enforcementcount 0 &gt;&gt;C:\Users\stu\Documents\GitHub\eaglep3-reporting\EC\2017-04-23-refined-times.txt</v>
      </c>
      <c r="AI88" s="99" t="str">
        <f t="shared" si="54"/>
        <v>echo {"issue":{"subject":"","project_id":79,"tracker_id":40,"status_id":1,"priority_id":2,"assigned_to_id":23,"start_date":"2017-04-23","description":"","custom_fields":[{"id":1,"name":"Subdivision","value":"EC"},{"id":4,"name":"Milepost","value":"23.3415"},{"id":17,"name":"Train ID","value":"169-23"},{"id":16,"name":"Locomotive ID","value":"4002"},{"id":130,"name":"Impact","value":""},{"id":150,"name":"Time of Event (Mountain Time)","value":"12:51:12"},{"id":151,"name":"Denver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8" s="47"/>
      <c r="AL88" s="47"/>
      <c r="AM88" s="145" t="str">
        <f t="shared" si="55"/>
        <v>start /low /b %USERPROFILE%\Documents\GitHub\eaglep3\Utilities\DownloadLogsFromS3.py --loco 4002 --day 2017-04-23</v>
      </c>
      <c r="AN88" s="154" t="str">
        <f t="shared" si="56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18:51:12"},{"id":29,"name":"Sharepoint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2" t="s">
        <v>733</v>
      </c>
      <c r="B89" s="7">
        <v>4001</v>
      </c>
      <c r="C89" s="21" t="s">
        <v>213</v>
      </c>
      <c r="D89" s="21" t="s">
        <v>907</v>
      </c>
      <c r="E89" s="13">
        <v>42848.536828703705</v>
      </c>
      <c r="F89" s="13">
        <v>42848.549513888887</v>
      </c>
      <c r="G89" s="7">
        <v>1</v>
      </c>
      <c r="H89" s="21" t="s">
        <v>514</v>
      </c>
      <c r="I89" s="13">
        <v>42848.575497685182</v>
      </c>
      <c r="J89" s="7">
        <v>0</v>
      </c>
      <c r="K89" s="92" t="str">
        <f t="shared" si="40"/>
        <v>4001/4002</v>
      </c>
      <c r="L89" s="21" t="str">
        <f>VLOOKUP(A89,'Trips&amp;Operators'!$C$1:$G$99999,5,FALSE)</f>
        <v>ROMERO CHAD</v>
      </c>
      <c r="M89" s="6">
        <f t="shared" si="41"/>
        <v>2.5983796294895001E-2</v>
      </c>
      <c r="N89" s="7">
        <f t="shared" si="38"/>
        <v>37.416666664648801</v>
      </c>
      <c r="O89" s="7"/>
      <c r="P89" s="7"/>
      <c r="Q89" s="22"/>
      <c r="R89" s="200"/>
      <c r="S89" s="206">
        <f t="shared" si="39"/>
        <v>1</v>
      </c>
      <c r="T89" s="200" t="str">
        <f t="shared" si="42"/>
        <v>Southbound</v>
      </c>
      <c r="U89" s="200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01" t="str">
        <f t="shared" si="43"/>
        <v>https://d0f6bd738d7f1b3e5a7ca70fe4ff75f0.us-east-1.aws.found.io/app/kibana#/discover/Steve-Slow-Train-Analysis-(2080s-and-2083s)?_g=(refreshInterval:(display:Off,pause:!f,section:0,value:0),time:(from:'2017-04-23T11:53:02-0600',mode:absolute,to:'2017-04-23T14:48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9" s="202" t="str">
        <f t="shared" si="44"/>
        <v>N</v>
      </c>
      <c r="X89" s="202">
        <f t="shared" si="45"/>
        <v>1</v>
      </c>
      <c r="Y89" s="202">
        <f t="shared" si="46"/>
        <v>23.309799999999999</v>
      </c>
      <c r="Z89" s="202">
        <f t="shared" si="47"/>
        <v>1.2699999999999999E-2</v>
      </c>
      <c r="AA89" s="202">
        <f t="shared" si="48"/>
        <v>23.2971</v>
      </c>
      <c r="AB89" s="57" t="e">
        <f>VLOOKUP(A89,Enforcements!$C$7:$K$13,8,0)</f>
        <v>#N/A</v>
      </c>
      <c r="AC89" s="53" t="e">
        <f>VLOOKUP(A89,Enforcements!$C$7:$E$13,3,0)</f>
        <v>#N/A</v>
      </c>
      <c r="AD89" s="54" t="str">
        <f t="shared" si="49"/>
        <v>0170-23</v>
      </c>
      <c r="AE89" s="80" t="str">
        <f t="shared" si="50"/>
        <v>aws s3 cp s3://rtdc.mdm.uploadarchive.raw/RTDC4001/ "%USERPROFILE%\AppData\Local\Temp\OnboardLogs"\RTDC4001\2017-04-23 --exclude "*" --recursive --include "*20170423*" &amp; "%USERPROFILE%\Documents\GitHub\mrs-test-scripts\Headless Mode &amp; Sideloading\WalkAndUnGZ.bat" "%USERPROFILE%\AppData\Local\Temp\OnboardLogs"\RTDC4001\2017-04-23 &amp; aws s3 cp s3://rtdc.mdm.uploadarchive.raw/RTDC4001/ "%USERPROFILE%\AppData\Local\Temp\OnboardLogs"\RTDC4001\2017-04-24 --exclude "*" --recursive --include "*20170424*" &amp; "%USERPROFILE%\Documents\GitHub\mrs-test-scripts\Headless Mode &amp; Sideloading\WalkAndUnGZ.bat" "%USERPROFILE%\AppData\Local\Temp\OnboardLogs"\RTDC4001\2017-04-24</v>
      </c>
      <c r="AF89" s="77" t="str">
        <f t="shared" si="51"/>
        <v>"C:\Program Files (x86)\AstroGrep\AstroGrep.exe" /e /r /s /spath="%USERPROFILE%\AppData\Local\Temp\OnboardLogs" /stypes="app*4001*20170423*" /stext=" 19:.+((SYSTEM_STATE.+slice.+state.+changed )|(ment ac)|(multiple cpu faults)|(system.+state.+changed )|(\[timeout)|(PRM\|1\|D)|(kpr)|(kdp)|(\|lc)|(penalty))"</v>
      </c>
      <c r="AG89" s="1" t="str">
        <f t="shared" si="52"/>
        <v>EC</v>
      </c>
      <c r="AH89" s="81" t="str">
        <f t="shared" si="53"/>
        <v>"%USERPROFILE%\Documents\GitHub\eaglep3\Utilities\RefineRTDCRunTimes.py" --tripid 170-23 --locoid 4001 --swversion DE.1.0.9.0 --startMP 204:233098 --initTime 2017-04-23T12:53:02 --startdatetime 2017-04-23T13:11:18 --delay 1 --endMP 204:127 --enddatetime 2017-04-23T13:48:43 --enforcementcount 0 &gt;&gt;C:\Users\stu\Documents\GitHub\eaglep3-reporting\EC\2017-04-23-refined-times.txt</v>
      </c>
      <c r="AI89" s="99" t="str">
        <f t="shared" si="54"/>
        <v>echo {"issue":{"subject":"","project_id":79,"tracker_id":40,"status_id":1,"priority_id":2,"assigned_to_id":23,"start_date":"2017-04-23","description":"","custom_fields":[{"id":1,"name":"Subdivision","value":"EC"},{"id":4,"name":"Milepost","value":"0.0127"},{"id":17,"name":"Train ID","value":"170-23"},{"id":16,"name":"Locomotive ID","value":"4001"},{"id":130,"name":"Impact","value":""},{"id":150,"name":"Time of Event (Mountain Time)","value":"13:48:43"},{"id":151,"name":"Denver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7"/>
      <c r="AL89" s="47"/>
      <c r="AM89" s="145" t="str">
        <f t="shared" si="55"/>
        <v>start /low /b %USERPROFILE%\Documents\GitHub\eaglep3\Utilities\DownloadLogsFromS3.py --loco 4001 --day 2017-04-23</v>
      </c>
      <c r="AN89" s="154" t="str">
        <f t="shared" si="56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19:48:43"},{"id":29,"name":"Sharepoint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x14ac:dyDescent="0.25">
      <c r="A90" s="32" t="s">
        <v>607</v>
      </c>
      <c r="B90" s="7">
        <v>4046</v>
      </c>
      <c r="C90" s="21" t="s">
        <v>213</v>
      </c>
      <c r="D90" s="21" t="s">
        <v>425</v>
      </c>
      <c r="E90" s="13">
        <v>42848.516377314816</v>
      </c>
      <c r="F90" s="13">
        <v>42848.520995370367</v>
      </c>
      <c r="G90" s="7">
        <v>1</v>
      </c>
      <c r="H90" s="21" t="s">
        <v>908</v>
      </c>
      <c r="I90" s="13">
        <v>42848.548090277778</v>
      </c>
      <c r="J90" s="7">
        <v>0</v>
      </c>
      <c r="K90" s="92" t="str">
        <f t="shared" si="40"/>
        <v>4045/4046</v>
      </c>
      <c r="L90" s="21" t="str">
        <f>VLOOKUP(A90,'Trips&amp;Operators'!$C$1:$G$99999,5,FALSE)</f>
        <v>BRANDNER MELINDA</v>
      </c>
      <c r="M90" s="6">
        <f t="shared" si="41"/>
        <v>2.7094907411083113E-2</v>
      </c>
      <c r="N90" s="7">
        <f t="shared" si="38"/>
        <v>39.016666671959683</v>
      </c>
      <c r="O90" s="7"/>
      <c r="P90" s="7"/>
      <c r="Q90" s="22"/>
      <c r="R90" s="200"/>
      <c r="S90" s="206">
        <f t="shared" si="39"/>
        <v>1</v>
      </c>
      <c r="T90" s="200" t="str">
        <f t="shared" si="42"/>
        <v>NorthBound</v>
      </c>
      <c r="U90" s="200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01" t="str">
        <f t="shared" si="43"/>
        <v>https://d0f6bd738d7f1b3e5a7ca70fe4ff75f0.us-east-1.aws.found.io/app/kibana#/discover/Steve-Slow-Train-Analysis-(2080s-and-2083s)?_g=(refreshInterval:(display:Off,pause:!f,section:0,value:0),time:(from:'2017-04-23T11:23:35-0600',mode:absolute,to:'2017-04-23T14:09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0" s="202" t="str">
        <f t="shared" si="44"/>
        <v>N</v>
      </c>
      <c r="X90" s="202">
        <f t="shared" si="45"/>
        <v>1</v>
      </c>
      <c r="Y90" s="202">
        <f t="shared" si="46"/>
        <v>4.7500000000000001E-2</v>
      </c>
      <c r="Z90" s="202">
        <f t="shared" si="47"/>
        <v>23.337</v>
      </c>
      <c r="AA90" s="202">
        <f t="shared" si="48"/>
        <v>23.2895</v>
      </c>
      <c r="AB90" s="57" t="str">
        <f>VLOOKUP(A90,Enforcements!$C$7:$K$13,8,0)</f>
        <v>Speed (6)</v>
      </c>
      <c r="AC90" s="53" t="str">
        <f>VLOOKUP(A90,Enforcements!$C$7:$E$13,3,0)</f>
        <v>PERMANENT SPEED RESTRICTION</v>
      </c>
      <c r="AD90" s="54" t="str">
        <f t="shared" si="49"/>
        <v>0171-23</v>
      </c>
      <c r="AE90" s="80" t="str">
        <f t="shared" si="50"/>
        <v>aws s3 cp s3://rtdc.mdm.uploadarchive.raw/RTDC4046/ "%USERPROFILE%\AppData\Local\Temp\OnboardLogs"\RTDC4046\2017-04-23 --exclude "*" --recursive --include "*20170423*" &amp; "%USERPROFILE%\Documents\GitHub\mrs-test-scripts\Headless Mode &amp; Sideloading\WalkAndUnGZ.bat" "%USERPROFILE%\AppData\Local\Temp\OnboardLogs"\RTDC4046\2017-04-23 &amp; aws s3 cp s3://rtdc.mdm.uploadarchive.raw/RTDC4046/ "%USERPROFILE%\AppData\Local\Temp\OnboardLogs"\RTDC4046\2017-04-24 --exclude "*" --recursive --include "*20170424*" &amp; "%USERPROFILE%\Documents\GitHub\mrs-test-scripts\Headless Mode &amp; Sideloading\WalkAndUnGZ.bat" "%USERPROFILE%\AppData\Local\Temp\OnboardLogs"\RTDC4046\2017-04-24</v>
      </c>
      <c r="AF90" s="77" t="str">
        <f t="shared" si="51"/>
        <v>"C:\Program Files (x86)\AstroGrep\AstroGrep.exe" /e /r /s /spath="%USERPROFILE%\AppData\Local\Temp\OnboardLogs" /stypes="app*4046*20170423*" /stext=" 19:.+((SYSTEM_STATE.+slice.+state.+changed )|(ment ac)|(multiple cpu faults)|(system.+state.+changed )|(\[timeout)|(PRM\|1\|D)|(kpr)|(kdp)|(\|lc)|(penalty))"</v>
      </c>
      <c r="AG90" s="1" t="str">
        <f t="shared" si="52"/>
        <v>EC</v>
      </c>
      <c r="AH90" s="81" t="str">
        <f t="shared" si="53"/>
        <v>"%USERPROFILE%\Documents\GitHub\eaglep3\Utilities\RefineRTDCRunTimes.py" --tripid 171-23 --locoid 4046 --swversion DE.1.0.9.0 --startMP 204:475 --initTime 2017-04-23T12:23:35 --startdatetime 2017-04-23T12:30:14 --delay 1 --endMP 204:233370 --enddatetime 2017-04-23T13:09:15 --enforcementcount 0 &gt;&gt;C:\Users\stu\Documents\GitHub\eaglep3-reporting\EC\2017-04-23-refined-times.txt</v>
      </c>
      <c r="AI90" s="99" t="str">
        <f t="shared" si="54"/>
        <v>echo {"issue":{"subject":"","project_id":79,"tracker_id":40,"status_id":1,"priority_id":2,"assigned_to_id":23,"start_date":"2017-04-23","description":"","custom_fields":[{"id":1,"name":"Subdivision","value":"EC"},{"id":4,"name":"Milepost","value":"23.337"},{"id":17,"name":"Train ID","value":"171-23"},{"id":16,"name":"Locomotive ID","value":"4046"},{"id":130,"name":"Impact","value":""},{"id":150,"name":"Time of Event (Mountain Time)","value":"13:09:15"},{"id":151,"name":"Denver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5" t="str">
        <f t="shared" si="55"/>
        <v>start /low /b %USERPROFILE%\Documents\GitHub\eaglep3\Utilities\DownloadLogsFromS3.py --loco 4046 --day 2017-04-23</v>
      </c>
      <c r="AN90" s="154" t="str">
        <f t="shared" si="56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19:09:15"},{"id":29,"name":"Sharepoint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1" spans="1:91" s="20" customFormat="1" x14ac:dyDescent="0.25">
      <c r="A91" s="32" t="s">
        <v>737</v>
      </c>
      <c r="B91" s="7">
        <v>4045</v>
      </c>
      <c r="C91" s="21" t="s">
        <v>213</v>
      </c>
      <c r="D91" s="21" t="s">
        <v>909</v>
      </c>
      <c r="E91" s="13">
        <v>42848.554247685184</v>
      </c>
      <c r="F91" s="13">
        <v>42848.559895833336</v>
      </c>
      <c r="G91" s="7">
        <v>1</v>
      </c>
      <c r="H91" s="21" t="s">
        <v>423</v>
      </c>
      <c r="I91" s="13">
        <v>42848.587812500002</v>
      </c>
      <c r="J91" s="7">
        <v>0</v>
      </c>
      <c r="K91" s="92" t="str">
        <f t="shared" si="40"/>
        <v>4045/4046</v>
      </c>
      <c r="L91" s="21" t="str">
        <f>VLOOKUP(A91,'Trips&amp;Operators'!$C$1:$G$99999,5,FALSE)</f>
        <v>BRANDNER MELINDA</v>
      </c>
      <c r="M91" s="6">
        <f t="shared" si="41"/>
        <v>2.7916666665987577E-2</v>
      </c>
      <c r="N91" s="7">
        <f t="shared" ref="N91:N122" si="57">24*60*SUM($M91:$M91)</f>
        <v>40.199999999022111</v>
      </c>
      <c r="O91" s="7"/>
      <c r="P91" s="7"/>
      <c r="Q91" s="22"/>
      <c r="R91" s="200"/>
      <c r="S91" s="206">
        <f t="shared" ref="S91:S122" si="58">SUM(U91:U91)/IF(AG91="EC",12,1)</f>
        <v>1</v>
      </c>
      <c r="T91" s="200" t="str">
        <f t="shared" si="42"/>
        <v>Southbound</v>
      </c>
      <c r="U91" s="200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01" t="str">
        <f t="shared" si="43"/>
        <v>https://d0f6bd738d7f1b3e5a7ca70fe4ff75f0.us-east-1.aws.found.io/app/kibana#/discover/Steve-Slow-Train-Analysis-(2080s-and-2083s)?_g=(refreshInterval:(display:Off,pause:!f,section:0,value:0),time:(from:'2017-04-23T12:18:07-0600',mode:absolute,to:'2017-04-23T15:06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91" s="202" t="str">
        <f t="shared" si="44"/>
        <v>N</v>
      </c>
      <c r="X91" s="202">
        <f t="shared" si="45"/>
        <v>1</v>
      </c>
      <c r="Y91" s="202">
        <f t="shared" si="46"/>
        <v>23.3048</v>
      </c>
      <c r="Z91" s="202">
        <f t="shared" si="47"/>
        <v>1.49E-2</v>
      </c>
      <c r="AA91" s="202">
        <f t="shared" si="48"/>
        <v>23.289899999999999</v>
      </c>
      <c r="AB91" s="57" t="e">
        <f>VLOOKUP(A91,Enforcements!$C$7:$K$13,8,0)</f>
        <v>#N/A</v>
      </c>
      <c r="AC91" s="53" t="e">
        <f>VLOOKUP(A91,Enforcements!$C$7:$E$13,3,0)</f>
        <v>#N/A</v>
      </c>
      <c r="AD91" s="54" t="str">
        <f t="shared" si="49"/>
        <v>0172-23</v>
      </c>
      <c r="AE91" s="80" t="str">
        <f t="shared" si="50"/>
        <v>aws s3 cp s3://rtdc.mdm.uploadarchive.raw/RTDC4045/ "%USERPROFILE%\AppData\Local\Temp\OnboardLogs"\RTDC4045\2017-04-23 --exclude "*" --recursive --include "*20170423*" &amp; "%USERPROFILE%\Documents\GitHub\mrs-test-scripts\Headless Mode &amp; Sideloading\WalkAndUnGZ.bat" "%USERPROFILE%\AppData\Local\Temp\OnboardLogs"\RTDC4045\2017-04-23 &amp; aws s3 cp s3://rtdc.mdm.uploadarchive.raw/RTDC4045/ "%USERPROFILE%\AppData\Local\Temp\OnboardLogs"\RTDC4045\2017-04-24 --exclude "*" --recursive --include "*20170424*" &amp; "%USERPROFILE%\Documents\GitHub\mrs-test-scripts\Headless Mode &amp; Sideloading\WalkAndUnGZ.bat" "%USERPROFILE%\AppData\Local\Temp\OnboardLogs"\RTDC4045\2017-04-24</v>
      </c>
      <c r="AF91" s="77" t="str">
        <f t="shared" si="51"/>
        <v>"C:\Program Files (x86)\AstroGrep\AstroGrep.exe" /e /r /s /spath="%USERPROFILE%\AppData\Local\Temp\OnboardLogs" /stypes="app*4045*20170423*" /stext=" 20:.+((SYSTEM_STATE.+slice.+state.+changed )|(ment ac)|(multiple cpu faults)|(system.+state.+changed )|(\[timeout)|(PRM\|1\|D)|(kpr)|(kdp)|(\|lc)|(penalty))"</v>
      </c>
      <c r="AG91" s="1" t="str">
        <f t="shared" si="52"/>
        <v>EC</v>
      </c>
      <c r="AH91" s="81" t="str">
        <f t="shared" si="53"/>
        <v>"%USERPROFILE%\Documents\GitHub\eaglep3\Utilities\RefineRTDCRunTimes.py" --tripid 172-23 --locoid 4045 --swversion DE.1.0.9.0 --startMP 204:233048 --initTime 2017-04-23T13:18:07 --startdatetime 2017-04-23T13:26:15 --delay 1 --endMP 204:149 --enddatetime 2017-04-23T14:06:27 --enforcementcount 0 &gt;&gt;C:\Users\stu\Documents\GitHub\eaglep3-reporting\EC\2017-04-23-refined-times.txt</v>
      </c>
      <c r="AI91" s="99" t="str">
        <f t="shared" si="54"/>
        <v>echo {"issue":{"subject":"","project_id":79,"tracker_id":40,"status_id":1,"priority_id":2,"assigned_to_id":23,"start_date":"2017-04-23","description":"","custom_fields":[{"id":1,"name":"Subdivision","value":"EC"},{"id":4,"name":"Milepost","value":"0.0149"},{"id":17,"name":"Train ID","value":"172-23"},{"id":16,"name":"Locomotive ID","value":"4045"},{"id":130,"name":"Impact","value":""},{"id":150,"name":"Time of Event (Mountain Time)","value":"14:06:27"},{"id":151,"name":"Denver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7"/>
      <c r="AL91" s="47"/>
      <c r="AM91" s="145" t="str">
        <f t="shared" si="55"/>
        <v>start /low /b %USERPROFILE%\Documents\GitHub\eaglep3\Utilities\DownloadLogsFromS3.py --loco 4045 --day 2017-04-23</v>
      </c>
      <c r="AN91" s="154" t="str">
        <f t="shared" si="56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20:06:27"},{"id":29,"name":"Sharepoint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2" t="s">
        <v>731</v>
      </c>
      <c r="B92" s="7">
        <v>4044</v>
      </c>
      <c r="C92" s="21" t="s">
        <v>213</v>
      </c>
      <c r="D92" s="21" t="s">
        <v>425</v>
      </c>
      <c r="E92" s="13">
        <v>42848.527453703704</v>
      </c>
      <c r="F92" s="13">
        <v>42848.531446759262</v>
      </c>
      <c r="G92" s="7">
        <v>1</v>
      </c>
      <c r="H92" s="21" t="s">
        <v>571</v>
      </c>
      <c r="I92" s="13">
        <v>42848.556226851855</v>
      </c>
      <c r="J92" s="7">
        <v>0</v>
      </c>
      <c r="K92" s="92" t="str">
        <f t="shared" si="40"/>
        <v>4043/4044</v>
      </c>
      <c r="L92" s="21" t="str">
        <f>VLOOKUP(A92,'Trips&amp;Operators'!$C$1:$G$99999,5,FALSE)</f>
        <v>STEWART MICHAEL</v>
      </c>
      <c r="M92" s="6">
        <f t="shared" si="41"/>
        <v>2.4780092593573499E-2</v>
      </c>
      <c r="N92" s="7">
        <f t="shared" si="57"/>
        <v>35.683333334745839</v>
      </c>
      <c r="O92" s="7"/>
      <c r="P92" s="7"/>
      <c r="Q92" s="22"/>
      <c r="R92" s="200"/>
      <c r="S92" s="206">
        <f t="shared" si="58"/>
        <v>1</v>
      </c>
      <c r="T92" s="200" t="str">
        <f t="shared" si="42"/>
        <v>NorthBound</v>
      </c>
      <c r="U92" s="200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01" t="str">
        <f t="shared" si="43"/>
        <v>https://d0f6bd738d7f1b3e5a7ca70fe4ff75f0.us-east-1.aws.found.io/app/kibana#/discover/Steve-Slow-Train-Analysis-(2080s-and-2083s)?_g=(refreshInterval:(display:Off,pause:!f,section:0,value:0),time:(from:'2017-04-23T11:39:32-0600',mode:absolute,to:'2017-04-23T14:20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2" s="202" t="str">
        <f t="shared" si="44"/>
        <v>N</v>
      </c>
      <c r="X92" s="202">
        <f t="shared" si="45"/>
        <v>1</v>
      </c>
      <c r="Y92" s="202">
        <f t="shared" si="46"/>
        <v>4.7500000000000001E-2</v>
      </c>
      <c r="Z92" s="202">
        <f t="shared" si="47"/>
        <v>23.328900000000001</v>
      </c>
      <c r="AA92" s="202">
        <f t="shared" si="48"/>
        <v>23.281400000000001</v>
      </c>
      <c r="AB92" s="57" t="e">
        <f>VLOOKUP(A92,Enforcements!$C$7:$K$13,8,0)</f>
        <v>#N/A</v>
      </c>
      <c r="AC92" s="53" t="e">
        <f>VLOOKUP(A92,Enforcements!$C$7:$E$13,3,0)</f>
        <v>#N/A</v>
      </c>
      <c r="AD92" s="54" t="str">
        <f t="shared" si="49"/>
        <v>0173-23</v>
      </c>
      <c r="AE92" s="80" t="str">
        <f t="shared" si="50"/>
        <v>aws s3 cp s3://rtdc.mdm.uploadarchive.raw/RTDC4044/ "%USERPROFILE%\AppData\Local\Temp\OnboardLogs"\RTDC4044\2017-04-23 --exclude "*" --recursive --include "*20170423*" &amp; "%USERPROFILE%\Documents\GitHub\mrs-test-scripts\Headless Mode &amp; Sideloading\WalkAndUnGZ.bat" "%USERPROFILE%\AppData\Local\Temp\OnboardLogs"\RTDC4044\2017-04-23 &amp; aws s3 cp s3://rtdc.mdm.uploadarchive.raw/RTDC4044/ "%USERPROFILE%\AppData\Local\Temp\OnboardLogs"\RTDC4044\2017-04-24 --exclude "*" --recursive --include "*20170424*" &amp; "%USERPROFILE%\Documents\GitHub\mrs-test-scripts\Headless Mode &amp; Sideloading\WalkAndUnGZ.bat" "%USERPROFILE%\AppData\Local\Temp\OnboardLogs"\RTDC4044\2017-04-24</v>
      </c>
      <c r="AF92" s="77" t="str">
        <f t="shared" si="51"/>
        <v>"C:\Program Files (x86)\AstroGrep\AstroGrep.exe" /e /r /s /spath="%USERPROFILE%\AppData\Local\Temp\OnboardLogs" /stypes="app*4044*20170423*" /stext=" 19:.+((SYSTEM_STATE.+slice.+state.+changed )|(ment ac)|(multiple cpu faults)|(system.+state.+changed )|(\[timeout)|(PRM\|1\|D)|(kpr)|(kdp)|(\|lc)|(penalty))"</v>
      </c>
      <c r="AG92" s="1" t="str">
        <f t="shared" si="52"/>
        <v>EC</v>
      </c>
      <c r="AH92" s="81" t="str">
        <f t="shared" si="53"/>
        <v>"%USERPROFILE%\Documents\GitHub\eaglep3\Utilities\RefineRTDCRunTimes.py" --tripid 173-23 --locoid 4044 --swversion DE.1.0.9.0 --startMP 204:475 --initTime 2017-04-23T12:39:32 --startdatetime 2017-04-23T12:45:17 --delay 1 --endMP 204:233289 --enddatetime 2017-04-23T13:20:58 --enforcementcount 0 &gt;&gt;C:\Users\stu\Documents\GitHub\eaglep3-reporting\EC\2017-04-23-refined-times.txt</v>
      </c>
      <c r="AI92" s="99" t="str">
        <f t="shared" si="54"/>
        <v>echo {"issue":{"subject":"","project_id":79,"tracker_id":40,"status_id":1,"priority_id":2,"assigned_to_id":23,"start_date":"2017-04-23","description":"","custom_fields":[{"id":1,"name":"Subdivision","value":"EC"},{"id":4,"name":"Milepost","value":"23.3289"},{"id":17,"name":"Train ID","value":"173-23"},{"id":16,"name":"Locomotive ID","value":"4044"},{"id":130,"name":"Impact","value":""},{"id":150,"name":"Time of Event (Mountain Time)","value":"13:20:58"},{"id":151,"name":"Denver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7"/>
      <c r="AL92" s="47"/>
      <c r="AM92" s="145" t="str">
        <f t="shared" si="55"/>
        <v>start /low /b %USERPROFILE%\Documents\GitHub\eaglep3\Utilities\DownloadLogsFromS3.py --loco 4044 --day 2017-04-23</v>
      </c>
      <c r="AN92" s="154" t="str">
        <f t="shared" si="56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19:20:58"},{"id":29,"name":"Sharepoint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2" t="s">
        <v>742</v>
      </c>
      <c r="B93" s="7">
        <v>4043</v>
      </c>
      <c r="C93" s="21" t="s">
        <v>213</v>
      </c>
      <c r="D93" s="21" t="s">
        <v>904</v>
      </c>
      <c r="E93" s="13">
        <v>42848.56790509259</v>
      </c>
      <c r="F93" s="13">
        <v>42848.570370370369</v>
      </c>
      <c r="G93" s="7">
        <v>1</v>
      </c>
      <c r="H93" s="21" t="s">
        <v>392</v>
      </c>
      <c r="I93" s="13">
        <v>42848.597662037035</v>
      </c>
      <c r="J93" s="7">
        <v>0</v>
      </c>
      <c r="K93" s="92" t="str">
        <f t="shared" si="40"/>
        <v>4043/4044</v>
      </c>
      <c r="L93" s="21" t="str">
        <f>VLOOKUP(A93,'Trips&amp;Operators'!$C$1:$G$99999,5,FALSE)</f>
        <v>STEWART MICHAEL</v>
      </c>
      <c r="M93" s="6">
        <f t="shared" si="41"/>
        <v>2.7291666665405501E-2</v>
      </c>
      <c r="N93" s="7">
        <f t="shared" si="57"/>
        <v>39.299999998183921</v>
      </c>
      <c r="O93" s="7"/>
      <c r="P93" s="7"/>
      <c r="Q93" s="22"/>
      <c r="R93" s="200"/>
      <c r="S93" s="206">
        <f t="shared" si="58"/>
        <v>1</v>
      </c>
      <c r="T93" s="200" t="str">
        <f t="shared" si="42"/>
        <v>Southbound</v>
      </c>
      <c r="U93" s="200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01" t="str">
        <f t="shared" si="43"/>
        <v>https://d0f6bd738d7f1b3e5a7ca70fe4ff75f0.us-east-1.aws.found.io/app/kibana#/discover/Steve-Slow-Train-Analysis-(2080s-and-2083s)?_g=(refreshInterval:(display:Off,pause:!f,section:0,value:0),time:(from:'2017-04-23T12:37:47-0600',mode:absolute,to:'2017-04-23T15:20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3" s="202" t="str">
        <f t="shared" si="44"/>
        <v>N</v>
      </c>
      <c r="X93" s="202">
        <f t="shared" si="45"/>
        <v>1</v>
      </c>
      <c r="Y93" s="202">
        <f t="shared" si="46"/>
        <v>23.298300000000001</v>
      </c>
      <c r="Z93" s="202">
        <f t="shared" si="47"/>
        <v>1.6E-2</v>
      </c>
      <c r="AA93" s="202">
        <f t="shared" si="48"/>
        <v>23.282300000000003</v>
      </c>
      <c r="AB93" s="57" t="e">
        <f>VLOOKUP(A93,Enforcements!$C$7:$K$13,8,0)</f>
        <v>#N/A</v>
      </c>
      <c r="AC93" s="53" t="e">
        <f>VLOOKUP(A93,Enforcements!$C$7:$E$13,3,0)</f>
        <v>#N/A</v>
      </c>
      <c r="AD93" s="54" t="str">
        <f t="shared" si="49"/>
        <v>0174-23</v>
      </c>
      <c r="AE93" s="80" t="str">
        <f t="shared" si="50"/>
        <v>aws s3 cp s3://rtdc.mdm.uploadarchive.raw/RTDC4043/ "%USERPROFILE%\AppData\Local\Temp\OnboardLogs"\RTDC4043\2017-04-23 --exclude "*" --recursive --include "*20170423*" &amp; "%USERPROFILE%\Documents\GitHub\mrs-test-scripts\Headless Mode &amp; Sideloading\WalkAndUnGZ.bat" "%USERPROFILE%\AppData\Local\Temp\OnboardLogs"\RTDC4043\2017-04-23 &amp; aws s3 cp s3://rtdc.mdm.uploadarchive.raw/RTDC4043/ "%USERPROFILE%\AppData\Local\Temp\OnboardLogs"\RTDC4043\2017-04-24 --exclude "*" --recursive --include "*20170424*" &amp; "%USERPROFILE%\Documents\GitHub\mrs-test-scripts\Headless Mode &amp; Sideloading\WalkAndUnGZ.bat" "%USERPROFILE%\AppData\Local\Temp\OnboardLogs"\RTDC4043\2017-04-24</v>
      </c>
      <c r="AF93" s="77" t="str">
        <f t="shared" si="51"/>
        <v>"C:\Program Files (x86)\AstroGrep\AstroGrep.exe" /e /r /s /spath="%USERPROFILE%\AppData\Local\Temp\OnboardLogs" /stypes="app*4043*20170423*" /stext=" 20:.+((SYSTEM_STATE.+slice.+state.+changed )|(ment ac)|(multiple cpu faults)|(system.+state.+changed )|(\[timeout)|(PRM\|1\|D)|(kpr)|(kdp)|(\|lc)|(penalty))"</v>
      </c>
      <c r="AG93" s="1" t="str">
        <f t="shared" si="52"/>
        <v>EC</v>
      </c>
      <c r="AH93" s="81" t="str">
        <f t="shared" si="53"/>
        <v>"%USERPROFILE%\Documents\GitHub\eaglep3\Utilities\RefineRTDCRunTimes.py" --tripid 174-23 --locoid 4043 --swversion DE.1.0.9.0 --startMP 204:232983 --initTime 2017-04-23T13:37:47 --startdatetime 2017-04-23T13:41:20 --delay 1 --endMP 204:160 --enddatetime 2017-04-23T14:20:38 --enforcementcount 0 &gt;&gt;C:\Users\stu\Documents\GitHub\eaglep3-reporting\EC\2017-04-23-refined-times.txt</v>
      </c>
      <c r="AI93" s="99" t="str">
        <f t="shared" si="54"/>
        <v>echo {"issue":{"subject":"","project_id":79,"tracker_id":40,"status_id":1,"priority_id":2,"assigned_to_id":23,"start_date":"2017-04-23","description":"","custom_fields":[{"id":1,"name":"Subdivision","value":"EC"},{"id":4,"name":"Milepost","value":"0.016"},{"id":17,"name":"Train ID","value":"174-23"},{"id":16,"name":"Locomotive ID","value":"4043"},{"id":130,"name":"Impact","value":""},{"id":150,"name":"Time of Event (Mountain Time)","value":"14:20:38"},{"id":151,"name":"Denver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7"/>
      <c r="AL93" s="47"/>
      <c r="AM93" s="145" t="str">
        <f t="shared" si="55"/>
        <v>start /low /b %USERPROFILE%\Documents\GitHub\eaglep3\Utilities\DownloadLogsFromS3.py --loco 4043 --day 2017-04-23</v>
      </c>
      <c r="AN93" s="154" t="str">
        <f t="shared" si="56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20:20:38"},{"id":29,"name":"Sharepoint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2" t="s">
        <v>735</v>
      </c>
      <c r="B94" s="7">
        <v>4016</v>
      </c>
      <c r="C94" s="21" t="s">
        <v>213</v>
      </c>
      <c r="D94" s="21" t="s">
        <v>516</v>
      </c>
      <c r="E94" s="13">
        <v>42848.539618055554</v>
      </c>
      <c r="F94" s="13">
        <v>42848.541967592595</v>
      </c>
      <c r="G94" s="7">
        <v>2</v>
      </c>
      <c r="H94" s="21" t="s">
        <v>416</v>
      </c>
      <c r="I94" s="13">
        <v>42848.568437499998</v>
      </c>
      <c r="J94" s="7">
        <v>0</v>
      </c>
      <c r="K94" s="92" t="str">
        <f t="shared" si="40"/>
        <v>4015/4016</v>
      </c>
      <c r="L94" s="21" t="str">
        <f>VLOOKUP(A94,'Trips&amp;Operators'!$C$1:$G$99999,5,FALSE)</f>
        <v>NELSON ARIANE</v>
      </c>
      <c r="M94" s="6">
        <f t="shared" si="41"/>
        <v>2.6469907403225079E-2</v>
      </c>
      <c r="N94" s="7">
        <f t="shared" si="57"/>
        <v>38.116666660644114</v>
      </c>
      <c r="O94" s="7"/>
      <c r="P94" s="7"/>
      <c r="Q94" s="22"/>
      <c r="R94" s="200"/>
      <c r="S94" s="206">
        <f t="shared" si="58"/>
        <v>1</v>
      </c>
      <c r="T94" s="200" t="str">
        <f t="shared" si="42"/>
        <v>NorthBound</v>
      </c>
      <c r="U94" s="200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01" t="str">
        <f t="shared" si="43"/>
        <v>https://d0f6bd738d7f1b3e5a7ca70fe4ff75f0.us-east-1.aws.found.io/app/kibana#/discover/Steve-Slow-Train-Analysis-(2080s-and-2083s)?_g=(refreshInterval:(display:Off,pause:!f,section:0,value:0),time:(from:'2017-04-23T11:57:03-0600',mode:absolute,to:'2017-04-23T14:38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4" s="202" t="str">
        <f t="shared" si="44"/>
        <v>N</v>
      </c>
      <c r="X94" s="202">
        <f t="shared" si="45"/>
        <v>1</v>
      </c>
      <c r="Y94" s="202">
        <f t="shared" si="46"/>
        <v>4.8800000000000003E-2</v>
      </c>
      <c r="Z94" s="202">
        <f t="shared" si="47"/>
        <v>23.3291</v>
      </c>
      <c r="AA94" s="202">
        <f t="shared" si="48"/>
        <v>23.2803</v>
      </c>
      <c r="AB94" s="57" t="e">
        <f>VLOOKUP(A94,Enforcements!$C$7:$K$13,8,0)</f>
        <v>#N/A</v>
      </c>
      <c r="AC94" s="53" t="e">
        <f>VLOOKUP(A94,Enforcements!$C$7:$E$13,3,0)</f>
        <v>#N/A</v>
      </c>
      <c r="AD94" s="54" t="str">
        <f t="shared" si="49"/>
        <v>0175-23</v>
      </c>
      <c r="AE94" s="80" t="str">
        <f t="shared" si="50"/>
        <v>aws s3 cp s3://rtdc.mdm.uploadarchive.raw/RTDC4016/ "%USERPROFILE%\AppData\Local\Temp\OnboardLogs"\RTDC4016\2017-04-23 --exclude "*" --recursive --include "*20170423*" &amp; "%USERPROFILE%\Documents\GitHub\mrs-test-scripts\Headless Mode &amp; Sideloading\WalkAndUnGZ.bat" "%USERPROFILE%\AppData\Local\Temp\OnboardLogs"\RTDC4016\2017-04-23 &amp; aws s3 cp s3://rtdc.mdm.uploadarchive.raw/RTDC4016/ "%USERPROFILE%\AppData\Local\Temp\OnboardLogs"\RTDC4016\2017-04-24 --exclude "*" --recursive --include "*20170424*" &amp; "%USERPROFILE%\Documents\GitHub\mrs-test-scripts\Headless Mode &amp; Sideloading\WalkAndUnGZ.bat" "%USERPROFILE%\AppData\Local\Temp\OnboardLogs"\RTDC4016\2017-04-24</v>
      </c>
      <c r="AF94" s="77" t="str">
        <f t="shared" si="51"/>
        <v>"C:\Program Files (x86)\AstroGrep\AstroGrep.exe" /e /r /s /spath="%USERPROFILE%\AppData\Local\Temp\OnboardLogs" /stypes="app*4016*20170423*" /stext=" 19:.+((SYSTEM_STATE.+slice.+state.+changed )|(ment ac)|(multiple cpu faults)|(system.+state.+changed )|(\[timeout)|(PRM\|1\|D)|(kpr)|(kdp)|(\|lc)|(penalty))"</v>
      </c>
      <c r="AG94" s="1" t="str">
        <f t="shared" si="52"/>
        <v>EC</v>
      </c>
      <c r="AH94" s="81" t="str">
        <f t="shared" si="53"/>
        <v>"%USERPROFILE%\Documents\GitHub\eaglep3\Utilities\RefineRTDCRunTimes.py" --tripid 175-23 --locoid 4016 --swversion DE.1.0.9.0 --startMP 204:488 --initTime 2017-04-23T12:57:03 --startdatetime 2017-04-23T13:00:26 --delay 2 --endMP 204:233291 --enddatetime 2017-04-23T13:38:33 --enforcementcount 0 &gt;&gt;C:\Users\stu\Documents\GitHub\eaglep3-reporting\EC\2017-04-23-refined-times.txt</v>
      </c>
      <c r="AI94" s="99" t="str">
        <f t="shared" si="54"/>
        <v>echo {"issue":{"subject":"","project_id":79,"tracker_id":40,"status_id":1,"priority_id":2,"assigned_to_id":23,"start_date":"2017-04-23","description":"","custom_fields":[{"id":1,"name":"Subdivision","value":"EC"},{"id":4,"name":"Milepost","value":"23.3291"},{"id":17,"name":"Train ID","value":"175-23"},{"id":16,"name":"Locomotive ID","value":"4016"},{"id":130,"name":"Impact","value":""},{"id":150,"name":"Time of Event (Mountain Time)","value":"13:38:33"},{"id":151,"name":"Denver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5" t="str">
        <f t="shared" si="55"/>
        <v>start /low /b %USERPROFILE%\Documents\GitHub\eaglep3\Utilities\DownloadLogsFromS3.py --loco 4016 --day 2017-04-23</v>
      </c>
      <c r="AN94" s="154" t="str">
        <f t="shared" si="56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19:38:33"},{"id":29,"name":"Sharepoint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745</v>
      </c>
      <c r="B95" s="7">
        <v>4015</v>
      </c>
      <c r="C95" s="21" t="s">
        <v>213</v>
      </c>
      <c r="D95" s="21" t="s">
        <v>578</v>
      </c>
      <c r="E95" s="13">
        <v>42848.578750000001</v>
      </c>
      <c r="F95" s="13">
        <v>42848.580972222226</v>
      </c>
      <c r="G95" s="7">
        <v>2</v>
      </c>
      <c r="H95" s="21" t="s">
        <v>423</v>
      </c>
      <c r="I95" s="13">
        <v>42848.609178240738</v>
      </c>
      <c r="J95" s="7">
        <v>0</v>
      </c>
      <c r="K95" s="92" t="str">
        <f t="shared" si="40"/>
        <v>4015/4016</v>
      </c>
      <c r="L95" s="21" t="str">
        <f>VLOOKUP(A95,'Trips&amp;Operators'!$C$1:$G$99999,5,FALSE)</f>
        <v>NELSON ARIANE</v>
      </c>
      <c r="M95" s="6">
        <f t="shared" si="41"/>
        <v>2.8206018512719311E-2</v>
      </c>
      <c r="N95" s="7">
        <f t="shared" si="57"/>
        <v>40.616666658315808</v>
      </c>
      <c r="O95" s="7"/>
      <c r="P95" s="7"/>
      <c r="Q95" s="22"/>
      <c r="R95" s="200"/>
      <c r="S95" s="206">
        <f t="shared" si="58"/>
        <v>1</v>
      </c>
      <c r="T95" s="200" t="str">
        <f t="shared" si="42"/>
        <v>Southbound</v>
      </c>
      <c r="U95" s="200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01" t="str">
        <f t="shared" si="43"/>
        <v>https://d0f6bd738d7f1b3e5a7ca70fe4ff75f0.us-east-1.aws.found.io/app/kibana#/discover/Steve-Slow-Train-Analysis-(2080s-and-2083s)?_g=(refreshInterval:(display:Off,pause:!f,section:0,value:0),time:(from:'2017-04-23T12:53:24-0600',mode:absolute,to:'2017-04-23T15:37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5" s="202" t="str">
        <f t="shared" si="44"/>
        <v>N</v>
      </c>
      <c r="X95" s="202">
        <f t="shared" si="45"/>
        <v>1</v>
      </c>
      <c r="Y95" s="202">
        <f t="shared" si="46"/>
        <v>23.296500000000002</v>
      </c>
      <c r="Z95" s="202">
        <f t="shared" si="47"/>
        <v>1.49E-2</v>
      </c>
      <c r="AA95" s="202">
        <f t="shared" si="48"/>
        <v>23.281600000000001</v>
      </c>
      <c r="AB95" s="57" t="e">
        <f>VLOOKUP(A95,Enforcements!$C$7:$K$13,8,0)</f>
        <v>#N/A</v>
      </c>
      <c r="AC95" s="53" t="e">
        <f>VLOOKUP(A95,Enforcements!$C$7:$E$13,3,0)</f>
        <v>#N/A</v>
      </c>
      <c r="AD95" s="54" t="str">
        <f t="shared" si="49"/>
        <v>0176-23</v>
      </c>
      <c r="AE95" s="80" t="str">
        <f t="shared" si="50"/>
        <v>aws s3 cp s3://rtdc.mdm.uploadarchive.raw/RTDC4015/ "%USERPROFILE%\AppData\Local\Temp\OnboardLogs"\RTDC4015\2017-04-23 --exclude "*" --recursive --include "*20170423*" &amp; "%USERPROFILE%\Documents\GitHub\mrs-test-scripts\Headless Mode &amp; Sideloading\WalkAndUnGZ.bat" "%USERPROFILE%\AppData\Local\Temp\OnboardLogs"\RTDC4015\2017-04-23 &amp; aws s3 cp s3://rtdc.mdm.uploadarchive.raw/RTDC4015/ "%USERPROFILE%\AppData\Local\Temp\OnboardLogs"\RTDC4015\2017-04-24 --exclude "*" --recursive --include "*20170424*" &amp; "%USERPROFILE%\Documents\GitHub\mrs-test-scripts\Headless Mode &amp; Sideloading\WalkAndUnGZ.bat" "%USERPROFILE%\AppData\Local\Temp\OnboardLogs"\RTDC4015\2017-04-24</v>
      </c>
      <c r="AF95" s="77" t="str">
        <f t="shared" si="51"/>
        <v>"C:\Program Files (x86)\AstroGrep\AstroGrep.exe" /e /r /s /spath="%USERPROFILE%\AppData\Local\Temp\OnboardLogs" /stypes="app*4015*20170423*" /stext=" 20:.+((SYSTEM_STATE.+slice.+state.+changed )|(ment ac)|(multiple cpu faults)|(system.+state.+changed )|(\[timeout)|(PRM\|1\|D)|(kpr)|(kdp)|(\|lc)|(penalty))"</v>
      </c>
      <c r="AG95" s="1" t="str">
        <f t="shared" si="52"/>
        <v>EC</v>
      </c>
      <c r="AH95" s="81" t="str">
        <f t="shared" si="53"/>
        <v>"%USERPROFILE%\Documents\GitHub\eaglep3\Utilities\RefineRTDCRunTimes.py" --tripid 176-23 --locoid 4015 --swversion DE.1.0.9.0 --startMP 204:232965 --initTime 2017-04-23T13:53:24 --startdatetime 2017-04-23T13:56:36 --delay 2 --endMP 204:149 --enddatetime 2017-04-23T14:37:13 --enforcementcount 0 &gt;&gt;C:\Users\stu\Documents\GitHub\eaglep3-reporting\EC\2017-04-23-refined-times.txt</v>
      </c>
      <c r="AI95" s="99" t="str">
        <f t="shared" si="54"/>
        <v>echo {"issue":{"subject":"","project_id":79,"tracker_id":40,"status_id":1,"priority_id":2,"assigned_to_id":23,"start_date":"2017-04-23","description":"","custom_fields":[{"id":1,"name":"Subdivision","value":"EC"},{"id":4,"name":"Milepost","value":"0.0149"},{"id":17,"name":"Train ID","value":"176-23"},{"id":16,"name":"Locomotive ID","value":"4015"},{"id":130,"name":"Impact","value":""},{"id":150,"name":"Time of Event (Mountain Time)","value":"14:37:13"},{"id":151,"name":"Denver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5" t="str">
        <f t="shared" si="55"/>
        <v>start /low /b %USERPROFILE%\Documents\GitHub\eaglep3\Utilities\DownloadLogsFromS3.py --loco 4015 --day 2017-04-23</v>
      </c>
      <c r="AN95" s="154" t="str">
        <f t="shared" si="56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20:37:13"},{"id":29,"name":"Sharepoint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736</v>
      </c>
      <c r="B96" s="7">
        <v>4022</v>
      </c>
      <c r="C96" s="21" t="s">
        <v>213</v>
      </c>
      <c r="D96" s="21" t="s">
        <v>910</v>
      </c>
      <c r="E96" s="13">
        <v>42848.548472222225</v>
      </c>
      <c r="F96" s="13">
        <v>42848.552245370367</v>
      </c>
      <c r="G96" s="7">
        <v>1</v>
      </c>
      <c r="H96" s="21" t="s">
        <v>900</v>
      </c>
      <c r="I96" s="13">
        <v>42848.57712962963</v>
      </c>
      <c r="J96" s="7">
        <v>0</v>
      </c>
      <c r="K96" s="92" t="str">
        <f t="shared" si="40"/>
        <v>4021/4022</v>
      </c>
      <c r="L96" s="21" t="str">
        <f>VLOOKUP(A96,'Trips&amp;Operators'!$C$1:$G$99999,5,FALSE)</f>
        <v>LEVIN SCOTT</v>
      </c>
      <c r="M96" s="6">
        <f t="shared" si="41"/>
        <v>2.4884259262762498E-2</v>
      </c>
      <c r="N96" s="7">
        <f t="shared" si="57"/>
        <v>35.833333338377997</v>
      </c>
      <c r="O96" s="7"/>
      <c r="P96" s="7"/>
      <c r="Q96" s="22"/>
      <c r="R96" s="200"/>
      <c r="S96" s="206">
        <f t="shared" si="58"/>
        <v>1</v>
      </c>
      <c r="T96" s="200" t="str">
        <f t="shared" si="42"/>
        <v>NorthBound</v>
      </c>
      <c r="U96" s="200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01" t="str">
        <f t="shared" si="43"/>
        <v>https://d0f6bd738d7f1b3e5a7ca70fe4ff75f0.us-east-1.aws.found.io/app/kibana#/discover/Steve-Slow-Train-Analysis-(2080s-and-2083s)?_g=(refreshInterval:(display:Off,pause:!f,section:0,value:0),time:(from:'2017-04-23T12:09:48-0600',mode:absolute,to:'2017-04-23T14:51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96" s="202" t="str">
        <f t="shared" si="44"/>
        <v>N</v>
      </c>
      <c r="X96" s="202">
        <f t="shared" si="45"/>
        <v>1</v>
      </c>
      <c r="Y96" s="202">
        <f t="shared" si="46"/>
        <v>4.1599999999999998E-2</v>
      </c>
      <c r="Z96" s="202">
        <f t="shared" si="47"/>
        <v>23.339700000000001</v>
      </c>
      <c r="AA96" s="202">
        <f t="shared" si="48"/>
        <v>23.298100000000002</v>
      </c>
      <c r="AB96" s="57" t="e">
        <f>VLOOKUP(A96,Enforcements!$C$7:$K$13,8,0)</f>
        <v>#N/A</v>
      </c>
      <c r="AC96" s="53" t="e">
        <f>VLOOKUP(A96,Enforcements!$C$7:$E$13,3,0)</f>
        <v>#N/A</v>
      </c>
      <c r="AD96" s="54" t="str">
        <f t="shared" si="49"/>
        <v>0177-23</v>
      </c>
      <c r="AE96" s="80" t="str">
        <f t="shared" si="50"/>
        <v>aws s3 cp s3://rtdc.mdm.uploadarchive.raw/RTDC4022/ "%USERPROFILE%\AppData\Local\Temp\OnboardLogs"\RTDC4022\2017-04-23 --exclude "*" --recursive --include "*20170423*" &amp; "%USERPROFILE%\Documents\GitHub\mrs-test-scripts\Headless Mode &amp; Sideloading\WalkAndUnGZ.bat" "%USERPROFILE%\AppData\Local\Temp\OnboardLogs"\RTDC4022\2017-04-23 &amp; aws s3 cp s3://rtdc.mdm.uploadarchive.raw/RTDC4022/ "%USERPROFILE%\AppData\Local\Temp\OnboardLogs"\RTDC4022\2017-04-24 --exclude "*" --recursive --include "*20170424*" &amp; "%USERPROFILE%\Documents\GitHub\mrs-test-scripts\Headless Mode &amp; Sideloading\WalkAndUnGZ.bat" "%USERPROFILE%\AppData\Local\Temp\OnboardLogs"\RTDC4022\2017-04-24</v>
      </c>
      <c r="AF96" s="77" t="str">
        <f t="shared" si="51"/>
        <v>"C:\Program Files (x86)\AstroGrep\AstroGrep.exe" /e /r /s /spath="%USERPROFILE%\AppData\Local\Temp\OnboardLogs" /stypes="app*4022*20170423*" /stext=" 19:.+((SYSTEM_STATE.+slice.+state.+changed )|(ment ac)|(multiple cpu faults)|(system.+state.+changed )|(\[timeout)|(PRM\|1\|D)|(kpr)|(kdp)|(\|lc)|(penalty))"</v>
      </c>
      <c r="AG96" s="1" t="str">
        <f t="shared" si="52"/>
        <v>EC</v>
      </c>
      <c r="AH96" s="81" t="str">
        <f t="shared" si="53"/>
        <v>"%USERPROFILE%\Documents\GitHub\eaglep3\Utilities\RefineRTDCRunTimes.py" --tripid 177-23 --locoid 4022 --swversion DE.1.0.9.0 --startMP 204:416 --initTime 2017-04-23T13:09:48 --startdatetime 2017-04-23T13:15:14 --delay 1 --endMP 204:233397 --enddatetime 2017-04-23T13:51:04 --enforcementcount 0 &gt;&gt;C:\Users\stu\Documents\GitHub\eaglep3-reporting\EC\2017-04-23-refined-times.txt</v>
      </c>
      <c r="AI96" s="99" t="str">
        <f t="shared" si="54"/>
        <v>echo {"issue":{"subject":"","project_id":79,"tracker_id":40,"status_id":1,"priority_id":2,"assigned_to_id":23,"start_date":"2017-04-23","description":"","custom_fields":[{"id":1,"name":"Subdivision","value":"EC"},{"id":4,"name":"Milepost","value":"23.3397"},{"id":17,"name":"Train ID","value":"177-23"},{"id":16,"name":"Locomotive ID","value":"4022"},{"id":130,"name":"Impact","value":""},{"id":150,"name":"Time of Event (Mountain Time)","value":"13:51:04"},{"id":151,"name":"Denver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5" t="str">
        <f t="shared" si="55"/>
        <v>start /low /b %USERPROFILE%\Documents\GitHub\eaglep3\Utilities\DownloadLogsFromS3.py --loco 4022 --day 2017-04-23</v>
      </c>
      <c r="AN96" s="154" t="str">
        <f t="shared" si="56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19:51:04"},{"id":29,"name":"Sharepoint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746</v>
      </c>
      <c r="B97" s="7">
        <v>4021</v>
      </c>
      <c r="C97" s="21" t="s">
        <v>213</v>
      </c>
      <c r="D97" s="21" t="s">
        <v>911</v>
      </c>
      <c r="E97" s="13">
        <v>42848.588321759256</v>
      </c>
      <c r="F97" s="13">
        <v>42848.591284722221</v>
      </c>
      <c r="G97" s="7">
        <v>1</v>
      </c>
      <c r="H97" s="21" t="s">
        <v>902</v>
      </c>
      <c r="I97" s="13">
        <v>42848.617673611108</v>
      </c>
      <c r="J97" s="7">
        <v>0</v>
      </c>
      <c r="K97" s="92" t="str">
        <f t="shared" si="40"/>
        <v>4021/4022</v>
      </c>
      <c r="L97" s="21" t="str">
        <f>VLOOKUP(A97,'Trips&amp;Operators'!$C$1:$G$99999,5,FALSE)</f>
        <v>LEVIN SCOTT</v>
      </c>
      <c r="M97" s="6">
        <f t="shared" si="41"/>
        <v>2.6388888887595385E-2</v>
      </c>
      <c r="N97" s="7">
        <f t="shared" si="57"/>
        <v>37.999999998137355</v>
      </c>
      <c r="O97" s="7"/>
      <c r="P97" s="7"/>
      <c r="Q97" s="22"/>
      <c r="R97" s="200"/>
      <c r="S97" s="206">
        <f t="shared" si="58"/>
        <v>1</v>
      </c>
      <c r="T97" s="200" t="str">
        <f t="shared" si="42"/>
        <v>Southbound</v>
      </c>
      <c r="U97" s="200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01" t="str">
        <f t="shared" si="43"/>
        <v>https://d0f6bd738d7f1b3e5a7ca70fe4ff75f0.us-east-1.aws.found.io/app/kibana#/discover/Steve-Slow-Train-Analysis-(2080s-and-2083s)?_g=(refreshInterval:(display:Off,pause:!f,section:0,value:0),time:(from:'2017-04-23T13:07:11-0600',mode:absolute,to:'2017-04-23T15:49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97" s="202" t="str">
        <f t="shared" si="44"/>
        <v>N</v>
      </c>
      <c r="X97" s="202">
        <f t="shared" si="45"/>
        <v>1</v>
      </c>
      <c r="Y97" s="202">
        <f t="shared" si="46"/>
        <v>23.309100000000001</v>
      </c>
      <c r="Z97" s="202">
        <f t="shared" si="47"/>
        <v>1.12E-2</v>
      </c>
      <c r="AA97" s="202">
        <f t="shared" si="48"/>
        <v>23.297900000000002</v>
      </c>
      <c r="AB97" s="57" t="e">
        <f>VLOOKUP(A97,Enforcements!$C$7:$K$13,8,0)</f>
        <v>#N/A</v>
      </c>
      <c r="AC97" s="53" t="e">
        <f>VLOOKUP(A97,Enforcements!$C$7:$E$13,3,0)</f>
        <v>#N/A</v>
      </c>
      <c r="AD97" s="54" t="str">
        <f t="shared" si="49"/>
        <v>0178-23</v>
      </c>
      <c r="AE97" s="80" t="str">
        <f t="shared" si="50"/>
        <v>aws s3 cp s3://rtdc.mdm.uploadarchive.raw/RTDC4021/ "%USERPROFILE%\AppData\Local\Temp\OnboardLogs"\RTDC4021\2017-04-23 --exclude "*" --recursive --include "*20170423*" &amp; "%USERPROFILE%\Documents\GitHub\mrs-test-scripts\Headless Mode &amp; Sideloading\WalkAndUnGZ.bat" "%USERPROFILE%\AppData\Local\Temp\OnboardLogs"\RTDC4021\2017-04-23 &amp; aws s3 cp s3://rtdc.mdm.uploadarchive.raw/RTDC4021/ "%USERPROFILE%\AppData\Local\Temp\OnboardLogs"\RTDC4021\2017-04-24 --exclude "*" --recursive --include "*20170424*" &amp; "%USERPROFILE%\Documents\GitHub\mrs-test-scripts\Headless Mode &amp; Sideloading\WalkAndUnGZ.bat" "%USERPROFILE%\AppData\Local\Temp\OnboardLogs"\RTDC4021\2017-04-24</v>
      </c>
      <c r="AF97" s="77" t="str">
        <f t="shared" si="51"/>
        <v>"C:\Program Files (x86)\AstroGrep\AstroGrep.exe" /e /r /s /spath="%USERPROFILE%\AppData\Local\Temp\OnboardLogs" /stypes="app*4021*20170423*" /stext=" 20:.+((SYSTEM_STATE.+slice.+state.+changed )|(ment ac)|(multiple cpu faults)|(system.+state.+changed )|(\[timeout)|(PRM\|1\|D)|(kpr)|(kdp)|(\|lc)|(penalty))"</v>
      </c>
      <c r="AG97" s="1" t="str">
        <f t="shared" si="52"/>
        <v>EC</v>
      </c>
      <c r="AH97" s="81" t="str">
        <f t="shared" si="53"/>
        <v>"%USERPROFILE%\Documents\GitHub\eaglep3\Utilities\RefineRTDCRunTimes.py" --tripid 178-23 --locoid 4021 --swversion DE.1.0.9.0 --startMP 204:233091 --initTime 2017-04-23T14:07:11 --startdatetime 2017-04-23T14:11:27 --delay 1 --endMP 204:112 --enddatetime 2017-04-23T14:49:27 --enforcementcount 0 &gt;&gt;C:\Users\stu\Documents\GitHub\eaglep3-reporting\EC\2017-04-23-refined-times.txt</v>
      </c>
      <c r="AI97" s="99" t="str">
        <f t="shared" si="54"/>
        <v>echo {"issue":{"subject":"","project_id":79,"tracker_id":40,"status_id":1,"priority_id":2,"assigned_to_id":23,"start_date":"2017-04-23","description":"","custom_fields":[{"id":1,"name":"Subdivision","value":"EC"},{"id":4,"name":"Milepost","value":"0.0112"},{"id":17,"name":"Train ID","value":"178-23"},{"id":16,"name":"Locomotive ID","value":"4021"},{"id":130,"name":"Impact","value":""},{"id":150,"name":"Time of Event (Mountain Time)","value":"14:49:27"},{"id":151,"name":"Denver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5" t="str">
        <f t="shared" si="55"/>
        <v>start /low /b %USERPROFILE%\Documents\GitHub\eaglep3\Utilities\DownloadLogsFromS3.py --loco 4021 --day 2017-04-23</v>
      </c>
      <c r="AN97" s="154" t="str">
        <f t="shared" si="56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20:49:27"},{"id":29,"name":"Sharepoint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738</v>
      </c>
      <c r="B98" s="7">
        <v>4042</v>
      </c>
      <c r="C98" s="21" t="s">
        <v>213</v>
      </c>
      <c r="D98" s="21" t="s">
        <v>435</v>
      </c>
      <c r="E98" s="13">
        <v>42848.559155092589</v>
      </c>
      <c r="F98" s="13">
        <v>42848.562673611108</v>
      </c>
      <c r="G98" s="7">
        <v>1</v>
      </c>
      <c r="H98" s="21" t="s">
        <v>912</v>
      </c>
      <c r="I98" s="13">
        <v>42848.587118055555</v>
      </c>
      <c r="J98" s="7">
        <v>0</v>
      </c>
      <c r="K98" s="92" t="str">
        <f t="shared" si="40"/>
        <v>4041/4042</v>
      </c>
      <c r="L98" s="21" t="str">
        <f>VLOOKUP(A98,'Trips&amp;Operators'!$C$1:$G$99999,5,FALSE)</f>
        <v>LALONDE GREGORY</v>
      </c>
      <c r="M98" s="6">
        <f t="shared" si="41"/>
        <v>2.4444444446999114E-2</v>
      </c>
      <c r="N98" s="7">
        <f t="shared" si="57"/>
        <v>35.200000003678724</v>
      </c>
      <c r="O98" s="7"/>
      <c r="P98" s="7"/>
      <c r="Q98" s="22"/>
      <c r="R98" s="200"/>
      <c r="S98" s="206">
        <f t="shared" si="58"/>
        <v>1</v>
      </c>
      <c r="T98" s="200" t="str">
        <f t="shared" si="42"/>
        <v>NorthBound</v>
      </c>
      <c r="U98" s="200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01" t="str">
        <f t="shared" si="43"/>
        <v>https://d0f6bd738d7f1b3e5a7ca70fe4ff75f0.us-east-1.aws.found.io/app/kibana#/discover/Steve-Slow-Train-Analysis-(2080s-and-2083s)?_g=(refreshInterval:(display:Off,pause:!f,section:0,value:0),time:(from:'2017-04-23T12:25:11-0600',mode:absolute,to:'2017-04-23T15:05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8" s="202" t="str">
        <f t="shared" si="44"/>
        <v>N</v>
      </c>
      <c r="X98" s="202">
        <f t="shared" si="45"/>
        <v>1</v>
      </c>
      <c r="Y98" s="202">
        <f t="shared" si="46"/>
        <v>4.6600000000000003E-2</v>
      </c>
      <c r="Z98" s="202">
        <f t="shared" si="47"/>
        <v>23.334099999999999</v>
      </c>
      <c r="AA98" s="202">
        <f t="shared" si="48"/>
        <v>23.287499999999998</v>
      </c>
      <c r="AB98" s="57" t="e">
        <f>VLOOKUP(A98,Enforcements!$C$7:$K$13,8,0)</f>
        <v>#N/A</v>
      </c>
      <c r="AC98" s="53" t="e">
        <f>VLOOKUP(A98,Enforcements!$C$7:$E$13,3,0)</f>
        <v>#N/A</v>
      </c>
      <c r="AD98" s="54" t="str">
        <f t="shared" si="49"/>
        <v>0179-23</v>
      </c>
      <c r="AE98" s="80" t="str">
        <f t="shared" si="50"/>
        <v>aws s3 cp s3://rtdc.mdm.uploadarchive.raw/RTDC4042/ "%USERPROFILE%\AppData\Local\Temp\OnboardLogs"\RTDC4042\2017-04-23 --exclude "*" --recursive --include "*20170423*" &amp; "%USERPROFILE%\Documents\GitHub\mrs-test-scripts\Headless Mode &amp; Sideloading\WalkAndUnGZ.bat" "%USERPROFILE%\AppData\Local\Temp\OnboardLogs"\RTDC4042\2017-04-23 &amp; aws s3 cp s3://rtdc.mdm.uploadarchive.raw/RTDC4042/ "%USERPROFILE%\AppData\Local\Temp\OnboardLogs"\RTDC4042\2017-04-24 --exclude "*" --recursive --include "*20170424*" &amp; "%USERPROFILE%\Documents\GitHub\mrs-test-scripts\Headless Mode &amp; Sideloading\WalkAndUnGZ.bat" "%USERPROFILE%\AppData\Local\Temp\OnboardLogs"\RTDC4042\2017-04-24</v>
      </c>
      <c r="AF98" s="77" t="str">
        <f t="shared" si="51"/>
        <v>"C:\Program Files (x86)\AstroGrep\AstroGrep.exe" /e /r /s /spath="%USERPROFILE%\AppData\Local\Temp\OnboardLogs" /stypes="app*4042*20170423*" /stext=" 20:.+((SYSTEM_STATE.+slice.+state.+changed )|(ment ac)|(multiple cpu faults)|(system.+state.+changed )|(\[timeout)|(PRM\|1\|D)|(kpr)|(kdp)|(\|lc)|(penalty))"</v>
      </c>
      <c r="AG98" s="1" t="str">
        <f t="shared" si="52"/>
        <v>EC</v>
      </c>
      <c r="AH98" s="81" t="str">
        <f t="shared" si="53"/>
        <v>"%USERPROFILE%\Documents\GitHub\eaglep3\Utilities\RefineRTDCRunTimes.py" --tripid 179-23 --locoid 4042 --swversion DE.1.0.9.0 --startMP 204:466 --initTime 2017-04-23T13:25:11 --startdatetime 2017-04-23T13:30:15 --delay 1 --endMP 204:233341 --enddatetime 2017-04-23T14:05:27 --enforcementcount 0 &gt;&gt;C:\Users\stu\Documents\GitHub\eaglep3-reporting\EC\2017-04-23-refined-times.txt</v>
      </c>
      <c r="AI98" s="99" t="str">
        <f t="shared" si="54"/>
        <v>echo {"issue":{"subject":"","project_id":79,"tracker_id":40,"status_id":1,"priority_id":2,"assigned_to_id":23,"start_date":"2017-04-23","description":"","custom_fields":[{"id":1,"name":"Subdivision","value":"EC"},{"id":4,"name":"Milepost","value":"23.3341"},{"id":17,"name":"Train ID","value":"179-23"},{"id":16,"name":"Locomotive ID","value":"4042"},{"id":130,"name":"Impact","value":""},{"id":150,"name":"Time of Event (Mountain Time)","value":"14:05:27"},{"id":151,"name":"Denver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5" t="str">
        <f t="shared" si="55"/>
        <v>start /low /b %USERPROFILE%\Documents\GitHub\eaglep3\Utilities\DownloadLogsFromS3.py --loco 4042 --day 2017-04-23</v>
      </c>
      <c r="AN98" s="154" t="str">
        <f t="shared" si="56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20:05:27"},{"id":29,"name":"Sharepoint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747</v>
      </c>
      <c r="B99" s="7">
        <v>4041</v>
      </c>
      <c r="C99" s="21" t="s">
        <v>213</v>
      </c>
      <c r="D99" s="21" t="s">
        <v>913</v>
      </c>
      <c r="E99" s="13">
        <v>42848.588622685187</v>
      </c>
      <c r="F99" s="13">
        <v>42848.601550925923</v>
      </c>
      <c r="G99" s="7">
        <v>1</v>
      </c>
      <c r="H99" s="21" t="s">
        <v>423</v>
      </c>
      <c r="I99" s="13">
        <v>42848.627627314818</v>
      </c>
      <c r="J99" s="7">
        <v>0</v>
      </c>
      <c r="K99" s="92" t="str">
        <f t="shared" si="40"/>
        <v>4041/4042</v>
      </c>
      <c r="L99" s="21" t="str">
        <f>VLOOKUP(A99,'Trips&amp;Operators'!$C$1:$G$99999,5,FALSE)</f>
        <v>LALONDE GREGORY</v>
      </c>
      <c r="M99" s="6">
        <f t="shared" si="41"/>
        <v>2.6076388894580305E-2</v>
      </c>
      <c r="N99" s="7">
        <f t="shared" si="57"/>
        <v>37.550000008195639</v>
      </c>
      <c r="O99" s="7"/>
      <c r="P99" s="7"/>
      <c r="Q99" s="22"/>
      <c r="R99" s="200"/>
      <c r="S99" s="206">
        <f t="shared" si="58"/>
        <v>1</v>
      </c>
      <c r="T99" s="200" t="str">
        <f t="shared" si="42"/>
        <v>Southbound</v>
      </c>
      <c r="U99" s="200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01" t="str">
        <f t="shared" si="43"/>
        <v>https://d0f6bd738d7f1b3e5a7ca70fe4ff75f0.us-east-1.aws.found.io/app/kibana#/discover/Steve-Slow-Train-Analysis-(2080s-and-2083s)?_g=(refreshInterval:(display:Off,pause:!f,section:0,value:0),time:(from:'2017-04-23T13:07:37-0600',mode:absolute,to:'2017-04-23T16:03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9" s="202" t="str">
        <f t="shared" si="44"/>
        <v>N</v>
      </c>
      <c r="X99" s="202">
        <f t="shared" si="45"/>
        <v>1</v>
      </c>
      <c r="Y99" s="202">
        <f t="shared" si="46"/>
        <v>23.3032</v>
      </c>
      <c r="Z99" s="202">
        <f t="shared" si="47"/>
        <v>1.49E-2</v>
      </c>
      <c r="AA99" s="202">
        <f t="shared" si="48"/>
        <v>23.2883</v>
      </c>
      <c r="AB99" s="57" t="e">
        <f>VLOOKUP(A99,Enforcements!$C$7:$K$13,8,0)</f>
        <v>#N/A</v>
      </c>
      <c r="AC99" s="53" t="e">
        <f>VLOOKUP(A99,Enforcements!$C$7:$E$13,3,0)</f>
        <v>#N/A</v>
      </c>
      <c r="AD99" s="54" t="str">
        <f t="shared" si="49"/>
        <v>0180-23</v>
      </c>
      <c r="AE99" s="80" t="str">
        <f t="shared" si="50"/>
        <v>aws s3 cp s3://rtdc.mdm.uploadarchive.raw/RTDC4041/ "%USERPROFILE%\AppData\Local\Temp\OnboardLogs"\RTDC4041\2017-04-23 --exclude "*" --recursive --include "*20170423*" &amp; "%USERPROFILE%\Documents\GitHub\mrs-test-scripts\Headless Mode &amp; Sideloading\WalkAndUnGZ.bat" "%USERPROFILE%\AppData\Local\Temp\OnboardLogs"\RTDC4041\2017-04-23 &amp; aws s3 cp s3://rtdc.mdm.uploadarchive.raw/RTDC4041/ "%USERPROFILE%\AppData\Local\Temp\OnboardLogs"\RTDC4041\2017-04-24 --exclude "*" --recursive --include "*20170424*" &amp; "%USERPROFILE%\Documents\GitHub\mrs-test-scripts\Headless Mode &amp; Sideloading\WalkAndUnGZ.bat" "%USERPROFILE%\AppData\Local\Temp\OnboardLogs"\RTDC4041\2017-04-24</v>
      </c>
      <c r="AF99" s="77" t="str">
        <f t="shared" si="51"/>
        <v>"C:\Program Files (x86)\AstroGrep\AstroGrep.exe" /e /r /s /spath="%USERPROFILE%\AppData\Local\Temp\OnboardLogs" /stypes="app*4041*20170423*" /stext=" 21:.+((SYSTEM_STATE.+slice.+state.+changed )|(ment ac)|(multiple cpu faults)|(system.+state.+changed )|(\[timeout)|(PRM\|1\|D)|(kpr)|(kdp)|(\|lc)|(penalty))"</v>
      </c>
      <c r="AG99" s="1" t="str">
        <f t="shared" si="52"/>
        <v>EC</v>
      </c>
      <c r="AH99" s="81" t="str">
        <f t="shared" si="53"/>
        <v>"%USERPROFILE%\Documents\GitHub\eaglep3\Utilities\RefineRTDCRunTimes.py" --tripid 180-23 --locoid 4041 --swversion DE.1.0.9.0 --startMP 204:233032 --initTime 2017-04-23T14:07:37 --startdatetime 2017-04-23T14:26:14 --delay 1 --endMP 204:149 --enddatetime 2017-04-23T15:03:47 --enforcementcount 0 &gt;&gt;C:\Users\stu\Documents\GitHub\eaglep3-reporting\EC\2017-04-23-refined-times.txt</v>
      </c>
      <c r="AI99" s="99" t="str">
        <f t="shared" si="54"/>
        <v>echo {"issue":{"subject":"","project_id":79,"tracker_id":40,"status_id":1,"priority_id":2,"assigned_to_id":23,"start_date":"2017-04-23","description":"","custom_fields":[{"id":1,"name":"Subdivision","value":"EC"},{"id":4,"name":"Milepost","value":"0.0149"},{"id":17,"name":"Train ID","value":"180-23"},{"id":16,"name":"Locomotive ID","value":"4041"},{"id":130,"name":"Impact","value":""},{"id":150,"name":"Time of Event (Mountain Time)","value":"15:03:47"},{"id":151,"name":"Denver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5" t="str">
        <f t="shared" si="55"/>
        <v>start /low /b %USERPROFILE%\Documents\GitHub\eaglep3\Utilities\DownloadLogsFromS3.py --loco 4041 --day 2017-04-23</v>
      </c>
      <c r="AN99" s="154" t="str">
        <f t="shared" si="56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21:03:47"},{"id":29,"name":"Sharepoint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743</v>
      </c>
      <c r="B100" s="7">
        <v>4004</v>
      </c>
      <c r="C100" s="21" t="s">
        <v>213</v>
      </c>
      <c r="D100" s="21" t="s">
        <v>437</v>
      </c>
      <c r="E100" s="13">
        <v>42848.569733796299</v>
      </c>
      <c r="F100" s="13">
        <v>42848.573067129626</v>
      </c>
      <c r="G100" s="7">
        <v>3</v>
      </c>
      <c r="H100" s="21" t="s">
        <v>920</v>
      </c>
      <c r="I100" s="13">
        <v>42848.597928240742</v>
      </c>
      <c r="J100" s="7">
        <v>0</v>
      </c>
      <c r="K100" s="92" t="str">
        <f t="shared" si="40"/>
        <v>4003/4004</v>
      </c>
      <c r="L100" s="21" t="str">
        <f>VLOOKUP(A100,'Trips&amp;Operators'!$C$1:$G$99999,5,FALSE)</f>
        <v>WHITED DUSTIN</v>
      </c>
      <c r="M100" s="6">
        <f t="shared" si="41"/>
        <v>2.4861111116479151E-2</v>
      </c>
      <c r="N100" s="7">
        <f t="shared" si="57"/>
        <v>35.800000007729977</v>
      </c>
      <c r="O100" s="7"/>
      <c r="P100" s="7"/>
      <c r="Q100" s="22"/>
      <c r="R100" s="200"/>
      <c r="S100" s="206">
        <f t="shared" si="58"/>
        <v>1</v>
      </c>
      <c r="T100" s="200" t="str">
        <f t="shared" si="42"/>
        <v>NorthBound</v>
      </c>
      <c r="U100" s="200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01" t="str">
        <f t="shared" si="43"/>
        <v>https://d0f6bd738d7f1b3e5a7ca70fe4ff75f0.us-east-1.aws.found.io/app/kibana#/discover/Steve-Slow-Train-Analysis-(2080s-and-2083s)?_g=(refreshInterval:(display:Off,pause:!f,section:0,value:0),time:(from:'2017-04-23T12:40:25-0600',mode:absolute,to:'2017-04-23T15:21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0" s="202" t="str">
        <f t="shared" si="44"/>
        <v>N</v>
      </c>
      <c r="X100" s="202">
        <f t="shared" si="45"/>
        <v>1</v>
      </c>
      <c r="Y100" s="202">
        <f t="shared" si="46"/>
        <v>4.4400000000000002E-2</v>
      </c>
      <c r="Z100" s="202">
        <f t="shared" si="47"/>
        <v>23.3308</v>
      </c>
      <c r="AA100" s="202">
        <f t="shared" si="48"/>
        <v>23.2864</v>
      </c>
      <c r="AB100" s="57" t="e">
        <f>VLOOKUP(A100,Enforcements!$C$7:$K$13,8,0)</f>
        <v>#N/A</v>
      </c>
      <c r="AC100" s="53" t="e">
        <f>VLOOKUP(A100,Enforcements!$C$7:$E$13,3,0)</f>
        <v>#N/A</v>
      </c>
      <c r="AD100" s="54" t="str">
        <f t="shared" si="49"/>
        <v>0181-23</v>
      </c>
      <c r="AE100" s="80" t="str">
        <f t="shared" si="50"/>
        <v>aws s3 cp s3://rtdc.mdm.uploadarchive.raw/RTDC4004/ "%USERPROFILE%\AppData\Local\Temp\OnboardLogs"\RTDC4004\2017-04-23 --exclude "*" --recursive --include "*20170423*" &amp; "%USERPROFILE%\Documents\GitHub\mrs-test-scripts\Headless Mode &amp; Sideloading\WalkAndUnGZ.bat" "%USERPROFILE%\AppData\Local\Temp\OnboardLogs"\RTDC4004\2017-04-23 &amp; aws s3 cp s3://rtdc.mdm.uploadarchive.raw/RTDC4004/ "%USERPROFILE%\AppData\Local\Temp\OnboardLogs"\RTDC4004\2017-04-24 --exclude "*" --recursive --include "*20170424*" &amp; "%USERPROFILE%\Documents\GitHub\mrs-test-scripts\Headless Mode &amp; Sideloading\WalkAndUnGZ.bat" "%USERPROFILE%\AppData\Local\Temp\OnboardLogs"\RTDC4004\2017-04-24</v>
      </c>
      <c r="AF100" s="77" t="str">
        <f t="shared" si="51"/>
        <v>"C:\Program Files (x86)\AstroGrep\AstroGrep.exe" /e /r /s /spath="%USERPROFILE%\AppData\Local\Temp\OnboardLogs" /stypes="app*4004*20170423*" /stext=" 20:.+((SYSTEM_STATE.+slice.+state.+changed )|(ment ac)|(multiple cpu faults)|(system.+state.+changed )|(\[timeout)|(PRM\|1\|D)|(kpr)|(kdp)|(\|lc)|(penalty))"</v>
      </c>
      <c r="AG100" s="1" t="str">
        <f t="shared" si="52"/>
        <v>EC</v>
      </c>
      <c r="AH100" s="81" t="str">
        <f t="shared" si="53"/>
        <v>"%USERPROFILE%\Documents\GitHub\eaglep3\Utilities\RefineRTDCRunTimes.py" --tripid 181-23 --locoid 4004 --swversion DE.1.0.9.0 --startMP 204:444 --initTime 2017-04-23T13:40:25 --startdatetime 2017-04-23T13:45:13 --delay 3 --endMP 204:233308 --enddatetime 2017-04-23T14:21:01 --enforcementcount 0 &gt;&gt;C:\Users\stu\Documents\GitHub\eaglep3-reporting\EC\2017-04-23-refined-times.txt</v>
      </c>
      <c r="AI100" s="99" t="str">
        <f t="shared" si="54"/>
        <v>echo {"issue":{"subject":"","project_id":79,"tracker_id":40,"status_id":1,"priority_id":2,"assigned_to_id":23,"start_date":"2017-04-23","description":"","custom_fields":[{"id":1,"name":"Subdivision","value":"EC"},{"id":4,"name":"Milepost","value":"23.3308"},{"id":17,"name":"Train ID","value":"181-23"},{"id":16,"name":"Locomotive ID","value":"4004"},{"id":130,"name":"Impact","value":""},{"id":150,"name":"Time of Event (Mountain Time)","value":"14:21:01"},{"id":151,"name":"Denver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5" t="str">
        <f t="shared" si="55"/>
        <v>start /low /b %USERPROFILE%\Documents\GitHub\eaglep3\Utilities\DownloadLogsFromS3.py --loco 4004 --day 2017-04-23</v>
      </c>
      <c r="AN100" s="154" t="str">
        <f t="shared" si="56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20:21:01"},{"id":29,"name":"Sharepoint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751</v>
      </c>
      <c r="B101" s="7">
        <v>4003</v>
      </c>
      <c r="C101" s="21" t="s">
        <v>213</v>
      </c>
      <c r="D101" s="21" t="s">
        <v>589</v>
      </c>
      <c r="E101" s="13">
        <v>42848.608657407407</v>
      </c>
      <c r="F101" s="13">
        <v>42848.611967592595</v>
      </c>
      <c r="G101" s="7">
        <v>1</v>
      </c>
      <c r="H101" s="21" t="s">
        <v>381</v>
      </c>
      <c r="I101" s="13">
        <v>42848.637766203705</v>
      </c>
      <c r="J101" s="7">
        <v>0</v>
      </c>
      <c r="K101" s="92" t="str">
        <f t="shared" si="40"/>
        <v>4003/4004</v>
      </c>
      <c r="L101" s="21" t="str">
        <f>VLOOKUP(A101,'Trips&amp;Operators'!$C$1:$G$99999,5,FALSE)</f>
        <v>WHITED DUSTIN</v>
      </c>
      <c r="M101" s="6">
        <f t="shared" si="41"/>
        <v>2.5798611110076308E-2</v>
      </c>
      <c r="N101" s="7">
        <f t="shared" si="57"/>
        <v>37.149999998509884</v>
      </c>
      <c r="O101" s="7"/>
      <c r="P101" s="7"/>
      <c r="Q101" s="22"/>
      <c r="R101" s="200"/>
      <c r="S101" s="206">
        <f t="shared" si="58"/>
        <v>1</v>
      </c>
      <c r="T101" s="200" t="str">
        <f t="shared" si="42"/>
        <v>Southbound</v>
      </c>
      <c r="U101" s="200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01" t="str">
        <f t="shared" si="43"/>
        <v>https://d0f6bd738d7f1b3e5a7ca70fe4ff75f0.us-east-1.aws.found.io/app/kibana#/discover/Steve-Slow-Train-Analysis-(2080s-and-2083s)?_g=(refreshInterval:(display:Off,pause:!f,section:0,value:0),time:(from:'2017-04-23T13:36:28-0600',mode:absolute,to:'2017-04-23T16:18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1" s="202" t="str">
        <f t="shared" si="44"/>
        <v>N</v>
      </c>
      <c r="X101" s="202">
        <f t="shared" si="45"/>
        <v>1</v>
      </c>
      <c r="Y101" s="202">
        <f t="shared" si="46"/>
        <v>23.299299999999999</v>
      </c>
      <c r="Z101" s="202">
        <f t="shared" si="47"/>
        <v>1.41E-2</v>
      </c>
      <c r="AA101" s="202">
        <f t="shared" si="48"/>
        <v>23.2852</v>
      </c>
      <c r="AB101" s="57" t="e">
        <f>VLOOKUP(A101,Enforcements!$C$7:$K$13,8,0)</f>
        <v>#N/A</v>
      </c>
      <c r="AC101" s="53" t="e">
        <f>VLOOKUP(A101,Enforcements!$C$7:$E$13,3,0)</f>
        <v>#N/A</v>
      </c>
      <c r="AD101" s="54" t="str">
        <f t="shared" si="49"/>
        <v>0182-23</v>
      </c>
      <c r="AE101" s="80" t="str">
        <f t="shared" si="50"/>
        <v>aws s3 cp s3://rtdc.mdm.uploadarchive.raw/RTDC4003/ "%USERPROFILE%\AppData\Local\Temp\OnboardLogs"\RTDC4003\2017-04-23 --exclude "*" --recursive --include "*20170423*" &amp; "%USERPROFILE%\Documents\GitHub\mrs-test-scripts\Headless Mode &amp; Sideloading\WalkAndUnGZ.bat" "%USERPROFILE%\AppData\Local\Temp\OnboardLogs"\RTDC4003\2017-04-23 &amp; aws s3 cp s3://rtdc.mdm.uploadarchive.raw/RTDC4003/ "%USERPROFILE%\AppData\Local\Temp\OnboardLogs"\RTDC4003\2017-04-24 --exclude "*" --recursive --include "*20170424*" &amp; "%USERPROFILE%\Documents\GitHub\mrs-test-scripts\Headless Mode &amp; Sideloading\WalkAndUnGZ.bat" "%USERPROFILE%\AppData\Local\Temp\OnboardLogs"\RTDC4003\2017-04-24</v>
      </c>
      <c r="AF101" s="77" t="str">
        <f t="shared" si="51"/>
        <v>"C:\Program Files (x86)\AstroGrep\AstroGrep.exe" /e /r /s /spath="%USERPROFILE%\AppData\Local\Temp\OnboardLogs" /stypes="app*4003*20170423*" /stext=" 21:.+((SYSTEM_STATE.+slice.+state.+changed )|(ment ac)|(multiple cpu faults)|(system.+state.+changed )|(\[timeout)|(PRM\|1\|D)|(kpr)|(kdp)|(\|lc)|(penalty))"</v>
      </c>
      <c r="AG101" s="1" t="str">
        <f t="shared" si="52"/>
        <v>EC</v>
      </c>
      <c r="AH101" s="81" t="str">
        <f t="shared" si="53"/>
        <v>"%USERPROFILE%\Documents\GitHub\eaglep3\Utilities\RefineRTDCRunTimes.py" --tripid 182-23 --locoid 4003 --swversion DE.1.0.9.0 --startMP 204:232993 --initTime 2017-04-23T14:36:28 --startdatetime 2017-04-23T14:41:14 --delay 1 --endMP 204:141 --enddatetime 2017-04-23T15:18:23 --enforcementcount 0 &gt;&gt;C:\Users\stu\Documents\GitHub\eaglep3-reporting\EC\2017-04-23-refined-times.txt</v>
      </c>
      <c r="AI101" s="99" t="str">
        <f t="shared" si="54"/>
        <v>echo {"issue":{"subject":"","project_id":79,"tracker_id":40,"status_id":1,"priority_id":2,"assigned_to_id":23,"start_date":"2017-04-23","description":"","custom_fields":[{"id":1,"name":"Subdivision","value":"EC"},{"id":4,"name":"Milepost","value":"0.0141"},{"id":17,"name":"Train ID","value":"182-23"},{"id":16,"name":"Locomotive ID","value":"4003"},{"id":130,"name":"Impact","value":""},{"id":150,"name":"Time of Event (Mountain Time)","value":"15:18:23"},{"id":151,"name":"Denver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5" t="str">
        <f t="shared" si="55"/>
        <v>start /low /b %USERPROFILE%\Documents\GitHub\eaglep3\Utilities\DownloadLogsFromS3.py --loco 4003 --day 2017-04-23</v>
      </c>
      <c r="AN101" s="154" t="str">
        <f t="shared" si="56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21:18:23"},{"id":29,"name":"Sharepoint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744</v>
      </c>
      <c r="B102" s="7">
        <v>4002</v>
      </c>
      <c r="C102" s="21" t="s">
        <v>213</v>
      </c>
      <c r="D102" s="21" t="s">
        <v>944</v>
      </c>
      <c r="E102" s="13">
        <v>42848.576736111114</v>
      </c>
      <c r="F102" s="13">
        <v>42848.583472222221</v>
      </c>
      <c r="G102" s="7">
        <v>1</v>
      </c>
      <c r="H102" s="21" t="s">
        <v>945</v>
      </c>
      <c r="I102" s="13">
        <v>42848.608263888891</v>
      </c>
      <c r="J102" s="7">
        <v>0</v>
      </c>
      <c r="K102" s="92" t="str">
        <f t="shared" si="40"/>
        <v>4001/4002</v>
      </c>
      <c r="L102" s="21" t="str">
        <f>VLOOKUP(A102,'Trips&amp;Operators'!$C$1:$G$99999,5,FALSE)</f>
        <v>ROMERO CHAD</v>
      </c>
      <c r="M102" s="6">
        <f t="shared" si="41"/>
        <v>2.4791666670353152E-2</v>
      </c>
      <c r="N102" s="7">
        <f t="shared" si="57"/>
        <v>35.700000005308539</v>
      </c>
      <c r="O102" s="7"/>
      <c r="P102" s="7"/>
      <c r="Q102" s="22"/>
      <c r="R102" s="200"/>
      <c r="S102" s="206">
        <f t="shared" si="58"/>
        <v>1</v>
      </c>
      <c r="T102" s="200" t="str">
        <f t="shared" si="42"/>
        <v>NorthBound</v>
      </c>
      <c r="U102" s="200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01" t="str">
        <f t="shared" si="43"/>
        <v>https://d0f6bd738d7f1b3e5a7ca70fe4ff75f0.us-east-1.aws.found.io/app/kibana#/discover/Steve-Slow-Train-Analysis-(2080s-and-2083s)?_g=(refreshInterval:(display:Off,pause:!f,section:0,value:0),time:(from:'2017-04-23T12:50:30-0600',mode:absolute,to:'2017-04-23T15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2" s="202" t="str">
        <f t="shared" si="44"/>
        <v>N</v>
      </c>
      <c r="X102" s="202">
        <f t="shared" si="45"/>
        <v>1</v>
      </c>
      <c r="Y102" s="202">
        <f t="shared" si="46"/>
        <v>4.3299999999999998E-2</v>
      </c>
      <c r="Z102" s="202">
        <f t="shared" si="47"/>
        <v>23.337800000000001</v>
      </c>
      <c r="AA102" s="202">
        <f t="shared" si="48"/>
        <v>23.294500000000003</v>
      </c>
      <c r="AB102" s="57" t="e">
        <f>VLOOKUP(A102,Enforcements!$C$7:$K$13,8,0)</f>
        <v>#N/A</v>
      </c>
      <c r="AC102" s="53" t="e">
        <f>VLOOKUP(A102,Enforcements!$C$7:$E$13,3,0)</f>
        <v>#N/A</v>
      </c>
      <c r="AD102" s="54" t="str">
        <f t="shared" si="49"/>
        <v>0183-23</v>
      </c>
      <c r="AE102" s="80" t="str">
        <f t="shared" si="50"/>
        <v>aws s3 cp s3://rtdc.mdm.uploadarchive.raw/RTDC4002/ "%USERPROFILE%\AppData\Local\Temp\OnboardLogs"\RTDC4002\2017-04-23 --exclude "*" --recursive --include "*20170423*" &amp; "%USERPROFILE%\Documents\GitHub\mrs-test-scripts\Headless Mode &amp; Sideloading\WalkAndUnGZ.bat" "%USERPROFILE%\AppData\Local\Temp\OnboardLogs"\RTDC4002\2017-04-23 &amp; aws s3 cp s3://rtdc.mdm.uploadarchive.raw/RTDC4002/ "%USERPROFILE%\AppData\Local\Temp\OnboardLogs"\RTDC4002\2017-04-24 --exclude "*" --recursive --include "*20170424*" &amp; "%USERPROFILE%\Documents\GitHub\mrs-test-scripts\Headless Mode &amp; Sideloading\WalkAndUnGZ.bat" "%USERPROFILE%\AppData\Local\Temp\OnboardLogs"\RTDC4002\2017-04-24</v>
      </c>
      <c r="AF102" s="77" t="str">
        <f t="shared" si="51"/>
        <v>"C:\Program Files (x86)\AstroGrep\AstroGrep.exe" /e /r /s /spath="%USERPROFILE%\AppData\Local\Temp\OnboardLogs" /stypes="app*4002*20170423*" /stext=" 20:.+((SYSTEM_STATE.+slice.+state.+changed )|(ment ac)|(multiple cpu faults)|(system.+state.+changed )|(\[timeout)|(PRM\|1\|D)|(kpr)|(kdp)|(\|lc)|(penalty))"</v>
      </c>
      <c r="AG102" s="1" t="str">
        <f t="shared" si="52"/>
        <v>EC</v>
      </c>
      <c r="AH102" s="81" t="str">
        <f t="shared" si="53"/>
        <v>"%USERPROFILE%\Documents\GitHub\eaglep3\Utilities\RefineRTDCRunTimes.py" --tripid 183-23 --locoid 4002 --swversion DE.1.0.9.0 --startMP 204:433 --initTime 2017-04-23T13:50:30 --startdatetime 2017-04-23T14:00:12 --delay 1 --endMP 204:233378 --enddatetime 2017-04-23T14:35:54 --enforcementcount 0 &gt;&gt;C:\Users\stu\Documents\GitHub\eaglep3-reporting\EC\2017-04-23-refined-times.txt</v>
      </c>
      <c r="AI102" s="99" t="str">
        <f t="shared" si="54"/>
        <v>echo {"issue":{"subject":"","project_id":79,"tracker_id":40,"status_id":1,"priority_id":2,"assigned_to_id":23,"start_date":"2017-04-23","description":"","custom_fields":[{"id":1,"name":"Subdivision","value":"EC"},{"id":4,"name":"Milepost","value":"23.3378"},{"id":17,"name":"Train ID","value":"183-23"},{"id":16,"name":"Locomotive ID","value":"4002"},{"id":130,"name":"Impact","value":""},{"id":150,"name":"Time of Event (Mountain Time)","value":"14:35:54"},{"id":151,"name":"Denver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5" t="str">
        <f t="shared" si="55"/>
        <v>start /low /b %USERPROFILE%\Documents\GitHub\eaglep3\Utilities\DownloadLogsFromS3.py --loco 4002 --day 2017-04-23</v>
      </c>
      <c r="AN102" s="154" t="str">
        <f t="shared" si="56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20:35:54"},{"id":29,"name":"Sharepoint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752</v>
      </c>
      <c r="B103" s="7">
        <v>4001</v>
      </c>
      <c r="C103" s="21" t="s">
        <v>213</v>
      </c>
      <c r="D103" s="21" t="s">
        <v>947</v>
      </c>
      <c r="E103" s="13">
        <v>42848.609560185185</v>
      </c>
      <c r="F103" s="13">
        <v>42848.622384259259</v>
      </c>
      <c r="G103" s="7">
        <v>1</v>
      </c>
      <c r="H103" s="21" t="s">
        <v>583</v>
      </c>
      <c r="I103" s="13">
        <v>42848.6484375</v>
      </c>
      <c r="J103" s="7">
        <v>0</v>
      </c>
      <c r="K103" s="92" t="str">
        <f t="shared" si="40"/>
        <v>4001/4002</v>
      </c>
      <c r="L103" s="21" t="str">
        <f>VLOOKUP(A103,'Trips&amp;Operators'!$C$1:$G$99999,5,FALSE)</f>
        <v>ROMERO CHAD</v>
      </c>
      <c r="M103" s="6">
        <f t="shared" si="41"/>
        <v>2.6053240741021E-2</v>
      </c>
      <c r="N103" s="7">
        <f t="shared" si="57"/>
        <v>37.51666666707024</v>
      </c>
      <c r="O103" s="7"/>
      <c r="P103" s="7"/>
      <c r="Q103" s="22"/>
      <c r="R103" s="200"/>
      <c r="S103" s="206">
        <f t="shared" si="58"/>
        <v>1</v>
      </c>
      <c r="T103" s="200" t="str">
        <f t="shared" si="42"/>
        <v>Southbound</v>
      </c>
      <c r="U103" s="200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01" t="str">
        <f t="shared" si="43"/>
        <v>https://d0f6bd738d7f1b3e5a7ca70fe4ff75f0.us-east-1.aws.found.io/app/kibana#/discover/Steve-Slow-Train-Analysis-(2080s-and-2083s)?_g=(refreshInterval:(display:Off,pause:!f,section:0,value:0),time:(from:'2017-04-23T13:37:46-0600',mode:absolute,to:'2017-04-23T16:33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3" s="202" t="str">
        <f t="shared" si="44"/>
        <v>N</v>
      </c>
      <c r="X103" s="202">
        <f t="shared" si="45"/>
        <v>1</v>
      </c>
      <c r="Y103" s="202">
        <f t="shared" si="46"/>
        <v>23.307099999999998</v>
      </c>
      <c r="Z103" s="202">
        <f t="shared" si="47"/>
        <v>1.1900000000000001E-2</v>
      </c>
      <c r="AA103" s="202">
        <f t="shared" si="48"/>
        <v>23.295199999999998</v>
      </c>
      <c r="AB103" s="57" t="e">
        <f>VLOOKUP(A103,Enforcements!$C$7:$K$13,8,0)</f>
        <v>#N/A</v>
      </c>
      <c r="AC103" s="53" t="e">
        <f>VLOOKUP(A103,Enforcements!$C$7:$E$13,3,0)</f>
        <v>#N/A</v>
      </c>
      <c r="AD103" s="54" t="str">
        <f t="shared" si="49"/>
        <v>0184-23</v>
      </c>
      <c r="AE103" s="80" t="str">
        <f t="shared" si="50"/>
        <v>aws s3 cp s3://rtdc.mdm.uploadarchive.raw/RTDC4001/ "%USERPROFILE%\AppData\Local\Temp\OnboardLogs"\RTDC4001\2017-04-23 --exclude "*" --recursive --include "*20170423*" &amp; "%USERPROFILE%\Documents\GitHub\mrs-test-scripts\Headless Mode &amp; Sideloading\WalkAndUnGZ.bat" "%USERPROFILE%\AppData\Local\Temp\OnboardLogs"\RTDC4001\2017-04-23 &amp; aws s3 cp s3://rtdc.mdm.uploadarchive.raw/RTDC4001/ "%USERPROFILE%\AppData\Local\Temp\OnboardLogs"\RTDC4001\2017-04-24 --exclude "*" --recursive --include "*20170424*" &amp; "%USERPROFILE%\Documents\GitHub\mrs-test-scripts\Headless Mode &amp; Sideloading\WalkAndUnGZ.bat" "%USERPROFILE%\AppData\Local\Temp\OnboardLogs"\RTDC4001\2017-04-24</v>
      </c>
      <c r="AF103" s="77" t="str">
        <f t="shared" si="51"/>
        <v>"C:\Program Files (x86)\AstroGrep\AstroGrep.exe" /e /r /s /spath="%USERPROFILE%\AppData\Local\Temp\OnboardLogs" /stypes="app*4001*20170423*" /stext=" 21:.+((SYSTEM_STATE.+slice.+state.+changed )|(ment ac)|(multiple cpu faults)|(system.+state.+changed )|(\[timeout)|(PRM\|1\|D)|(kpr)|(kdp)|(\|lc)|(penalty))"</v>
      </c>
      <c r="AG103" s="1" t="str">
        <f t="shared" si="52"/>
        <v>EC</v>
      </c>
      <c r="AH103" s="81" t="str">
        <f t="shared" si="53"/>
        <v>"%USERPROFILE%\Documents\GitHub\eaglep3\Utilities\RefineRTDCRunTimes.py" --tripid 184-23 --locoid 4001 --swversion DE.1.0.9.0 --startMP 204:233071 --initTime 2017-04-23T14:37:46 --startdatetime 2017-04-23T14:56:14 --delay 1 --endMP 204:119 --enddatetime 2017-04-23T15:33:45 --enforcementcount 0 &gt;&gt;C:\Users\stu\Documents\GitHub\eaglep3-reporting\EC\2017-04-23-refined-times.txt</v>
      </c>
      <c r="AI103" s="99" t="str">
        <f t="shared" si="54"/>
        <v>echo {"issue":{"subject":"","project_id":79,"tracker_id":40,"status_id":1,"priority_id":2,"assigned_to_id":23,"start_date":"2017-04-23","description":"","custom_fields":[{"id":1,"name":"Subdivision","value":"EC"},{"id":4,"name":"Milepost","value":"0.0119"},{"id":17,"name":"Train ID","value":"184-23"},{"id":16,"name":"Locomotive ID","value":"4001"},{"id":130,"name":"Impact","value":""},{"id":150,"name":"Time of Event (Mountain Time)","value":"15:33:45"},{"id":151,"name":"Denver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5" t="str">
        <f t="shared" si="55"/>
        <v>start /low /b %USERPROFILE%\Documents\GitHub\eaglep3\Utilities\DownloadLogsFromS3.py --loco 4001 --day 2017-04-23</v>
      </c>
      <c r="AN103" s="154" t="str">
        <f t="shared" si="56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21:33:45"},{"id":29,"name":"Sharepoint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748</v>
      </c>
      <c r="B104" s="7">
        <v>4046</v>
      </c>
      <c r="C104" s="21" t="s">
        <v>213</v>
      </c>
      <c r="D104" s="21" t="s">
        <v>437</v>
      </c>
      <c r="E104" s="13">
        <v>42848.589432870373</v>
      </c>
      <c r="F104" s="13">
        <v>42848.594004629631</v>
      </c>
      <c r="G104" s="7">
        <v>2</v>
      </c>
      <c r="H104" s="21" t="s">
        <v>948</v>
      </c>
      <c r="I104" s="13">
        <v>42848.619386574072</v>
      </c>
      <c r="J104" s="7">
        <v>0</v>
      </c>
      <c r="K104" s="92" t="str">
        <f t="shared" si="40"/>
        <v>4045/4046</v>
      </c>
      <c r="L104" s="21" t="str">
        <f>VLOOKUP(A104,'Trips&amp;Operators'!$C$1:$G$99999,5,FALSE)</f>
        <v>BRANDNER MELINDA</v>
      </c>
      <c r="M104" s="6">
        <f t="shared" si="41"/>
        <v>2.5381944440596271E-2</v>
      </c>
      <c r="N104" s="7">
        <f t="shared" si="57"/>
        <v>36.549999994458631</v>
      </c>
      <c r="O104" s="7"/>
      <c r="P104" s="7"/>
      <c r="Q104" s="22"/>
      <c r="R104" s="200"/>
      <c r="S104" s="206">
        <f t="shared" si="58"/>
        <v>1</v>
      </c>
      <c r="T104" s="200" t="str">
        <f t="shared" si="42"/>
        <v>NorthBound</v>
      </c>
      <c r="U104" s="200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01" t="str">
        <f t="shared" si="43"/>
        <v>https://d0f6bd738d7f1b3e5a7ca70fe4ff75f0.us-east-1.aws.found.io/app/kibana#/discover/Steve-Slow-Train-Analysis-(2080s-and-2083s)?_g=(refreshInterval:(display:Off,pause:!f,section:0,value:0),time:(from:'2017-04-23T13:08:47-0600',mode:absolute,to:'2017-04-23T15:51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04" s="202" t="str">
        <f t="shared" si="44"/>
        <v>N</v>
      </c>
      <c r="X104" s="202">
        <f t="shared" si="45"/>
        <v>1</v>
      </c>
      <c r="Y104" s="202">
        <f t="shared" si="46"/>
        <v>4.4400000000000002E-2</v>
      </c>
      <c r="Z104" s="202">
        <f t="shared" si="47"/>
        <v>23.334599999999998</v>
      </c>
      <c r="AA104" s="202">
        <f t="shared" si="48"/>
        <v>23.290199999999999</v>
      </c>
      <c r="AB104" s="57" t="e">
        <f>VLOOKUP(A104,Enforcements!$C$7:$K$13,8,0)</f>
        <v>#N/A</v>
      </c>
      <c r="AC104" s="53" t="e">
        <f>VLOOKUP(A104,Enforcements!$C$7:$E$13,3,0)</f>
        <v>#N/A</v>
      </c>
      <c r="AD104" s="54" t="str">
        <f t="shared" si="49"/>
        <v>0185-23</v>
      </c>
      <c r="AE104" s="80" t="str">
        <f t="shared" si="50"/>
        <v>aws s3 cp s3://rtdc.mdm.uploadarchive.raw/RTDC4046/ "%USERPROFILE%\AppData\Local\Temp\OnboardLogs"\RTDC4046\2017-04-23 --exclude "*" --recursive --include "*20170423*" &amp; "%USERPROFILE%\Documents\GitHub\mrs-test-scripts\Headless Mode &amp; Sideloading\WalkAndUnGZ.bat" "%USERPROFILE%\AppData\Local\Temp\OnboardLogs"\RTDC4046\2017-04-23 &amp; aws s3 cp s3://rtdc.mdm.uploadarchive.raw/RTDC4046/ "%USERPROFILE%\AppData\Local\Temp\OnboardLogs"\RTDC4046\2017-04-24 --exclude "*" --recursive --include "*20170424*" &amp; "%USERPROFILE%\Documents\GitHub\mrs-test-scripts\Headless Mode &amp; Sideloading\WalkAndUnGZ.bat" "%USERPROFILE%\AppData\Local\Temp\OnboardLogs"\RTDC4046\2017-04-24</v>
      </c>
      <c r="AF104" s="77" t="str">
        <f t="shared" si="51"/>
        <v>"C:\Program Files (x86)\AstroGrep\AstroGrep.exe" /e /r /s /spath="%USERPROFILE%\AppData\Local\Temp\OnboardLogs" /stypes="app*4046*20170423*" /stext=" 20:.+((SYSTEM_STATE.+slice.+state.+changed )|(ment ac)|(multiple cpu faults)|(system.+state.+changed )|(\[timeout)|(PRM\|1\|D)|(kpr)|(kdp)|(\|lc)|(penalty))"</v>
      </c>
      <c r="AG104" s="1" t="str">
        <f t="shared" si="52"/>
        <v>EC</v>
      </c>
      <c r="AH104" s="81" t="str">
        <f t="shared" si="53"/>
        <v>"%USERPROFILE%\Documents\GitHub\eaglep3\Utilities\RefineRTDCRunTimes.py" --tripid 185-23 --locoid 4046 --swversion DE.1.0.9.0 --startMP 204:444 --initTime 2017-04-23T14:08:47 --startdatetime 2017-04-23T14:15:22 --delay 2 --endMP 204:233346 --enddatetime 2017-04-23T14:51:55 --enforcementcount 0 &gt;&gt;C:\Users\stu\Documents\GitHub\eaglep3-reporting\EC\2017-04-23-refined-times.txt</v>
      </c>
      <c r="AI104" s="99" t="str">
        <f t="shared" si="54"/>
        <v>echo {"issue":{"subject":"","project_id":79,"tracker_id":40,"status_id":1,"priority_id":2,"assigned_to_id":23,"start_date":"2017-04-23","description":"","custom_fields":[{"id":1,"name":"Subdivision","value":"EC"},{"id":4,"name":"Milepost","value":"23.3346"},{"id":17,"name":"Train ID","value":"185-23"},{"id":16,"name":"Locomotive ID","value":"4046"},{"id":130,"name":"Impact","value":""},{"id":150,"name":"Time of Event (Mountain Time)","value":"14:51:55"},{"id":151,"name":"Denver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5" t="str">
        <f t="shared" si="55"/>
        <v>start /low /b %USERPROFILE%\Documents\GitHub\eaglep3\Utilities\DownloadLogsFromS3.py --loco 4046 --day 2017-04-23</v>
      </c>
      <c r="AN104" s="154" t="str">
        <f t="shared" si="56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20:51:55"},{"id":29,"name":"Sharepoint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612</v>
      </c>
      <c r="B105" s="7">
        <v>4045</v>
      </c>
      <c r="C105" s="21" t="s">
        <v>213</v>
      </c>
      <c r="D105" s="21" t="s">
        <v>949</v>
      </c>
      <c r="E105" s="13">
        <v>42848.627916666665</v>
      </c>
      <c r="F105" s="13">
        <v>42848.632835648146</v>
      </c>
      <c r="G105" s="7">
        <v>1</v>
      </c>
      <c r="H105" s="21" t="s">
        <v>424</v>
      </c>
      <c r="I105" s="13">
        <v>42848.660810185182</v>
      </c>
      <c r="J105" s="7">
        <v>0</v>
      </c>
      <c r="K105" s="92" t="str">
        <f t="shared" si="40"/>
        <v>4045/4046</v>
      </c>
      <c r="L105" s="21" t="str">
        <f>VLOOKUP(A105,'Trips&amp;Operators'!$C$1:$G$99999,5,FALSE)</f>
        <v>BRANDNER MELINDA</v>
      </c>
      <c r="M105" s="6">
        <f t="shared" si="41"/>
        <v>2.7974537035333924E-2</v>
      </c>
      <c r="N105" s="7">
        <f t="shared" si="57"/>
        <v>40.283333330880851</v>
      </c>
      <c r="O105" s="7"/>
      <c r="P105" s="7"/>
      <c r="Q105" s="22"/>
      <c r="R105" s="200"/>
      <c r="S105" s="206">
        <f t="shared" si="58"/>
        <v>1</v>
      </c>
      <c r="T105" s="200" t="str">
        <f t="shared" si="42"/>
        <v>Southbound</v>
      </c>
      <c r="U105" s="200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01" t="str">
        <f t="shared" si="43"/>
        <v>https://d0f6bd738d7f1b3e5a7ca70fe4ff75f0.us-east-1.aws.found.io/app/kibana#/discover/Steve-Slow-Train-Analysis-(2080s-and-2083s)?_g=(refreshInterval:(display:Off,pause:!f,section:0,value:0),time:(from:'2017-04-23T14:04:12-0600',mode:absolute,to:'2017-04-23T16:51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05" s="202" t="str">
        <f t="shared" si="44"/>
        <v>N</v>
      </c>
      <c r="X105" s="202">
        <f t="shared" si="45"/>
        <v>1</v>
      </c>
      <c r="Y105" s="202">
        <f t="shared" si="46"/>
        <v>23.302299999999999</v>
      </c>
      <c r="Z105" s="202">
        <f t="shared" si="47"/>
        <v>1.43E-2</v>
      </c>
      <c r="AA105" s="202">
        <f t="shared" si="48"/>
        <v>23.288</v>
      </c>
      <c r="AB105" s="57" t="str">
        <f>VLOOKUP(A105,Enforcements!$C$7:$K$13,8,0)</f>
        <v>Bulletin (2)</v>
      </c>
      <c r="AC105" s="53" t="str">
        <f>VLOOKUP(A105,Enforcements!$C$7:$E$13,3,0)</f>
        <v>GRADE CROSSING</v>
      </c>
      <c r="AD105" s="54" t="str">
        <f t="shared" si="49"/>
        <v>0186-23</v>
      </c>
      <c r="AE105" s="80" t="str">
        <f t="shared" si="50"/>
        <v>aws s3 cp s3://rtdc.mdm.uploadarchive.raw/RTDC4045/ "%USERPROFILE%\AppData\Local\Temp\OnboardLogs"\RTDC4045\2017-04-23 --exclude "*" --recursive --include "*20170423*" &amp; "%USERPROFILE%\Documents\GitHub\mrs-test-scripts\Headless Mode &amp; Sideloading\WalkAndUnGZ.bat" "%USERPROFILE%\AppData\Local\Temp\OnboardLogs"\RTDC4045\2017-04-23 &amp; aws s3 cp s3://rtdc.mdm.uploadarchive.raw/RTDC4045/ "%USERPROFILE%\AppData\Local\Temp\OnboardLogs"\RTDC4045\2017-04-24 --exclude "*" --recursive --include "*20170424*" &amp; "%USERPROFILE%\Documents\GitHub\mrs-test-scripts\Headless Mode &amp; Sideloading\WalkAndUnGZ.bat" "%USERPROFILE%\AppData\Local\Temp\OnboardLogs"\RTDC4045\2017-04-24</v>
      </c>
      <c r="AF105" s="77" t="str">
        <f t="shared" si="51"/>
        <v>"C:\Program Files (x86)\AstroGrep\AstroGrep.exe" /e /r /s /spath="%USERPROFILE%\AppData\Local\Temp\OnboardLogs" /stypes="app*4045*20170423*" /stext=" 21:.+((SYSTEM_STATE.+slice.+state.+changed )|(ment ac)|(multiple cpu faults)|(system.+state.+changed )|(\[timeout)|(PRM\|1\|D)|(kpr)|(kdp)|(\|lc)|(penalty))"</v>
      </c>
      <c r="AG105" s="1" t="str">
        <f t="shared" si="52"/>
        <v>EC</v>
      </c>
      <c r="AH105" s="81" t="str">
        <f t="shared" si="53"/>
        <v>"%USERPROFILE%\Documents\GitHub\eaglep3\Utilities\RefineRTDCRunTimes.py" --tripid 186-23 --locoid 4045 --swversion DE.1.0.9.0 --startMP 204:233023 --initTime 2017-04-23T15:04:12 --startdatetime 2017-04-23T15:11:17 --delay 1 --endMP 204:143 --enddatetime 2017-04-23T15:51:34 --enforcementcount 0 &gt;&gt;C:\Users\stu\Documents\GitHub\eaglep3-reporting\EC\2017-04-23-refined-times.txt</v>
      </c>
      <c r="AI105" s="99" t="str">
        <f t="shared" si="54"/>
        <v>echo {"issue":{"subject":"","project_id":79,"tracker_id":40,"status_id":1,"priority_id":2,"assigned_to_id":23,"start_date":"2017-04-23","description":"","custom_fields":[{"id":1,"name":"Subdivision","value":"EC"},{"id":4,"name":"Milepost","value":"0.0143"},{"id":17,"name":"Train ID","value":"186-23"},{"id":16,"name":"Locomotive ID","value":"4045"},{"id":130,"name":"Impact","value":""},{"id":150,"name":"Time of Event (Mountain Time)","value":"15:51:34"},{"id":151,"name":"Denver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5" t="str">
        <f t="shared" si="55"/>
        <v>start /low /b %USERPROFILE%\Documents\GitHub\eaglep3\Utilities\DownloadLogsFromS3.py --loco 4045 --day 2017-04-23</v>
      </c>
      <c r="AN105" s="154" t="str">
        <f t="shared" si="56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21:51:34"},{"id":29,"name":"Sharepoint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750</v>
      </c>
      <c r="B106" s="7">
        <v>4044</v>
      </c>
      <c r="C106" s="21" t="s">
        <v>213</v>
      </c>
      <c r="D106" s="21" t="s">
        <v>208</v>
      </c>
      <c r="E106" s="13">
        <v>42848.600069444445</v>
      </c>
      <c r="F106" s="13">
        <v>42848.604502314818</v>
      </c>
      <c r="G106" s="7">
        <v>2</v>
      </c>
      <c r="H106" s="21" t="s">
        <v>517</v>
      </c>
      <c r="I106" s="13">
        <v>42848.62976851852</v>
      </c>
      <c r="J106" s="7">
        <v>0</v>
      </c>
      <c r="K106" s="92" t="str">
        <f t="shared" si="40"/>
        <v>4043/4044</v>
      </c>
      <c r="L106" s="21" t="str">
        <f>VLOOKUP(A106,'Trips&amp;Operators'!$C$1:$G$99999,5,FALSE)</f>
        <v>STEWART MICHAEL</v>
      </c>
      <c r="M106" s="6">
        <f t="shared" si="41"/>
        <v>2.5266203701903578E-2</v>
      </c>
      <c r="N106" s="7">
        <f t="shared" si="57"/>
        <v>36.383333330741152</v>
      </c>
      <c r="O106" s="7"/>
      <c r="P106" s="7"/>
      <c r="Q106" s="22"/>
      <c r="R106" s="200"/>
      <c r="S106" s="206">
        <f t="shared" si="58"/>
        <v>1</v>
      </c>
      <c r="T106" s="200" t="str">
        <f t="shared" si="42"/>
        <v>NorthBound</v>
      </c>
      <c r="U106" s="200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01" t="str">
        <f t="shared" si="43"/>
        <v>https://d0f6bd738d7f1b3e5a7ca70fe4ff75f0.us-east-1.aws.found.io/app/kibana#/discover/Steve-Slow-Train-Analysis-(2080s-and-2083s)?_g=(refreshInterval:(display:Off,pause:!f,section:0,value:0),time:(from:'2017-04-23T13:24:06-0600',mode:absolute,to:'2017-04-23T16:06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6" s="202" t="str">
        <f t="shared" si="44"/>
        <v>N</v>
      </c>
      <c r="X106" s="202">
        <f t="shared" si="45"/>
        <v>1</v>
      </c>
      <c r="Y106" s="202">
        <f t="shared" si="46"/>
        <v>4.53E-2</v>
      </c>
      <c r="Z106" s="202">
        <f t="shared" si="47"/>
        <v>23.328199999999999</v>
      </c>
      <c r="AA106" s="202">
        <f t="shared" si="48"/>
        <v>23.282899999999998</v>
      </c>
      <c r="AB106" s="57" t="e">
        <f>VLOOKUP(A106,Enforcements!$C$7:$K$13,8,0)</f>
        <v>#N/A</v>
      </c>
      <c r="AC106" s="53" t="e">
        <f>VLOOKUP(A106,Enforcements!$C$7:$E$13,3,0)</f>
        <v>#N/A</v>
      </c>
      <c r="AD106" s="54" t="str">
        <f t="shared" si="49"/>
        <v>0187-23</v>
      </c>
      <c r="AE106" s="80" t="str">
        <f t="shared" si="50"/>
        <v>aws s3 cp s3://rtdc.mdm.uploadarchive.raw/RTDC4044/ "%USERPROFILE%\AppData\Local\Temp\OnboardLogs"\RTDC4044\2017-04-23 --exclude "*" --recursive --include "*20170423*" &amp; "%USERPROFILE%\Documents\GitHub\mrs-test-scripts\Headless Mode &amp; Sideloading\WalkAndUnGZ.bat" "%USERPROFILE%\AppData\Local\Temp\OnboardLogs"\RTDC4044\2017-04-23 &amp; aws s3 cp s3://rtdc.mdm.uploadarchive.raw/RTDC4044/ "%USERPROFILE%\AppData\Local\Temp\OnboardLogs"\RTDC4044\2017-04-24 --exclude "*" --recursive --include "*20170424*" &amp; "%USERPROFILE%\Documents\GitHub\mrs-test-scripts\Headless Mode &amp; Sideloading\WalkAndUnGZ.bat" "%USERPROFILE%\AppData\Local\Temp\OnboardLogs"\RTDC4044\2017-04-24</v>
      </c>
      <c r="AF106" s="77" t="str">
        <f t="shared" si="51"/>
        <v>"C:\Program Files (x86)\AstroGrep\AstroGrep.exe" /e /r /s /spath="%USERPROFILE%\AppData\Local\Temp\OnboardLogs" /stypes="app*4044*20170423*" /stext=" 21:.+((SYSTEM_STATE.+slice.+state.+changed )|(ment ac)|(multiple cpu faults)|(system.+state.+changed )|(\[timeout)|(PRM\|1\|D)|(kpr)|(kdp)|(\|lc)|(penalty))"</v>
      </c>
      <c r="AG106" s="1" t="str">
        <f t="shared" si="52"/>
        <v>EC</v>
      </c>
      <c r="AH106" s="81" t="str">
        <f t="shared" si="53"/>
        <v>"%USERPROFILE%\Documents\GitHub\eaglep3\Utilities\RefineRTDCRunTimes.py" --tripid 187-23 --locoid 4044 --swversion DE.1.0.9.0 --startMP 204:453 --initTime 2017-04-23T14:24:06 --startdatetime 2017-04-23T14:30:29 --delay 2 --endMP 204:233282 --enddatetime 2017-04-23T15:06:52 --enforcementcount 0 &gt;&gt;C:\Users\stu\Documents\GitHub\eaglep3-reporting\EC\2017-04-23-refined-times.txt</v>
      </c>
      <c r="AI106" s="99" t="str">
        <f t="shared" si="54"/>
        <v>echo {"issue":{"subject":"","project_id":79,"tracker_id":40,"status_id":1,"priority_id":2,"assigned_to_id":23,"start_date":"2017-04-23","description":"","custom_fields":[{"id":1,"name":"Subdivision","value":"EC"},{"id":4,"name":"Milepost","value":"23.3282"},{"id":17,"name":"Train ID","value":"187-23"},{"id":16,"name":"Locomotive ID","value":"4044"},{"id":130,"name":"Impact","value":""},{"id":150,"name":"Time of Event (Mountain Time)","value":"15:06:52"},{"id":151,"name":"Denver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5" t="str">
        <f t="shared" si="55"/>
        <v>start /low /b %USERPROFILE%\Documents\GitHub\eaglep3\Utilities\DownloadLogsFromS3.py --loco 4044 --day 2017-04-23</v>
      </c>
      <c r="AN106" s="154" t="str">
        <f t="shared" si="56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21:06:52"},{"id":29,"name":"Sharepoint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756</v>
      </c>
      <c r="B107" s="7">
        <v>4043</v>
      </c>
      <c r="C107" s="21" t="s">
        <v>213</v>
      </c>
      <c r="D107" s="21" t="s">
        <v>950</v>
      </c>
      <c r="E107" s="13">
        <v>42848.640462962961</v>
      </c>
      <c r="F107" s="13">
        <v>42848.643217592595</v>
      </c>
      <c r="G107" s="7">
        <v>1</v>
      </c>
      <c r="H107" s="21" t="s">
        <v>198</v>
      </c>
      <c r="I107" s="13">
        <v>42848.67</v>
      </c>
      <c r="J107" s="7">
        <v>0</v>
      </c>
      <c r="K107" s="92" t="str">
        <f t="shared" si="40"/>
        <v>4043/4044</v>
      </c>
      <c r="L107" s="21" t="str">
        <f>VLOOKUP(A107,'Trips&amp;Operators'!$C$1:$G$99999,5,FALSE)</f>
        <v>STEWART MICHAEL</v>
      </c>
      <c r="M107" s="6">
        <f t="shared" si="41"/>
        <v>2.6782407403516117E-2</v>
      </c>
      <c r="N107" s="7">
        <f t="shared" si="57"/>
        <v>38.566666661063209</v>
      </c>
      <c r="O107" s="7"/>
      <c r="P107" s="7"/>
      <c r="Q107" s="22"/>
      <c r="R107" s="200"/>
      <c r="S107" s="206">
        <f t="shared" si="58"/>
        <v>1</v>
      </c>
      <c r="T107" s="200" t="str">
        <f t="shared" si="42"/>
        <v>Southbound</v>
      </c>
      <c r="U107" s="200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01" t="str">
        <f t="shared" si="43"/>
        <v>https://d0f6bd738d7f1b3e5a7ca70fe4ff75f0.us-east-1.aws.found.io/app/kibana#/discover/Steve-Slow-Train-Analysis-(2080s-and-2083s)?_g=(refreshInterval:(display:Off,pause:!f,section:0,value:0),time:(from:'2017-04-23T14:22:16-0600',mode:absolute,to:'2017-04-23T17:04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7" s="202" t="str">
        <f t="shared" si="44"/>
        <v>N</v>
      </c>
      <c r="X107" s="202">
        <f t="shared" si="45"/>
        <v>1</v>
      </c>
      <c r="Y107" s="202">
        <f t="shared" si="46"/>
        <v>23.296700000000001</v>
      </c>
      <c r="Z107" s="202">
        <f t="shared" si="47"/>
        <v>1.5800000000000002E-2</v>
      </c>
      <c r="AA107" s="202">
        <f t="shared" si="48"/>
        <v>23.280900000000003</v>
      </c>
      <c r="AB107" s="57" t="e">
        <f>VLOOKUP(A107,Enforcements!$C$7:$K$13,8,0)</f>
        <v>#N/A</v>
      </c>
      <c r="AC107" s="53" t="e">
        <f>VLOOKUP(A107,Enforcements!$C$7:$E$13,3,0)</f>
        <v>#N/A</v>
      </c>
      <c r="AD107" s="54" t="str">
        <f t="shared" si="49"/>
        <v>0188-23</v>
      </c>
      <c r="AE107" s="80" t="str">
        <f t="shared" si="50"/>
        <v>aws s3 cp s3://rtdc.mdm.uploadarchive.raw/RTDC4043/ "%USERPROFILE%\AppData\Local\Temp\OnboardLogs"\RTDC4043\2017-04-23 --exclude "*" --recursive --include "*20170423*" &amp; "%USERPROFILE%\Documents\GitHub\mrs-test-scripts\Headless Mode &amp; Sideloading\WalkAndUnGZ.bat" "%USERPROFILE%\AppData\Local\Temp\OnboardLogs"\RTDC4043\2017-04-23 &amp; aws s3 cp s3://rtdc.mdm.uploadarchive.raw/RTDC4043/ "%USERPROFILE%\AppData\Local\Temp\OnboardLogs"\RTDC4043\2017-04-24 --exclude "*" --recursive --include "*20170424*" &amp; "%USERPROFILE%\Documents\GitHub\mrs-test-scripts\Headless Mode &amp; Sideloading\WalkAndUnGZ.bat" "%USERPROFILE%\AppData\Local\Temp\OnboardLogs"\RTDC4043\2017-04-24</v>
      </c>
      <c r="AF107" s="77" t="str">
        <f t="shared" si="51"/>
        <v>"C:\Program Files (x86)\AstroGrep\AstroGrep.exe" /e /r /s /spath="%USERPROFILE%\AppData\Local\Temp\OnboardLogs" /stypes="app*4043*20170423*" /stext=" 22:.+((SYSTEM_STATE.+slice.+state.+changed )|(ment ac)|(multiple cpu faults)|(system.+state.+changed )|(\[timeout)|(PRM\|1\|D)|(kpr)|(kdp)|(\|lc)|(penalty))"</v>
      </c>
      <c r="AG107" s="1" t="str">
        <f t="shared" si="52"/>
        <v>EC</v>
      </c>
      <c r="AH107" s="81" t="str">
        <f t="shared" si="53"/>
        <v>"%USERPROFILE%\Documents\GitHub\eaglep3\Utilities\RefineRTDCRunTimes.py" --tripid 188-23 --locoid 4043 --swversion DE.1.0.9.0 --startMP 204:232967 --initTime 2017-04-23T15:22:16 --startdatetime 2017-04-23T15:26:14 --delay 1 --endMP 204:158 --enddatetime 2017-04-23T16:04:48 --enforcementcount 0 &gt;&gt;C:\Users\stu\Documents\GitHub\eaglep3-reporting\EC\2017-04-23-refined-times.txt</v>
      </c>
      <c r="AI107" s="99" t="str">
        <f t="shared" si="54"/>
        <v>echo {"issue":{"subject":"","project_id":79,"tracker_id":40,"status_id":1,"priority_id":2,"assigned_to_id":23,"start_date":"2017-04-23","description":"","custom_fields":[{"id":1,"name":"Subdivision","value":"EC"},{"id":4,"name":"Milepost","value":"0.0158"},{"id":17,"name":"Train ID","value":"188-23"},{"id":16,"name":"Locomotive ID","value":"4043"},{"id":130,"name":"Impact","value":""},{"id":150,"name":"Time of Event (Mountain Time)","value":"16:04:48"},{"id":151,"name":"Denver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5" t="str">
        <f t="shared" si="55"/>
        <v>start /low /b %USERPROFILE%\Documents\GitHub\eaglep3\Utilities\DownloadLogsFromS3.py --loco 4043 --day 2017-04-23</v>
      </c>
      <c r="AN107" s="154" t="str">
        <f t="shared" si="56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22:04:48"},{"id":29,"name":"Sharepoint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x14ac:dyDescent="0.25">
      <c r="A108" s="32" t="s">
        <v>753</v>
      </c>
      <c r="B108" s="7">
        <v>4016</v>
      </c>
      <c r="C108" s="21" t="s">
        <v>213</v>
      </c>
      <c r="D108" s="21" t="s">
        <v>395</v>
      </c>
      <c r="E108" s="13">
        <v>42848.612500000003</v>
      </c>
      <c r="F108" s="13">
        <v>42848.614803240744</v>
      </c>
      <c r="G108" s="7">
        <v>2</v>
      </c>
      <c r="H108" s="21" t="s">
        <v>379</v>
      </c>
      <c r="I108" s="13">
        <v>42848.640763888892</v>
      </c>
      <c r="J108" s="7">
        <v>0</v>
      </c>
      <c r="K108" s="92" t="str">
        <f t="shared" si="40"/>
        <v>4015/4016</v>
      </c>
      <c r="L108" s="21" t="str">
        <f>VLOOKUP(A108,'Trips&amp;Operators'!$C$1:$G$99999,5,FALSE)</f>
        <v>NELSON ARIANE</v>
      </c>
      <c r="M108" s="6">
        <f t="shared" si="41"/>
        <v>2.5960648148611654E-2</v>
      </c>
      <c r="N108" s="7">
        <f t="shared" si="57"/>
        <v>37.383333334000781</v>
      </c>
      <c r="O108" s="7"/>
      <c r="P108" s="7"/>
      <c r="Q108" s="22"/>
      <c r="R108" s="200"/>
      <c r="S108" s="206">
        <f t="shared" si="58"/>
        <v>1</v>
      </c>
      <c r="T108" s="200" t="str">
        <f t="shared" si="42"/>
        <v>NorthBound</v>
      </c>
      <c r="U108" s="200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01" t="str">
        <f t="shared" si="43"/>
        <v>https://d0f6bd738d7f1b3e5a7ca70fe4ff75f0.us-east-1.aws.found.io/app/kibana#/discover/Steve-Slow-Train-Analysis-(2080s-and-2083s)?_g=(refreshInterval:(display:Off,pause:!f,section:0,value:0),time:(from:'2017-04-23T13:42:00-0600',mode:absolute,to:'2017-04-23T16:22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8" s="202" t="str">
        <f t="shared" si="44"/>
        <v>N</v>
      </c>
      <c r="X108" s="202">
        <f t="shared" si="45"/>
        <v>1</v>
      </c>
      <c r="Y108" s="202">
        <f t="shared" si="46"/>
        <v>4.58E-2</v>
      </c>
      <c r="Z108" s="202">
        <f t="shared" si="47"/>
        <v>23.329499999999999</v>
      </c>
      <c r="AA108" s="202">
        <f t="shared" si="48"/>
        <v>23.2837</v>
      </c>
      <c r="AB108" s="57" t="e">
        <f>VLOOKUP(A108,Enforcements!$C$7:$K$13,8,0)</f>
        <v>#N/A</v>
      </c>
      <c r="AC108" s="53" t="e">
        <f>VLOOKUP(A108,Enforcements!$C$7:$E$13,3,0)</f>
        <v>#N/A</v>
      </c>
      <c r="AD108" s="54" t="str">
        <f t="shared" si="49"/>
        <v>0189-23</v>
      </c>
      <c r="AE108" s="80" t="str">
        <f t="shared" si="50"/>
        <v>aws s3 cp s3://rtdc.mdm.uploadarchive.raw/RTDC4016/ "%USERPROFILE%\AppData\Local\Temp\OnboardLogs"\RTDC4016\2017-04-23 --exclude "*" --recursive --include "*20170423*" &amp; "%USERPROFILE%\Documents\GitHub\mrs-test-scripts\Headless Mode &amp; Sideloading\WalkAndUnGZ.bat" "%USERPROFILE%\AppData\Local\Temp\OnboardLogs"\RTDC4016\2017-04-23 &amp; aws s3 cp s3://rtdc.mdm.uploadarchive.raw/RTDC4016/ "%USERPROFILE%\AppData\Local\Temp\OnboardLogs"\RTDC4016\2017-04-24 --exclude "*" --recursive --include "*20170424*" &amp; "%USERPROFILE%\Documents\GitHub\mrs-test-scripts\Headless Mode &amp; Sideloading\WalkAndUnGZ.bat" "%USERPROFILE%\AppData\Local\Temp\OnboardLogs"\RTDC4016\2017-04-24</v>
      </c>
      <c r="AF108" s="77" t="str">
        <f t="shared" si="51"/>
        <v>"C:\Program Files (x86)\AstroGrep\AstroGrep.exe" /e /r /s /spath="%USERPROFILE%\AppData\Local\Temp\OnboardLogs" /stypes="app*4016*20170423*" /stext=" 21:.+((SYSTEM_STATE.+slice.+state.+changed )|(ment ac)|(multiple cpu faults)|(system.+state.+changed )|(\[timeout)|(PRM\|1\|D)|(kpr)|(kdp)|(\|lc)|(penalty))"</v>
      </c>
      <c r="AG108" s="1" t="str">
        <f t="shared" si="52"/>
        <v>EC</v>
      </c>
      <c r="AH108" s="81" t="str">
        <f t="shared" si="53"/>
        <v>"%USERPROFILE%\Documents\GitHub\eaglep3\Utilities\RefineRTDCRunTimes.py" --tripid 189-23 --locoid 4016 --swversion DE.1.0.9.0 --startMP 204:458 --initTime 2017-04-23T14:42:00 --startdatetime 2017-04-23T14:45:19 --delay 2 --endMP 204:233295 --enddatetime 2017-04-23T15:22:42 --enforcementcount 0 &gt;&gt;C:\Users\stu\Documents\GitHub\eaglep3-reporting\EC\2017-04-23-refined-times.txt</v>
      </c>
      <c r="AI108" s="99" t="str">
        <f t="shared" si="54"/>
        <v>echo {"issue":{"subject":"","project_id":79,"tracker_id":40,"status_id":1,"priority_id":2,"assigned_to_id":23,"start_date":"2017-04-23","description":"","custom_fields":[{"id":1,"name":"Subdivision","value":"EC"},{"id":4,"name":"Milepost","value":"23.3295"},{"id":17,"name":"Train ID","value":"189-23"},{"id":16,"name":"Locomotive ID","value":"4016"},{"id":130,"name":"Impact","value":""},{"id":150,"name":"Time of Event (Mountain Time)","value":"15:22:42"},{"id":151,"name":"Denver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20"/>
      <c r="AK108" s="47"/>
      <c r="AL108" s="47"/>
      <c r="AM108" s="145" t="str">
        <f t="shared" si="55"/>
        <v>start /low /b %USERPROFILE%\Documents\GitHub\eaglep3\Utilities\DownloadLogsFromS3.py --loco 4016 --day 2017-04-23</v>
      </c>
      <c r="AN108" s="154" t="str">
        <f t="shared" si="56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21:22:42"},{"id":29,"name":"Sharepoint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09" spans="1:91" s="20" customFormat="1" x14ac:dyDescent="0.25">
      <c r="A109" s="32" t="s">
        <v>757</v>
      </c>
      <c r="B109" s="7">
        <v>4015</v>
      </c>
      <c r="C109" s="21" t="s">
        <v>213</v>
      </c>
      <c r="D109" s="21" t="s">
        <v>581</v>
      </c>
      <c r="E109" s="13">
        <v>42848.650219907409</v>
      </c>
      <c r="F109" s="13">
        <v>42848.653645833336</v>
      </c>
      <c r="G109" s="7">
        <v>2</v>
      </c>
      <c r="H109" s="21" t="s">
        <v>380</v>
      </c>
      <c r="I109" s="13">
        <v>42848.682222222225</v>
      </c>
      <c r="J109" s="7">
        <v>0</v>
      </c>
      <c r="K109" s="92" t="str">
        <f t="shared" ref="K109:K140" si="59">IF(ISEVEN(B109),(B109-1)&amp;"/"&amp;B109,B109&amp;"/"&amp;(B109+1))</f>
        <v>4015/4016</v>
      </c>
      <c r="L109" s="21" t="str">
        <f>VLOOKUP(A109,'Trips&amp;Operators'!$C$1:$G$99999,5,FALSE)</f>
        <v>NELSON ARIANE</v>
      </c>
      <c r="M109" s="6">
        <f t="shared" ref="M109:M140" si="60">I109-F109</f>
        <v>2.8576388889632653E-2</v>
      </c>
      <c r="N109" s="7">
        <f t="shared" si="57"/>
        <v>41.150000001071021</v>
      </c>
      <c r="O109" s="7"/>
      <c r="P109" s="7"/>
      <c r="Q109" s="22"/>
      <c r="R109" s="200"/>
      <c r="S109" s="206">
        <f t="shared" si="58"/>
        <v>1</v>
      </c>
      <c r="T109" s="200" t="str">
        <f t="shared" ref="T109:T140" si="61">IF(ISEVEN(LEFT(AD109,4)),"Southbound","NorthBound")</f>
        <v>Southbound</v>
      </c>
      <c r="U109" s="200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01" t="str">
        <f t="shared" ref="V109:V140" si="62"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-04-23T14:36:19-0600',mode:absolute,to:'2017-04-23T17:22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9" s="202" t="str">
        <f t="shared" ref="W109:W140" si="63">IF(AA109&lt;IF(AG109="EC",23,5.65),"Y","N")</f>
        <v>N</v>
      </c>
      <c r="X109" s="202">
        <f t="shared" ref="X109:X140" si="64">VALUE(LEFT(AD109,4))-VALUE(LEFT(AD108,4))</f>
        <v>1</v>
      </c>
      <c r="Y109" s="202">
        <f t="shared" ref="Y109:Y140" si="65">RIGHT(D109,LEN(D109)-4)/10000</f>
        <v>23.297899999999998</v>
      </c>
      <c r="Z109" s="202">
        <f t="shared" ref="Z109:Z140" si="66">RIGHT(H109,LEN(H109)-4)/10000</f>
        <v>1.38E-2</v>
      </c>
      <c r="AA109" s="202">
        <f t="shared" ref="AA109:AA140" si="67">ABS(Z109-Y109)</f>
        <v>23.284099999999999</v>
      </c>
      <c r="AB109" s="57" t="e">
        <f>VLOOKUP(A109,Enforcements!$C$7:$K$13,8,0)</f>
        <v>#N/A</v>
      </c>
      <c r="AC109" s="53" t="e">
        <f>VLOOKUP(A109,Enforcements!$C$7:$E$13,3,0)</f>
        <v>#N/A</v>
      </c>
      <c r="AD109" s="54" t="str">
        <f t="shared" ref="AD109:AD140" si="68">IF(LEN(A109)=6,"0"&amp;A109,A109)</f>
        <v>0190-23</v>
      </c>
      <c r="AE109" s="80" t="str">
        <f t="shared" ref="AE109:AE140" si="69"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s3://rtdc.mdm.uploadarchive.raw/RTDC4015/ "%USERPROFILE%\AppData\Local\Temp\OnboardLogs"\RTDC4015\2017-04-23 --exclude "*" --recursive --include "*20170423*" &amp; "%USERPROFILE%\Documents\GitHub\mrs-test-scripts\Headless Mode &amp; Sideloading\WalkAndUnGZ.bat" "%USERPROFILE%\AppData\Local\Temp\OnboardLogs"\RTDC4015\2017-04-23 &amp; aws s3 cp s3://rtdc.mdm.uploadarchive.raw/RTDC4015/ "%USERPROFILE%\AppData\Local\Temp\OnboardLogs"\RTDC4015\2017-04-24 --exclude "*" --recursive --include "*20170424*" &amp; "%USERPROFILE%\Documents\GitHub\mrs-test-scripts\Headless Mode &amp; Sideloading\WalkAndUnGZ.bat" "%USERPROFILE%\AppData\Local\Temp\OnboardLogs"\RTDC4015\2017-04-24</v>
      </c>
      <c r="AF109" s="77" t="str">
        <f t="shared" ref="AF109:AF140" si="70"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/stypes="app*4015*20170423*" /stext=" 22:.+((SYSTEM_STATE.+slice.+state.+changed )|(ment ac)|(multiple cpu faults)|(system.+state.+changed )|(\[timeout)|(PRM\|1\|D)|(kpr)|(kdp)|(\|lc)|(penalty))"</v>
      </c>
      <c r="AG109" s="1" t="str">
        <f t="shared" ref="AG109:AG140" si="71">IFERROR(IF(VALUE(LEFT(AD109,2))&lt;=2,"EC",IF(OR(VALUE(LEFT(AD109,2))=8,VALUE(LEFT(AD109,2))=18),"NW","Other")),"Other")</f>
        <v>EC</v>
      </c>
      <c r="AH109" s="81" t="str">
        <f t="shared" si="53"/>
        <v>"%USERPROFILE%\Documents\GitHub\eaglep3\Utilities\RefineRTDCRunTimes.py" --tripid 190-23 --locoid 4015 --swversion DE.1.0.9.0 --startMP 204:232979 --initTime 2017-04-23T15:36:19 --startdatetime 2017-04-23T15:41:15 --delay 2 --endMP 204:138 --enddatetime 2017-04-23T16:22:24 --enforcementcount 0 &gt;&gt;C:\Users\stu\Documents\GitHub\eaglep3-reporting\EC\2017-04-23-refined-times.txt</v>
      </c>
      <c r="AI109" s="99" t="str">
        <f t="shared" si="54"/>
        <v>echo {"issue":{"subject":"","project_id":79,"tracker_id":40,"status_id":1,"priority_id":2,"assigned_to_id":23,"start_date":"2017-04-23","description":"","custom_fields":[{"id":1,"name":"Subdivision","value":"EC"},{"id":4,"name":"Milepost","value":"0.0138"},{"id":17,"name":"Train ID","value":"190-23"},{"id":16,"name":"Locomotive ID","value":"4015"},{"id":130,"name":"Impact","value":""},{"id":150,"name":"Time of Event (Mountain Time)","value":"16:22:24"},{"id":151,"name":"Denver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5" t="str">
        <f t="shared" si="55"/>
        <v>start /low /b %USERPROFILE%\Documents\GitHub\eaglep3\Utilities\DownloadLogsFromS3.py --loco 4015 --day 2017-04-23</v>
      </c>
      <c r="AN109" s="154" t="str">
        <f t="shared" si="56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22:22:24"},{"id":29,"name":"Sharepoint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611</v>
      </c>
      <c r="B110" s="7">
        <v>4022</v>
      </c>
      <c r="C110" s="21" t="s">
        <v>213</v>
      </c>
      <c r="D110" s="21" t="s">
        <v>905</v>
      </c>
      <c r="E110" s="13">
        <v>42848.623437499999</v>
      </c>
      <c r="F110" s="13">
        <v>42848.625300925924</v>
      </c>
      <c r="G110" s="7">
        <v>1</v>
      </c>
      <c r="H110" s="21" t="s">
        <v>954</v>
      </c>
      <c r="I110" s="13">
        <v>42848.650601851848</v>
      </c>
      <c r="J110" s="7">
        <v>0</v>
      </c>
      <c r="K110" s="92" t="str">
        <f t="shared" si="59"/>
        <v>4021/4022</v>
      </c>
      <c r="L110" s="21" t="str">
        <f>VLOOKUP(A110,'Trips&amp;Operators'!$C$1:$G$99999,5,FALSE)</f>
        <v>LEVIN SCOTT</v>
      </c>
      <c r="M110" s="6">
        <f t="shared" si="60"/>
        <v>2.5300925924966577E-2</v>
      </c>
      <c r="N110" s="7">
        <f t="shared" si="57"/>
        <v>36.433333331951872</v>
      </c>
      <c r="O110" s="7"/>
      <c r="P110" s="7"/>
      <c r="Q110" s="22"/>
      <c r="R110" s="200"/>
      <c r="S110" s="206">
        <f t="shared" si="58"/>
        <v>1</v>
      </c>
      <c r="T110" s="200" t="str">
        <f t="shared" si="61"/>
        <v>NorthBound</v>
      </c>
      <c r="U110" s="200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01" t="str">
        <f t="shared" si="62"/>
        <v>https://d0f6bd738d7f1b3e5a7ca70fe4ff75f0.us-east-1.aws.found.io/app/kibana#/discover/Steve-Slow-Train-Analysis-(2080s-and-2083s)?_g=(refreshInterval:(display:Off,pause:!f,section:0,value:0),time:(from:'2017-04-23T13:57:45-0600',mode:absolute,to:'2017-04-23T16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10" s="202" t="str">
        <f t="shared" si="63"/>
        <v>N</v>
      </c>
      <c r="X110" s="202">
        <f t="shared" si="64"/>
        <v>1</v>
      </c>
      <c r="Y110" s="202">
        <f t="shared" si="65"/>
        <v>4.1300000000000003E-2</v>
      </c>
      <c r="Z110" s="202">
        <f t="shared" si="66"/>
        <v>23.341000000000001</v>
      </c>
      <c r="AA110" s="202">
        <f t="shared" si="67"/>
        <v>23.299700000000001</v>
      </c>
      <c r="AB110" s="57" t="str">
        <f>VLOOKUP(A110,Enforcements!$C$7:$K$13,8,0)</f>
        <v>Bulletin (2)</v>
      </c>
      <c r="AC110" s="53" t="str">
        <f>VLOOKUP(A110,Enforcements!$C$7:$E$13,3,0)</f>
        <v>GRADE CROSSING</v>
      </c>
      <c r="AD110" s="54" t="str">
        <f t="shared" si="68"/>
        <v>0191-23</v>
      </c>
      <c r="AE110" s="80" t="str">
        <f t="shared" si="69"/>
        <v>aws s3 cp s3://rtdc.mdm.uploadarchive.raw/RTDC4022/ "%USERPROFILE%\AppData\Local\Temp\OnboardLogs"\RTDC4022\2017-04-23 --exclude "*" --recursive --include "*20170423*" &amp; "%USERPROFILE%\Documents\GitHub\mrs-test-scripts\Headless Mode &amp; Sideloading\WalkAndUnGZ.bat" "%USERPROFILE%\AppData\Local\Temp\OnboardLogs"\RTDC4022\2017-04-23 &amp; aws s3 cp s3://rtdc.mdm.uploadarchive.raw/RTDC4022/ "%USERPROFILE%\AppData\Local\Temp\OnboardLogs"\RTDC4022\2017-04-24 --exclude "*" --recursive --include "*20170424*" &amp; "%USERPROFILE%\Documents\GitHub\mrs-test-scripts\Headless Mode &amp; Sideloading\WalkAndUnGZ.bat" "%USERPROFILE%\AppData\Local\Temp\OnboardLogs"\RTDC4022\2017-04-24</v>
      </c>
      <c r="AF110" s="77" t="str">
        <f t="shared" si="70"/>
        <v>"C:\Program Files (x86)\AstroGrep\AstroGrep.exe" /e /r /s /spath="%USERPROFILE%\AppData\Local\Temp\OnboardLogs" /stypes="app*4022*20170423*" /stext=" 21:.+((SYSTEM_STATE.+slice.+state.+changed )|(ment ac)|(multiple cpu faults)|(system.+state.+changed )|(\[timeout)|(PRM\|1\|D)|(kpr)|(kdp)|(\|lc)|(penalty))"</v>
      </c>
      <c r="AG110" s="1" t="str">
        <f t="shared" si="71"/>
        <v>EC</v>
      </c>
      <c r="AH110" s="81" t="str">
        <f t="shared" si="53"/>
        <v>"%USERPROFILE%\Documents\GitHub\eaglep3\Utilities\RefineRTDCRunTimes.py" --tripid 191-23 --locoid 4022 --swversion DE.1.0.9.0 --startMP 204:413 --initTime 2017-04-23T14:57:45 --startdatetime 2017-04-23T15:00:26 --delay 1 --endMP 204:233410 --enddatetime 2017-04-23T15:36:52 --enforcementcount 0 &gt;&gt;C:\Users\stu\Documents\GitHub\eaglep3-reporting\EC\2017-04-23-refined-times.txt</v>
      </c>
      <c r="AI110" s="99" t="str">
        <f t="shared" si="54"/>
        <v>echo {"issue":{"subject":"","project_id":79,"tracker_id":40,"status_id":1,"priority_id":2,"assigned_to_id":23,"start_date":"2017-04-23","description":"","custom_fields":[{"id":1,"name":"Subdivision","value":"EC"},{"id":4,"name":"Milepost","value":"23.341"},{"id":17,"name":"Train ID","value":"191-23"},{"id":16,"name":"Locomotive ID","value":"4022"},{"id":130,"name":"Impact","value":""},{"id":150,"name":"Time of Event (Mountain Time)","value":"15:36:52"},{"id":151,"name":"Denver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5" t="str">
        <f t="shared" si="55"/>
        <v>start /low /b %USERPROFILE%\Documents\GitHub\eaglep3\Utilities\DownloadLogsFromS3.py --loco 4022 --day 2017-04-23</v>
      </c>
      <c r="AN110" s="154" t="str">
        <f t="shared" si="56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21:36:52"},{"id":29,"name":"Sharepoint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759</v>
      </c>
      <c r="B111" s="7">
        <v>4021</v>
      </c>
      <c r="C111" s="21" t="s">
        <v>213</v>
      </c>
      <c r="D111" s="21" t="s">
        <v>955</v>
      </c>
      <c r="E111" s="13">
        <v>42848.66138888889</v>
      </c>
      <c r="F111" s="13">
        <v>42848.664317129631</v>
      </c>
      <c r="G111" s="7">
        <v>1</v>
      </c>
      <c r="H111" s="21" t="s">
        <v>956</v>
      </c>
      <c r="I111" s="13">
        <v>42848.691087962965</v>
      </c>
      <c r="J111" s="7">
        <v>0</v>
      </c>
      <c r="K111" s="92" t="str">
        <f t="shared" si="59"/>
        <v>4021/4022</v>
      </c>
      <c r="L111" s="21" t="str">
        <f>VLOOKUP(A111,'Trips&amp;Operators'!$C$1:$G$99999,5,FALSE)</f>
        <v>LEVIN SCOTT</v>
      </c>
      <c r="M111" s="6">
        <f t="shared" si="60"/>
        <v>2.6770833334012423E-2</v>
      </c>
      <c r="N111" s="7">
        <f t="shared" si="57"/>
        <v>38.550000000977889</v>
      </c>
      <c r="O111" s="7"/>
      <c r="P111" s="7"/>
      <c r="Q111" s="22"/>
      <c r="R111" s="200"/>
      <c r="S111" s="206">
        <f t="shared" si="58"/>
        <v>1</v>
      </c>
      <c r="T111" s="200" t="str">
        <f t="shared" si="61"/>
        <v>Southbound</v>
      </c>
      <c r="U111" s="200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01" t="str">
        <f t="shared" si="62"/>
        <v>https://d0f6bd738d7f1b3e5a7ca70fe4ff75f0.us-east-1.aws.found.io/app/kibana#/discover/Steve-Slow-Train-Analysis-(2080s-and-2083s)?_g=(refreshInterval:(display:Off,pause:!f,section:0,value:0),time:(from:'2017-04-23T14:52:24-0600',mode:absolute,to:'2017-04-23T17:35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11" s="202" t="str">
        <f t="shared" si="63"/>
        <v>N</v>
      </c>
      <c r="X111" s="202">
        <f t="shared" si="64"/>
        <v>1</v>
      </c>
      <c r="Y111" s="202">
        <f t="shared" si="65"/>
        <v>23.3078</v>
      </c>
      <c r="Z111" s="202">
        <f t="shared" si="66"/>
        <v>1.21E-2</v>
      </c>
      <c r="AA111" s="202">
        <f t="shared" si="67"/>
        <v>23.2957</v>
      </c>
      <c r="AB111" s="57" t="e">
        <f>VLOOKUP(A111,Enforcements!$C$7:$K$13,8,0)</f>
        <v>#N/A</v>
      </c>
      <c r="AC111" s="53" t="e">
        <f>VLOOKUP(A111,Enforcements!$C$7:$E$13,3,0)</f>
        <v>#N/A</v>
      </c>
      <c r="AD111" s="54" t="str">
        <f t="shared" si="68"/>
        <v>0192-23</v>
      </c>
      <c r="AE111" s="80" t="str">
        <f t="shared" si="69"/>
        <v>aws s3 cp s3://rtdc.mdm.uploadarchive.raw/RTDC4021/ "%USERPROFILE%\AppData\Local\Temp\OnboardLogs"\RTDC4021\2017-04-23 --exclude "*" --recursive --include "*20170423*" &amp; "%USERPROFILE%\Documents\GitHub\mrs-test-scripts\Headless Mode &amp; Sideloading\WalkAndUnGZ.bat" "%USERPROFILE%\AppData\Local\Temp\OnboardLogs"\RTDC4021\2017-04-23 &amp; aws s3 cp s3://rtdc.mdm.uploadarchive.raw/RTDC4021/ "%USERPROFILE%\AppData\Local\Temp\OnboardLogs"\RTDC4021\2017-04-24 --exclude "*" --recursive --include "*20170424*" &amp; "%USERPROFILE%\Documents\GitHub\mrs-test-scripts\Headless Mode &amp; Sideloading\WalkAndUnGZ.bat" "%USERPROFILE%\AppData\Local\Temp\OnboardLogs"\RTDC4021\2017-04-24</v>
      </c>
      <c r="AF111" s="77" t="str">
        <f t="shared" si="70"/>
        <v>"C:\Program Files (x86)\AstroGrep\AstroGrep.exe" /e /r /s /spath="%USERPROFILE%\AppData\Local\Temp\OnboardLogs" /stypes="app*4021*20170423*" /stext=" 22:.+((SYSTEM_STATE.+slice.+state.+changed )|(ment ac)|(multiple cpu faults)|(system.+state.+changed )|(\[timeout)|(PRM\|1\|D)|(kpr)|(kdp)|(\|lc)|(penalty))"</v>
      </c>
      <c r="AG111" s="1" t="str">
        <f t="shared" si="71"/>
        <v>EC</v>
      </c>
      <c r="AH111" s="81" t="str">
        <f t="shared" si="53"/>
        <v>"%USERPROFILE%\Documents\GitHub\eaglep3\Utilities\RefineRTDCRunTimes.py" --tripid 192-23 --locoid 4021 --swversion DE.1.0.9.0 --startMP 204:233078 --initTime 2017-04-23T15:52:24 --startdatetime 2017-04-23T15:56:37 --delay 1 --endMP 204:121 --enddatetime 2017-04-23T16:35:10 --enforcementcount 0 &gt;&gt;C:\Users\stu\Documents\GitHub\eaglep3-reporting\EC\2017-04-23-refined-times.txt</v>
      </c>
      <c r="AI111" s="99" t="str">
        <f t="shared" si="54"/>
        <v>echo {"issue":{"subject":"","project_id":79,"tracker_id":40,"status_id":1,"priority_id":2,"assigned_to_id":23,"start_date":"2017-04-23","description":"","custom_fields":[{"id":1,"name":"Subdivision","value":"EC"},{"id":4,"name":"Milepost","value":"0.0121"},{"id":17,"name":"Train ID","value":"192-23"},{"id":16,"name":"Locomotive ID","value":"4021"},{"id":130,"name":"Impact","value":""},{"id":150,"name":"Time of Event (Mountain Time)","value":"16:35:10"},{"id":151,"name":"Denver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5" t="str">
        <f t="shared" si="55"/>
        <v>start /low /b %USERPROFILE%\Documents\GitHub\eaglep3\Utilities\DownloadLogsFromS3.py --loco 4021 --day 2017-04-23</v>
      </c>
      <c r="AN111" s="154" t="str">
        <f t="shared" si="56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22:35:10"},{"id":29,"name":"Sharepoint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754</v>
      </c>
      <c r="B112" s="7">
        <v>4042</v>
      </c>
      <c r="C112" s="21" t="s">
        <v>213</v>
      </c>
      <c r="D112" s="21" t="s">
        <v>395</v>
      </c>
      <c r="E112" s="13">
        <v>42848.629745370374</v>
      </c>
      <c r="F112" s="13">
        <v>42848.635625000003</v>
      </c>
      <c r="G112" s="7">
        <v>1</v>
      </c>
      <c r="H112" s="21" t="s">
        <v>566</v>
      </c>
      <c r="I112" s="13">
        <v>42848.660358796296</v>
      </c>
      <c r="J112" s="7">
        <v>0</v>
      </c>
      <c r="K112" s="92" t="str">
        <f t="shared" si="59"/>
        <v>4041/4042</v>
      </c>
      <c r="L112" s="21" t="str">
        <f>VLOOKUP(A112,'Trips&amp;Operators'!$C$1:$G$99999,5,FALSE)</f>
        <v>BRUDER RICHARD</v>
      </c>
      <c r="M112" s="6">
        <f t="shared" si="60"/>
        <v>2.4733796293730848E-2</v>
      </c>
      <c r="N112" s="7">
        <f t="shared" si="57"/>
        <v>35.61666666297242</v>
      </c>
      <c r="O112" s="7"/>
      <c r="P112" s="7"/>
      <c r="Q112" s="22"/>
      <c r="R112" s="200"/>
      <c r="S112" s="206">
        <f t="shared" si="58"/>
        <v>1</v>
      </c>
      <c r="T112" s="200" t="str">
        <f t="shared" si="61"/>
        <v>NorthBound</v>
      </c>
      <c r="U112" s="200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01" t="str">
        <f t="shared" si="62"/>
        <v>https://d0f6bd738d7f1b3e5a7ca70fe4ff75f0.us-east-1.aws.found.io/app/kibana#/discover/Steve-Slow-Train-Analysis-(2080s-and-2083s)?_g=(refreshInterval:(display:Off,pause:!f,section:0,value:0),time:(from:'2017-04-23T14:06:50-0600',mode:absolute,to:'2017-04-23T16:50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2" s="202" t="str">
        <f t="shared" si="63"/>
        <v>N</v>
      </c>
      <c r="X112" s="202">
        <f t="shared" si="64"/>
        <v>1</v>
      </c>
      <c r="Y112" s="202">
        <f t="shared" si="65"/>
        <v>4.58E-2</v>
      </c>
      <c r="Z112" s="202">
        <f t="shared" si="66"/>
        <v>23.331399999999999</v>
      </c>
      <c r="AA112" s="202">
        <f t="shared" si="67"/>
        <v>23.285599999999999</v>
      </c>
      <c r="AB112" s="57" t="e">
        <f>VLOOKUP(A112,Enforcements!$C$7:$K$13,8,0)</f>
        <v>#N/A</v>
      </c>
      <c r="AC112" s="53" t="e">
        <f>VLOOKUP(A112,Enforcements!$C$7:$E$13,3,0)</f>
        <v>#N/A</v>
      </c>
      <c r="AD112" s="54" t="str">
        <f t="shared" si="68"/>
        <v>0193-23</v>
      </c>
      <c r="AE112" s="80" t="str">
        <f t="shared" si="69"/>
        <v>aws s3 cp s3://rtdc.mdm.uploadarchive.raw/RTDC4042/ "%USERPROFILE%\AppData\Local\Temp\OnboardLogs"\RTDC4042\2017-04-23 --exclude "*" --recursive --include "*20170423*" &amp; "%USERPROFILE%\Documents\GitHub\mrs-test-scripts\Headless Mode &amp; Sideloading\WalkAndUnGZ.bat" "%USERPROFILE%\AppData\Local\Temp\OnboardLogs"\RTDC4042\2017-04-23 &amp; aws s3 cp s3://rtdc.mdm.uploadarchive.raw/RTDC4042/ "%USERPROFILE%\AppData\Local\Temp\OnboardLogs"\RTDC4042\2017-04-24 --exclude "*" --recursive --include "*20170424*" &amp; "%USERPROFILE%\Documents\GitHub\mrs-test-scripts\Headless Mode &amp; Sideloading\WalkAndUnGZ.bat" "%USERPROFILE%\AppData\Local\Temp\OnboardLogs"\RTDC4042\2017-04-24</v>
      </c>
      <c r="AF112" s="77" t="str">
        <f t="shared" si="70"/>
        <v>"C:\Program Files (x86)\AstroGrep\AstroGrep.exe" /e /r /s /spath="%USERPROFILE%\AppData\Local\Temp\OnboardLogs" /stypes="app*4042*20170423*" /stext=" 21:.+((SYSTEM_STATE.+slice.+state.+changed )|(ment ac)|(multiple cpu faults)|(system.+state.+changed )|(\[timeout)|(PRM\|1\|D)|(kpr)|(kdp)|(\|lc)|(penalty))"</v>
      </c>
      <c r="AG112" s="1" t="str">
        <f t="shared" si="71"/>
        <v>EC</v>
      </c>
      <c r="AH112" s="81" t="str">
        <f t="shared" si="53"/>
        <v>"%USERPROFILE%\Documents\GitHub\eaglep3\Utilities\RefineRTDCRunTimes.py" --tripid 193-23 --locoid 4042 --swversion DE.1.0.9.0 --startMP 204:458 --initTime 2017-04-23T15:06:50 --startdatetime 2017-04-23T15:15:18 --delay 1 --endMP 204:233314 --enddatetime 2017-04-23T15:50:55 --enforcementcount 0 &gt;&gt;C:\Users\stu\Documents\GitHub\eaglep3-reporting\EC\2017-04-23-refined-times.txt</v>
      </c>
      <c r="AI112" s="99" t="str">
        <f t="shared" si="54"/>
        <v>echo {"issue":{"subject":"","project_id":79,"tracker_id":40,"status_id":1,"priority_id":2,"assigned_to_id":23,"start_date":"2017-04-23","description":"","custom_fields":[{"id":1,"name":"Subdivision","value":"EC"},{"id":4,"name":"Milepost","value":"23.3314"},{"id":17,"name":"Train ID","value":"193-23"},{"id":16,"name":"Locomotive ID","value":"4042"},{"id":130,"name":"Impact","value":""},{"id":150,"name":"Time of Event (Mountain Time)","value":"15:50:55"},{"id":151,"name":"Denver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5" t="str">
        <f t="shared" si="55"/>
        <v>start /low /b %USERPROFILE%\Documents\GitHub\eaglep3\Utilities\DownloadLogsFromS3.py --loco 4042 --day 2017-04-23</v>
      </c>
      <c r="AN112" s="154" t="str">
        <f t="shared" si="56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21:50:55"},{"id":29,"name":"Sharepoint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761</v>
      </c>
      <c r="B113" s="7">
        <v>4041</v>
      </c>
      <c r="C113" s="21" t="s">
        <v>213</v>
      </c>
      <c r="D113" s="21" t="s">
        <v>475</v>
      </c>
      <c r="E113" s="13">
        <v>42848.669340277775</v>
      </c>
      <c r="F113" s="13">
        <v>42848.674502314818</v>
      </c>
      <c r="G113" s="7">
        <v>2</v>
      </c>
      <c r="H113" s="21" t="s">
        <v>197</v>
      </c>
      <c r="I113" s="13">
        <v>42848.700370370374</v>
      </c>
      <c r="J113" s="7">
        <v>0</v>
      </c>
      <c r="K113" s="92" t="str">
        <f t="shared" si="59"/>
        <v>4041/4042</v>
      </c>
      <c r="L113" s="21" t="str">
        <f>VLOOKUP(A113,'Trips&amp;Operators'!$C$1:$G$99999,5,FALSE)</f>
        <v>BRUDER RICHARD</v>
      </c>
      <c r="M113" s="6">
        <f t="shared" si="60"/>
        <v>2.5868055556202307E-2</v>
      </c>
      <c r="N113" s="7">
        <f t="shared" si="57"/>
        <v>37.250000000931323</v>
      </c>
      <c r="O113" s="7"/>
      <c r="P113" s="7"/>
      <c r="Q113" s="22"/>
      <c r="R113" s="200"/>
      <c r="S113" s="206">
        <f t="shared" si="58"/>
        <v>1</v>
      </c>
      <c r="T113" s="200" t="str">
        <f t="shared" si="61"/>
        <v>Southbound</v>
      </c>
      <c r="U113" s="200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01" t="str">
        <f t="shared" si="62"/>
        <v>https://d0f6bd738d7f1b3e5a7ca70fe4ff75f0.us-east-1.aws.found.io/app/kibana#/discover/Steve-Slow-Train-Analysis-(2080s-and-2083s)?_g=(refreshInterval:(display:Off,pause:!f,section:0,value:0),time:(from:'2017-04-23T15:03:51-0600',mode:absolute,to:'2017-04-23T17:48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3" s="202" t="str">
        <f t="shared" si="63"/>
        <v>N</v>
      </c>
      <c r="X113" s="202">
        <f t="shared" si="64"/>
        <v>1</v>
      </c>
      <c r="Y113" s="202">
        <f t="shared" si="65"/>
        <v>23.299399999999999</v>
      </c>
      <c r="Z113" s="202">
        <f t="shared" si="66"/>
        <v>1.52E-2</v>
      </c>
      <c r="AA113" s="202">
        <f t="shared" si="67"/>
        <v>23.284199999999998</v>
      </c>
      <c r="AB113" s="57" t="e">
        <f>VLOOKUP(A113,Enforcements!$C$7:$K$13,8,0)</f>
        <v>#N/A</v>
      </c>
      <c r="AC113" s="53" t="e">
        <f>VLOOKUP(A113,Enforcements!$C$7:$E$13,3,0)</f>
        <v>#N/A</v>
      </c>
      <c r="AD113" s="54" t="str">
        <f t="shared" si="68"/>
        <v>0194-23</v>
      </c>
      <c r="AE113" s="80" t="str">
        <f t="shared" si="69"/>
        <v>aws s3 cp s3://rtdc.mdm.uploadarchive.raw/RTDC4041/ "%USERPROFILE%\AppData\Local\Temp\OnboardLogs"\RTDC4041\2017-04-23 --exclude "*" --recursive --include "*20170423*" &amp; "%USERPROFILE%\Documents\GitHub\mrs-test-scripts\Headless Mode &amp; Sideloading\WalkAndUnGZ.bat" "%USERPROFILE%\AppData\Local\Temp\OnboardLogs"\RTDC4041\2017-04-23 &amp; aws s3 cp s3://rtdc.mdm.uploadarchive.raw/RTDC4041/ "%USERPROFILE%\AppData\Local\Temp\OnboardLogs"\RTDC4041\2017-04-24 --exclude "*" --recursive --include "*20170424*" &amp; "%USERPROFILE%\Documents\GitHub\mrs-test-scripts\Headless Mode &amp; Sideloading\WalkAndUnGZ.bat" "%USERPROFILE%\AppData\Local\Temp\OnboardLogs"\RTDC4041\2017-04-24</v>
      </c>
      <c r="AF113" s="77" t="str">
        <f t="shared" si="70"/>
        <v>"C:\Program Files (x86)\AstroGrep\AstroGrep.exe" /e /r /s /spath="%USERPROFILE%\AppData\Local\Temp\OnboardLogs" /stypes="app*4041*20170423*" /stext=" 22:.+((SYSTEM_STATE.+slice.+state.+changed )|(ment ac)|(multiple cpu faults)|(system.+state.+changed )|(\[timeout)|(PRM\|1\|D)|(kpr)|(kdp)|(\|lc)|(penalty))"</v>
      </c>
      <c r="AG113" s="1" t="str">
        <f t="shared" si="71"/>
        <v>EC</v>
      </c>
      <c r="AH113" s="81" t="str">
        <f t="shared" si="53"/>
        <v>"%USERPROFILE%\Documents\GitHub\eaglep3\Utilities\RefineRTDCRunTimes.py" --tripid 194-23 --locoid 4041 --swversion DE.1.0.9.0 --startMP 204:232994 --initTime 2017-04-23T16:03:51 --startdatetime 2017-04-23T16:11:17 --delay 2 --endMP 204:152 --enddatetime 2017-04-23T16:48:32 --enforcementcount 0 &gt;&gt;C:\Users\stu\Documents\GitHub\eaglep3-reporting\EC\2017-04-23-refined-times.txt</v>
      </c>
      <c r="AI113" s="99" t="str">
        <f t="shared" si="54"/>
        <v>echo {"issue":{"subject":"","project_id":79,"tracker_id":40,"status_id":1,"priority_id":2,"assigned_to_id":23,"start_date":"2017-04-23","description":"","custom_fields":[{"id":1,"name":"Subdivision","value":"EC"},{"id":4,"name":"Milepost","value":"0.0152"},{"id":17,"name":"Train ID","value":"194-23"},{"id":16,"name":"Locomotive ID","value":"4041"},{"id":130,"name":"Impact","value":""},{"id":150,"name":"Time of Event (Mountain Time)","value":"16:48:32"},{"id":151,"name":"Denver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5" t="str">
        <f t="shared" si="55"/>
        <v>start /low /b %USERPROFILE%\Documents\GitHub\eaglep3\Utilities\DownloadLogsFromS3.py --loco 4041 --day 2017-04-23</v>
      </c>
      <c r="AN113" s="154" t="str">
        <f t="shared" si="56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22:48:32"},{"id":29,"name":"Sharepoint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614</v>
      </c>
      <c r="B114" s="7">
        <v>4004</v>
      </c>
      <c r="C114" s="21" t="s">
        <v>213</v>
      </c>
      <c r="D114" s="21" t="s">
        <v>388</v>
      </c>
      <c r="E114" s="13">
        <v>42848.639687499999</v>
      </c>
      <c r="F114" s="13">
        <v>42848.64603009259</v>
      </c>
      <c r="G114" s="7">
        <v>1</v>
      </c>
      <c r="H114" s="21" t="s">
        <v>957</v>
      </c>
      <c r="I114" s="13">
        <v>42848.672766203701</v>
      </c>
      <c r="J114" s="7">
        <v>0</v>
      </c>
      <c r="K114" s="92" t="str">
        <f t="shared" si="59"/>
        <v>4003/4004</v>
      </c>
      <c r="L114" s="21" t="str">
        <f>VLOOKUP(A114,'Trips&amp;Operators'!$C$1:$G$99999,5,FALSE)</f>
        <v>DAVIDSON DAVID</v>
      </c>
      <c r="M114" s="6">
        <f t="shared" si="60"/>
        <v>2.6736111110949423E-2</v>
      </c>
      <c r="N114" s="7">
        <f t="shared" si="57"/>
        <v>38.499999999767169</v>
      </c>
      <c r="O114" s="7"/>
      <c r="P114" s="7"/>
      <c r="Q114" s="22"/>
      <c r="R114" s="200"/>
      <c r="S114" s="206">
        <f t="shared" si="58"/>
        <v>1</v>
      </c>
      <c r="T114" s="200" t="str">
        <f t="shared" si="61"/>
        <v>NorthBound</v>
      </c>
      <c r="U114" s="200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01" t="str">
        <f t="shared" si="62"/>
        <v>https://d0f6bd738d7f1b3e5a7ca70fe4ff75f0.us-east-1.aws.found.io/app/kibana#/discover/Steve-Slow-Train-Analysis-(2080s-and-2083s)?_g=(refreshInterval:(display:Off,pause:!f,section:0,value:0),time:(from:'2017-04-23T14:21:09-0600',mode:absolute,to:'2017-04-23T17:08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4" s="202" t="str">
        <f t="shared" si="63"/>
        <v>N</v>
      </c>
      <c r="X114" s="202">
        <f t="shared" si="64"/>
        <v>1</v>
      </c>
      <c r="Y114" s="202">
        <f t="shared" si="65"/>
        <v>4.4600000000000001E-2</v>
      </c>
      <c r="Z114" s="202">
        <f t="shared" si="66"/>
        <v>23.328800000000001</v>
      </c>
      <c r="AA114" s="202">
        <f t="shared" si="67"/>
        <v>23.284200000000002</v>
      </c>
      <c r="AB114" s="57" t="e">
        <f>VLOOKUP(A114,Enforcements!$C$7:$K$13,8,0)</f>
        <v>#N/A</v>
      </c>
      <c r="AC114" s="53" t="e">
        <f>VLOOKUP(A114,Enforcements!$C$7:$E$13,3,0)</f>
        <v>#N/A</v>
      </c>
      <c r="AD114" s="54" t="str">
        <f t="shared" si="68"/>
        <v>0195-23</v>
      </c>
      <c r="AE114" s="80" t="str">
        <f t="shared" si="69"/>
        <v>aws s3 cp s3://rtdc.mdm.uploadarchive.raw/RTDC4004/ "%USERPROFILE%\AppData\Local\Temp\OnboardLogs"\RTDC4004\2017-04-23 --exclude "*" --recursive --include "*20170423*" &amp; "%USERPROFILE%\Documents\GitHub\mrs-test-scripts\Headless Mode &amp; Sideloading\WalkAndUnGZ.bat" "%USERPROFILE%\AppData\Local\Temp\OnboardLogs"\RTDC4004\2017-04-23 &amp; aws s3 cp s3://rtdc.mdm.uploadarchive.raw/RTDC4004/ "%USERPROFILE%\AppData\Local\Temp\OnboardLogs"\RTDC4004\2017-04-24 --exclude "*" --recursive --include "*20170424*" &amp; "%USERPROFILE%\Documents\GitHub\mrs-test-scripts\Headless Mode &amp; Sideloading\WalkAndUnGZ.bat" "%USERPROFILE%\AppData\Local\Temp\OnboardLogs"\RTDC4004\2017-04-24</v>
      </c>
      <c r="AF114" s="77" t="str">
        <f t="shared" si="70"/>
        <v>"C:\Program Files (x86)\AstroGrep\AstroGrep.exe" /e /r /s /spath="%USERPROFILE%\AppData\Local\Temp\OnboardLogs" /stypes="app*4004*20170423*" /stext=" 22:.+((SYSTEM_STATE.+slice.+state.+changed )|(ment ac)|(multiple cpu faults)|(system.+state.+changed )|(\[timeout)|(PRM\|1\|D)|(kpr)|(kdp)|(\|lc)|(penalty))"</v>
      </c>
      <c r="AG114" s="1" t="str">
        <f t="shared" si="71"/>
        <v>EC</v>
      </c>
      <c r="AH114" s="81" t="str">
        <f t="shared" si="53"/>
        <v>"%USERPROFILE%\Documents\GitHub\eaglep3\Utilities\RefineRTDCRunTimes.py" --tripid 195-23 --locoid 4004 --swversion DE.1.0.9.0 --startMP 204:446 --initTime 2017-04-23T15:21:09 --startdatetime 2017-04-23T15:30:17 --delay 1 --endMP 204:233288 --enddatetime 2017-04-23T16:08:47 --enforcementcount 0 &gt;&gt;C:\Users\stu\Documents\GitHub\eaglep3-reporting\EC\2017-04-23-refined-times.txt</v>
      </c>
      <c r="AI114" s="99" t="str">
        <f t="shared" si="54"/>
        <v>echo {"issue":{"subject":"","project_id":79,"tracker_id":40,"status_id":1,"priority_id":2,"assigned_to_id":23,"start_date":"2017-04-23","description":"","custom_fields":[{"id":1,"name":"Subdivision","value":"EC"},{"id":4,"name":"Milepost","value":"23.3288"},{"id":17,"name":"Train ID","value":"195-23"},{"id":16,"name":"Locomotive ID","value":"4004"},{"id":130,"name":"Impact","value":""},{"id":150,"name":"Time of Event (Mountain Time)","value":"16:08:47"},{"id":151,"name":"Denver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5" t="str">
        <f t="shared" si="55"/>
        <v>start /low /b %USERPROFILE%\Documents\GitHub\eaglep3\Utilities\DownloadLogsFromS3.py --loco 4004 --day 2017-04-23</v>
      </c>
      <c r="AN114" s="154" t="str">
        <f t="shared" si="56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22:08:47"},{"id":29,"name":"Sharepoint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764</v>
      </c>
      <c r="B115" s="7">
        <v>4003</v>
      </c>
      <c r="C115" s="21" t="s">
        <v>213</v>
      </c>
      <c r="D115" s="21" t="s">
        <v>950</v>
      </c>
      <c r="E115" s="13">
        <v>42848.678553240738</v>
      </c>
      <c r="F115" s="13">
        <v>42848.684930555559</v>
      </c>
      <c r="G115" s="7">
        <v>1</v>
      </c>
      <c r="H115" s="21" t="s">
        <v>197</v>
      </c>
      <c r="I115" s="13">
        <v>42848.712569444448</v>
      </c>
      <c r="J115" s="7">
        <v>0</v>
      </c>
      <c r="K115" s="92" t="str">
        <f t="shared" si="59"/>
        <v>4003/4004</v>
      </c>
      <c r="L115" s="21" t="str">
        <f>VLOOKUP(A115,'Trips&amp;Operators'!$C$1:$G$99999,5,FALSE)</f>
        <v>DAVIDSON DAVID</v>
      </c>
      <c r="M115" s="6">
        <f t="shared" si="60"/>
        <v>2.7638888888759539E-2</v>
      </c>
      <c r="N115" s="7">
        <f t="shared" si="57"/>
        <v>39.799999999813735</v>
      </c>
      <c r="O115" s="7"/>
      <c r="P115" s="7"/>
      <c r="Q115" s="22"/>
      <c r="R115" s="200"/>
      <c r="S115" s="206">
        <f t="shared" si="58"/>
        <v>1</v>
      </c>
      <c r="T115" s="200" t="str">
        <f t="shared" si="61"/>
        <v>Southbound</v>
      </c>
      <c r="U115" s="200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01" t="str">
        <f t="shared" si="62"/>
        <v>https://d0f6bd738d7f1b3e5a7ca70fe4ff75f0.us-east-1.aws.found.io/app/kibana#/discover/Steve-Slow-Train-Analysis-(2080s-and-2083s)?_g=(refreshInterval:(display:Off,pause:!f,section:0,value:0),time:(from:'2017-04-23T15:17:07-0600',mode:absolute,to:'2017-04-23T18:06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5" s="202" t="str">
        <f t="shared" si="63"/>
        <v>N</v>
      </c>
      <c r="X115" s="202">
        <f t="shared" si="64"/>
        <v>1</v>
      </c>
      <c r="Y115" s="202">
        <f t="shared" si="65"/>
        <v>23.296700000000001</v>
      </c>
      <c r="Z115" s="202">
        <f t="shared" si="66"/>
        <v>1.52E-2</v>
      </c>
      <c r="AA115" s="202">
        <f t="shared" si="67"/>
        <v>23.281500000000001</v>
      </c>
      <c r="AB115" s="57" t="e">
        <f>VLOOKUP(A115,Enforcements!$C$7:$K$13,8,0)</f>
        <v>#N/A</v>
      </c>
      <c r="AC115" s="53" t="e">
        <f>VLOOKUP(A115,Enforcements!$C$7:$E$13,3,0)</f>
        <v>#N/A</v>
      </c>
      <c r="AD115" s="54" t="str">
        <f t="shared" si="68"/>
        <v>0196-23</v>
      </c>
      <c r="AE115" s="80" t="str">
        <f t="shared" si="69"/>
        <v>aws s3 cp s3://rtdc.mdm.uploadarchive.raw/RTDC4003/ "%USERPROFILE%\AppData\Local\Temp\OnboardLogs"\RTDC4003\2017-04-23 --exclude "*" --recursive --include "*20170423*" &amp; "%USERPROFILE%\Documents\GitHub\mrs-test-scripts\Headless Mode &amp; Sideloading\WalkAndUnGZ.bat" "%USERPROFILE%\AppData\Local\Temp\OnboardLogs"\RTDC4003\2017-04-23 &amp; aws s3 cp s3://rtdc.mdm.uploadarchive.raw/RTDC4003/ "%USERPROFILE%\AppData\Local\Temp\OnboardLogs"\RTDC4003\2017-04-24 --exclude "*" --recursive --include "*20170424*" &amp; "%USERPROFILE%\Documents\GitHub\mrs-test-scripts\Headless Mode &amp; Sideloading\WalkAndUnGZ.bat" "%USERPROFILE%\AppData\Local\Temp\OnboardLogs"\RTDC4003\2017-04-24</v>
      </c>
      <c r="AF115" s="77" t="str">
        <f t="shared" si="70"/>
        <v>"C:\Program Files (x86)\AstroGrep\AstroGrep.exe" /e /r /s /spath="%USERPROFILE%\AppData\Local\Temp\OnboardLogs" /stypes="app*4003*20170423*" /stext=" 23:.+((SYSTEM_STATE.+slice.+state.+changed )|(ment ac)|(multiple cpu faults)|(system.+state.+changed )|(\[timeout)|(PRM\|1\|D)|(kpr)|(kdp)|(\|lc)|(penalty))"</v>
      </c>
      <c r="AG115" s="1" t="str">
        <f t="shared" si="71"/>
        <v>EC</v>
      </c>
      <c r="AH115" s="81" t="str">
        <f t="shared" si="53"/>
        <v>"%USERPROFILE%\Documents\GitHub\eaglep3\Utilities\RefineRTDCRunTimes.py" --tripid 196-23 --locoid 4003 --swversion DE.1.0.9.0 --startMP 204:232967 --initTime 2017-04-23T16:17:07 --startdatetime 2017-04-23T16:26:18 --delay 1 --endMP 204:152 --enddatetime 2017-04-23T17:06:06 --enforcementcount 0 &gt;&gt;C:\Users\stu\Documents\GitHub\eaglep3-reporting\EC\2017-04-23-refined-times.txt</v>
      </c>
      <c r="AI115" s="99" t="str">
        <f t="shared" si="54"/>
        <v>echo {"issue":{"subject":"","project_id":79,"tracker_id":40,"status_id":1,"priority_id":2,"assigned_to_id":23,"start_date":"2017-04-23","description":"","custom_fields":[{"id":1,"name":"Subdivision","value":"EC"},{"id":4,"name":"Milepost","value":"0.0152"},{"id":17,"name":"Train ID","value":"196-23"},{"id":16,"name":"Locomotive ID","value":"4003"},{"id":130,"name":"Impact","value":""},{"id":150,"name":"Time of Event (Mountain Time)","value":"17:06:06"},{"id":151,"name":"Denver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5" t="str">
        <f t="shared" si="55"/>
        <v>start /low /b %USERPROFILE%\Documents\GitHub\eaglep3\Utilities\DownloadLogsFromS3.py --loco 4003 --day 2017-04-23</v>
      </c>
      <c r="AN115" s="154" t="str">
        <f t="shared" si="56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23:06:06"},{"id":29,"name":"Sharepoint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758</v>
      </c>
      <c r="B116" s="7">
        <v>4002</v>
      </c>
      <c r="C116" s="21" t="s">
        <v>213</v>
      </c>
      <c r="D116" s="21" t="s">
        <v>452</v>
      </c>
      <c r="E116" s="13">
        <v>42848.650960648149</v>
      </c>
      <c r="F116" s="13">
        <v>42848.656435185185</v>
      </c>
      <c r="G116" s="7">
        <v>1</v>
      </c>
      <c r="H116" s="21" t="s">
        <v>958</v>
      </c>
      <c r="I116" s="13">
        <v>42848.68037037037</v>
      </c>
      <c r="J116" s="7">
        <v>0</v>
      </c>
      <c r="K116" s="92" t="str">
        <f t="shared" si="59"/>
        <v>4001/4002</v>
      </c>
      <c r="L116" s="21" t="str">
        <f>VLOOKUP(A116,'Trips&amp;Operators'!$C$1:$G$99999,5,FALSE)</f>
        <v>ROMERO CHAD</v>
      </c>
      <c r="M116" s="6">
        <f t="shared" si="60"/>
        <v>2.3935185185109731E-2</v>
      </c>
      <c r="N116" s="7">
        <f t="shared" si="57"/>
        <v>34.466666666558012</v>
      </c>
      <c r="O116" s="7"/>
      <c r="P116" s="7"/>
      <c r="Q116" s="22"/>
      <c r="R116" s="200"/>
      <c r="S116" s="206">
        <f t="shared" si="58"/>
        <v>1</v>
      </c>
      <c r="T116" s="200" t="str">
        <f t="shared" si="61"/>
        <v>NorthBound</v>
      </c>
      <c r="U116" s="200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01" t="str">
        <f t="shared" si="62"/>
        <v>https://d0f6bd738d7f1b3e5a7ca70fe4ff75f0.us-east-1.aws.found.io/app/kibana#/discover/Steve-Slow-Train-Analysis-(2080s-and-2083s)?_g=(refreshInterval:(display:Off,pause:!f,section:0,value:0),time:(from:'2017-04-23T14:37:23-0600',mode:absolute,to:'2017-04-23T17:19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6" s="202" t="str">
        <f t="shared" si="63"/>
        <v>N</v>
      </c>
      <c r="X116" s="202">
        <f t="shared" si="64"/>
        <v>1</v>
      </c>
      <c r="Y116" s="202">
        <f t="shared" si="65"/>
        <v>4.3799999999999999E-2</v>
      </c>
      <c r="Z116" s="202">
        <f t="shared" si="66"/>
        <v>23.340599999999998</v>
      </c>
      <c r="AA116" s="202">
        <f t="shared" si="67"/>
        <v>23.296799999999998</v>
      </c>
      <c r="AB116" s="57" t="e">
        <f>VLOOKUP(A116,Enforcements!$C$7:$K$13,8,0)</f>
        <v>#N/A</v>
      </c>
      <c r="AC116" s="53" t="e">
        <f>VLOOKUP(A116,Enforcements!$C$7:$E$13,3,0)</f>
        <v>#N/A</v>
      </c>
      <c r="AD116" s="54" t="str">
        <f t="shared" si="68"/>
        <v>0197-23</v>
      </c>
      <c r="AE116" s="80" t="str">
        <f t="shared" si="69"/>
        <v>aws s3 cp s3://rtdc.mdm.uploadarchive.raw/RTDC4002/ "%USERPROFILE%\AppData\Local\Temp\OnboardLogs"\RTDC4002\2017-04-23 --exclude "*" --recursive --include "*20170423*" &amp; "%USERPROFILE%\Documents\GitHub\mrs-test-scripts\Headless Mode &amp; Sideloading\WalkAndUnGZ.bat" "%USERPROFILE%\AppData\Local\Temp\OnboardLogs"\RTDC4002\2017-04-23 &amp; aws s3 cp s3://rtdc.mdm.uploadarchive.raw/RTDC4002/ "%USERPROFILE%\AppData\Local\Temp\OnboardLogs"\RTDC4002\2017-04-24 --exclude "*" --recursive --include "*20170424*" &amp; "%USERPROFILE%\Documents\GitHub\mrs-test-scripts\Headless Mode &amp; Sideloading\WalkAndUnGZ.bat" "%USERPROFILE%\AppData\Local\Temp\OnboardLogs"\RTDC4002\2017-04-24</v>
      </c>
      <c r="AF116" s="77" t="str">
        <f t="shared" si="70"/>
        <v>"C:\Program Files (x86)\AstroGrep\AstroGrep.exe" /e /r /s /spath="%USERPROFILE%\AppData\Local\Temp\OnboardLogs" /stypes="app*4002*20170423*" /stext=" 22:.+((SYSTEM_STATE.+slice.+state.+changed )|(ment ac)|(multiple cpu faults)|(system.+state.+changed )|(\[timeout)|(PRM\|1\|D)|(kpr)|(kdp)|(\|lc)|(penalty))"</v>
      </c>
      <c r="AG116" s="1" t="str">
        <f t="shared" si="71"/>
        <v>EC</v>
      </c>
      <c r="AH116" s="81" t="str">
        <f t="shared" si="53"/>
        <v>"%USERPROFILE%\Documents\GitHub\eaglep3\Utilities\RefineRTDCRunTimes.py" --tripid 197-23 --locoid 4002 --swversion DE.1.0.9.0 --startMP 204:438 --initTime 2017-04-23T15:37:23 --startdatetime 2017-04-23T15:45:16 --delay 1 --endMP 204:233406 --enddatetime 2017-04-23T16:19:44 --enforcementcount 0 &gt;&gt;C:\Users\stu\Documents\GitHub\eaglep3-reporting\EC\2017-04-23-refined-times.txt</v>
      </c>
      <c r="AI116" s="99" t="str">
        <f t="shared" si="54"/>
        <v>echo {"issue":{"subject":"","project_id":79,"tracker_id":40,"status_id":1,"priority_id":2,"assigned_to_id":23,"start_date":"2017-04-23","description":"","custom_fields":[{"id":1,"name":"Subdivision","value":"EC"},{"id":4,"name":"Milepost","value":"23.3406"},{"id":17,"name":"Train ID","value":"197-23"},{"id":16,"name":"Locomotive ID","value":"4002"},{"id":130,"name":"Impact","value":""},{"id":150,"name":"Time of Event (Mountain Time)","value":"16:19:44"},{"id":151,"name":"Denver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5" t="str">
        <f t="shared" si="55"/>
        <v>start /low /b %USERPROFILE%\Documents\GitHub\eaglep3\Utilities\DownloadLogsFromS3.py --loco 4002 --day 2017-04-23</v>
      </c>
      <c r="AN116" s="154" t="str">
        <f t="shared" si="56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22:19:44"},{"id":29,"name":"Sharepoint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765</v>
      </c>
      <c r="B117" s="7">
        <v>4001</v>
      </c>
      <c r="C117" s="21" t="s">
        <v>213</v>
      </c>
      <c r="D117" s="21" t="s">
        <v>959</v>
      </c>
      <c r="E117" s="13">
        <v>42848.682222222225</v>
      </c>
      <c r="F117" s="13">
        <v>42848.695405092592</v>
      </c>
      <c r="G117" s="7">
        <v>1</v>
      </c>
      <c r="H117" s="21" t="s">
        <v>381</v>
      </c>
      <c r="I117" s="13">
        <v>42848.720983796295</v>
      </c>
      <c r="J117" s="7">
        <v>0</v>
      </c>
      <c r="K117" s="92" t="str">
        <f t="shared" si="59"/>
        <v>4001/4002</v>
      </c>
      <c r="L117" s="21" t="str">
        <f>VLOOKUP(A117,'Trips&amp;Operators'!$C$1:$G$99999,5,FALSE)</f>
        <v>ROMERO CHAD</v>
      </c>
      <c r="M117" s="6">
        <f t="shared" si="60"/>
        <v>2.5578703702194616E-2</v>
      </c>
      <c r="N117" s="7">
        <f t="shared" si="57"/>
        <v>36.833333331160247</v>
      </c>
      <c r="O117" s="7"/>
      <c r="P117" s="7"/>
      <c r="Q117" s="22"/>
      <c r="R117" s="200"/>
      <c r="S117" s="206">
        <f t="shared" si="58"/>
        <v>1</v>
      </c>
      <c r="T117" s="200" t="str">
        <f t="shared" si="61"/>
        <v>Southbound</v>
      </c>
      <c r="U117" s="200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01" t="str">
        <f t="shared" si="62"/>
        <v>https://d0f6bd738d7f1b3e5a7ca70fe4ff75f0.us-east-1.aws.found.io/app/kibana#/discover/Steve-Slow-Train-Analysis-(2080s-and-2083s)?_g=(refreshInterval:(display:Off,pause:!f,section:0,value:0),time:(from:'2017-04-23T15:22:24-0600',mode:absolute,to:'2017-04-23T18:18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7" s="202" t="str">
        <f t="shared" si="63"/>
        <v>N</v>
      </c>
      <c r="X117" s="202">
        <f t="shared" si="64"/>
        <v>1</v>
      </c>
      <c r="Y117" s="202">
        <f t="shared" si="65"/>
        <v>23.308299999999999</v>
      </c>
      <c r="Z117" s="202">
        <f t="shared" si="66"/>
        <v>1.41E-2</v>
      </c>
      <c r="AA117" s="202">
        <f t="shared" si="67"/>
        <v>23.2942</v>
      </c>
      <c r="AB117" s="57" t="e">
        <f>VLOOKUP(A117,Enforcements!$C$7:$K$13,8,0)</f>
        <v>#N/A</v>
      </c>
      <c r="AC117" s="53" t="e">
        <f>VLOOKUP(A117,Enforcements!$C$7:$E$13,3,0)</f>
        <v>#N/A</v>
      </c>
      <c r="AD117" s="54" t="str">
        <f t="shared" si="68"/>
        <v>0198-23</v>
      </c>
      <c r="AE117" s="80" t="str">
        <f t="shared" si="69"/>
        <v>aws s3 cp s3://rtdc.mdm.uploadarchive.raw/RTDC4001/ "%USERPROFILE%\AppData\Local\Temp\OnboardLogs"\RTDC4001\2017-04-23 --exclude "*" --recursive --include "*20170423*" &amp; "%USERPROFILE%\Documents\GitHub\mrs-test-scripts\Headless Mode &amp; Sideloading\WalkAndUnGZ.bat" "%USERPROFILE%\AppData\Local\Temp\OnboardLogs"\RTDC4001\2017-04-23 &amp; aws s3 cp s3://rtdc.mdm.uploadarchive.raw/RTDC4001/ "%USERPROFILE%\AppData\Local\Temp\OnboardLogs"\RTDC4001\2017-04-24 --exclude "*" --recursive --include "*20170424*" &amp; "%USERPROFILE%\Documents\GitHub\mrs-test-scripts\Headless Mode &amp; Sideloading\WalkAndUnGZ.bat" "%USERPROFILE%\AppData\Local\Temp\OnboardLogs"\RTDC4001\2017-04-24</v>
      </c>
      <c r="AF117" s="77" t="str">
        <f t="shared" si="70"/>
        <v>"C:\Program Files (x86)\AstroGrep\AstroGrep.exe" /e /r /s /spath="%USERPROFILE%\AppData\Local\Temp\OnboardLogs" /stypes="app*4001*20170423*" /stext=" 23:.+((SYSTEM_STATE.+slice.+state.+changed )|(ment ac)|(multiple cpu faults)|(system.+state.+changed )|(\[timeout)|(PRM\|1\|D)|(kpr)|(kdp)|(\|lc)|(penalty))"</v>
      </c>
      <c r="AG117" s="1" t="str">
        <f t="shared" si="71"/>
        <v>EC</v>
      </c>
      <c r="AH117" s="81" t="str">
        <f t="shared" si="53"/>
        <v>"%USERPROFILE%\Documents\GitHub\eaglep3\Utilities\RefineRTDCRunTimes.py" --tripid 198-23 --locoid 4001 --swversion DE.1.0.9.0 --startMP 204:233083 --initTime 2017-04-23T16:22:24 --startdatetime 2017-04-23T16:41:23 --delay 1 --endMP 204:141 --enddatetime 2017-04-23T17:18:13 --enforcementcount 0 &gt;&gt;C:\Users\stu\Documents\GitHub\eaglep3-reporting\EC\2017-04-23-refined-times.txt</v>
      </c>
      <c r="AI117" s="99" t="str">
        <f t="shared" si="54"/>
        <v>echo {"issue":{"subject":"","project_id":79,"tracker_id":40,"status_id":1,"priority_id":2,"assigned_to_id":23,"start_date":"2017-04-23","description":"","custom_fields":[{"id":1,"name":"Subdivision","value":"EC"},{"id":4,"name":"Milepost","value":"0.0141"},{"id":17,"name":"Train ID","value":"198-23"},{"id":16,"name":"Locomotive ID","value":"4001"},{"id":130,"name":"Impact","value":""},{"id":150,"name":"Time of Event (Mountain Time)","value":"17:18:13"},{"id":151,"name":"Denver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5" t="str">
        <f t="shared" si="55"/>
        <v>start /low /b %USERPROFILE%\Documents\GitHub\eaglep3\Utilities\DownloadLogsFromS3.py --loco 4001 --day 2017-04-23</v>
      </c>
      <c r="AN117" s="154" t="str">
        <f t="shared" si="56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23:18:13"},{"id":29,"name":"Sharepoint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760</v>
      </c>
      <c r="B118" s="7">
        <v>4046</v>
      </c>
      <c r="C118" s="21" t="s">
        <v>213</v>
      </c>
      <c r="D118" s="21" t="s">
        <v>591</v>
      </c>
      <c r="E118" s="13">
        <v>42848.663206018522</v>
      </c>
      <c r="F118" s="13">
        <v>42848.666851851849</v>
      </c>
      <c r="G118" s="7">
        <v>1</v>
      </c>
      <c r="H118" s="21" t="s">
        <v>960</v>
      </c>
      <c r="I118" s="13">
        <v>42848.693032407406</v>
      </c>
      <c r="J118" s="7">
        <v>0</v>
      </c>
      <c r="K118" s="92" t="str">
        <f t="shared" si="59"/>
        <v>4045/4046</v>
      </c>
      <c r="L118" s="21" t="str">
        <f>VLOOKUP(A118,'Trips&amp;Operators'!$C$1:$G$99999,5,FALSE)</f>
        <v>BRANDNER MELINDA</v>
      </c>
      <c r="M118" s="6">
        <f t="shared" si="60"/>
        <v>2.6180555556493346E-2</v>
      </c>
      <c r="N118" s="7">
        <f t="shared" si="57"/>
        <v>37.700000001350418</v>
      </c>
      <c r="O118" s="7"/>
      <c r="P118" s="7"/>
      <c r="Q118" s="22"/>
      <c r="R118" s="200"/>
      <c r="S118" s="206">
        <f t="shared" si="58"/>
        <v>1</v>
      </c>
      <c r="T118" s="200" t="str">
        <f t="shared" si="61"/>
        <v>NorthBound</v>
      </c>
      <c r="U118" s="200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01" t="str">
        <f t="shared" si="62"/>
        <v>https://d0f6bd738d7f1b3e5a7ca70fe4ff75f0.us-east-1.aws.found.io/app/kibana#/discover/Steve-Slow-Train-Analysis-(2080s-and-2083s)?_g=(refreshInterval:(display:Off,pause:!f,section:0,value:0),time:(from:'2017-04-23T14:55:01-0600',mode:absolute,to:'2017-04-23T17:37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8" s="202" t="str">
        <f t="shared" si="63"/>
        <v>N</v>
      </c>
      <c r="X118" s="202">
        <f t="shared" si="64"/>
        <v>1</v>
      </c>
      <c r="Y118" s="202">
        <f t="shared" si="65"/>
        <v>4.7800000000000002E-2</v>
      </c>
      <c r="Z118" s="202">
        <f t="shared" si="66"/>
        <v>23.336400000000001</v>
      </c>
      <c r="AA118" s="202">
        <f t="shared" si="67"/>
        <v>23.288600000000002</v>
      </c>
      <c r="AB118" s="57" t="e">
        <f>VLOOKUP(A118,Enforcements!$C$7:$K$13,8,0)</f>
        <v>#N/A</v>
      </c>
      <c r="AC118" s="53" t="e">
        <f>VLOOKUP(A118,Enforcements!$C$7:$E$13,3,0)</f>
        <v>#N/A</v>
      </c>
      <c r="AD118" s="54" t="str">
        <f t="shared" si="68"/>
        <v>0199-23</v>
      </c>
      <c r="AE118" s="80" t="str">
        <f t="shared" si="69"/>
        <v>aws s3 cp s3://rtdc.mdm.uploadarchive.raw/RTDC4046/ "%USERPROFILE%\AppData\Local\Temp\OnboardLogs"\RTDC4046\2017-04-23 --exclude "*" --recursive --include "*20170423*" &amp; "%USERPROFILE%\Documents\GitHub\mrs-test-scripts\Headless Mode &amp; Sideloading\WalkAndUnGZ.bat" "%USERPROFILE%\AppData\Local\Temp\OnboardLogs"\RTDC4046\2017-04-23 &amp; aws s3 cp s3://rtdc.mdm.uploadarchive.raw/RTDC4046/ "%USERPROFILE%\AppData\Local\Temp\OnboardLogs"\RTDC4046\2017-04-24 --exclude "*" --recursive --include "*20170424*" &amp; "%USERPROFILE%\Documents\GitHub\mrs-test-scripts\Headless Mode &amp; Sideloading\WalkAndUnGZ.bat" "%USERPROFILE%\AppData\Local\Temp\OnboardLogs"\RTDC4046\2017-04-24</v>
      </c>
      <c r="AF118" s="77" t="str">
        <f t="shared" si="70"/>
        <v>"C:\Program Files (x86)\AstroGrep\AstroGrep.exe" /e /r /s /spath="%USERPROFILE%\AppData\Local\Temp\OnboardLogs" /stypes="app*4046*20170423*" /stext=" 22:.+((SYSTEM_STATE.+slice.+state.+changed )|(ment ac)|(multiple cpu faults)|(system.+state.+changed )|(\[timeout)|(PRM\|1\|D)|(kpr)|(kdp)|(\|lc)|(penalty))"</v>
      </c>
      <c r="AG118" s="1" t="str">
        <f t="shared" si="71"/>
        <v>EC</v>
      </c>
      <c r="AH118" s="81" t="str">
        <f t="shared" si="53"/>
        <v>"%USERPROFILE%\Documents\GitHub\eaglep3\Utilities\RefineRTDCRunTimes.py" --tripid 199-23 --locoid 4046 --swversion DE.1.0.9.0 --startMP 204:478 --initTime 2017-04-23T15:55:01 --startdatetime 2017-04-23T16:00:16 --delay 1 --endMP 204:233364 --enddatetime 2017-04-23T16:37:58 --enforcementcount 0 &gt;&gt;C:\Users\stu\Documents\GitHub\eaglep3-reporting\EC\2017-04-23-refined-times.txt</v>
      </c>
      <c r="AI118" s="99" t="str">
        <f t="shared" si="54"/>
        <v>echo {"issue":{"subject":"","project_id":79,"tracker_id":40,"status_id":1,"priority_id":2,"assigned_to_id":23,"start_date":"2017-04-23","description":"","custom_fields":[{"id":1,"name":"Subdivision","value":"EC"},{"id":4,"name":"Milepost","value":"23.3364"},{"id":17,"name":"Train ID","value":"199-23"},{"id":16,"name":"Locomotive ID","value":"4046"},{"id":130,"name":"Impact","value":""},{"id":150,"name":"Time of Event (Mountain Time)","value":"16:37:58"},{"id":151,"name":"Denver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5" t="str">
        <f t="shared" si="55"/>
        <v>start /low /b %USERPROFILE%\Documents\GitHub\eaglep3\Utilities\DownloadLogsFromS3.py --loco 4046 --day 2017-04-23</v>
      </c>
      <c r="AN118" s="154" t="str">
        <f t="shared" si="56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22:37:58"},{"id":29,"name":"Sharepoint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617</v>
      </c>
      <c r="B119" s="7">
        <v>4045</v>
      </c>
      <c r="C119" s="21" t="s">
        <v>213</v>
      </c>
      <c r="D119" s="21" t="s">
        <v>961</v>
      </c>
      <c r="E119" s="13">
        <v>42848.70045138889</v>
      </c>
      <c r="F119" s="13">
        <v>42848.70579861111</v>
      </c>
      <c r="G119" s="7">
        <v>1</v>
      </c>
      <c r="H119" s="21" t="s">
        <v>203</v>
      </c>
      <c r="I119" s="13">
        <v>42848.733935185184</v>
      </c>
      <c r="J119" s="7">
        <v>0</v>
      </c>
      <c r="K119" s="92" t="str">
        <f t="shared" si="59"/>
        <v>4045/4046</v>
      </c>
      <c r="L119" s="21" t="str">
        <f>VLOOKUP(A119,'Trips&amp;Operators'!$C$1:$G$99999,5,FALSE)</f>
        <v>BRANDNER MELINDA</v>
      </c>
      <c r="M119" s="6">
        <f t="shared" si="60"/>
        <v>2.8136574073869269E-2</v>
      </c>
      <c r="N119" s="7">
        <f t="shared" si="57"/>
        <v>40.516666666371748</v>
      </c>
      <c r="O119" s="7"/>
      <c r="P119" s="7"/>
      <c r="Q119" s="22"/>
      <c r="R119" s="200"/>
      <c r="S119" s="206">
        <f t="shared" si="58"/>
        <v>1</v>
      </c>
      <c r="T119" s="200" t="str">
        <f t="shared" si="61"/>
        <v>Southbound</v>
      </c>
      <c r="U119" s="200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01" t="str">
        <f t="shared" si="62"/>
        <v>https://d0f6bd738d7f1b3e5a7ca70fe4ff75f0.us-east-1.aws.found.io/app/kibana#/discover/Steve-Slow-Train-Analysis-(2080s-and-2083s)?_g=(refreshInterval:(display:Off,pause:!f,section:0,value:0),time:(from:'2017-04-23T15:48:39-0600',mode:absolute,to:'2017-04-23T18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19" s="202" t="str">
        <f t="shared" si="63"/>
        <v>N</v>
      </c>
      <c r="X119" s="202">
        <f t="shared" si="64"/>
        <v>1</v>
      </c>
      <c r="Y119" s="202">
        <f t="shared" si="65"/>
        <v>23.304400000000001</v>
      </c>
      <c r="Z119" s="202">
        <f t="shared" si="66"/>
        <v>1.54E-2</v>
      </c>
      <c r="AA119" s="202">
        <f t="shared" si="67"/>
        <v>23.289000000000001</v>
      </c>
      <c r="AB119" s="57" t="e">
        <f>VLOOKUP(A119,Enforcements!$C$7:$K$13,8,0)</f>
        <v>#N/A</v>
      </c>
      <c r="AC119" s="53" t="e">
        <f>VLOOKUP(A119,Enforcements!$C$7:$E$13,3,0)</f>
        <v>#N/A</v>
      </c>
      <c r="AD119" s="54" t="str">
        <f t="shared" si="68"/>
        <v>0200-23</v>
      </c>
      <c r="AE119" s="80" t="str">
        <f t="shared" si="69"/>
        <v>aws s3 cp s3://rtdc.mdm.uploadarchive.raw/RTDC4045/ "%USERPROFILE%\AppData\Local\Temp\OnboardLogs"\RTDC4045\2017-04-23 --exclude "*" --recursive --include "*20170423*" &amp; "%USERPROFILE%\Documents\GitHub\mrs-test-scripts\Headless Mode &amp; Sideloading\WalkAndUnGZ.bat" "%USERPROFILE%\AppData\Local\Temp\OnboardLogs"\RTDC4045\2017-04-23 &amp; aws s3 cp s3://rtdc.mdm.uploadarchive.raw/RTDC4045/ "%USERPROFILE%\AppData\Local\Temp\OnboardLogs"\RTDC4045\2017-04-24 --exclude "*" --recursive --include "*20170424*" &amp; "%USERPROFILE%\Documents\GitHub\mrs-test-scripts\Headless Mode &amp; Sideloading\WalkAndUnGZ.bat" "%USERPROFILE%\AppData\Local\Temp\OnboardLogs"\RTDC4045\2017-04-24</v>
      </c>
      <c r="AF119" s="77" t="str">
        <f t="shared" si="70"/>
        <v>"C:\Program Files (x86)\AstroGrep\AstroGrep.exe" /e /r /s /spath="%USERPROFILE%\AppData\Local\Temp\OnboardLogs" /stypes="app*4045*20170423*" /stext=" 23:.+((SYSTEM_STATE.+slice.+state.+changed )|(ment ac)|(multiple cpu faults)|(system.+state.+changed )|(\[timeout)|(PRM\|1\|D)|(kpr)|(kdp)|(\|lc)|(penalty))"</v>
      </c>
      <c r="AG119" s="1" t="str">
        <f t="shared" si="71"/>
        <v>EC</v>
      </c>
      <c r="AH119" s="81" t="str">
        <f t="shared" si="53"/>
        <v>"%USERPROFILE%\Documents\GitHub\eaglep3\Utilities\RefineRTDCRunTimes.py" --tripid 200-23 --locoid 4045 --swversion DE.1.0.9.0 --startMP 204:233044 --initTime 2017-04-23T16:48:39 --startdatetime 2017-04-23T16:56:21 --delay 1 --endMP 204:154 --enddatetime 2017-04-23T17:36:52 --enforcementcount 0 &gt;&gt;C:\Users\stu\Documents\GitHub\eaglep3-reporting\EC\2017-04-23-refined-times.txt</v>
      </c>
      <c r="AI119" s="99" t="str">
        <f t="shared" si="54"/>
        <v>echo {"issue":{"subject":"","project_id":79,"tracker_id":40,"status_id":1,"priority_id":2,"assigned_to_id":23,"start_date":"2017-04-23","description":"","custom_fields":[{"id":1,"name":"Subdivision","value":"EC"},{"id":4,"name":"Milepost","value":"0.0154"},{"id":17,"name":"Train ID","value":"200-23"},{"id":16,"name":"Locomotive ID","value":"4045"},{"id":130,"name":"Impact","value":""},{"id":150,"name":"Time of Event (Mountain Time)","value":"17:36:52"},{"id":151,"name":"Denver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5" t="str">
        <f t="shared" si="55"/>
        <v>start /low /b %USERPROFILE%\Documents\GitHub\eaglep3\Utilities\DownloadLogsFromS3.py --loco 4045 --day 2017-04-23</v>
      </c>
      <c r="AN119" s="154" t="str">
        <f t="shared" si="56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23:36:52"},{"id":29,"name":"Sharepoint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762</v>
      </c>
      <c r="B120" s="7">
        <v>4044</v>
      </c>
      <c r="C120" s="21" t="s">
        <v>213</v>
      </c>
      <c r="D120" s="21" t="s">
        <v>395</v>
      </c>
      <c r="E120" s="13">
        <v>42848.672800925924</v>
      </c>
      <c r="F120" s="13">
        <v>42848.677303240744</v>
      </c>
      <c r="G120" s="7">
        <v>1</v>
      </c>
      <c r="H120" s="21" t="s">
        <v>920</v>
      </c>
      <c r="I120" s="13">
        <v>42848.702361111114</v>
      </c>
      <c r="J120" s="7">
        <v>0</v>
      </c>
      <c r="K120" s="92" t="str">
        <f t="shared" si="59"/>
        <v>4043/4044</v>
      </c>
      <c r="L120" s="21" t="str">
        <f>VLOOKUP(A120,'Trips&amp;Operators'!$C$1:$G$99999,5,FALSE)</f>
        <v>STEWART MICHAEL</v>
      </c>
      <c r="M120" s="6">
        <f t="shared" si="60"/>
        <v>2.5057870370801538E-2</v>
      </c>
      <c r="N120" s="7">
        <f t="shared" si="57"/>
        <v>36.083333333954215</v>
      </c>
      <c r="O120" s="7"/>
      <c r="P120" s="7"/>
      <c r="Q120" s="22"/>
      <c r="R120" s="200"/>
      <c r="S120" s="206">
        <f t="shared" si="58"/>
        <v>1</v>
      </c>
      <c r="T120" s="200" t="str">
        <f t="shared" si="61"/>
        <v>NorthBound</v>
      </c>
      <c r="U120" s="200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01" t="str">
        <f t="shared" si="62"/>
        <v>https://d0f6bd738d7f1b3e5a7ca70fe4ff75f0.us-east-1.aws.found.io/app/kibana#/discover/Steve-Slow-Train-Analysis-(2080s-and-2083s)?_g=(refreshInterval:(display:Off,pause:!f,section:0,value:0),time:(from:'2017-04-23T15:08:50-0600',mode:absolute,to:'2017-04-23T17:51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0" s="202" t="str">
        <f t="shared" si="63"/>
        <v>N</v>
      </c>
      <c r="X120" s="202">
        <f t="shared" si="64"/>
        <v>1</v>
      </c>
      <c r="Y120" s="202">
        <f t="shared" si="65"/>
        <v>4.58E-2</v>
      </c>
      <c r="Z120" s="202">
        <f t="shared" si="66"/>
        <v>23.3308</v>
      </c>
      <c r="AA120" s="202">
        <f t="shared" si="67"/>
        <v>23.285</v>
      </c>
      <c r="AB120" s="57" t="e">
        <f>VLOOKUP(A120,Enforcements!$C$7:$K$13,8,0)</f>
        <v>#N/A</v>
      </c>
      <c r="AC120" s="53" t="e">
        <f>VLOOKUP(A120,Enforcements!$C$7:$E$13,3,0)</f>
        <v>#N/A</v>
      </c>
      <c r="AD120" s="54" t="str">
        <f t="shared" si="68"/>
        <v>0201-23</v>
      </c>
      <c r="AE120" s="80" t="str">
        <f t="shared" si="69"/>
        <v>aws s3 cp s3://rtdc.mdm.uploadarchive.raw/RTDC4044/ "%USERPROFILE%\AppData\Local\Temp\OnboardLogs"\RTDC4044\2017-04-23 --exclude "*" --recursive --include "*20170423*" &amp; "%USERPROFILE%\Documents\GitHub\mrs-test-scripts\Headless Mode &amp; Sideloading\WalkAndUnGZ.bat" "%USERPROFILE%\AppData\Local\Temp\OnboardLogs"\RTDC4044\2017-04-23 &amp; aws s3 cp s3://rtdc.mdm.uploadarchive.raw/RTDC4044/ "%USERPROFILE%\AppData\Local\Temp\OnboardLogs"\RTDC4044\2017-04-24 --exclude "*" --recursive --include "*20170424*" &amp; "%USERPROFILE%\Documents\GitHub\mrs-test-scripts\Headless Mode &amp; Sideloading\WalkAndUnGZ.bat" "%USERPROFILE%\AppData\Local\Temp\OnboardLogs"\RTDC4044\2017-04-24</v>
      </c>
      <c r="AF120" s="77" t="str">
        <f t="shared" si="70"/>
        <v>"C:\Program Files (x86)\AstroGrep\AstroGrep.exe" /e /r /s /spath="%USERPROFILE%\AppData\Local\Temp\OnboardLogs" /stypes="app*4044*20170423*" /stext=" 22:.+((SYSTEM_STATE.+slice.+state.+changed )|(ment ac)|(multiple cpu faults)|(system.+state.+changed )|(\[timeout)|(PRM\|1\|D)|(kpr)|(kdp)|(\|lc)|(penalty))"</v>
      </c>
      <c r="AG120" s="1" t="str">
        <f t="shared" si="71"/>
        <v>EC</v>
      </c>
      <c r="AH120" s="81" t="str">
        <f t="shared" si="53"/>
        <v>"%USERPROFILE%\Documents\GitHub\eaglep3\Utilities\RefineRTDCRunTimes.py" --tripid 201-23 --locoid 4044 --swversion DE.1.0.9.0 --startMP 204:458 --initTime 2017-04-23T16:08:50 --startdatetime 2017-04-23T16:15:19 --delay 1 --endMP 204:233308 --enddatetime 2017-04-23T16:51:24 --enforcementcount 0 &gt;&gt;C:\Users\stu\Documents\GitHub\eaglep3-reporting\EC\2017-04-23-refined-times.txt</v>
      </c>
      <c r="AI120" s="99" t="str">
        <f t="shared" si="54"/>
        <v>echo {"issue":{"subject":"","project_id":79,"tracker_id":40,"status_id":1,"priority_id":2,"assigned_to_id":23,"start_date":"2017-04-23","description":"","custom_fields":[{"id":1,"name":"Subdivision","value":"EC"},{"id":4,"name":"Milepost","value":"23.3308"},{"id":17,"name":"Train ID","value":"201-23"},{"id":16,"name":"Locomotive ID","value":"4044"},{"id":130,"name":"Impact","value":""},{"id":150,"name":"Time of Event (Mountain Time)","value":"16:51:24"},{"id":151,"name":"Denver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5" t="str">
        <f t="shared" si="55"/>
        <v>start /low /b %USERPROFILE%\Documents\GitHub\eaglep3\Utilities\DownloadLogsFromS3.py --loco 4044 --day 2017-04-23</v>
      </c>
      <c r="AN120" s="154" t="str">
        <f t="shared" si="56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22:51:24"},{"id":29,"name":"Sharepoint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769</v>
      </c>
      <c r="B121" s="7">
        <v>4043</v>
      </c>
      <c r="C121" s="21" t="s">
        <v>213</v>
      </c>
      <c r="D121" s="21" t="s">
        <v>843</v>
      </c>
      <c r="E121" s="13">
        <v>42848.710115740738</v>
      </c>
      <c r="F121" s="13">
        <v>42848.716203703705</v>
      </c>
      <c r="G121" s="7">
        <v>1</v>
      </c>
      <c r="H121" s="21" t="s">
        <v>197</v>
      </c>
      <c r="I121" s="13">
        <v>42848.743148148147</v>
      </c>
      <c r="J121" s="7">
        <v>0</v>
      </c>
      <c r="K121" s="92" t="str">
        <f t="shared" si="59"/>
        <v>4043/4044</v>
      </c>
      <c r="L121" s="21" t="str">
        <f>VLOOKUP(A121,'Trips&amp;Operators'!$C$1:$G$99999,5,FALSE)</f>
        <v>STEWART MICHAEL</v>
      </c>
      <c r="M121" s="6">
        <f t="shared" si="60"/>
        <v>2.6944444442051463E-2</v>
      </c>
      <c r="N121" s="7">
        <f t="shared" si="57"/>
        <v>38.799999996554106</v>
      </c>
      <c r="O121" s="7"/>
      <c r="P121" s="7"/>
      <c r="Q121" s="22"/>
      <c r="R121" s="200"/>
      <c r="S121" s="206">
        <f t="shared" si="58"/>
        <v>1</v>
      </c>
      <c r="T121" s="200" t="str">
        <f t="shared" si="61"/>
        <v>Southbound</v>
      </c>
      <c r="U121" s="200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01" t="str">
        <f t="shared" si="62"/>
        <v>https://d0f6bd738d7f1b3e5a7ca70fe4ff75f0.us-east-1.aws.found.io/app/kibana#/discover/Steve-Slow-Train-Analysis-(2080s-and-2083s)?_g=(refreshInterval:(display:Off,pause:!f,section:0,value:0),time:(from:'2017-04-23T16:02:34-0600',mode:absolute,to:'2017-04-23T18:50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1" s="202" t="str">
        <f t="shared" si="63"/>
        <v>N</v>
      </c>
      <c r="X121" s="202">
        <f t="shared" si="64"/>
        <v>1</v>
      </c>
      <c r="Y121" s="202">
        <f t="shared" si="65"/>
        <v>23.299600000000002</v>
      </c>
      <c r="Z121" s="202">
        <f t="shared" si="66"/>
        <v>1.52E-2</v>
      </c>
      <c r="AA121" s="202">
        <f t="shared" si="67"/>
        <v>23.284400000000002</v>
      </c>
      <c r="AB121" s="57" t="e">
        <f>VLOOKUP(A121,Enforcements!$C$7:$K$13,8,0)</f>
        <v>#N/A</v>
      </c>
      <c r="AC121" s="53" t="e">
        <f>VLOOKUP(A121,Enforcements!$C$7:$E$13,3,0)</f>
        <v>#N/A</v>
      </c>
      <c r="AD121" s="54" t="str">
        <f t="shared" si="68"/>
        <v>0202-23</v>
      </c>
      <c r="AE121" s="80" t="str">
        <f t="shared" si="69"/>
        <v>aws s3 cp s3://rtdc.mdm.uploadarchive.raw/RTDC4043/ "%USERPROFILE%\AppData\Local\Temp\OnboardLogs"\RTDC4043\2017-04-23 --exclude "*" --recursive --include "*20170423*" &amp; "%USERPROFILE%\Documents\GitHub\mrs-test-scripts\Headless Mode &amp; Sideloading\WalkAndUnGZ.bat" "%USERPROFILE%\AppData\Local\Temp\OnboardLogs"\RTDC4043\2017-04-23 &amp; aws s3 cp s3://rtdc.mdm.uploadarchive.raw/RTDC4043/ "%USERPROFILE%\AppData\Local\Temp\OnboardLogs"\RTDC4043\2017-04-24 --exclude "*" --recursive --include "*20170424*" &amp; "%USERPROFILE%\Documents\GitHub\mrs-test-scripts\Headless Mode &amp; Sideloading\WalkAndUnGZ.bat" "%USERPROFILE%\AppData\Local\Temp\OnboardLogs"\RTDC4043\2017-04-24</v>
      </c>
      <c r="AF121" s="77" t="str">
        <f t="shared" si="70"/>
        <v>"C:\Program Files (x86)\AstroGrep\AstroGrep.exe" /e /r /s /spath="%USERPROFILE%\AppData\Local\Temp\OnboardLogs" /stypes="app*4043*20170423*" /stext=" 23:.+((SYSTEM_STATE.+slice.+state.+changed )|(ment ac)|(multiple cpu faults)|(system.+state.+changed )|(\[timeout)|(PRM\|1\|D)|(kpr)|(kdp)|(\|lc)|(penalty))"</v>
      </c>
      <c r="AG121" s="1" t="str">
        <f t="shared" si="71"/>
        <v>EC</v>
      </c>
      <c r="AH121" s="81" t="str">
        <f t="shared" si="53"/>
        <v>"%USERPROFILE%\Documents\GitHub\eaglep3\Utilities\RefineRTDCRunTimes.py" --tripid 202-23 --locoid 4043 --swversion DE.1.0.9.0 --startMP 204:232996 --initTime 2017-04-23T17:02:34 --startdatetime 2017-04-23T17:11:20 --delay 1 --endMP 204:152 --enddatetime 2017-04-23T17:50:08 --enforcementcount 0 &gt;&gt;C:\Users\stu\Documents\GitHub\eaglep3-reporting\EC\2017-04-23-refined-times.txt</v>
      </c>
      <c r="AI121" s="99" t="str">
        <f t="shared" si="54"/>
        <v>echo {"issue":{"subject":"","project_id":79,"tracker_id":40,"status_id":1,"priority_id":2,"assigned_to_id":23,"start_date":"2017-04-23","description":"","custom_fields":[{"id":1,"name":"Subdivision","value":"EC"},{"id":4,"name":"Milepost","value":"0.0152"},{"id":17,"name":"Train ID","value":"202-23"},{"id":16,"name":"Locomotive ID","value":"4043"},{"id":130,"name":"Impact","value":""},{"id":150,"name":"Time of Event (Mountain Time)","value":"17:50:08"},{"id":151,"name":"Denver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5" t="str">
        <f t="shared" si="55"/>
        <v>start /low /b %USERPROFILE%\Documents\GitHub\eaglep3\Utilities\DownloadLogsFromS3.py --loco 4043 --day 2017-04-23</v>
      </c>
      <c r="AN121" s="154" t="str">
        <f t="shared" si="56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23:50:08"},{"id":29,"name":"Sharepoint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766</v>
      </c>
      <c r="B122" s="7">
        <v>4016</v>
      </c>
      <c r="C122" s="21" t="s">
        <v>213</v>
      </c>
      <c r="D122" s="21" t="s">
        <v>476</v>
      </c>
      <c r="E122" s="13">
        <v>42848.685277777775</v>
      </c>
      <c r="F122" s="13">
        <v>42848.6878125</v>
      </c>
      <c r="G122" s="7">
        <v>1</v>
      </c>
      <c r="H122" s="21" t="s">
        <v>962</v>
      </c>
      <c r="I122" s="13">
        <v>42848.715289351851</v>
      </c>
      <c r="J122" s="7">
        <v>0</v>
      </c>
      <c r="K122" s="92" t="str">
        <f t="shared" si="59"/>
        <v>4015/4016</v>
      </c>
      <c r="L122" s="21" t="str">
        <f>VLOOKUP(A122,'Trips&amp;Operators'!$C$1:$G$99999,5,FALSE)</f>
        <v>NELSON ARIANE</v>
      </c>
      <c r="M122" s="6">
        <f t="shared" si="60"/>
        <v>2.7476851850224193E-2</v>
      </c>
      <c r="N122" s="7">
        <f t="shared" si="57"/>
        <v>39.566666664322838</v>
      </c>
      <c r="O122" s="7"/>
      <c r="P122" s="7"/>
      <c r="Q122" s="22"/>
      <c r="R122" s="200" t="s">
        <v>1024</v>
      </c>
      <c r="S122" s="206">
        <f t="shared" si="58"/>
        <v>1</v>
      </c>
      <c r="T122" s="200" t="str">
        <f t="shared" si="61"/>
        <v>NorthBound</v>
      </c>
      <c r="U122" s="200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01" t="str">
        <f t="shared" si="62"/>
        <v>https://d0f6bd738d7f1b3e5a7ca70fe4ff75f0.us-east-1.aws.found.io/app/kibana#/discover/Steve-Slow-Train-Analysis-(2080s-and-2083s)?_g=(refreshInterval:(display:Off,pause:!f,section:0,value:0),time:(from:'2017-04-23T15:26:48-0600',mode:absolute,to:'2017-04-23T18:10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2" s="202" t="str">
        <f t="shared" si="63"/>
        <v>Y</v>
      </c>
      <c r="X122" s="202">
        <f t="shared" si="64"/>
        <v>1</v>
      </c>
      <c r="Y122" s="202">
        <f t="shared" si="65"/>
        <v>4.5100000000000001E-2</v>
      </c>
      <c r="Z122" s="202">
        <f t="shared" si="66"/>
        <v>22.824300000000001</v>
      </c>
      <c r="AA122" s="202">
        <f t="shared" si="67"/>
        <v>22.779199999999999</v>
      </c>
      <c r="AB122" s="57" t="e">
        <f>VLOOKUP(A122,Enforcements!$C$7:$K$13,8,0)</f>
        <v>#N/A</v>
      </c>
      <c r="AC122" s="53" t="e">
        <f>VLOOKUP(A122,Enforcements!$C$7:$E$13,3,0)</f>
        <v>#N/A</v>
      </c>
      <c r="AD122" s="54" t="str">
        <f t="shared" si="68"/>
        <v>0203-23</v>
      </c>
      <c r="AE122" s="80" t="str">
        <f t="shared" si="69"/>
        <v>aws s3 cp s3://rtdc.mdm.uploadarchive.raw/RTDC4016/ "%USERPROFILE%\AppData\Local\Temp\OnboardLogs"\RTDC4016\2017-04-23 --exclude "*" --recursive --include "*20170423*" &amp; "%USERPROFILE%\Documents\GitHub\mrs-test-scripts\Headless Mode &amp; Sideloading\WalkAndUnGZ.bat" "%USERPROFILE%\AppData\Local\Temp\OnboardLogs"\RTDC4016\2017-04-23 &amp; aws s3 cp s3://rtdc.mdm.uploadarchive.raw/RTDC4016/ "%USERPROFILE%\AppData\Local\Temp\OnboardLogs"\RTDC4016\2017-04-24 --exclude "*" --recursive --include "*20170424*" &amp; "%USERPROFILE%\Documents\GitHub\mrs-test-scripts\Headless Mode &amp; Sideloading\WalkAndUnGZ.bat" "%USERPROFILE%\AppData\Local\Temp\OnboardLogs"\RTDC4016\2017-04-24</v>
      </c>
      <c r="AF122" s="77" t="str">
        <f t="shared" si="70"/>
        <v>"C:\Program Files (x86)\AstroGrep\AstroGrep.exe" /e /r /s /spath="%USERPROFILE%\AppData\Local\Temp\OnboardLogs" /stypes="app*4016*20170423*" /stext=" 23:.+((SYSTEM_STATE.+slice.+state.+changed )|(ment ac)|(multiple cpu faults)|(system.+state.+changed )|(\[timeout)|(PRM\|1\|D)|(kpr)|(kdp)|(\|lc)|(penalty))"</v>
      </c>
      <c r="AG122" s="1" t="str">
        <f t="shared" si="71"/>
        <v>EC</v>
      </c>
      <c r="AH122" s="81" t="str">
        <f t="shared" si="53"/>
        <v>"%USERPROFILE%\Documents\GitHub\eaglep3\Utilities\RefineRTDCRunTimes.py" --tripid 203-23 --locoid 4016 --swversion DE.1.0.9.0 --startMP 204:451 --initTime 2017-04-23T16:26:48 --startdatetime 2017-04-23T16:30:27 --delay 1 --endMP 204:228243 --enddatetime 2017-04-23T17:10:01 --enforcementcount 0 &gt;&gt;C:\Users\stu\Documents\GitHub\eaglep3-reporting\EC\2017-04-23-refined-times.txt</v>
      </c>
      <c r="AI122" s="99" t="str">
        <f t="shared" si="54"/>
        <v>echo {"issue":{"subject":"DTO Efficiency Test","project_id":79,"tracker_id":40,"status_id":1,"priority_id":2,"assigned_to_id":23,"start_date":"2017-04-23","description":"","custom_fields":[{"id":1,"name":"Subdivision","value":"EC"},{"id":4,"name":"Milepost","value":"22.8243"},{"id":17,"name":"Train ID","value":"203-23"},{"id":16,"name":"Locomotive ID","value":"4016"},{"id":130,"name":"Impact","value":""},{"id":150,"name":"Time of Event (Mountain Time)","value":"17:10:01"},{"id":151,"name":"Denver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5" t="str">
        <f t="shared" si="55"/>
        <v>start /low /b %USERPROFILE%\Documents\GitHub\eaglep3\Utilities\DownloadLogsFromS3.py --loco 4016 --day 2017-04-23</v>
      </c>
      <c r="AN122" s="154" t="str">
        <f t="shared" si="56"/>
        <v>echo {"issue":{"subject":"DTO Efficiency Test","project_id":30,"tracker_id":4,"status_id":1,"priority_id":1,"assigned_to_id":10,"start_date":"2017-04-23","description":"","custom_fields":[{"id":30,"name":"Category","value":"Issue"},{"id":3,"name":"Functional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23:10:01"},{"id":29,"name":"Sharepoint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773</v>
      </c>
      <c r="B123" s="7">
        <v>4015</v>
      </c>
      <c r="C123" s="21" t="s">
        <v>213</v>
      </c>
      <c r="D123" s="21" t="s">
        <v>579</v>
      </c>
      <c r="E123" s="13">
        <v>42848.724259259259</v>
      </c>
      <c r="F123" s="13">
        <v>42848.726620370369</v>
      </c>
      <c r="G123" s="7">
        <v>1</v>
      </c>
      <c r="H123" s="21" t="s">
        <v>391</v>
      </c>
      <c r="I123" s="13">
        <v>42848.754166666666</v>
      </c>
      <c r="J123" s="7">
        <v>0</v>
      </c>
      <c r="K123" s="92" t="str">
        <f t="shared" si="59"/>
        <v>4015/4016</v>
      </c>
      <c r="L123" s="21" t="str">
        <f>VLOOKUP(A123,'Trips&amp;Operators'!$C$1:$G$99999,5,FALSE)</f>
        <v>NELSON ARIANE</v>
      </c>
      <c r="M123" s="6">
        <f t="shared" si="60"/>
        <v>2.7546296296350192E-2</v>
      </c>
      <c r="N123" s="7">
        <f t="shared" ref="N123:N154" si="72">24*60*SUM($M123:$M123)</f>
        <v>39.666666666744277</v>
      </c>
      <c r="O123" s="7"/>
      <c r="P123" s="7"/>
      <c r="Q123" s="22"/>
      <c r="R123" s="200"/>
      <c r="S123" s="206">
        <f t="shared" ref="S123:S154" si="73">SUM(U123:U123)/IF(AG123="EC",12,1)</f>
        <v>1</v>
      </c>
      <c r="T123" s="200" t="str">
        <f t="shared" si="61"/>
        <v>Southbound</v>
      </c>
      <c r="U123" s="200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01" t="str">
        <f t="shared" si="62"/>
        <v>https://d0f6bd738d7f1b3e5a7ca70fe4ff75f0.us-east-1.aws.found.io/app/kibana#/discover/Steve-Slow-Train-Analysis-(2080s-and-2083s)?_g=(refreshInterval:(display:Off,pause:!f,section:0,value:0),time:(from:'2017-04-23T16:22:56-0600',mode:absolute,to:'2017-04-23T19:06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3" s="202" t="str">
        <f t="shared" si="63"/>
        <v>N</v>
      </c>
      <c r="X123" s="202">
        <f t="shared" si="64"/>
        <v>1</v>
      </c>
      <c r="Y123" s="202">
        <f t="shared" si="65"/>
        <v>23.295500000000001</v>
      </c>
      <c r="Z123" s="202">
        <f t="shared" si="66"/>
        <v>1.4500000000000001E-2</v>
      </c>
      <c r="AA123" s="202">
        <f t="shared" si="67"/>
        <v>23.280999999999999</v>
      </c>
      <c r="AB123" s="57" t="e">
        <f>VLOOKUP(A123,Enforcements!$C$7:$K$13,8,0)</f>
        <v>#N/A</v>
      </c>
      <c r="AC123" s="53" t="e">
        <f>VLOOKUP(A123,Enforcements!$C$7:$E$13,3,0)</f>
        <v>#N/A</v>
      </c>
      <c r="AD123" s="54" t="str">
        <f t="shared" si="68"/>
        <v>0204-23</v>
      </c>
      <c r="AE123" s="80" t="str">
        <f t="shared" si="69"/>
        <v>aws s3 cp s3://rtdc.mdm.uploadarchive.raw/RTDC4015/ "%USERPROFILE%\AppData\Local\Temp\OnboardLogs"\RTDC4015\2017-04-23 --exclude "*" --recursive --include "*20170423*" &amp; "%USERPROFILE%\Documents\GitHub\mrs-test-scripts\Headless Mode &amp; Sideloading\WalkAndUnGZ.bat" "%USERPROFILE%\AppData\Local\Temp\OnboardLogs"\RTDC4015\2017-04-23 &amp; aws s3 cp s3://rtdc.mdm.uploadarchive.raw/RTDC4015/ "%USERPROFILE%\AppData\Local\Temp\OnboardLogs"\RTDC4015\2017-04-24 --exclude "*" --recursive --include "*20170424*" &amp; "%USERPROFILE%\Documents\GitHub\mrs-test-scripts\Headless Mode &amp; Sideloading\WalkAndUnGZ.bat" "%USERPROFILE%\AppData\Local\Temp\OnboardLogs"\RTDC4015\2017-04-24</v>
      </c>
      <c r="AF123" s="77" t="str">
        <f t="shared" si="70"/>
        <v>"C:\Program Files (x86)\AstroGrep\AstroGrep.exe" /e /r /s /spath="%USERPROFILE%\AppData\Local\Temp\OnboardLogs" /stypes="app*4015*20170424*" /stext=" 00:.+((SYSTEM_STATE.+slice.+state.+changed )|(ment ac)|(multiple cpu faults)|(system.+state.+changed )|(\[timeout)|(PRM\|1\|D)|(kpr)|(kdp)|(\|lc)|(penalty))"</v>
      </c>
      <c r="AG123" s="1" t="str">
        <f t="shared" si="71"/>
        <v>EC</v>
      </c>
      <c r="AH123" s="81" t="str">
        <f t="shared" si="53"/>
        <v>"%USERPROFILE%\Documents\GitHub\eaglep3\Utilities\RefineRTDCRunTimes.py" --tripid 204-23 --locoid 4015 --swversion DE.1.0.9.0 --startMP 204:232955 --initTime 2017-04-23T17:22:56 --startdatetime 2017-04-23T17:26:20 --delay 1 --endMP 204:145 --enddatetime 2017-04-23T18:06:00 --enforcementcount 0 &gt;&gt;C:\Users\stu\Documents\GitHub\eaglep3-reporting\EC\2017-04-23-refined-times.txt</v>
      </c>
      <c r="AI123" s="99" t="str">
        <f t="shared" si="54"/>
        <v>echo {"issue":{"subject":"","project_id":79,"tracker_id":40,"status_id":1,"priority_id":2,"assigned_to_id":23,"start_date":"2017-04-23","description":"","custom_fields":[{"id":1,"name":"Subdivision","value":"EC"},{"id":4,"name":"Milepost","value":"0.0145"},{"id":17,"name":"Train ID","value":"204-23"},{"id":16,"name":"Locomotive ID","value":"4015"},{"id":130,"name":"Impact","value":""},{"id":150,"name":"Time of Event (Mountain Time)","value":"18:06:00"},{"id":151,"name":"Denver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5" t="str">
        <f t="shared" si="55"/>
        <v>start /low /b %USERPROFILE%\Documents\GitHub\eaglep3\Utilities\DownloadLogsFromS3.py --loco 4015 --day 2017-04-23</v>
      </c>
      <c r="AN123" s="154" t="str">
        <f t="shared" si="56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00:06:00"},{"id":29,"name":"Sharepoint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616</v>
      </c>
      <c r="B124" s="7">
        <v>4022</v>
      </c>
      <c r="C124" s="21" t="s">
        <v>213</v>
      </c>
      <c r="D124" s="21" t="s">
        <v>963</v>
      </c>
      <c r="E124" s="13">
        <v>42848.694652777776</v>
      </c>
      <c r="F124" s="13">
        <v>42848.698078703703</v>
      </c>
      <c r="G124" s="7">
        <v>1</v>
      </c>
      <c r="H124" s="21" t="s">
        <v>964</v>
      </c>
      <c r="I124" s="13">
        <v>42848.72278935185</v>
      </c>
      <c r="J124" s="7">
        <v>0</v>
      </c>
      <c r="K124" s="92" t="str">
        <f t="shared" si="59"/>
        <v>4021/4022</v>
      </c>
      <c r="L124" s="21" t="str">
        <f>VLOOKUP(A124,'Trips&amp;Operators'!$C$1:$G$99999,5,FALSE)</f>
        <v>LEVIN SCOTT</v>
      </c>
      <c r="M124" s="6">
        <f t="shared" si="60"/>
        <v>2.47106481474475E-2</v>
      </c>
      <c r="N124" s="7">
        <f t="shared" si="72"/>
        <v>35.583333332324401</v>
      </c>
      <c r="O124" s="7"/>
      <c r="P124" s="7"/>
      <c r="Q124" s="22"/>
      <c r="R124" s="200" t="s">
        <v>1024</v>
      </c>
      <c r="S124" s="206">
        <f t="shared" si="73"/>
        <v>1</v>
      </c>
      <c r="T124" s="200" t="str">
        <f t="shared" si="61"/>
        <v>NorthBound</v>
      </c>
      <c r="U124" s="200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01" t="str">
        <f t="shared" si="62"/>
        <v>https://d0f6bd738d7f1b3e5a7ca70fe4ff75f0.us-east-1.aws.found.io/app/kibana#/discover/Steve-Slow-Train-Analysis-(2080s-and-2083s)?_g=(refreshInterval:(display:Off,pause:!f,section:0,value:0),time:(from:'2017-04-23T15:40:18-0600',mode:absolute,to:'2017-04-23T18:20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24" s="202" t="str">
        <f t="shared" si="63"/>
        <v>Y</v>
      </c>
      <c r="X124" s="202">
        <f t="shared" si="64"/>
        <v>1</v>
      </c>
      <c r="Y124" s="202">
        <f t="shared" si="65"/>
        <v>4.3099999999999999E-2</v>
      </c>
      <c r="Z124" s="202">
        <f t="shared" si="66"/>
        <v>22.8064</v>
      </c>
      <c r="AA124" s="202">
        <f t="shared" si="67"/>
        <v>22.763300000000001</v>
      </c>
      <c r="AB124" s="57" t="e">
        <f>VLOOKUP(A124,Enforcements!$C$7:$K$13,8,0)</f>
        <v>#N/A</v>
      </c>
      <c r="AC124" s="53" t="e">
        <f>VLOOKUP(A124,Enforcements!$C$7:$E$13,3,0)</f>
        <v>#N/A</v>
      </c>
      <c r="AD124" s="54" t="str">
        <f t="shared" si="68"/>
        <v>0205-23</v>
      </c>
      <c r="AE124" s="80" t="str">
        <f t="shared" si="69"/>
        <v>aws s3 cp s3://rtdc.mdm.uploadarchive.raw/RTDC4022/ "%USERPROFILE%\AppData\Local\Temp\OnboardLogs"\RTDC4022\2017-04-23 --exclude "*" --recursive --include "*20170423*" &amp; "%USERPROFILE%\Documents\GitHub\mrs-test-scripts\Headless Mode &amp; Sideloading\WalkAndUnGZ.bat" "%USERPROFILE%\AppData\Local\Temp\OnboardLogs"\RTDC4022\2017-04-23 &amp; aws s3 cp s3://rtdc.mdm.uploadarchive.raw/RTDC4022/ "%USERPROFILE%\AppData\Local\Temp\OnboardLogs"\RTDC4022\2017-04-24 --exclude "*" --recursive --include "*20170424*" &amp; "%USERPROFILE%\Documents\GitHub\mrs-test-scripts\Headless Mode &amp; Sideloading\WalkAndUnGZ.bat" "%USERPROFILE%\AppData\Local\Temp\OnboardLogs"\RTDC4022\2017-04-24</v>
      </c>
      <c r="AF124" s="77" t="str">
        <f t="shared" si="70"/>
        <v>"C:\Program Files (x86)\AstroGrep\AstroGrep.exe" /e /r /s /spath="%USERPROFILE%\AppData\Local\Temp\OnboardLogs" /stypes="app*4022*20170423*" /stext=" 23:.+((SYSTEM_STATE.+slice.+state.+changed )|(ment ac)|(multiple cpu faults)|(system.+state.+changed )|(\[timeout)|(PRM\|1\|D)|(kpr)|(kdp)|(\|lc)|(penalty))"</v>
      </c>
      <c r="AG124" s="1" t="str">
        <f t="shared" si="71"/>
        <v>EC</v>
      </c>
      <c r="AH124" s="81" t="str">
        <f t="shared" si="53"/>
        <v>"%USERPROFILE%\Documents\GitHub\eaglep3\Utilities\RefineRTDCRunTimes.py" --tripid 205-23 --locoid 4022 --swversion DE.1.0.9.0 --startMP 204:431 --initTime 2017-04-23T16:40:18 --startdatetime 2017-04-23T16:45:14 --delay 1 --endMP 204:228064 --enddatetime 2017-04-23T17:20:49 --enforcementcount 0 &gt;&gt;C:\Users\stu\Documents\GitHub\eaglep3-reporting\EC\2017-04-23-refined-times.txt</v>
      </c>
      <c r="AI124" s="99" t="str">
        <f t="shared" si="54"/>
        <v>echo {"issue":{"subject":"DTO Efficiency Test","project_id":79,"tracker_id":40,"status_id":1,"priority_id":2,"assigned_to_id":23,"start_date":"2017-04-23","description":"","custom_fields":[{"id":1,"name":"Subdivision","value":"EC"},{"id":4,"name":"Milepost","value":"22.8064"},{"id":17,"name":"Train ID","value":"205-23"},{"id":16,"name":"Locomotive ID","value":"4022"},{"id":130,"name":"Impact","value":""},{"id":150,"name":"Time of Event (Mountain Time)","value":"17:20:49"},{"id":151,"name":"Denver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5" t="str">
        <f t="shared" si="55"/>
        <v>start /low /b %USERPROFILE%\Documents\GitHub\eaglep3\Utilities\DownloadLogsFromS3.py --loco 4022 --day 2017-04-23</v>
      </c>
      <c r="AN124" s="154" t="str">
        <f t="shared" si="56"/>
        <v>echo {"issue":{"subject":"DTO Efficiency Test","project_id":30,"tracker_id":4,"status_id":1,"priority_id":1,"assigned_to_id":10,"start_date":"2017-04-23","description":"","custom_fields":[{"id":30,"name":"Category","value":"Issue"},{"id":3,"name":"Functional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23:20:49"},{"id":29,"name":"Sharepoint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618</v>
      </c>
      <c r="B125" s="7">
        <v>4021</v>
      </c>
      <c r="C125" s="21" t="s">
        <v>213</v>
      </c>
      <c r="D125" s="21" t="s">
        <v>965</v>
      </c>
      <c r="E125" s="13">
        <v>42848.733402777776</v>
      </c>
      <c r="F125" s="13">
        <v>42848.737002314818</v>
      </c>
      <c r="G125" s="7">
        <v>1</v>
      </c>
      <c r="H125" s="21" t="s">
        <v>423</v>
      </c>
      <c r="I125" s="13">
        <v>42848.763888888891</v>
      </c>
      <c r="J125" s="7">
        <v>0</v>
      </c>
      <c r="K125" s="92" t="str">
        <f t="shared" si="59"/>
        <v>4021/4022</v>
      </c>
      <c r="L125" s="21" t="str">
        <f>VLOOKUP(A125,'Trips&amp;Operators'!$C$1:$G$99999,5,FALSE)</f>
        <v>LEVIN SCOTT</v>
      </c>
      <c r="M125" s="6">
        <f t="shared" si="60"/>
        <v>2.6886574072705116E-2</v>
      </c>
      <c r="N125" s="7">
        <f t="shared" si="72"/>
        <v>38.716666664695367</v>
      </c>
      <c r="O125" s="7"/>
      <c r="P125" s="7"/>
      <c r="Q125" s="22"/>
      <c r="R125" s="200"/>
      <c r="S125" s="206">
        <f t="shared" si="73"/>
        <v>1</v>
      </c>
      <c r="T125" s="200" t="str">
        <f t="shared" si="61"/>
        <v>Southbound</v>
      </c>
      <c r="U125" s="200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01" t="str">
        <f t="shared" si="62"/>
        <v>https://d0f6bd738d7f1b3e5a7ca70fe4ff75f0.us-east-1.aws.found.io/app/kibana#/discover/Steve-Slow-Train-Analysis-(2080s-and-2083s)?_g=(refreshInterval:(display:Off,pause:!f,section:0,value:0),time:(from:'2017-04-23T16:36:06-0600',mode:absolute,to:'2017-04-23T19:20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25" s="202" t="str">
        <f t="shared" si="63"/>
        <v>N</v>
      </c>
      <c r="X125" s="202">
        <f t="shared" si="64"/>
        <v>1</v>
      </c>
      <c r="Y125" s="202">
        <f t="shared" si="65"/>
        <v>23.3123</v>
      </c>
      <c r="Z125" s="202">
        <f t="shared" si="66"/>
        <v>1.49E-2</v>
      </c>
      <c r="AA125" s="202">
        <f t="shared" si="67"/>
        <v>23.2974</v>
      </c>
      <c r="AB125" s="57" t="str">
        <f>VLOOKUP(A125,Enforcements!$C$7:$K$13,8,0)</f>
        <v>Bulletin (2)</v>
      </c>
      <c r="AC125" s="53" t="str">
        <f>VLOOKUP(A125,Enforcements!$C$7:$E$13,3,0)</f>
        <v>GRADE CROSSING</v>
      </c>
      <c r="AD125" s="54" t="str">
        <f t="shared" si="68"/>
        <v>0206-23</v>
      </c>
      <c r="AE125" s="80" t="str">
        <f t="shared" si="69"/>
        <v>aws s3 cp s3://rtdc.mdm.uploadarchive.raw/RTDC4021/ "%USERPROFILE%\AppData\Local\Temp\OnboardLogs"\RTDC4021\2017-04-23 --exclude "*" --recursive --include "*20170423*" &amp; "%USERPROFILE%\Documents\GitHub\mrs-test-scripts\Headless Mode &amp; Sideloading\WalkAndUnGZ.bat" "%USERPROFILE%\AppData\Local\Temp\OnboardLogs"\RTDC4021\2017-04-23 &amp; aws s3 cp s3://rtdc.mdm.uploadarchive.raw/RTDC4021/ "%USERPROFILE%\AppData\Local\Temp\OnboardLogs"\RTDC4021\2017-04-24 --exclude "*" --recursive --include "*20170424*" &amp; "%USERPROFILE%\Documents\GitHub\mrs-test-scripts\Headless Mode &amp; Sideloading\WalkAndUnGZ.bat" "%USERPROFILE%\AppData\Local\Temp\OnboardLogs"\RTDC4021\2017-04-24</v>
      </c>
      <c r="AF125" s="77" t="str">
        <f t="shared" si="70"/>
        <v>"C:\Program Files (x86)\AstroGrep\AstroGrep.exe" /e /r /s /spath="%USERPROFILE%\AppData\Local\Temp\OnboardLogs" /stypes="app*4021*20170424*" /stext=" 00:.+((SYSTEM_STATE.+slice.+state.+changed )|(ment ac)|(multiple cpu faults)|(system.+state.+changed )|(\[timeout)|(PRM\|1\|D)|(kpr)|(kdp)|(\|lc)|(penalty))"</v>
      </c>
      <c r="AG125" s="1" t="str">
        <f t="shared" si="71"/>
        <v>EC</v>
      </c>
      <c r="AH125" s="81" t="str">
        <f t="shared" si="53"/>
        <v>"%USERPROFILE%\Documents\GitHub\eaglep3\Utilities\RefineRTDCRunTimes.py" --tripid 206-23 --locoid 4021 --swversion DE.1.0.9.0 --startMP 204:233123 --initTime 2017-04-23T17:36:06 --startdatetime 2017-04-23T17:41:17 --delay 1 --endMP 204:149 --enddatetime 2017-04-23T18:20:00 --enforcementcount 0 &gt;&gt;C:\Users\stu\Documents\GitHub\eaglep3-reporting\EC\2017-04-23-refined-times.txt</v>
      </c>
      <c r="AI125" s="99" t="str">
        <f t="shared" si="54"/>
        <v>echo {"issue":{"subject":"","project_id":79,"tracker_id":40,"status_id":1,"priority_id":2,"assigned_to_id":23,"start_date":"2017-04-23","description":"","custom_fields":[{"id":1,"name":"Subdivision","value":"EC"},{"id":4,"name":"Milepost","value":"0.0149"},{"id":17,"name":"Train ID","value":"206-23"},{"id":16,"name":"Locomotive ID","value":"4021"},{"id":130,"name":"Impact","value":""},{"id":150,"name":"Time of Event (Mountain Time)","value":"18:20:00"},{"id":151,"name":"Denver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5" t="str">
        <f t="shared" si="55"/>
        <v>start /low /b %USERPROFILE%\Documents\GitHub\eaglep3\Utilities\DownloadLogsFromS3.py --loco 4021 --day 2017-04-23</v>
      </c>
      <c r="AN125" s="154" t="str">
        <f t="shared" si="56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00:20:00"},{"id":29,"name":"Sharepoint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768</v>
      </c>
      <c r="B126" s="7">
        <v>4042</v>
      </c>
      <c r="C126" s="21" t="s">
        <v>213</v>
      </c>
      <c r="D126" s="21" t="s">
        <v>395</v>
      </c>
      <c r="E126" s="13">
        <v>42848.702766203707</v>
      </c>
      <c r="F126" s="13">
        <v>42848.708935185183</v>
      </c>
      <c r="G126" s="7">
        <v>1</v>
      </c>
      <c r="H126" s="21" t="s">
        <v>416</v>
      </c>
      <c r="I126" s="13">
        <v>42848.733749999999</v>
      </c>
      <c r="J126" s="7">
        <v>0</v>
      </c>
      <c r="K126" s="92" t="str">
        <f t="shared" si="59"/>
        <v>4041/4042</v>
      </c>
      <c r="L126" s="21" t="str">
        <f>VLOOKUP(A126,'Trips&amp;Operators'!$C$1:$G$99999,5,FALSE)</f>
        <v>BRUDER RICHARD</v>
      </c>
      <c r="M126" s="6">
        <f t="shared" si="60"/>
        <v>2.4814814816636499E-2</v>
      </c>
      <c r="N126" s="7">
        <f t="shared" si="72"/>
        <v>35.733333335956559</v>
      </c>
      <c r="O126" s="7"/>
      <c r="P126" s="7"/>
      <c r="Q126" s="22"/>
      <c r="R126" s="200"/>
      <c r="S126" s="206">
        <f t="shared" si="73"/>
        <v>1</v>
      </c>
      <c r="T126" s="200" t="str">
        <f t="shared" si="61"/>
        <v>NorthBound</v>
      </c>
      <c r="U126" s="200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01" t="str">
        <f t="shared" si="62"/>
        <v>https://d0f6bd738d7f1b3e5a7ca70fe4ff75f0.us-east-1.aws.found.io/app/kibana#/discover/Steve-Slow-Train-Analysis-(2080s-and-2083s)?_g=(refreshInterval:(display:Off,pause:!f,section:0,value:0),time:(from:'2017-04-23T15:51:59-0600',mode:absolute,to:'2017-04-23T18:36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6" s="202" t="str">
        <f t="shared" si="63"/>
        <v>N</v>
      </c>
      <c r="X126" s="202">
        <f t="shared" si="64"/>
        <v>1</v>
      </c>
      <c r="Y126" s="202">
        <f t="shared" si="65"/>
        <v>4.58E-2</v>
      </c>
      <c r="Z126" s="202">
        <f t="shared" si="66"/>
        <v>23.3291</v>
      </c>
      <c r="AA126" s="202">
        <f t="shared" si="67"/>
        <v>23.283300000000001</v>
      </c>
      <c r="AB126" s="57" t="e">
        <f>VLOOKUP(A126,Enforcements!$C$7:$K$13,8,0)</f>
        <v>#N/A</v>
      </c>
      <c r="AC126" s="53" t="e">
        <f>VLOOKUP(A126,Enforcements!$C$7:$E$13,3,0)</f>
        <v>#N/A</v>
      </c>
      <c r="AD126" s="54" t="str">
        <f t="shared" si="68"/>
        <v>0207-23</v>
      </c>
      <c r="AE126" s="80" t="str">
        <f t="shared" si="69"/>
        <v>aws s3 cp s3://rtdc.mdm.uploadarchive.raw/RTDC4042/ "%USERPROFILE%\AppData\Local\Temp\OnboardLogs"\RTDC4042\2017-04-23 --exclude "*" --recursive --include "*20170423*" &amp; "%USERPROFILE%\Documents\GitHub\mrs-test-scripts\Headless Mode &amp; Sideloading\WalkAndUnGZ.bat" "%USERPROFILE%\AppData\Local\Temp\OnboardLogs"\RTDC4042\2017-04-23 &amp; aws s3 cp s3://rtdc.mdm.uploadarchive.raw/RTDC4042/ "%USERPROFILE%\AppData\Local\Temp\OnboardLogs"\RTDC4042\2017-04-24 --exclude "*" --recursive --include "*20170424*" &amp; "%USERPROFILE%\Documents\GitHub\mrs-test-scripts\Headless Mode &amp; Sideloading\WalkAndUnGZ.bat" "%USERPROFILE%\AppData\Local\Temp\OnboardLogs"\RTDC4042\2017-04-24</v>
      </c>
      <c r="AF126" s="77" t="str">
        <f t="shared" si="70"/>
        <v>"C:\Program Files (x86)\AstroGrep\AstroGrep.exe" /e /r /s /spath="%USERPROFILE%\AppData\Local\Temp\OnboardLogs" /stypes="app*4042*20170423*" /stext=" 23:.+((SYSTEM_STATE.+slice.+state.+changed )|(ment ac)|(multiple cpu faults)|(system.+state.+changed )|(\[timeout)|(PRM\|1\|D)|(kpr)|(kdp)|(\|lc)|(penalty))"</v>
      </c>
      <c r="AG126" s="1" t="str">
        <f t="shared" si="71"/>
        <v>EC</v>
      </c>
      <c r="AH126" s="81" t="str">
        <f t="shared" si="53"/>
        <v>"%USERPROFILE%\Documents\GitHub\eaglep3\Utilities\RefineRTDCRunTimes.py" --tripid 207-23 --locoid 4042 --swversion DE.1.0.9.0 --startMP 204:458 --initTime 2017-04-23T16:51:59 --startdatetime 2017-04-23T17:00:52 --delay 1 --endMP 204:233291 --enddatetime 2017-04-23T17:36:36 --enforcementcount 0 &gt;&gt;C:\Users\stu\Documents\GitHub\eaglep3-reporting\EC\2017-04-23-refined-times.txt</v>
      </c>
      <c r="AI126" s="99" t="str">
        <f t="shared" si="54"/>
        <v>echo {"issue":{"subject":"","project_id":79,"tracker_id":40,"status_id":1,"priority_id":2,"assigned_to_id":23,"start_date":"2017-04-23","description":"","custom_fields":[{"id":1,"name":"Subdivision","value":"EC"},{"id":4,"name":"Milepost","value":"23.3291"},{"id":17,"name":"Train ID","value":"207-23"},{"id":16,"name":"Locomotive ID","value":"4042"},{"id":130,"name":"Impact","value":""},{"id":150,"name":"Time of Event (Mountain Time)","value":"17:36:36"},{"id":151,"name":"Denver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5" t="str">
        <f t="shared" si="55"/>
        <v>start /low /b %USERPROFILE%\Documents\GitHub\eaglep3\Utilities\DownloadLogsFromS3.py --loco 4042 --day 2017-04-23</v>
      </c>
      <c r="AN126" s="154" t="str">
        <f t="shared" si="56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23:36:36"},{"id":29,"name":"Sharepoint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777</v>
      </c>
      <c r="B127" s="7">
        <v>4041</v>
      </c>
      <c r="C127" s="21" t="s">
        <v>213</v>
      </c>
      <c r="D127" s="21" t="s">
        <v>518</v>
      </c>
      <c r="E127" s="13">
        <v>42848.740393518521</v>
      </c>
      <c r="F127" s="13">
        <v>42848.747488425928</v>
      </c>
      <c r="G127" s="7">
        <v>1</v>
      </c>
      <c r="H127" s="21" t="s">
        <v>391</v>
      </c>
      <c r="I127" s="13">
        <v>42848.773564814815</v>
      </c>
      <c r="J127" s="7">
        <v>0</v>
      </c>
      <c r="K127" s="92" t="str">
        <f t="shared" si="59"/>
        <v>4041/4042</v>
      </c>
      <c r="L127" s="21" t="str">
        <f>VLOOKUP(A127,'Trips&amp;Operators'!$C$1:$G$99999,5,FALSE)</f>
        <v>BRUDER RICHARD</v>
      </c>
      <c r="M127" s="6">
        <f t="shared" si="60"/>
        <v>2.6076388887304347E-2</v>
      </c>
      <c r="N127" s="7">
        <f t="shared" si="72"/>
        <v>37.54999999771826</v>
      </c>
      <c r="O127" s="7"/>
      <c r="P127" s="7"/>
      <c r="Q127" s="22"/>
      <c r="R127" s="200"/>
      <c r="S127" s="206">
        <f t="shared" si="73"/>
        <v>1</v>
      </c>
      <c r="T127" s="200" t="str">
        <f t="shared" si="61"/>
        <v>Southbound</v>
      </c>
      <c r="U127" s="200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01" t="str">
        <f t="shared" si="62"/>
        <v>https://d0f6bd738d7f1b3e5a7ca70fe4ff75f0.us-east-1.aws.found.io/app/kibana#/discover/Steve-Slow-Train-Analysis-(2080s-and-2083s)?_g=(refreshInterval:(display:Off,pause:!f,section:0,value:0),time:(from:'2017-04-23T16:46:10-0600',mode:absolute,to:'2017-04-23T19:33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7" s="202" t="str">
        <f t="shared" si="63"/>
        <v>N</v>
      </c>
      <c r="X127" s="202">
        <f t="shared" si="64"/>
        <v>1</v>
      </c>
      <c r="Y127" s="202">
        <f t="shared" si="65"/>
        <v>23.297499999999999</v>
      </c>
      <c r="Z127" s="202">
        <f t="shared" si="66"/>
        <v>1.4500000000000001E-2</v>
      </c>
      <c r="AA127" s="202">
        <f t="shared" si="67"/>
        <v>23.282999999999998</v>
      </c>
      <c r="AB127" s="57" t="e">
        <f>VLOOKUP(A127,Enforcements!$C$7:$K$13,8,0)</f>
        <v>#N/A</v>
      </c>
      <c r="AC127" s="53" t="e">
        <f>VLOOKUP(A127,Enforcements!$C$7:$E$13,3,0)</f>
        <v>#N/A</v>
      </c>
      <c r="AD127" s="54" t="str">
        <f t="shared" si="68"/>
        <v>0208-23</v>
      </c>
      <c r="AE127" s="80" t="str">
        <f t="shared" si="69"/>
        <v>aws s3 cp s3://rtdc.mdm.uploadarchive.raw/RTDC4041/ "%USERPROFILE%\AppData\Local\Temp\OnboardLogs"\RTDC4041\2017-04-23 --exclude "*" --recursive --include "*20170423*" &amp; "%USERPROFILE%\Documents\GitHub\mrs-test-scripts\Headless Mode &amp; Sideloading\WalkAndUnGZ.bat" "%USERPROFILE%\AppData\Local\Temp\OnboardLogs"\RTDC4041\2017-04-23 &amp; aws s3 cp s3://rtdc.mdm.uploadarchive.raw/RTDC4041/ "%USERPROFILE%\AppData\Local\Temp\OnboardLogs"\RTDC4041\2017-04-24 --exclude "*" --recursive --include "*20170424*" &amp; "%USERPROFILE%\Documents\GitHub\mrs-test-scripts\Headless Mode &amp; Sideloading\WalkAndUnGZ.bat" "%USERPROFILE%\AppData\Local\Temp\OnboardLogs"\RTDC4041\2017-04-24</v>
      </c>
      <c r="AF127" s="77" t="str">
        <f t="shared" si="70"/>
        <v>"C:\Program Files (x86)\AstroGrep\AstroGrep.exe" /e /r /s /spath="%USERPROFILE%\AppData\Local\Temp\OnboardLogs" /stypes="app*4041*20170424*" /stext=" 00:.+((SYSTEM_STATE.+slice.+state.+changed )|(ment ac)|(multiple cpu faults)|(system.+state.+changed )|(\[timeout)|(PRM\|1\|D)|(kpr)|(kdp)|(\|lc)|(penalty))"</v>
      </c>
      <c r="AG127" s="1" t="str">
        <f t="shared" si="71"/>
        <v>EC</v>
      </c>
      <c r="AH127" s="81" t="str">
        <f t="shared" si="53"/>
        <v>"%USERPROFILE%\Documents\GitHub\eaglep3\Utilities\RefineRTDCRunTimes.py" --tripid 208-23 --locoid 4041 --swversion DE.1.0.9.0 --startMP 204:232975 --initTime 2017-04-23T17:46:10 --startdatetime 2017-04-23T17:56:23 --delay 1 --endMP 204:145 --enddatetime 2017-04-23T18:33:56 --enforcementcount 0 &gt;&gt;C:\Users\stu\Documents\GitHub\eaglep3-reporting\EC\2017-04-23-refined-times.txt</v>
      </c>
      <c r="AI127" s="99" t="str">
        <f t="shared" si="54"/>
        <v>echo {"issue":{"subject":"","project_id":79,"tracker_id":40,"status_id":1,"priority_id":2,"assigned_to_id":23,"start_date":"2017-04-23","description":"","custom_fields":[{"id":1,"name":"Subdivision","value":"EC"},{"id":4,"name":"Milepost","value":"0.0145"},{"id":17,"name":"Train ID","value":"208-23"},{"id":16,"name":"Locomotive ID","value":"4041"},{"id":130,"name":"Impact","value":""},{"id":150,"name":"Time of Event (Mountain Time)","value":"18:33:56"},{"id":151,"name":"Denver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5" t="str">
        <f t="shared" si="55"/>
        <v>start /low /b %USERPROFILE%\Documents\GitHub\eaglep3\Utilities\DownloadLogsFromS3.py --loco 4041 --day 2017-04-23</v>
      </c>
      <c r="AN127" s="154" t="str">
        <f t="shared" si="56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00:33:56"},{"id":29,"name":"Sharepoint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770</v>
      </c>
      <c r="B128" s="7">
        <v>4004</v>
      </c>
      <c r="C128" s="21" t="s">
        <v>213</v>
      </c>
      <c r="D128" s="21" t="s">
        <v>209</v>
      </c>
      <c r="E128" s="13">
        <v>42848.716527777775</v>
      </c>
      <c r="F128" s="13">
        <v>42848.718993055554</v>
      </c>
      <c r="G128" s="7">
        <v>1</v>
      </c>
      <c r="H128" s="21" t="s">
        <v>515</v>
      </c>
      <c r="I128" s="13">
        <v>42848.744375000002</v>
      </c>
      <c r="J128" s="7">
        <v>0</v>
      </c>
      <c r="K128" s="92" t="str">
        <f t="shared" si="59"/>
        <v>4003/4004</v>
      </c>
      <c r="L128" s="21" t="str">
        <f>VLOOKUP(A128,'Trips&amp;Operators'!$C$1:$G$99999,5,FALSE)</f>
        <v>CHANDLER KELVIN</v>
      </c>
      <c r="M128" s="6">
        <f t="shared" si="60"/>
        <v>2.5381944447872229E-2</v>
      </c>
      <c r="N128" s="7">
        <f t="shared" si="72"/>
        <v>36.55000000493601</v>
      </c>
      <c r="O128" s="7"/>
      <c r="P128" s="7"/>
      <c r="Q128" s="22"/>
      <c r="R128" s="200"/>
      <c r="S128" s="206">
        <f t="shared" si="73"/>
        <v>1</v>
      </c>
      <c r="T128" s="200" t="str">
        <f t="shared" si="61"/>
        <v>NorthBound</v>
      </c>
      <c r="U128" s="200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01" t="str">
        <f t="shared" si="62"/>
        <v>https://d0f6bd738d7f1b3e5a7ca70fe4ff75f0.us-east-1.aws.found.io/app/kibana#/discover/Steve-Slow-Train-Analysis-(2080s-and-2083s)?_g=(refreshInterval:(display:Off,pause:!f,section:0,value:0),time:(from:'2017-04-23T16:11:48-0600',mode:absolute,to:'2017-04-23T18:51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8" s="202" t="str">
        <f t="shared" si="63"/>
        <v>N</v>
      </c>
      <c r="X128" s="202">
        <f t="shared" si="64"/>
        <v>1</v>
      </c>
      <c r="Y128" s="202">
        <f t="shared" si="65"/>
        <v>4.5499999999999999E-2</v>
      </c>
      <c r="Z128" s="202">
        <f t="shared" si="66"/>
        <v>23.329699999999999</v>
      </c>
      <c r="AA128" s="202">
        <f t="shared" si="67"/>
        <v>23.284199999999998</v>
      </c>
      <c r="AB128" s="57" t="e">
        <f>VLOOKUP(A128,Enforcements!$C$7:$K$13,8,0)</f>
        <v>#N/A</v>
      </c>
      <c r="AC128" s="53" t="e">
        <f>VLOOKUP(A128,Enforcements!$C$7:$E$13,3,0)</f>
        <v>#N/A</v>
      </c>
      <c r="AD128" s="54" t="str">
        <f t="shared" si="68"/>
        <v>0209-23</v>
      </c>
      <c r="AE128" s="80" t="str">
        <f t="shared" si="69"/>
        <v>aws s3 cp s3://rtdc.mdm.uploadarchive.raw/RTDC4004/ "%USERPROFILE%\AppData\Local\Temp\OnboardLogs"\RTDC4004\2017-04-23 --exclude "*" --recursive --include "*20170423*" &amp; "%USERPROFILE%\Documents\GitHub\mrs-test-scripts\Headless Mode &amp; Sideloading\WalkAndUnGZ.bat" "%USERPROFILE%\AppData\Local\Temp\OnboardLogs"\RTDC4004\2017-04-23 &amp; aws s3 cp s3://rtdc.mdm.uploadarchive.raw/RTDC4004/ "%USERPROFILE%\AppData\Local\Temp\OnboardLogs"\RTDC4004\2017-04-24 --exclude "*" --recursive --include "*20170424*" &amp; "%USERPROFILE%\Documents\GitHub\mrs-test-scripts\Headless Mode &amp; Sideloading\WalkAndUnGZ.bat" "%USERPROFILE%\AppData\Local\Temp\OnboardLogs"\RTDC4004\2017-04-24</v>
      </c>
      <c r="AF128" s="77" t="str">
        <f t="shared" si="70"/>
        <v>"C:\Program Files (x86)\AstroGrep\AstroGrep.exe" /e /r /s /spath="%USERPROFILE%\AppData\Local\Temp\OnboardLogs" /stypes="app*4004*20170423*" /stext=" 23:.+((SYSTEM_STATE.+slice.+state.+changed )|(ment ac)|(multiple cpu faults)|(system.+state.+changed )|(\[timeout)|(PRM\|1\|D)|(kpr)|(kdp)|(\|lc)|(penalty))"</v>
      </c>
      <c r="AG128" s="1" t="str">
        <f t="shared" si="71"/>
        <v>EC</v>
      </c>
      <c r="AH128" s="81" t="str">
        <f t="shared" si="53"/>
        <v>"%USERPROFILE%\Documents\GitHub\eaglep3\Utilities\RefineRTDCRunTimes.py" --tripid 209-23 --locoid 4004 --swversion DE.1.0.9.0 --startMP 204:455 --initTime 2017-04-23T17:11:48 --startdatetime 2017-04-23T17:15:21 --delay 1 --endMP 204:233297 --enddatetime 2017-04-23T17:51:54 --enforcementcount 0 &gt;&gt;C:\Users\stu\Documents\GitHub\eaglep3-reporting\EC\2017-04-23-refined-times.txt</v>
      </c>
      <c r="AI128" s="99" t="str">
        <f t="shared" si="54"/>
        <v>echo {"issue":{"subject":"","project_id":79,"tracker_id":40,"status_id":1,"priority_id":2,"assigned_to_id":23,"start_date":"2017-04-23","description":"","custom_fields":[{"id":1,"name":"Subdivision","value":"EC"},{"id":4,"name":"Milepost","value":"23.3297"},{"id":17,"name":"Train ID","value":"209-23"},{"id":16,"name":"Locomotive ID","value":"4004"},{"id":130,"name":"Impact","value":""},{"id":150,"name":"Time of Event (Mountain Time)","value":"17:51:54"},{"id":151,"name":"Denver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5" t="str">
        <f t="shared" si="55"/>
        <v>start /low /b %USERPROFILE%\Documents\GitHub\eaglep3\Utilities\DownloadLogsFromS3.py --loco 4004 --day 2017-04-23</v>
      </c>
      <c r="AN128" s="154" t="str">
        <f t="shared" si="56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23:51:54"},{"id":29,"name":"Sharepoint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779</v>
      </c>
      <c r="B129" s="7">
        <v>4003</v>
      </c>
      <c r="C129" s="21" t="s">
        <v>213</v>
      </c>
      <c r="D129" s="21" t="s">
        <v>966</v>
      </c>
      <c r="E129" s="13">
        <v>42848.754548611112</v>
      </c>
      <c r="F129" s="13">
        <v>42848.757951388892</v>
      </c>
      <c r="G129" s="7">
        <v>1</v>
      </c>
      <c r="H129" s="21" t="s">
        <v>429</v>
      </c>
      <c r="I129" s="13">
        <v>42848.785370370373</v>
      </c>
      <c r="J129" s="7">
        <v>0</v>
      </c>
      <c r="K129" s="92" t="str">
        <f t="shared" si="59"/>
        <v>4003/4004</v>
      </c>
      <c r="L129" s="21" t="str">
        <f>VLOOKUP(A129,'Trips&amp;Operators'!$C$1:$G$99999,5,FALSE)</f>
        <v>CHANDLER KELVIN</v>
      </c>
      <c r="M129" s="6">
        <f t="shared" si="60"/>
        <v>2.7418981480877846E-2</v>
      </c>
      <c r="N129" s="7">
        <f t="shared" si="72"/>
        <v>39.483333332464099</v>
      </c>
      <c r="O129" s="7"/>
      <c r="P129" s="7"/>
      <c r="Q129" s="22"/>
      <c r="R129" s="200"/>
      <c r="S129" s="206">
        <f t="shared" si="73"/>
        <v>1</v>
      </c>
      <c r="T129" s="200" t="str">
        <f t="shared" si="61"/>
        <v>Southbound</v>
      </c>
      <c r="U129" s="200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01" t="str">
        <f t="shared" si="62"/>
        <v>https://d0f6bd738d7f1b3e5a7ca70fe4ff75f0.us-east-1.aws.found.io/app/kibana#/discover/Steve-Slow-Train-Analysis-(2080s-and-2083s)?_g=(refreshInterval:(display:Off,pause:!f,section:0,value:0),time:(from:'2017-04-23T17:06:33-0600',mode:absolute,to:'2017-04-23T19:50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9" s="202" t="str">
        <f t="shared" si="63"/>
        <v>N</v>
      </c>
      <c r="X129" s="202">
        <f t="shared" si="64"/>
        <v>1</v>
      </c>
      <c r="Y129" s="202">
        <f t="shared" si="65"/>
        <v>23.296600000000002</v>
      </c>
      <c r="Z129" s="202">
        <f t="shared" si="66"/>
        <v>1.6299999999999999E-2</v>
      </c>
      <c r="AA129" s="202">
        <f t="shared" si="67"/>
        <v>23.2803</v>
      </c>
      <c r="AB129" s="57" t="e">
        <f>VLOOKUP(A129,Enforcements!$C$7:$K$13,8,0)</f>
        <v>#N/A</v>
      </c>
      <c r="AC129" s="53" t="e">
        <f>VLOOKUP(A129,Enforcements!$C$7:$E$13,3,0)</f>
        <v>#N/A</v>
      </c>
      <c r="AD129" s="54" t="str">
        <f t="shared" si="68"/>
        <v>0210-23</v>
      </c>
      <c r="AE129" s="80" t="str">
        <f t="shared" si="69"/>
        <v>aws s3 cp s3://rtdc.mdm.uploadarchive.raw/RTDC4003/ "%USERPROFILE%\AppData\Local\Temp\OnboardLogs"\RTDC4003\2017-04-23 --exclude "*" --recursive --include "*20170423*" &amp; "%USERPROFILE%\Documents\GitHub\mrs-test-scripts\Headless Mode &amp; Sideloading\WalkAndUnGZ.bat" "%USERPROFILE%\AppData\Local\Temp\OnboardLogs"\RTDC4003\2017-04-23 &amp; aws s3 cp s3://rtdc.mdm.uploadarchive.raw/RTDC4003/ "%USERPROFILE%\AppData\Local\Temp\OnboardLogs"\RTDC4003\2017-04-24 --exclude "*" --recursive --include "*20170424*" &amp; "%USERPROFILE%\Documents\GitHub\mrs-test-scripts\Headless Mode &amp; Sideloading\WalkAndUnGZ.bat" "%USERPROFILE%\AppData\Local\Temp\OnboardLogs"\RTDC4003\2017-04-24</v>
      </c>
      <c r="AF129" s="77" t="str">
        <f t="shared" si="70"/>
        <v>"C:\Program Files (x86)\AstroGrep\AstroGrep.exe" /e /r /s /spath="%USERPROFILE%\AppData\Local\Temp\OnboardLogs" /stypes="app*4003*20170424*" /stext=" 00:.+((SYSTEM_STATE.+slice.+state.+changed )|(ment ac)|(multiple cpu faults)|(system.+state.+changed )|(\[timeout)|(PRM\|1\|D)|(kpr)|(kdp)|(\|lc)|(penalty))"</v>
      </c>
      <c r="AG129" s="1" t="str">
        <f t="shared" si="71"/>
        <v>EC</v>
      </c>
      <c r="AH129" s="81" t="str">
        <f t="shared" si="53"/>
        <v>"%USERPROFILE%\Documents\GitHub\eaglep3\Utilities\RefineRTDCRunTimes.py" --tripid 210-23 --locoid 4003 --swversion DE.1.0.9.0 --startMP 204:232966 --initTime 2017-04-23T18:06:33 --startdatetime 2017-04-23T18:11:27 --delay 1 --endMP 204:163 --enddatetime 2017-04-23T18:50:56 --enforcementcount 0 &gt;&gt;C:\Users\stu\Documents\GitHub\eaglep3-reporting\EC\2017-04-23-refined-times.txt</v>
      </c>
      <c r="AI129" s="99" t="str">
        <f t="shared" si="54"/>
        <v>echo {"issue":{"subject":"","project_id":79,"tracker_id":40,"status_id":1,"priority_id":2,"assigned_to_id":23,"start_date":"2017-04-23","description":"","custom_fields":[{"id":1,"name":"Subdivision","value":"EC"},{"id":4,"name":"Milepost","value":"0.0163"},{"id":17,"name":"Train ID","value":"210-23"},{"id":16,"name":"Locomotive ID","value":"4003"},{"id":130,"name":"Impact","value":""},{"id":150,"name":"Time of Event (Mountain Time)","value":"18:50:56"},{"id":151,"name":"Denver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5" t="str">
        <f t="shared" si="55"/>
        <v>start /low /b %USERPROFILE%\Documents\GitHub\eaglep3\Utilities\DownloadLogsFromS3.py --loco 4003 --day 2017-04-23</v>
      </c>
      <c r="AN129" s="154" t="str">
        <f t="shared" si="56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00:50:56"},{"id":29,"name":"Sharepoint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772</v>
      </c>
      <c r="B130" s="7">
        <v>4002</v>
      </c>
      <c r="C130" s="21" t="s">
        <v>213</v>
      </c>
      <c r="D130" s="21" t="s">
        <v>370</v>
      </c>
      <c r="E130" s="13">
        <v>42848.722662037035</v>
      </c>
      <c r="F130" s="13">
        <v>42848.729375000003</v>
      </c>
      <c r="G130" s="7">
        <v>2</v>
      </c>
      <c r="H130" s="21" t="s">
        <v>957</v>
      </c>
      <c r="I130" s="13">
        <v>42848.755254629628</v>
      </c>
      <c r="J130" s="7">
        <v>0</v>
      </c>
      <c r="K130" s="92" t="str">
        <f t="shared" si="59"/>
        <v>4001/4002</v>
      </c>
      <c r="L130" s="21" t="str">
        <f>VLOOKUP(A130,'Trips&amp;Operators'!$C$1:$G$99999,5,FALSE)</f>
        <v>DAVIDSON DAVID</v>
      </c>
      <c r="M130" s="6">
        <f t="shared" si="60"/>
        <v>2.5879629625706002E-2</v>
      </c>
      <c r="N130" s="7">
        <f t="shared" si="72"/>
        <v>37.266666661016643</v>
      </c>
      <c r="O130" s="7"/>
      <c r="P130" s="7"/>
      <c r="Q130" s="22"/>
      <c r="R130" s="200"/>
      <c r="S130" s="206">
        <f t="shared" si="73"/>
        <v>1</v>
      </c>
      <c r="T130" s="200" t="str">
        <f t="shared" si="61"/>
        <v>NorthBound</v>
      </c>
      <c r="U130" s="200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01" t="str">
        <f t="shared" si="62"/>
        <v>https://d0f6bd738d7f1b3e5a7ca70fe4ff75f0.us-east-1.aws.found.io/app/kibana#/discover/Steve-Slow-Train-Analysis-(2080s-and-2083s)?_g=(refreshInterval:(display:Off,pause:!f,section:0,value:0),time:(from:'2017-04-23T16:20:38-0600',mode:absolute,to:'2017-04-23T19:07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0" s="202" t="str">
        <f t="shared" si="63"/>
        <v>N</v>
      </c>
      <c r="X130" s="202">
        <f t="shared" si="64"/>
        <v>1</v>
      </c>
      <c r="Y130" s="202">
        <f t="shared" si="65"/>
        <v>4.4900000000000002E-2</v>
      </c>
      <c r="Z130" s="202">
        <f t="shared" si="66"/>
        <v>23.328800000000001</v>
      </c>
      <c r="AA130" s="202">
        <f t="shared" si="67"/>
        <v>23.283900000000003</v>
      </c>
      <c r="AB130" s="57" t="e">
        <f>VLOOKUP(A130,Enforcements!$C$7:$K$13,8,0)</f>
        <v>#N/A</v>
      </c>
      <c r="AC130" s="53" t="e">
        <f>VLOOKUP(A130,Enforcements!$C$7:$E$13,3,0)</f>
        <v>#N/A</v>
      </c>
      <c r="AD130" s="54" t="str">
        <f t="shared" si="68"/>
        <v>0211-23</v>
      </c>
      <c r="AE130" s="80" t="str">
        <f t="shared" si="69"/>
        <v>aws s3 cp s3://rtdc.mdm.uploadarchive.raw/RTDC4002/ "%USERPROFILE%\AppData\Local\Temp\OnboardLogs"\RTDC4002\2017-04-23 --exclude "*" --recursive --include "*20170423*" &amp; "%USERPROFILE%\Documents\GitHub\mrs-test-scripts\Headless Mode &amp; Sideloading\WalkAndUnGZ.bat" "%USERPROFILE%\AppData\Local\Temp\OnboardLogs"\RTDC4002\2017-04-23 &amp; aws s3 cp s3://rtdc.mdm.uploadarchive.raw/RTDC4002/ "%USERPROFILE%\AppData\Local\Temp\OnboardLogs"\RTDC4002\2017-04-24 --exclude "*" --recursive --include "*20170424*" &amp; "%USERPROFILE%\Documents\GitHub\mrs-test-scripts\Headless Mode &amp; Sideloading\WalkAndUnGZ.bat" "%USERPROFILE%\AppData\Local\Temp\OnboardLogs"\RTDC4002\2017-04-24</v>
      </c>
      <c r="AF130" s="77" t="str">
        <f t="shared" si="70"/>
        <v>"C:\Program Files (x86)\AstroGrep\AstroGrep.exe" /e /r /s /spath="%USERPROFILE%\AppData\Local\Temp\OnboardLogs" /stypes="app*4002*20170424*" /stext=" 00:.+((SYSTEM_STATE.+slice.+state.+changed )|(ment ac)|(multiple cpu faults)|(system.+state.+changed )|(\[timeout)|(PRM\|1\|D)|(kpr)|(kdp)|(\|lc)|(penalty))"</v>
      </c>
      <c r="AG130" s="1" t="str">
        <f t="shared" si="71"/>
        <v>EC</v>
      </c>
      <c r="AH130" s="81" t="str">
        <f t="shared" si="53"/>
        <v>"%USERPROFILE%\Documents\GitHub\eaglep3\Utilities\RefineRTDCRunTimes.py" --tripid 211-23 --locoid 4002 --swversion DE.1.0.9.0 --startMP 204:449 --initTime 2017-04-23T17:20:38 --startdatetime 2017-04-23T17:30:18 --delay 2 --endMP 204:233288 --enddatetime 2017-04-23T18:07:34 --enforcementcount 0 &gt;&gt;C:\Users\stu\Documents\GitHub\eaglep3-reporting\EC\2017-04-23-refined-times.txt</v>
      </c>
      <c r="AI130" s="99" t="str">
        <f t="shared" si="54"/>
        <v>echo {"issue":{"subject":"","project_id":79,"tracker_id":40,"status_id":1,"priority_id":2,"assigned_to_id":23,"start_date":"2017-04-23","description":"","custom_fields":[{"id":1,"name":"Subdivision","value":"EC"},{"id":4,"name":"Milepost","value":"23.3288"},{"id":17,"name":"Train ID","value":"211-23"},{"id":16,"name":"Locomotive ID","value":"4002"},{"id":130,"name":"Impact","value":""},{"id":150,"name":"Time of Event (Mountain Time)","value":"18:07:34"},{"id":151,"name":"Denver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5" t="str">
        <f t="shared" si="55"/>
        <v>start /low /b %USERPROFILE%\Documents\GitHub\eaglep3\Utilities\DownloadLogsFromS3.py --loco 4002 --day 2017-04-23</v>
      </c>
      <c r="AN130" s="154" t="str">
        <f t="shared" si="56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00:07:34"},{"id":29,"name":"Sharepoint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781</v>
      </c>
      <c r="B131" s="7">
        <v>4001</v>
      </c>
      <c r="C131" s="21" t="s">
        <v>213</v>
      </c>
      <c r="D131" s="21" t="s">
        <v>573</v>
      </c>
      <c r="E131" s="13">
        <v>42848.75880787037</v>
      </c>
      <c r="F131" s="13">
        <v>42848.768252314818</v>
      </c>
      <c r="G131" s="7">
        <v>1</v>
      </c>
      <c r="H131" s="21" t="s">
        <v>381</v>
      </c>
      <c r="I131" s="13">
        <v>42848.79546296296</v>
      </c>
      <c r="J131" s="7">
        <v>0</v>
      </c>
      <c r="K131" s="92" t="str">
        <f t="shared" si="59"/>
        <v>4001/4002</v>
      </c>
      <c r="L131" s="21" t="str">
        <f>VLOOKUP(A131,'Trips&amp;Operators'!$C$1:$G$99999,5,FALSE)</f>
        <v>DAVIDSON DAVID</v>
      </c>
      <c r="M131" s="6">
        <f t="shared" si="60"/>
        <v>2.7210648142499849E-2</v>
      </c>
      <c r="N131" s="7">
        <f t="shared" si="72"/>
        <v>39.183333325199783</v>
      </c>
      <c r="O131" s="7"/>
      <c r="P131" s="7"/>
      <c r="Q131" s="22"/>
      <c r="R131" s="200"/>
      <c r="S131" s="206">
        <f t="shared" si="73"/>
        <v>1</v>
      </c>
      <c r="T131" s="200" t="str">
        <f t="shared" si="61"/>
        <v>Southbound</v>
      </c>
      <c r="U131" s="200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01" t="str">
        <f t="shared" si="62"/>
        <v>https://d0f6bd738d7f1b3e5a7ca70fe4ff75f0.us-east-1.aws.found.io/app/kibana#/discover/Steve-Slow-Train-Analysis-(2080s-and-2083s)?_g=(refreshInterval:(display:Off,pause:!f,section:0,value:0),time:(from:'2017-04-23T17:12:41-0600',mode:absolute,to:'2017-04-23T20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1" s="202" t="str">
        <f t="shared" si="63"/>
        <v>N</v>
      </c>
      <c r="X131" s="202">
        <f t="shared" si="64"/>
        <v>1</v>
      </c>
      <c r="Y131" s="202">
        <f t="shared" si="65"/>
        <v>23.296099999999999</v>
      </c>
      <c r="Z131" s="202">
        <f t="shared" si="66"/>
        <v>1.41E-2</v>
      </c>
      <c r="AA131" s="202">
        <f t="shared" si="67"/>
        <v>23.282</v>
      </c>
      <c r="AB131" s="57" t="e">
        <f>VLOOKUP(A131,Enforcements!$C$7:$K$13,8,0)</f>
        <v>#N/A</v>
      </c>
      <c r="AC131" s="53" t="e">
        <f>VLOOKUP(A131,Enforcements!$C$7:$E$13,3,0)</f>
        <v>#N/A</v>
      </c>
      <c r="AD131" s="54" t="str">
        <f t="shared" si="68"/>
        <v>0212-23</v>
      </c>
      <c r="AE131" s="80" t="str">
        <f t="shared" si="69"/>
        <v>aws s3 cp s3://rtdc.mdm.uploadarchive.raw/RTDC4001/ "%USERPROFILE%\AppData\Local\Temp\OnboardLogs"\RTDC4001\2017-04-23 --exclude "*" --recursive --include "*20170423*" &amp; "%USERPROFILE%\Documents\GitHub\mrs-test-scripts\Headless Mode &amp; Sideloading\WalkAndUnGZ.bat" "%USERPROFILE%\AppData\Local\Temp\OnboardLogs"\RTDC4001\2017-04-23 &amp; aws s3 cp s3://rtdc.mdm.uploadarchive.raw/RTDC4001/ "%USERPROFILE%\AppData\Local\Temp\OnboardLogs"\RTDC4001\2017-04-24 --exclude "*" --recursive --include "*20170424*" &amp; "%USERPROFILE%\Documents\GitHub\mrs-test-scripts\Headless Mode &amp; Sideloading\WalkAndUnGZ.bat" "%USERPROFILE%\AppData\Local\Temp\OnboardLogs"\RTDC4001\2017-04-24</v>
      </c>
      <c r="AF131" s="77" t="str">
        <f t="shared" si="70"/>
        <v>"C:\Program Files (x86)\AstroGrep\AstroGrep.exe" /e /r /s /spath="%USERPROFILE%\AppData\Local\Temp\OnboardLogs" /stypes="app*4001*20170424*" /stext=" 01:.+((SYSTEM_STATE.+slice.+state.+changed )|(ment ac)|(multiple cpu faults)|(system.+state.+changed )|(\[timeout)|(PRM\|1\|D)|(kpr)|(kdp)|(\|lc)|(penalty))"</v>
      </c>
      <c r="AG131" s="1" t="str">
        <f t="shared" si="71"/>
        <v>EC</v>
      </c>
      <c r="AH131" s="81" t="str">
        <f t="shared" si="53"/>
        <v>"%USERPROFILE%\Documents\GitHub\eaglep3\Utilities\RefineRTDCRunTimes.py" --tripid 212-23 --locoid 4001 --swversion DE.1.0.9.0 --startMP 204:232961 --initTime 2017-04-23T18:12:41 --startdatetime 2017-04-23T18:26:17 --delay 1 --endMP 204:141 --enddatetime 2017-04-23T19:05:28 --enforcementcount 0 &gt;&gt;C:\Users\stu\Documents\GitHub\eaglep3-reporting\EC\2017-04-23-refined-times.txt</v>
      </c>
      <c r="AI131" s="99" t="str">
        <f t="shared" si="54"/>
        <v>echo {"issue":{"subject":"","project_id":79,"tracker_id":40,"status_id":1,"priority_id":2,"assigned_to_id":23,"start_date":"2017-04-23","description":"","custom_fields":[{"id":1,"name":"Subdivision","value":"EC"},{"id":4,"name":"Milepost","value":"0.0141"},{"id":17,"name":"Train ID","value":"212-23"},{"id":16,"name":"Locomotive ID","value":"4001"},{"id":130,"name":"Impact","value":""},{"id":150,"name":"Time of Event (Mountain Time)","value":"19:05:28"},{"id":151,"name":"Denver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5" t="str">
        <f t="shared" si="55"/>
        <v>start /low /b %USERPROFILE%\Documents\GitHub\eaglep3\Utilities\DownloadLogsFromS3.py --loco 4001 --day 2017-04-23</v>
      </c>
      <c r="AN131" s="154" t="str">
        <f t="shared" si="56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01:05:28"},{"id":29,"name":"Sharepoint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775</v>
      </c>
      <c r="B132" s="7">
        <v>4046</v>
      </c>
      <c r="C132" s="21" t="s">
        <v>213</v>
      </c>
      <c r="D132" s="21" t="s">
        <v>568</v>
      </c>
      <c r="E132" s="13">
        <v>42848.736747685187</v>
      </c>
      <c r="F132" s="13">
        <v>42848.739733796298</v>
      </c>
      <c r="G132" s="7">
        <v>1</v>
      </c>
      <c r="H132" s="21" t="s">
        <v>436</v>
      </c>
      <c r="I132" s="13">
        <v>42848.76457175926</v>
      </c>
      <c r="J132" s="7">
        <v>0</v>
      </c>
      <c r="K132" s="92" t="str">
        <f t="shared" si="59"/>
        <v>4045/4046</v>
      </c>
      <c r="L132" s="21" t="str">
        <f>VLOOKUP(A132,'Trips&amp;Operators'!$C$1:$G$99999,5,FALSE)</f>
        <v>NEWELL JAMES</v>
      </c>
      <c r="M132" s="6">
        <f t="shared" si="60"/>
        <v>2.4837962962919846E-2</v>
      </c>
      <c r="N132" s="7">
        <f t="shared" si="72"/>
        <v>35.766666666604578</v>
      </c>
      <c r="O132" s="7"/>
      <c r="P132" s="7"/>
      <c r="Q132" s="22"/>
      <c r="R132" s="200"/>
      <c r="S132" s="206">
        <f t="shared" si="73"/>
        <v>1</v>
      </c>
      <c r="T132" s="200" t="str">
        <f t="shared" si="61"/>
        <v>NorthBound</v>
      </c>
      <c r="U132" s="200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01" t="str">
        <f t="shared" si="62"/>
        <v>https://d0f6bd738d7f1b3e5a7ca70fe4ff75f0.us-east-1.aws.found.io/app/kibana#/discover/Steve-Slow-Train-Analysis-(2080s-and-2083s)?_g=(refreshInterval:(display:Off,pause:!f,section:0,value:0),time:(from:'2017-04-23T16:40:55-0600',mode:absolute,to:'2017-04-23T19:20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2" s="202" t="str">
        <f t="shared" si="63"/>
        <v>N</v>
      </c>
      <c r="X132" s="202">
        <f t="shared" si="64"/>
        <v>1</v>
      </c>
      <c r="Y132" s="202">
        <f t="shared" si="65"/>
        <v>4.3499999999999997E-2</v>
      </c>
      <c r="Z132" s="202">
        <f t="shared" si="66"/>
        <v>23.331499999999998</v>
      </c>
      <c r="AA132" s="202">
        <f t="shared" si="67"/>
        <v>23.287999999999997</v>
      </c>
      <c r="AB132" s="57" t="e">
        <f>VLOOKUP(A132,Enforcements!$C$7:$K$13,8,0)</f>
        <v>#N/A</v>
      </c>
      <c r="AC132" s="53" t="e">
        <f>VLOOKUP(A132,Enforcements!$C$7:$E$13,3,0)</f>
        <v>#N/A</v>
      </c>
      <c r="AD132" s="54" t="str">
        <f t="shared" si="68"/>
        <v>0213-23</v>
      </c>
      <c r="AE132" s="80" t="str">
        <f t="shared" si="69"/>
        <v>aws s3 cp s3://rtdc.mdm.uploadarchive.raw/RTDC4046/ "%USERPROFILE%\AppData\Local\Temp\OnboardLogs"\RTDC4046\2017-04-23 --exclude "*" --recursive --include "*20170423*" &amp; "%USERPROFILE%\Documents\GitHub\mrs-test-scripts\Headless Mode &amp; Sideloading\WalkAndUnGZ.bat" "%USERPROFILE%\AppData\Local\Temp\OnboardLogs"\RTDC4046\2017-04-23 &amp; aws s3 cp s3://rtdc.mdm.uploadarchive.raw/RTDC4046/ "%USERPROFILE%\AppData\Local\Temp\OnboardLogs"\RTDC4046\2017-04-24 --exclude "*" --recursive --include "*20170424*" &amp; "%USERPROFILE%\Documents\GitHub\mrs-test-scripts\Headless Mode &amp; Sideloading\WalkAndUnGZ.bat" "%USERPROFILE%\AppData\Local\Temp\OnboardLogs"\RTDC4046\2017-04-24</v>
      </c>
      <c r="AF132" s="77" t="str">
        <f t="shared" si="70"/>
        <v>"C:\Program Files (x86)\AstroGrep\AstroGrep.exe" /e /r /s /spath="%USERPROFILE%\AppData\Local\Temp\OnboardLogs" /stypes="app*4046*20170424*" /stext=" 00:.+((SYSTEM_STATE.+slice.+state.+changed )|(ment ac)|(multiple cpu faults)|(system.+state.+changed )|(\[timeout)|(PRM\|1\|D)|(kpr)|(kdp)|(\|lc)|(penalty))"</v>
      </c>
      <c r="AG132" s="1" t="str">
        <f t="shared" si="71"/>
        <v>EC</v>
      </c>
      <c r="AH132" s="81" t="str">
        <f t="shared" si="53"/>
        <v>"%USERPROFILE%\Documents\GitHub\eaglep3\Utilities\RefineRTDCRunTimes.py" --tripid 213-23 --locoid 4046 --swversion DE.1.0.9.0 --startMP 204:435 --initTime 2017-04-23T17:40:55 --startdatetime 2017-04-23T17:45:13 --delay 1 --endMP 204:233315 --enddatetime 2017-04-23T18:20:59 --enforcementcount 0 &gt;&gt;C:\Users\stu\Documents\GitHub\eaglep3-reporting\EC\2017-04-23-refined-times.txt</v>
      </c>
      <c r="AI132" s="99" t="str">
        <f t="shared" si="54"/>
        <v>echo {"issue":{"subject":"","project_id":79,"tracker_id":40,"status_id":1,"priority_id":2,"assigned_to_id":23,"start_date":"2017-04-23","description":"","custom_fields":[{"id":1,"name":"Subdivision","value":"EC"},{"id":4,"name":"Milepost","value":"23.3315"},{"id":17,"name":"Train ID","value":"213-23"},{"id":16,"name":"Locomotive ID","value":"4046"},{"id":130,"name":"Impact","value":""},{"id":150,"name":"Time of Event (Mountain Time)","value":"18:20:59"},{"id":151,"name":"Denver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5" t="str">
        <f t="shared" si="55"/>
        <v>start /low /b %USERPROFILE%\Documents\GitHub\eaglep3\Utilities\DownloadLogsFromS3.py --loco 4046 --day 2017-04-23</v>
      </c>
      <c r="AN132" s="154" t="str">
        <f t="shared" si="56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00:20:59"},{"id":29,"name":"Sharepoint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784</v>
      </c>
      <c r="B133" s="7">
        <v>4045</v>
      </c>
      <c r="C133" s="21" t="s">
        <v>213</v>
      </c>
      <c r="D133" s="21" t="s">
        <v>460</v>
      </c>
      <c r="E133" s="13">
        <v>42848.769004629627</v>
      </c>
      <c r="F133" s="13">
        <v>42848.778668981482</v>
      </c>
      <c r="G133" s="7">
        <v>1</v>
      </c>
      <c r="H133" s="21" t="s">
        <v>424</v>
      </c>
      <c r="I133" s="13">
        <v>42848.804756944446</v>
      </c>
      <c r="J133" s="7">
        <v>0</v>
      </c>
      <c r="K133" s="92" t="str">
        <f t="shared" si="59"/>
        <v>4045/4046</v>
      </c>
      <c r="L133" s="21" t="str">
        <f>VLOOKUP(A133,'Trips&amp;Operators'!$C$1:$G$99999,5,FALSE)</f>
        <v>NEWELL JAMES</v>
      </c>
      <c r="M133" s="6">
        <f t="shared" si="60"/>
        <v>2.6087962964083999E-2</v>
      </c>
      <c r="N133" s="7">
        <f t="shared" si="72"/>
        <v>37.566666668280959</v>
      </c>
      <c r="O133" s="7"/>
      <c r="P133" s="7"/>
      <c r="Q133" s="22"/>
      <c r="R133" s="200"/>
      <c r="S133" s="206">
        <f t="shared" si="73"/>
        <v>1</v>
      </c>
      <c r="T133" s="200" t="str">
        <f t="shared" si="61"/>
        <v>Southbound</v>
      </c>
      <c r="U133" s="200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01" t="str">
        <f t="shared" si="62"/>
        <v>https://d0f6bd738d7f1b3e5a7ca70fe4ff75f0.us-east-1.aws.found.io/app/kibana#/discover/Steve-Slow-Train-Analysis-(2080s-and-2083s)?_g=(refreshInterval:(display:Off,pause:!f,section:0,value:0),time:(from:'2017-04-23T17:27:22-0600',mode:absolute,to:'2017-04-23T20:18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3" s="202" t="str">
        <f t="shared" si="63"/>
        <v>N</v>
      </c>
      <c r="X133" s="202">
        <f t="shared" si="64"/>
        <v>1</v>
      </c>
      <c r="Y133" s="202">
        <f t="shared" si="65"/>
        <v>23.298100000000002</v>
      </c>
      <c r="Z133" s="202">
        <f t="shared" si="66"/>
        <v>1.43E-2</v>
      </c>
      <c r="AA133" s="202">
        <f t="shared" si="67"/>
        <v>23.283800000000003</v>
      </c>
      <c r="AB133" s="57" t="e">
        <f>VLOOKUP(A133,Enforcements!$C$7:$K$13,8,0)</f>
        <v>#N/A</v>
      </c>
      <c r="AC133" s="53" t="e">
        <f>VLOOKUP(A133,Enforcements!$C$7:$E$13,3,0)</f>
        <v>#N/A</v>
      </c>
      <c r="AD133" s="54" t="str">
        <f t="shared" si="68"/>
        <v>0214-23</v>
      </c>
      <c r="AE133" s="80" t="str">
        <f t="shared" si="69"/>
        <v>aws s3 cp s3://rtdc.mdm.uploadarchive.raw/RTDC4045/ "%USERPROFILE%\AppData\Local\Temp\OnboardLogs"\RTDC4045\2017-04-23 --exclude "*" --recursive --include "*20170423*" &amp; "%USERPROFILE%\Documents\GitHub\mrs-test-scripts\Headless Mode &amp; Sideloading\WalkAndUnGZ.bat" "%USERPROFILE%\AppData\Local\Temp\OnboardLogs"\RTDC4045\2017-04-23 &amp; aws s3 cp s3://rtdc.mdm.uploadarchive.raw/RTDC4045/ "%USERPROFILE%\AppData\Local\Temp\OnboardLogs"\RTDC4045\2017-04-24 --exclude "*" --recursive --include "*20170424*" &amp; "%USERPROFILE%\Documents\GitHub\mrs-test-scripts\Headless Mode &amp; Sideloading\WalkAndUnGZ.bat" "%USERPROFILE%\AppData\Local\Temp\OnboardLogs"\RTDC4045\2017-04-24</v>
      </c>
      <c r="AF133" s="77" t="str">
        <f t="shared" si="70"/>
        <v>"C:\Program Files (x86)\AstroGrep\AstroGrep.exe" /e /r /s /spath="%USERPROFILE%\AppData\Local\Temp\OnboardLogs" /stypes="app*4045*20170424*" /stext=" 01:.+((SYSTEM_STATE.+slice.+state.+changed )|(ment ac)|(multiple cpu faults)|(system.+state.+changed )|(\[timeout)|(PRM\|1\|D)|(kpr)|(kdp)|(\|lc)|(penalty))"</v>
      </c>
      <c r="AG133" s="1" t="str">
        <f t="shared" si="71"/>
        <v>EC</v>
      </c>
      <c r="AH133" s="81" t="str">
        <f t="shared" si="53"/>
        <v>"%USERPROFILE%\Documents\GitHub\eaglep3\Utilities\RefineRTDCRunTimes.py" --tripid 214-23 --locoid 4045 --swversion DE.1.0.9.0 --startMP 204:232981 --initTime 2017-04-23T18:27:22 --startdatetime 2017-04-23T18:41:17 --delay 1 --endMP 204:143 --enddatetime 2017-04-23T19:18:51 --enforcementcount 0 &gt;&gt;C:\Users\stu\Documents\GitHub\eaglep3-reporting\EC\2017-04-23-refined-times.txt</v>
      </c>
      <c r="AI133" s="99" t="str">
        <f t="shared" si="54"/>
        <v>echo {"issue":{"subject":"","project_id":79,"tracker_id":40,"status_id":1,"priority_id":2,"assigned_to_id":23,"start_date":"2017-04-23","description":"","custom_fields":[{"id":1,"name":"Subdivision","value":"EC"},{"id":4,"name":"Milepost","value":"0.0143"},{"id":17,"name":"Train ID","value":"214-23"},{"id":16,"name":"Locomotive ID","value":"4045"},{"id":130,"name":"Impact","value":""},{"id":150,"name":"Time of Event (Mountain Time)","value":"19:18:51"},{"id":151,"name":"Denver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5" t="str">
        <f t="shared" si="55"/>
        <v>start /low /b %USERPROFILE%\Documents\GitHub\eaglep3\Utilities\DownloadLogsFromS3.py --loco 4045 --day 2017-04-23</v>
      </c>
      <c r="AN133" s="154" t="str">
        <f t="shared" si="56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01:18:51"},{"id":29,"name":"Sharepoint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778</v>
      </c>
      <c r="B134" s="7">
        <v>4044</v>
      </c>
      <c r="C134" s="21" t="s">
        <v>213</v>
      </c>
      <c r="D134" s="21" t="s">
        <v>967</v>
      </c>
      <c r="E134" s="13">
        <v>42848.745740740742</v>
      </c>
      <c r="F134" s="13">
        <v>42848.750162037039</v>
      </c>
      <c r="G134" s="7">
        <v>1</v>
      </c>
      <c r="H134" s="21" t="s">
        <v>912</v>
      </c>
      <c r="I134" s="13">
        <v>42848.776018518518</v>
      </c>
      <c r="J134" s="7">
        <v>0</v>
      </c>
      <c r="K134" s="92" t="str">
        <f t="shared" si="59"/>
        <v>4043/4044</v>
      </c>
      <c r="L134" s="21" t="str">
        <f>VLOOKUP(A134,'Trips&amp;Operators'!$C$1:$G$99999,5,FALSE)</f>
        <v>BRANDNER MELINDA</v>
      </c>
      <c r="M134" s="6">
        <f t="shared" si="60"/>
        <v>2.5856481479422655E-2</v>
      </c>
      <c r="N134" s="7">
        <f t="shared" si="72"/>
        <v>37.233333330368623</v>
      </c>
      <c r="O134" s="7"/>
      <c r="P134" s="7"/>
      <c r="Q134" s="22"/>
      <c r="R134" s="200"/>
      <c r="S134" s="206">
        <f t="shared" si="73"/>
        <v>1</v>
      </c>
      <c r="T134" s="200" t="str">
        <f t="shared" si="61"/>
        <v>NorthBound</v>
      </c>
      <c r="U134" s="200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01" t="str">
        <f t="shared" si="62"/>
        <v>https://d0f6bd738d7f1b3e5a7ca70fe4ff75f0.us-east-1.aws.found.io/app/kibana#/discover/Steve-Slow-Train-Analysis-(2080s-and-2083s)?_g=(refreshInterval:(display:Off,pause:!f,section:0,value:0),time:(from:'2017-04-23T16:53:52-0600',mode:absolute,to:'2017-04-23T19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4" s="202" t="str">
        <f t="shared" si="63"/>
        <v>N</v>
      </c>
      <c r="X134" s="202">
        <f t="shared" si="64"/>
        <v>1</v>
      </c>
      <c r="Y134" s="202">
        <f t="shared" si="65"/>
        <v>4.7699999999999999E-2</v>
      </c>
      <c r="Z134" s="202">
        <f t="shared" si="66"/>
        <v>23.334099999999999</v>
      </c>
      <c r="AA134" s="202">
        <f t="shared" si="67"/>
        <v>23.2864</v>
      </c>
      <c r="AB134" s="57" t="e">
        <f>VLOOKUP(A134,Enforcements!$C$7:$K$13,8,0)</f>
        <v>#N/A</v>
      </c>
      <c r="AC134" s="53" t="e">
        <f>VLOOKUP(A134,Enforcements!$C$7:$E$13,3,0)</f>
        <v>#N/A</v>
      </c>
      <c r="AD134" s="54" t="str">
        <f t="shared" si="68"/>
        <v>0215-23</v>
      </c>
      <c r="AE134" s="80" t="str">
        <f t="shared" si="69"/>
        <v>aws s3 cp s3://rtdc.mdm.uploadarchive.raw/RTDC4044/ "%USERPROFILE%\AppData\Local\Temp\OnboardLogs"\RTDC4044\2017-04-23 --exclude "*" --recursive --include "*20170423*" &amp; "%USERPROFILE%\Documents\GitHub\mrs-test-scripts\Headless Mode &amp; Sideloading\WalkAndUnGZ.bat" "%USERPROFILE%\AppData\Local\Temp\OnboardLogs"\RTDC4044\2017-04-23 &amp; aws s3 cp s3://rtdc.mdm.uploadarchive.raw/RTDC4044/ "%USERPROFILE%\AppData\Local\Temp\OnboardLogs"\RTDC4044\2017-04-24 --exclude "*" --recursive --include "*20170424*" &amp; "%USERPROFILE%\Documents\GitHub\mrs-test-scripts\Headless Mode &amp; Sideloading\WalkAndUnGZ.bat" "%USERPROFILE%\AppData\Local\Temp\OnboardLogs"\RTDC4044\2017-04-24</v>
      </c>
      <c r="AF134" s="77" t="str">
        <f t="shared" si="70"/>
        <v>"C:\Program Files (x86)\AstroGrep\AstroGrep.exe" /e /r /s /spath="%USERPROFILE%\AppData\Local\Temp\OnboardLogs" /stypes="app*4044*20170424*" /stext=" 00:.+((SYSTEM_STATE.+slice.+state.+changed )|(ment ac)|(multiple cpu faults)|(system.+state.+changed )|(\[timeout)|(PRM\|1\|D)|(kpr)|(kdp)|(\|lc)|(penalty))"</v>
      </c>
      <c r="AG134" s="1" t="str">
        <f t="shared" si="71"/>
        <v>EC</v>
      </c>
      <c r="AH134" s="81" t="str">
        <f t="shared" si="53"/>
        <v>"%USERPROFILE%\Documents\GitHub\eaglep3\Utilities\RefineRTDCRunTimes.py" --tripid 215-23 --locoid 4044 --swversion DE.1.0.9.0 --startMP 204:477 --initTime 2017-04-23T17:53:52 --startdatetime 2017-04-23T18:00:14 --delay 1 --endMP 204:233341 --enddatetime 2017-04-23T18:37:28 --enforcementcount 0 &gt;&gt;C:\Users\stu\Documents\GitHub\eaglep3-reporting\EC\2017-04-23-refined-times.txt</v>
      </c>
      <c r="AI134" s="99" t="str">
        <f t="shared" si="54"/>
        <v>echo {"issue":{"subject":"","project_id":79,"tracker_id":40,"status_id":1,"priority_id":2,"assigned_to_id":23,"start_date":"2017-04-23","description":"","custom_fields":[{"id":1,"name":"Subdivision","value":"EC"},{"id":4,"name":"Milepost","value":"23.3341"},{"id":17,"name":"Train ID","value":"215-23"},{"id":16,"name":"Locomotive ID","value":"4044"},{"id":130,"name":"Impact","value":""},{"id":150,"name":"Time of Event (Mountain Time)","value":"18:37:28"},{"id":151,"name":"Denver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5" t="str">
        <f t="shared" si="55"/>
        <v>start /low /b %USERPROFILE%\Documents\GitHub\eaglep3\Utilities\DownloadLogsFromS3.py --loco 4044 --day 2017-04-23</v>
      </c>
      <c r="AN134" s="154" t="str">
        <f t="shared" si="56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00:37:28"},{"id":29,"name":"Sharepoint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787</v>
      </c>
      <c r="B135" s="7">
        <v>4043</v>
      </c>
      <c r="C135" s="21" t="s">
        <v>213</v>
      </c>
      <c r="D135" s="21" t="s">
        <v>968</v>
      </c>
      <c r="E135" s="13">
        <v>42848.784768518519</v>
      </c>
      <c r="F135" s="13">
        <v>42848.789166666669</v>
      </c>
      <c r="G135" s="7">
        <v>1</v>
      </c>
      <c r="H135" s="21" t="s">
        <v>429</v>
      </c>
      <c r="I135" s="13">
        <v>42848.816250000003</v>
      </c>
      <c r="J135" s="7">
        <v>0</v>
      </c>
      <c r="K135" s="92" t="str">
        <f t="shared" si="59"/>
        <v>4043/4044</v>
      </c>
      <c r="L135" s="21" t="str">
        <f>VLOOKUP(A135,'Trips&amp;Operators'!$C$1:$G$99999,5,FALSE)</f>
        <v>BRANDNER MELINDA</v>
      </c>
      <c r="M135" s="6">
        <f t="shared" si="60"/>
        <v>2.7083333334303461E-2</v>
      </c>
      <c r="N135" s="7">
        <f t="shared" si="72"/>
        <v>39.000000001396984</v>
      </c>
      <c r="O135" s="7"/>
      <c r="P135" s="7"/>
      <c r="Q135" s="22"/>
      <c r="R135" s="200"/>
      <c r="S135" s="206">
        <f t="shared" si="73"/>
        <v>1</v>
      </c>
      <c r="T135" s="200" t="str">
        <f t="shared" si="61"/>
        <v>Southbound</v>
      </c>
      <c r="U135" s="200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01" t="str">
        <f t="shared" si="62"/>
        <v>https://d0f6bd738d7f1b3e5a7ca70fe4ff75f0.us-east-1.aws.found.io/app/kibana#/discover/Steve-Slow-Train-Analysis-(2080s-and-2083s)?_g=(refreshInterval:(display:Off,pause:!f,section:0,value:0),time:(from:'2017-04-23T17:50:04-0600',mode:absolute,to:'2017-04-23T20:35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5" s="202" t="str">
        <f t="shared" si="63"/>
        <v>N</v>
      </c>
      <c r="X135" s="202">
        <f t="shared" si="64"/>
        <v>1</v>
      </c>
      <c r="Y135" s="202">
        <f t="shared" si="65"/>
        <v>23.302600000000002</v>
      </c>
      <c r="Z135" s="202">
        <f t="shared" si="66"/>
        <v>1.6299999999999999E-2</v>
      </c>
      <c r="AA135" s="202">
        <f t="shared" si="67"/>
        <v>23.286300000000001</v>
      </c>
      <c r="AB135" s="57" t="e">
        <f>VLOOKUP(A135,Enforcements!$C$7:$K$13,8,0)</f>
        <v>#N/A</v>
      </c>
      <c r="AC135" s="53" t="e">
        <f>VLOOKUP(A135,Enforcements!$C$7:$E$13,3,0)</f>
        <v>#N/A</v>
      </c>
      <c r="AD135" s="54" t="str">
        <f t="shared" si="68"/>
        <v>0216-23</v>
      </c>
      <c r="AE135" s="80" t="str">
        <f t="shared" si="69"/>
        <v>aws s3 cp s3://rtdc.mdm.uploadarchive.raw/RTDC4043/ "%USERPROFILE%\AppData\Local\Temp\OnboardLogs"\RTDC4043\2017-04-23 --exclude "*" --recursive --include "*20170423*" &amp; "%USERPROFILE%\Documents\GitHub\mrs-test-scripts\Headless Mode &amp; Sideloading\WalkAndUnGZ.bat" "%USERPROFILE%\AppData\Local\Temp\OnboardLogs"\RTDC4043\2017-04-23 &amp; aws s3 cp s3://rtdc.mdm.uploadarchive.raw/RTDC4043/ "%USERPROFILE%\AppData\Local\Temp\OnboardLogs"\RTDC4043\2017-04-24 --exclude "*" --recursive --include "*20170424*" &amp; "%USERPROFILE%\Documents\GitHub\mrs-test-scripts\Headless Mode &amp; Sideloading\WalkAndUnGZ.bat" "%USERPROFILE%\AppData\Local\Temp\OnboardLogs"\RTDC4043\2017-04-24</v>
      </c>
      <c r="AF135" s="77" t="str">
        <f t="shared" si="70"/>
        <v>"C:\Program Files (x86)\AstroGrep\AstroGrep.exe" /e /r /s /spath="%USERPROFILE%\AppData\Local\Temp\OnboardLogs" /stypes="app*4043*20170424*" /stext=" 01:.+((SYSTEM_STATE.+slice.+state.+changed )|(ment ac)|(multiple cpu faults)|(system.+state.+changed )|(\[timeout)|(PRM\|1\|D)|(kpr)|(kdp)|(\|lc)|(penalty))"</v>
      </c>
      <c r="AG135" s="1" t="str">
        <f t="shared" si="71"/>
        <v>EC</v>
      </c>
      <c r="AH135" s="81" t="str">
        <f t="shared" si="53"/>
        <v>"%USERPROFILE%\Documents\GitHub\eaglep3\Utilities\RefineRTDCRunTimes.py" --tripid 216-23 --locoid 4043 --swversion DE.1.0.9.0 --startMP 204:233026 --initTime 2017-04-23T18:50:04 --startdatetime 2017-04-23T18:56:24 --delay 1 --endMP 204:163 --enddatetime 2017-04-23T19:35:24 --enforcementcount 0 &gt;&gt;C:\Users\stu\Documents\GitHub\eaglep3-reporting\EC\2017-04-23-refined-times.txt</v>
      </c>
      <c r="AI135" s="99" t="str">
        <f t="shared" si="54"/>
        <v>echo {"issue":{"subject":"","project_id":79,"tracker_id":40,"status_id":1,"priority_id":2,"assigned_to_id":23,"start_date":"2017-04-23","description":"","custom_fields":[{"id":1,"name":"Subdivision","value":"EC"},{"id":4,"name":"Milepost","value":"0.0163"},{"id":17,"name":"Train ID","value":"216-23"},{"id":16,"name":"Locomotive ID","value":"4043"},{"id":130,"name":"Impact","value":""},{"id":150,"name":"Time of Event (Mountain Time)","value":"19:35:24"},{"id":151,"name":"Denver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5" t="str">
        <f t="shared" si="55"/>
        <v>start /low /b %USERPROFILE%\Documents\GitHub\eaglep3\Utilities\DownloadLogsFromS3.py --loco 4043 --day 2017-04-23</v>
      </c>
      <c r="AN135" s="154" t="str">
        <f t="shared" si="56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01:35:24"},{"id":29,"name":"Sharepoint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780</v>
      </c>
      <c r="B136" s="7">
        <v>4016</v>
      </c>
      <c r="C136" s="21" t="s">
        <v>213</v>
      </c>
      <c r="D136" s="21" t="s">
        <v>437</v>
      </c>
      <c r="E136" s="13">
        <v>42848.756643518522</v>
      </c>
      <c r="F136" s="13">
        <v>42848.76059027778</v>
      </c>
      <c r="G136" s="7">
        <v>1</v>
      </c>
      <c r="H136" s="21" t="s">
        <v>889</v>
      </c>
      <c r="I136" s="13">
        <v>42848.78628472222</v>
      </c>
      <c r="J136" s="7">
        <v>0</v>
      </c>
      <c r="K136" s="92" t="str">
        <f t="shared" si="59"/>
        <v>4015/4016</v>
      </c>
      <c r="L136" s="21" t="str">
        <f>VLOOKUP(A136,'Trips&amp;Operators'!$C$1:$G$99999,5,FALSE)</f>
        <v>DUNCAN SHEILA</v>
      </c>
      <c r="M136" s="6">
        <f t="shared" si="60"/>
        <v>2.569444444088731E-2</v>
      </c>
      <c r="N136" s="7">
        <f t="shared" si="72"/>
        <v>36.999999994877726</v>
      </c>
      <c r="O136" s="7"/>
      <c r="P136" s="7"/>
      <c r="Q136" s="22"/>
      <c r="R136" s="200"/>
      <c r="S136" s="206">
        <f t="shared" si="73"/>
        <v>1</v>
      </c>
      <c r="T136" s="200" t="str">
        <f t="shared" si="61"/>
        <v>NorthBound</v>
      </c>
      <c r="U136" s="200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01" t="str">
        <f t="shared" si="62"/>
        <v>https://d0f6bd738d7f1b3e5a7ca70fe4ff75f0.us-east-1.aws.found.io/app/kibana#/discover/Steve-Slow-Train-Analysis-(2080s-and-2083s)?_g=(refreshInterval:(display:Off,pause:!f,section:0,value:0),time:(from:'2017-04-23T17:09:34-0600',mode:absolute,to:'2017-04-23T19:52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6" s="202" t="str">
        <f t="shared" si="63"/>
        <v>N</v>
      </c>
      <c r="X136" s="202">
        <f t="shared" si="64"/>
        <v>1</v>
      </c>
      <c r="Y136" s="202">
        <f t="shared" si="65"/>
        <v>4.4400000000000002E-2</v>
      </c>
      <c r="Z136" s="202">
        <f t="shared" si="66"/>
        <v>23.33</v>
      </c>
      <c r="AA136" s="202">
        <f t="shared" si="67"/>
        <v>23.285599999999999</v>
      </c>
      <c r="AB136" s="57" t="e">
        <f>VLOOKUP(A136,Enforcements!$C$7:$K$13,8,0)</f>
        <v>#N/A</v>
      </c>
      <c r="AC136" s="53" t="e">
        <f>VLOOKUP(A136,Enforcements!$C$7:$E$13,3,0)</f>
        <v>#N/A</v>
      </c>
      <c r="AD136" s="54" t="str">
        <f t="shared" si="68"/>
        <v>0217-23</v>
      </c>
      <c r="AE136" s="80" t="str">
        <f t="shared" si="69"/>
        <v>aws s3 cp s3://rtdc.mdm.uploadarchive.raw/RTDC4016/ "%USERPROFILE%\AppData\Local\Temp\OnboardLogs"\RTDC4016\2017-04-23 --exclude "*" --recursive --include "*20170423*" &amp; "%USERPROFILE%\Documents\GitHub\mrs-test-scripts\Headless Mode &amp; Sideloading\WalkAndUnGZ.bat" "%USERPROFILE%\AppData\Local\Temp\OnboardLogs"\RTDC4016\2017-04-23 &amp; aws s3 cp s3://rtdc.mdm.uploadarchive.raw/RTDC4016/ "%USERPROFILE%\AppData\Local\Temp\OnboardLogs"\RTDC4016\2017-04-24 --exclude "*" --recursive --include "*20170424*" &amp; "%USERPROFILE%\Documents\GitHub\mrs-test-scripts\Headless Mode &amp; Sideloading\WalkAndUnGZ.bat" "%USERPROFILE%\AppData\Local\Temp\OnboardLogs"\RTDC4016\2017-04-24</v>
      </c>
      <c r="AF136" s="77" t="str">
        <f t="shared" si="70"/>
        <v>"C:\Program Files (x86)\AstroGrep\AstroGrep.exe" /e /r /s /spath="%USERPROFILE%\AppData\Local\Temp\OnboardLogs" /stypes="app*4016*20170424*" /stext=" 00:.+((SYSTEM_STATE.+slice.+state.+changed )|(ment ac)|(multiple cpu faults)|(system.+state.+changed )|(\[timeout)|(PRM\|1\|D)|(kpr)|(kdp)|(\|lc)|(penalty))"</v>
      </c>
      <c r="AG136" s="1" t="str">
        <f t="shared" si="71"/>
        <v>EC</v>
      </c>
      <c r="AH136" s="81" t="str">
        <f t="shared" si="53"/>
        <v>"%USERPROFILE%\Documents\GitHub\eaglep3\Utilities\RefineRTDCRunTimes.py" --tripid 217-23 --locoid 4016 --swversion DE.1.0.9.0 --startMP 204:444 --initTime 2017-04-23T18:09:34 --startdatetime 2017-04-23T18:15:15 --delay 1 --endMP 204:233300 --enddatetime 2017-04-23T18:52:15 --enforcementcount 0 &gt;&gt;C:\Users\stu\Documents\GitHub\eaglep3-reporting\EC\2017-04-23-refined-times.txt</v>
      </c>
      <c r="AI136" s="99" t="str">
        <f t="shared" si="54"/>
        <v>echo {"issue":{"subject":"","project_id":79,"tracker_id":40,"status_id":1,"priority_id":2,"assigned_to_id":23,"start_date":"2017-04-23","description":"","custom_fields":[{"id":1,"name":"Subdivision","value":"EC"},{"id":4,"name":"Milepost","value":"23.33"},{"id":17,"name":"Train ID","value":"217-23"},{"id":16,"name":"Locomotive ID","value":"4016"},{"id":130,"name":"Impact","value":""},{"id":150,"name":"Time of Event (Mountain Time)","value":"18:52:15"},{"id":151,"name":"Denver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5" t="str">
        <f t="shared" si="55"/>
        <v>start /low /b %USERPROFILE%\Documents\GitHub\eaglep3\Utilities\DownloadLogsFromS3.py --loco 4016 --day 2017-04-23</v>
      </c>
      <c r="AN136" s="154" t="str">
        <f t="shared" si="56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00:52:15"},{"id":29,"name":"Sharepoint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789</v>
      </c>
      <c r="B137" s="7">
        <v>4015</v>
      </c>
      <c r="C137" s="21" t="s">
        <v>213</v>
      </c>
      <c r="D137" s="21" t="s">
        <v>512</v>
      </c>
      <c r="E137" s="13">
        <v>42848.795104166667</v>
      </c>
      <c r="F137" s="13">
        <v>42848.799537037034</v>
      </c>
      <c r="G137" s="7">
        <v>1</v>
      </c>
      <c r="H137" s="21" t="s">
        <v>198</v>
      </c>
      <c r="I137" s="13">
        <v>42848.826932870368</v>
      </c>
      <c r="J137" s="7">
        <v>0</v>
      </c>
      <c r="K137" s="92" t="str">
        <f t="shared" si="59"/>
        <v>4015/4016</v>
      </c>
      <c r="L137" s="21" t="str">
        <f>VLOOKUP(A137,'Trips&amp;Operators'!$C$1:$G$99999,5,FALSE)</f>
        <v>DUNCAN SHEILA</v>
      </c>
      <c r="M137" s="6">
        <f t="shared" si="60"/>
        <v>2.7395833334594499E-2</v>
      </c>
      <c r="N137" s="7">
        <f t="shared" si="72"/>
        <v>39.450000001816079</v>
      </c>
      <c r="O137" s="7"/>
      <c r="P137" s="7"/>
      <c r="Q137" s="22"/>
      <c r="R137" s="200"/>
      <c r="S137" s="206">
        <f t="shared" si="73"/>
        <v>1</v>
      </c>
      <c r="T137" s="200" t="str">
        <f t="shared" si="61"/>
        <v>Southbound</v>
      </c>
      <c r="U137" s="200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01" t="str">
        <f t="shared" si="62"/>
        <v>https://d0f6bd738d7f1b3e5a7ca70fe4ff75f0.us-east-1.aws.found.io/app/kibana#/discover/Steve-Slow-Train-Analysis-(2080s-and-2083s)?_g=(refreshInterval:(display:Off,pause:!f,section:0,value:0),time:(from:'2017-04-23T18:04:57-0600',mode:absolute,to:'2017-04-23T20:50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7" s="202" t="str">
        <f t="shared" si="63"/>
        <v>N</v>
      </c>
      <c r="X137" s="202">
        <f t="shared" si="64"/>
        <v>1</v>
      </c>
      <c r="Y137" s="202">
        <f t="shared" si="65"/>
        <v>23.298500000000001</v>
      </c>
      <c r="Z137" s="202">
        <f t="shared" si="66"/>
        <v>1.5800000000000002E-2</v>
      </c>
      <c r="AA137" s="202">
        <f t="shared" si="67"/>
        <v>23.282700000000002</v>
      </c>
      <c r="AB137" s="57" t="e">
        <f>VLOOKUP(A137,Enforcements!$C$7:$K$13,8,0)</f>
        <v>#N/A</v>
      </c>
      <c r="AC137" s="53" t="e">
        <f>VLOOKUP(A137,Enforcements!$C$7:$E$13,3,0)</f>
        <v>#N/A</v>
      </c>
      <c r="AD137" s="54" t="str">
        <f t="shared" si="68"/>
        <v>0218-23</v>
      </c>
      <c r="AE137" s="80" t="str">
        <f t="shared" si="69"/>
        <v>aws s3 cp s3://rtdc.mdm.uploadarchive.raw/RTDC4015/ "%USERPROFILE%\AppData\Local\Temp\OnboardLogs"\RTDC4015\2017-04-23 --exclude "*" --recursive --include "*20170423*" &amp; "%USERPROFILE%\Documents\GitHub\mrs-test-scripts\Headless Mode &amp; Sideloading\WalkAndUnGZ.bat" "%USERPROFILE%\AppData\Local\Temp\OnboardLogs"\RTDC4015\2017-04-23 &amp; aws s3 cp s3://rtdc.mdm.uploadarchive.raw/RTDC4015/ "%USERPROFILE%\AppData\Local\Temp\OnboardLogs"\RTDC4015\2017-04-24 --exclude "*" --recursive --include "*20170424*" &amp; "%USERPROFILE%\Documents\GitHub\mrs-test-scripts\Headless Mode &amp; Sideloading\WalkAndUnGZ.bat" "%USERPROFILE%\AppData\Local\Temp\OnboardLogs"\RTDC4015\2017-04-24</v>
      </c>
      <c r="AF137" s="77" t="str">
        <f t="shared" si="70"/>
        <v>"C:\Program Files (x86)\AstroGrep\AstroGrep.exe" /e /r /s /spath="%USERPROFILE%\AppData\Local\Temp\OnboardLogs" /stypes="app*4015*20170424*" /stext=" 01:.+((SYSTEM_STATE.+slice.+state.+changed )|(ment ac)|(multiple cpu faults)|(system.+state.+changed )|(\[timeout)|(PRM\|1\|D)|(kpr)|(kdp)|(\|lc)|(penalty))"</v>
      </c>
      <c r="AG137" s="1" t="str">
        <f t="shared" si="71"/>
        <v>EC</v>
      </c>
      <c r="AH137" s="81" t="str">
        <f t="shared" si="53"/>
        <v>"%USERPROFILE%\Documents\GitHub\eaglep3\Utilities\RefineRTDCRunTimes.py" --tripid 218-23 --locoid 4015 --swversion DE.1.0.9.0 --startMP 204:232985 --initTime 2017-04-23T19:04:57 --startdatetime 2017-04-23T19:11:20 --delay 1 --endMP 204:158 --enddatetime 2017-04-23T19:50:47 --enforcementcount 0 &gt;&gt;C:\Users\stu\Documents\GitHub\eaglep3-reporting\EC\2017-04-23-refined-times.txt</v>
      </c>
      <c r="AI137" s="99" t="str">
        <f t="shared" si="54"/>
        <v>echo {"issue":{"subject":"","project_id":79,"tracker_id":40,"status_id":1,"priority_id":2,"assigned_to_id":23,"start_date":"2017-04-23","description":"","custom_fields":[{"id":1,"name":"Subdivision","value":"EC"},{"id":4,"name":"Milepost","value":"0.0158"},{"id":17,"name":"Train ID","value":"218-23"},{"id":16,"name":"Locomotive ID","value":"4015"},{"id":130,"name":"Impact","value":""},{"id":150,"name":"Time of Event (Mountain Time)","value":"19:50:47"},{"id":151,"name":"Denver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5" t="str">
        <f t="shared" si="55"/>
        <v>start /low /b %USERPROFILE%\Documents\GitHub\eaglep3\Utilities\DownloadLogsFromS3.py --loco 4015 --day 2017-04-23</v>
      </c>
      <c r="AN137" s="154" t="str">
        <f t="shared" si="56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01:50:47"},{"id":29,"name":"Sharepoint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783</v>
      </c>
      <c r="B138" s="7">
        <v>4022</v>
      </c>
      <c r="C138" s="21" t="s">
        <v>213</v>
      </c>
      <c r="D138" s="21" t="s">
        <v>969</v>
      </c>
      <c r="E138" s="13">
        <v>42848.766273148147</v>
      </c>
      <c r="F138" s="13">
        <v>42848.771006944444</v>
      </c>
      <c r="G138" s="7">
        <v>1</v>
      </c>
      <c r="H138" s="21" t="s">
        <v>567</v>
      </c>
      <c r="I138" s="13">
        <v>42848.797083333331</v>
      </c>
      <c r="J138" s="7">
        <v>0</v>
      </c>
      <c r="K138" s="92" t="str">
        <f t="shared" si="59"/>
        <v>4021/4022</v>
      </c>
      <c r="L138" s="21" t="str">
        <f>VLOOKUP(A138,'Trips&amp;Operators'!$C$1:$G$99999,5,FALSE)</f>
        <v>YANG JAN</v>
      </c>
      <c r="M138" s="6">
        <f t="shared" si="60"/>
        <v>2.6076388887304347E-2</v>
      </c>
      <c r="N138" s="7">
        <f t="shared" si="72"/>
        <v>37.54999999771826</v>
      </c>
      <c r="O138" s="7"/>
      <c r="P138" s="7"/>
      <c r="Q138" s="22"/>
      <c r="R138" s="200"/>
      <c r="S138" s="206">
        <f t="shared" si="73"/>
        <v>1</v>
      </c>
      <c r="T138" s="200" t="str">
        <f t="shared" si="61"/>
        <v>NorthBound</v>
      </c>
      <c r="U138" s="200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01" t="str">
        <f t="shared" si="62"/>
        <v>https://d0f6bd738d7f1b3e5a7ca70fe4ff75f0.us-east-1.aws.found.io/app/kibana#/discover/Steve-Slow-Train-Analysis-(2080s-and-2083s)?_g=(refreshInterval:(display:Off,pause:!f,section:0,value:0),time:(from:'2017-04-23T17:23:26-0600',mode:absolute,to:'2017-04-23T20:07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8" s="202" t="str">
        <f t="shared" si="63"/>
        <v>N</v>
      </c>
      <c r="X138" s="202">
        <f t="shared" si="64"/>
        <v>1</v>
      </c>
      <c r="Y138" s="202">
        <f t="shared" si="65"/>
        <v>4.2000000000000003E-2</v>
      </c>
      <c r="Z138" s="202">
        <f t="shared" si="66"/>
        <v>23.331800000000001</v>
      </c>
      <c r="AA138" s="202">
        <f t="shared" si="67"/>
        <v>23.2898</v>
      </c>
      <c r="AB138" s="57" t="e">
        <f>VLOOKUP(A138,Enforcements!$C$7:$K$13,8,0)</f>
        <v>#N/A</v>
      </c>
      <c r="AC138" s="53" t="e">
        <f>VLOOKUP(A138,Enforcements!$C$7:$E$13,3,0)</f>
        <v>#N/A</v>
      </c>
      <c r="AD138" s="54" t="str">
        <f t="shared" si="68"/>
        <v>0219-23</v>
      </c>
      <c r="AE138" s="80" t="str">
        <f t="shared" si="69"/>
        <v>aws s3 cp s3://rtdc.mdm.uploadarchive.raw/RTDC4022/ "%USERPROFILE%\AppData\Local\Temp\OnboardLogs"\RTDC4022\2017-04-23 --exclude "*" --recursive --include "*20170423*" &amp; "%USERPROFILE%\Documents\GitHub\mrs-test-scripts\Headless Mode &amp; Sideloading\WalkAndUnGZ.bat" "%USERPROFILE%\AppData\Local\Temp\OnboardLogs"\RTDC4022\2017-04-23 &amp; aws s3 cp s3://rtdc.mdm.uploadarchive.raw/RTDC4022/ "%USERPROFILE%\AppData\Local\Temp\OnboardLogs"\RTDC4022\2017-04-24 --exclude "*" --recursive --include "*20170424*" &amp; "%USERPROFILE%\Documents\GitHub\mrs-test-scripts\Headless Mode &amp; Sideloading\WalkAndUnGZ.bat" "%USERPROFILE%\AppData\Local\Temp\OnboardLogs"\RTDC4022\2017-04-24</v>
      </c>
      <c r="AF138" s="77" t="str">
        <f t="shared" si="70"/>
        <v>"C:\Program Files (x86)\AstroGrep\AstroGrep.exe" /e /r /s /spath="%USERPROFILE%\AppData\Local\Temp\OnboardLogs" /stypes="app*4022*20170424*" /stext=" 01:.+((SYSTEM_STATE.+slice.+state.+changed )|(ment ac)|(multiple cpu faults)|(system.+state.+changed )|(\[timeout)|(PRM\|1\|D)|(kpr)|(kdp)|(\|lc)|(penalty))"</v>
      </c>
      <c r="AG138" s="1" t="str">
        <f t="shared" si="71"/>
        <v>EC</v>
      </c>
      <c r="AH138" s="81" t="str">
        <f t="shared" si="53"/>
        <v>"%USERPROFILE%\Documents\GitHub\eaglep3\Utilities\RefineRTDCRunTimes.py" --tripid 219-23 --locoid 4022 --swversion DE.1.0.9.0 --startMP 204:420 --initTime 2017-04-23T18:23:26 --startdatetime 2017-04-23T18:30:15 --delay 1 --endMP 204:233318 --enddatetime 2017-04-23T19:07:48 --enforcementcount 0 &gt;&gt;C:\Users\stu\Documents\GitHub\eaglep3-reporting\EC\2017-04-23-refined-times.txt</v>
      </c>
      <c r="AI138" s="99" t="str">
        <f t="shared" si="54"/>
        <v>echo {"issue":{"subject":"","project_id":79,"tracker_id":40,"status_id":1,"priority_id":2,"assigned_to_id":23,"start_date":"2017-04-23","description":"","custom_fields":[{"id":1,"name":"Subdivision","value":"EC"},{"id":4,"name":"Milepost","value":"23.3318"},{"id":17,"name":"Train ID","value":"219-23"},{"id":16,"name":"Locomotive ID","value":"4022"},{"id":130,"name":"Impact","value":""},{"id":150,"name":"Time of Event (Mountain Time)","value":"19:07:48"},{"id":151,"name":"Denver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5" t="str">
        <f t="shared" si="55"/>
        <v>start /low /b %USERPROFILE%\Documents\GitHub\eaglep3\Utilities\DownloadLogsFromS3.py --loco 4022 --day 2017-04-23</v>
      </c>
      <c r="AN138" s="154" t="str">
        <f t="shared" si="56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01:07:48"},{"id":29,"name":"Sharepoint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791</v>
      </c>
      <c r="B139" s="7">
        <v>4021</v>
      </c>
      <c r="C139" s="21" t="s">
        <v>213</v>
      </c>
      <c r="D139" s="21" t="s">
        <v>576</v>
      </c>
      <c r="E139" s="13">
        <v>42848.803368055553</v>
      </c>
      <c r="F139" s="13">
        <v>42848.810254629629</v>
      </c>
      <c r="G139" s="7">
        <v>1</v>
      </c>
      <c r="H139" s="21" t="s">
        <v>429</v>
      </c>
      <c r="I139" s="13">
        <v>42848.837326388886</v>
      </c>
      <c r="J139" s="7">
        <v>0</v>
      </c>
      <c r="K139" s="92" t="str">
        <f t="shared" si="59"/>
        <v>4021/4022</v>
      </c>
      <c r="L139" s="21" t="str">
        <f>VLOOKUP(A139,'Trips&amp;Operators'!$C$1:$G$99999,5,FALSE)</f>
        <v>YANG JAN</v>
      </c>
      <c r="M139" s="6">
        <f t="shared" si="60"/>
        <v>2.7071759257523809E-2</v>
      </c>
      <c r="N139" s="7">
        <f t="shared" si="72"/>
        <v>38.983333330834284</v>
      </c>
      <c r="O139" s="7"/>
      <c r="P139" s="7"/>
      <c r="Q139" s="22"/>
      <c r="R139" s="200"/>
      <c r="S139" s="206">
        <f t="shared" si="73"/>
        <v>1</v>
      </c>
      <c r="T139" s="200" t="str">
        <f t="shared" si="61"/>
        <v>Southbound</v>
      </c>
      <c r="U139" s="200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01" t="str">
        <f t="shared" si="62"/>
        <v>https://d0f6bd738d7f1b3e5a7ca70fe4ff75f0.us-east-1.aws.found.io/app/kibana#/discover/Steve-Slow-Train-Analysis-(2080s-and-2083s)?_g=(refreshInterval:(display:Off,pause:!f,section:0,value:0),time:(from:'2017-04-23T18:16:51-0600',mode:absolute,to:'2017-04-23T21:05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39" s="202" t="str">
        <f t="shared" si="63"/>
        <v>N</v>
      </c>
      <c r="X139" s="202">
        <f t="shared" si="64"/>
        <v>1</v>
      </c>
      <c r="Y139" s="202">
        <f t="shared" si="65"/>
        <v>23.3003</v>
      </c>
      <c r="Z139" s="202">
        <f t="shared" si="66"/>
        <v>1.6299999999999999E-2</v>
      </c>
      <c r="AA139" s="202">
        <f t="shared" si="67"/>
        <v>23.283999999999999</v>
      </c>
      <c r="AB139" s="57" t="e">
        <f>VLOOKUP(A139,Enforcements!$C$7:$K$13,8,0)</f>
        <v>#N/A</v>
      </c>
      <c r="AC139" s="53" t="e">
        <f>VLOOKUP(A139,Enforcements!$C$7:$E$13,3,0)</f>
        <v>#N/A</v>
      </c>
      <c r="AD139" s="54" t="str">
        <f t="shared" si="68"/>
        <v>0220-23</v>
      </c>
      <c r="AE139" s="80" t="str">
        <f t="shared" si="69"/>
        <v>aws s3 cp s3://rtdc.mdm.uploadarchive.raw/RTDC4021/ "%USERPROFILE%\AppData\Local\Temp\OnboardLogs"\RTDC4021\2017-04-23 --exclude "*" --recursive --include "*20170423*" &amp; "%USERPROFILE%\Documents\GitHub\mrs-test-scripts\Headless Mode &amp; Sideloading\WalkAndUnGZ.bat" "%USERPROFILE%\AppData\Local\Temp\OnboardLogs"\RTDC4021\2017-04-23 &amp; aws s3 cp s3://rtdc.mdm.uploadarchive.raw/RTDC4021/ "%USERPROFILE%\AppData\Local\Temp\OnboardLogs"\RTDC4021\2017-04-24 --exclude "*" --recursive --include "*20170424*" &amp; "%USERPROFILE%\Documents\GitHub\mrs-test-scripts\Headless Mode &amp; Sideloading\WalkAndUnGZ.bat" "%USERPROFILE%\AppData\Local\Temp\OnboardLogs"\RTDC4021\2017-04-24</v>
      </c>
      <c r="AF139" s="77" t="str">
        <f t="shared" si="70"/>
        <v>"C:\Program Files (x86)\AstroGrep\AstroGrep.exe" /e /r /s /spath="%USERPROFILE%\AppData\Local\Temp\OnboardLogs" /stypes="app*4021*20170424*" /stext=" 02:.+((SYSTEM_STATE.+slice.+state.+changed )|(ment ac)|(multiple cpu faults)|(system.+state.+changed )|(\[timeout)|(PRM\|1\|D)|(kpr)|(kdp)|(\|lc)|(penalty))"</v>
      </c>
      <c r="AG139" s="1" t="str">
        <f t="shared" si="71"/>
        <v>EC</v>
      </c>
      <c r="AH139" s="81" t="str">
        <f t="shared" si="53"/>
        <v>"%USERPROFILE%\Documents\GitHub\eaglep3\Utilities\RefineRTDCRunTimes.py" --tripid 220-23 --locoid 4021 --swversion DE.1.0.9.0 --startMP 204:233003 --initTime 2017-04-23T19:16:51 --startdatetime 2017-04-23T19:26:46 --delay 1 --endMP 204:163 --enddatetime 2017-04-23T20:05:45 --enforcementcount 0 &gt;&gt;C:\Users\stu\Documents\GitHub\eaglep3-reporting\EC\2017-04-23-refined-times.txt</v>
      </c>
      <c r="AI139" s="99" t="str">
        <f t="shared" si="54"/>
        <v>echo {"issue":{"subject":"","project_id":79,"tracker_id":40,"status_id":1,"priority_id":2,"assigned_to_id":23,"start_date":"2017-04-23","description":"","custom_fields":[{"id":1,"name":"Subdivision","value":"EC"},{"id":4,"name":"Milepost","value":"0.0163"},{"id":17,"name":"Train ID","value":"220-23"},{"id":16,"name":"Locomotive ID","value":"4021"},{"id":130,"name":"Impact","value":""},{"id":150,"name":"Time of Event (Mountain Time)","value":"20:05:45"},{"id":151,"name":"Denver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5" t="str">
        <f t="shared" si="55"/>
        <v>start /low /b %USERPROFILE%\Documents\GitHub\eaglep3\Utilities\DownloadLogsFromS3.py --loco 4021 --day 2017-04-23</v>
      </c>
      <c r="AN139" s="154" t="str">
        <f t="shared" si="56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02:05:45"},{"id":29,"name":"Sharepoint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x14ac:dyDescent="0.25">
      <c r="A140" s="32" t="s">
        <v>788</v>
      </c>
      <c r="B140" s="7">
        <v>4004</v>
      </c>
      <c r="C140" s="21" t="s">
        <v>213</v>
      </c>
      <c r="D140" s="21" t="s">
        <v>386</v>
      </c>
      <c r="E140" s="13">
        <v>42848.789652777778</v>
      </c>
      <c r="F140" s="13">
        <v>42848.791875000003</v>
      </c>
      <c r="G140" s="7">
        <v>1</v>
      </c>
      <c r="H140" s="21" t="s">
        <v>970</v>
      </c>
      <c r="I140" s="13">
        <v>42848.817129629628</v>
      </c>
      <c r="J140" s="7">
        <v>0</v>
      </c>
      <c r="K140" s="92" t="str">
        <f t="shared" si="59"/>
        <v>4003/4004</v>
      </c>
      <c r="L140" s="21" t="str">
        <f>VLOOKUP(A140,'Trips&amp;Operators'!$C$1:$G$99999,5,FALSE)</f>
        <v>CHANDLER KELVIN</v>
      </c>
      <c r="M140" s="6">
        <f t="shared" si="60"/>
        <v>2.5254629625123926E-2</v>
      </c>
      <c r="N140" s="7">
        <f t="shared" si="72"/>
        <v>36.366666660178453</v>
      </c>
      <c r="O140" s="7"/>
      <c r="P140" s="7"/>
      <c r="Q140" s="22"/>
      <c r="R140" s="200"/>
      <c r="S140" s="206">
        <f t="shared" si="73"/>
        <v>1</v>
      </c>
      <c r="T140" s="200" t="str">
        <f t="shared" si="61"/>
        <v>NorthBound</v>
      </c>
      <c r="U140" s="200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01" t="str">
        <f t="shared" si="62"/>
        <v>https://d0f6bd738d7f1b3e5a7ca70fe4ff75f0.us-east-1.aws.found.io/app/kibana#/discover/Steve-Slow-Train-Analysis-(2080s-and-2083s)?_g=(refreshInterval:(display:Off,pause:!f,section:0,value:0),time:(from:'2017-04-23T17:57:06-0600',mode:absolute,to:'2017-04-23T20:36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0" s="202" t="str">
        <f t="shared" si="63"/>
        <v>N</v>
      </c>
      <c r="X140" s="202">
        <f t="shared" si="64"/>
        <v>1</v>
      </c>
      <c r="Y140" s="202">
        <f t="shared" si="65"/>
        <v>4.6199999999999998E-2</v>
      </c>
      <c r="Z140" s="202">
        <f t="shared" si="66"/>
        <v>23.328299999999999</v>
      </c>
      <c r="AA140" s="202">
        <f t="shared" si="67"/>
        <v>23.2821</v>
      </c>
      <c r="AB140" s="57" t="e">
        <f>VLOOKUP(A140,Enforcements!$C$7:$K$13,8,0)</f>
        <v>#N/A</v>
      </c>
      <c r="AC140" s="53" t="e">
        <f>VLOOKUP(A140,Enforcements!$C$7:$E$13,3,0)</f>
        <v>#N/A</v>
      </c>
      <c r="AD140" s="54" t="str">
        <f t="shared" si="68"/>
        <v>0221-23</v>
      </c>
      <c r="AE140" s="80" t="str">
        <f t="shared" si="69"/>
        <v>aws s3 cp s3://rtdc.mdm.uploadarchive.raw/RTDC4004/ "%USERPROFILE%\AppData\Local\Temp\OnboardLogs"\RTDC4004\2017-04-23 --exclude "*" --recursive --include "*20170423*" &amp; "%USERPROFILE%\Documents\GitHub\mrs-test-scripts\Headless Mode &amp; Sideloading\WalkAndUnGZ.bat" "%USERPROFILE%\AppData\Local\Temp\OnboardLogs"\RTDC4004\2017-04-23 &amp; aws s3 cp s3://rtdc.mdm.uploadarchive.raw/RTDC4004/ "%USERPROFILE%\AppData\Local\Temp\OnboardLogs"\RTDC4004\2017-04-24 --exclude "*" --recursive --include "*20170424*" &amp; "%USERPROFILE%\Documents\GitHub\mrs-test-scripts\Headless Mode &amp; Sideloading\WalkAndUnGZ.bat" "%USERPROFILE%\AppData\Local\Temp\OnboardLogs"\RTDC4004\2017-04-24</v>
      </c>
      <c r="AF140" s="77" t="str">
        <f t="shared" si="70"/>
        <v>"C:\Program Files (x86)\AstroGrep\AstroGrep.exe" /e /r /s /spath="%USERPROFILE%\AppData\Local\Temp\OnboardLogs" /stypes="app*4004*20170424*" /stext=" 01:.+((SYSTEM_STATE.+slice.+state.+changed )|(ment ac)|(multiple cpu faults)|(system.+state.+changed )|(\[timeout)|(PRM\|1\|D)|(kpr)|(kdp)|(\|lc)|(penalty))"</v>
      </c>
      <c r="AG140" s="1" t="str">
        <f t="shared" si="71"/>
        <v>EC</v>
      </c>
      <c r="AH140" s="81" t="str">
        <f t="shared" si="53"/>
        <v>"%USERPROFILE%\Documents\GitHub\eaglep3\Utilities\RefineRTDCRunTimes.py" --tripid 221-23 --locoid 4004 --swversion DE.1.0.9.0 --startMP 204:462 --initTime 2017-04-23T18:57:06 --startdatetime 2017-04-23T19:00:18 --delay 1 --endMP 204:233283 --enddatetime 2017-04-23T19:36:40 --enforcementcount 0 &gt;&gt;C:\Users\stu\Documents\GitHub\eaglep3-reporting\EC\2017-04-23-refined-times.txt</v>
      </c>
      <c r="AI140" s="99" t="str">
        <f t="shared" si="54"/>
        <v>echo {"issue":{"subject":"","project_id":79,"tracker_id":40,"status_id":1,"priority_id":2,"assigned_to_id":23,"start_date":"2017-04-23","description":"","custom_fields":[{"id":1,"name":"Subdivision","value":"EC"},{"id":4,"name":"Milepost","value":"23.3283"},{"id":17,"name":"Train ID","value":"221-23"},{"id":16,"name":"Locomotive ID","value":"4004"},{"id":130,"name":"Impact","value":""},{"id":150,"name":"Time of Event (Mountain Time)","value":"19:36:40"},{"id":151,"name":"Denver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20"/>
      <c r="AK140" s="47"/>
      <c r="AL140" s="47"/>
      <c r="AM140" s="145" t="str">
        <f t="shared" si="55"/>
        <v>start /low /b %USERPROFILE%\Documents\GitHub\eaglep3\Utilities\DownloadLogsFromS3.py --loco 4004 --day 2017-04-23</v>
      </c>
      <c r="AN140" s="154" t="str">
        <f t="shared" si="56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01:36:40"},{"id":29,"name":"Sharepoint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1" spans="1:91" s="20" customFormat="1" x14ac:dyDescent="0.25">
      <c r="A141" s="32" t="s">
        <v>796</v>
      </c>
      <c r="B141" s="7">
        <v>4003</v>
      </c>
      <c r="C141" s="21" t="s">
        <v>213</v>
      </c>
      <c r="D141" s="21" t="s">
        <v>376</v>
      </c>
      <c r="E141" s="13">
        <v>42848.8278587963</v>
      </c>
      <c r="F141" s="13">
        <v>42848.830879629626</v>
      </c>
      <c r="G141" s="7">
        <v>1</v>
      </c>
      <c r="H141" s="21" t="s">
        <v>513</v>
      </c>
      <c r="I141" s="13">
        <v>42848.858101851853</v>
      </c>
      <c r="J141" s="7">
        <v>0</v>
      </c>
      <c r="K141" s="92" t="str">
        <f t="shared" ref="K141:K178" si="74">IF(ISEVEN(B141),(B141-1)&amp;"/"&amp;B141,B141&amp;"/"&amp;(B141+1))</f>
        <v>4003/4004</v>
      </c>
      <c r="L141" s="21" t="str">
        <f>VLOOKUP(A141,'Trips&amp;Operators'!$C$1:$G$99999,5,FALSE)</f>
        <v>CHANDLER KELVIN</v>
      </c>
      <c r="M141" s="6">
        <f t="shared" ref="M141:M178" si="75">I141-F141</f>
        <v>2.7222222226555459E-2</v>
      </c>
      <c r="N141" s="7">
        <f t="shared" si="72"/>
        <v>39.200000006239861</v>
      </c>
      <c r="O141" s="7"/>
      <c r="P141" s="7"/>
      <c r="Q141" s="22"/>
      <c r="R141" s="200"/>
      <c r="S141" s="206">
        <f t="shared" si="73"/>
        <v>1</v>
      </c>
      <c r="T141" s="200" t="str">
        <f t="shared" ref="T141:T178" si="76">IF(ISEVEN(LEFT(AD141,4)),"Southbound","NorthBound")</f>
        <v>Southbound</v>
      </c>
      <c r="U141" s="200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01" t="str">
        <f t="shared" ref="V141:V178" si="77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-04-23T18:52:07-0600',mode:absolute,to:'2017-04-23T21:35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1" s="202" t="str">
        <f t="shared" ref="W141:W178" si="78">IF(AA141&lt;IF(AG141="EC",23,5.65),"Y","N")</f>
        <v>N</v>
      </c>
      <c r="X141" s="202">
        <f t="shared" ref="X141:X170" si="79">VALUE(LEFT(AD141,4))-VALUE(LEFT(AD140,4))</f>
        <v>1</v>
      </c>
      <c r="Y141" s="202">
        <f t="shared" ref="Y141:Y178" si="80">RIGHT(D141,LEN(D141)-4)/10000</f>
        <v>23.297699999999999</v>
      </c>
      <c r="Z141" s="202">
        <f t="shared" ref="Z141:Z178" si="81">RIGHT(H141,LEN(H141)-4)/10000</f>
        <v>1.7000000000000001E-2</v>
      </c>
      <c r="AA141" s="202">
        <f t="shared" ref="AA141:AA178" si="82">ABS(Z141-Y141)</f>
        <v>23.2807</v>
      </c>
      <c r="AB141" s="57" t="e">
        <f>VLOOKUP(A141,Enforcements!$C$7:$K$13,8,0)</f>
        <v>#N/A</v>
      </c>
      <c r="AC141" s="53" t="e">
        <f>VLOOKUP(A141,Enforcements!$C$7:$E$13,3,0)</f>
        <v>#N/A</v>
      </c>
      <c r="AD141" s="54" t="str">
        <f t="shared" ref="AD141:AD178" si="83">IF(LEN(A141)=6,"0"&amp;A141,A141)</f>
        <v>0222-23</v>
      </c>
      <c r="AE141" s="80" t="str">
        <f t="shared" ref="AE141:AE178" si="84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s3://rtdc.mdm.uploadarchive.raw/RTDC4003/ "%USERPROFILE%\AppData\Local\Temp\OnboardLogs"\RTDC4003\2017-04-23 --exclude "*" --recursive --include "*20170423*" &amp; "%USERPROFILE%\Documents\GitHub\mrs-test-scripts\Headless Mode &amp; Sideloading\WalkAndUnGZ.bat" "%USERPROFILE%\AppData\Local\Temp\OnboardLogs"\RTDC4003\2017-04-23 &amp; aws s3 cp s3://rtdc.mdm.uploadarchive.raw/RTDC4003/ "%USERPROFILE%\AppData\Local\Temp\OnboardLogs"\RTDC4003\2017-04-24 --exclude "*" --recursive --include "*20170424*" &amp; "%USERPROFILE%\Documents\GitHub\mrs-test-scripts\Headless Mode &amp; Sideloading\WalkAndUnGZ.bat" "%USERPROFILE%\AppData\Local\Temp\OnboardLogs"\RTDC4003\2017-04-24</v>
      </c>
      <c r="AF141" s="77" t="str">
        <f t="shared" ref="AF141:AF178" si="85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/stypes="app*4003*20170424*" /stext=" 02:.+((SYSTEM_STATE.+slice.+state.+changed )|(ment ac)|(multiple cpu faults)|(system.+state.+changed )|(\[timeout)|(PRM\|1\|D)|(kpr)|(kdp)|(\|lc)|(penalty))"</v>
      </c>
      <c r="AG141" s="1" t="str">
        <f t="shared" ref="AG141:AG178" si="86">IFERROR(IF(VALUE(LEFT(AD141,2))&lt;=2,"EC",IF(OR(VALUE(LEFT(AD141,2))=8,VALUE(LEFT(AD141,2))=18),"NW","Other")),"Other")</f>
        <v>EC</v>
      </c>
      <c r="AH141" s="81" t="str">
        <f t="shared" si="53"/>
        <v>"%USERPROFILE%\Documents\GitHub\eaglep3\Utilities\RefineRTDCRunTimes.py" --tripid 222-23 --locoid 4003 --swversion DE.1.0.9.0 --startMP 204:232977 --initTime 2017-04-23T19:52:07 --startdatetime 2017-04-23T19:56:28 --delay 1 --endMP 204:170 --enddatetime 2017-04-23T20:35:40 --enforcementcount 0 &gt;&gt;C:\Users\stu\Documents\GitHub\eaglep3-reporting\EC\2017-04-23-refined-times.txt</v>
      </c>
      <c r="AI141" s="99" t="str">
        <f t="shared" si="54"/>
        <v>echo {"issue":{"subject":"","project_id":79,"tracker_id":40,"status_id":1,"priority_id":2,"assigned_to_id":23,"start_date":"2017-04-23","description":"","custom_fields":[{"id":1,"name":"Subdivision","value":"EC"},{"id":4,"name":"Milepost","value":"0.017"},{"id":17,"name":"Train ID","value":"222-23"},{"id":16,"name":"Locomotive ID","value":"4003"},{"id":130,"name":"Impact","value":""},{"id":150,"name":"Time of Event (Mountain Time)","value":"20:35:40"},{"id":151,"name":"Denver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5" t="str">
        <f t="shared" si="55"/>
        <v>start /low /b %USERPROFILE%\Documents\GitHub\eaglep3\Utilities\DownloadLogsFromS3.py --loco 4003 --day 2017-04-23</v>
      </c>
      <c r="AN141" s="154" t="str">
        <f t="shared" si="56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02:35:40"},{"id":29,"name":"Sharepoint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793</v>
      </c>
      <c r="B142" s="7">
        <v>4046</v>
      </c>
      <c r="C142" s="21" t="s">
        <v>213</v>
      </c>
      <c r="D142" s="21" t="s">
        <v>204</v>
      </c>
      <c r="E142" s="13">
        <v>42848.806261574071</v>
      </c>
      <c r="F142" s="13">
        <v>42848.812638888892</v>
      </c>
      <c r="G142" s="7">
        <v>1</v>
      </c>
      <c r="H142" s="21" t="s">
        <v>920</v>
      </c>
      <c r="I142" s="13">
        <v>42848.837037037039</v>
      </c>
      <c r="J142" s="7">
        <v>0</v>
      </c>
      <c r="K142" s="92" t="str">
        <f t="shared" si="74"/>
        <v>4045/4046</v>
      </c>
      <c r="L142" s="21" t="str">
        <f>VLOOKUP(A142,'Trips&amp;Operators'!$C$1:$G$99999,5,FALSE)</f>
        <v>NEWELL JAMES</v>
      </c>
      <c r="M142" s="6">
        <f t="shared" si="75"/>
        <v>2.4398148147156462E-2</v>
      </c>
      <c r="N142" s="7">
        <f t="shared" si="72"/>
        <v>35.133333331905305</v>
      </c>
      <c r="O142" s="7"/>
      <c r="P142" s="7"/>
      <c r="Q142" s="22"/>
      <c r="R142" s="200"/>
      <c r="S142" s="206">
        <f t="shared" si="73"/>
        <v>1</v>
      </c>
      <c r="T142" s="200" t="str">
        <f t="shared" si="76"/>
        <v>NorthBound</v>
      </c>
      <c r="U142" s="200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01" t="str">
        <f t="shared" si="77"/>
        <v>https://d0f6bd738d7f1b3e5a7ca70fe4ff75f0.us-east-1.aws.found.io/app/kibana#/discover/Steve-Slow-Train-Analysis-(2080s-and-2083s)?_g=(refreshInterval:(display:Off,pause:!f,section:0,value:0),time:(from:'2017-04-23T18:21:01-0600',mode:absolute,to:'2017-04-23T21:05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2" s="202" t="str">
        <f t="shared" si="78"/>
        <v>N</v>
      </c>
      <c r="X142" s="202">
        <f t="shared" si="79"/>
        <v>1</v>
      </c>
      <c r="Y142" s="202">
        <f t="shared" si="80"/>
        <v>4.5699999999999998E-2</v>
      </c>
      <c r="Z142" s="202">
        <f t="shared" si="81"/>
        <v>23.3308</v>
      </c>
      <c r="AA142" s="202">
        <f t="shared" si="82"/>
        <v>23.2851</v>
      </c>
      <c r="AB142" s="57" t="e">
        <f>VLOOKUP(A142,Enforcements!$C$7:$K$13,8,0)</f>
        <v>#N/A</v>
      </c>
      <c r="AC142" s="53" t="e">
        <f>VLOOKUP(A142,Enforcements!$C$7:$E$13,3,0)</f>
        <v>#N/A</v>
      </c>
      <c r="AD142" s="54" t="str">
        <f t="shared" si="83"/>
        <v>0223-23</v>
      </c>
      <c r="AE142" s="80" t="str">
        <f t="shared" si="84"/>
        <v>aws s3 cp s3://rtdc.mdm.uploadarchive.raw/RTDC4046/ "%USERPROFILE%\AppData\Local\Temp\OnboardLogs"\RTDC4046\2017-04-23 --exclude "*" --recursive --include "*20170423*" &amp; "%USERPROFILE%\Documents\GitHub\mrs-test-scripts\Headless Mode &amp; Sideloading\WalkAndUnGZ.bat" "%USERPROFILE%\AppData\Local\Temp\OnboardLogs"\RTDC4046\2017-04-23 &amp; aws s3 cp s3://rtdc.mdm.uploadarchive.raw/RTDC4046/ "%USERPROFILE%\AppData\Local\Temp\OnboardLogs"\RTDC4046\2017-04-24 --exclude "*" --recursive --include "*20170424*" &amp; "%USERPROFILE%\Documents\GitHub\mrs-test-scripts\Headless Mode &amp; Sideloading\WalkAndUnGZ.bat" "%USERPROFILE%\AppData\Local\Temp\OnboardLogs"\RTDC4046\2017-04-24</v>
      </c>
      <c r="AF142" s="77" t="str">
        <f t="shared" si="85"/>
        <v>"C:\Program Files (x86)\AstroGrep\AstroGrep.exe" /e /r /s /spath="%USERPROFILE%\AppData\Local\Temp\OnboardLogs" /stypes="app*4046*20170424*" /stext=" 02:.+((SYSTEM_STATE.+slice.+state.+changed )|(ment ac)|(multiple cpu faults)|(system.+state.+changed )|(\[timeout)|(PRM\|1\|D)|(kpr)|(kdp)|(\|lc)|(penalty))"</v>
      </c>
      <c r="AG142" s="1" t="str">
        <f t="shared" si="86"/>
        <v>EC</v>
      </c>
      <c r="AH142" s="81" t="str">
        <f t="shared" ref="AH142:AH210" si="87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223-23 --locoid 4046 --swversion DE.1.0.9.0 --startMP 204:457 --initTime 2017-04-23T19:21:01 --startdatetime 2017-04-23T19:30:12 --delay 1 --endMP 204:233308 --enddatetime 2017-04-23T20:05:20 --enforcementcount 0 &gt;&gt;C:\Users\stu\Documents\GitHub\eaglep3-reporting\EC\2017-04-23-refined-times.txt</v>
      </c>
      <c r="AI142" s="99" t="str">
        <f t="shared" ref="AI142:AI210" si="88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{"issue":{"subject":"","project_id":79,"tracker_id":40,"status_id":1,"priority_id":2,"assigned_to_id":23,"start_date":"2017-04-23","description":"","custom_fields":[{"id":1,"name":"Subdivision","value":"EC"},{"id":4,"name":"Milepost","value":"23.3308"},{"id":17,"name":"Train ID","value":"223-23"},{"id":16,"name":"Locomotive ID","value":"4046"},{"id":130,"name":"Impact","value":""},{"id":150,"name":"Time of Event (Mountain Time)","value":"20:05:20"},{"id":151,"name":"Denver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5" t="str">
        <f t="shared" ref="AM142:AM210" si="89">"start /low /b "&amp;dls3logs&amp;" --loco "&amp;B142&amp;" --day "&amp;TEXT(F142,"YYYY-MM-DD")</f>
        <v>start /low /b %USERPROFILE%\Documents\GitHub\eaglep3\Utilities\DownloadLogsFromS3.py --loco 4046 --day 2017-04-23</v>
      </c>
      <c r="AN142" s="154" t="str">
        <f t="shared" ref="AN142:AN210" si="90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02:05:20"},{"id":29,"name":"Sharepoint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797</v>
      </c>
      <c r="B143" s="7">
        <v>4045</v>
      </c>
      <c r="C143" s="21" t="s">
        <v>213</v>
      </c>
      <c r="D143" s="21" t="s">
        <v>843</v>
      </c>
      <c r="E143" s="13">
        <v>42848.838275462964</v>
      </c>
      <c r="F143" s="13">
        <v>42848.85292824074</v>
      </c>
      <c r="G143" s="7">
        <v>1</v>
      </c>
      <c r="H143" s="21" t="s">
        <v>418</v>
      </c>
      <c r="I143" s="13">
        <v>42848.881342592591</v>
      </c>
      <c r="J143" s="7">
        <v>0</v>
      </c>
      <c r="K143" s="92" t="str">
        <f t="shared" si="74"/>
        <v>4045/4046</v>
      </c>
      <c r="L143" s="21" t="str">
        <f>VLOOKUP(A143,'Trips&amp;Operators'!$C$1:$G$99999,5,FALSE)</f>
        <v>NEWELL JAMES</v>
      </c>
      <c r="M143" s="6">
        <f t="shared" si="75"/>
        <v>2.8414351851097308E-2</v>
      </c>
      <c r="N143" s="7">
        <f t="shared" si="72"/>
        <v>40.916666665580124</v>
      </c>
      <c r="O143" s="7"/>
      <c r="P143" s="7"/>
      <c r="Q143" s="22"/>
      <c r="R143" s="200"/>
      <c r="S143" s="206">
        <f t="shared" si="73"/>
        <v>1</v>
      </c>
      <c r="T143" s="200" t="str">
        <f t="shared" si="76"/>
        <v>Southbound</v>
      </c>
      <c r="U143" s="200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01" t="str">
        <f t="shared" si="77"/>
        <v>https://d0f6bd738d7f1b3e5a7ca70fe4ff75f0.us-east-1.aws.found.io/app/kibana#/discover/Steve-Slow-Train-Analysis-(2080s-and-2083s)?_g=(refreshInterval:(display:Off,pause:!f,section:0,value:0),time:(from:'2017-04-23T19:07:07-0600',mode:absolute,to:'2017-04-23T22:09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3" s="202" t="str">
        <f t="shared" si="78"/>
        <v>N</v>
      </c>
      <c r="X143" s="202">
        <f t="shared" si="79"/>
        <v>1</v>
      </c>
      <c r="Y143" s="202">
        <f t="shared" si="80"/>
        <v>23.299600000000002</v>
      </c>
      <c r="Z143" s="202">
        <f t="shared" si="81"/>
        <v>1.4999999999999999E-2</v>
      </c>
      <c r="AA143" s="202">
        <f t="shared" si="82"/>
        <v>23.284600000000001</v>
      </c>
      <c r="AB143" s="57" t="e">
        <f>VLOOKUP(A143,Enforcements!$C$7:$K$13,8,0)</f>
        <v>#N/A</v>
      </c>
      <c r="AC143" s="53" t="e">
        <f>VLOOKUP(A143,Enforcements!$C$7:$E$13,3,0)</f>
        <v>#N/A</v>
      </c>
      <c r="AD143" s="54" t="str">
        <f t="shared" si="83"/>
        <v>0224-23</v>
      </c>
      <c r="AE143" s="80" t="str">
        <f t="shared" si="84"/>
        <v>aws s3 cp s3://rtdc.mdm.uploadarchive.raw/RTDC4045/ "%USERPROFILE%\AppData\Local\Temp\OnboardLogs"\RTDC4045\2017-04-23 --exclude "*" --recursive --include "*20170423*" &amp; "%USERPROFILE%\Documents\GitHub\mrs-test-scripts\Headless Mode &amp; Sideloading\WalkAndUnGZ.bat" "%USERPROFILE%\AppData\Local\Temp\OnboardLogs"\RTDC4045\2017-04-23 &amp; aws s3 cp s3://rtdc.mdm.uploadarchive.raw/RTDC4045/ "%USERPROFILE%\AppData\Local\Temp\OnboardLogs"\RTDC4045\2017-04-24 --exclude "*" --recursive --include "*20170424*" &amp; "%USERPROFILE%\Documents\GitHub\mrs-test-scripts\Headless Mode &amp; Sideloading\WalkAndUnGZ.bat" "%USERPROFILE%\AppData\Local\Temp\OnboardLogs"\RTDC4045\2017-04-24</v>
      </c>
      <c r="AF143" s="77" t="str">
        <f t="shared" si="85"/>
        <v>"C:\Program Files (x86)\AstroGrep\AstroGrep.exe" /e /r /s /spath="%USERPROFILE%\AppData\Local\Temp\OnboardLogs" /stypes="app*4045*20170424*" /stext=" 03:.+((SYSTEM_STATE.+slice.+state.+changed )|(ment ac)|(multiple cpu faults)|(system.+state.+changed )|(\[timeout)|(PRM\|1\|D)|(kpr)|(kdp)|(\|lc)|(penalty))"</v>
      </c>
      <c r="AG143" s="1" t="str">
        <f t="shared" si="86"/>
        <v>EC</v>
      </c>
      <c r="AH143" s="81" t="str">
        <f t="shared" si="87"/>
        <v>"%USERPROFILE%\Documents\GitHub\eaglep3\Utilities\RefineRTDCRunTimes.py" --tripid 224-23 --locoid 4045 --swversion DE.1.0.9.0 --startMP 204:232996 --initTime 2017-04-23T20:07:07 --startdatetime 2017-04-23T20:28:13 --delay 1 --endMP 204:150 --enddatetime 2017-04-23T21:09:08 --enforcementcount 0 &gt;&gt;C:\Users\stu\Documents\GitHub\eaglep3-reporting\EC\2017-04-23-refined-times.txt</v>
      </c>
      <c r="AI143" s="99" t="str">
        <f t="shared" si="88"/>
        <v>echo {"issue":{"subject":"","project_id":79,"tracker_id":40,"status_id":1,"priority_id":2,"assigned_to_id":23,"start_date":"2017-04-23","description":"","custom_fields":[{"id":1,"name":"Subdivision","value":"EC"},{"id":4,"name":"Milepost","value":"0.015"},{"id":17,"name":"Train ID","value":"224-23"},{"id":16,"name":"Locomotive ID","value":"4045"},{"id":130,"name":"Impact","value":""},{"id":150,"name":"Time of Event (Mountain Time)","value":"21:09:08"},{"id":151,"name":"Denver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5" t="str">
        <f t="shared" si="89"/>
        <v>start /low /b %USERPROFILE%\Documents\GitHub\eaglep3\Utilities\DownloadLogsFromS3.py --loco 4045 --day 2017-04-23</v>
      </c>
      <c r="AN143" s="154" t="str">
        <f t="shared" si="90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03:09:08"},{"id":29,"name":"Sharepoint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619</v>
      </c>
      <c r="B144" s="7">
        <v>4016</v>
      </c>
      <c r="C144" s="21" t="s">
        <v>213</v>
      </c>
      <c r="D144" s="21" t="s">
        <v>572</v>
      </c>
      <c r="E144" s="13">
        <v>42848.828773148147</v>
      </c>
      <c r="F144" s="13">
        <v>42848.833657407406</v>
      </c>
      <c r="G144" s="7">
        <v>1</v>
      </c>
      <c r="H144" s="21" t="s">
        <v>971</v>
      </c>
      <c r="I144" s="13">
        <v>42848.862141203703</v>
      </c>
      <c r="J144" s="7">
        <v>0</v>
      </c>
      <c r="K144" s="92" t="str">
        <f t="shared" si="74"/>
        <v>4015/4016</v>
      </c>
      <c r="L144" s="21" t="str">
        <f>VLOOKUP(A144,'Trips&amp;Operators'!$C$1:$G$99999,5,FALSE)</f>
        <v>DUNCAN SHEILA</v>
      </c>
      <c r="M144" s="6">
        <f t="shared" si="75"/>
        <v>2.8483796297223307E-2</v>
      </c>
      <c r="N144" s="7">
        <f t="shared" si="72"/>
        <v>41.016666668001562</v>
      </c>
      <c r="O144" s="7"/>
      <c r="P144" s="7"/>
      <c r="Q144" s="22"/>
      <c r="R144" s="200"/>
      <c r="S144" s="206">
        <f t="shared" si="73"/>
        <v>1</v>
      </c>
      <c r="T144" s="200" t="str">
        <f t="shared" si="76"/>
        <v>NorthBound</v>
      </c>
      <c r="U144" s="200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01" t="str">
        <f t="shared" si="77"/>
        <v>https://d0f6bd738d7f1b3e5a7ca70fe4ff75f0.us-east-1.aws.found.io/app/kibana#/discover/Steve-Slow-Train-Analysis-(2080s-and-2083s)?_g=(refreshInterval:(display:Off,pause:!f,section:0,value:0),time:(from:'2017-04-23T18:53:26-0600',mode:absolute,to:'2017-04-23T21:41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4" s="202" t="str">
        <f t="shared" si="78"/>
        <v>N</v>
      </c>
      <c r="X144" s="202">
        <f t="shared" si="79"/>
        <v>1</v>
      </c>
      <c r="Y144" s="202">
        <f t="shared" si="80"/>
        <v>4.6399999999999997E-2</v>
      </c>
      <c r="Z144" s="202">
        <f t="shared" si="81"/>
        <v>23.3263</v>
      </c>
      <c r="AA144" s="202">
        <f t="shared" si="82"/>
        <v>23.279900000000001</v>
      </c>
      <c r="AB144" s="57" t="str">
        <f>VLOOKUP(A144,Enforcements!$C$7:$K$13,8,0)</f>
        <v>Bulletin (2)</v>
      </c>
      <c r="AC144" s="53" t="str">
        <f>VLOOKUP(A144,Enforcements!$C$7:$E$13,3,0)</f>
        <v>GRADE CROSSING</v>
      </c>
      <c r="AD144" s="54" t="str">
        <f t="shared" si="83"/>
        <v>0225-23</v>
      </c>
      <c r="AE144" s="80" t="str">
        <f t="shared" si="84"/>
        <v>aws s3 cp s3://rtdc.mdm.uploadarchive.raw/RTDC4016/ "%USERPROFILE%\AppData\Local\Temp\OnboardLogs"\RTDC4016\2017-04-23 --exclude "*" --recursive --include "*20170423*" &amp; "%USERPROFILE%\Documents\GitHub\mrs-test-scripts\Headless Mode &amp; Sideloading\WalkAndUnGZ.bat" "%USERPROFILE%\AppData\Local\Temp\OnboardLogs"\RTDC4016\2017-04-23 &amp; aws s3 cp s3://rtdc.mdm.uploadarchive.raw/RTDC4016/ "%USERPROFILE%\AppData\Local\Temp\OnboardLogs"\RTDC4016\2017-04-24 --exclude "*" --recursive --include "*20170424*" &amp; "%USERPROFILE%\Documents\GitHub\mrs-test-scripts\Headless Mode &amp; Sideloading\WalkAndUnGZ.bat" "%USERPROFILE%\AppData\Local\Temp\OnboardLogs"\RTDC4016\2017-04-24</v>
      </c>
      <c r="AF144" s="77" t="str">
        <f t="shared" si="85"/>
        <v>"C:\Program Files (x86)\AstroGrep\AstroGrep.exe" /e /r /s /spath="%USERPROFILE%\AppData\Local\Temp\OnboardLogs" /stypes="app*4016*20170424*" /stext=" 02:.+((SYSTEM_STATE.+slice.+state.+changed )|(ment ac)|(multiple cpu faults)|(system.+state.+changed )|(\[timeout)|(PRM\|1\|D)|(kpr)|(kdp)|(\|lc)|(penalty))"</v>
      </c>
      <c r="AG144" s="1" t="str">
        <f t="shared" si="86"/>
        <v>EC</v>
      </c>
      <c r="AH144" s="81" t="str">
        <f t="shared" si="87"/>
        <v>"%USERPROFILE%\Documents\GitHub\eaglep3\Utilities\RefineRTDCRunTimes.py" --tripid 225-23 --locoid 4016 --swversion DE.1.0.9.0 --startMP 204:464 --initTime 2017-04-23T19:53:26 --startdatetime 2017-04-23T20:00:28 --delay 1 --endMP 204:233263 --enddatetime 2017-04-23T20:41:29 --enforcementcount 0 &gt;&gt;C:\Users\stu\Documents\GitHub\eaglep3-reporting\EC\2017-04-23-refined-times.txt</v>
      </c>
      <c r="AI144" s="99" t="str">
        <f t="shared" si="88"/>
        <v>echo {"issue":{"subject":"","project_id":79,"tracker_id":40,"status_id":1,"priority_id":2,"assigned_to_id":23,"start_date":"2017-04-23","description":"","custom_fields":[{"id":1,"name":"Subdivision","value":"EC"},{"id":4,"name":"Milepost","value":"23.3263"},{"id":17,"name":"Train ID","value":"225-23"},{"id":16,"name":"Locomotive ID","value":"4016"},{"id":130,"name":"Impact","value":""},{"id":150,"name":"Time of Event (Mountain Time)","value":"20:41:29"},{"id":151,"name":"Denver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5" t="str">
        <f t="shared" si="89"/>
        <v>start /low /b %USERPROFILE%\Documents\GitHub\eaglep3\Utilities\DownloadLogsFromS3.py --loco 4016 --day 2017-04-23</v>
      </c>
      <c r="AN144" s="154" t="str">
        <f t="shared" si="90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02:41:29"},{"id":29,"name":"Sharepoint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801</v>
      </c>
      <c r="B145" s="7">
        <v>4015</v>
      </c>
      <c r="C145" s="21" t="s">
        <v>213</v>
      </c>
      <c r="D145" s="21" t="s">
        <v>479</v>
      </c>
      <c r="E145" s="13">
        <v>42848.86650462963</v>
      </c>
      <c r="F145" s="13">
        <v>42848.872384259259</v>
      </c>
      <c r="G145" s="7">
        <v>1</v>
      </c>
      <c r="H145" s="21" t="s">
        <v>418</v>
      </c>
      <c r="I145" s="13">
        <v>42848.901099537034</v>
      </c>
      <c r="J145" s="7">
        <v>0</v>
      </c>
      <c r="K145" s="92" t="str">
        <f t="shared" si="74"/>
        <v>4015/4016</v>
      </c>
      <c r="L145" s="21" t="str">
        <f>VLOOKUP(A145,'Trips&amp;Operators'!$C$1:$G$99999,5,FALSE)</f>
        <v>DUNCAN SHEILA</v>
      </c>
      <c r="M145" s="6">
        <f t="shared" si="75"/>
        <v>2.8715277774608694E-2</v>
      </c>
      <c r="N145" s="7">
        <f t="shared" si="72"/>
        <v>41.349999995436519</v>
      </c>
      <c r="O145" s="7"/>
      <c r="P145" s="7"/>
      <c r="Q145" s="22"/>
      <c r="R145" s="200"/>
      <c r="S145" s="206">
        <f t="shared" si="73"/>
        <v>1</v>
      </c>
      <c r="T145" s="200" t="str">
        <f t="shared" si="76"/>
        <v>Southbound</v>
      </c>
      <c r="U145" s="200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01" t="str">
        <f t="shared" si="77"/>
        <v>https://d0f6bd738d7f1b3e5a7ca70fe4ff75f0.us-east-1.aws.found.io/app/kibana#/discover/Steve-Slow-Train-Analysis-(2080s-and-2083s)?_g=(refreshInterval:(display:Off,pause:!f,section:0,value:0),time:(from:'2017-04-23T19:47:46-0600',mode:absolute,to:'2017-04-23T22:37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5" s="202" t="str">
        <f t="shared" si="78"/>
        <v>N</v>
      </c>
      <c r="X145" s="202">
        <f t="shared" si="79"/>
        <v>1</v>
      </c>
      <c r="Y145" s="202">
        <f t="shared" si="80"/>
        <v>23.2972</v>
      </c>
      <c r="Z145" s="202">
        <f t="shared" si="81"/>
        <v>1.4999999999999999E-2</v>
      </c>
      <c r="AA145" s="202">
        <f t="shared" si="82"/>
        <v>23.2822</v>
      </c>
      <c r="AB145" s="57" t="e">
        <f>VLOOKUP(A145,Enforcements!$C$7:$K$13,8,0)</f>
        <v>#N/A</v>
      </c>
      <c r="AC145" s="53" t="e">
        <f>VLOOKUP(A145,Enforcements!$C$7:$E$13,3,0)</f>
        <v>#N/A</v>
      </c>
      <c r="AD145" s="54" t="str">
        <f t="shared" si="83"/>
        <v>0226-23</v>
      </c>
      <c r="AE145" s="80" t="str">
        <f t="shared" si="84"/>
        <v>aws s3 cp s3://rtdc.mdm.uploadarchive.raw/RTDC4015/ "%USERPROFILE%\AppData\Local\Temp\OnboardLogs"\RTDC4015\2017-04-23 --exclude "*" --recursive --include "*20170423*" &amp; "%USERPROFILE%\Documents\GitHub\mrs-test-scripts\Headless Mode &amp; Sideloading\WalkAndUnGZ.bat" "%USERPROFILE%\AppData\Local\Temp\OnboardLogs"\RTDC4015\2017-04-23 &amp; aws s3 cp s3://rtdc.mdm.uploadarchive.raw/RTDC4015/ "%USERPROFILE%\AppData\Local\Temp\OnboardLogs"\RTDC4015\2017-04-24 --exclude "*" --recursive --include "*20170424*" &amp; "%USERPROFILE%\Documents\GitHub\mrs-test-scripts\Headless Mode &amp; Sideloading\WalkAndUnGZ.bat" "%USERPROFILE%\AppData\Local\Temp\OnboardLogs"\RTDC4015\2017-04-24</v>
      </c>
      <c r="AF145" s="77" t="str">
        <f t="shared" si="85"/>
        <v>"C:\Program Files (x86)\AstroGrep\AstroGrep.exe" /e /r /s /spath="%USERPROFILE%\AppData\Local\Temp\OnboardLogs" /stypes="app*4015*20170424*" /stext=" 03:.+((SYSTEM_STATE.+slice.+state.+changed )|(ment ac)|(multiple cpu faults)|(system.+state.+changed )|(\[timeout)|(PRM\|1\|D)|(kpr)|(kdp)|(\|lc)|(penalty))"</v>
      </c>
      <c r="AG145" s="1" t="str">
        <f t="shared" si="86"/>
        <v>EC</v>
      </c>
      <c r="AH145" s="81" t="str">
        <f t="shared" si="87"/>
        <v>"%USERPROFILE%\Documents\GitHub\eaglep3\Utilities\RefineRTDCRunTimes.py" --tripid 226-23 --locoid 4015 --swversion DE.1.0.9.0 --startMP 204:232972 --initTime 2017-04-23T20:47:46 --startdatetime 2017-04-23T20:56:14 --delay 1 --endMP 204:150 --enddatetime 2017-04-23T21:37:35 --enforcementcount 0 &gt;&gt;C:\Users\stu\Documents\GitHub\eaglep3-reporting\EC\2017-04-23-refined-times.txt</v>
      </c>
      <c r="AI145" s="99" t="str">
        <f t="shared" si="88"/>
        <v>echo {"issue":{"subject":"","project_id":79,"tracker_id":40,"status_id":1,"priority_id":2,"assigned_to_id":23,"start_date":"2017-04-23","description":"","custom_fields":[{"id":1,"name":"Subdivision","value":"EC"},{"id":4,"name":"Milepost","value":"0.015"},{"id":17,"name":"Train ID","value":"226-23"},{"id":16,"name":"Locomotive ID","value":"4015"},{"id":130,"name":"Impact","value":""},{"id":150,"name":"Time of Event (Mountain Time)","value":"21:37:35"},{"id":151,"name":"Denver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5" t="str">
        <f t="shared" si="89"/>
        <v>start /low /b %USERPROFILE%\Documents\GitHub\eaglep3\Utilities\DownloadLogsFromS3.py --loco 4015 --day 2017-04-23</v>
      </c>
      <c r="AN145" s="154" t="str">
        <f t="shared" si="90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03:37:35"},{"id":29,"name":"Sharepoint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x14ac:dyDescent="0.25">
      <c r="A146" s="32" t="s">
        <v>798</v>
      </c>
      <c r="B146" s="7">
        <v>4022</v>
      </c>
      <c r="C146" s="21" t="s">
        <v>213</v>
      </c>
      <c r="D146" s="21" t="s">
        <v>591</v>
      </c>
      <c r="E146" s="13">
        <v>42848.843842592592</v>
      </c>
      <c r="F146" s="13">
        <v>42848.854421296295</v>
      </c>
      <c r="G146" s="7">
        <v>1</v>
      </c>
      <c r="H146" s="21" t="s">
        <v>574</v>
      </c>
      <c r="I146" s="13">
        <v>42848.880381944444</v>
      </c>
      <c r="J146" s="7">
        <v>0</v>
      </c>
      <c r="K146" s="92" t="str">
        <f t="shared" si="74"/>
        <v>4021/4022</v>
      </c>
      <c r="L146" s="21" t="str">
        <f>VLOOKUP(A146,'Trips&amp;Operators'!$C$1:$G$99999,5,FALSE)</f>
        <v>YANG JAN</v>
      </c>
      <c r="M146" s="6">
        <f t="shared" si="75"/>
        <v>2.5960648148611654E-2</v>
      </c>
      <c r="N146" s="7">
        <f t="shared" si="72"/>
        <v>37.383333334000781</v>
      </c>
      <c r="O146" s="7"/>
      <c r="P146" s="7"/>
      <c r="Q146" s="22"/>
      <c r="R146" s="200"/>
      <c r="S146" s="206">
        <f t="shared" si="73"/>
        <v>1</v>
      </c>
      <c r="T146" s="200" t="str">
        <f t="shared" si="76"/>
        <v>NorthBound</v>
      </c>
      <c r="U146" s="200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01" t="str">
        <f t="shared" si="77"/>
        <v>https://d0f6bd738d7f1b3e5a7ca70fe4ff75f0.us-east-1.aws.found.io/app/kibana#/discover/Steve-Slow-Train-Analysis-(2080s-and-2083s)?_g=(refreshInterval:(display:Off,pause:!f,section:0,value:0),time:(from:'2017-04-23T19:15:08-0600',mode:absolute,to:'2017-04-23T22:07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46" s="202" t="str">
        <f t="shared" si="78"/>
        <v>N</v>
      </c>
      <c r="X146" s="202">
        <f t="shared" si="79"/>
        <v>1</v>
      </c>
      <c r="Y146" s="202">
        <f t="shared" si="80"/>
        <v>4.7800000000000002E-2</v>
      </c>
      <c r="Z146" s="202">
        <f t="shared" si="81"/>
        <v>23.330200000000001</v>
      </c>
      <c r="AA146" s="202">
        <f t="shared" si="82"/>
        <v>23.282400000000003</v>
      </c>
      <c r="AB146" s="57" t="e">
        <f>VLOOKUP(A146,Enforcements!$C$7:$K$13,8,0)</f>
        <v>#N/A</v>
      </c>
      <c r="AC146" s="53" t="e">
        <f>VLOOKUP(A146,Enforcements!$C$7:$E$13,3,0)</f>
        <v>#N/A</v>
      </c>
      <c r="AD146" s="54" t="str">
        <f t="shared" si="83"/>
        <v>0227-23</v>
      </c>
      <c r="AE146" s="80" t="str">
        <f t="shared" si="84"/>
        <v>aws s3 cp s3://rtdc.mdm.uploadarchive.raw/RTDC4022/ "%USERPROFILE%\AppData\Local\Temp\OnboardLogs"\RTDC4022\2017-04-23 --exclude "*" --recursive --include "*20170423*" &amp; "%USERPROFILE%\Documents\GitHub\mrs-test-scripts\Headless Mode &amp; Sideloading\WalkAndUnGZ.bat" "%USERPROFILE%\AppData\Local\Temp\OnboardLogs"\RTDC4022\2017-04-23 &amp; aws s3 cp s3://rtdc.mdm.uploadarchive.raw/RTDC4022/ "%USERPROFILE%\AppData\Local\Temp\OnboardLogs"\RTDC4022\2017-04-24 --exclude "*" --recursive --include "*20170424*" &amp; "%USERPROFILE%\Documents\GitHub\mrs-test-scripts\Headless Mode &amp; Sideloading\WalkAndUnGZ.bat" "%USERPROFILE%\AppData\Local\Temp\OnboardLogs"\RTDC4022\2017-04-24</v>
      </c>
      <c r="AF146" s="77" t="str">
        <f t="shared" si="85"/>
        <v>"C:\Program Files (x86)\AstroGrep\AstroGrep.exe" /e /r /s /spath="%USERPROFILE%\AppData\Local\Temp\OnboardLogs" /stypes="app*4022*20170424*" /stext=" 03:.+((SYSTEM_STATE.+slice.+state.+changed )|(ment ac)|(multiple cpu faults)|(system.+state.+changed )|(\[timeout)|(PRM\|1\|D)|(kpr)|(kdp)|(\|lc)|(penalty))"</v>
      </c>
      <c r="AG146" s="1" t="str">
        <f t="shared" si="86"/>
        <v>EC</v>
      </c>
      <c r="AH146" s="81" t="str">
        <f t="shared" si="87"/>
        <v>"%USERPROFILE%\Documents\GitHub\eaglep3\Utilities\RefineRTDCRunTimes.py" --tripid 227-23 --locoid 4022 --swversion DE.1.0.9.0 --startMP 204:478 --initTime 2017-04-23T20:15:08 --startdatetime 2017-04-23T20:30:22 --delay 1 --endMP 204:233302 --enddatetime 2017-04-23T21:07:45 --enforcementcount 0 &gt;&gt;C:\Users\stu\Documents\GitHub\eaglep3-reporting\EC\2017-04-23-refined-times.txt</v>
      </c>
      <c r="AI146" s="99" t="str">
        <f t="shared" si="88"/>
        <v>echo {"issue":{"subject":"","project_id":79,"tracker_id":40,"status_id":1,"priority_id":2,"assigned_to_id":23,"start_date":"2017-04-23","description":"","custom_fields":[{"id":1,"name":"Subdivision","value":"EC"},{"id":4,"name":"Milepost","value":"23.3302"},{"id":17,"name":"Train ID","value":"227-23"},{"id":16,"name":"Locomotive ID","value":"4022"},{"id":130,"name":"Impact","value":""},{"id":150,"name":"Time of Event (Mountain Time)","value":"21:07:45"},{"id":151,"name":"Denver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20"/>
      <c r="AK146" s="47"/>
      <c r="AL146" s="47"/>
      <c r="AM146" s="145" t="str">
        <f t="shared" si="89"/>
        <v>start /low /b %USERPROFILE%\Documents\GitHub\eaglep3\Utilities\DownloadLogsFromS3.py --loco 4022 --day 2017-04-23</v>
      </c>
      <c r="AN146" s="154" t="str">
        <f t="shared" si="90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03:07:45"},{"id":29,"name":"Sharepoint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7" spans="1:91" s="20" customFormat="1" x14ac:dyDescent="0.25">
      <c r="A147" s="32" t="s">
        <v>805</v>
      </c>
      <c r="B147" s="7">
        <v>4021</v>
      </c>
      <c r="C147" s="21" t="s">
        <v>213</v>
      </c>
      <c r="D147" s="21" t="s">
        <v>387</v>
      </c>
      <c r="E147" s="13">
        <v>42848.890115740738</v>
      </c>
      <c r="F147" s="13">
        <v>42848.893437500003</v>
      </c>
      <c r="G147" s="7">
        <v>1</v>
      </c>
      <c r="H147" s="21" t="s">
        <v>972</v>
      </c>
      <c r="I147" s="13">
        <v>42848.921284722222</v>
      </c>
      <c r="J147" s="7">
        <v>0</v>
      </c>
      <c r="K147" s="92" t="str">
        <f t="shared" si="74"/>
        <v>4021/4022</v>
      </c>
      <c r="L147" s="21" t="str">
        <f>VLOOKUP(A147,'Trips&amp;Operators'!$C$1:$G$99999,5,FALSE)</f>
        <v>YANG JAN</v>
      </c>
      <c r="M147" s="6">
        <f t="shared" si="75"/>
        <v>2.7847222219861578E-2</v>
      </c>
      <c r="N147" s="7">
        <f t="shared" si="72"/>
        <v>40.099999996600673</v>
      </c>
      <c r="O147" s="7"/>
      <c r="P147" s="7"/>
      <c r="Q147" s="22"/>
      <c r="R147" s="200"/>
      <c r="S147" s="206">
        <f t="shared" si="73"/>
        <v>1</v>
      </c>
      <c r="T147" s="200" t="str">
        <f t="shared" si="76"/>
        <v>Southbound</v>
      </c>
      <c r="U147" s="200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01" t="str">
        <f t="shared" si="77"/>
        <v>https://d0f6bd738d7f1b3e5a7ca70fe4ff75f0.us-east-1.aws.found.io/app/kibana#/discover/Steve-Slow-Train-Analysis-(2080s-and-2083s)?_g=(refreshInterval:(display:Off,pause:!f,section:0,value:0),time:(from:'2017-04-23T20:21:46-0600',mode:absolute,to:'2017-04-23T23:06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7" s="202" t="str">
        <f t="shared" si="78"/>
        <v>N</v>
      </c>
      <c r="X147" s="202">
        <f t="shared" si="79"/>
        <v>1</v>
      </c>
      <c r="Y147" s="202">
        <f t="shared" si="80"/>
        <v>23.2989</v>
      </c>
      <c r="Z147" s="202">
        <f t="shared" si="81"/>
        <v>1.23E-2</v>
      </c>
      <c r="AA147" s="202">
        <f t="shared" si="82"/>
        <v>23.2866</v>
      </c>
      <c r="AB147" s="57" t="e">
        <f>VLOOKUP(A147,Enforcements!$C$7:$K$13,8,0)</f>
        <v>#N/A</v>
      </c>
      <c r="AC147" s="53" t="e">
        <f>VLOOKUP(A147,Enforcements!$C$7:$E$13,3,0)</f>
        <v>#N/A</v>
      </c>
      <c r="AD147" s="54" t="str">
        <f t="shared" si="83"/>
        <v>0228-23</v>
      </c>
      <c r="AE147" s="80" t="str">
        <f t="shared" si="84"/>
        <v>aws s3 cp s3://rtdc.mdm.uploadarchive.raw/RTDC4021/ "%USERPROFILE%\AppData\Local\Temp\OnboardLogs"\RTDC4021\2017-04-23 --exclude "*" --recursive --include "*20170423*" &amp; "%USERPROFILE%\Documents\GitHub\mrs-test-scripts\Headless Mode &amp; Sideloading\WalkAndUnGZ.bat" "%USERPROFILE%\AppData\Local\Temp\OnboardLogs"\RTDC4021\2017-04-23 &amp; aws s3 cp s3://rtdc.mdm.uploadarchive.raw/RTDC4021/ "%USERPROFILE%\AppData\Local\Temp\OnboardLogs"\RTDC4021\2017-04-24 --exclude "*" --recursive --include "*20170424*" &amp; "%USERPROFILE%\Documents\GitHub\mrs-test-scripts\Headless Mode &amp; Sideloading\WalkAndUnGZ.bat" "%USERPROFILE%\AppData\Local\Temp\OnboardLogs"\RTDC4021\2017-04-24</v>
      </c>
      <c r="AF147" s="77" t="str">
        <f t="shared" si="85"/>
        <v>"C:\Program Files (x86)\AstroGrep\AstroGrep.exe" /e /r /s /spath="%USERPROFILE%\AppData\Local\Temp\OnboardLogs" /stypes="app*4021*20170424*" /stext=" 04:.+((SYSTEM_STATE.+slice.+state.+changed )|(ment ac)|(multiple cpu faults)|(system.+state.+changed )|(\[timeout)|(PRM\|1\|D)|(kpr)|(kdp)|(\|lc)|(penalty))"</v>
      </c>
      <c r="AG147" s="1" t="str">
        <f t="shared" si="86"/>
        <v>EC</v>
      </c>
      <c r="AH147" s="81" t="str">
        <f t="shared" si="87"/>
        <v>"%USERPROFILE%\Documents\GitHub\eaglep3\Utilities\RefineRTDCRunTimes.py" --tripid 228-23 --locoid 4021 --swversion DE.1.0.9.0 --startMP 204:232989 --initTime 2017-04-23T21:21:46 --startdatetime 2017-04-23T21:26:33 --delay 1 --endMP 204:123 --enddatetime 2017-04-23T22:06:39 --enforcementcount 0 &gt;&gt;C:\Users\stu\Documents\GitHub\eaglep3-reporting\EC\2017-04-23-refined-times.txt</v>
      </c>
      <c r="AI147" s="99" t="str">
        <f t="shared" si="88"/>
        <v>echo {"issue":{"subject":"","project_id":79,"tracker_id":40,"status_id":1,"priority_id":2,"assigned_to_id":23,"start_date":"2017-04-23","description":"","custom_fields":[{"id":1,"name":"Subdivision","value":"EC"},{"id":4,"name":"Milepost","value":"0.0123"},{"id":17,"name":"Train ID","value":"228-23"},{"id":16,"name":"Locomotive ID","value":"4021"},{"id":130,"name":"Impact","value":""},{"id":150,"name":"Time of Event (Mountain Time)","value":"22:06:39"},{"id":151,"name":"Denver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5" t="str">
        <f t="shared" si="89"/>
        <v>start /low /b %USERPROFILE%\Documents\GitHub\eaglep3\Utilities\DownloadLogsFromS3.py --loco 4021 --day 2017-04-23</v>
      </c>
      <c r="AN147" s="154" t="str">
        <f t="shared" si="90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04:06:39"},{"id":29,"name":"Sharepoint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802</v>
      </c>
      <c r="B148" s="7">
        <v>4004</v>
      </c>
      <c r="C148" s="21" t="s">
        <v>213</v>
      </c>
      <c r="D148" s="21" t="s">
        <v>395</v>
      </c>
      <c r="E148" s="13">
        <v>42848.871759259258</v>
      </c>
      <c r="F148" s="13">
        <v>42848.8753125</v>
      </c>
      <c r="G148" s="7">
        <v>1</v>
      </c>
      <c r="H148" s="21" t="s">
        <v>580</v>
      </c>
      <c r="I148" s="13">
        <v>42848.900995370372</v>
      </c>
      <c r="J148" s="7">
        <v>0</v>
      </c>
      <c r="K148" s="92" t="str">
        <f t="shared" si="74"/>
        <v>4003/4004</v>
      </c>
      <c r="L148" s="21" t="str">
        <f>VLOOKUP(A148,'Trips&amp;Operators'!$C$1:$G$99999,5,FALSE)</f>
        <v>CHANDLER KELVIN</v>
      </c>
      <c r="M148" s="6">
        <f t="shared" si="75"/>
        <v>2.5682870371383615E-2</v>
      </c>
      <c r="N148" s="7">
        <f t="shared" si="72"/>
        <v>36.983333334792405</v>
      </c>
      <c r="O148" s="7"/>
      <c r="P148" s="7"/>
      <c r="Q148" s="22"/>
      <c r="R148" s="200"/>
      <c r="S148" s="206">
        <f t="shared" si="73"/>
        <v>1</v>
      </c>
      <c r="T148" s="200" t="str">
        <f t="shared" si="76"/>
        <v>NorthBound</v>
      </c>
      <c r="U148" s="200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01" t="str">
        <f t="shared" si="77"/>
        <v>https://d0f6bd738d7f1b3e5a7ca70fe4ff75f0.us-east-1.aws.found.io/app/kibana#/discover/Steve-Slow-Train-Analysis-(2080s-and-2083s)?_g=(refreshInterval:(display:Off,pause:!f,section:0,value:0),time:(from:'2017-04-23T19:55:20-0600',mode:absolute,to:'2017-04-23T22:37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8" s="202" t="str">
        <f t="shared" si="78"/>
        <v>N</v>
      </c>
      <c r="X148" s="202">
        <f t="shared" si="79"/>
        <v>1</v>
      </c>
      <c r="Y148" s="202">
        <f t="shared" si="80"/>
        <v>4.58E-2</v>
      </c>
      <c r="Z148" s="202">
        <f t="shared" si="81"/>
        <v>23.327999999999999</v>
      </c>
      <c r="AA148" s="202">
        <f t="shared" si="82"/>
        <v>23.2822</v>
      </c>
      <c r="AB148" s="57" t="e">
        <f>VLOOKUP(A148,Enforcements!$C$7:$K$13,8,0)</f>
        <v>#N/A</v>
      </c>
      <c r="AC148" s="53" t="e">
        <f>VLOOKUP(A148,Enforcements!$C$7:$E$13,3,0)</f>
        <v>#N/A</v>
      </c>
      <c r="AD148" s="54" t="str">
        <f t="shared" si="83"/>
        <v>0229-23</v>
      </c>
      <c r="AE148" s="80" t="str">
        <f t="shared" si="84"/>
        <v>aws s3 cp s3://rtdc.mdm.uploadarchive.raw/RTDC4004/ "%USERPROFILE%\AppData\Local\Temp\OnboardLogs"\RTDC4004\2017-04-23 --exclude "*" --recursive --include "*20170423*" &amp; "%USERPROFILE%\Documents\GitHub\mrs-test-scripts\Headless Mode &amp; Sideloading\WalkAndUnGZ.bat" "%USERPROFILE%\AppData\Local\Temp\OnboardLogs"\RTDC4004\2017-04-23 &amp; aws s3 cp s3://rtdc.mdm.uploadarchive.raw/RTDC4004/ "%USERPROFILE%\AppData\Local\Temp\OnboardLogs"\RTDC4004\2017-04-24 --exclude "*" --recursive --include "*20170424*" &amp; "%USERPROFILE%\Documents\GitHub\mrs-test-scripts\Headless Mode &amp; Sideloading\WalkAndUnGZ.bat" "%USERPROFILE%\AppData\Local\Temp\OnboardLogs"\RTDC4004\2017-04-24</v>
      </c>
      <c r="AF148" s="77" t="str">
        <f t="shared" si="85"/>
        <v>"C:\Program Files (x86)\AstroGrep\AstroGrep.exe" /e /r /s /spath="%USERPROFILE%\AppData\Local\Temp\OnboardLogs" /stypes="app*4004*20170424*" /stext=" 03:.+((SYSTEM_STATE.+slice.+state.+changed )|(ment ac)|(multiple cpu faults)|(system.+state.+changed )|(\[timeout)|(PRM\|1\|D)|(kpr)|(kdp)|(\|lc)|(penalty))"</v>
      </c>
      <c r="AG148" s="1" t="str">
        <f t="shared" si="86"/>
        <v>EC</v>
      </c>
      <c r="AH148" s="81" t="str">
        <f t="shared" si="87"/>
        <v>"%USERPROFILE%\Documents\GitHub\eaglep3\Utilities\RefineRTDCRunTimes.py" --tripid 229-23 --locoid 4004 --swversion DE.1.0.9.0 --startMP 204:458 --initTime 2017-04-23T20:55:20 --startdatetime 2017-04-23T21:00:27 --delay 1 --endMP 204:233280 --enddatetime 2017-04-23T21:37:26 --enforcementcount 0 &gt;&gt;C:\Users\stu\Documents\GitHub\eaglep3-reporting\EC\2017-04-23-refined-times.txt</v>
      </c>
      <c r="AI148" s="99" t="str">
        <f t="shared" si="88"/>
        <v>echo {"issue":{"subject":"","project_id":79,"tracker_id":40,"status_id":1,"priority_id":2,"assigned_to_id":23,"start_date":"2017-04-23","description":"","custom_fields":[{"id":1,"name":"Subdivision","value":"EC"},{"id":4,"name":"Milepost","value":"23.328"},{"id":17,"name":"Train ID","value":"229-23"},{"id":16,"name":"Locomotive ID","value":"4004"},{"id":130,"name":"Impact","value":""},{"id":150,"name":"Time of Event (Mountain Time)","value":"21:37:26"},{"id":151,"name":"Denver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5" t="str">
        <f t="shared" si="89"/>
        <v>start /low /b %USERPROFILE%\Documents\GitHub\eaglep3\Utilities\DownloadLogsFromS3.py --loco 4004 --day 2017-04-23</v>
      </c>
      <c r="AN148" s="154" t="str">
        <f t="shared" si="90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03:37:26"},{"id":29,"name":"Sharepoint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x14ac:dyDescent="0.25">
      <c r="A149" s="32" t="s">
        <v>807</v>
      </c>
      <c r="B149" s="7">
        <v>4003</v>
      </c>
      <c r="C149" s="21" t="s">
        <v>213</v>
      </c>
      <c r="D149" s="21" t="s">
        <v>584</v>
      </c>
      <c r="E149" s="13">
        <v>42848.912164351852</v>
      </c>
      <c r="F149" s="13">
        <v>42848.914375</v>
      </c>
      <c r="G149" s="7">
        <v>1</v>
      </c>
      <c r="H149" s="21" t="s">
        <v>424</v>
      </c>
      <c r="I149" s="13">
        <v>42848.942025462966</v>
      </c>
      <c r="J149" s="7">
        <v>0</v>
      </c>
      <c r="K149" s="92" t="str">
        <f t="shared" si="74"/>
        <v>4003/4004</v>
      </c>
      <c r="L149" s="21" t="str">
        <f>VLOOKUP(A149,'Trips&amp;Operators'!$C$1:$G$99999,5,FALSE)</f>
        <v>CHANDLER KELVIN</v>
      </c>
      <c r="M149" s="6">
        <f t="shared" si="75"/>
        <v>2.7650462965539191E-2</v>
      </c>
      <c r="N149" s="7">
        <f t="shared" si="72"/>
        <v>39.816666670376435</v>
      </c>
      <c r="O149" s="7"/>
      <c r="P149" s="7"/>
      <c r="Q149" s="22"/>
      <c r="R149" s="200"/>
      <c r="S149" s="206">
        <f t="shared" si="73"/>
        <v>1</v>
      </c>
      <c r="T149" s="200" t="str">
        <f t="shared" si="76"/>
        <v>Southbound</v>
      </c>
      <c r="U149" s="200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01" t="str">
        <f t="shared" si="77"/>
        <v>https://d0f6bd738d7f1b3e5a7ca70fe4ff75f0.us-east-1.aws.found.io/app/kibana#/discover/Steve-Slow-Train-Analysis-(2080s-and-2083s)?_g=(refreshInterval:(display:Off,pause:!f,section:0,value:0),time:(from:'2017-04-23T20:53:31-0600',mode:absolute,to:'2017-04-23T23:36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9" s="202" t="str">
        <f t="shared" si="78"/>
        <v>N</v>
      </c>
      <c r="X149" s="202">
        <f t="shared" si="79"/>
        <v>1</v>
      </c>
      <c r="Y149" s="202">
        <f t="shared" si="80"/>
        <v>23.294699999999999</v>
      </c>
      <c r="Z149" s="202">
        <f t="shared" si="81"/>
        <v>1.43E-2</v>
      </c>
      <c r="AA149" s="202">
        <f t="shared" si="82"/>
        <v>23.2804</v>
      </c>
      <c r="AB149" s="57" t="e">
        <f>VLOOKUP(A149,Enforcements!$C$7:$K$13,8,0)</f>
        <v>#N/A</v>
      </c>
      <c r="AC149" s="53" t="e">
        <f>VLOOKUP(A149,Enforcements!$C$7:$E$13,3,0)</f>
        <v>#N/A</v>
      </c>
      <c r="AD149" s="54" t="str">
        <f t="shared" si="83"/>
        <v>0230-23</v>
      </c>
      <c r="AE149" s="80" t="str">
        <f t="shared" si="84"/>
        <v>aws s3 cp s3://rtdc.mdm.uploadarchive.raw/RTDC4003/ "%USERPROFILE%\AppData\Local\Temp\OnboardLogs"\RTDC4003\2017-04-23 --exclude "*" --recursive --include "*20170423*" &amp; "%USERPROFILE%\Documents\GitHub\mrs-test-scripts\Headless Mode &amp; Sideloading\WalkAndUnGZ.bat" "%USERPROFILE%\AppData\Local\Temp\OnboardLogs"\RTDC4003\2017-04-23 &amp; aws s3 cp s3://rtdc.mdm.uploadarchive.raw/RTDC4003/ "%USERPROFILE%\AppData\Local\Temp\OnboardLogs"\RTDC4003\2017-04-24 --exclude "*" --recursive --include "*20170424*" &amp; "%USERPROFILE%\Documents\GitHub\mrs-test-scripts\Headless Mode &amp; Sideloading\WalkAndUnGZ.bat" "%USERPROFILE%\AppData\Local\Temp\OnboardLogs"\RTDC4003\2017-04-24</v>
      </c>
      <c r="AF149" s="77" t="str">
        <f t="shared" si="85"/>
        <v>"C:\Program Files (x86)\AstroGrep\AstroGrep.exe" /e /r /s /spath="%USERPROFILE%\AppData\Local\Temp\OnboardLogs" /stypes="app*4003*20170424*" /stext=" 04:.+((SYSTEM_STATE.+slice.+state.+changed )|(ment ac)|(multiple cpu faults)|(system.+state.+changed )|(\[timeout)|(PRM\|1\|D)|(kpr)|(kdp)|(\|lc)|(penalty))"</v>
      </c>
      <c r="AG149" s="1" t="str">
        <f t="shared" si="86"/>
        <v>EC</v>
      </c>
      <c r="AH149" s="81" t="str">
        <f t="shared" si="87"/>
        <v>"%USERPROFILE%\Documents\GitHub\eaglep3\Utilities\RefineRTDCRunTimes.py" --tripid 230-23 --locoid 4003 --swversion DE.1.0.9.0 --startMP 204:232947 --initTime 2017-04-23T21:53:31 --startdatetime 2017-04-23T21:56:42 --delay 1 --endMP 204:143 --enddatetime 2017-04-23T22:36:31 --enforcementcount 0 &gt;&gt;C:\Users\stu\Documents\GitHub\eaglep3-reporting\EC\2017-04-23-refined-times.txt</v>
      </c>
      <c r="AI149" s="99" t="str">
        <f t="shared" si="88"/>
        <v>echo {"issue":{"subject":"","project_id":79,"tracker_id":40,"status_id":1,"priority_id":2,"assigned_to_id":23,"start_date":"2017-04-23","description":"","custom_fields":[{"id":1,"name":"Subdivision","value":"EC"},{"id":4,"name":"Milepost","value":"0.0143"},{"id":17,"name":"Train ID","value":"230-23"},{"id":16,"name":"Locomotive ID","value":"4003"},{"id":130,"name":"Impact","value":""},{"id":150,"name":"Time of Event (Mountain Time)","value":"22:36:31"},{"id":151,"name":"Denver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20"/>
      <c r="AK149" s="47"/>
      <c r="AL149" s="47"/>
      <c r="AM149" s="145" t="str">
        <f t="shared" si="89"/>
        <v>start /low /b %USERPROFILE%\Documents\GitHub\eaglep3\Utilities\DownloadLogsFromS3.py --loco 4003 --day 2017-04-23</v>
      </c>
      <c r="AN149" s="154" t="str">
        <f t="shared" si="90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04:36:31"},{"id":29,"name":"Sharepoint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0" spans="1:91" x14ac:dyDescent="0.25">
      <c r="A150" s="32" t="s">
        <v>803</v>
      </c>
      <c r="B150" s="7">
        <v>4046</v>
      </c>
      <c r="C150" s="21" t="s">
        <v>213</v>
      </c>
      <c r="D150" s="21" t="s">
        <v>572</v>
      </c>
      <c r="E150" s="13">
        <v>42848.883668981478</v>
      </c>
      <c r="F150" s="13">
        <v>42848.896064814813</v>
      </c>
      <c r="G150" s="7">
        <v>0</v>
      </c>
      <c r="H150" s="21" t="s">
        <v>436</v>
      </c>
      <c r="I150" s="13">
        <v>42848.920497685183</v>
      </c>
      <c r="J150" s="7">
        <v>0</v>
      </c>
      <c r="K150" s="92" t="str">
        <f t="shared" si="74"/>
        <v>4045/4046</v>
      </c>
      <c r="L150" s="21" t="str">
        <f>VLOOKUP(A150,'Trips&amp;Operators'!$C$1:$G$99999,5,FALSE)</f>
        <v>NEWELL JAMES</v>
      </c>
      <c r="M150" s="6">
        <f t="shared" si="75"/>
        <v>2.4432870370219462E-2</v>
      </c>
      <c r="N150" s="7">
        <f t="shared" si="72"/>
        <v>35.183333333116025</v>
      </c>
      <c r="O150" s="7"/>
      <c r="P150" s="7"/>
      <c r="Q150" s="22"/>
      <c r="R150" s="200"/>
      <c r="S150" s="206">
        <f t="shared" si="73"/>
        <v>1</v>
      </c>
      <c r="T150" s="200" t="str">
        <f t="shared" si="76"/>
        <v>NorthBound</v>
      </c>
      <c r="U150" s="200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01" t="str">
        <f t="shared" si="77"/>
        <v>https://d0f6bd738d7f1b3e5a7ca70fe4ff75f0.us-east-1.aws.found.io/app/kibana#/discover/Steve-Slow-Train-Analysis-(2080s-and-2083s)?_g=(refreshInterval:(display:Off,pause:!f,section:0,value:0),time:(from:'2017-04-23T20:12:29-0600',mode:absolute,to:'2017-04-23T23:05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0" s="202" t="str">
        <f t="shared" si="78"/>
        <v>N</v>
      </c>
      <c r="X150" s="202">
        <f t="shared" si="79"/>
        <v>1</v>
      </c>
      <c r="Y150" s="202">
        <f t="shared" si="80"/>
        <v>4.6399999999999997E-2</v>
      </c>
      <c r="Z150" s="202">
        <f t="shared" si="81"/>
        <v>23.331499999999998</v>
      </c>
      <c r="AA150" s="202">
        <f t="shared" si="82"/>
        <v>23.2851</v>
      </c>
      <c r="AB150" s="57" t="e">
        <f>VLOOKUP(A150,Enforcements!$C$7:$K$13,8,0)</f>
        <v>#N/A</v>
      </c>
      <c r="AC150" s="53" t="e">
        <f>VLOOKUP(A150,Enforcements!$C$7:$E$13,3,0)</f>
        <v>#N/A</v>
      </c>
      <c r="AD150" s="54" t="str">
        <f t="shared" si="83"/>
        <v>0231-23</v>
      </c>
      <c r="AE150" s="80" t="str">
        <f t="shared" si="84"/>
        <v>aws s3 cp s3://rtdc.mdm.uploadarchive.raw/RTDC4046/ "%USERPROFILE%\AppData\Local\Temp\OnboardLogs"\RTDC4046\2017-04-23 --exclude "*" --recursive --include "*20170423*" &amp; "%USERPROFILE%\Documents\GitHub\mrs-test-scripts\Headless Mode &amp; Sideloading\WalkAndUnGZ.bat" "%USERPROFILE%\AppData\Local\Temp\OnboardLogs"\RTDC4046\2017-04-23 &amp; aws s3 cp s3://rtdc.mdm.uploadarchive.raw/RTDC4046/ "%USERPROFILE%\AppData\Local\Temp\OnboardLogs"\RTDC4046\2017-04-24 --exclude "*" --recursive --include "*20170424*" &amp; "%USERPROFILE%\Documents\GitHub\mrs-test-scripts\Headless Mode &amp; Sideloading\WalkAndUnGZ.bat" "%USERPROFILE%\AppData\Local\Temp\OnboardLogs"\RTDC4046\2017-04-24</v>
      </c>
      <c r="AF150" s="77" t="str">
        <f t="shared" si="85"/>
        <v>"C:\Program Files (x86)\AstroGrep\AstroGrep.exe" /e /r /s /spath="%USERPROFILE%\AppData\Local\Temp\OnboardLogs" /stypes="app*4046*20170424*" /stext=" 04:.+((SYSTEM_STATE.+slice.+state.+changed )|(ment ac)|(multiple cpu faults)|(system.+state.+changed )|(\[timeout)|(PRM\|1\|D)|(kpr)|(kdp)|(\|lc)|(penalty))"</v>
      </c>
      <c r="AG150" s="1" t="str">
        <f t="shared" si="86"/>
        <v>EC</v>
      </c>
      <c r="AH150" s="81" t="str">
        <f t="shared" si="87"/>
        <v>"%USERPROFILE%\Documents\GitHub\eaglep3\Utilities\RefineRTDCRunTimes.py" --tripid 231-23 --locoid 4046 --swversion DE.1.0.9.0 --startMP 204:464 --initTime 2017-04-23T21:12:29 --startdatetime 2017-04-23T21:30:20 --delay 0 --endMP 204:233315 --enddatetime 2017-04-23T22:05:31 --enforcementcount 0 &gt;&gt;C:\Users\stu\Documents\GitHub\eaglep3-reporting\EC\2017-04-23-refined-times.txt</v>
      </c>
      <c r="AI150" s="99" t="str">
        <f t="shared" si="88"/>
        <v>echo {"issue":{"subject":"","project_id":79,"tracker_id":40,"status_id":1,"priority_id":2,"assigned_to_id":23,"start_date":"2017-04-23","description":"","custom_fields":[{"id":1,"name":"Subdivision","value":"EC"},{"id":4,"name":"Milepost","value":"23.3315"},{"id":17,"name":"Train ID","value":"231-23"},{"id":16,"name":"Locomotive ID","value":"4046"},{"id":130,"name":"Impact","value":""},{"id":150,"name":"Time of Event (Mountain Time)","value":"22:05:31"},{"id":151,"name":"Denver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20"/>
      <c r="AK150" s="47"/>
      <c r="AL150" s="47"/>
      <c r="AM150" s="145" t="str">
        <f t="shared" si="89"/>
        <v>start /low /b %USERPROFILE%\Documents\GitHub\eaglep3\Utilities\DownloadLogsFromS3.py --loco 4046 --day 2017-04-23</v>
      </c>
      <c r="AN150" s="154" t="str">
        <f t="shared" si="90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04:05:31"},{"id":29,"name":"Sharepoint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1" spans="1:91" x14ac:dyDescent="0.25">
      <c r="A151" s="32" t="s">
        <v>810</v>
      </c>
      <c r="B151" s="7">
        <v>4045</v>
      </c>
      <c r="C151" s="21" t="s">
        <v>213</v>
      </c>
      <c r="D151" s="21" t="s">
        <v>439</v>
      </c>
      <c r="E151" s="13">
        <v>42848.931493055556</v>
      </c>
      <c r="F151" s="13">
        <v>42848.934884259259</v>
      </c>
      <c r="G151" s="7">
        <v>1</v>
      </c>
      <c r="H151" s="21" t="s">
        <v>391</v>
      </c>
      <c r="I151" s="13">
        <v>42848.961770833332</v>
      </c>
      <c r="J151" s="7">
        <v>0</v>
      </c>
      <c r="K151" s="92" t="str">
        <f t="shared" si="74"/>
        <v>4045/4046</v>
      </c>
      <c r="L151" s="21" t="str">
        <f>VLOOKUP(A151,'Trips&amp;Operators'!$C$1:$G$99999,5,FALSE)</f>
        <v>NEWELL JAMES</v>
      </c>
      <c r="M151" s="6">
        <f t="shared" si="75"/>
        <v>2.6886574072705116E-2</v>
      </c>
      <c r="N151" s="7">
        <f t="shared" si="72"/>
        <v>38.716666664695367</v>
      </c>
      <c r="O151" s="7"/>
      <c r="P151" s="7"/>
      <c r="Q151" s="22"/>
      <c r="R151" s="200"/>
      <c r="S151" s="206">
        <f t="shared" si="73"/>
        <v>1</v>
      </c>
      <c r="T151" s="200" t="str">
        <f t="shared" si="76"/>
        <v>Southbound</v>
      </c>
      <c r="U151" s="200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01" t="str">
        <f t="shared" si="77"/>
        <v>https://d0f6bd738d7f1b3e5a7ca70fe4ff75f0.us-east-1.aws.found.io/app/kibana#/discover/Steve-Slow-Train-Analysis-(2080s-and-2083s)?_g=(refreshInterval:(display:Off,pause:!f,section:0,value:0),time:(from:'2017-04-23T21:21:21-0600',mode:absolute,to:'2017-04-24T00:04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1" s="202" t="str">
        <f t="shared" si="78"/>
        <v>N</v>
      </c>
      <c r="X151" s="202">
        <f t="shared" si="79"/>
        <v>1</v>
      </c>
      <c r="Y151" s="202">
        <f t="shared" si="80"/>
        <v>23.3</v>
      </c>
      <c r="Z151" s="202">
        <f t="shared" si="81"/>
        <v>1.4500000000000001E-2</v>
      </c>
      <c r="AA151" s="202">
        <f t="shared" si="82"/>
        <v>23.285499999999999</v>
      </c>
      <c r="AB151" s="57" t="e">
        <f>VLOOKUP(A151,Enforcements!$C$7:$K$13,8,0)</f>
        <v>#N/A</v>
      </c>
      <c r="AC151" s="53" t="e">
        <f>VLOOKUP(A151,Enforcements!$C$7:$E$13,3,0)</f>
        <v>#N/A</v>
      </c>
      <c r="AD151" s="54" t="str">
        <f t="shared" si="83"/>
        <v>0232-23</v>
      </c>
      <c r="AE151" s="80" t="str">
        <f t="shared" si="84"/>
        <v>aws s3 cp s3://rtdc.mdm.uploadarchive.raw/RTDC4045/ "%USERPROFILE%\AppData\Local\Temp\OnboardLogs"\RTDC4045\2017-04-23 --exclude "*" --recursive --include "*20170423*" &amp; "%USERPROFILE%\Documents\GitHub\mrs-test-scripts\Headless Mode &amp; Sideloading\WalkAndUnGZ.bat" "%USERPROFILE%\AppData\Local\Temp\OnboardLogs"\RTDC4045\2017-04-23 &amp; aws s3 cp s3://rtdc.mdm.uploadarchive.raw/RTDC4045/ "%USERPROFILE%\AppData\Local\Temp\OnboardLogs"\RTDC4045\2017-04-24 --exclude "*" --recursive --include "*20170424*" &amp; "%USERPROFILE%\Documents\GitHub\mrs-test-scripts\Headless Mode &amp; Sideloading\WalkAndUnGZ.bat" "%USERPROFILE%\AppData\Local\Temp\OnboardLogs"\RTDC4045\2017-04-24</v>
      </c>
      <c r="AF151" s="77" t="str">
        <f t="shared" si="85"/>
        <v>"C:\Program Files (x86)\AstroGrep\AstroGrep.exe" /e /r /s /spath="%USERPROFILE%\AppData\Local\Temp\OnboardLogs" /stypes="app*4045*20170424*" /stext=" 05:.+((SYSTEM_STATE.+slice.+state.+changed )|(ment ac)|(multiple cpu faults)|(system.+state.+changed )|(\[timeout)|(PRM\|1\|D)|(kpr)|(kdp)|(\|lc)|(penalty))"</v>
      </c>
      <c r="AG151" s="1" t="str">
        <f t="shared" si="86"/>
        <v>EC</v>
      </c>
      <c r="AH151" s="81" t="str">
        <f t="shared" si="87"/>
        <v>"%USERPROFILE%\Documents\GitHub\eaglep3\Utilities\RefineRTDCRunTimes.py" --tripid 232-23 --locoid 4045 --swversion DE.1.0.9.0 --startMP 204:233000 --initTime 2017-04-23T22:21:21 --startdatetime 2017-04-23T22:26:14 --delay 1 --endMP 204:145 --enddatetime 2017-04-23T23:04:57 --enforcementcount 0 &gt;&gt;C:\Users\stu\Documents\GitHub\eaglep3-reporting\EC\2017-04-23-refined-times.txt</v>
      </c>
      <c r="AI151" s="99" t="str">
        <f t="shared" si="88"/>
        <v>echo {"issue":{"subject":"","project_id":79,"tracker_id":40,"status_id":1,"priority_id":2,"assigned_to_id":23,"start_date":"2017-04-23","description":"","custom_fields":[{"id":1,"name":"Subdivision","value":"EC"},{"id":4,"name":"Milepost","value":"0.0145"},{"id":17,"name":"Train ID","value":"232-23"},{"id":16,"name":"Locomotive ID","value":"4045"},{"id":130,"name":"Impact","value":""},{"id":150,"name":"Time of Event (Mountain Time)","value":"23:04:57"},{"id":151,"name":"Denver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20"/>
      <c r="AK151" s="47"/>
      <c r="AL151" s="47"/>
      <c r="AM151" s="145" t="str">
        <f t="shared" si="89"/>
        <v>start /low /b %USERPROFILE%\Documents\GitHub\eaglep3\Utilities\DownloadLogsFromS3.py --loco 4045 --day 2017-04-23</v>
      </c>
      <c r="AN151" s="154" t="str">
        <f t="shared" si="90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05:04:57"},{"id":29,"name":"Sharepoint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2" spans="1:91" x14ac:dyDescent="0.25">
      <c r="A152" s="32" t="s">
        <v>806</v>
      </c>
      <c r="B152" s="7">
        <v>4016</v>
      </c>
      <c r="C152" s="21" t="s">
        <v>213</v>
      </c>
      <c r="D152" s="21" t="s">
        <v>426</v>
      </c>
      <c r="E152" s="13">
        <v>42848.902129629627</v>
      </c>
      <c r="F152" s="13">
        <v>42848.917199074072</v>
      </c>
      <c r="G152" s="7">
        <v>1</v>
      </c>
      <c r="H152" s="21" t="s">
        <v>973</v>
      </c>
      <c r="I152" s="13">
        <v>42848.943252314813</v>
      </c>
      <c r="J152" s="7">
        <v>0</v>
      </c>
      <c r="K152" s="92" t="str">
        <f t="shared" si="74"/>
        <v>4015/4016</v>
      </c>
      <c r="L152" s="21" t="str">
        <f>VLOOKUP(A152,'Trips&amp;Operators'!$C$1:$G$99999,5,FALSE)</f>
        <v>DUNCAN SHEILA</v>
      </c>
      <c r="M152" s="6">
        <f t="shared" si="75"/>
        <v>2.6053240741021E-2</v>
      </c>
      <c r="N152" s="7">
        <f t="shared" si="72"/>
        <v>37.51666666707024</v>
      </c>
      <c r="O152" s="7"/>
      <c r="P152" s="7"/>
      <c r="Q152" s="22"/>
      <c r="R152" s="200"/>
      <c r="S152" s="206">
        <f t="shared" si="73"/>
        <v>1</v>
      </c>
      <c r="T152" s="200" t="str">
        <f t="shared" si="76"/>
        <v>NorthBound</v>
      </c>
      <c r="U152" s="200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01" t="str">
        <f t="shared" si="77"/>
        <v>https://d0f6bd738d7f1b3e5a7ca70fe4ff75f0.us-east-1.aws.found.io/app/kibana#/discover/Steve-Slow-Train-Analysis-(2080s-and-2083s)?_g=(refreshInterval:(display:Off,pause:!f,section:0,value:0),time:(from:'2017-04-23T20:39:04-0600',mode:absolute,to:'2017-04-23T23:38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2" s="202" t="str">
        <f t="shared" si="78"/>
        <v>N</v>
      </c>
      <c r="X152" s="202">
        <f t="shared" si="79"/>
        <v>1</v>
      </c>
      <c r="Y152" s="202">
        <f t="shared" si="80"/>
        <v>4.4200000000000003E-2</v>
      </c>
      <c r="Z152" s="202">
        <f t="shared" si="81"/>
        <v>23.327200000000001</v>
      </c>
      <c r="AA152" s="202">
        <f t="shared" si="82"/>
        <v>23.283000000000001</v>
      </c>
      <c r="AB152" s="57" t="e">
        <f>VLOOKUP(A152,Enforcements!$C$7:$K$13,8,0)</f>
        <v>#N/A</v>
      </c>
      <c r="AC152" s="53" t="e">
        <f>VLOOKUP(A152,Enforcements!$C$7:$E$13,3,0)</f>
        <v>#N/A</v>
      </c>
      <c r="AD152" s="54" t="str">
        <f t="shared" si="83"/>
        <v>0233-23</v>
      </c>
      <c r="AE152" s="80" t="str">
        <f t="shared" si="84"/>
        <v>aws s3 cp s3://rtdc.mdm.uploadarchive.raw/RTDC4016/ "%USERPROFILE%\AppData\Local\Temp\OnboardLogs"\RTDC4016\2017-04-23 --exclude "*" --recursive --include "*20170423*" &amp; "%USERPROFILE%\Documents\GitHub\mrs-test-scripts\Headless Mode &amp; Sideloading\WalkAndUnGZ.bat" "%USERPROFILE%\AppData\Local\Temp\OnboardLogs"\RTDC4016\2017-04-23 &amp; aws s3 cp s3://rtdc.mdm.uploadarchive.raw/RTDC4016/ "%USERPROFILE%\AppData\Local\Temp\OnboardLogs"\RTDC4016\2017-04-24 --exclude "*" --recursive --include "*20170424*" &amp; "%USERPROFILE%\Documents\GitHub\mrs-test-scripts\Headless Mode &amp; Sideloading\WalkAndUnGZ.bat" "%USERPROFILE%\AppData\Local\Temp\OnboardLogs"\RTDC4016\2017-04-24</v>
      </c>
      <c r="AF152" s="77" t="str">
        <f t="shared" si="85"/>
        <v>"C:\Program Files (x86)\AstroGrep\AstroGrep.exe" /e /r /s /spath="%USERPROFILE%\AppData\Local\Temp\OnboardLogs" /stypes="app*4016*20170424*" /stext=" 04:.+((SYSTEM_STATE.+slice.+state.+changed )|(ment ac)|(multiple cpu faults)|(system.+state.+changed )|(\[timeout)|(PRM\|1\|D)|(kpr)|(kdp)|(\|lc)|(penalty))"</v>
      </c>
      <c r="AG152" s="1" t="str">
        <f t="shared" si="86"/>
        <v>EC</v>
      </c>
      <c r="AH152" s="81" t="str">
        <f t="shared" si="87"/>
        <v>"%USERPROFILE%\Documents\GitHub\eaglep3\Utilities\RefineRTDCRunTimes.py" --tripid 233-23 --locoid 4016 --swversion DE.1.0.9.0 --startMP 204:442 --initTime 2017-04-23T21:39:04 --startdatetime 2017-04-23T22:00:46 --delay 1 --endMP 204:233272 --enddatetime 2017-04-23T22:38:17 --enforcementcount 0 &gt;&gt;C:\Users\stu\Documents\GitHub\eaglep3-reporting\EC\2017-04-23-refined-times.txt</v>
      </c>
      <c r="AI152" s="99" t="str">
        <f t="shared" si="88"/>
        <v>echo {"issue":{"subject":"","project_id":79,"tracker_id":40,"status_id":1,"priority_id":2,"assigned_to_id":23,"start_date":"2017-04-23","description":"","custom_fields":[{"id":1,"name":"Subdivision","value":"EC"},{"id":4,"name":"Milepost","value":"23.3272"},{"id":17,"name":"Train ID","value":"233-23"},{"id":16,"name":"Locomotive ID","value":"4016"},{"id":130,"name":"Impact","value":""},{"id":150,"name":"Time of Event (Mountain Time)","value":"22:38:17"},{"id":151,"name":"Denver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20"/>
      <c r="AK152" s="47"/>
      <c r="AL152" s="47"/>
      <c r="AM152" s="145" t="str">
        <f t="shared" si="89"/>
        <v>start /low /b %USERPROFILE%\Documents\GitHub\eaglep3\Utilities\DownloadLogsFromS3.py --loco 4016 --day 2017-04-23</v>
      </c>
      <c r="AN152" s="154" t="str">
        <f t="shared" si="90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04:38:17"},{"id":29,"name":"Sharepoint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3" spans="1:91" x14ac:dyDescent="0.25">
      <c r="A153" s="32" t="s">
        <v>812</v>
      </c>
      <c r="B153" s="7">
        <v>4015</v>
      </c>
      <c r="C153" s="21" t="s">
        <v>213</v>
      </c>
      <c r="D153" s="21" t="s">
        <v>974</v>
      </c>
      <c r="E153" s="13">
        <v>42848.950208333335</v>
      </c>
      <c r="F153" s="13">
        <v>42848.955717592595</v>
      </c>
      <c r="G153" s="7">
        <v>1</v>
      </c>
      <c r="H153" s="21" t="s">
        <v>203</v>
      </c>
      <c r="I153" s="13">
        <v>42848.985347222224</v>
      </c>
      <c r="J153" s="7">
        <v>0</v>
      </c>
      <c r="K153" s="92" t="str">
        <f t="shared" si="74"/>
        <v>4015/4016</v>
      </c>
      <c r="L153" s="21" t="str">
        <f>VLOOKUP(A153,'Trips&amp;Operators'!$C$1:$G$99999,5,FALSE)</f>
        <v>DUNCAN SHEILA</v>
      </c>
      <c r="M153" s="6">
        <f t="shared" si="75"/>
        <v>2.9629629629198462E-2</v>
      </c>
      <c r="N153" s="7">
        <f t="shared" si="72"/>
        <v>42.666666666045785</v>
      </c>
      <c r="O153" s="7"/>
      <c r="P153" s="7"/>
      <c r="Q153" s="22"/>
      <c r="R153" s="200"/>
      <c r="S153" s="206">
        <f t="shared" si="73"/>
        <v>1</v>
      </c>
      <c r="T153" s="200" t="str">
        <f t="shared" si="76"/>
        <v>Southbound</v>
      </c>
      <c r="U153" s="200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01" t="str">
        <f t="shared" si="77"/>
        <v>https://d0f6bd738d7f1b3e5a7ca70fe4ff75f0.us-east-1.aws.found.io/app/kibana#/discover/Steve-Slow-Train-Analysis-(2080s-and-2083s)?_g=(refreshInterval:(display:Off,pause:!f,section:0,value:0),time:(from:'2017-04-23T21:48:18-0600',mode:absolute,to:'2017-04-24T00:38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3" s="202" t="str">
        <f t="shared" si="78"/>
        <v>N</v>
      </c>
      <c r="X153" s="202">
        <f t="shared" si="79"/>
        <v>1</v>
      </c>
      <c r="Y153" s="202">
        <f t="shared" si="80"/>
        <v>23.2974</v>
      </c>
      <c r="Z153" s="202">
        <f t="shared" si="81"/>
        <v>1.54E-2</v>
      </c>
      <c r="AA153" s="202">
        <f t="shared" si="82"/>
        <v>23.282</v>
      </c>
      <c r="AB153" s="57" t="e">
        <f>VLOOKUP(A153,Enforcements!$C$7:$K$13,8,0)</f>
        <v>#N/A</v>
      </c>
      <c r="AC153" s="53" t="e">
        <f>VLOOKUP(A153,Enforcements!$C$7:$E$13,3,0)</f>
        <v>#N/A</v>
      </c>
      <c r="AD153" s="54" t="str">
        <f t="shared" si="83"/>
        <v>0234-23</v>
      </c>
      <c r="AE153" s="80" t="str">
        <f t="shared" si="84"/>
        <v>aws s3 cp s3://rtdc.mdm.uploadarchive.raw/RTDC4015/ "%USERPROFILE%\AppData\Local\Temp\OnboardLogs"\RTDC4015\2017-04-23 --exclude "*" --recursive --include "*20170423*" &amp; "%USERPROFILE%\Documents\GitHub\mrs-test-scripts\Headless Mode &amp; Sideloading\WalkAndUnGZ.bat" "%USERPROFILE%\AppData\Local\Temp\OnboardLogs"\RTDC4015\2017-04-23 &amp; aws s3 cp s3://rtdc.mdm.uploadarchive.raw/RTDC4015/ "%USERPROFILE%\AppData\Local\Temp\OnboardLogs"\RTDC4015\2017-04-24 --exclude "*" --recursive --include "*20170424*" &amp; "%USERPROFILE%\Documents\GitHub\mrs-test-scripts\Headless Mode &amp; Sideloading\WalkAndUnGZ.bat" "%USERPROFILE%\AppData\Local\Temp\OnboardLogs"\RTDC4015\2017-04-24</v>
      </c>
      <c r="AF153" s="77" t="str">
        <f t="shared" si="85"/>
        <v>"C:\Program Files (x86)\AstroGrep\AstroGrep.exe" /e /r /s /spath="%USERPROFILE%\AppData\Local\Temp\OnboardLogs" /stypes="app*4015*20170424*" /stext=" 05:.+((SYSTEM_STATE.+slice.+state.+changed )|(ment ac)|(multiple cpu faults)|(system.+state.+changed )|(\[timeout)|(PRM\|1\|D)|(kpr)|(kdp)|(\|lc)|(penalty))"</v>
      </c>
      <c r="AG153" s="1" t="str">
        <f t="shared" si="86"/>
        <v>EC</v>
      </c>
      <c r="AH153" s="81" t="str">
        <f t="shared" si="87"/>
        <v>"%USERPROFILE%\Documents\GitHub\eaglep3\Utilities\RefineRTDCRunTimes.py" --tripid 234-23 --locoid 4015 --swversion DE.1.0.9.0 --startMP 204:232974 --initTime 2017-04-23T22:48:18 --startdatetime 2017-04-23T22:56:14 --delay 1 --endMP 204:154 --enddatetime 2017-04-23T23:38:54 --enforcementcount 0 &gt;&gt;C:\Users\stu\Documents\GitHub\eaglep3-reporting\EC\2017-04-23-refined-times.txt</v>
      </c>
      <c r="AI153" s="99" t="str">
        <f t="shared" si="88"/>
        <v>echo {"issue":{"subject":"","project_id":79,"tracker_id":40,"status_id":1,"priority_id":2,"assigned_to_id":23,"start_date":"2017-04-23","description":"","custom_fields":[{"id":1,"name":"Subdivision","value":"EC"},{"id":4,"name":"Milepost","value":"0.0154"},{"id":17,"name":"Train ID","value":"234-23"},{"id":16,"name":"Locomotive ID","value":"4015"},{"id":130,"name":"Impact","value":""},{"id":150,"name":"Time of Event (Mountain Time)","value":"23:38:54"},{"id":151,"name":"Denver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20"/>
      <c r="AK153" s="47"/>
      <c r="AL153" s="47"/>
      <c r="AM153" s="145" t="str">
        <f t="shared" si="89"/>
        <v>start /low /b %USERPROFILE%\Documents\GitHub\eaglep3\Utilities\DownloadLogsFromS3.py --loco 4015 --day 2017-04-23</v>
      </c>
      <c r="AN153" s="154" t="str">
        <f t="shared" si="90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05:38:54"},{"id":29,"name":"Sharepoint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4" spans="1:91" x14ac:dyDescent="0.25">
      <c r="A154" s="32" t="s">
        <v>808</v>
      </c>
      <c r="B154" s="7">
        <v>4022</v>
      </c>
      <c r="C154" s="21" t="s">
        <v>213</v>
      </c>
      <c r="D154" s="21" t="s">
        <v>388</v>
      </c>
      <c r="E154" s="13">
        <v>42848.927766203706</v>
      </c>
      <c r="F154" s="13">
        <v>42848.937974537039</v>
      </c>
      <c r="G154" s="7">
        <v>1</v>
      </c>
      <c r="H154" s="21" t="s">
        <v>570</v>
      </c>
      <c r="I154" s="13">
        <v>42848.964201388888</v>
      </c>
      <c r="J154" s="7">
        <v>0</v>
      </c>
      <c r="K154" s="92" t="str">
        <f t="shared" si="74"/>
        <v>4021/4022</v>
      </c>
      <c r="L154" s="21" t="str">
        <f>VLOOKUP(A154,'Trips&amp;Operators'!$C$1:$G$99999,5,FALSE)</f>
        <v>YANG JAN</v>
      </c>
      <c r="M154" s="6">
        <f t="shared" si="75"/>
        <v>2.622685184906004E-2</v>
      </c>
      <c r="N154" s="7">
        <f t="shared" si="72"/>
        <v>37.766666662646458</v>
      </c>
      <c r="O154" s="7"/>
      <c r="P154" s="7"/>
      <c r="Q154" s="22"/>
      <c r="R154" s="200"/>
      <c r="S154" s="206">
        <f t="shared" si="73"/>
        <v>1</v>
      </c>
      <c r="T154" s="200" t="str">
        <f t="shared" si="76"/>
        <v>NorthBound</v>
      </c>
      <c r="U154" s="200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01" t="str">
        <f t="shared" si="77"/>
        <v>https://d0f6bd738d7f1b3e5a7ca70fe4ff75f0.us-east-1.aws.found.io/app/kibana#/discover/Steve-Slow-Train-Analysis-(2080s-and-2083s)?_g=(refreshInterval:(display:Off,pause:!f,section:0,value:0),time:(from:'2017-04-23T21:15:59-0600',mode:absolute,to:'2017-04-24T00:08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4" s="202" t="str">
        <f t="shared" si="78"/>
        <v>N</v>
      </c>
      <c r="X154" s="202">
        <f t="shared" si="79"/>
        <v>1</v>
      </c>
      <c r="Y154" s="202">
        <f t="shared" si="80"/>
        <v>4.4600000000000001E-2</v>
      </c>
      <c r="Z154" s="202">
        <f t="shared" si="81"/>
        <v>23.330400000000001</v>
      </c>
      <c r="AA154" s="202">
        <f t="shared" si="82"/>
        <v>23.285800000000002</v>
      </c>
      <c r="AB154" s="57" t="e">
        <f>VLOOKUP(A154,Enforcements!$C$7:$K$13,8,0)</f>
        <v>#N/A</v>
      </c>
      <c r="AC154" s="53" t="e">
        <f>VLOOKUP(A154,Enforcements!$C$7:$E$13,3,0)</f>
        <v>#N/A</v>
      </c>
      <c r="AD154" s="54" t="str">
        <f t="shared" si="83"/>
        <v>0235-23</v>
      </c>
      <c r="AE154" s="80" t="str">
        <f t="shared" si="84"/>
        <v>aws s3 cp s3://rtdc.mdm.uploadarchive.raw/RTDC4022/ "%USERPROFILE%\AppData\Local\Temp\OnboardLogs"\RTDC4022\2017-04-23 --exclude "*" --recursive --include "*20170423*" &amp; "%USERPROFILE%\Documents\GitHub\mrs-test-scripts\Headless Mode &amp; Sideloading\WalkAndUnGZ.bat" "%USERPROFILE%\AppData\Local\Temp\OnboardLogs"\RTDC4022\2017-04-23 &amp; aws s3 cp s3://rtdc.mdm.uploadarchive.raw/RTDC4022/ "%USERPROFILE%\AppData\Local\Temp\OnboardLogs"\RTDC4022\2017-04-24 --exclude "*" --recursive --include "*20170424*" &amp; "%USERPROFILE%\Documents\GitHub\mrs-test-scripts\Headless Mode &amp; Sideloading\WalkAndUnGZ.bat" "%USERPROFILE%\AppData\Local\Temp\OnboardLogs"\RTDC4022\2017-04-24</v>
      </c>
      <c r="AF154" s="77" t="str">
        <f t="shared" si="85"/>
        <v>"C:\Program Files (x86)\AstroGrep\AstroGrep.exe" /e /r /s /spath="%USERPROFILE%\AppData\Local\Temp\OnboardLogs" /stypes="app*4022*20170424*" /stext=" 05:.+((SYSTEM_STATE.+slice.+state.+changed )|(ment ac)|(multiple cpu faults)|(system.+state.+changed )|(\[timeout)|(PRM\|1\|D)|(kpr)|(kdp)|(\|lc)|(penalty))"</v>
      </c>
      <c r="AG154" s="1" t="str">
        <f t="shared" si="86"/>
        <v>EC</v>
      </c>
      <c r="AH154" s="81" t="str">
        <f t="shared" si="87"/>
        <v>"%USERPROFILE%\Documents\GitHub\eaglep3\Utilities\RefineRTDCRunTimes.py" --tripid 235-23 --locoid 4022 --swversion DE.1.0.9.0 --startMP 204:446 --initTime 2017-04-23T22:15:59 --startdatetime 2017-04-23T22:30:41 --delay 1 --endMP 204:233304 --enddatetime 2017-04-23T23:08:27 --enforcementcount 0 &gt;&gt;C:\Users\stu\Documents\GitHub\eaglep3-reporting\EC\2017-04-23-refined-times.txt</v>
      </c>
      <c r="AI154" s="99" t="str">
        <f t="shared" si="88"/>
        <v>echo {"issue":{"subject":"","project_id":79,"tracker_id":40,"status_id":1,"priority_id":2,"assigned_to_id":23,"start_date":"2017-04-23","description":"","custom_fields":[{"id":1,"name":"Subdivision","value":"EC"},{"id":4,"name":"Milepost","value":"23.3304"},{"id":17,"name":"Train ID","value":"235-23"},{"id":16,"name":"Locomotive ID","value":"4022"},{"id":130,"name":"Impact","value":""},{"id":150,"name":"Time of Event (Mountain Time)","value":"23:08:27"},{"id":151,"name":"Denver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20"/>
      <c r="AK154" s="47"/>
      <c r="AL154" s="47"/>
      <c r="AM154" s="145" t="str">
        <f t="shared" si="89"/>
        <v>start /low /b %USERPROFILE%\Documents\GitHub\eaglep3\Utilities\DownloadLogsFromS3.py --loco 4022 --day 2017-04-23</v>
      </c>
      <c r="AN154" s="154" t="str">
        <f t="shared" si="90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05:08:27"},{"id":29,"name":"Sharepoint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5" spans="1:91" s="20" customFormat="1" x14ac:dyDescent="0.25">
      <c r="A155" s="32" t="s">
        <v>814</v>
      </c>
      <c r="B155" s="7">
        <v>4021</v>
      </c>
      <c r="C155" s="21" t="s">
        <v>213</v>
      </c>
      <c r="D155" s="21" t="s">
        <v>589</v>
      </c>
      <c r="E155" s="13">
        <v>42848.971504629626</v>
      </c>
      <c r="F155" s="13">
        <v>42848.976666666669</v>
      </c>
      <c r="G155" s="7">
        <v>1</v>
      </c>
      <c r="H155" s="21" t="s">
        <v>203</v>
      </c>
      <c r="I155" s="13">
        <v>42849.00439814815</v>
      </c>
      <c r="J155" s="7">
        <v>0</v>
      </c>
      <c r="K155" s="92" t="str">
        <f t="shared" si="74"/>
        <v>4021/4022</v>
      </c>
      <c r="L155" s="21" t="str">
        <f>VLOOKUP(A155,'Trips&amp;Operators'!$C$1:$G$99999,5,FALSE)</f>
        <v>YANG JAN</v>
      </c>
      <c r="M155" s="6">
        <f t="shared" si="75"/>
        <v>2.7731481481168885E-2</v>
      </c>
      <c r="N155" s="7">
        <f t="shared" ref="N155:N192" si="91">24*60*SUM($M155:$M155)</f>
        <v>39.933333332883194</v>
      </c>
      <c r="O155" s="7"/>
      <c r="P155" s="7"/>
      <c r="Q155" s="22"/>
      <c r="R155" s="200"/>
      <c r="S155" s="206">
        <f t="shared" ref="S155:S192" si="92">SUM(U155:U155)/IF(AG155="EC",12,1)</f>
        <v>1</v>
      </c>
      <c r="T155" s="200" t="str">
        <f t="shared" si="76"/>
        <v>Southbound</v>
      </c>
      <c r="U155" s="200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01" t="str">
        <f t="shared" si="77"/>
        <v>https://d0f6bd738d7f1b3e5a7ca70fe4ff75f0.us-east-1.aws.found.io/app/kibana#/discover/Steve-Slow-Train-Analysis-(2080s-and-2083s)?_g=(refreshInterval:(display:Off,pause:!f,section:0,value:0),time:(from:'2017-04-23T22:18:58-0600',mode:absolute,to:'2017-04-24T01:06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55" s="202" t="str">
        <f t="shared" si="78"/>
        <v>N</v>
      </c>
      <c r="X155" s="202">
        <f t="shared" si="79"/>
        <v>1</v>
      </c>
      <c r="Y155" s="202">
        <f t="shared" si="80"/>
        <v>23.299299999999999</v>
      </c>
      <c r="Z155" s="202">
        <f t="shared" si="81"/>
        <v>1.54E-2</v>
      </c>
      <c r="AA155" s="202">
        <f t="shared" si="82"/>
        <v>23.283899999999999</v>
      </c>
      <c r="AB155" s="57" t="e">
        <f>VLOOKUP(A155,Enforcements!$C$7:$K$13,8,0)</f>
        <v>#N/A</v>
      </c>
      <c r="AC155" s="53" t="e">
        <f>VLOOKUP(A155,Enforcements!$C$7:$E$13,3,0)</f>
        <v>#N/A</v>
      </c>
      <c r="AD155" s="54" t="str">
        <f t="shared" si="83"/>
        <v>0236-23</v>
      </c>
      <c r="AE155" s="80" t="str">
        <f t="shared" si="84"/>
        <v>aws s3 cp s3://rtdc.mdm.uploadarchive.raw/RTDC4021/ "%USERPROFILE%\AppData\Local\Temp\OnboardLogs"\RTDC4021\2017-04-23 --exclude "*" --recursive --include "*20170423*" &amp; "%USERPROFILE%\Documents\GitHub\mrs-test-scripts\Headless Mode &amp; Sideloading\WalkAndUnGZ.bat" "%USERPROFILE%\AppData\Local\Temp\OnboardLogs"\RTDC4021\2017-04-23 &amp; aws s3 cp s3://rtdc.mdm.uploadarchive.raw/RTDC4021/ "%USERPROFILE%\AppData\Local\Temp\OnboardLogs"\RTDC4021\2017-04-24 --exclude "*" --recursive --include "*20170424*" &amp; "%USERPROFILE%\Documents\GitHub\mrs-test-scripts\Headless Mode &amp; Sideloading\WalkAndUnGZ.bat" "%USERPROFILE%\AppData\Local\Temp\OnboardLogs"\RTDC4021\2017-04-24</v>
      </c>
      <c r="AF155" s="77" t="str">
        <f t="shared" si="85"/>
        <v>"C:\Program Files (x86)\AstroGrep\AstroGrep.exe" /e /r /s /spath="%USERPROFILE%\AppData\Local\Temp\OnboardLogs" /stypes="app*4021*20170424*" /stext=" 06:.+((SYSTEM_STATE.+slice.+state.+changed )|(ment ac)|(multiple cpu faults)|(system.+state.+changed )|(\[timeout)|(PRM\|1\|D)|(kpr)|(kdp)|(\|lc)|(penalty))"</v>
      </c>
      <c r="AG155" s="1" t="str">
        <f t="shared" si="86"/>
        <v>EC</v>
      </c>
      <c r="AH155" s="81" t="str">
        <f t="shared" si="87"/>
        <v>"%USERPROFILE%\Documents\GitHub\eaglep3\Utilities\RefineRTDCRunTimes.py" --tripid 236-23 --locoid 4021 --swversion DE.1.0.9.0 --startMP 204:232993 --initTime 2017-04-23T23:18:58 --startdatetime 2017-04-23T23:26:24 --delay 1 --endMP 204:154 --enddatetime 2017-04-24T00:06:20 --enforcementcount 0 &gt;&gt;C:\Users\stu\Documents\GitHub\eaglep3-reporting\EC\2017-04-23-refined-times.txt</v>
      </c>
      <c r="AI155" s="99" t="str">
        <f t="shared" si="88"/>
        <v>echo {"issue":{"subject":"","project_id":79,"tracker_id":40,"status_id":1,"priority_id":2,"assigned_to_id":23,"start_date":"2017-04-24","description":"","custom_fields":[{"id":1,"name":"Subdivision","value":"EC"},{"id":4,"name":"Milepost","value":"0.0154"},{"id":17,"name":"Train ID","value":"236-23"},{"id":16,"name":"Locomotive ID","value":"4021"},{"id":130,"name":"Impact","value":""},{"id":150,"name":"Time of Event (Mountain Time)","value":"00:06:20"},{"id":151,"name":"Denver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5" t="str">
        <f t="shared" si="89"/>
        <v>start /low /b %USERPROFILE%\Documents\GitHub\eaglep3\Utilities\DownloadLogsFromS3.py --loco 4021 --day 2017-04-23</v>
      </c>
      <c r="AN155" s="154" t="str">
        <f t="shared" si="90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06:06:20"},{"id":29,"name":"Sharepoint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x14ac:dyDescent="0.25">
      <c r="A156" s="32" t="s">
        <v>813</v>
      </c>
      <c r="B156" s="7">
        <v>4004</v>
      </c>
      <c r="C156" s="21" t="s">
        <v>213</v>
      </c>
      <c r="D156" s="21" t="s">
        <v>386</v>
      </c>
      <c r="E156" s="13">
        <v>42848.957754629628</v>
      </c>
      <c r="F156" s="13">
        <v>42848.95890046296</v>
      </c>
      <c r="G156" s="7">
        <v>1</v>
      </c>
      <c r="H156" s="21" t="s">
        <v>975</v>
      </c>
      <c r="I156" s="13">
        <v>42848.983923611115</v>
      </c>
      <c r="J156" s="7">
        <v>0</v>
      </c>
      <c r="K156" s="92" t="str">
        <f t="shared" si="74"/>
        <v>4003/4004</v>
      </c>
      <c r="L156" s="21" t="str">
        <f>VLOOKUP(A156,'Trips&amp;Operators'!$C$1:$G$99999,5,FALSE)</f>
        <v>CHANDLER KELVIN</v>
      </c>
      <c r="M156" s="6">
        <f t="shared" si="75"/>
        <v>2.5023148155014496E-2</v>
      </c>
      <c r="N156" s="7">
        <f t="shared" si="91"/>
        <v>36.033333343220875</v>
      </c>
      <c r="O156" s="7"/>
      <c r="P156" s="7"/>
      <c r="Q156" s="22"/>
      <c r="R156" s="200"/>
      <c r="S156" s="206">
        <f t="shared" si="92"/>
        <v>1</v>
      </c>
      <c r="T156" s="200" t="str">
        <f t="shared" si="76"/>
        <v>NorthBound</v>
      </c>
      <c r="U156" s="200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01" t="str">
        <f t="shared" si="77"/>
        <v>https://d0f6bd738d7f1b3e5a7ca70fe4ff75f0.us-east-1.aws.found.io/app/kibana#/discover/Steve-Slow-Train-Analysis-(2080s-and-2083s)?_g=(refreshInterval:(display:Off,pause:!f,section:0,value:0),time:(from:'2017-04-23T21:59:10-0600',mode:absolute,to:'2017-04-24T00:36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6" s="202" t="str">
        <f t="shared" si="78"/>
        <v>N</v>
      </c>
      <c r="X156" s="202">
        <f t="shared" si="79"/>
        <v>1</v>
      </c>
      <c r="Y156" s="202">
        <f t="shared" si="80"/>
        <v>4.6199999999999998E-2</v>
      </c>
      <c r="Z156" s="202">
        <f t="shared" si="81"/>
        <v>23.328499999999998</v>
      </c>
      <c r="AA156" s="202">
        <f t="shared" si="82"/>
        <v>23.282299999999999</v>
      </c>
      <c r="AB156" s="57" t="e">
        <f>VLOOKUP(A156,Enforcements!$C$7:$K$13,8,0)</f>
        <v>#N/A</v>
      </c>
      <c r="AC156" s="53" t="e">
        <f>VLOOKUP(A156,Enforcements!$C$7:$E$13,3,0)</f>
        <v>#N/A</v>
      </c>
      <c r="AD156" s="54" t="str">
        <f t="shared" si="83"/>
        <v>0237-23</v>
      </c>
      <c r="AE156" s="80" t="str">
        <f t="shared" si="84"/>
        <v>aws s3 cp s3://rtdc.mdm.uploadarchive.raw/RTDC4004/ "%USERPROFILE%\AppData\Local\Temp\OnboardLogs"\RTDC4004\2017-04-23 --exclude "*" --recursive --include "*20170423*" &amp; "%USERPROFILE%\Documents\GitHub\mrs-test-scripts\Headless Mode &amp; Sideloading\WalkAndUnGZ.bat" "%USERPROFILE%\AppData\Local\Temp\OnboardLogs"\RTDC4004\2017-04-23 &amp; aws s3 cp s3://rtdc.mdm.uploadarchive.raw/RTDC4004/ "%USERPROFILE%\AppData\Local\Temp\OnboardLogs"\RTDC4004\2017-04-24 --exclude "*" --recursive --include "*20170424*" &amp; "%USERPROFILE%\Documents\GitHub\mrs-test-scripts\Headless Mode &amp; Sideloading\WalkAndUnGZ.bat" "%USERPROFILE%\AppData\Local\Temp\OnboardLogs"\RTDC4004\2017-04-24</v>
      </c>
      <c r="AF156" s="77" t="str">
        <f t="shared" si="85"/>
        <v>"C:\Program Files (x86)\AstroGrep\AstroGrep.exe" /e /r /s /spath="%USERPROFILE%\AppData\Local\Temp\OnboardLogs" /stypes="app*4004*20170424*" /stext=" 05:.+((SYSTEM_STATE.+slice.+state.+changed )|(ment ac)|(multiple cpu faults)|(system.+state.+changed )|(\[timeout)|(PRM\|1\|D)|(kpr)|(kdp)|(\|lc)|(penalty))"</v>
      </c>
      <c r="AG156" s="1" t="str">
        <f t="shared" si="86"/>
        <v>EC</v>
      </c>
      <c r="AH156" s="81" t="str">
        <f t="shared" si="87"/>
        <v>"%USERPROFILE%\Documents\GitHub\eaglep3\Utilities\RefineRTDCRunTimes.py" --tripid 237-23 --locoid 4004 --swversion DE.1.0.9.0 --startMP 204:462 --initTime 2017-04-23T22:59:10 --startdatetime 2017-04-23T23:00:49 --delay 1 --endMP 204:233285 --enddatetime 2017-04-23T23:36:51 --enforcementcount 0 &gt;&gt;C:\Users\stu\Documents\GitHub\eaglep3-reporting\EC\2017-04-23-refined-times.txt</v>
      </c>
      <c r="AI156" s="99" t="str">
        <f t="shared" si="88"/>
        <v>echo {"issue":{"subject":"","project_id":79,"tracker_id":40,"status_id":1,"priority_id":2,"assigned_to_id":23,"start_date":"2017-04-23","description":"","custom_fields":[{"id":1,"name":"Subdivision","value":"EC"},{"id":4,"name":"Milepost","value":"23.3285"},{"id":17,"name":"Train ID","value":"237-23"},{"id":16,"name":"Locomotive ID","value":"4004"},{"id":130,"name":"Impact","value":""},{"id":150,"name":"Time of Event (Mountain Time)","value":"23:36:51"},{"id":151,"name":"Denver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7"/>
      <c r="AL156" s="47"/>
      <c r="AM156" s="145" t="str">
        <f t="shared" si="89"/>
        <v>start /low /b %USERPROFILE%\Documents\GitHub\eaglep3\Utilities\DownloadLogsFromS3.py --loco 4004 --day 2017-04-23</v>
      </c>
      <c r="AN156" s="154" t="str">
        <f t="shared" si="90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05:36:51"},{"id":29,"name":"Sharepoint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7" spans="1:91" s="20" customFormat="1" x14ac:dyDescent="0.25">
      <c r="A157" s="32" t="s">
        <v>817</v>
      </c>
      <c r="B157" s="7">
        <v>4003</v>
      </c>
      <c r="C157" s="21" t="s">
        <v>213</v>
      </c>
      <c r="D157" s="21" t="s">
        <v>976</v>
      </c>
      <c r="E157" s="13">
        <v>42848.993333333332</v>
      </c>
      <c r="F157" s="13">
        <v>42848.997511574074</v>
      </c>
      <c r="G157" s="7">
        <v>0</v>
      </c>
      <c r="H157" s="21" t="s">
        <v>461</v>
      </c>
      <c r="I157" s="13">
        <v>42849.025416666664</v>
      </c>
      <c r="J157" s="7">
        <v>0</v>
      </c>
      <c r="K157" s="92" t="str">
        <f t="shared" si="74"/>
        <v>4003/4004</v>
      </c>
      <c r="L157" s="21" t="str">
        <f>VLOOKUP(A157,'Trips&amp;Operators'!$C$1:$G$99999,5,FALSE)</f>
        <v>CHANDLER KELVIN</v>
      </c>
      <c r="M157" s="6">
        <f t="shared" si="75"/>
        <v>2.7905092589207925E-2</v>
      </c>
      <c r="N157" s="7">
        <f t="shared" si="91"/>
        <v>40.183333328459412</v>
      </c>
      <c r="O157" s="7"/>
      <c r="P157" s="7"/>
      <c r="Q157" s="22"/>
      <c r="R157" s="200"/>
      <c r="S157" s="206">
        <f t="shared" si="92"/>
        <v>1</v>
      </c>
      <c r="T157" s="200" t="str">
        <f t="shared" si="76"/>
        <v>Southbound</v>
      </c>
      <c r="U157" s="200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01" t="str">
        <f t="shared" si="77"/>
        <v>https://d0f6bd738d7f1b3e5a7ca70fe4ff75f0.us-east-1.aws.found.io/app/kibana#/discover/Steve-Slow-Train-Analysis-(2080s-and-2083s)?_g=(refreshInterval:(display:Off,pause:!f,section:0,value:0),time:(from:'2017-04-23T22:50:24-0600',mode:absolute,to:'2017-04-24T01:36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7" s="202" t="str">
        <f t="shared" si="78"/>
        <v>N</v>
      </c>
      <c r="X157" s="202">
        <f t="shared" si="79"/>
        <v>1</v>
      </c>
      <c r="Y157" s="202">
        <f t="shared" si="80"/>
        <v>23.297000000000001</v>
      </c>
      <c r="Z157" s="202">
        <f t="shared" si="81"/>
        <v>1.6500000000000001E-2</v>
      </c>
      <c r="AA157" s="202">
        <f t="shared" si="82"/>
        <v>23.2805</v>
      </c>
      <c r="AB157" s="57" t="e">
        <f>VLOOKUP(A157,Enforcements!$C$7:$K$13,8,0)</f>
        <v>#N/A</v>
      </c>
      <c r="AC157" s="53" t="e">
        <f>VLOOKUP(A157,Enforcements!$C$7:$E$13,3,0)</f>
        <v>#N/A</v>
      </c>
      <c r="AD157" s="54" t="str">
        <f t="shared" si="83"/>
        <v>0238-23</v>
      </c>
      <c r="AE157" s="80" t="str">
        <f t="shared" si="84"/>
        <v>aws s3 cp s3://rtdc.mdm.uploadarchive.raw/RTDC4003/ "%USERPROFILE%\AppData\Local\Temp\OnboardLogs"\RTDC4003\2017-04-23 --exclude "*" --recursive --include "*20170423*" &amp; "%USERPROFILE%\Documents\GitHub\mrs-test-scripts\Headless Mode &amp; Sideloading\WalkAndUnGZ.bat" "%USERPROFILE%\AppData\Local\Temp\OnboardLogs"\RTDC4003\2017-04-23 &amp; aws s3 cp s3://rtdc.mdm.uploadarchive.raw/RTDC4003/ "%USERPROFILE%\AppData\Local\Temp\OnboardLogs"\RTDC4003\2017-04-24 --exclude "*" --recursive --include "*20170424*" &amp; "%USERPROFILE%\Documents\GitHub\mrs-test-scripts\Headless Mode &amp; Sideloading\WalkAndUnGZ.bat" "%USERPROFILE%\AppData\Local\Temp\OnboardLogs"\RTDC4003\2017-04-24</v>
      </c>
      <c r="AF157" s="77" t="str">
        <f t="shared" si="85"/>
        <v>"C:\Program Files (x86)\AstroGrep\AstroGrep.exe" /e /r /s /spath="%USERPROFILE%\AppData\Local\Temp\OnboardLogs" /stypes="app*4003*20170424*" /stext=" 06:.+((SYSTEM_STATE.+slice.+state.+changed )|(ment ac)|(multiple cpu faults)|(system.+state.+changed )|(\[timeout)|(PRM\|1\|D)|(kpr)|(kdp)|(\|lc)|(penalty))"</v>
      </c>
      <c r="AG157" s="1" t="str">
        <f t="shared" si="86"/>
        <v>EC</v>
      </c>
      <c r="AH157" s="81" t="str">
        <f t="shared" si="87"/>
        <v>"%USERPROFILE%\Documents\GitHub\eaglep3\Utilities\RefineRTDCRunTimes.py" --tripid 238-23 --locoid 4003 --swversion DE.1.0.9.0 --startMP 204:232970 --initTime 2017-04-23T23:50:24 --startdatetime 2017-04-23T23:56:25 --delay 0 --endMP 204:165 --enddatetime 2017-04-24T00:36:36 --enforcementcount 0 &gt;&gt;C:\Users\stu\Documents\GitHub\eaglep3-reporting\EC\2017-04-23-refined-times.txt</v>
      </c>
      <c r="AI157" s="99" t="str">
        <f t="shared" si="88"/>
        <v>echo {"issue":{"subject":"","project_id":79,"tracker_id":40,"status_id":1,"priority_id":2,"assigned_to_id":23,"start_date":"2017-04-24","description":"","custom_fields":[{"id":1,"name":"Subdivision","value":"EC"},{"id":4,"name":"Milepost","value":"0.0165"},{"id":17,"name":"Train ID","value":"238-23"},{"id":16,"name":"Locomotive ID","value":"4003"},{"id":130,"name":"Impact","value":""},{"id":150,"name":"Time of Event (Mountain Time)","value":"00:36:36"},{"id":151,"name":"Denver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5" t="str">
        <f t="shared" si="89"/>
        <v>start /low /b %USERPROFILE%\Documents\GitHub\eaglep3\Utilities\DownloadLogsFromS3.py --loco 4003 --day 2017-04-23</v>
      </c>
      <c r="AN157" s="154" t="str">
        <f t="shared" si="90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06:36:36"},{"id":29,"name":"Sharepoint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815</v>
      </c>
      <c r="B158" s="7">
        <v>4046</v>
      </c>
      <c r="C158" s="21" t="s">
        <v>213</v>
      </c>
      <c r="D158" s="21" t="s">
        <v>585</v>
      </c>
      <c r="E158" s="13">
        <v>42848.976203703707</v>
      </c>
      <c r="F158" s="13">
        <v>42848.979386574072</v>
      </c>
      <c r="G158" s="7">
        <v>1</v>
      </c>
      <c r="H158" s="21" t="s">
        <v>975</v>
      </c>
      <c r="I158" s="13">
        <v>42849.003796296296</v>
      </c>
      <c r="J158" s="7">
        <v>0</v>
      </c>
      <c r="K158" s="92" t="str">
        <f t="shared" si="74"/>
        <v>4045/4046</v>
      </c>
      <c r="L158" s="21" t="str">
        <f>VLOOKUP(A158,'Trips&amp;Operators'!$C$1:$G$99999,5,FALSE)</f>
        <v>NEWELL JAMES</v>
      </c>
      <c r="M158" s="6">
        <f t="shared" si="75"/>
        <v>2.4409722223936114E-2</v>
      </c>
      <c r="N158" s="7">
        <f t="shared" si="91"/>
        <v>35.150000002468005</v>
      </c>
      <c r="O158" s="7"/>
      <c r="P158" s="7"/>
      <c r="Q158" s="22"/>
      <c r="R158" s="200"/>
      <c r="S158" s="206">
        <f t="shared" si="92"/>
        <v>1</v>
      </c>
      <c r="T158" s="200" t="str">
        <f t="shared" si="76"/>
        <v>NorthBound</v>
      </c>
      <c r="U158" s="200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01" t="str">
        <f t="shared" si="77"/>
        <v>https://d0f6bd738d7f1b3e5a7ca70fe4ff75f0.us-east-1.aws.found.io/app/kibana#/discover/Steve-Slow-Train-Analysis-(2080s-and-2083s)?_g=(refreshInterval:(display:Off,pause:!f,section:0,value:0),time:(from:'2017-04-23T22:25:44-0600',mode:absolute,to:'2017-04-24T01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8" s="202" t="str">
        <f t="shared" si="78"/>
        <v>N</v>
      </c>
      <c r="X158" s="202">
        <f t="shared" si="79"/>
        <v>1</v>
      </c>
      <c r="Y158" s="202">
        <f t="shared" si="80"/>
        <v>4.9099999999999998E-2</v>
      </c>
      <c r="Z158" s="202">
        <f t="shared" si="81"/>
        <v>23.328499999999998</v>
      </c>
      <c r="AA158" s="202">
        <f t="shared" si="82"/>
        <v>23.279399999999999</v>
      </c>
      <c r="AB158" s="57" t="e">
        <f>VLOOKUP(A158,Enforcements!$C$7:$K$13,8,0)</f>
        <v>#N/A</v>
      </c>
      <c r="AC158" s="53" t="e">
        <f>VLOOKUP(A158,Enforcements!$C$7:$E$13,3,0)</f>
        <v>#N/A</v>
      </c>
      <c r="AD158" s="54" t="str">
        <f t="shared" si="83"/>
        <v>0239-23</v>
      </c>
      <c r="AE158" s="80" t="str">
        <f t="shared" si="84"/>
        <v>aws s3 cp s3://rtdc.mdm.uploadarchive.raw/RTDC4046/ "%USERPROFILE%\AppData\Local\Temp\OnboardLogs"\RTDC4046\2017-04-23 --exclude "*" --recursive --include "*20170423*" &amp; "%USERPROFILE%\Documents\GitHub\mrs-test-scripts\Headless Mode &amp; Sideloading\WalkAndUnGZ.bat" "%USERPROFILE%\AppData\Local\Temp\OnboardLogs"\RTDC4046\2017-04-23 &amp; aws s3 cp s3://rtdc.mdm.uploadarchive.raw/RTDC4046/ "%USERPROFILE%\AppData\Local\Temp\OnboardLogs"\RTDC4046\2017-04-24 --exclude "*" --recursive --include "*20170424*" &amp; "%USERPROFILE%\Documents\GitHub\mrs-test-scripts\Headless Mode &amp; Sideloading\WalkAndUnGZ.bat" "%USERPROFILE%\AppData\Local\Temp\OnboardLogs"\RTDC4046\2017-04-24</v>
      </c>
      <c r="AF158" s="77" t="str">
        <f t="shared" si="85"/>
        <v>"C:\Program Files (x86)\AstroGrep\AstroGrep.exe" /e /r /s /spath="%USERPROFILE%\AppData\Local\Temp\OnboardLogs" /stypes="app*4046*20170424*" /stext=" 06:.+((SYSTEM_STATE.+slice.+state.+changed )|(ment ac)|(multiple cpu faults)|(system.+state.+changed )|(\[timeout)|(PRM\|1\|D)|(kpr)|(kdp)|(\|lc)|(penalty))"</v>
      </c>
      <c r="AG158" s="1" t="str">
        <f t="shared" si="86"/>
        <v>EC</v>
      </c>
      <c r="AH158" s="81" t="str">
        <f t="shared" si="87"/>
        <v>"%USERPROFILE%\Documents\GitHub\eaglep3\Utilities\RefineRTDCRunTimes.py" --tripid 239-23 --locoid 4046 --swversion DE.1.0.9.0 --startMP 204:491 --initTime 2017-04-23T23:25:44 --startdatetime 2017-04-23T23:30:19 --delay 1 --endMP 204:233285 --enddatetime 2017-04-24T00:05:28 --enforcementcount 0 &gt;&gt;C:\Users\stu\Documents\GitHub\eaglep3-reporting\EC\2017-04-23-refined-times.txt</v>
      </c>
      <c r="AI158" s="99" t="str">
        <f t="shared" si="88"/>
        <v>echo {"issue":{"subject":"","project_id":79,"tracker_id":40,"status_id":1,"priority_id":2,"assigned_to_id":23,"start_date":"2017-04-24","description":"","custom_fields":[{"id":1,"name":"Subdivision","value":"EC"},{"id":4,"name":"Milepost","value":"23.3285"},{"id":17,"name":"Train ID","value":"239-23"},{"id":16,"name":"Locomotive ID","value":"4046"},{"id":130,"name":"Impact","value":""},{"id":150,"name":"Time of Event (Mountain Time)","value":"00:05:28"},{"id":151,"name":"Denver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5" t="str">
        <f t="shared" si="89"/>
        <v>start /low /b %USERPROFILE%\Documents\GitHub\eaglep3\Utilities\DownloadLogsFromS3.py --loco 4046 --day 2017-04-23</v>
      </c>
      <c r="AN158" s="154" t="str">
        <f t="shared" si="90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06:05:28"},{"id":29,"name":"Sharepoint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2" t="s">
        <v>819</v>
      </c>
      <c r="B159" s="7">
        <v>4045</v>
      </c>
      <c r="C159" s="21" t="s">
        <v>213</v>
      </c>
      <c r="D159" s="21" t="s">
        <v>475</v>
      </c>
      <c r="E159" s="13">
        <v>42849.014907407407</v>
      </c>
      <c r="F159" s="13">
        <v>42849.018206018518</v>
      </c>
      <c r="G159" s="7">
        <v>0</v>
      </c>
      <c r="H159" s="21" t="s">
        <v>428</v>
      </c>
      <c r="I159" s="13">
        <v>42849.044340277775</v>
      </c>
      <c r="J159" s="7">
        <v>0</v>
      </c>
      <c r="K159" s="92" t="str">
        <f t="shared" si="74"/>
        <v>4045/4046</v>
      </c>
      <c r="L159" s="21" t="str">
        <f>VLOOKUP(A159,'Trips&amp;Operators'!$C$1:$G$99999,5,FALSE)</f>
        <v>NEWELL JAMES</v>
      </c>
      <c r="M159" s="6">
        <f t="shared" si="75"/>
        <v>2.6134259256650694E-2</v>
      </c>
      <c r="N159" s="7">
        <f t="shared" si="91"/>
        <v>37.633333329576999</v>
      </c>
      <c r="O159" s="7"/>
      <c r="P159" s="7"/>
      <c r="Q159" s="22"/>
      <c r="R159" s="200"/>
      <c r="S159" s="206">
        <f t="shared" si="92"/>
        <v>1</v>
      </c>
      <c r="T159" s="200" t="str">
        <f t="shared" si="76"/>
        <v>Southbound</v>
      </c>
      <c r="U159" s="200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01" t="str">
        <f t="shared" si="77"/>
        <v>https://d0f6bd738d7f1b3e5a7ca70fe4ff75f0.us-east-1.aws.found.io/app/kibana#/discover/Steve-Slow-Train-Analysis-(2080s-and-2083s)?_g=(refreshInterval:(display:Off,pause:!f,section:0,value:0),time:(from:'2017-04-23T23:21:28-0600',mode:absolute,to:'2017-04-24T02:03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9" s="202" t="str">
        <f t="shared" si="78"/>
        <v>N</v>
      </c>
      <c r="X159" s="202">
        <f t="shared" si="79"/>
        <v>1</v>
      </c>
      <c r="Y159" s="202">
        <f t="shared" si="80"/>
        <v>23.299399999999999</v>
      </c>
      <c r="Z159" s="202">
        <f t="shared" si="81"/>
        <v>1.3899999999999999E-2</v>
      </c>
      <c r="AA159" s="202">
        <f t="shared" si="82"/>
        <v>23.285499999999999</v>
      </c>
      <c r="AB159" s="57" t="e">
        <f>VLOOKUP(A159,Enforcements!$C$7:$K$13,8,0)</f>
        <v>#N/A</v>
      </c>
      <c r="AC159" s="53" t="e">
        <f>VLOOKUP(A159,Enforcements!$C$7:$E$13,3,0)</f>
        <v>#N/A</v>
      </c>
      <c r="AD159" s="54" t="str">
        <f t="shared" si="83"/>
        <v>0240-23</v>
      </c>
      <c r="AE159" s="80" t="str">
        <f t="shared" si="84"/>
        <v>aws s3 cp s3://rtdc.mdm.uploadarchive.raw/RTDC4045/ "%USERPROFILE%\AppData\Local\Temp\OnboardLogs"\RTDC4045\2017-04-24 --exclude "*" --recursive --include "*20170424*" &amp; "%USERPROFILE%\Documents\GitHub\mrs-test-scripts\Headless Mode &amp; Sideloading\WalkAndUnGZ.bat" "%USERPROFILE%\AppData\Local\Temp\OnboardLogs"\RTDC4045\2017-04-24 &amp; aws s3 cp s3://rtdc.mdm.uploadarchive.raw/RTDC4045/ "%USERPROFILE%\AppData\Local\Temp\OnboardLogs"\RTDC4045\2017-04-25 --exclude "*" --recursive --include "*20170425*" &amp; "%USERPROFILE%\Documents\GitHub\mrs-test-scripts\Headless Mode &amp; Sideloading\WalkAndUnGZ.bat" "%USERPROFILE%\AppData\Local\Temp\OnboardLogs"\RTDC4045\2017-04-25</v>
      </c>
      <c r="AF159" s="77" t="str">
        <f t="shared" si="85"/>
        <v>"C:\Program Files (x86)\AstroGrep\AstroGrep.exe" /e /r /s /spath="%USERPROFILE%\AppData\Local\Temp\OnboardLogs" /stypes="app*4045*20170424*" /stext=" 07:.+((SYSTEM_STATE.+slice.+state.+changed )|(ment ac)|(multiple cpu faults)|(system.+state.+changed )|(\[timeout)|(PRM\|1\|D)|(kpr)|(kdp)|(\|lc)|(penalty))"</v>
      </c>
      <c r="AG159" s="1" t="str">
        <f t="shared" si="86"/>
        <v>EC</v>
      </c>
      <c r="AH159" s="81" t="str">
        <f t="shared" si="87"/>
        <v>"%USERPROFILE%\Documents\GitHub\eaglep3\Utilities\RefineRTDCRunTimes.py" --tripid 240-23 --locoid 4045 --swversion DE.1.0.9.0 --startMP 204:232994 --initTime 2017-04-24T00:21:28 --startdatetime 2017-04-24T00:26:13 --delay 0 --endMP 204:139 --enddatetime 2017-04-24T01:03:51 --enforcementcount 0 &gt;&gt;C:\Users\stu\Documents\GitHub\eaglep3-reporting\EC\2017-04-23-refined-times.txt</v>
      </c>
      <c r="AI159" s="99" t="str">
        <f t="shared" si="88"/>
        <v>echo {"issue":{"subject":"","project_id":79,"tracker_id":40,"status_id":1,"priority_id":2,"assigned_to_id":23,"start_date":"2017-04-24","description":"","custom_fields":[{"id":1,"name":"Subdivision","value":"EC"},{"id":4,"name":"Milepost","value":"0.0139"},{"id":17,"name":"Train ID","value":"240-23"},{"id":16,"name":"Locomotive ID","value":"4045"},{"id":130,"name":"Impact","value":""},{"id":150,"name":"Time of Event (Mountain Time)","value":"01:03:51"},{"id":151,"name":"Denver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7"/>
      <c r="AL159" s="47"/>
      <c r="AM159" s="145" t="str">
        <f t="shared" si="89"/>
        <v>start /low /b %USERPROFILE%\Documents\GitHub\eaglep3\Utilities\DownloadLogsFromS3.py --loco 4045 --day 2017-04-24</v>
      </c>
      <c r="AN159" s="154" t="str">
        <f t="shared" si="90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07:03:51"},{"id":29,"name":"Sharepoint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0" spans="1:91" s="20" customFormat="1" x14ac:dyDescent="0.25">
      <c r="A160" s="32" t="s">
        <v>816</v>
      </c>
      <c r="B160" s="7">
        <v>4016</v>
      </c>
      <c r="C160" s="21" t="s">
        <v>213</v>
      </c>
      <c r="D160" s="21" t="s">
        <v>435</v>
      </c>
      <c r="E160" s="13">
        <v>42848.986550925925</v>
      </c>
      <c r="F160" s="13">
        <v>42849.000347222223</v>
      </c>
      <c r="G160" s="7">
        <v>1</v>
      </c>
      <c r="H160" s="21" t="s">
        <v>515</v>
      </c>
      <c r="I160" s="13">
        <v>42849.026192129626</v>
      </c>
      <c r="J160" s="7">
        <v>0</v>
      </c>
      <c r="K160" s="92" t="str">
        <f t="shared" si="74"/>
        <v>4015/4016</v>
      </c>
      <c r="L160" s="21" t="str">
        <f>VLOOKUP(A160,'Trips&amp;Operators'!$C$1:$G$99999,5,FALSE)</f>
        <v>DUNCAN SHEILA</v>
      </c>
      <c r="M160" s="6">
        <f t="shared" si="75"/>
        <v>2.5844907402643003E-2</v>
      </c>
      <c r="N160" s="7">
        <f t="shared" si="91"/>
        <v>37.216666659805924</v>
      </c>
      <c r="O160" s="7"/>
      <c r="P160" s="7"/>
      <c r="Q160" s="22"/>
      <c r="R160" s="200"/>
      <c r="S160" s="206">
        <f t="shared" si="92"/>
        <v>1</v>
      </c>
      <c r="T160" s="200" t="str">
        <f t="shared" si="76"/>
        <v>NorthBound</v>
      </c>
      <c r="U160" s="200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201" t="str">
        <f t="shared" si="77"/>
        <v>https://d0f6bd738d7f1b3e5a7ca70fe4ff75f0.us-east-1.aws.found.io/app/kibana#/discover/Steve-Slow-Train-Analysis-(2080s-and-2083s)?_g=(refreshInterval:(display:Off,pause:!f,section:0,value:0),time:(from:'2017-04-23T22:40:38-0600',mode:absolute,to:'2017-04-24T01:37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0" s="202" t="str">
        <f t="shared" si="78"/>
        <v>N</v>
      </c>
      <c r="X160" s="202">
        <f t="shared" si="79"/>
        <v>1</v>
      </c>
      <c r="Y160" s="202">
        <f t="shared" si="80"/>
        <v>4.6600000000000003E-2</v>
      </c>
      <c r="Z160" s="202">
        <f t="shared" si="81"/>
        <v>23.329699999999999</v>
      </c>
      <c r="AA160" s="202">
        <f t="shared" si="82"/>
        <v>23.283099999999997</v>
      </c>
      <c r="AB160" s="57" t="e">
        <f>VLOOKUP(A160,Enforcements!$C$7:$K$13,8,0)</f>
        <v>#N/A</v>
      </c>
      <c r="AC160" s="53" t="e">
        <f>VLOOKUP(A160,Enforcements!$C$7:$E$13,3,0)</f>
        <v>#N/A</v>
      </c>
      <c r="AD160" s="54" t="str">
        <f t="shared" si="83"/>
        <v>0241-23</v>
      </c>
      <c r="AE160" s="80" t="str">
        <f t="shared" si="84"/>
        <v>aws s3 cp s3://rtdc.mdm.uploadarchive.raw/RTDC4016/ "%USERPROFILE%\AppData\Local\Temp\OnboardLogs"\RTDC4016\2017-04-24 --exclude "*" --recursive --include "*20170424*" &amp; "%USERPROFILE%\Documents\GitHub\mrs-test-scripts\Headless Mode &amp; Sideloading\WalkAndUnGZ.bat" "%USERPROFILE%\AppData\Local\Temp\OnboardLogs"\RTDC4016\2017-04-24 &amp; aws s3 cp s3://rtdc.mdm.uploadarchive.raw/RTDC4016/ "%USERPROFILE%\AppData\Local\Temp\OnboardLogs"\RTDC4016\2017-04-25 --exclude "*" --recursive --include "*20170425*" &amp; "%USERPROFILE%\Documents\GitHub\mrs-test-scripts\Headless Mode &amp; Sideloading\WalkAndUnGZ.bat" "%USERPROFILE%\AppData\Local\Temp\OnboardLogs"\RTDC4016\2017-04-25</v>
      </c>
      <c r="AF160" s="77" t="str">
        <f t="shared" si="85"/>
        <v>"C:\Program Files (x86)\AstroGrep\AstroGrep.exe" /e /r /s /spath="%USERPROFILE%\AppData\Local\Temp\OnboardLogs" /stypes="app*4016*20170424*" /stext=" 06:.+((SYSTEM_STATE.+slice.+state.+changed )|(ment ac)|(multiple cpu faults)|(system.+state.+changed )|(\[timeout)|(PRM\|1\|D)|(kpr)|(kdp)|(\|lc)|(penalty))"</v>
      </c>
      <c r="AG160" s="1" t="str">
        <f t="shared" si="86"/>
        <v>EC</v>
      </c>
      <c r="AH160" s="81" t="str">
        <f t="shared" si="87"/>
        <v>"%USERPROFILE%\Documents\GitHub\eaglep3\Utilities\RefineRTDCRunTimes.py" --tripid 241-23 --locoid 4016 --swversion DE.1.0.9.0 --startMP 204:466 --initTime 2017-04-23T23:40:38 --startdatetime 2017-04-24T00:00:30 --delay 1 --endMP 204:233297 --enddatetime 2017-04-24T00:37:43 --enforcementcount 0 &gt;&gt;C:\Users\stu\Documents\GitHub\eaglep3-reporting\EC\2017-04-23-refined-times.txt</v>
      </c>
      <c r="AI160" s="99" t="str">
        <f t="shared" si="88"/>
        <v>echo {"issue":{"subject":"","project_id":79,"tracker_id":40,"status_id":1,"priority_id":2,"assigned_to_id":23,"start_date":"2017-04-24","description":"","custom_fields":[{"id":1,"name":"Subdivision","value":"EC"},{"id":4,"name":"Milepost","value":"23.3297"},{"id":17,"name":"Train ID","value":"241-23"},{"id":16,"name":"Locomotive ID","value":"4016"},{"id":130,"name":"Impact","value":""},{"id":150,"name":"Time of Event (Mountain Time)","value":"00:37:43"},{"id":151,"name":"Denver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5" t="str">
        <f t="shared" si="89"/>
        <v>start /low /b %USERPROFILE%\Documents\GitHub\eaglep3\Utilities\DownloadLogsFromS3.py --loco 4016 --day 2017-04-24</v>
      </c>
      <c r="AN160" s="154" t="str">
        <f t="shared" si="90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06:37:43"},{"id":29,"name":"Sharepoint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2" t="s">
        <v>821</v>
      </c>
      <c r="B161" s="7">
        <v>4015</v>
      </c>
      <c r="C161" s="21" t="s">
        <v>213</v>
      </c>
      <c r="D161" s="21" t="s">
        <v>376</v>
      </c>
      <c r="E161" s="13">
        <v>42849.034155092595</v>
      </c>
      <c r="F161" s="13">
        <v>42849.039074074077</v>
      </c>
      <c r="G161" s="7">
        <v>1</v>
      </c>
      <c r="H161" s="21" t="s">
        <v>203</v>
      </c>
      <c r="I161" s="13">
        <v>42849.06759259259</v>
      </c>
      <c r="J161" s="7">
        <v>0</v>
      </c>
      <c r="K161" s="92" t="str">
        <f t="shared" si="74"/>
        <v>4015/4016</v>
      </c>
      <c r="L161" s="21" t="str">
        <f>VLOOKUP(A161,'Trips&amp;Operators'!$C$1:$G$99999,5,FALSE)</f>
        <v>DUNCAN SHEILA</v>
      </c>
      <c r="M161" s="6">
        <f t="shared" si="75"/>
        <v>2.8518518513010349E-2</v>
      </c>
      <c r="N161" s="7">
        <f t="shared" si="91"/>
        <v>41.066666658734903</v>
      </c>
      <c r="O161" s="7"/>
      <c r="P161" s="7"/>
      <c r="Q161" s="22"/>
      <c r="R161" s="200"/>
      <c r="S161" s="206">
        <f t="shared" si="92"/>
        <v>1</v>
      </c>
      <c r="T161" s="200" t="str">
        <f t="shared" si="76"/>
        <v>Southbound</v>
      </c>
      <c r="U161" s="200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201" t="str">
        <f t="shared" si="77"/>
        <v>https://d0f6bd738d7f1b3e5a7ca70fe4ff75f0.us-east-1.aws.found.io/app/kibana#/discover/Steve-Slow-Train-Analysis-(2080s-and-2083s)?_g=(refreshInterval:(display:Off,pause:!f,section:0,value:0),time:(from:'2017-04-23T23:49:11-0600',mode:absolute,to:'2017-04-24T02:37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1" s="202" t="str">
        <f t="shared" si="78"/>
        <v>N</v>
      </c>
      <c r="X161" s="202">
        <f t="shared" si="79"/>
        <v>1</v>
      </c>
      <c r="Y161" s="202">
        <f t="shared" si="80"/>
        <v>23.297699999999999</v>
      </c>
      <c r="Z161" s="202">
        <f t="shared" si="81"/>
        <v>1.54E-2</v>
      </c>
      <c r="AA161" s="202">
        <f t="shared" si="82"/>
        <v>23.282299999999999</v>
      </c>
      <c r="AB161" s="57" t="e">
        <f>VLOOKUP(A161,Enforcements!$C$7:$K$13,8,0)</f>
        <v>#N/A</v>
      </c>
      <c r="AC161" s="53" t="e">
        <f>VLOOKUP(A161,Enforcements!$C$7:$E$13,3,0)</f>
        <v>#N/A</v>
      </c>
      <c r="AD161" s="54" t="str">
        <f t="shared" si="83"/>
        <v>0242-23</v>
      </c>
      <c r="AE161" s="80" t="str">
        <f t="shared" si="84"/>
        <v>aws s3 cp s3://rtdc.mdm.uploadarchive.raw/RTDC4015/ "%USERPROFILE%\AppData\Local\Temp\OnboardLogs"\RTDC4015\2017-04-24 --exclude "*" --recursive --include "*20170424*" &amp; "%USERPROFILE%\Documents\GitHub\mrs-test-scripts\Headless Mode &amp; Sideloading\WalkAndUnGZ.bat" "%USERPROFILE%\AppData\Local\Temp\OnboardLogs"\RTDC4015\2017-04-24 &amp; aws s3 cp s3://rtdc.mdm.uploadarchive.raw/RTDC4015/ "%USERPROFILE%\AppData\Local\Temp\OnboardLogs"\RTDC4015\2017-04-25 --exclude "*" --recursive --include "*20170425*" &amp; "%USERPROFILE%\Documents\GitHub\mrs-test-scripts\Headless Mode &amp; Sideloading\WalkAndUnGZ.bat" "%USERPROFILE%\AppData\Local\Temp\OnboardLogs"\RTDC4015\2017-04-25</v>
      </c>
      <c r="AF161" s="77" t="str">
        <f t="shared" si="85"/>
        <v>"C:\Program Files (x86)\AstroGrep\AstroGrep.exe" /e /r /s /spath="%USERPROFILE%\AppData\Local\Temp\OnboardLogs" /stypes="app*4015*20170424*" /stext=" 07:.+((SYSTEM_STATE.+slice.+state.+changed )|(ment ac)|(multiple cpu faults)|(system.+state.+changed )|(\[timeout)|(PRM\|1\|D)|(kpr)|(kdp)|(\|lc)|(penalty))"</v>
      </c>
      <c r="AG161" s="1" t="str">
        <f t="shared" si="86"/>
        <v>EC</v>
      </c>
      <c r="AH161" s="81" t="str">
        <f t="shared" si="87"/>
        <v>"%USERPROFILE%\Documents\GitHub\eaglep3\Utilities\RefineRTDCRunTimes.py" --tripid 242-23 --locoid 4015 --swversion DE.1.0.9.0 --startMP 204:232977 --initTime 2017-04-24T00:49:11 --startdatetime 2017-04-24T00:56:16 --delay 1 --endMP 204:154 --enddatetime 2017-04-24T01:37:20 --enforcementcount 0 &gt;&gt;C:\Users\stu\Documents\GitHub\eaglep3-reporting\EC\2017-04-23-refined-times.txt</v>
      </c>
      <c r="AI161" s="99" t="str">
        <f t="shared" si="88"/>
        <v>echo {"issue":{"subject":"","project_id":79,"tracker_id":40,"status_id":1,"priority_id":2,"assigned_to_id":23,"start_date":"2017-04-24","description":"","custom_fields":[{"id":1,"name":"Subdivision","value":"EC"},{"id":4,"name":"Milepost","value":"0.0154"},{"id":17,"name":"Train ID","value":"242-23"},{"id":16,"name":"Locomotive ID","value":"4015"},{"id":130,"name":"Impact","value":""},{"id":150,"name":"Time of Event (Mountain Time)","value":"01:37:20"},{"id":151,"name":"Denver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7"/>
      <c r="AL161" s="47"/>
      <c r="AM161" s="145" t="str">
        <f t="shared" si="89"/>
        <v>start /low /b %USERPROFILE%\Documents\GitHub\eaglep3\Utilities\DownloadLogsFromS3.py --loco 4015 --day 2017-04-24</v>
      </c>
      <c r="AN161" s="154" t="str">
        <f t="shared" si="90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07:37:20"},{"id":29,"name":"Sharepoint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2" spans="1:91" x14ac:dyDescent="0.25">
      <c r="A162" s="32" t="s">
        <v>818</v>
      </c>
      <c r="B162" s="7">
        <v>4022</v>
      </c>
      <c r="C162" s="21" t="s">
        <v>213</v>
      </c>
      <c r="D162" s="21" t="s">
        <v>209</v>
      </c>
      <c r="E162" s="13">
        <v>42849.008217592593</v>
      </c>
      <c r="F162" s="13">
        <v>42849.021041666667</v>
      </c>
      <c r="G162" s="7">
        <v>1</v>
      </c>
      <c r="H162" s="21" t="s">
        <v>416</v>
      </c>
      <c r="I162" s="13">
        <v>42849.046782407408</v>
      </c>
      <c r="J162" s="7">
        <v>0</v>
      </c>
      <c r="K162" s="92" t="str">
        <f t="shared" si="74"/>
        <v>4021/4022</v>
      </c>
      <c r="L162" s="21" t="str">
        <f>VLOOKUP(A162,'Trips&amp;Operators'!$C$1:$G$99999,5,FALSE)</f>
        <v>YANG JAN</v>
      </c>
      <c r="M162" s="6">
        <f t="shared" si="75"/>
        <v>2.5740740740729962E-2</v>
      </c>
      <c r="N162" s="7">
        <f t="shared" si="91"/>
        <v>37.066666666651145</v>
      </c>
      <c r="O162" s="7"/>
      <c r="P162" s="7"/>
      <c r="Q162" s="22"/>
      <c r="R162" s="200"/>
      <c r="S162" s="206">
        <f t="shared" si="92"/>
        <v>1</v>
      </c>
      <c r="T162" s="200" t="str">
        <f t="shared" si="76"/>
        <v>NorthBound</v>
      </c>
      <c r="U162" s="200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12</v>
      </c>
      <c r="V162" s="201" t="str">
        <f t="shared" si="77"/>
        <v>https://d0f6bd738d7f1b3e5a7ca70fe4ff75f0.us-east-1.aws.found.io/app/kibana#/discover/Steve-Slow-Train-Analysis-(2080s-and-2083s)?_g=(refreshInterval:(display:Off,pause:!f,section:0,value:0),time:(from:'2017-04-23T23:11:50-0600',mode:absolute,to:'2017-04-24T02:07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2" s="202" t="str">
        <f t="shared" si="78"/>
        <v>N</v>
      </c>
      <c r="X162" s="202">
        <f t="shared" si="79"/>
        <v>1</v>
      </c>
      <c r="Y162" s="202">
        <f t="shared" si="80"/>
        <v>4.5499999999999999E-2</v>
      </c>
      <c r="Z162" s="202">
        <f t="shared" si="81"/>
        <v>23.3291</v>
      </c>
      <c r="AA162" s="202">
        <f t="shared" si="82"/>
        <v>23.2836</v>
      </c>
      <c r="AB162" s="57" t="e">
        <f>VLOOKUP(A162,Enforcements!$C$7:$K$13,8,0)</f>
        <v>#N/A</v>
      </c>
      <c r="AC162" s="53" t="e">
        <f>VLOOKUP(A162,Enforcements!$C$7:$E$13,3,0)</f>
        <v>#N/A</v>
      </c>
      <c r="AD162" s="54" t="str">
        <f t="shared" si="83"/>
        <v>0243-23</v>
      </c>
      <c r="AE162" s="80" t="str">
        <f t="shared" si="84"/>
        <v>aws s3 cp s3://rtdc.mdm.uploadarchive.raw/RTDC4022/ "%USERPROFILE%\AppData\Local\Temp\OnboardLogs"\RTDC4022\2017-04-24 --exclude "*" --recursive --include "*20170424*" &amp; "%USERPROFILE%\Documents\GitHub\mrs-test-scripts\Headless Mode &amp; Sideloading\WalkAndUnGZ.bat" "%USERPROFILE%\AppData\Local\Temp\OnboardLogs"\RTDC4022\2017-04-24 &amp; aws s3 cp s3://rtdc.mdm.uploadarchive.raw/RTDC4022/ "%USERPROFILE%\AppData\Local\Temp\OnboardLogs"\RTDC4022\2017-04-25 --exclude "*" --recursive --include "*20170425*" &amp; "%USERPROFILE%\Documents\GitHub\mrs-test-scripts\Headless Mode &amp; Sideloading\WalkAndUnGZ.bat" "%USERPROFILE%\AppData\Local\Temp\OnboardLogs"\RTDC4022\2017-04-25</v>
      </c>
      <c r="AF162" s="77" t="str">
        <f t="shared" si="85"/>
        <v>"C:\Program Files (x86)\AstroGrep\AstroGrep.exe" /e /r /s /spath="%USERPROFILE%\AppData\Local\Temp\OnboardLogs" /stypes="app*4022*20170424*" /stext=" 07:.+((SYSTEM_STATE.+slice.+state.+changed )|(ment ac)|(multiple cpu faults)|(system.+state.+changed )|(\[timeout)|(PRM\|1\|D)|(kpr)|(kdp)|(\|lc)|(penalty))"</v>
      </c>
      <c r="AG162" s="1" t="str">
        <f t="shared" si="86"/>
        <v>EC</v>
      </c>
      <c r="AH162" s="81" t="str">
        <f t="shared" si="87"/>
        <v>"%USERPROFILE%\Documents\GitHub\eaglep3\Utilities\RefineRTDCRunTimes.py" --tripid 243-23 --locoid 4022 --swversion DE.1.0.9.0 --startMP 204:455 --initTime 2017-04-24T00:11:50 --startdatetime 2017-04-24T00:30:18 --delay 1 --endMP 204:233291 --enddatetime 2017-04-24T01:07:22 --enforcementcount 0 &gt;&gt;C:\Users\stu\Documents\GitHub\eaglep3-reporting\EC\2017-04-23-refined-times.txt</v>
      </c>
      <c r="AI162" s="99" t="str">
        <f t="shared" si="88"/>
        <v>echo {"issue":{"subject":"","project_id":79,"tracker_id":40,"status_id":1,"priority_id":2,"assigned_to_id":23,"start_date":"2017-04-24","description":"","custom_fields":[{"id":1,"name":"Subdivision","value":"EC"},{"id":4,"name":"Milepost","value":"23.3291"},{"id":17,"name":"Train ID","value":"243-23"},{"id":16,"name":"Locomotive ID","value":"4022"},{"id":130,"name":"Impact","value":""},{"id":150,"name":"Time of Event (Mountain Time)","value":"01:07:22"},{"id":151,"name":"Denver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7"/>
      <c r="AL162" s="47"/>
      <c r="AM162" s="145" t="str">
        <f t="shared" si="89"/>
        <v>start /low /b %USERPROFILE%\Documents\GitHub\eaglep3\Utilities\DownloadLogsFromS3.py --loco 4022 --day 2017-04-24</v>
      </c>
      <c r="AN162" s="154" t="str">
        <f t="shared" si="90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07:07:22"},{"id":29,"name":"Sharepoint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3" spans="1:91" x14ac:dyDescent="0.25">
      <c r="A163" s="32" t="s">
        <v>823</v>
      </c>
      <c r="B163" s="7">
        <v>4021</v>
      </c>
      <c r="C163" s="21" t="s">
        <v>213</v>
      </c>
      <c r="D163" s="21" t="s">
        <v>575</v>
      </c>
      <c r="E163" s="13">
        <v>42849.054861111108</v>
      </c>
      <c r="F163" s="13">
        <v>42849.059953703705</v>
      </c>
      <c r="G163" s="7">
        <v>1</v>
      </c>
      <c r="H163" s="21" t="s">
        <v>391</v>
      </c>
      <c r="I163" s="13">
        <v>42849.087476851855</v>
      </c>
      <c r="J163" s="7">
        <v>0</v>
      </c>
      <c r="K163" s="92" t="str">
        <f t="shared" si="74"/>
        <v>4021/4022</v>
      </c>
      <c r="L163" s="21" t="str">
        <f>VLOOKUP(A163,'Trips&amp;Operators'!$C$1:$G$99999,5,FALSE)</f>
        <v>YANG JAN</v>
      </c>
      <c r="M163" s="6">
        <f t="shared" si="75"/>
        <v>2.7523148150066845E-2</v>
      </c>
      <c r="N163" s="7">
        <f t="shared" si="91"/>
        <v>39.633333336096257</v>
      </c>
      <c r="O163" s="7"/>
      <c r="P163" s="7"/>
      <c r="Q163" s="22"/>
      <c r="R163" s="200"/>
      <c r="S163" s="206">
        <f t="shared" si="92"/>
        <v>1</v>
      </c>
      <c r="T163" s="200" t="str">
        <f t="shared" si="76"/>
        <v>Southbound</v>
      </c>
      <c r="U163" s="200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12</v>
      </c>
      <c r="V163" s="201" t="str">
        <f t="shared" si="77"/>
        <v>https://d0f6bd738d7f1b3e5a7ca70fe4ff75f0.us-east-1.aws.found.io/app/kibana#/discover/Steve-Slow-Train-Analysis-(2080s-and-2083s)?_g=(refreshInterval:(display:Off,pause:!f,section:0,value:0),time:(from:'2017-04-24T00:19:00-0600',mode:absolute,to:'2017-04-24T03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3" s="202" t="str">
        <f t="shared" si="78"/>
        <v>N</v>
      </c>
      <c r="X163" s="202">
        <f t="shared" si="79"/>
        <v>1</v>
      </c>
      <c r="Y163" s="202">
        <f t="shared" si="80"/>
        <v>23.296800000000001</v>
      </c>
      <c r="Z163" s="202">
        <f t="shared" si="81"/>
        <v>1.4500000000000001E-2</v>
      </c>
      <c r="AA163" s="202">
        <f t="shared" si="82"/>
        <v>23.282299999999999</v>
      </c>
      <c r="AB163" s="57" t="e">
        <f>VLOOKUP(A163,Enforcements!$C$7:$K$13,8,0)</f>
        <v>#N/A</v>
      </c>
      <c r="AC163" s="53" t="e">
        <f>VLOOKUP(A163,Enforcements!$C$7:$E$13,3,0)</f>
        <v>#N/A</v>
      </c>
      <c r="AD163" s="54" t="str">
        <f t="shared" si="83"/>
        <v>0244-23</v>
      </c>
      <c r="AE163" s="80" t="str">
        <f t="shared" si="84"/>
        <v>aws s3 cp s3://rtdc.mdm.uploadarchive.raw/RTDC4021/ "%USERPROFILE%\AppData\Local\Temp\OnboardLogs"\RTDC4021\2017-04-24 --exclude "*" --recursive --include "*20170424*" &amp; "%USERPROFILE%\Documents\GitHub\mrs-test-scripts\Headless Mode &amp; Sideloading\WalkAndUnGZ.bat" "%USERPROFILE%\AppData\Local\Temp\OnboardLogs"\RTDC4021\2017-04-24 &amp; aws s3 cp s3://rtdc.mdm.uploadarchive.raw/RTDC4021/ "%USERPROFILE%\AppData\Local\Temp\OnboardLogs"\RTDC4021\2017-04-25 --exclude "*" --recursive --include "*20170425*" &amp; "%USERPROFILE%\Documents\GitHub\mrs-test-scripts\Headless Mode &amp; Sideloading\WalkAndUnGZ.bat" "%USERPROFILE%\AppData\Local\Temp\OnboardLogs"\RTDC4021\2017-04-25</v>
      </c>
      <c r="AF163" s="77" t="str">
        <f t="shared" si="85"/>
        <v>"C:\Program Files (x86)\AstroGrep\AstroGrep.exe" /e /r /s /spath="%USERPROFILE%\AppData\Local\Temp\OnboardLogs" /stypes="app*4021*20170424*" /stext=" 08:.+((SYSTEM_STATE.+slice.+state.+changed )|(ment ac)|(multiple cpu faults)|(system.+state.+changed )|(\[timeout)|(PRM\|1\|D)|(kpr)|(kdp)|(\|lc)|(penalty))"</v>
      </c>
      <c r="AG163" s="1" t="str">
        <f t="shared" si="86"/>
        <v>EC</v>
      </c>
      <c r="AH163" s="81" t="str">
        <f t="shared" si="87"/>
        <v>"%USERPROFILE%\Documents\GitHub\eaglep3\Utilities\RefineRTDCRunTimes.py" --tripid 244-23 --locoid 4021 --swversion DE.1.0.9.0 --startMP 204:232968 --initTime 2017-04-24T01:19:00 --startdatetime 2017-04-24T01:26:20 --delay 1 --endMP 204:145 --enddatetime 2017-04-24T02:05:58 --enforcementcount 0 &gt;&gt;C:\Users\stu\Documents\GitHub\eaglep3-reporting\EC\2017-04-23-refined-times.txt</v>
      </c>
      <c r="AI163" s="99" t="str">
        <f t="shared" si="88"/>
        <v>echo {"issue":{"subject":"","project_id":79,"tracker_id":40,"status_id":1,"priority_id":2,"assigned_to_id":23,"start_date":"2017-04-24","description":"","custom_fields":[{"id":1,"name":"Subdivision","value":"EC"},{"id":4,"name":"Milepost","value":"0.0145"},{"id":17,"name":"Train ID","value":"244-23"},{"id":16,"name":"Locomotive ID","value":"4021"},{"id":130,"name":"Impact","value":""},{"id":150,"name":"Time of Event (Mountain Time)","value":"02:05:58"},{"id":151,"name":"Denver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7"/>
      <c r="AL163" s="47"/>
      <c r="AM163" s="145" t="str">
        <f t="shared" si="89"/>
        <v>start /low /b %USERPROFILE%\Documents\GitHub\eaglep3\Utilities\DownloadLogsFromS3.py --loco 4021 --day 2017-04-24</v>
      </c>
      <c r="AN163" s="154" t="str">
        <f t="shared" si="90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08:05:58"},{"id":29,"name":"Sharepoint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4" spans="1:91" s="20" customFormat="1" x14ac:dyDescent="0.25">
      <c r="A164" s="32" t="s">
        <v>1030</v>
      </c>
      <c r="B164" s="7">
        <v>4031</v>
      </c>
      <c r="C164" s="21" t="s">
        <v>213</v>
      </c>
      <c r="D164" s="21" t="s">
        <v>914</v>
      </c>
      <c r="E164" s="13">
        <v>42848.362754629627</v>
      </c>
      <c r="F164" s="13"/>
      <c r="G164" s="7">
        <v>1</v>
      </c>
      <c r="H164" s="21" t="s">
        <v>915</v>
      </c>
      <c r="I164" s="13"/>
      <c r="J164" s="7">
        <v>0</v>
      </c>
      <c r="K164" s="92" t="str">
        <f t="shared" si="74"/>
        <v>4031/4032</v>
      </c>
      <c r="L164" s="21" t="e">
        <f>VLOOKUP(A164,'Trips&amp;Operators'!$C$1:$G$99999,5,FALSE)</f>
        <v>#N/A</v>
      </c>
      <c r="M164" s="6">
        <f t="shared" si="75"/>
        <v>0</v>
      </c>
      <c r="N164" s="7"/>
      <c r="O164" s="7"/>
      <c r="P164" s="7">
        <v>1</v>
      </c>
      <c r="Q164" s="22"/>
      <c r="R164" s="200" t="s">
        <v>1022</v>
      </c>
      <c r="S164" s="206">
        <f t="shared" si="92"/>
        <v>0</v>
      </c>
      <c r="T164" s="200" t="str">
        <f t="shared" si="76"/>
        <v>Southbound</v>
      </c>
      <c r="U164" s="200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0</v>
      </c>
      <c r="V164" s="201" t="str">
        <f t="shared" si="77"/>
        <v>https://d0f6bd738d7f1b3e5a7ca70fe4ff75f0.us-east-1.aws.found.io/app/kibana#/discover/Steve-Slow-Train-Analysis-(2080s-and-2083s)?_g=(refreshInterval:(display:Off,pause:!f,section:0,value:0),time:(from:'2017-04-23T07:42:22-0600',mode:absolute,to:'1900-01-00T01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4" s="202" t="str">
        <f t="shared" si="78"/>
        <v>Y</v>
      </c>
      <c r="X164" s="202">
        <f t="shared" si="79"/>
        <v>1556</v>
      </c>
      <c r="Y164" s="202">
        <v>0</v>
      </c>
      <c r="Z164" s="202">
        <v>0</v>
      </c>
      <c r="AA164" s="202">
        <f t="shared" si="82"/>
        <v>0</v>
      </c>
      <c r="AB164" s="57" t="e">
        <f>VLOOKUP(A164,Enforcements!$C$7:$K$13,8,0)</f>
        <v>#N/A</v>
      </c>
      <c r="AC164" s="53" t="e">
        <f>VLOOKUP(A164,Enforcements!$C$7:$E$13,3,0)</f>
        <v>#N/A</v>
      </c>
      <c r="AD164" s="54" t="str">
        <f t="shared" si="83"/>
        <v>1800-23</v>
      </c>
      <c r="AE164" s="80" t="str">
        <f t="shared" si="84"/>
        <v>aws s3 cp s3://rtdc.mdm.uploadarchive.raw/RTDC4031/ "%USERPROFILE%\AppData\Local\Temp\OnboardLogs"\RTDC4031\1900-01-00 --exclude "*" --recursive --include "*19000100*" &amp; "%USERPROFILE%\Documents\GitHub\mrs-test-scripts\Headless Mode &amp; Sideloading\WalkAndUnGZ.bat" "%USERPROFILE%\AppData\Local\Temp\OnboardLogs"\RTDC4031\1900-01-00 &amp; aws s3 cp s3://rtdc.mdm.uploadarchive.raw/RTDC4031/ "%USERPROFILE%\AppData\Local\Temp\OnboardLogs"\RTDC4031\1900-01-01 --exclude "*" --recursive --include "*19000101*" &amp; "%USERPROFILE%\Documents\GitHub\mrs-test-scripts\Headless Mode &amp; Sideloading\WalkAndUnGZ.bat" "%USERPROFILE%\AppData\Local\Temp\OnboardLogs"\RTDC4031\1900-01-01</v>
      </c>
      <c r="AF164" s="77" t="str">
        <f t="shared" si="85"/>
        <v>"C:\Program Files (x86)\AstroGrep\AstroGrep.exe" /e /r /s /spath="%USERPROFILE%\AppData\Local\Temp\OnboardLogs" /stypes="app*4031*19000100*" /stext=" 06:.+((SYSTEM_STATE.+slice.+state.+changed )|(ment ac)|(multiple cpu faults)|(system.+state.+changed )|(\[timeout)|(PRM\|1\|D)|(kpr)|(kdp)|(\|lc)|(penalty))"</v>
      </c>
      <c r="AG164" s="1" t="str">
        <f t="shared" si="86"/>
        <v>NW</v>
      </c>
      <c r="AH164" s="81" t="str">
        <f t="shared" si="87"/>
        <v>"%USERPROFILE%\Documents\GitHub\eaglep3\Utilities\RefineRTDCRunTimes.py" --tripid 1800-23 --locoid 4031 --swversion DE.1.0.9.0 --startMP 300:57343 --initTime 2017-04-23T08:42:22 --startdatetime 1900-01-00T00:00:00 --delay 1 --endMP 204:743 --enddatetime 1900-01-00T00:00:00 --enforcementcount 0 &gt;&gt;C:\Users\stu\Documents\GitHub\eaglep3-reporting\EC\2017-04-23-refined-times.txt</v>
      </c>
      <c r="AI164" s="99" t="str">
        <f t="shared" si="88"/>
        <v>echo {"issue":{"subject":"FEP-02 outage - virus scan caused PTC Comms apps to lock up","project_id":79,"tracker_id":40,"status_id":1,"priority_id":2,"assigned_to_id":23,"start_date":"1900-01-00","description":"","custom_fields":[{"id":1,"name":"Subdivision","value":"NW"},{"id":4,"name":"Milepost","value":"0"},{"id":17,"name":"Train ID","value":"1800-23"},{"id":16,"name":"Locomotive ID","value":"4031"},{"id":130,"name":"Impact","value":""},{"id":150,"name":"Time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5" t="str">
        <f t="shared" si="89"/>
        <v>start /low /b %USERPROFILE%\Documents\GitHub\eaglep3\Utilities\DownloadLogsFromS3.py --loco 4031 --day 1900-01-00</v>
      </c>
      <c r="AN164" s="154" t="str">
        <f t="shared" si="90"/>
        <v>echo {"issue":{"subject":"FEP-02 outage - virus scan caused PTC Comms apps to lock up","project_id":30,"tracker_id":4,"status_id":1,"priority_id":1,"assigned_to_id":10,"start_date":"1900-01-00","description":"","custom_fields":[{"id":30,"name":"Category","value":"Issue"},{"id":3,"name":"Functional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UTC","value":"1900-01-00 06:00:00"},{"id":29,"name":"Sharepoint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5" spans="1:91" s="20" customFormat="1" x14ac:dyDescent="0.25">
      <c r="A165" s="32" t="s">
        <v>1025</v>
      </c>
      <c r="B165" s="7">
        <v>4032</v>
      </c>
      <c r="C165" s="21" t="s">
        <v>213</v>
      </c>
      <c r="D165" s="21" t="s">
        <v>914</v>
      </c>
      <c r="E165" s="13">
        <v>42848.362754629627</v>
      </c>
      <c r="F165" s="13"/>
      <c r="G165" s="7">
        <v>1</v>
      </c>
      <c r="H165" s="21" t="s">
        <v>915</v>
      </c>
      <c r="I165" s="13"/>
      <c r="J165" s="7">
        <v>0</v>
      </c>
      <c r="K165" s="92" t="str">
        <f t="shared" ref="K165" si="93">IF(ISEVEN(B165),(B165-1)&amp;"/"&amp;B165,B165&amp;"/"&amp;(B165+1))</f>
        <v>4031/4032</v>
      </c>
      <c r="L165" s="21" t="e">
        <f>VLOOKUP(A165,'Trips&amp;Operators'!$C$1:$G$99999,5,FALSE)</f>
        <v>#N/A</v>
      </c>
      <c r="M165" s="6">
        <f t="shared" ref="M165" si="94">I165-F165</f>
        <v>0</v>
      </c>
      <c r="N165" s="7"/>
      <c r="O165" s="7"/>
      <c r="P165" s="7">
        <v>1</v>
      </c>
      <c r="Q165" s="22"/>
      <c r="R165" s="200" t="s">
        <v>1022</v>
      </c>
      <c r="S165" s="206">
        <f t="shared" ref="S165" si="95">SUM(U165:U165)/IF(AG165="EC",12,1)</f>
        <v>0</v>
      </c>
      <c r="T165" s="200" t="str">
        <f t="shared" ref="T165" si="96">IF(ISEVEN(LEFT(AD165,4)),"Southbound","NorthBound")</f>
        <v>NorthBound</v>
      </c>
      <c r="U165" s="200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0</v>
      </c>
      <c r="V165" s="201" t="str">
        <f t="shared" ref="V165" si="97"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-04-23T07:42:22-0600',mode:absolute,to:'1900-01-00T01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5" s="202" t="str">
        <f t="shared" ref="W165" si="98">IF(AA165&lt;IF(AG165="EC",23,5.65),"Y","N")</f>
        <v>Y</v>
      </c>
      <c r="X165" s="202">
        <f t="shared" si="79"/>
        <v>1</v>
      </c>
      <c r="Y165" s="202">
        <v>0</v>
      </c>
      <c r="Z165" s="202">
        <v>0</v>
      </c>
      <c r="AA165" s="202">
        <f t="shared" ref="AA165" si="99">ABS(Z165-Y165)</f>
        <v>0</v>
      </c>
      <c r="AB165" s="57" t="e">
        <f>VLOOKUP(A165,Enforcements!$C$7:$K$13,8,0)</f>
        <v>#N/A</v>
      </c>
      <c r="AC165" s="53" t="e">
        <f>VLOOKUP(A165,Enforcements!$C$7:$E$13,3,0)</f>
        <v>#N/A</v>
      </c>
      <c r="AD165" s="54" t="str">
        <f t="shared" ref="AD165" si="100">IF(LEN(A165)=6,"0"&amp;A165,A165)</f>
        <v>1801-23</v>
      </c>
      <c r="AE165" s="80" t="str">
        <f t="shared" ref="AE165" si="101"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s3://rtdc.mdm.uploadarchive.raw/RTDC4032/ "%USERPROFILE%\AppData\Local\Temp\OnboardLogs"\RTDC4032\1900-01-00 --exclude "*" --recursive --include "*19000100*" &amp; "%USERPROFILE%\Documents\GitHub\mrs-test-scripts\Headless Mode &amp; Sideloading\WalkAndUnGZ.bat" "%USERPROFILE%\AppData\Local\Temp\OnboardLogs"\RTDC4032\1900-01-00 &amp; aws s3 cp s3://rtdc.mdm.uploadarchive.raw/RTDC4032/ "%USERPROFILE%\AppData\Local\Temp\OnboardLogs"\RTDC4032\1900-01-01 --exclude "*" --recursive --include "*19000101*" &amp; "%USERPROFILE%\Documents\GitHub\mrs-test-scripts\Headless Mode &amp; Sideloading\WalkAndUnGZ.bat" "%USERPROFILE%\AppData\Local\Temp\OnboardLogs"\RTDC4032\1900-01-01</v>
      </c>
      <c r="AF165" s="77" t="str">
        <f t="shared" ref="AF165" si="102"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/stypes="app*4032*19000100*" /stext=" 06:.+((SYSTEM_STATE.+slice.+state.+changed )|(ment ac)|(multiple cpu faults)|(system.+state.+changed )|(\[timeout)|(PRM\|1\|D)|(kpr)|(kdp)|(\|lc)|(penalty))"</v>
      </c>
      <c r="AG165" s="1" t="str">
        <f t="shared" ref="AG165" si="103">IFERROR(IF(VALUE(LEFT(AD165,2))&lt;=2,"EC",IF(OR(VALUE(LEFT(AD165,2))=8,VALUE(LEFT(AD165,2))=18),"NW","Other")),"Other")</f>
        <v>NW</v>
      </c>
      <c r="AH165" s="81" t="str">
        <f t="shared" ref="AH165" si="104">refinertdcruntimes&amp;" --tripid "&amp;A165&amp;" --locoid "&amp;B165&amp;" --swversion "&amp;C165&amp;" --startMP "&amp;D165&amp;" --initTime "&amp;TEXT(E165,"yyyy-mm-ddTHH:MM:SS")&amp;" --startdatetime "&amp;TEXT(F165,"yyyy-mm-ddTHH:MM:SS")&amp;" --delay "&amp;G165&amp;" --endMP "&amp;H165&amp;" --enddatetime "&amp;TEXT(I165,"yyyy-mm-ddTHH:MM:SS")&amp;" --enforcementcount "&amp;J165&amp;IF(outputrefinedruntimes," &gt;&gt;"&amp;RefinedRTDCRunTimesOutputFile,"")</f>
        <v>"%USERPROFILE%\Documents\GitHub\eaglep3\Utilities\RefineRTDCRunTimes.py" --tripid 1801-23 --locoid 4032 --swversion DE.1.0.9.0 --startMP 300:57343 --initTime 2017-04-23T08:42:22 --startdatetime 1900-01-00T00:00:00 --delay 1 --endMP 204:743 --enddatetime 1900-01-00T00:00:00 --enforcementcount 0 &gt;&gt;C:\Users\stu\Documents\GitHub\eaglep3-reporting\EC\2017-04-23-refined-times.txt</v>
      </c>
      <c r="AI165" s="99" t="str">
        <f t="shared" ref="AI165" si="105">"echo {""issue"":{""subject"":"""&amp;R165&amp;""",""project_id"":79,""tracker_id"":40,""status_id"":"&amp;redmine_status&amp;",""priority_id"":"&amp;redmine_priority&amp;",""assigned_to_id"":"&amp;redmine_assignee&amp;",""start_date"":"""&amp;TEXT(I165,"YYYY-mm-dd")&amp;""",""description"":"""&amp;AJ165&amp;""",""custom_fields"":[{""id"":1,""name"":""Subdivision"",""value"":"""&amp;AG165&amp;"""},{""id"":4,""name"":""Milepost"",""value"":"""&amp;Z165&amp;"""},{""id"":17,""name"":""Train ID"",""value"":"""&amp;A165&amp;"""},{""id"":16,""name"":""Locomotive ID"",""value"":"""&amp;B165&amp;"""},{""id"":130,""name"":""Impact"",""value"":"""&amp;AK165&amp;"""},{""id"":150,""name"":""Time of Event (Mountain Time)"",""value"":"""&amp;TEXT(I165,"hh:mm:ss")&amp;"""},{""id"":151,""name"":""Denver Issue ID"",""value"":"""&amp;"""},{""id"":178,""name"":""Operational Impact"",""value"":"""&amp;redmine_op_impact&amp;"""},{""id"":179,""name"":""Denver Segment Assigned"",""value"":"""&amp;AL165&amp;"""}]}}"&amp;" | curl -X POST -H ""Content-Type: application/json"" -H ""X-Redmine-API-Key: "&amp;redm_api_key&amp;""" "&amp;redm_url&amp;" --data @-"</f>
        <v>echo {"issue":{"subject":"FEP-02 outage - virus scan caused PTC Comms apps to lock up","project_id":79,"tracker_id":40,"status_id":1,"priority_id":2,"assigned_to_id":23,"start_date":"1900-01-00","description":"","custom_fields":[{"id":1,"name":"Subdivision","value":"NW"},{"id":4,"name":"Milepost","value":"0"},{"id":17,"name":"Train ID","value":"1801-23"},{"id":16,"name":"Locomotive ID","value":"4032"},{"id":130,"name":"Impact","value":""},{"id":150,"name":"Time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5" t="str">
        <f t="shared" ref="AM165" si="106">"start /low /b "&amp;dls3logs&amp;" --loco "&amp;B165&amp;" --day "&amp;TEXT(F165,"YYYY-MM-DD")</f>
        <v>start /low /b %USERPROFILE%\Documents\GitHub\eaglep3\Utilities\DownloadLogsFromS3.py --loco 4032 --day 1900-01-00</v>
      </c>
      <c r="AN165" s="154" t="str">
        <f t="shared" ref="AN165" si="107">"echo {""issue"":{""subject"":"""&amp;R165&amp;""",""project_id"":30,""tracker_id"":4,""status_id"":"&amp;redmine_status_wcr&amp;",""priority_id"":"&amp;redmine_priority_wcr&amp;",""assigned_to_id"":"&amp;redmine_assignee_wcr&amp;",""start_date"":"""&amp;TEXT(I165-utc_offset/24,"YYYY-mm-dd")&amp;""",""description"":"""&amp;AJ165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{"issue":{"subject":"FEP-02 outage - virus scan caused PTC Comms apps to lock up","project_id":30,"tracker_id":4,"status_id":1,"priority_id":1,"assigned_to_id":10,"start_date":"1900-01-00","description":"","custom_fields":[{"id":30,"name":"Category","value":"Issue"},{"id":3,"name":"Functional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UTC","value":"1900-01-00 06:00:00"},{"id":29,"name":"Sharepoint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6" spans="1:91" s="20" customFormat="1" x14ac:dyDescent="0.25">
      <c r="A166" s="32" t="s">
        <v>1026</v>
      </c>
      <c r="B166" s="7">
        <v>4031</v>
      </c>
      <c r="C166" s="21" t="s">
        <v>213</v>
      </c>
      <c r="D166" s="21" t="s">
        <v>914</v>
      </c>
      <c r="E166" s="13">
        <v>42848.362754629627</v>
      </c>
      <c r="F166" s="13"/>
      <c r="G166" s="7">
        <v>1</v>
      </c>
      <c r="H166" s="21" t="s">
        <v>915</v>
      </c>
      <c r="I166" s="13"/>
      <c r="J166" s="7">
        <v>0</v>
      </c>
      <c r="K166" s="92" t="str">
        <f t="shared" ref="K166:K169" si="108">IF(ISEVEN(B166),(B166-1)&amp;"/"&amp;B166,B166&amp;"/"&amp;(B166+1))</f>
        <v>4031/4032</v>
      </c>
      <c r="L166" s="21" t="e">
        <f>VLOOKUP(A166,'Trips&amp;Operators'!$C$1:$G$99999,5,FALSE)</f>
        <v>#N/A</v>
      </c>
      <c r="M166" s="6">
        <f t="shared" ref="M166:M169" si="109">I166-F166</f>
        <v>0</v>
      </c>
      <c r="N166" s="7"/>
      <c r="O166" s="7"/>
      <c r="P166" s="7">
        <v>1</v>
      </c>
      <c r="Q166" s="22"/>
      <c r="R166" s="200" t="s">
        <v>1022</v>
      </c>
      <c r="S166" s="206">
        <f t="shared" ref="S166:S169" si="110">SUM(U166:U166)/IF(AG166="EC",12,1)</f>
        <v>0</v>
      </c>
      <c r="T166" s="200" t="str">
        <f t="shared" ref="T166:T169" si="111">IF(ISEVEN(LEFT(AD166,4)),"Southbound","NorthBound")</f>
        <v>Southbound</v>
      </c>
      <c r="U166" s="200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0</v>
      </c>
      <c r="V166" s="201" t="str">
        <f t="shared" ref="V166:V169" si="112"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-04-23T07:42:22-0600',mode:absolute,to:'1900-01-00T01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6" s="202" t="str">
        <f t="shared" ref="W166:W169" si="113">IF(AA166&lt;IF(AG166="EC",23,5.65),"Y","N")</f>
        <v>Y</v>
      </c>
      <c r="X166" s="202">
        <f t="shared" si="79"/>
        <v>1</v>
      </c>
      <c r="Y166" s="202">
        <v>0</v>
      </c>
      <c r="Z166" s="202">
        <v>0</v>
      </c>
      <c r="AA166" s="202">
        <f t="shared" ref="AA166:AA169" si="114">ABS(Z166-Y166)</f>
        <v>0</v>
      </c>
      <c r="AB166" s="57" t="e">
        <f>VLOOKUP(A166,Enforcements!$C$7:$K$13,8,0)</f>
        <v>#N/A</v>
      </c>
      <c r="AC166" s="53" t="e">
        <f>VLOOKUP(A166,Enforcements!$C$7:$E$13,3,0)</f>
        <v>#N/A</v>
      </c>
      <c r="AD166" s="54" t="str">
        <f t="shared" ref="AD166:AD169" si="115">IF(LEN(A166)=6,"0"&amp;A166,A166)</f>
        <v>1802-23</v>
      </c>
      <c r="AE166" s="80" t="str">
        <f t="shared" ref="AE166:AE169" si="116"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s3://rtdc.mdm.uploadarchive.raw/RTDC4031/ "%USERPROFILE%\AppData\Local\Temp\OnboardLogs"\RTDC4031\1900-01-00 --exclude "*" --recursive --include "*19000100*" &amp; "%USERPROFILE%\Documents\GitHub\mrs-test-scripts\Headless Mode &amp; Sideloading\WalkAndUnGZ.bat" "%USERPROFILE%\AppData\Local\Temp\OnboardLogs"\RTDC4031\1900-01-00 &amp; aws s3 cp s3://rtdc.mdm.uploadarchive.raw/RTDC4031/ "%USERPROFILE%\AppData\Local\Temp\OnboardLogs"\RTDC4031\1900-01-01 --exclude "*" --recursive --include "*19000101*" &amp; "%USERPROFILE%\Documents\GitHub\mrs-test-scripts\Headless Mode &amp; Sideloading\WalkAndUnGZ.bat" "%USERPROFILE%\AppData\Local\Temp\OnboardLogs"\RTDC4031\1900-01-01</v>
      </c>
      <c r="AF166" s="77" t="str">
        <f t="shared" ref="AF166:AF169" si="117"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/stypes="app*4031*19000100*" /stext=" 06:.+((SYSTEM_STATE.+slice.+state.+changed )|(ment ac)|(multiple cpu faults)|(system.+state.+changed )|(\[timeout)|(PRM\|1\|D)|(kpr)|(kdp)|(\|lc)|(penalty))"</v>
      </c>
      <c r="AG166" s="1" t="str">
        <f t="shared" ref="AG166:AG169" si="118">IFERROR(IF(VALUE(LEFT(AD166,2))&lt;=2,"EC",IF(OR(VALUE(LEFT(AD166,2))=8,VALUE(LEFT(AD166,2))=18),"NW","Other")),"Other")</f>
        <v>NW</v>
      </c>
      <c r="AH166" s="81" t="str">
        <f t="shared" ref="AH166:AH169" si="119">refinertdcruntimes&amp;" --tripid "&amp;A166&amp;" --locoid "&amp;B166&amp;" --swversion "&amp;C166&amp;" --startMP "&amp;D166&amp;" --initTime "&amp;TEXT(E166,"yyyy-mm-ddTHH:MM:SS")&amp;" --startdatetime "&amp;TEXT(F166,"yyyy-mm-ddTHH:MM:SS")&amp;" --delay "&amp;G166&amp;" --endMP "&amp;H166&amp;" --enddatetime "&amp;TEXT(I166,"yyyy-mm-ddTHH:MM:SS")&amp;" --enforcementcount "&amp;J166&amp;IF(outputrefinedruntimes," &gt;&gt;"&amp;RefinedRTDCRunTimesOutputFile,"")</f>
        <v>"%USERPROFILE%\Documents\GitHub\eaglep3\Utilities\RefineRTDCRunTimes.py" --tripid 1802-23 --locoid 4031 --swversion DE.1.0.9.0 --startMP 300:57343 --initTime 2017-04-23T08:42:22 --startdatetime 1900-01-00T00:00:00 --delay 1 --endMP 204:743 --enddatetime 1900-01-00T00:00:00 --enforcementcount 0 &gt;&gt;C:\Users\stu\Documents\GitHub\eaglep3-reporting\EC\2017-04-23-refined-times.txt</v>
      </c>
      <c r="AI166" s="99" t="str">
        <f t="shared" ref="AI166:AI169" si="120">"echo {""issue"":{""subject"":"""&amp;R166&amp;""",""project_id"":79,""tracker_id"":40,""status_id"":"&amp;redmine_status&amp;",""priority_id"":"&amp;redmine_priority&amp;",""assigned_to_id"":"&amp;redmine_assignee&amp;",""start_date"":"""&amp;TEXT(I166,"YYYY-mm-dd")&amp;""",""description"":"""&amp;AJ166&amp;""",""custom_fields"":[{""id"":1,""name"":""Subdivision"",""value"":"""&amp;AG166&amp;"""},{""id"":4,""name"":""Milepost"",""value"":"""&amp;Z166&amp;"""},{""id"":17,""name"":""Train ID"",""value"":"""&amp;A166&amp;"""},{""id"":16,""name"":""Locomotive ID"",""value"":"""&amp;B166&amp;"""},{""id"":130,""name"":""Impact"",""value"":"""&amp;AK166&amp;"""},{""id"":150,""name"":""Time of Event (Mountain Time)"",""value"":"""&amp;TEXT(I166,"hh:mm:ss")&amp;"""},{""id"":151,""name"":""Denver Issue ID"",""value"":"""&amp;"""},{""id"":178,""name"":""Operational Impact"",""value"":"""&amp;redmine_op_impact&amp;"""},{""id"":179,""name"":""Denver Segment Assigned"",""value"":"""&amp;AL166&amp;"""}]}}"&amp;" | curl -X POST -H ""Content-Type: application/json"" -H ""X-Redmine-API-Key: "&amp;redm_api_key&amp;""" "&amp;redm_url&amp;" --data @-"</f>
        <v>echo {"issue":{"subject":"FEP-02 outage - virus scan caused PTC Comms apps to lock up","project_id":79,"tracker_id":40,"status_id":1,"priority_id":2,"assigned_to_id":23,"start_date":"1900-01-00","description":"","custom_fields":[{"id":1,"name":"Subdivision","value":"NW"},{"id":4,"name":"Milepost","value":"0"},{"id":17,"name":"Train ID","value":"1802-23"},{"id":16,"name":"Locomotive ID","value":"4031"},{"id":130,"name":"Impact","value":""},{"id":150,"name":"Time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5" t="str">
        <f t="shared" ref="AM166:AM169" si="121">"start /low /b "&amp;dls3logs&amp;" --loco "&amp;B166&amp;" --day "&amp;TEXT(F166,"YYYY-MM-DD")</f>
        <v>start /low /b %USERPROFILE%\Documents\GitHub\eaglep3\Utilities\DownloadLogsFromS3.py --loco 4031 --day 1900-01-00</v>
      </c>
      <c r="AN166" s="154" t="str">
        <f t="shared" ref="AN166:AN169" si="122">"echo {""issue"":{""subject"":"""&amp;R166&amp;""",""project_id"":30,""tracker_id"":4,""status_id"":"&amp;redmine_status_wcr&amp;",""priority_id"":"&amp;redmine_priority_wcr&amp;",""assigned_to_id"":"&amp;redmine_assignee_wcr&amp;",""start_date"":"""&amp;TEXT(I166-utc_offset/24,"YYYY-mm-dd")&amp;""",""description"":"""&amp;AJ166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{"issue":{"subject":"FEP-02 outage - virus scan caused PTC Comms apps to lock up","project_id":30,"tracker_id":4,"status_id":1,"priority_id":1,"assigned_to_id":10,"start_date":"1900-01-00","description":"","custom_fields":[{"id":30,"name":"Category","value":"Issue"},{"id":3,"name":"Functional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UTC","value":"1900-01-00 06:00:00"},{"id":29,"name":"Sharepoint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7" spans="1:91" s="20" customFormat="1" x14ac:dyDescent="0.25">
      <c r="A167" s="32" t="s">
        <v>1027</v>
      </c>
      <c r="B167" s="7">
        <v>4032</v>
      </c>
      <c r="C167" s="21" t="s">
        <v>213</v>
      </c>
      <c r="D167" s="21" t="s">
        <v>914</v>
      </c>
      <c r="E167" s="13">
        <v>42848.362754629627</v>
      </c>
      <c r="F167" s="13"/>
      <c r="G167" s="7">
        <v>1</v>
      </c>
      <c r="H167" s="21" t="s">
        <v>915</v>
      </c>
      <c r="I167" s="13"/>
      <c r="J167" s="7">
        <v>0</v>
      </c>
      <c r="K167" s="92" t="str">
        <f t="shared" si="108"/>
        <v>4031/4032</v>
      </c>
      <c r="L167" s="21" t="e">
        <f>VLOOKUP(A167,'Trips&amp;Operators'!$C$1:$G$99999,5,FALSE)</f>
        <v>#N/A</v>
      </c>
      <c r="M167" s="6">
        <f t="shared" si="109"/>
        <v>0</v>
      </c>
      <c r="N167" s="7"/>
      <c r="O167" s="7"/>
      <c r="P167" s="7">
        <v>1</v>
      </c>
      <c r="Q167" s="22"/>
      <c r="R167" s="200" t="s">
        <v>1022</v>
      </c>
      <c r="S167" s="206">
        <f t="shared" si="110"/>
        <v>0</v>
      </c>
      <c r="T167" s="200" t="str">
        <f t="shared" si="111"/>
        <v>NorthBound</v>
      </c>
      <c r="U167" s="200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0</v>
      </c>
      <c r="V167" s="201" t="str">
        <f t="shared" si="112"/>
        <v>https://d0f6bd738d7f1b3e5a7ca70fe4ff75f0.us-east-1.aws.found.io/app/kibana#/discover/Steve-Slow-Train-Analysis-(2080s-and-2083s)?_g=(refreshInterval:(display:Off,pause:!f,section:0,value:0),time:(from:'2017-04-23T07:42:22-0600',mode:absolute,to:'1900-01-00T01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7" s="202" t="str">
        <f t="shared" si="113"/>
        <v>Y</v>
      </c>
      <c r="X167" s="202">
        <f t="shared" si="79"/>
        <v>1</v>
      </c>
      <c r="Y167" s="202">
        <v>0</v>
      </c>
      <c r="Z167" s="202">
        <v>0</v>
      </c>
      <c r="AA167" s="202">
        <f t="shared" si="114"/>
        <v>0</v>
      </c>
      <c r="AB167" s="57" t="e">
        <f>VLOOKUP(A167,Enforcements!$C$7:$K$13,8,0)</f>
        <v>#N/A</v>
      </c>
      <c r="AC167" s="53" t="e">
        <f>VLOOKUP(A167,Enforcements!$C$7:$E$13,3,0)</f>
        <v>#N/A</v>
      </c>
      <c r="AD167" s="54" t="str">
        <f t="shared" si="115"/>
        <v>1803-23</v>
      </c>
      <c r="AE167" s="80" t="str">
        <f t="shared" si="116"/>
        <v>aws s3 cp s3://rtdc.mdm.uploadarchive.raw/RTDC4032/ "%USERPROFILE%\AppData\Local\Temp\OnboardLogs"\RTDC4032\1900-01-00 --exclude "*" --recursive --include "*19000100*" &amp; "%USERPROFILE%\Documents\GitHub\mrs-test-scripts\Headless Mode &amp; Sideloading\WalkAndUnGZ.bat" "%USERPROFILE%\AppData\Local\Temp\OnboardLogs"\RTDC4032\1900-01-00 &amp; aws s3 cp s3://rtdc.mdm.uploadarchive.raw/RTDC4032/ "%USERPROFILE%\AppData\Local\Temp\OnboardLogs"\RTDC4032\1900-01-01 --exclude "*" --recursive --include "*19000101*" &amp; "%USERPROFILE%\Documents\GitHub\mrs-test-scripts\Headless Mode &amp; Sideloading\WalkAndUnGZ.bat" "%USERPROFILE%\AppData\Local\Temp\OnboardLogs"\RTDC4032\1900-01-01</v>
      </c>
      <c r="AF167" s="77" t="str">
        <f t="shared" si="117"/>
        <v>"C:\Program Files (x86)\AstroGrep\AstroGrep.exe" /e /r /s /spath="%USERPROFILE%\AppData\Local\Temp\OnboardLogs" /stypes="app*4032*19000100*" /stext=" 06:.+((SYSTEM_STATE.+slice.+state.+changed )|(ment ac)|(multiple cpu faults)|(system.+state.+changed )|(\[timeout)|(PRM\|1\|D)|(kpr)|(kdp)|(\|lc)|(penalty))"</v>
      </c>
      <c r="AG167" s="1" t="str">
        <f t="shared" si="118"/>
        <v>NW</v>
      </c>
      <c r="AH167" s="81" t="str">
        <f t="shared" si="119"/>
        <v>"%USERPROFILE%\Documents\GitHub\eaglep3\Utilities\RefineRTDCRunTimes.py" --tripid 1803-23 --locoid 4032 --swversion DE.1.0.9.0 --startMP 300:57343 --initTime 2017-04-23T08:42:22 --startdatetime 1900-01-00T00:00:00 --delay 1 --endMP 204:743 --enddatetime 1900-01-00T00:00:00 --enforcementcount 0 &gt;&gt;C:\Users\stu\Documents\GitHub\eaglep3-reporting\EC\2017-04-23-refined-times.txt</v>
      </c>
      <c r="AI167" s="99" t="str">
        <f t="shared" si="120"/>
        <v>echo {"issue":{"subject":"FEP-02 outage - virus scan caused PTC Comms apps to lock up","project_id":79,"tracker_id":40,"status_id":1,"priority_id":2,"assigned_to_id":23,"start_date":"1900-01-00","description":"","custom_fields":[{"id":1,"name":"Subdivision","value":"NW"},{"id":4,"name":"Milepost","value":"0"},{"id":17,"name":"Train ID","value":"1803-23"},{"id":16,"name":"Locomotive ID","value":"4032"},{"id":130,"name":"Impact","value":""},{"id":150,"name":"Time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5" t="str">
        <f t="shared" si="121"/>
        <v>start /low /b %USERPROFILE%\Documents\GitHub\eaglep3\Utilities\DownloadLogsFromS3.py --loco 4032 --day 1900-01-00</v>
      </c>
      <c r="AN167" s="154" t="str">
        <f t="shared" si="122"/>
        <v>echo {"issue":{"subject":"FEP-02 outage - virus scan caused PTC Comms apps to lock up","project_id":30,"tracker_id":4,"status_id":1,"priority_id":1,"assigned_to_id":10,"start_date":"1900-01-00","description":"","custom_fields":[{"id":30,"name":"Category","value":"Issue"},{"id":3,"name":"Functional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UTC","value":"1900-01-00 06:00:00"},{"id":29,"name":"Sharepoint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8" spans="1:91" s="20" customFormat="1" x14ac:dyDescent="0.25">
      <c r="A168" s="32" t="s">
        <v>1028</v>
      </c>
      <c r="B168" s="7">
        <v>4031</v>
      </c>
      <c r="C168" s="21" t="s">
        <v>213</v>
      </c>
      <c r="D168" s="21" t="s">
        <v>914</v>
      </c>
      <c r="E168" s="13">
        <v>42848.362754629627</v>
      </c>
      <c r="F168" s="13"/>
      <c r="G168" s="7">
        <v>1</v>
      </c>
      <c r="H168" s="21" t="s">
        <v>915</v>
      </c>
      <c r="I168" s="13"/>
      <c r="J168" s="7">
        <v>0</v>
      </c>
      <c r="K168" s="92" t="str">
        <f t="shared" si="108"/>
        <v>4031/4032</v>
      </c>
      <c r="L168" s="21" t="e">
        <f>VLOOKUP(A168,'Trips&amp;Operators'!$C$1:$G$99999,5,FALSE)</f>
        <v>#N/A</v>
      </c>
      <c r="M168" s="6">
        <f t="shared" si="109"/>
        <v>0</v>
      </c>
      <c r="N168" s="7"/>
      <c r="O168" s="7"/>
      <c r="P168" s="7">
        <v>1</v>
      </c>
      <c r="Q168" s="22"/>
      <c r="R168" s="200" t="s">
        <v>1022</v>
      </c>
      <c r="S168" s="206">
        <f t="shared" si="110"/>
        <v>0</v>
      </c>
      <c r="T168" s="200" t="str">
        <f t="shared" si="111"/>
        <v>Southbound</v>
      </c>
      <c r="U168" s="200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0</v>
      </c>
      <c r="V168" s="201" t="str">
        <f t="shared" si="112"/>
        <v>https://d0f6bd738d7f1b3e5a7ca70fe4ff75f0.us-east-1.aws.found.io/app/kibana#/discover/Steve-Slow-Train-Analysis-(2080s-and-2083s)?_g=(refreshInterval:(display:Off,pause:!f,section:0,value:0),time:(from:'2017-04-23T07:42:22-0600',mode:absolute,to:'1900-01-00T01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8" s="202" t="str">
        <f t="shared" si="113"/>
        <v>Y</v>
      </c>
      <c r="X168" s="202">
        <f t="shared" si="79"/>
        <v>1</v>
      </c>
      <c r="Y168" s="202">
        <v>0</v>
      </c>
      <c r="Z168" s="202">
        <v>0</v>
      </c>
      <c r="AA168" s="202">
        <f t="shared" si="114"/>
        <v>0</v>
      </c>
      <c r="AB168" s="57" t="e">
        <f>VLOOKUP(A168,Enforcements!$C$7:$K$13,8,0)</f>
        <v>#N/A</v>
      </c>
      <c r="AC168" s="53" t="e">
        <f>VLOOKUP(A168,Enforcements!$C$7:$E$13,3,0)</f>
        <v>#N/A</v>
      </c>
      <c r="AD168" s="54" t="str">
        <f t="shared" si="115"/>
        <v>1804-23</v>
      </c>
      <c r="AE168" s="80" t="str">
        <f t="shared" si="116"/>
        <v>aws s3 cp s3://rtdc.mdm.uploadarchive.raw/RTDC4031/ "%USERPROFILE%\AppData\Local\Temp\OnboardLogs"\RTDC4031\1900-01-00 --exclude "*" --recursive --include "*19000100*" &amp; "%USERPROFILE%\Documents\GitHub\mrs-test-scripts\Headless Mode &amp; Sideloading\WalkAndUnGZ.bat" "%USERPROFILE%\AppData\Local\Temp\OnboardLogs"\RTDC4031\1900-01-00 &amp; aws s3 cp s3://rtdc.mdm.uploadarchive.raw/RTDC4031/ "%USERPROFILE%\AppData\Local\Temp\OnboardLogs"\RTDC4031\1900-01-01 --exclude "*" --recursive --include "*19000101*" &amp; "%USERPROFILE%\Documents\GitHub\mrs-test-scripts\Headless Mode &amp; Sideloading\WalkAndUnGZ.bat" "%USERPROFILE%\AppData\Local\Temp\OnboardLogs"\RTDC4031\1900-01-01</v>
      </c>
      <c r="AF168" s="77" t="str">
        <f t="shared" si="117"/>
        <v>"C:\Program Files (x86)\AstroGrep\AstroGrep.exe" /e /r /s /spath="%USERPROFILE%\AppData\Local\Temp\OnboardLogs" /stypes="app*4031*19000100*" /stext=" 06:.+((SYSTEM_STATE.+slice.+state.+changed )|(ment ac)|(multiple cpu faults)|(system.+state.+changed )|(\[timeout)|(PRM\|1\|D)|(kpr)|(kdp)|(\|lc)|(penalty))"</v>
      </c>
      <c r="AG168" s="1" t="str">
        <f t="shared" si="118"/>
        <v>NW</v>
      </c>
      <c r="AH168" s="81" t="str">
        <f t="shared" si="119"/>
        <v>"%USERPROFILE%\Documents\GitHub\eaglep3\Utilities\RefineRTDCRunTimes.py" --tripid 1804-23 --locoid 4031 --swversion DE.1.0.9.0 --startMP 300:57343 --initTime 2017-04-23T08:42:22 --startdatetime 1900-01-00T00:00:00 --delay 1 --endMP 204:743 --enddatetime 1900-01-00T00:00:00 --enforcementcount 0 &gt;&gt;C:\Users\stu\Documents\GitHub\eaglep3-reporting\EC\2017-04-23-refined-times.txt</v>
      </c>
      <c r="AI168" s="99" t="str">
        <f t="shared" si="120"/>
        <v>echo {"issue":{"subject":"FEP-02 outage - virus scan caused PTC Comms apps to lock up","project_id":79,"tracker_id":40,"status_id":1,"priority_id":2,"assigned_to_id":23,"start_date":"1900-01-00","description":"","custom_fields":[{"id":1,"name":"Subdivision","value":"NW"},{"id":4,"name":"Milepost","value":"0"},{"id":17,"name":"Train ID","value":"1804-23"},{"id":16,"name":"Locomotive ID","value":"4031"},{"id":130,"name":"Impact","value":""},{"id":150,"name":"Time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5" t="str">
        <f t="shared" si="121"/>
        <v>start /low /b %USERPROFILE%\Documents\GitHub\eaglep3\Utilities\DownloadLogsFromS3.py --loco 4031 --day 1900-01-00</v>
      </c>
      <c r="AN168" s="154" t="str">
        <f t="shared" si="122"/>
        <v>echo {"issue":{"subject":"FEP-02 outage - virus scan caused PTC Comms apps to lock up","project_id":30,"tracker_id":4,"status_id":1,"priority_id":1,"assigned_to_id":10,"start_date":"1900-01-00","description":"","custom_fields":[{"id":30,"name":"Category","value":"Issue"},{"id":3,"name":"Functional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UTC","value":"1900-01-00 06:00:00"},{"id":29,"name":"Sharepoint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9" spans="1:91" s="20" customFormat="1" x14ac:dyDescent="0.25">
      <c r="A169" s="32" t="s">
        <v>1029</v>
      </c>
      <c r="B169" s="7">
        <v>4032</v>
      </c>
      <c r="C169" s="21" t="s">
        <v>213</v>
      </c>
      <c r="D169" s="21" t="s">
        <v>914</v>
      </c>
      <c r="E169" s="13">
        <v>42848.362754629627</v>
      </c>
      <c r="F169" s="13"/>
      <c r="G169" s="7">
        <v>1</v>
      </c>
      <c r="H169" s="21" t="s">
        <v>915</v>
      </c>
      <c r="I169" s="13"/>
      <c r="J169" s="7">
        <v>0</v>
      </c>
      <c r="K169" s="92" t="str">
        <f t="shared" si="108"/>
        <v>4031/4032</v>
      </c>
      <c r="L169" s="21" t="e">
        <f>VLOOKUP(A169,'Trips&amp;Operators'!$C$1:$G$99999,5,FALSE)</f>
        <v>#N/A</v>
      </c>
      <c r="M169" s="6">
        <f t="shared" si="109"/>
        <v>0</v>
      </c>
      <c r="N169" s="7"/>
      <c r="O169" s="7"/>
      <c r="P169" s="7">
        <v>1</v>
      </c>
      <c r="Q169" s="22"/>
      <c r="R169" s="200" t="s">
        <v>1022</v>
      </c>
      <c r="S169" s="206">
        <f t="shared" si="110"/>
        <v>0</v>
      </c>
      <c r="T169" s="200" t="str">
        <f t="shared" si="111"/>
        <v>NorthBound</v>
      </c>
      <c r="U169" s="200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0</v>
      </c>
      <c r="V169" s="201" t="str">
        <f t="shared" si="112"/>
        <v>https://d0f6bd738d7f1b3e5a7ca70fe4ff75f0.us-east-1.aws.found.io/app/kibana#/discover/Steve-Slow-Train-Analysis-(2080s-and-2083s)?_g=(refreshInterval:(display:Off,pause:!f,section:0,value:0),time:(from:'2017-04-23T07:42:22-0600',mode:absolute,to:'1900-01-00T01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9" s="202" t="str">
        <f t="shared" si="113"/>
        <v>Y</v>
      </c>
      <c r="X169" s="202">
        <f t="shared" si="79"/>
        <v>1</v>
      </c>
      <c r="Y169" s="202">
        <v>0</v>
      </c>
      <c r="Z169" s="202">
        <v>0</v>
      </c>
      <c r="AA169" s="202">
        <f t="shared" si="114"/>
        <v>0</v>
      </c>
      <c r="AB169" s="57" t="e">
        <f>VLOOKUP(A169,Enforcements!$C$7:$K$13,8,0)</f>
        <v>#N/A</v>
      </c>
      <c r="AC169" s="53" t="e">
        <f>VLOOKUP(A169,Enforcements!$C$7:$E$13,3,0)</f>
        <v>#N/A</v>
      </c>
      <c r="AD169" s="54" t="str">
        <f t="shared" si="115"/>
        <v>1805-23</v>
      </c>
      <c r="AE169" s="80" t="str">
        <f t="shared" si="116"/>
        <v>aws s3 cp s3://rtdc.mdm.uploadarchive.raw/RTDC4032/ "%USERPROFILE%\AppData\Local\Temp\OnboardLogs"\RTDC4032\1900-01-00 --exclude "*" --recursive --include "*19000100*" &amp; "%USERPROFILE%\Documents\GitHub\mrs-test-scripts\Headless Mode &amp; Sideloading\WalkAndUnGZ.bat" "%USERPROFILE%\AppData\Local\Temp\OnboardLogs"\RTDC4032\1900-01-00 &amp; aws s3 cp s3://rtdc.mdm.uploadarchive.raw/RTDC4032/ "%USERPROFILE%\AppData\Local\Temp\OnboardLogs"\RTDC4032\1900-01-01 --exclude "*" --recursive --include "*19000101*" &amp; "%USERPROFILE%\Documents\GitHub\mrs-test-scripts\Headless Mode &amp; Sideloading\WalkAndUnGZ.bat" "%USERPROFILE%\AppData\Local\Temp\OnboardLogs"\RTDC4032\1900-01-01</v>
      </c>
      <c r="AF169" s="77" t="str">
        <f t="shared" si="117"/>
        <v>"C:\Program Files (x86)\AstroGrep\AstroGrep.exe" /e /r /s /spath="%USERPROFILE%\AppData\Local\Temp\OnboardLogs" /stypes="app*4032*19000100*" /stext=" 06:.+((SYSTEM_STATE.+slice.+state.+changed )|(ment ac)|(multiple cpu faults)|(system.+state.+changed )|(\[timeout)|(PRM\|1\|D)|(kpr)|(kdp)|(\|lc)|(penalty))"</v>
      </c>
      <c r="AG169" s="1" t="str">
        <f t="shared" si="118"/>
        <v>NW</v>
      </c>
      <c r="AH169" s="81" t="str">
        <f t="shared" si="119"/>
        <v>"%USERPROFILE%\Documents\GitHub\eaglep3\Utilities\RefineRTDCRunTimes.py" --tripid 1805-23 --locoid 4032 --swversion DE.1.0.9.0 --startMP 300:57343 --initTime 2017-04-23T08:42:22 --startdatetime 1900-01-00T00:00:00 --delay 1 --endMP 204:743 --enddatetime 1900-01-00T00:00:00 --enforcementcount 0 &gt;&gt;C:\Users\stu\Documents\GitHub\eaglep3-reporting\EC\2017-04-23-refined-times.txt</v>
      </c>
      <c r="AI169" s="99" t="str">
        <f t="shared" si="120"/>
        <v>echo {"issue":{"subject":"FEP-02 outage - virus scan caused PTC Comms apps to lock up","project_id":79,"tracker_id":40,"status_id":1,"priority_id":2,"assigned_to_id":23,"start_date":"1900-01-00","description":"","custom_fields":[{"id":1,"name":"Subdivision","value":"NW"},{"id":4,"name":"Milepost","value":"0"},{"id":17,"name":"Train ID","value":"1805-23"},{"id":16,"name":"Locomotive ID","value":"4032"},{"id":130,"name":"Impact","value":""},{"id":150,"name":"Time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5" t="str">
        <f t="shared" si="121"/>
        <v>start /low /b %USERPROFILE%\Documents\GitHub\eaglep3\Utilities\DownloadLogsFromS3.py --loco 4032 --day 1900-01-00</v>
      </c>
      <c r="AN169" s="154" t="str">
        <f t="shared" si="122"/>
        <v>echo {"issue":{"subject":"FEP-02 outage - virus scan caused PTC Comms apps to lock up","project_id":30,"tracker_id":4,"status_id":1,"priority_id":1,"assigned_to_id":10,"start_date":"1900-01-00","description":"","custom_fields":[{"id":30,"name":"Category","value":"Issue"},{"id":3,"name":"Functional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UTC","value":"1900-01-00 06:00:00"},{"id":29,"name":"Sharepoint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0" spans="1:91" s="20" customFormat="1" x14ac:dyDescent="0.25">
      <c r="A170" s="32" t="s">
        <v>685</v>
      </c>
      <c r="B170" s="7">
        <v>4031</v>
      </c>
      <c r="C170" s="21" t="s">
        <v>213</v>
      </c>
      <c r="D170" s="21" t="s">
        <v>914</v>
      </c>
      <c r="E170" s="13">
        <v>42848.362754629627</v>
      </c>
      <c r="F170" s="13">
        <v>42848.36383101852</v>
      </c>
      <c r="G170" s="7">
        <v>1</v>
      </c>
      <c r="H170" s="21" t="s">
        <v>915</v>
      </c>
      <c r="I170" s="13">
        <v>42848.372384259259</v>
      </c>
      <c r="J170" s="7">
        <v>0</v>
      </c>
      <c r="K170" s="92" t="str">
        <f t="shared" si="74"/>
        <v>4031/4032</v>
      </c>
      <c r="L170" s="21" t="str">
        <f>VLOOKUP(A170,'Trips&amp;Operators'!$C$1:$G$99999,5,FALSE)</f>
        <v>YORK EDGAR</v>
      </c>
      <c r="M170" s="6">
        <f t="shared" si="75"/>
        <v>8.55324073927477E-3</v>
      </c>
      <c r="N170" s="7">
        <f t="shared" si="91"/>
        <v>12.316666664555669</v>
      </c>
      <c r="O170" s="7"/>
      <c r="P170" s="7"/>
      <c r="Q170" s="22"/>
      <c r="R170" s="200"/>
      <c r="S170" s="206">
        <f t="shared" si="92"/>
        <v>1</v>
      </c>
      <c r="T170" s="200" t="str">
        <f t="shared" si="76"/>
        <v>Southbound</v>
      </c>
      <c r="U170" s="200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01" t="str">
        <f t="shared" si="77"/>
        <v>https://d0f6bd738d7f1b3e5a7ca70fe4ff75f0.us-east-1.aws.found.io/app/kibana#/discover/Steve-Slow-Train-Analysis-(2080s-and-2083s)?_g=(refreshInterval:(display:Off,pause:!f,section:0,value:0),time:(from:'2017-04-23T07:42:22-0600',mode:absolute,to:'2017-04-23T09:56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0" s="202" t="str">
        <f t="shared" si="78"/>
        <v>N</v>
      </c>
      <c r="X170" s="202">
        <f t="shared" si="79"/>
        <v>1</v>
      </c>
      <c r="Y170" s="202">
        <f t="shared" si="80"/>
        <v>5.7343000000000002</v>
      </c>
      <c r="Z170" s="202">
        <f t="shared" si="81"/>
        <v>7.4300000000000005E-2</v>
      </c>
      <c r="AA170" s="202">
        <f t="shared" si="82"/>
        <v>5.66</v>
      </c>
      <c r="AB170" s="57" t="e">
        <f>VLOOKUP(A170,Enforcements!$C$7:$K$13,8,0)</f>
        <v>#N/A</v>
      </c>
      <c r="AC170" s="53" t="e">
        <f>VLOOKUP(A170,Enforcements!$C$7:$E$13,3,0)</f>
        <v>#N/A</v>
      </c>
      <c r="AD170" s="54" t="str">
        <f t="shared" si="83"/>
        <v>1806-23</v>
      </c>
      <c r="AE170" s="80" t="str">
        <f t="shared" si="84"/>
        <v>aws s3 cp s3://rtdc.mdm.uploadarchive.raw/RTDC4031/ "%USERPROFILE%\AppData\Local\Temp\OnboardLogs"\RTDC4031\2017-04-23 --exclude "*" --recursive --include "*20170423*" &amp; "%USERPROFILE%\Documents\GitHub\mrs-test-scripts\Headless Mode &amp; Sideloading\WalkAndUnGZ.bat" "%USERPROFILE%\AppData\Local\Temp\OnboardLogs"\RTDC4031\2017-04-23 &amp; aws s3 cp s3://rtdc.mdm.uploadarchive.raw/RTDC4031/ "%USERPROFILE%\AppData\Local\Temp\OnboardLogs"\RTDC4031\2017-04-24 --exclude "*" --recursive --include "*20170424*" &amp; "%USERPROFILE%\Documents\GitHub\mrs-test-scripts\Headless Mode &amp; Sideloading\WalkAndUnGZ.bat" "%USERPROFILE%\AppData\Local\Temp\OnboardLogs"\RTDC4031\2017-04-24</v>
      </c>
      <c r="AF170" s="77" t="str">
        <f t="shared" si="85"/>
        <v>"C:\Program Files (x86)\AstroGrep\AstroGrep.exe" /e /r /s /spath="%USERPROFILE%\AppData\Local\Temp\OnboardLogs" /stypes="app*4031*20170423*" /stext=" 14:.+((SYSTEM_STATE.+slice.+state.+changed )|(ment ac)|(multiple cpu faults)|(system.+state.+changed )|(\[timeout)|(PRM\|1\|D)|(kpr)|(kdp)|(\|lc)|(penalty))"</v>
      </c>
      <c r="AG170" s="1" t="str">
        <f t="shared" si="86"/>
        <v>NW</v>
      </c>
      <c r="AH170" s="81" t="str">
        <f t="shared" si="87"/>
        <v>"%USERPROFILE%\Documents\GitHub\eaglep3\Utilities\RefineRTDCRunTimes.py" --tripid 1806-23 --locoid 4031 --swversion DE.1.0.9.0 --startMP 300:57343 --initTime 2017-04-23T08:42:22 --startdatetime 2017-04-23T08:43:55 --delay 1 --endMP 204:743 --enddatetime 2017-04-23T08:56:14 --enforcementcount 0 &gt;&gt;C:\Users\stu\Documents\GitHub\eaglep3-reporting\EC\2017-04-23-refined-times.txt</v>
      </c>
      <c r="AI170" s="99" t="str">
        <f t="shared" si="88"/>
        <v>echo {"issue":{"subject":"","project_id":79,"tracker_id":40,"status_id":1,"priority_id":2,"assigned_to_id":23,"start_date":"2017-04-23","description":"","custom_fields":[{"id":1,"name":"Subdivision","value":"NW"},{"id":4,"name":"Milepost","value":"0.0743"},{"id":17,"name":"Train ID","value":"1806-23"},{"id":16,"name":"Locomotive ID","value":"4031"},{"id":130,"name":"Impact","value":""},{"id":150,"name":"Time of Event (Mountain Time)","value":"08:56:14"},{"id":151,"name":"Denver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5" t="str">
        <f t="shared" si="89"/>
        <v>start /low /b %USERPROFILE%\Documents\GitHub\eaglep3\Utilities\DownloadLogsFromS3.py --loco 4031 --day 2017-04-23</v>
      </c>
      <c r="AN170" s="154" t="str">
        <f t="shared" si="90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14:56:14"},{"id":29,"name":"Sharepoint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2" t="s">
        <v>688</v>
      </c>
      <c r="B171" s="7">
        <v>4032</v>
      </c>
      <c r="C171" s="21" t="s">
        <v>213</v>
      </c>
      <c r="D171" s="21" t="s">
        <v>916</v>
      </c>
      <c r="E171" s="13">
        <v>42848.373148148145</v>
      </c>
      <c r="F171" s="13">
        <v>42848.389803240738</v>
      </c>
      <c r="G171" s="7">
        <v>1</v>
      </c>
      <c r="H171" s="21" t="s">
        <v>595</v>
      </c>
      <c r="I171" s="13">
        <v>42848.398252314815</v>
      </c>
      <c r="J171" s="7">
        <v>0</v>
      </c>
      <c r="K171" s="92" t="str">
        <f t="shared" si="74"/>
        <v>4031/4032</v>
      </c>
      <c r="L171" s="21" t="str">
        <f>VLOOKUP(A171,'Trips&amp;Operators'!$C$1:$G$99999,5,FALSE)</f>
        <v>YORK EDGAR</v>
      </c>
      <c r="M171" s="6">
        <f t="shared" si="75"/>
        <v>8.449074077361729E-3</v>
      </c>
      <c r="N171" s="7">
        <f t="shared" si="91"/>
        <v>12.16666667140089</v>
      </c>
      <c r="O171" s="7"/>
      <c r="P171" s="7"/>
      <c r="Q171" s="22"/>
      <c r="R171" s="200"/>
      <c r="S171" s="206">
        <f t="shared" si="92"/>
        <v>1</v>
      </c>
      <c r="T171" s="200" t="str">
        <f t="shared" si="76"/>
        <v>NorthBound</v>
      </c>
      <c r="U171" s="200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01" t="str">
        <f t="shared" si="77"/>
        <v>https://d0f6bd738d7f1b3e5a7ca70fe4ff75f0.us-east-1.aws.found.io/app/kibana#/discover/Steve-Slow-Train-Analysis-(2080s-and-2083s)?_g=(refreshInterval:(display:Off,pause:!f,section:0,value:0),time:(from:'2017-04-23T07:57:20-0600',mode:absolute,to:'2017-04-23T10:33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1" s="202" t="str">
        <f t="shared" si="78"/>
        <v>N</v>
      </c>
      <c r="X171" s="202">
        <f t="shared" ref="X163:X175" si="123">VALUE(LEFT(AD171,4))-VALUE(LEFT(AD170,4))</f>
        <v>1</v>
      </c>
      <c r="Y171" s="202">
        <f t="shared" si="80"/>
        <v>0.10299999999999999</v>
      </c>
      <c r="Z171" s="202">
        <f t="shared" si="81"/>
        <v>5.8936999999999999</v>
      </c>
      <c r="AA171" s="202">
        <f t="shared" si="82"/>
        <v>5.7907000000000002</v>
      </c>
      <c r="AB171" s="57" t="e">
        <f>VLOOKUP(A171,Enforcements!$C$7:$K$13,8,0)</f>
        <v>#N/A</v>
      </c>
      <c r="AC171" s="53" t="e">
        <f>VLOOKUP(A171,Enforcements!$C$7:$E$13,3,0)</f>
        <v>#N/A</v>
      </c>
      <c r="AD171" s="54" t="str">
        <f t="shared" si="83"/>
        <v>1807-23</v>
      </c>
      <c r="AE171" s="80" t="str">
        <f t="shared" si="84"/>
        <v>aws s3 cp s3://rtdc.mdm.uploadarchive.raw/RTDC4032/ "%USERPROFILE%\AppData\Local\Temp\OnboardLogs"\RTDC4032\2017-04-23 --exclude "*" --recursive --include "*20170423*" &amp; "%USERPROFILE%\Documents\GitHub\mrs-test-scripts\Headless Mode &amp; Sideloading\WalkAndUnGZ.bat" "%USERPROFILE%\AppData\Local\Temp\OnboardLogs"\RTDC4032\2017-04-23 &amp; aws s3 cp s3://rtdc.mdm.uploadarchive.raw/RTDC4032/ "%USERPROFILE%\AppData\Local\Temp\OnboardLogs"\RTDC4032\2017-04-24 --exclude "*" --recursive --include "*20170424*" &amp; "%USERPROFILE%\Documents\GitHub\mrs-test-scripts\Headless Mode &amp; Sideloading\WalkAndUnGZ.bat" "%USERPROFILE%\AppData\Local\Temp\OnboardLogs"\RTDC4032\2017-04-24</v>
      </c>
      <c r="AF171" s="77" t="str">
        <f t="shared" si="85"/>
        <v>"C:\Program Files (x86)\AstroGrep\AstroGrep.exe" /e /r /s /spath="%USERPROFILE%\AppData\Local\Temp\OnboardLogs" /stypes="app*4032*20170423*" /stext=" 15:.+((SYSTEM_STATE.+slice.+state.+changed )|(ment ac)|(multiple cpu faults)|(system.+state.+changed )|(\[timeout)|(PRM\|1\|D)|(kpr)|(kdp)|(\|lc)|(penalty))"</v>
      </c>
      <c r="AG171" s="1" t="str">
        <f t="shared" si="86"/>
        <v>NW</v>
      </c>
      <c r="AH171" s="81" t="str">
        <f t="shared" si="87"/>
        <v>"%USERPROFILE%\Documents\GitHub\eaglep3\Utilities\RefineRTDCRunTimes.py" --tripid 1807-23 --locoid 4032 --swversion DE.1.0.9.0 --startMP 204:1030 --initTime 2017-04-23T08:57:20 --startdatetime 2017-04-23T09:21:19 --delay 1 --endMP 300:58937 --enddatetime 2017-04-23T09:33:29 --enforcementcount 0 &gt;&gt;C:\Users\stu\Documents\GitHub\eaglep3-reporting\EC\2017-04-23-refined-times.txt</v>
      </c>
      <c r="AI171" s="99" t="str">
        <f t="shared" si="88"/>
        <v>echo {"issue":{"subject":"","project_id":79,"tracker_id":40,"status_id":1,"priority_id":2,"assigned_to_id":23,"start_date":"2017-04-23","description":"","custom_fields":[{"id":1,"name":"Subdivision","value":"NW"},{"id":4,"name":"Milepost","value":"5.8937"},{"id":17,"name":"Train ID","value":"1807-23"},{"id":16,"name":"Locomotive ID","value":"4032"},{"id":130,"name":"Impact","value":""},{"id":150,"name":"Time of Event (Mountain Time)","value":"09:33:29"},{"id":151,"name":"Denver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5" t="str">
        <f t="shared" si="89"/>
        <v>start /low /b %USERPROFILE%\Documents\GitHub\eaglep3\Utilities\DownloadLogsFromS3.py --loco 4032 --day 2017-04-23</v>
      </c>
      <c r="AN171" s="154" t="str">
        <f t="shared" si="90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15:33:29"},{"id":29,"name":"Sharepoint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2" spans="1:91" s="20" customFormat="1" x14ac:dyDescent="0.25">
      <c r="A172" s="32" t="s">
        <v>692</v>
      </c>
      <c r="B172" s="7">
        <v>4031</v>
      </c>
      <c r="C172" s="21" t="s">
        <v>213</v>
      </c>
      <c r="D172" s="21" t="s">
        <v>917</v>
      </c>
      <c r="E172" s="13">
        <v>42848.399282407408</v>
      </c>
      <c r="F172" s="13">
        <v>42848.403946759259</v>
      </c>
      <c r="G172" s="7">
        <v>0</v>
      </c>
      <c r="H172" s="21" t="s">
        <v>918</v>
      </c>
      <c r="I172" s="13">
        <v>42848.41269675926</v>
      </c>
      <c r="J172" s="7">
        <v>0</v>
      </c>
      <c r="K172" s="92" t="str">
        <f t="shared" si="74"/>
        <v>4031/4032</v>
      </c>
      <c r="L172" s="21" t="str">
        <f>VLOOKUP(A172,'Trips&amp;Operators'!$C$1:$G$99999,5,FALSE)</f>
        <v>YORK EDGAR</v>
      </c>
      <c r="M172" s="6">
        <f t="shared" si="75"/>
        <v>8.7500000008731149E-3</v>
      </c>
      <c r="N172" s="7">
        <f t="shared" si="91"/>
        <v>12.600000001257285</v>
      </c>
      <c r="O172" s="7"/>
      <c r="P172" s="7"/>
      <c r="Q172" s="22"/>
      <c r="R172" s="200"/>
      <c r="S172" s="206">
        <f t="shared" si="92"/>
        <v>1</v>
      </c>
      <c r="T172" s="200" t="str">
        <f t="shared" si="76"/>
        <v>Southbound</v>
      </c>
      <c r="U172" s="200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01" t="str">
        <f t="shared" si="77"/>
        <v>https://d0f6bd738d7f1b3e5a7ca70fe4ff75f0.us-east-1.aws.found.io/app/kibana#/discover/Steve-Slow-Train-Analysis-(2080s-and-2083s)?_g=(refreshInterval:(display:Off,pause:!f,section:0,value:0),time:(from:'2017-04-23T08:34:58-0600',mode:absolute,to:'2017-04-23T10:54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2" s="202" t="str">
        <f t="shared" si="78"/>
        <v>N</v>
      </c>
      <c r="X172" s="202">
        <f t="shared" si="123"/>
        <v>1</v>
      </c>
      <c r="Y172" s="202">
        <f t="shared" si="80"/>
        <v>5.8619000000000003</v>
      </c>
      <c r="Z172" s="202">
        <f t="shared" si="81"/>
        <v>7.1999999999999995E-2</v>
      </c>
      <c r="AA172" s="202">
        <f t="shared" si="82"/>
        <v>5.7899000000000003</v>
      </c>
      <c r="AB172" s="57" t="e">
        <f>VLOOKUP(A172,Enforcements!$C$7:$K$13,8,0)</f>
        <v>#N/A</v>
      </c>
      <c r="AC172" s="53" t="e">
        <f>VLOOKUP(A172,Enforcements!$C$7:$E$13,3,0)</f>
        <v>#N/A</v>
      </c>
      <c r="AD172" s="54" t="str">
        <f t="shared" si="83"/>
        <v>1808-23</v>
      </c>
      <c r="AE172" s="80" t="str">
        <f t="shared" si="84"/>
        <v>aws s3 cp s3://rtdc.mdm.uploadarchive.raw/RTDC4031/ "%USERPROFILE%\AppData\Local\Temp\OnboardLogs"\RTDC4031\2017-04-23 --exclude "*" --recursive --include "*20170423*" &amp; "%USERPROFILE%\Documents\GitHub\mrs-test-scripts\Headless Mode &amp; Sideloading\WalkAndUnGZ.bat" "%USERPROFILE%\AppData\Local\Temp\OnboardLogs"\RTDC4031\2017-04-23 &amp; aws s3 cp s3://rtdc.mdm.uploadarchive.raw/RTDC4031/ "%USERPROFILE%\AppData\Local\Temp\OnboardLogs"\RTDC4031\2017-04-24 --exclude "*" --recursive --include "*20170424*" &amp; "%USERPROFILE%\Documents\GitHub\mrs-test-scripts\Headless Mode &amp; Sideloading\WalkAndUnGZ.bat" "%USERPROFILE%\AppData\Local\Temp\OnboardLogs"\RTDC4031\2017-04-24</v>
      </c>
      <c r="AF172" s="77" t="str">
        <f t="shared" si="85"/>
        <v>"C:\Program Files (x86)\AstroGrep\AstroGrep.exe" /e /r /s /spath="%USERPROFILE%\AppData\Local\Temp\OnboardLogs" /stypes="app*4031*20170423*" /stext=" 15:.+((SYSTEM_STATE.+slice.+state.+changed )|(ment ac)|(multiple cpu faults)|(system.+state.+changed )|(\[timeout)|(PRM\|1\|D)|(kpr)|(kdp)|(\|lc)|(penalty))"</v>
      </c>
      <c r="AG172" s="1" t="str">
        <f t="shared" si="86"/>
        <v>NW</v>
      </c>
      <c r="AH172" s="81" t="str">
        <f t="shared" si="87"/>
        <v>"%USERPROFILE%\Documents\GitHub\eaglep3\Utilities\RefineRTDCRunTimes.py" --tripid 1808-23 --locoid 4031 --swversion DE.1.0.9.0 --startMP 300:58619 --initTime 2017-04-23T09:34:58 --startdatetime 2017-04-23T09:41:41 --delay 0 --endMP 204:720 --enddatetime 2017-04-23T09:54:17 --enforcementcount 0 &gt;&gt;C:\Users\stu\Documents\GitHub\eaglep3-reporting\EC\2017-04-23-refined-times.txt</v>
      </c>
      <c r="AI172" s="99" t="str">
        <f t="shared" si="88"/>
        <v>echo {"issue":{"subject":"","project_id":79,"tracker_id":40,"status_id":1,"priority_id":2,"assigned_to_id":23,"start_date":"2017-04-23","description":"","custom_fields":[{"id":1,"name":"Subdivision","value":"NW"},{"id":4,"name":"Milepost","value":"0.072"},{"id":17,"name":"Train ID","value":"1808-23"},{"id":16,"name":"Locomotive ID","value":"4031"},{"id":130,"name":"Impact","value":""},{"id":150,"name":"Time of Event (Mountain Time)","value":"09:54:17"},{"id":151,"name":"Denver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5" t="str">
        <f t="shared" si="89"/>
        <v>start /low /b %USERPROFILE%\Documents\GitHub\eaglep3\Utilities\DownloadLogsFromS3.py --loco 4031 --day 2017-04-23</v>
      </c>
      <c r="AN172" s="154" t="str">
        <f t="shared" si="90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15:54:17"},{"id":29,"name":"Sharepoint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x14ac:dyDescent="0.25">
      <c r="A173" s="32" t="s">
        <v>696</v>
      </c>
      <c r="B173" s="7">
        <v>4032</v>
      </c>
      <c r="C173" s="21" t="s">
        <v>213</v>
      </c>
      <c r="D173" s="21" t="s">
        <v>594</v>
      </c>
      <c r="E173" s="13">
        <v>42848.413425925923</v>
      </c>
      <c r="F173" s="13">
        <v>42848.431840277779</v>
      </c>
      <c r="G173" s="7">
        <v>0</v>
      </c>
      <c r="H173" s="21" t="s">
        <v>919</v>
      </c>
      <c r="I173" s="13">
        <v>42848.440185185187</v>
      </c>
      <c r="J173" s="7">
        <v>0</v>
      </c>
      <c r="K173" s="92" t="str">
        <f t="shared" si="74"/>
        <v>4031/4032</v>
      </c>
      <c r="L173" s="21" t="str">
        <f>VLOOKUP(A173,'Trips&amp;Operators'!$C$1:$G$99999,5,FALSE)</f>
        <v>YORK EDGAR</v>
      </c>
      <c r="M173" s="6">
        <f t="shared" si="75"/>
        <v>8.3449074081727304E-3</v>
      </c>
      <c r="N173" s="7">
        <f t="shared" si="91"/>
        <v>12.016666667768732</v>
      </c>
      <c r="O173" s="7"/>
      <c r="P173" s="7"/>
      <c r="Q173" s="22"/>
      <c r="R173" s="200"/>
      <c r="S173" s="206">
        <f t="shared" si="92"/>
        <v>1</v>
      </c>
      <c r="T173" s="200" t="str">
        <f t="shared" si="76"/>
        <v>NorthBound</v>
      </c>
      <c r="U173" s="200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01" t="str">
        <f t="shared" si="77"/>
        <v>https://d0f6bd738d7f1b3e5a7ca70fe4ff75f0.us-east-1.aws.found.io/app/kibana#/discover/Steve-Slow-Train-Analysis-(2080s-and-2083s)?_g=(refreshInterval:(display:Off,pause:!f,section:0,value:0),time:(from:'2017-04-23T08:55:20-0600',mode:absolute,to:'2017-04-23T11:33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3" s="202" t="str">
        <f t="shared" si="78"/>
        <v>N</v>
      </c>
      <c r="X173" s="202">
        <f t="shared" si="123"/>
        <v>1</v>
      </c>
      <c r="Y173" s="202">
        <f t="shared" si="80"/>
        <v>0.1013</v>
      </c>
      <c r="Z173" s="202">
        <f t="shared" si="81"/>
        <v>5.8940999999999999</v>
      </c>
      <c r="AA173" s="202">
        <f t="shared" si="82"/>
        <v>5.7927999999999997</v>
      </c>
      <c r="AB173" s="57" t="e">
        <f>VLOOKUP(A173,Enforcements!$C$7:$K$13,8,0)</f>
        <v>#N/A</v>
      </c>
      <c r="AC173" s="53" t="e">
        <f>VLOOKUP(A173,Enforcements!$C$7:$E$13,3,0)</f>
        <v>#N/A</v>
      </c>
      <c r="AD173" s="54" t="str">
        <f t="shared" si="83"/>
        <v>1809-23</v>
      </c>
      <c r="AE173" s="80" t="str">
        <f t="shared" si="84"/>
        <v>aws s3 cp s3://rtdc.mdm.uploadarchive.raw/RTDC4032/ "%USERPROFILE%\AppData\Local\Temp\OnboardLogs"\RTDC4032\2017-04-23 --exclude "*" --recursive --include "*20170423*" &amp; "%USERPROFILE%\Documents\GitHub\mrs-test-scripts\Headless Mode &amp; Sideloading\WalkAndUnGZ.bat" "%USERPROFILE%\AppData\Local\Temp\OnboardLogs"\RTDC4032\2017-04-23 &amp; aws s3 cp s3://rtdc.mdm.uploadarchive.raw/RTDC4032/ "%USERPROFILE%\AppData\Local\Temp\OnboardLogs"\RTDC4032\2017-04-24 --exclude "*" --recursive --include "*20170424*" &amp; "%USERPROFILE%\Documents\GitHub\mrs-test-scripts\Headless Mode &amp; Sideloading\WalkAndUnGZ.bat" "%USERPROFILE%\AppData\Local\Temp\OnboardLogs"\RTDC4032\2017-04-24</v>
      </c>
      <c r="AF173" s="77" t="str">
        <f t="shared" si="85"/>
        <v>"C:\Program Files (x86)\AstroGrep\AstroGrep.exe" /e /r /s /spath="%USERPROFILE%\AppData\Local\Temp\OnboardLogs" /stypes="app*4032*20170423*" /stext=" 16:.+((SYSTEM_STATE.+slice.+state.+changed )|(ment ac)|(multiple cpu faults)|(system.+state.+changed )|(\[timeout)|(PRM\|1\|D)|(kpr)|(kdp)|(\|lc)|(penalty))"</v>
      </c>
      <c r="AG173" s="1" t="str">
        <f t="shared" si="86"/>
        <v>NW</v>
      </c>
      <c r="AH173" s="81" t="str">
        <f t="shared" si="87"/>
        <v>"%USERPROFILE%\Documents\GitHub\eaglep3\Utilities\RefineRTDCRunTimes.py" --tripid 1809-23 --locoid 4032 --swversion DE.1.0.9.0 --startMP 204:1013 --initTime 2017-04-23T09:55:20 --startdatetime 2017-04-23T10:21:51 --delay 0 --endMP 300:58941 --enddatetime 2017-04-23T10:33:52 --enforcementcount 0 &gt;&gt;C:\Users\stu\Documents\GitHub\eaglep3-reporting\EC\2017-04-23-refined-times.txt</v>
      </c>
      <c r="AI173" s="99" t="str">
        <f t="shared" si="88"/>
        <v>echo {"issue":{"subject":"","project_id":79,"tracker_id":40,"status_id":1,"priority_id":2,"assigned_to_id":23,"start_date":"2017-04-23","description":"","custom_fields":[{"id":1,"name":"Subdivision","value":"NW"},{"id":4,"name":"Milepost","value":"5.8941"},{"id":17,"name":"Train ID","value":"1809-23"},{"id":16,"name":"Locomotive ID","value":"4032"},{"id":130,"name":"Impact","value":""},{"id":150,"name":"Time of Event (Mountain Time)","value":"10:33:52"},{"id":151,"name":"Denver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5" t="str">
        <f t="shared" si="89"/>
        <v>start /low /b %USERPROFILE%\Documents\GitHub\eaglep3\Utilities\DownloadLogsFromS3.py --loco 4032 --day 2017-04-23</v>
      </c>
      <c r="AN173" s="154" t="str">
        <f t="shared" si="90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16:33:52"},{"id":29,"name":"Sharepoint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4" spans="1:91" x14ac:dyDescent="0.25">
      <c r="A174" s="32" t="s">
        <v>703</v>
      </c>
      <c r="B174" s="7">
        <v>4031</v>
      </c>
      <c r="C174" s="21" t="s">
        <v>213</v>
      </c>
      <c r="D174" s="21" t="s">
        <v>921</v>
      </c>
      <c r="E174" s="13">
        <v>42848.441064814811</v>
      </c>
      <c r="F174" s="13">
        <v>42848.445613425924</v>
      </c>
      <c r="G174" s="7">
        <v>1</v>
      </c>
      <c r="H174" s="21" t="s">
        <v>922</v>
      </c>
      <c r="I174" s="13">
        <v>42848.454212962963</v>
      </c>
      <c r="J174" s="7">
        <v>0</v>
      </c>
      <c r="K174" s="92" t="str">
        <f t="shared" si="74"/>
        <v>4031/4032</v>
      </c>
      <c r="L174" s="21" t="str">
        <f>VLOOKUP(A174,'Trips&amp;Operators'!$C$1:$G$99999,5,FALSE)</f>
        <v>YORK EDGAR</v>
      </c>
      <c r="M174" s="6">
        <f t="shared" si="75"/>
        <v>8.599537039117422E-3</v>
      </c>
      <c r="N174" s="7">
        <f t="shared" si="91"/>
        <v>12.383333336329088</v>
      </c>
      <c r="O174" s="7"/>
      <c r="P174" s="7"/>
      <c r="Q174" s="22"/>
      <c r="R174" s="200"/>
      <c r="S174" s="206">
        <f t="shared" si="92"/>
        <v>1</v>
      </c>
      <c r="T174" s="200" t="str">
        <f t="shared" si="76"/>
        <v>Southbound</v>
      </c>
      <c r="U174" s="200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01" t="str">
        <f t="shared" si="77"/>
        <v>https://d0f6bd738d7f1b3e5a7ca70fe4ff75f0.us-east-1.aws.found.io/app/kibana#/discover/Steve-Slow-Train-Analysis-(2080s-and-2083s)?_g=(refreshInterval:(display:Off,pause:!f,section:0,value:0),time:(from:'2017-04-23T09:35:08-0600',mode:absolute,to:'2017-04-23T11:54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4" s="202" t="str">
        <f t="shared" si="78"/>
        <v>N</v>
      </c>
      <c r="X174" s="202">
        <f t="shared" si="123"/>
        <v>1</v>
      </c>
      <c r="Y174" s="202">
        <f t="shared" si="80"/>
        <v>5.8628</v>
      </c>
      <c r="Z174" s="202">
        <f t="shared" si="81"/>
        <v>7.6200000000000004E-2</v>
      </c>
      <c r="AA174" s="202">
        <f t="shared" si="82"/>
        <v>5.7866</v>
      </c>
      <c r="AB174" s="57" t="e">
        <f>VLOOKUP(A174,Enforcements!$C$7:$K$13,8,0)</f>
        <v>#N/A</v>
      </c>
      <c r="AC174" s="53" t="e">
        <f>VLOOKUP(A174,Enforcements!$C$7:$E$13,3,0)</f>
        <v>#N/A</v>
      </c>
      <c r="AD174" s="54" t="str">
        <f t="shared" si="83"/>
        <v>1810-23</v>
      </c>
      <c r="AE174" s="80" t="str">
        <f t="shared" si="84"/>
        <v>aws s3 cp s3://rtdc.mdm.uploadarchive.raw/RTDC4031/ "%USERPROFILE%\AppData\Local\Temp\OnboardLogs"\RTDC4031\2017-04-23 --exclude "*" --recursive --include "*20170423*" &amp; "%USERPROFILE%\Documents\GitHub\mrs-test-scripts\Headless Mode &amp; Sideloading\WalkAndUnGZ.bat" "%USERPROFILE%\AppData\Local\Temp\OnboardLogs"\RTDC4031\2017-04-23 &amp; aws s3 cp s3://rtdc.mdm.uploadarchive.raw/RTDC4031/ "%USERPROFILE%\AppData\Local\Temp\OnboardLogs"\RTDC4031\2017-04-24 --exclude "*" --recursive --include "*20170424*" &amp; "%USERPROFILE%\Documents\GitHub\mrs-test-scripts\Headless Mode &amp; Sideloading\WalkAndUnGZ.bat" "%USERPROFILE%\AppData\Local\Temp\OnboardLogs"\RTDC4031\2017-04-24</v>
      </c>
      <c r="AF174" s="77" t="str">
        <f t="shared" si="85"/>
        <v>"C:\Program Files (x86)\AstroGrep\AstroGrep.exe" /e /r /s /spath="%USERPROFILE%\AppData\Local\Temp\OnboardLogs" /stypes="app*4031*20170423*" /stext=" 16:.+((SYSTEM_STATE.+slice.+state.+changed )|(ment ac)|(multiple cpu faults)|(system.+state.+changed )|(\[timeout)|(PRM\|1\|D)|(kpr)|(kdp)|(\|lc)|(penalty))"</v>
      </c>
      <c r="AG174" s="1" t="str">
        <f t="shared" si="86"/>
        <v>NW</v>
      </c>
      <c r="AH174" s="81" t="str">
        <f t="shared" si="87"/>
        <v>"%USERPROFILE%\Documents\GitHub\eaglep3\Utilities\RefineRTDCRunTimes.py" --tripid 1810-23 --locoid 4031 --swversion DE.1.0.9.0 --startMP 300:58628 --initTime 2017-04-23T10:35:08 --startdatetime 2017-04-23T10:41:41 --delay 1 --endMP 204:762 --enddatetime 2017-04-23T10:54:04 --enforcementcount 0 &gt;&gt;C:\Users\stu\Documents\GitHub\eaglep3-reporting\EC\2017-04-23-refined-times.txt</v>
      </c>
      <c r="AI174" s="99" t="str">
        <f t="shared" si="88"/>
        <v>echo {"issue":{"subject":"","project_id":79,"tracker_id":40,"status_id":1,"priority_id":2,"assigned_to_id":23,"start_date":"2017-04-23","description":"","custom_fields":[{"id":1,"name":"Subdivision","value":"NW"},{"id":4,"name":"Milepost","value":"0.0762"},{"id":17,"name":"Train ID","value":"1810-23"},{"id":16,"name":"Locomotive ID","value":"4031"},{"id":130,"name":"Impact","value":""},{"id":150,"name":"Time of Event (Mountain Time)","value":"10:54:04"},{"id":151,"name":"Denver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5" t="str">
        <f t="shared" si="89"/>
        <v>start /low /b %USERPROFILE%\Documents\GitHub\eaglep3\Utilities\DownloadLogsFromS3.py --loco 4031 --day 2017-04-23</v>
      </c>
      <c r="AN174" s="154" t="str">
        <f t="shared" si="90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16:54:04"},{"id":29,"name":"Sharepoint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5" spans="1:91" s="20" customFormat="1" x14ac:dyDescent="0.25">
      <c r="A175" s="32" t="s">
        <v>710</v>
      </c>
      <c r="B175" s="7">
        <v>4032</v>
      </c>
      <c r="C175" s="21" t="s">
        <v>213</v>
      </c>
      <c r="D175" s="21" t="s">
        <v>923</v>
      </c>
      <c r="E175" s="13">
        <v>42848.455208333333</v>
      </c>
      <c r="F175" s="13">
        <v>42848.473252314812</v>
      </c>
      <c r="G175" s="7">
        <v>0</v>
      </c>
      <c r="H175" s="21" t="s">
        <v>481</v>
      </c>
      <c r="I175" s="13">
        <v>42848.481608796297</v>
      </c>
      <c r="J175" s="7">
        <v>0</v>
      </c>
      <c r="K175" s="92" t="str">
        <f t="shared" si="74"/>
        <v>4031/4032</v>
      </c>
      <c r="L175" s="21" t="str">
        <f>VLOOKUP(A175,'Trips&amp;Operators'!$C$1:$G$99999,5,FALSE)</f>
        <v>YORK EDGAR</v>
      </c>
      <c r="M175" s="6">
        <f t="shared" si="75"/>
        <v>8.3564814849523827E-3</v>
      </c>
      <c r="N175" s="7">
        <f t="shared" si="91"/>
        <v>12.033333338331431</v>
      </c>
      <c r="O175" s="7"/>
      <c r="P175" s="7"/>
      <c r="Q175" s="22"/>
      <c r="R175" s="200"/>
      <c r="S175" s="206">
        <f t="shared" si="92"/>
        <v>1</v>
      </c>
      <c r="T175" s="200" t="str">
        <f t="shared" si="76"/>
        <v>NorthBound</v>
      </c>
      <c r="U175" s="200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01" t="str">
        <f t="shared" si="77"/>
        <v>https://d0f6bd738d7f1b3e5a7ca70fe4ff75f0.us-east-1.aws.found.io/app/kibana#/discover/Steve-Slow-Train-Analysis-(2080s-and-2083s)?_g=(refreshInterval:(display:Off,pause:!f,section:0,value:0),time:(from:'2017-04-23T09:55:30-0600',mode:absolute,to:'2017-04-23T12:33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5" s="202" t="str">
        <f t="shared" si="78"/>
        <v>N</v>
      </c>
      <c r="X175" s="202">
        <f t="shared" si="123"/>
        <v>1</v>
      </c>
      <c r="Y175" s="202">
        <f t="shared" si="80"/>
        <v>0.1042</v>
      </c>
      <c r="Z175" s="202">
        <f t="shared" si="81"/>
        <v>5.8939000000000004</v>
      </c>
      <c r="AA175" s="202">
        <f t="shared" si="82"/>
        <v>5.7897000000000007</v>
      </c>
      <c r="AB175" s="57" t="e">
        <f>VLOOKUP(A175,Enforcements!$C$7:$K$13,8,0)</f>
        <v>#N/A</v>
      </c>
      <c r="AC175" s="53" t="e">
        <f>VLOOKUP(A175,Enforcements!$C$7:$E$13,3,0)</f>
        <v>#N/A</v>
      </c>
      <c r="AD175" s="54" t="str">
        <f t="shared" si="83"/>
        <v>1811-23</v>
      </c>
      <c r="AE175" s="80" t="str">
        <f t="shared" si="84"/>
        <v>aws s3 cp s3://rtdc.mdm.uploadarchive.raw/RTDC4032/ "%USERPROFILE%\AppData\Local\Temp\OnboardLogs"\RTDC4032\2017-04-23 --exclude "*" --recursive --include "*20170423*" &amp; "%USERPROFILE%\Documents\GitHub\mrs-test-scripts\Headless Mode &amp; Sideloading\WalkAndUnGZ.bat" "%USERPROFILE%\AppData\Local\Temp\OnboardLogs"\RTDC4032\2017-04-23 &amp; aws s3 cp s3://rtdc.mdm.uploadarchive.raw/RTDC4032/ "%USERPROFILE%\AppData\Local\Temp\OnboardLogs"\RTDC4032\2017-04-24 --exclude "*" --recursive --include "*20170424*" &amp; "%USERPROFILE%\Documents\GitHub\mrs-test-scripts\Headless Mode &amp; Sideloading\WalkAndUnGZ.bat" "%USERPROFILE%\AppData\Local\Temp\OnboardLogs"\RTDC4032\2017-04-24</v>
      </c>
      <c r="AF175" s="77" t="str">
        <f t="shared" si="85"/>
        <v>"C:\Program Files (x86)\AstroGrep\AstroGrep.exe" /e /r /s /spath="%USERPROFILE%\AppData\Local\Temp\OnboardLogs" /stypes="app*4032*20170423*" /stext=" 17:.+((SYSTEM_STATE.+slice.+state.+changed )|(ment ac)|(multiple cpu faults)|(system.+state.+changed )|(\[timeout)|(PRM\|1\|D)|(kpr)|(kdp)|(\|lc)|(penalty))"</v>
      </c>
      <c r="AG175" s="1" t="str">
        <f t="shared" si="86"/>
        <v>NW</v>
      </c>
      <c r="AH175" s="81" t="str">
        <f t="shared" si="87"/>
        <v>"%USERPROFILE%\Documents\GitHub\eaglep3\Utilities\RefineRTDCRunTimes.py" --tripid 1811-23 --locoid 4032 --swversion DE.1.0.9.0 --startMP 204:1042 --initTime 2017-04-23T10:55:30 --startdatetime 2017-04-23T11:21:29 --delay 0 --endMP 300:58939 --enddatetime 2017-04-23T11:33:31 --enforcementcount 0 &gt;&gt;C:\Users\stu\Documents\GitHub\eaglep3-reporting\EC\2017-04-23-refined-times.txt</v>
      </c>
      <c r="AI175" s="99" t="str">
        <f t="shared" si="88"/>
        <v>echo {"issue":{"subject":"","project_id":79,"tracker_id":40,"status_id":1,"priority_id":2,"assigned_to_id":23,"start_date":"2017-04-23","description":"","custom_fields":[{"id":1,"name":"Subdivision","value":"NW"},{"id":4,"name":"Milepost","value":"5.8939"},{"id":17,"name":"Train ID","value":"1811-23"},{"id":16,"name":"Locomotive ID","value":"4032"},{"id":130,"name":"Impact","value":""},{"id":150,"name":"Time of Event (Mountain Time)","value":"11:33:31"},{"id":151,"name":"Denver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5" s="47"/>
      <c r="AL175" s="47"/>
      <c r="AM175" s="145" t="str">
        <f t="shared" si="89"/>
        <v>start /low /b %USERPROFILE%\Documents\GitHub\eaglep3\Utilities\DownloadLogsFromS3.py --loco 4032 --day 2017-04-23</v>
      </c>
      <c r="AN175" s="154" t="str">
        <f t="shared" si="90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17:33:31"},{"id":29,"name":"Sharepoint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2" t="s">
        <v>721</v>
      </c>
      <c r="B176" s="7">
        <v>4031</v>
      </c>
      <c r="C176" s="21" t="s">
        <v>213</v>
      </c>
      <c r="D176" s="21" t="s">
        <v>917</v>
      </c>
      <c r="E176" s="13">
        <v>42848.482731481483</v>
      </c>
      <c r="F176" s="13">
        <v>42848.486076388886</v>
      </c>
      <c r="G176" s="7">
        <v>1</v>
      </c>
      <c r="H176" s="21" t="s">
        <v>924</v>
      </c>
      <c r="I176" s="13">
        <v>42848.496111111112</v>
      </c>
      <c r="J176" s="7">
        <v>0</v>
      </c>
      <c r="K176" s="92" t="str">
        <f t="shared" si="74"/>
        <v>4031/4032</v>
      </c>
      <c r="L176" s="21" t="str">
        <f>VLOOKUP(A176,'Trips&amp;Operators'!$C$1:$G$99999,5,FALSE)</f>
        <v>YORK EDGAR</v>
      </c>
      <c r="M176" s="6">
        <f t="shared" si="75"/>
        <v>1.0034722225100268E-2</v>
      </c>
      <c r="N176" s="7">
        <f t="shared" si="91"/>
        <v>14.450000004144385</v>
      </c>
      <c r="O176" s="7"/>
      <c r="P176" s="7"/>
      <c r="Q176" s="22"/>
      <c r="R176" s="200"/>
      <c r="S176" s="206">
        <f t="shared" si="92"/>
        <v>1</v>
      </c>
      <c r="T176" s="200" t="str">
        <f t="shared" si="76"/>
        <v>Southbound</v>
      </c>
      <c r="U176" s="200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01" t="str">
        <f t="shared" si="77"/>
        <v>https://d0f6bd738d7f1b3e5a7ca70fe4ff75f0.us-east-1.aws.found.io/app/kibana#/discover/Steve-Slow-Train-Analysis-(2080s-and-2083s)?_g=(refreshInterval:(display:Off,pause:!f,section:0,value:0),time:(from:'2017-04-23T10:35:08-0600',mode:absolute,to:'2017-04-23T12:54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6" s="202" t="str">
        <f t="shared" si="78"/>
        <v>N</v>
      </c>
      <c r="X176" s="202">
        <f t="shared" ref="X176:X217" si="124">VALUE(LEFT(AD176,4))-VALUE(LEFT(AD175,4))</f>
        <v>1</v>
      </c>
      <c r="Y176" s="202">
        <f t="shared" si="80"/>
        <v>5.8619000000000003</v>
      </c>
      <c r="Z176" s="202">
        <f t="shared" si="81"/>
        <v>7.4099999999999999E-2</v>
      </c>
      <c r="AA176" s="202">
        <f t="shared" si="82"/>
        <v>5.7878000000000007</v>
      </c>
      <c r="AB176" s="57" t="e">
        <f>VLOOKUP(A176,Enforcements!$C$7:$K$13,8,0)</f>
        <v>#N/A</v>
      </c>
      <c r="AC176" s="53" t="e">
        <f>VLOOKUP(A176,Enforcements!$C$7:$E$13,3,0)</f>
        <v>#N/A</v>
      </c>
      <c r="AD176" s="54" t="str">
        <f t="shared" si="83"/>
        <v>1812-23</v>
      </c>
      <c r="AE176" s="80" t="str">
        <f t="shared" si="84"/>
        <v>aws s3 cp s3://rtdc.mdm.uploadarchive.raw/RTDC4031/ "%USERPROFILE%\AppData\Local\Temp\OnboardLogs"\RTDC4031\2017-04-23 --exclude "*" --recursive --include "*20170423*" &amp; "%USERPROFILE%\Documents\GitHub\mrs-test-scripts\Headless Mode &amp; Sideloading\WalkAndUnGZ.bat" "%USERPROFILE%\AppData\Local\Temp\OnboardLogs"\RTDC4031\2017-04-23 &amp; aws s3 cp s3://rtdc.mdm.uploadarchive.raw/RTDC4031/ "%USERPROFILE%\AppData\Local\Temp\OnboardLogs"\RTDC4031\2017-04-24 --exclude "*" --recursive --include "*20170424*" &amp; "%USERPROFILE%\Documents\GitHub\mrs-test-scripts\Headless Mode &amp; Sideloading\WalkAndUnGZ.bat" "%USERPROFILE%\AppData\Local\Temp\OnboardLogs"\RTDC4031\2017-04-24</v>
      </c>
      <c r="AF176" s="77" t="str">
        <f t="shared" si="85"/>
        <v>"C:\Program Files (x86)\AstroGrep\AstroGrep.exe" /e /r /s /spath="%USERPROFILE%\AppData\Local\Temp\OnboardLogs" /stypes="app*4031*20170423*" /stext=" 17:.+((SYSTEM_STATE.+slice.+state.+changed )|(ment ac)|(multiple cpu faults)|(system.+state.+changed )|(\[timeout)|(PRM\|1\|D)|(kpr)|(kdp)|(\|lc)|(penalty))"</v>
      </c>
      <c r="AG176" s="1" t="str">
        <f t="shared" si="86"/>
        <v>NW</v>
      </c>
      <c r="AH176" s="81" t="str">
        <f t="shared" si="87"/>
        <v>"%USERPROFILE%\Documents\GitHub\eaglep3\Utilities\RefineRTDCRunTimes.py" --tripid 1812-23 --locoid 4031 --swversion DE.1.0.9.0 --startMP 300:58619 --initTime 2017-04-23T11:35:08 --startdatetime 2017-04-23T11:39:57 --delay 1 --endMP 204:741 --enddatetime 2017-04-23T11:54:24 --enforcementcount 0 &gt;&gt;C:\Users\stu\Documents\GitHub\eaglep3-reporting\EC\2017-04-23-refined-times.txt</v>
      </c>
      <c r="AI176" s="99" t="str">
        <f t="shared" si="88"/>
        <v>echo {"issue":{"subject":"","project_id":79,"tracker_id":40,"status_id":1,"priority_id":2,"assigned_to_id":23,"start_date":"2017-04-23","description":"","custom_fields":[{"id":1,"name":"Subdivision","value":"NW"},{"id":4,"name":"Milepost","value":"0.0741"},{"id":17,"name":"Train ID","value":"1812-23"},{"id":16,"name":"Locomotive ID","value":"4031"},{"id":130,"name":"Impact","value":""},{"id":150,"name":"Time of Event (Mountain Time)","value":"11:54:24"},{"id":151,"name":"Denver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5" t="str">
        <f t="shared" si="89"/>
        <v>start /low /b %USERPROFILE%\Documents\GitHub\eaglep3\Utilities\DownloadLogsFromS3.py --loco 4031 --day 2017-04-23</v>
      </c>
      <c r="AN176" s="154" t="str">
        <f t="shared" si="90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17:54:24"},{"id":29,"name":"Sharepoint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7" spans="1:91" x14ac:dyDescent="0.25">
      <c r="A177" s="32" t="s">
        <v>725</v>
      </c>
      <c r="B177" s="7">
        <v>4032</v>
      </c>
      <c r="C177" s="21" t="s">
        <v>213</v>
      </c>
      <c r="D177" s="21" t="s">
        <v>925</v>
      </c>
      <c r="E177" s="13">
        <v>42848.497048611112</v>
      </c>
      <c r="F177" s="13">
        <v>42848.514826388891</v>
      </c>
      <c r="G177" s="7">
        <v>1</v>
      </c>
      <c r="H177" s="21" t="s">
        <v>462</v>
      </c>
      <c r="I177" s="13">
        <v>42848.523460648146</v>
      </c>
      <c r="J177" s="7">
        <v>0</v>
      </c>
      <c r="K177" s="92" t="str">
        <f t="shared" si="74"/>
        <v>4031/4032</v>
      </c>
      <c r="L177" s="21" t="str">
        <f>VLOOKUP(A177,'Trips&amp;Operators'!$C$1:$G$99999,5,FALSE)</f>
        <v>YORK EDGAR</v>
      </c>
      <c r="M177" s="6">
        <f t="shared" si="75"/>
        <v>8.6342592549044639E-3</v>
      </c>
      <c r="N177" s="7">
        <f t="shared" si="91"/>
        <v>12.433333327062428</v>
      </c>
      <c r="O177" s="7"/>
      <c r="P177" s="7"/>
      <c r="Q177" s="22"/>
      <c r="R177" s="200"/>
      <c r="S177" s="206">
        <f t="shared" si="92"/>
        <v>1</v>
      </c>
      <c r="T177" s="200" t="str">
        <f t="shared" si="76"/>
        <v>NorthBound</v>
      </c>
      <c r="U177" s="200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01" t="str">
        <f t="shared" si="77"/>
        <v>https://d0f6bd738d7f1b3e5a7ca70fe4ff75f0.us-east-1.aws.found.io/app/kibana#/discover/Steve-Slow-Train-Analysis-(2080s-and-2083s)?_g=(refreshInterval:(display:Off,pause:!f,section:0,value:0),time:(from:'2017-04-23T10:55:45-0600',mode:absolute,to:'2017-04-23T13:33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7" s="202" t="str">
        <f t="shared" si="78"/>
        <v>N</v>
      </c>
      <c r="X177" s="202">
        <f t="shared" si="124"/>
        <v>1</v>
      </c>
      <c r="Y177" s="202">
        <f t="shared" si="80"/>
        <v>0.10349999999999999</v>
      </c>
      <c r="Z177" s="202">
        <f t="shared" si="81"/>
        <v>5.8944000000000001</v>
      </c>
      <c r="AA177" s="202">
        <f t="shared" si="82"/>
        <v>5.7908999999999997</v>
      </c>
      <c r="AB177" s="57" t="e">
        <f>VLOOKUP(A177,Enforcements!$C$7:$K$13,8,0)</f>
        <v>#N/A</v>
      </c>
      <c r="AC177" s="53" t="e">
        <f>VLOOKUP(A177,Enforcements!$C$7:$E$13,3,0)</f>
        <v>#N/A</v>
      </c>
      <c r="AD177" s="54" t="str">
        <f t="shared" si="83"/>
        <v>1813-23</v>
      </c>
      <c r="AE177" s="80" t="str">
        <f t="shared" si="84"/>
        <v>aws s3 cp s3://rtdc.mdm.uploadarchive.raw/RTDC4032/ "%USERPROFILE%\AppData\Local\Temp\OnboardLogs"\RTDC4032\2017-04-23 --exclude "*" --recursive --include "*20170423*" &amp; "%USERPROFILE%\Documents\GitHub\mrs-test-scripts\Headless Mode &amp; Sideloading\WalkAndUnGZ.bat" "%USERPROFILE%\AppData\Local\Temp\OnboardLogs"\RTDC4032\2017-04-23 &amp; aws s3 cp s3://rtdc.mdm.uploadarchive.raw/RTDC4032/ "%USERPROFILE%\AppData\Local\Temp\OnboardLogs"\RTDC4032\2017-04-24 --exclude "*" --recursive --include "*20170424*" &amp; "%USERPROFILE%\Documents\GitHub\mrs-test-scripts\Headless Mode &amp; Sideloading\WalkAndUnGZ.bat" "%USERPROFILE%\AppData\Local\Temp\OnboardLogs"\RTDC4032\2017-04-24</v>
      </c>
      <c r="AF177" s="77" t="str">
        <f t="shared" si="85"/>
        <v>"C:\Program Files (x86)\AstroGrep\AstroGrep.exe" /e /r /s /spath="%USERPROFILE%\AppData\Local\Temp\OnboardLogs" /stypes="app*4032*20170423*" /stext=" 18:.+((SYSTEM_STATE.+slice.+state.+changed )|(ment ac)|(multiple cpu faults)|(system.+state.+changed )|(\[timeout)|(PRM\|1\|D)|(kpr)|(kdp)|(\|lc)|(penalty))"</v>
      </c>
      <c r="AG177" s="1" t="str">
        <f t="shared" si="86"/>
        <v>NW</v>
      </c>
      <c r="AH177" s="81" t="str">
        <f t="shared" si="87"/>
        <v>"%USERPROFILE%\Documents\GitHub\eaglep3\Utilities\RefineRTDCRunTimes.py" --tripid 1813-23 --locoid 4032 --swversion DE.1.0.9.0 --startMP 204:1035 --initTime 2017-04-23T11:55:45 --startdatetime 2017-04-23T12:21:21 --delay 1 --endMP 300:58944 --enddatetime 2017-04-23T12:33:47 --enforcementcount 0 &gt;&gt;C:\Users\stu\Documents\GitHub\eaglep3-reporting\EC\2017-04-23-refined-times.txt</v>
      </c>
      <c r="AI177" s="99" t="str">
        <f t="shared" si="88"/>
        <v>echo {"issue":{"subject":"","project_id":79,"tracker_id":40,"status_id":1,"priority_id":2,"assigned_to_id":23,"start_date":"2017-04-23","description":"","custom_fields":[{"id":1,"name":"Subdivision","value":"NW"},{"id":4,"name":"Milepost","value":"5.8944"},{"id":17,"name":"Train ID","value":"1813-23"},{"id":16,"name":"Locomotive ID","value":"4032"},{"id":130,"name":"Impact","value":""},{"id":150,"name":"Time of Event (Mountain Time)","value":"12:33:47"},{"id":151,"name":"Denver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5" t="str">
        <f t="shared" si="89"/>
        <v>start /low /b %USERPROFILE%\Documents\GitHub\eaglep3\Utilities\DownloadLogsFromS3.py --loco 4032 --day 2017-04-23</v>
      </c>
      <c r="AN177" s="154" t="str">
        <f t="shared" si="90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18:33:47"},{"id":29,"name":"Sharepoint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8" spans="1:91" x14ac:dyDescent="0.25">
      <c r="A178" s="32" t="s">
        <v>609</v>
      </c>
      <c r="B178" s="7">
        <v>4031</v>
      </c>
      <c r="C178" s="21" t="s">
        <v>213</v>
      </c>
      <c r="D178" s="21" t="s">
        <v>926</v>
      </c>
      <c r="E178" s="13">
        <v>42848.524988425925</v>
      </c>
      <c r="F178" s="13">
        <v>42848.529131944444</v>
      </c>
      <c r="G178" s="7">
        <v>1</v>
      </c>
      <c r="H178" s="21" t="s">
        <v>927</v>
      </c>
      <c r="I178" s="13">
        <v>42848.538298611114</v>
      </c>
      <c r="J178" s="7">
        <v>0</v>
      </c>
      <c r="K178" s="92" t="str">
        <f t="shared" si="74"/>
        <v>4031/4032</v>
      </c>
      <c r="L178" s="21" t="str">
        <f>VLOOKUP(A178,'Trips&amp;Operators'!$C$1:$G$99999,5,FALSE)</f>
        <v>YORK EDGAR</v>
      </c>
      <c r="M178" s="6">
        <f t="shared" si="75"/>
        <v>9.1666666703531519E-3</v>
      </c>
      <c r="N178" s="7">
        <f t="shared" si="91"/>
        <v>13.200000005308539</v>
      </c>
      <c r="O178" s="7"/>
      <c r="P178" s="7"/>
      <c r="Q178" s="22"/>
      <c r="R178" s="200"/>
      <c r="S178" s="206">
        <f t="shared" si="92"/>
        <v>1</v>
      </c>
      <c r="T178" s="200" t="str">
        <f t="shared" si="76"/>
        <v>Southbound</v>
      </c>
      <c r="U178" s="200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01" t="str">
        <f t="shared" si="77"/>
        <v>https://d0f6bd738d7f1b3e5a7ca70fe4ff75f0.us-east-1.aws.found.io/app/kibana#/discover/Steve-Slow-Train-Analysis-(2080s-and-2083s)?_g=(refreshInterval:(display:Off,pause:!f,section:0,value:0),time:(from:'2017-04-23T11:35:59-0600',mode:absolute,to:'2017-04-23T13:55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8" s="202" t="str">
        <f t="shared" si="78"/>
        <v>N</v>
      </c>
      <c r="X178" s="202">
        <f t="shared" si="124"/>
        <v>1</v>
      </c>
      <c r="Y178" s="202">
        <f t="shared" si="80"/>
        <v>5.8623000000000003</v>
      </c>
      <c r="Z178" s="202">
        <f t="shared" si="81"/>
        <v>7.4499999999999997E-2</v>
      </c>
      <c r="AA178" s="202">
        <f t="shared" si="82"/>
        <v>5.7878000000000007</v>
      </c>
      <c r="AB178" s="57" t="e">
        <f>VLOOKUP(A178,Enforcements!$C$7:$K$13,8,0)</f>
        <v>#N/A</v>
      </c>
      <c r="AC178" s="53" t="e">
        <f>VLOOKUP(A178,Enforcements!$C$7:$E$13,3,0)</f>
        <v>#N/A</v>
      </c>
      <c r="AD178" s="54" t="str">
        <f t="shared" si="83"/>
        <v>1814-23</v>
      </c>
      <c r="AE178" s="80" t="str">
        <f t="shared" si="84"/>
        <v>aws s3 cp s3://rtdc.mdm.uploadarchive.raw/RTDC4031/ "%USERPROFILE%\AppData\Local\Temp\OnboardLogs"\RTDC4031\2017-04-23 --exclude "*" --recursive --include "*20170423*" &amp; "%USERPROFILE%\Documents\GitHub\mrs-test-scripts\Headless Mode &amp; Sideloading\WalkAndUnGZ.bat" "%USERPROFILE%\AppData\Local\Temp\OnboardLogs"\RTDC4031\2017-04-23 &amp; aws s3 cp s3://rtdc.mdm.uploadarchive.raw/RTDC4031/ "%USERPROFILE%\AppData\Local\Temp\OnboardLogs"\RTDC4031\2017-04-24 --exclude "*" --recursive --include "*20170424*" &amp; "%USERPROFILE%\Documents\GitHub\mrs-test-scripts\Headless Mode &amp; Sideloading\WalkAndUnGZ.bat" "%USERPROFILE%\AppData\Local\Temp\OnboardLogs"\RTDC4031\2017-04-24</v>
      </c>
      <c r="AF178" s="77" t="str">
        <f t="shared" si="85"/>
        <v>"C:\Program Files (x86)\AstroGrep\AstroGrep.exe" /e /r /s /spath="%USERPROFILE%\AppData\Local\Temp\OnboardLogs" /stypes="app*4031*20170423*" /stext=" 18:.+((SYSTEM_STATE.+slice.+state.+changed )|(ment ac)|(multiple cpu faults)|(system.+state.+changed )|(\[timeout)|(PRM\|1\|D)|(kpr)|(kdp)|(\|lc)|(penalty))"</v>
      </c>
      <c r="AG178" s="1" t="str">
        <f t="shared" si="86"/>
        <v>NW</v>
      </c>
      <c r="AH178" s="81" t="str">
        <f t="shared" si="87"/>
        <v>"%USERPROFILE%\Documents\GitHub\eaglep3\Utilities\RefineRTDCRunTimes.py" --tripid 1814-23 --locoid 4031 --swversion DE.1.0.9.0 --startMP 300:58623 --initTime 2017-04-23T12:35:59 --startdatetime 2017-04-23T12:41:57 --delay 1 --endMP 204:745 --enddatetime 2017-04-23T12:55:09 --enforcementcount 0 &gt;&gt;C:\Users\stu\Documents\GitHub\eaglep3-reporting\EC\2017-04-23-refined-times.txt</v>
      </c>
      <c r="AI178" s="99" t="str">
        <f t="shared" si="88"/>
        <v>echo {"issue":{"subject":"","project_id":79,"tracker_id":40,"status_id":1,"priority_id":2,"assigned_to_id":23,"start_date":"2017-04-23","description":"","custom_fields":[{"id":1,"name":"Subdivision","value":"NW"},{"id":4,"name":"Milepost","value":"0.0745"},{"id":17,"name":"Train ID","value":"1814-23"},{"id":16,"name":"Locomotive ID","value":"4031"},{"id":130,"name":"Impact","value":""},{"id":150,"name":"Time of Event (Mountain Time)","value":"12:55:09"},{"id":151,"name":"Denver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5" t="str">
        <f t="shared" si="89"/>
        <v>start /low /b %USERPROFILE%\Documents\GitHub\eaglep3\Utilities\DownloadLogsFromS3.py --loco 4031 --day 2017-04-23</v>
      </c>
      <c r="AN178" s="154" t="str">
        <f t="shared" si="90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18:55:09"},{"id":29,"name":"Sharepoint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9" spans="1:91" x14ac:dyDescent="0.25">
      <c r="A179" s="32" t="s">
        <v>734</v>
      </c>
      <c r="B179" s="7">
        <v>4032</v>
      </c>
      <c r="C179" s="21" t="s">
        <v>213</v>
      </c>
      <c r="D179" s="21" t="s">
        <v>928</v>
      </c>
      <c r="E179" s="13">
        <v>42848.539259259262</v>
      </c>
      <c r="F179" s="13">
        <v>42848.556423611109</v>
      </c>
      <c r="G179" s="7">
        <v>0</v>
      </c>
      <c r="H179" s="21" t="s">
        <v>521</v>
      </c>
      <c r="I179" s="13">
        <v>42848.564803240741</v>
      </c>
      <c r="J179" s="7">
        <v>0</v>
      </c>
      <c r="K179" s="92" t="str">
        <f t="shared" ref="K179:K210" si="125">IF(ISEVEN(B179),(B179-1)&amp;"/"&amp;B179,B179&amp;"/"&amp;(B179+1))</f>
        <v>4031/4032</v>
      </c>
      <c r="L179" s="21" t="str">
        <f>VLOOKUP(A179,'Trips&amp;Operators'!$C$1:$G$99999,5,FALSE)</f>
        <v>YORK EDGAR</v>
      </c>
      <c r="M179" s="6">
        <f t="shared" ref="M179:M210" si="126">I179-F179</f>
        <v>8.3796296312357299E-3</v>
      </c>
      <c r="N179" s="7">
        <f t="shared" si="91"/>
        <v>12.066666668979451</v>
      </c>
      <c r="O179" s="7"/>
      <c r="P179" s="7"/>
      <c r="Q179" s="22"/>
      <c r="R179" s="200"/>
      <c r="S179" s="206">
        <f t="shared" si="92"/>
        <v>1</v>
      </c>
      <c r="T179" s="200" t="str">
        <f t="shared" ref="T179:T210" si="127">IF(ISEVEN(LEFT(AD179,4)),"Southbound","NorthBound")</f>
        <v>NorthBound</v>
      </c>
      <c r="U179" s="200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01" t="str">
        <f t="shared" ref="V179:V210" si="128"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-04-23T11:56:32-0600',mode:absolute,to:'2017-04-23T14:33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9" s="202" t="str">
        <f t="shared" ref="W179:W210" si="129">IF(AA179&lt;IF(AG179="EC",23,5.65),"Y","N")</f>
        <v>N</v>
      </c>
      <c r="X179" s="202">
        <f t="shared" si="124"/>
        <v>1</v>
      </c>
      <c r="Y179" s="202">
        <f t="shared" ref="Y179:Y210" si="130">RIGHT(D179,LEN(D179)-4)/10000</f>
        <v>0.1018</v>
      </c>
      <c r="Z179" s="202">
        <f t="shared" ref="Z179:Z210" si="131">RIGHT(H179,LEN(H179)-4)/10000</f>
        <v>5.8952</v>
      </c>
      <c r="AA179" s="202">
        <f t="shared" ref="AA179:AA210" si="132">ABS(Z179-Y179)</f>
        <v>5.7934000000000001</v>
      </c>
      <c r="AB179" s="57" t="e">
        <f>VLOOKUP(A179,Enforcements!$C$7:$K$13,8,0)</f>
        <v>#N/A</v>
      </c>
      <c r="AC179" s="53" t="e">
        <f>VLOOKUP(A179,Enforcements!$C$7:$E$13,3,0)</f>
        <v>#N/A</v>
      </c>
      <c r="AD179" s="54" t="str">
        <f t="shared" ref="AD179:AD210" si="133">IF(LEN(A179)=6,"0"&amp;A179,A179)</f>
        <v>1815-23</v>
      </c>
      <c r="AE179" s="80" t="str">
        <f t="shared" ref="AE179:AE210" si="134"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s3://rtdc.mdm.uploadarchive.raw/RTDC4032/ "%USERPROFILE%\AppData\Local\Temp\OnboardLogs"\RTDC4032\2017-04-23 --exclude "*" --recursive --include "*20170423*" &amp; "%USERPROFILE%\Documents\GitHub\mrs-test-scripts\Headless Mode &amp; Sideloading\WalkAndUnGZ.bat" "%USERPROFILE%\AppData\Local\Temp\OnboardLogs"\RTDC4032\2017-04-23 &amp; aws s3 cp s3://rtdc.mdm.uploadarchive.raw/RTDC4032/ "%USERPROFILE%\AppData\Local\Temp\OnboardLogs"\RTDC4032\2017-04-24 --exclude "*" --recursive --include "*20170424*" &amp; "%USERPROFILE%\Documents\GitHub\mrs-test-scripts\Headless Mode &amp; Sideloading\WalkAndUnGZ.bat" "%USERPROFILE%\AppData\Local\Temp\OnboardLogs"\RTDC4032\2017-04-24</v>
      </c>
      <c r="AF179" s="77" t="str">
        <f t="shared" ref="AF179:AF210" si="135"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/stypes="app*4032*20170423*" /stext=" 19:.+((SYSTEM_STATE.+slice.+state.+changed )|(ment ac)|(multiple cpu faults)|(system.+state.+changed )|(\[timeout)|(PRM\|1\|D)|(kpr)|(kdp)|(\|lc)|(penalty))"</v>
      </c>
      <c r="AG179" s="1" t="str">
        <f t="shared" ref="AG179:AG210" si="136">IFERROR(IF(VALUE(LEFT(AD179,2))&lt;=2,"EC",IF(OR(VALUE(LEFT(AD179,2))=8,VALUE(LEFT(AD179,2))=18),"NW","Other")),"Other")</f>
        <v>NW</v>
      </c>
      <c r="AH179" s="81" t="str">
        <f t="shared" si="87"/>
        <v>"%USERPROFILE%\Documents\GitHub\eaglep3\Utilities\RefineRTDCRunTimes.py" --tripid 1815-23 --locoid 4032 --swversion DE.1.0.9.0 --startMP 204:1018 --initTime 2017-04-23T12:56:32 --startdatetime 2017-04-23T13:21:15 --delay 0 --endMP 300:58952 --enddatetime 2017-04-23T13:33:19 --enforcementcount 0 &gt;&gt;C:\Users\stu\Documents\GitHub\eaglep3-reporting\EC\2017-04-23-refined-times.txt</v>
      </c>
      <c r="AI179" s="99" t="str">
        <f t="shared" si="88"/>
        <v>echo {"issue":{"subject":"","project_id":79,"tracker_id":40,"status_id":1,"priority_id":2,"assigned_to_id":23,"start_date":"2017-04-23","description":"","custom_fields":[{"id":1,"name":"Subdivision","value":"NW"},{"id":4,"name":"Milepost","value":"5.8952"},{"id":17,"name":"Train ID","value":"1815-23"},{"id":16,"name":"Locomotive ID","value":"4032"},{"id":130,"name":"Impact","value":""},{"id":150,"name":"Time of Event (Mountain Time)","value":"13:33:19"},{"id":151,"name":"Denver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5" t="str">
        <f t="shared" si="89"/>
        <v>start /low /b %USERPROFILE%\Documents\GitHub\eaglep3\Utilities\DownloadLogsFromS3.py --loco 4032 --day 2017-04-23</v>
      </c>
      <c r="AN179" s="154" t="str">
        <f t="shared" si="90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19:33:19"},{"id":29,"name":"Sharepoint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x14ac:dyDescent="0.25">
      <c r="A180" s="32" t="s">
        <v>741</v>
      </c>
      <c r="B180" s="7">
        <v>4031</v>
      </c>
      <c r="C180" s="21" t="s">
        <v>213</v>
      </c>
      <c r="D180" s="21" t="s">
        <v>520</v>
      </c>
      <c r="E180" s="13">
        <v>42848.565937500003</v>
      </c>
      <c r="F180" s="13">
        <v>42848.570567129631</v>
      </c>
      <c r="G180" s="7">
        <v>0</v>
      </c>
      <c r="H180" s="21" t="s">
        <v>929</v>
      </c>
      <c r="I180" s="13">
        <v>42848.579062500001</v>
      </c>
      <c r="J180" s="7">
        <v>0</v>
      </c>
      <c r="K180" s="92" t="str">
        <f t="shared" si="125"/>
        <v>4031/4032</v>
      </c>
      <c r="L180" s="21" t="str">
        <f>VLOOKUP(A180,'Trips&amp;Operators'!$C$1:$G$99999,5,FALSE)</f>
        <v>YORK EDGAR</v>
      </c>
      <c r="M180" s="6">
        <f t="shared" si="126"/>
        <v>8.4953703699284233E-3</v>
      </c>
      <c r="N180" s="7">
        <f t="shared" si="91"/>
        <v>12.23333333269693</v>
      </c>
      <c r="O180" s="7"/>
      <c r="P180" s="7"/>
      <c r="Q180" s="22"/>
      <c r="R180" s="200"/>
      <c r="S180" s="206">
        <f t="shared" si="92"/>
        <v>1</v>
      </c>
      <c r="T180" s="200" t="str">
        <f t="shared" si="127"/>
        <v>Southbound</v>
      </c>
      <c r="U180" s="200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01" t="str">
        <f t="shared" si="128"/>
        <v>https://d0f6bd738d7f1b3e5a7ca70fe4ff75f0.us-east-1.aws.found.io/app/kibana#/discover/Steve-Slow-Train-Analysis-(2080s-and-2083s)?_g=(refreshInterval:(display:Off,pause:!f,section:0,value:0),time:(from:'2017-04-23T12:34:57-0600',mode:absolute,to:'2017-04-23T14:53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0" s="202" t="str">
        <f t="shared" si="129"/>
        <v>N</v>
      </c>
      <c r="X180" s="202">
        <f t="shared" si="124"/>
        <v>1</v>
      </c>
      <c r="Y180" s="202">
        <f t="shared" si="130"/>
        <v>5.8625999999999996</v>
      </c>
      <c r="Z180" s="202">
        <f t="shared" si="131"/>
        <v>7.5499999999999998E-2</v>
      </c>
      <c r="AA180" s="202">
        <f t="shared" si="132"/>
        <v>5.7870999999999997</v>
      </c>
      <c r="AB180" s="57" t="e">
        <f>VLOOKUP(A180,Enforcements!$C$7:$K$13,8,0)</f>
        <v>#N/A</v>
      </c>
      <c r="AC180" s="53" t="e">
        <f>VLOOKUP(A180,Enforcements!$C$7:$E$13,3,0)</f>
        <v>#N/A</v>
      </c>
      <c r="AD180" s="54" t="str">
        <f t="shared" si="133"/>
        <v>1816-23</v>
      </c>
      <c r="AE180" s="80" t="str">
        <f t="shared" si="134"/>
        <v>aws s3 cp s3://rtdc.mdm.uploadarchive.raw/RTDC4031/ "%USERPROFILE%\AppData\Local\Temp\OnboardLogs"\RTDC4031\2017-04-23 --exclude "*" --recursive --include "*20170423*" &amp; "%USERPROFILE%\Documents\GitHub\mrs-test-scripts\Headless Mode &amp; Sideloading\WalkAndUnGZ.bat" "%USERPROFILE%\AppData\Local\Temp\OnboardLogs"\RTDC4031\2017-04-23 &amp; aws s3 cp s3://rtdc.mdm.uploadarchive.raw/RTDC4031/ "%USERPROFILE%\AppData\Local\Temp\OnboardLogs"\RTDC4031\2017-04-24 --exclude "*" --recursive --include "*20170424*" &amp; "%USERPROFILE%\Documents\GitHub\mrs-test-scripts\Headless Mode &amp; Sideloading\WalkAndUnGZ.bat" "%USERPROFILE%\AppData\Local\Temp\OnboardLogs"\RTDC4031\2017-04-24</v>
      </c>
      <c r="AF180" s="77" t="str">
        <f t="shared" si="135"/>
        <v>"C:\Program Files (x86)\AstroGrep\AstroGrep.exe" /e /r /s /spath="%USERPROFILE%\AppData\Local\Temp\OnboardLogs" /stypes="app*4031*20170423*" /stext=" 19:.+((SYSTEM_STATE.+slice.+state.+changed )|(ment ac)|(multiple cpu faults)|(system.+state.+changed )|(\[timeout)|(PRM\|1\|D)|(kpr)|(kdp)|(\|lc)|(penalty))"</v>
      </c>
      <c r="AG180" s="1" t="str">
        <f t="shared" si="136"/>
        <v>NW</v>
      </c>
      <c r="AH180" s="81" t="str">
        <f t="shared" si="87"/>
        <v>"%USERPROFILE%\Documents\GitHub\eaglep3\Utilities\RefineRTDCRunTimes.py" --tripid 1816-23 --locoid 4031 --swversion DE.1.0.9.0 --startMP 300:58626 --initTime 2017-04-23T13:34:57 --startdatetime 2017-04-23T13:41:37 --delay 0 --endMP 204:755 --enddatetime 2017-04-23T13:53:51 --enforcementcount 0 &gt;&gt;C:\Users\stu\Documents\GitHub\eaglep3-reporting\EC\2017-04-23-refined-times.txt</v>
      </c>
      <c r="AI180" s="99" t="str">
        <f t="shared" si="88"/>
        <v>echo {"issue":{"subject":"","project_id":79,"tracker_id":40,"status_id":1,"priority_id":2,"assigned_to_id":23,"start_date":"2017-04-23","description":"","custom_fields":[{"id":1,"name":"Subdivision","value":"NW"},{"id":4,"name":"Milepost","value":"0.0755"},{"id":17,"name":"Train ID","value":"1816-23"},{"id":16,"name":"Locomotive ID","value":"4031"},{"id":130,"name":"Impact","value":""},{"id":150,"name":"Time of Event (Mountain Time)","value":"13:53:51"},{"id":151,"name":"Denver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5" t="str">
        <f t="shared" si="89"/>
        <v>start /low /b %USERPROFILE%\Documents\GitHub\eaglep3\Utilities\DownloadLogsFromS3.py --loco 4031 --day 2017-04-23</v>
      </c>
      <c r="AN180" s="154" t="str">
        <f t="shared" si="90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19:53:51"},{"id":29,"name":"Sharepoint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1" spans="1:91" x14ac:dyDescent="0.25">
      <c r="A181" s="32" t="s">
        <v>749</v>
      </c>
      <c r="B181" s="7">
        <v>4032</v>
      </c>
      <c r="C181" s="21" t="s">
        <v>213</v>
      </c>
      <c r="D181" s="21" t="s">
        <v>930</v>
      </c>
      <c r="E181" s="13">
        <v>42848.595231481479</v>
      </c>
      <c r="F181" s="13">
        <v>42848.598344907405</v>
      </c>
      <c r="G181" s="7">
        <v>1</v>
      </c>
      <c r="H181" s="21" t="s">
        <v>931</v>
      </c>
      <c r="I181" s="13">
        <v>42848.607465277775</v>
      </c>
      <c r="J181" s="7">
        <v>0</v>
      </c>
      <c r="K181" s="92" t="str">
        <f t="shared" si="125"/>
        <v>4031/4032</v>
      </c>
      <c r="L181" s="21" t="str">
        <f>VLOOKUP(A181,'Trips&amp;Operators'!$C$1:$G$99999,5,FALSE)</f>
        <v>HELVIE ADAM</v>
      </c>
      <c r="M181" s="6">
        <f t="shared" si="126"/>
        <v>9.1203703705104999E-3</v>
      </c>
      <c r="N181" s="7">
        <f t="shared" si="91"/>
        <v>13.13333333353512</v>
      </c>
      <c r="O181" s="7"/>
      <c r="P181" s="7"/>
      <c r="Q181" s="22"/>
      <c r="R181" s="200"/>
      <c r="S181" s="206">
        <f t="shared" si="92"/>
        <v>1</v>
      </c>
      <c r="T181" s="200" t="str">
        <f t="shared" si="127"/>
        <v>NorthBound</v>
      </c>
      <c r="U181" s="200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01" t="str">
        <f t="shared" si="128"/>
        <v>https://d0f6bd738d7f1b3e5a7ca70fe4ff75f0.us-east-1.aws.found.io/app/kibana#/discover/Steve-Slow-Train-Analysis-(2080s-and-2083s)?_g=(refreshInterval:(display:Off,pause:!f,section:0,value:0),time:(from:'2017-04-23T13:17:08-0600',mode:absolute,to:'2017-04-23T15:34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1" s="202" t="str">
        <f t="shared" si="129"/>
        <v>N</v>
      </c>
      <c r="X181" s="202">
        <f t="shared" si="124"/>
        <v>1</v>
      </c>
      <c r="Y181" s="202">
        <f t="shared" si="130"/>
        <v>0.1062</v>
      </c>
      <c r="Z181" s="202">
        <f t="shared" si="131"/>
        <v>5.8935000000000004</v>
      </c>
      <c r="AA181" s="202">
        <f t="shared" si="132"/>
        <v>5.7873000000000001</v>
      </c>
      <c r="AB181" s="57" t="e">
        <f>VLOOKUP(A181,Enforcements!$C$7:$K$13,8,0)</f>
        <v>#N/A</v>
      </c>
      <c r="AC181" s="53" t="e">
        <f>VLOOKUP(A181,Enforcements!$C$7:$E$13,3,0)</f>
        <v>#N/A</v>
      </c>
      <c r="AD181" s="54" t="str">
        <f t="shared" si="133"/>
        <v>1817-23</v>
      </c>
      <c r="AE181" s="80" t="str">
        <f t="shared" si="134"/>
        <v>aws s3 cp s3://rtdc.mdm.uploadarchive.raw/RTDC4032/ "%USERPROFILE%\AppData\Local\Temp\OnboardLogs"\RTDC4032\2017-04-23 --exclude "*" --recursive --include "*20170423*" &amp; "%USERPROFILE%\Documents\GitHub\mrs-test-scripts\Headless Mode &amp; Sideloading\WalkAndUnGZ.bat" "%USERPROFILE%\AppData\Local\Temp\OnboardLogs"\RTDC4032\2017-04-23 &amp; aws s3 cp s3://rtdc.mdm.uploadarchive.raw/RTDC4032/ "%USERPROFILE%\AppData\Local\Temp\OnboardLogs"\RTDC4032\2017-04-24 --exclude "*" --recursive --include "*20170424*" &amp; "%USERPROFILE%\Documents\GitHub\mrs-test-scripts\Headless Mode &amp; Sideloading\WalkAndUnGZ.bat" "%USERPROFILE%\AppData\Local\Temp\OnboardLogs"\RTDC4032\2017-04-24</v>
      </c>
      <c r="AF181" s="77" t="str">
        <f t="shared" si="135"/>
        <v>"C:\Program Files (x86)\AstroGrep\AstroGrep.exe" /e /r /s /spath="%USERPROFILE%\AppData\Local\Temp\OnboardLogs" /stypes="app*4032*20170423*" /stext=" 20:.+((SYSTEM_STATE.+slice.+state.+changed )|(ment ac)|(multiple cpu faults)|(system.+state.+changed )|(\[timeout)|(PRM\|1\|D)|(kpr)|(kdp)|(\|lc)|(penalty))"</v>
      </c>
      <c r="AG181" s="1" t="str">
        <f t="shared" si="136"/>
        <v>NW</v>
      </c>
      <c r="AH181" s="81" t="str">
        <f t="shared" si="87"/>
        <v>"%USERPROFILE%\Documents\GitHub\eaglep3\Utilities\RefineRTDCRunTimes.py" --tripid 1817-23 --locoid 4032 --swversion DE.1.0.9.0 --startMP 204:1062 --initTime 2017-04-23T14:17:08 --startdatetime 2017-04-23T14:21:37 --delay 1 --endMP 300:58935 --enddatetime 2017-04-23T14:34:45 --enforcementcount 0 &gt;&gt;C:\Users\stu\Documents\GitHub\eaglep3-reporting\EC\2017-04-23-refined-times.txt</v>
      </c>
      <c r="AI181" s="99" t="str">
        <f t="shared" si="88"/>
        <v>echo {"issue":{"subject":"","project_id":79,"tracker_id":40,"status_id":1,"priority_id":2,"assigned_to_id":23,"start_date":"2017-04-23","description":"","custom_fields":[{"id":1,"name":"Subdivision","value":"NW"},{"id":4,"name":"Milepost","value":"5.8935"},{"id":17,"name":"Train ID","value":"1817-23"},{"id":16,"name":"Locomotive ID","value":"4032"},{"id":130,"name":"Impact","value":""},{"id":150,"name":"Time of Event (Mountain Time)","value":"14:34:45"},{"id":151,"name":"Denver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5" t="str">
        <f t="shared" si="89"/>
        <v>start /low /b %USERPROFILE%\Documents\GitHub\eaglep3\Utilities\DownloadLogsFromS3.py --loco 4032 --day 2017-04-23</v>
      </c>
      <c r="AN181" s="154" t="str">
        <f t="shared" si="90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20:34:45"},{"id":29,"name":"Sharepoint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x14ac:dyDescent="0.25">
      <c r="A182" s="32" t="s">
        <v>610</v>
      </c>
      <c r="B182" s="7">
        <v>4031</v>
      </c>
      <c r="C182" s="21" t="s">
        <v>213</v>
      </c>
      <c r="D182" s="21" t="s">
        <v>522</v>
      </c>
      <c r="E182" s="13">
        <v>42848.610902777778</v>
      </c>
      <c r="F182" s="13">
        <v>42848.612233796295</v>
      </c>
      <c r="G182" s="7">
        <v>1</v>
      </c>
      <c r="H182" s="21" t="s">
        <v>932</v>
      </c>
      <c r="I182" s="13">
        <v>42848.621111111112</v>
      </c>
      <c r="J182" s="7">
        <v>0</v>
      </c>
      <c r="K182" s="92" t="str">
        <f t="shared" si="125"/>
        <v>4031/4032</v>
      </c>
      <c r="L182" s="21" t="str">
        <f>VLOOKUP(A182,'Trips&amp;Operators'!$C$1:$G$99999,5,FALSE)</f>
        <v>HELVIE ADAM</v>
      </c>
      <c r="M182" s="6">
        <f t="shared" si="126"/>
        <v>8.8773148163454607E-3</v>
      </c>
      <c r="N182" s="7">
        <f t="shared" si="91"/>
        <v>12.783333335537463</v>
      </c>
      <c r="O182" s="7"/>
      <c r="P182" s="7"/>
      <c r="Q182" s="22"/>
      <c r="R182" s="200"/>
      <c r="S182" s="206">
        <f t="shared" si="92"/>
        <v>1</v>
      </c>
      <c r="T182" s="200" t="str">
        <f t="shared" si="127"/>
        <v>Southbound</v>
      </c>
      <c r="U182" s="200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01" t="str">
        <f t="shared" si="128"/>
        <v>https://d0f6bd738d7f1b3e5a7ca70fe4ff75f0.us-east-1.aws.found.io/app/kibana#/discover/Steve-Slow-Train-Analysis-(2080s-and-2083s)?_g=(refreshInterval:(display:Off,pause:!f,section:0,value:0),time:(from:'2017-04-23T13:39:42-0600',mode:absolute,to:'2017-04-23T15:54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2" s="202" t="str">
        <f t="shared" si="129"/>
        <v>N</v>
      </c>
      <c r="X182" s="202">
        <f t="shared" si="124"/>
        <v>1</v>
      </c>
      <c r="Y182" s="202">
        <f t="shared" si="130"/>
        <v>5.8615000000000004</v>
      </c>
      <c r="Z182" s="202">
        <f t="shared" si="131"/>
        <v>8.2500000000000004E-2</v>
      </c>
      <c r="AA182" s="202">
        <f t="shared" si="132"/>
        <v>5.7790000000000008</v>
      </c>
      <c r="AB182" s="57" t="e">
        <f>VLOOKUP(A182,Enforcements!$C$7:$K$13,8,0)</f>
        <v>#N/A</v>
      </c>
      <c r="AC182" s="53" t="e">
        <f>VLOOKUP(A182,Enforcements!$C$7:$E$13,3,0)</f>
        <v>#N/A</v>
      </c>
      <c r="AD182" s="54" t="str">
        <f t="shared" si="133"/>
        <v>1818-23</v>
      </c>
      <c r="AE182" s="80" t="str">
        <f t="shared" si="134"/>
        <v>aws s3 cp s3://rtdc.mdm.uploadarchive.raw/RTDC4031/ "%USERPROFILE%\AppData\Local\Temp\OnboardLogs"\RTDC4031\2017-04-23 --exclude "*" --recursive --include "*20170423*" &amp; "%USERPROFILE%\Documents\GitHub\mrs-test-scripts\Headless Mode &amp; Sideloading\WalkAndUnGZ.bat" "%USERPROFILE%\AppData\Local\Temp\OnboardLogs"\RTDC4031\2017-04-23 &amp; aws s3 cp s3://rtdc.mdm.uploadarchive.raw/RTDC4031/ "%USERPROFILE%\AppData\Local\Temp\OnboardLogs"\RTDC4031\2017-04-24 --exclude "*" --recursive --include "*20170424*" &amp; "%USERPROFILE%\Documents\GitHub\mrs-test-scripts\Headless Mode &amp; Sideloading\WalkAndUnGZ.bat" "%USERPROFILE%\AppData\Local\Temp\OnboardLogs"\RTDC4031\2017-04-24</v>
      </c>
      <c r="AF182" s="77" t="str">
        <f t="shared" si="135"/>
        <v>"C:\Program Files (x86)\AstroGrep\AstroGrep.exe" /e /r /s /spath="%USERPROFILE%\AppData\Local\Temp\OnboardLogs" /stypes="app*4031*20170423*" /stext=" 20:.+((SYSTEM_STATE.+slice.+state.+changed )|(ment ac)|(multiple cpu faults)|(system.+state.+changed )|(\[timeout)|(PRM\|1\|D)|(kpr)|(kdp)|(\|lc)|(penalty))"</v>
      </c>
      <c r="AG182" s="1" t="str">
        <f t="shared" si="136"/>
        <v>NW</v>
      </c>
      <c r="AH182" s="81" t="str">
        <f t="shared" si="87"/>
        <v>"%USERPROFILE%\Documents\GitHub\eaglep3\Utilities\RefineRTDCRunTimes.py" --tripid 1818-23 --locoid 4031 --swversion DE.1.0.9.0 --startMP 300:58615 --initTime 2017-04-23T14:39:42 --startdatetime 2017-04-23T14:41:37 --delay 1 --endMP 204:825 --enddatetime 2017-04-23T14:54:24 --enforcementcount 0 &gt;&gt;C:\Users\stu\Documents\GitHub\eaglep3-reporting\EC\2017-04-23-refined-times.txt</v>
      </c>
      <c r="AI182" s="99" t="str">
        <f t="shared" si="88"/>
        <v>echo {"issue":{"subject":"","project_id":79,"tracker_id":40,"status_id":1,"priority_id":2,"assigned_to_id":23,"start_date":"2017-04-23","description":"","custom_fields":[{"id":1,"name":"Subdivision","value":"NW"},{"id":4,"name":"Milepost","value":"0.0825"},{"id":17,"name":"Train ID","value":"1818-23"},{"id":16,"name":"Locomotive ID","value":"4031"},{"id":130,"name":"Impact","value":""},{"id":150,"name":"Time of Event (Mountain Time)","value":"14:54:24"},{"id":151,"name":"Denver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5" t="str">
        <f t="shared" si="89"/>
        <v>start /low /b %USERPROFILE%\Documents\GitHub\eaglep3\Utilities\DownloadLogsFromS3.py --loco 4031 --day 2017-04-23</v>
      </c>
      <c r="AN182" s="154" t="str">
        <f t="shared" si="90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20:54:24"},{"id":29,"name":"Sharepoint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x14ac:dyDescent="0.25">
      <c r="A183" s="32" t="s">
        <v>755</v>
      </c>
      <c r="B183" s="7">
        <v>4032</v>
      </c>
      <c r="C183" s="21" t="s">
        <v>213</v>
      </c>
      <c r="D183" s="21" t="s">
        <v>933</v>
      </c>
      <c r="E183" s="13">
        <v>42848.637314814812</v>
      </c>
      <c r="F183" s="13">
        <v>42848.640196759261</v>
      </c>
      <c r="G183" s="7">
        <v>1</v>
      </c>
      <c r="H183" s="21" t="s">
        <v>934</v>
      </c>
      <c r="I183" s="13">
        <v>42848.64947916667</v>
      </c>
      <c r="J183" s="7">
        <v>0</v>
      </c>
      <c r="K183" s="92" t="str">
        <f t="shared" si="125"/>
        <v>4031/4032</v>
      </c>
      <c r="L183" s="21" t="str">
        <f>VLOOKUP(A183,'Trips&amp;Operators'!$C$1:$G$99999,5,FALSE)</f>
        <v>HELVIE ADAM</v>
      </c>
      <c r="M183" s="6">
        <f t="shared" si="126"/>
        <v>9.2824074090458453E-3</v>
      </c>
      <c r="N183" s="7">
        <f t="shared" si="91"/>
        <v>13.366666669026017</v>
      </c>
      <c r="O183" s="7"/>
      <c r="P183" s="7"/>
      <c r="Q183" s="22"/>
      <c r="R183" s="200"/>
      <c r="S183" s="206">
        <f t="shared" si="92"/>
        <v>1</v>
      </c>
      <c r="T183" s="200" t="str">
        <f t="shared" si="127"/>
        <v>NorthBound</v>
      </c>
      <c r="U183" s="200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01" t="str">
        <f t="shared" si="128"/>
        <v>https://d0f6bd738d7f1b3e5a7ca70fe4ff75f0.us-east-1.aws.found.io/app/kibana#/discover/Steve-Slow-Train-Analysis-(2080s-and-2083s)?_g=(refreshInterval:(display:Off,pause:!f,section:0,value:0),time:(from:'2017-04-23T14:17:44-0600',mode:absolute,to:'2017-04-23T16:35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3" s="202" t="str">
        <f t="shared" si="129"/>
        <v>N</v>
      </c>
      <c r="X183" s="202">
        <f t="shared" si="124"/>
        <v>1</v>
      </c>
      <c r="Y183" s="202">
        <f t="shared" si="130"/>
        <v>0.1109</v>
      </c>
      <c r="Z183" s="202">
        <f t="shared" si="131"/>
        <v>5.8930999999999996</v>
      </c>
      <c r="AA183" s="202">
        <f t="shared" si="132"/>
        <v>5.7821999999999996</v>
      </c>
      <c r="AB183" s="57" t="e">
        <f>VLOOKUP(A183,Enforcements!$C$7:$K$13,8,0)</f>
        <v>#N/A</v>
      </c>
      <c r="AC183" s="53" t="e">
        <f>VLOOKUP(A183,Enforcements!$C$7:$E$13,3,0)</f>
        <v>#N/A</v>
      </c>
      <c r="AD183" s="54" t="str">
        <f t="shared" si="133"/>
        <v>1819-23</v>
      </c>
      <c r="AE183" s="80" t="str">
        <f t="shared" si="134"/>
        <v>aws s3 cp s3://rtdc.mdm.uploadarchive.raw/RTDC4032/ "%USERPROFILE%\AppData\Local\Temp\OnboardLogs"\RTDC4032\2017-04-23 --exclude "*" --recursive --include "*20170423*" &amp; "%USERPROFILE%\Documents\GitHub\mrs-test-scripts\Headless Mode &amp; Sideloading\WalkAndUnGZ.bat" "%USERPROFILE%\AppData\Local\Temp\OnboardLogs"\RTDC4032\2017-04-23 &amp; aws s3 cp s3://rtdc.mdm.uploadarchive.raw/RTDC4032/ "%USERPROFILE%\AppData\Local\Temp\OnboardLogs"\RTDC4032\2017-04-24 --exclude "*" --recursive --include "*20170424*" &amp; "%USERPROFILE%\Documents\GitHub\mrs-test-scripts\Headless Mode &amp; Sideloading\WalkAndUnGZ.bat" "%USERPROFILE%\AppData\Local\Temp\OnboardLogs"\RTDC4032\2017-04-24</v>
      </c>
      <c r="AF183" s="77" t="str">
        <f t="shared" si="135"/>
        <v>"C:\Program Files (x86)\AstroGrep\AstroGrep.exe" /e /r /s /spath="%USERPROFILE%\AppData\Local\Temp\OnboardLogs" /stypes="app*4032*20170423*" /stext=" 21:.+((SYSTEM_STATE.+slice.+state.+changed )|(ment ac)|(multiple cpu faults)|(system.+state.+changed )|(\[timeout)|(PRM\|1\|D)|(kpr)|(kdp)|(\|lc)|(penalty))"</v>
      </c>
      <c r="AG183" s="1" t="str">
        <f t="shared" si="136"/>
        <v>NW</v>
      </c>
      <c r="AH183" s="81" t="str">
        <f t="shared" si="87"/>
        <v>"%USERPROFILE%\Documents\GitHub\eaglep3\Utilities\RefineRTDCRunTimes.py" --tripid 1819-23 --locoid 4032 --swversion DE.1.0.9.0 --startMP 204:1109 --initTime 2017-04-23T15:17:44 --startdatetime 2017-04-23T15:21:53 --delay 1 --endMP 300:58931 --enddatetime 2017-04-23T15:35:15 --enforcementcount 0 &gt;&gt;C:\Users\stu\Documents\GitHub\eaglep3-reporting\EC\2017-04-23-refined-times.txt</v>
      </c>
      <c r="AI183" s="99" t="str">
        <f t="shared" si="88"/>
        <v>echo {"issue":{"subject":"","project_id":79,"tracker_id":40,"status_id":1,"priority_id":2,"assigned_to_id":23,"start_date":"2017-04-23","description":"","custom_fields":[{"id":1,"name":"Subdivision","value":"NW"},{"id":4,"name":"Milepost","value":"5.8931"},{"id":17,"name":"Train ID","value":"1819-23"},{"id":16,"name":"Locomotive ID","value":"4032"},{"id":130,"name":"Impact","value":""},{"id":150,"name":"Time of Event (Mountain Time)","value":"15:35:15"},{"id":151,"name":"Denver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5" t="str">
        <f t="shared" si="89"/>
        <v>start /low /b %USERPROFILE%\Documents\GitHub\eaglep3\Utilities\DownloadLogsFromS3.py --loco 4032 --day 2017-04-23</v>
      </c>
      <c r="AN183" s="154" t="str">
        <f t="shared" si="90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21:35:15"},{"id":29,"name":"Sharepoint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4" spans="1:91" x14ac:dyDescent="0.25">
      <c r="A184" s="32" t="s">
        <v>613</v>
      </c>
      <c r="B184" s="7">
        <v>4031</v>
      </c>
      <c r="C184" s="21" t="s">
        <v>213</v>
      </c>
      <c r="D184" s="21" t="s">
        <v>935</v>
      </c>
      <c r="E184" s="13">
        <v>42848.650590277779</v>
      </c>
      <c r="F184" s="13">
        <v>42848.653263888889</v>
      </c>
      <c r="G184" s="7">
        <v>1</v>
      </c>
      <c r="H184" s="21" t="s">
        <v>936</v>
      </c>
      <c r="I184" s="13">
        <v>42848.663402777776</v>
      </c>
      <c r="J184" s="7">
        <v>0</v>
      </c>
      <c r="K184" s="92" t="str">
        <f t="shared" si="125"/>
        <v>4031/4032</v>
      </c>
      <c r="L184" s="21" t="str">
        <f>VLOOKUP(A184,'Trips&amp;Operators'!$C$1:$G$99999,5,FALSE)</f>
        <v>HELVIE ADAM</v>
      </c>
      <c r="M184" s="6">
        <f t="shared" si="126"/>
        <v>1.0138888887013309E-2</v>
      </c>
      <c r="N184" s="7">
        <f t="shared" si="91"/>
        <v>14.599999997299165</v>
      </c>
      <c r="O184" s="7"/>
      <c r="P184" s="7"/>
      <c r="Q184" s="22"/>
      <c r="R184" s="200"/>
      <c r="S184" s="206">
        <f t="shared" si="92"/>
        <v>1</v>
      </c>
      <c r="T184" s="200" t="str">
        <f t="shared" si="127"/>
        <v>Southbound</v>
      </c>
      <c r="U184" s="200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01" t="str">
        <f t="shared" si="128"/>
        <v>https://d0f6bd738d7f1b3e5a7ca70fe4ff75f0.us-east-1.aws.found.io/app/kibana#/discover/Steve-Slow-Train-Analysis-(2080s-and-2083s)?_g=(refreshInterval:(display:Off,pause:!f,section:0,value:0),time:(from:'2017-04-23T14:36:51-0600',mode:absolute,to:'2017-04-23T16:55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4" s="202" t="str">
        <f t="shared" si="129"/>
        <v>N</v>
      </c>
      <c r="X184" s="202">
        <f t="shared" si="124"/>
        <v>1</v>
      </c>
      <c r="Y184" s="202">
        <f t="shared" si="130"/>
        <v>5.8611000000000004</v>
      </c>
      <c r="Z184" s="202">
        <f t="shared" si="131"/>
        <v>7.2599999999999998E-2</v>
      </c>
      <c r="AA184" s="202">
        <f t="shared" si="132"/>
        <v>5.7885000000000009</v>
      </c>
      <c r="AB184" s="57" t="e">
        <f>VLOOKUP(A184,Enforcements!$C$7:$K$13,8,0)</f>
        <v>#N/A</v>
      </c>
      <c r="AC184" s="53" t="e">
        <f>VLOOKUP(A184,Enforcements!$C$7:$E$13,3,0)</f>
        <v>#N/A</v>
      </c>
      <c r="AD184" s="54" t="str">
        <f t="shared" si="133"/>
        <v>1820-23</v>
      </c>
      <c r="AE184" s="80" t="str">
        <f t="shared" si="134"/>
        <v>aws s3 cp s3://rtdc.mdm.uploadarchive.raw/RTDC4031/ "%USERPROFILE%\AppData\Local\Temp\OnboardLogs"\RTDC4031\2017-04-23 --exclude "*" --recursive --include "*20170423*" &amp; "%USERPROFILE%\Documents\GitHub\mrs-test-scripts\Headless Mode &amp; Sideloading\WalkAndUnGZ.bat" "%USERPROFILE%\AppData\Local\Temp\OnboardLogs"\RTDC4031\2017-04-23 &amp; aws s3 cp s3://rtdc.mdm.uploadarchive.raw/RTDC4031/ "%USERPROFILE%\AppData\Local\Temp\OnboardLogs"\RTDC4031\2017-04-24 --exclude "*" --recursive --include "*20170424*" &amp; "%USERPROFILE%\Documents\GitHub\mrs-test-scripts\Headless Mode &amp; Sideloading\WalkAndUnGZ.bat" "%USERPROFILE%\AppData\Local\Temp\OnboardLogs"\RTDC4031\2017-04-24</v>
      </c>
      <c r="AF184" s="77" t="str">
        <f t="shared" si="135"/>
        <v>"C:\Program Files (x86)\AstroGrep\AstroGrep.exe" /e /r /s /spath="%USERPROFILE%\AppData\Local\Temp\OnboardLogs" /stypes="app*4031*20170423*" /stext=" 21:.+((SYSTEM_STATE.+slice.+state.+changed )|(ment ac)|(multiple cpu faults)|(system.+state.+changed )|(\[timeout)|(PRM\|1\|D)|(kpr)|(kdp)|(\|lc)|(penalty))"</v>
      </c>
      <c r="AG184" s="1" t="str">
        <f t="shared" si="136"/>
        <v>NW</v>
      </c>
      <c r="AH184" s="81" t="str">
        <f t="shared" si="87"/>
        <v>"%USERPROFILE%\Documents\GitHub\eaglep3\Utilities\RefineRTDCRunTimes.py" --tripid 1820-23 --locoid 4031 --swversion DE.1.0.9.0 --startMP 300:58611 --initTime 2017-04-23T15:36:51 --startdatetime 2017-04-23T15:40:42 --delay 1 --endMP 204:726 --enddatetime 2017-04-23T15:55:18 --enforcementcount 0 &gt;&gt;C:\Users\stu\Documents\GitHub\eaglep3-reporting\EC\2017-04-23-refined-times.txt</v>
      </c>
      <c r="AI184" s="99" t="str">
        <f t="shared" si="88"/>
        <v>echo {"issue":{"subject":"","project_id":79,"tracker_id":40,"status_id":1,"priority_id":2,"assigned_to_id":23,"start_date":"2017-04-23","description":"","custom_fields":[{"id":1,"name":"Subdivision","value":"NW"},{"id":4,"name":"Milepost","value":"0.0726"},{"id":17,"name":"Train ID","value":"1820-23"},{"id":16,"name":"Locomotive ID","value":"4031"},{"id":130,"name":"Impact","value":""},{"id":150,"name":"Time of Event (Mountain Time)","value":"15:55:18"},{"id":151,"name":"Denver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5" t="str">
        <f t="shared" si="89"/>
        <v>start /low /b %USERPROFILE%\Documents\GitHub\eaglep3\Utilities\DownloadLogsFromS3.py --loco 4031 --day 2017-04-23</v>
      </c>
      <c r="AN184" s="154" t="str">
        <f t="shared" si="90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21:55:18"},{"id":29,"name":"Sharepoint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5" spans="1:91" s="20" customFormat="1" x14ac:dyDescent="0.25">
      <c r="A185" s="32" t="s">
        <v>763</v>
      </c>
      <c r="B185" s="7">
        <v>4032</v>
      </c>
      <c r="C185" s="21" t="s">
        <v>213</v>
      </c>
      <c r="D185" s="21" t="s">
        <v>916</v>
      </c>
      <c r="E185" s="13">
        <v>42848.67769675926</v>
      </c>
      <c r="F185" s="13">
        <v>42848.681446759256</v>
      </c>
      <c r="G185" s="7">
        <v>1</v>
      </c>
      <c r="H185" s="21" t="s">
        <v>931</v>
      </c>
      <c r="I185" s="13">
        <v>42848.690868055557</v>
      </c>
      <c r="J185" s="7">
        <v>0</v>
      </c>
      <c r="K185" s="92" t="str">
        <f t="shared" si="125"/>
        <v>4031/4032</v>
      </c>
      <c r="L185" s="21" t="str">
        <f>VLOOKUP(A185,'Trips&amp;Operators'!$C$1:$G$99999,5,FALSE)</f>
        <v>HELVIE ADAM</v>
      </c>
      <c r="M185" s="6">
        <f t="shared" si="126"/>
        <v>9.4212963012978435E-3</v>
      </c>
      <c r="N185" s="7">
        <f t="shared" si="91"/>
        <v>13.566666673868895</v>
      </c>
      <c r="O185" s="7"/>
      <c r="P185" s="7"/>
      <c r="Q185" s="22"/>
      <c r="R185" s="200"/>
      <c r="S185" s="206">
        <f t="shared" si="92"/>
        <v>1</v>
      </c>
      <c r="T185" s="200" t="str">
        <f t="shared" si="127"/>
        <v>NorthBound</v>
      </c>
      <c r="U185" s="200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01" t="str">
        <f t="shared" si="128"/>
        <v>https://d0f6bd738d7f1b3e5a7ca70fe4ff75f0.us-east-1.aws.found.io/app/kibana#/discover/Steve-Slow-Train-Analysis-(2080s-and-2083s)?_g=(refreshInterval:(display:Off,pause:!f,section:0,value:0),time:(from:'2017-04-23T15:15:53-0600',mode:absolute,to:'2017-04-23T17:34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5" s="202" t="str">
        <f t="shared" si="129"/>
        <v>N</v>
      </c>
      <c r="X185" s="202">
        <f t="shared" si="124"/>
        <v>1</v>
      </c>
      <c r="Y185" s="202">
        <f t="shared" si="130"/>
        <v>0.10299999999999999</v>
      </c>
      <c r="Z185" s="202">
        <f t="shared" si="131"/>
        <v>5.8935000000000004</v>
      </c>
      <c r="AA185" s="202">
        <f t="shared" si="132"/>
        <v>5.7905000000000006</v>
      </c>
      <c r="AB185" s="57" t="e">
        <f>VLOOKUP(A185,Enforcements!$C$7:$K$13,8,0)</f>
        <v>#N/A</v>
      </c>
      <c r="AC185" s="53" t="e">
        <f>VLOOKUP(A185,Enforcements!$C$7:$E$13,3,0)</f>
        <v>#N/A</v>
      </c>
      <c r="AD185" s="54" t="str">
        <f t="shared" si="133"/>
        <v>1821-23</v>
      </c>
      <c r="AE185" s="80" t="str">
        <f t="shared" si="134"/>
        <v>aws s3 cp s3://rtdc.mdm.uploadarchive.raw/RTDC4032/ "%USERPROFILE%\AppData\Local\Temp\OnboardLogs"\RTDC4032\2017-04-23 --exclude "*" --recursive --include "*20170423*" &amp; "%USERPROFILE%\Documents\GitHub\mrs-test-scripts\Headless Mode &amp; Sideloading\WalkAndUnGZ.bat" "%USERPROFILE%\AppData\Local\Temp\OnboardLogs"\RTDC4032\2017-04-23 &amp; aws s3 cp s3://rtdc.mdm.uploadarchive.raw/RTDC4032/ "%USERPROFILE%\AppData\Local\Temp\OnboardLogs"\RTDC4032\2017-04-24 --exclude "*" --recursive --include "*20170424*" &amp; "%USERPROFILE%\Documents\GitHub\mrs-test-scripts\Headless Mode &amp; Sideloading\WalkAndUnGZ.bat" "%USERPROFILE%\AppData\Local\Temp\OnboardLogs"\RTDC4032\2017-04-24</v>
      </c>
      <c r="AF185" s="77" t="str">
        <f t="shared" si="135"/>
        <v>"C:\Program Files (x86)\AstroGrep\AstroGrep.exe" /e /r /s /spath="%USERPROFILE%\AppData\Local\Temp\OnboardLogs" /stypes="app*4032*20170423*" /stext=" 22:.+((SYSTEM_STATE.+slice.+state.+changed )|(ment ac)|(multiple cpu faults)|(system.+state.+changed )|(\[timeout)|(PRM\|1\|D)|(kpr)|(kdp)|(\|lc)|(penalty))"</v>
      </c>
      <c r="AG185" s="1" t="str">
        <f t="shared" si="136"/>
        <v>NW</v>
      </c>
      <c r="AH185" s="81" t="str">
        <f t="shared" si="87"/>
        <v>"%USERPROFILE%\Documents\GitHub\eaglep3\Utilities\RefineRTDCRunTimes.py" --tripid 1821-23 --locoid 4032 --swversion DE.1.0.9.0 --startMP 204:1030 --initTime 2017-04-23T16:15:53 --startdatetime 2017-04-23T16:21:17 --delay 1 --endMP 300:58935 --enddatetime 2017-04-23T16:34:51 --enforcementcount 0 &gt;&gt;C:\Users\stu\Documents\GitHub\eaglep3-reporting\EC\2017-04-23-refined-times.txt</v>
      </c>
      <c r="AI185" s="99" t="str">
        <f t="shared" si="88"/>
        <v>echo {"issue":{"subject":"","project_id":79,"tracker_id":40,"status_id":1,"priority_id":2,"assigned_to_id":23,"start_date":"2017-04-23","description":"","custom_fields":[{"id":1,"name":"Subdivision","value":"NW"},{"id":4,"name":"Milepost","value":"5.8935"},{"id":17,"name":"Train ID","value":"1821-23"},{"id":16,"name":"Locomotive ID","value":"4032"},{"id":130,"name":"Impact","value":""},{"id":150,"name":"Time of Event (Mountain Time)","value":"16:34:51"},{"id":151,"name":"Denver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5" s="47"/>
      <c r="AL185" s="47"/>
      <c r="AM185" s="145" t="str">
        <f t="shared" si="89"/>
        <v>start /low /b %USERPROFILE%\Documents\GitHub\eaglep3\Utilities\DownloadLogsFromS3.py --loco 4032 --day 2017-04-23</v>
      </c>
      <c r="AN185" s="154" t="str">
        <f t="shared" si="90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22:34:51"},{"id":29,"name":"Sharepoint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32" t="s">
        <v>615</v>
      </c>
      <c r="B186" s="7">
        <v>4031</v>
      </c>
      <c r="C186" s="21" t="s">
        <v>213</v>
      </c>
      <c r="D186" s="21" t="s">
        <v>917</v>
      </c>
      <c r="E186" s="13">
        <v>42848.69222222222</v>
      </c>
      <c r="F186" s="13">
        <v>42848.693796296298</v>
      </c>
      <c r="G186" s="7">
        <v>1</v>
      </c>
      <c r="H186" s="21" t="s">
        <v>937</v>
      </c>
      <c r="I186" s="13">
        <v>42848.705208333333</v>
      </c>
      <c r="J186" s="7">
        <v>0</v>
      </c>
      <c r="K186" s="92" t="str">
        <f t="shared" si="125"/>
        <v>4031/4032</v>
      </c>
      <c r="L186" s="21" t="str">
        <f>VLOOKUP(A186,'Trips&amp;Operators'!$C$1:$G$99999,5,FALSE)</f>
        <v>HELVIE ADAM</v>
      </c>
      <c r="M186" s="6">
        <f t="shared" si="126"/>
        <v>1.1412037034460809E-2</v>
      </c>
      <c r="N186" s="7">
        <f t="shared" si="91"/>
        <v>16.433333329623565</v>
      </c>
      <c r="O186" s="7"/>
      <c r="P186" s="7"/>
      <c r="Q186" s="22"/>
      <c r="R186" s="200"/>
      <c r="S186" s="206">
        <f t="shared" si="92"/>
        <v>1</v>
      </c>
      <c r="T186" s="200" t="str">
        <f t="shared" si="127"/>
        <v>Southbound</v>
      </c>
      <c r="U186" s="200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01" t="str">
        <f t="shared" si="128"/>
        <v>https://d0f6bd738d7f1b3e5a7ca70fe4ff75f0.us-east-1.aws.found.io/app/kibana#/discover/Steve-Slow-Train-Analysis-(2080s-and-2083s)?_g=(refreshInterval:(display:Off,pause:!f,section:0,value:0),time:(from:'2017-04-23T15:36:48-0600',mode:absolute,to:'2017-04-23T17:55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6" s="202" t="str">
        <f t="shared" si="129"/>
        <v>N</v>
      </c>
      <c r="X186" s="202">
        <f t="shared" si="124"/>
        <v>1</v>
      </c>
      <c r="Y186" s="202">
        <f t="shared" si="130"/>
        <v>5.8619000000000003</v>
      </c>
      <c r="Z186" s="202">
        <f t="shared" si="131"/>
        <v>7.6799999999999993E-2</v>
      </c>
      <c r="AA186" s="202">
        <f t="shared" si="132"/>
        <v>5.7850999999999999</v>
      </c>
      <c r="AB186" s="57" t="e">
        <f>VLOOKUP(A186,Enforcements!$C$7:$K$13,8,0)</f>
        <v>#N/A</v>
      </c>
      <c r="AC186" s="53" t="e">
        <f>VLOOKUP(A186,Enforcements!$C$7:$E$13,3,0)</f>
        <v>#N/A</v>
      </c>
      <c r="AD186" s="54" t="str">
        <f t="shared" si="133"/>
        <v>1822-23</v>
      </c>
      <c r="AE186" s="80" t="str">
        <f t="shared" si="134"/>
        <v>aws s3 cp s3://rtdc.mdm.uploadarchive.raw/RTDC4031/ "%USERPROFILE%\AppData\Local\Temp\OnboardLogs"\RTDC4031\2017-04-23 --exclude "*" --recursive --include "*20170423*" &amp; "%USERPROFILE%\Documents\GitHub\mrs-test-scripts\Headless Mode &amp; Sideloading\WalkAndUnGZ.bat" "%USERPROFILE%\AppData\Local\Temp\OnboardLogs"\RTDC4031\2017-04-23 &amp; aws s3 cp s3://rtdc.mdm.uploadarchive.raw/RTDC4031/ "%USERPROFILE%\AppData\Local\Temp\OnboardLogs"\RTDC4031\2017-04-24 --exclude "*" --recursive --include "*20170424*" &amp; "%USERPROFILE%\Documents\GitHub\mrs-test-scripts\Headless Mode &amp; Sideloading\WalkAndUnGZ.bat" "%USERPROFILE%\AppData\Local\Temp\OnboardLogs"\RTDC4031\2017-04-24</v>
      </c>
      <c r="AF186" s="77" t="str">
        <f t="shared" si="135"/>
        <v>"C:\Program Files (x86)\AstroGrep\AstroGrep.exe" /e /r /s /spath="%USERPROFILE%\AppData\Local\Temp\OnboardLogs" /stypes="app*4031*20170423*" /stext=" 22:.+((SYSTEM_STATE.+slice.+state.+changed )|(ment ac)|(multiple cpu faults)|(system.+state.+changed )|(\[timeout)|(PRM\|1\|D)|(kpr)|(kdp)|(\|lc)|(penalty))"</v>
      </c>
      <c r="AG186" s="1" t="str">
        <f t="shared" si="136"/>
        <v>NW</v>
      </c>
      <c r="AH186" s="81" t="str">
        <f t="shared" si="87"/>
        <v>"%USERPROFILE%\Documents\GitHub\eaglep3\Utilities\RefineRTDCRunTimes.py" --tripid 1822-23 --locoid 4031 --swversion DE.1.0.9.0 --startMP 300:58619 --initTime 2017-04-23T16:36:48 --startdatetime 2017-04-23T16:39:04 --delay 1 --endMP 204:768 --enddatetime 2017-04-23T16:55:30 --enforcementcount 0 &gt;&gt;C:\Users\stu\Documents\GitHub\eaglep3-reporting\EC\2017-04-23-refined-times.txt</v>
      </c>
      <c r="AI186" s="99" t="str">
        <f t="shared" si="88"/>
        <v>echo {"issue":{"subject":"","project_id":79,"tracker_id":40,"status_id":1,"priority_id":2,"assigned_to_id":23,"start_date":"2017-04-23","description":"","custom_fields":[{"id":1,"name":"Subdivision","value":"NW"},{"id":4,"name":"Milepost","value":"0.0768"},{"id":17,"name":"Train ID","value":"1822-23"},{"id":16,"name":"Locomotive ID","value":"4031"},{"id":130,"name":"Impact","value":""},{"id":150,"name":"Time of Event (Mountain Time)","value":"16:55:30"},{"id":151,"name":"Denver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6" s="47"/>
      <c r="AL186" s="47"/>
      <c r="AM186" s="145" t="str">
        <f t="shared" si="89"/>
        <v>start /low /b %USERPROFILE%\Documents\GitHub\eaglep3\Utilities\DownloadLogsFromS3.py --loco 4031 --day 2017-04-23</v>
      </c>
      <c r="AN186" s="154" t="str">
        <f t="shared" si="90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22:55:30"},{"id":29,"name":"Sharepoint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32" t="s">
        <v>771</v>
      </c>
      <c r="B187" s="7">
        <v>4032</v>
      </c>
      <c r="C187" s="21" t="s">
        <v>213</v>
      </c>
      <c r="D187" s="21" t="s">
        <v>938</v>
      </c>
      <c r="E187" s="13">
        <v>42848.72142361111</v>
      </c>
      <c r="F187" s="13">
        <v>42848.72320601852</v>
      </c>
      <c r="G187" s="7">
        <v>1</v>
      </c>
      <c r="H187" s="21" t="s">
        <v>482</v>
      </c>
      <c r="I187" s="13">
        <v>42848.732118055559</v>
      </c>
      <c r="J187" s="7">
        <v>0</v>
      </c>
      <c r="K187" s="92" t="str">
        <f t="shared" si="125"/>
        <v>4031/4032</v>
      </c>
      <c r="L187" s="21" t="str">
        <f>VLOOKUP(A187,'Trips&amp;Operators'!$C$1:$G$99999,5,FALSE)</f>
        <v>HELVIE ADAM</v>
      </c>
      <c r="M187" s="6">
        <f t="shared" si="126"/>
        <v>8.9120370394084603E-3</v>
      </c>
      <c r="N187" s="7">
        <f t="shared" si="91"/>
        <v>12.833333336748183</v>
      </c>
      <c r="O187" s="7"/>
      <c r="P187" s="7"/>
      <c r="Q187" s="22"/>
      <c r="R187" s="200"/>
      <c r="S187" s="206">
        <f t="shared" si="92"/>
        <v>1</v>
      </c>
      <c r="T187" s="200" t="str">
        <f t="shared" si="127"/>
        <v>NorthBound</v>
      </c>
      <c r="U187" s="200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01" t="str">
        <f t="shared" si="128"/>
        <v>https://d0f6bd738d7f1b3e5a7ca70fe4ff75f0.us-east-1.aws.found.io/app/kibana#/discover/Steve-Slow-Train-Analysis-(2080s-and-2083s)?_g=(refreshInterval:(display:Off,pause:!f,section:0,value:0),time:(from:'2017-04-23T16:18:51-0600',mode:absolute,to:'2017-04-23T18:34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7" s="202" t="str">
        <f t="shared" si="129"/>
        <v>N</v>
      </c>
      <c r="X187" s="202">
        <f t="shared" si="124"/>
        <v>1</v>
      </c>
      <c r="Y187" s="202">
        <f t="shared" si="130"/>
        <v>0.1072</v>
      </c>
      <c r="Z187" s="202">
        <f t="shared" si="131"/>
        <v>5.8948</v>
      </c>
      <c r="AA187" s="202">
        <f t="shared" si="132"/>
        <v>5.7876000000000003</v>
      </c>
      <c r="AB187" s="57" t="e">
        <f>VLOOKUP(A187,Enforcements!$C$7:$K$13,8,0)</f>
        <v>#N/A</v>
      </c>
      <c r="AC187" s="53" t="e">
        <f>VLOOKUP(A187,Enforcements!$C$7:$E$13,3,0)</f>
        <v>#N/A</v>
      </c>
      <c r="AD187" s="54" t="str">
        <f t="shared" si="133"/>
        <v>1823-23</v>
      </c>
      <c r="AE187" s="80" t="str">
        <f t="shared" si="134"/>
        <v>aws s3 cp s3://rtdc.mdm.uploadarchive.raw/RTDC4032/ "%USERPROFILE%\AppData\Local\Temp\OnboardLogs"\RTDC4032\2017-04-23 --exclude "*" --recursive --include "*20170423*" &amp; "%USERPROFILE%\Documents\GitHub\mrs-test-scripts\Headless Mode &amp; Sideloading\WalkAndUnGZ.bat" "%USERPROFILE%\AppData\Local\Temp\OnboardLogs"\RTDC4032\2017-04-23 &amp; aws s3 cp s3://rtdc.mdm.uploadarchive.raw/RTDC4032/ "%USERPROFILE%\AppData\Local\Temp\OnboardLogs"\RTDC4032\2017-04-24 --exclude "*" --recursive --include "*20170424*" &amp; "%USERPROFILE%\Documents\GitHub\mrs-test-scripts\Headless Mode &amp; Sideloading\WalkAndUnGZ.bat" "%USERPROFILE%\AppData\Local\Temp\OnboardLogs"\RTDC4032\2017-04-24</v>
      </c>
      <c r="AF187" s="77" t="str">
        <f t="shared" si="135"/>
        <v>"C:\Program Files (x86)\AstroGrep\AstroGrep.exe" /e /r /s /spath="%USERPROFILE%\AppData\Local\Temp\OnboardLogs" /stypes="app*4032*20170423*" /stext=" 23:.+((SYSTEM_STATE.+slice.+state.+changed )|(ment ac)|(multiple cpu faults)|(system.+state.+changed )|(\[timeout)|(PRM\|1\|D)|(kpr)|(kdp)|(\|lc)|(penalty))"</v>
      </c>
      <c r="AG187" s="1" t="str">
        <f t="shared" si="136"/>
        <v>NW</v>
      </c>
      <c r="AH187" s="81" t="str">
        <f t="shared" si="87"/>
        <v>"%USERPROFILE%\Documents\GitHub\eaglep3\Utilities\RefineRTDCRunTimes.py" --tripid 1823-23 --locoid 4032 --swversion DE.1.0.9.0 --startMP 204:1072 --initTime 2017-04-23T17:18:51 --startdatetime 2017-04-23T17:21:25 --delay 1 --endMP 300:58948 --enddatetime 2017-04-23T17:34:15 --enforcementcount 0 &gt;&gt;C:\Users\stu\Documents\GitHub\eaglep3-reporting\EC\2017-04-23-refined-times.txt</v>
      </c>
      <c r="AI187" s="99" t="str">
        <f t="shared" si="88"/>
        <v>echo {"issue":{"subject":"","project_id":79,"tracker_id":40,"status_id":1,"priority_id":2,"assigned_to_id":23,"start_date":"2017-04-23","description":"","custom_fields":[{"id":1,"name":"Subdivision","value":"NW"},{"id":4,"name":"Milepost","value":"5.8948"},{"id":17,"name":"Train ID","value":"1823-23"},{"id":16,"name":"Locomotive ID","value":"4032"},{"id":130,"name":"Impact","value":""},{"id":150,"name":"Time of Event (Mountain Time)","value":"17:34:15"},{"id":151,"name":"Denver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7" s="47"/>
      <c r="AL187" s="47"/>
      <c r="AM187" s="145" t="str">
        <f t="shared" si="89"/>
        <v>start /low /b %USERPROFILE%\Documents\GitHub\eaglep3\Utilities\DownloadLogsFromS3.py --loco 4032 --day 2017-04-23</v>
      </c>
      <c r="AN187" s="154" t="str">
        <f t="shared" si="90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23:34:15"},{"id":29,"name":"Sharepoint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x14ac:dyDescent="0.25">
      <c r="A188" s="32" t="s">
        <v>774</v>
      </c>
      <c r="B188" s="7">
        <v>4031</v>
      </c>
      <c r="C188" s="21" t="s">
        <v>213</v>
      </c>
      <c r="D188" s="21" t="s">
        <v>427</v>
      </c>
      <c r="E188" s="13">
        <v>42848.733831018515</v>
      </c>
      <c r="F188" s="13">
        <v>42848.736770833333</v>
      </c>
      <c r="G188" s="7">
        <v>1</v>
      </c>
      <c r="H188" s="21" t="s">
        <v>939</v>
      </c>
      <c r="I188" s="13">
        <v>42848.745925925927</v>
      </c>
      <c r="J188" s="7">
        <v>0</v>
      </c>
      <c r="K188" s="92" t="str">
        <f t="shared" si="125"/>
        <v>4031/4032</v>
      </c>
      <c r="L188" s="21" t="str">
        <f>VLOOKUP(A188,'Trips&amp;Operators'!$C$1:$G$99999,5,FALSE)</f>
        <v>HELVIE ADAM</v>
      </c>
      <c r="M188" s="6">
        <f t="shared" si="126"/>
        <v>9.1550925935734995E-3</v>
      </c>
      <c r="N188" s="7">
        <f t="shared" si="91"/>
        <v>13.183333334745839</v>
      </c>
      <c r="O188" s="7"/>
      <c r="P188" s="7"/>
      <c r="Q188" s="22"/>
      <c r="R188" s="200"/>
      <c r="S188" s="206">
        <f t="shared" si="92"/>
        <v>1</v>
      </c>
      <c r="T188" s="200" t="str">
        <f t="shared" si="127"/>
        <v>Southbound</v>
      </c>
      <c r="U188" s="200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01" t="str">
        <f t="shared" si="128"/>
        <v>https://d0f6bd738d7f1b3e5a7ca70fe4ff75f0.us-east-1.aws.found.io/app/kibana#/discover/Steve-Slow-Train-Analysis-(2080s-and-2083s)?_g=(refreshInterval:(display:Off,pause:!f,section:0,value:0),time:(from:'2017-04-23T16:36:43-0600',mode:absolute,to:'2017-04-23T18:54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8" s="202" t="str">
        <f t="shared" si="129"/>
        <v>N</v>
      </c>
      <c r="X188" s="202">
        <f t="shared" si="124"/>
        <v>1</v>
      </c>
      <c r="Y188" s="202">
        <f t="shared" si="130"/>
        <v>5.8630000000000004</v>
      </c>
      <c r="Z188" s="202">
        <f t="shared" si="131"/>
        <v>7.85E-2</v>
      </c>
      <c r="AA188" s="202">
        <f t="shared" si="132"/>
        <v>5.7845000000000004</v>
      </c>
      <c r="AB188" s="57" t="e">
        <f>VLOOKUP(A188,Enforcements!$C$7:$K$13,8,0)</f>
        <v>#N/A</v>
      </c>
      <c r="AC188" s="53" t="e">
        <f>VLOOKUP(A188,Enforcements!$C$7:$E$13,3,0)</f>
        <v>#N/A</v>
      </c>
      <c r="AD188" s="54" t="str">
        <f t="shared" si="133"/>
        <v>1824-23</v>
      </c>
      <c r="AE188" s="80" t="str">
        <f t="shared" si="134"/>
        <v>aws s3 cp s3://rtdc.mdm.uploadarchive.raw/RTDC4031/ "%USERPROFILE%\AppData\Local\Temp\OnboardLogs"\RTDC4031\2017-04-23 --exclude "*" --recursive --include "*20170423*" &amp; "%USERPROFILE%\Documents\GitHub\mrs-test-scripts\Headless Mode &amp; Sideloading\WalkAndUnGZ.bat" "%USERPROFILE%\AppData\Local\Temp\OnboardLogs"\RTDC4031\2017-04-23 &amp; aws s3 cp s3://rtdc.mdm.uploadarchive.raw/RTDC4031/ "%USERPROFILE%\AppData\Local\Temp\OnboardLogs"\RTDC4031\2017-04-24 --exclude "*" --recursive --include "*20170424*" &amp; "%USERPROFILE%\Documents\GitHub\mrs-test-scripts\Headless Mode &amp; Sideloading\WalkAndUnGZ.bat" "%USERPROFILE%\AppData\Local\Temp\OnboardLogs"\RTDC4031\2017-04-24</v>
      </c>
      <c r="AF188" s="77" t="str">
        <f t="shared" si="135"/>
        <v>"C:\Program Files (x86)\AstroGrep\AstroGrep.exe" /e /r /s /spath="%USERPROFILE%\AppData\Local\Temp\OnboardLogs" /stypes="app*4031*20170423*" /stext=" 23:.+((SYSTEM_STATE.+slice.+state.+changed )|(ment ac)|(multiple cpu faults)|(system.+state.+changed )|(\[timeout)|(PRM\|1\|D)|(kpr)|(kdp)|(\|lc)|(penalty))"</v>
      </c>
      <c r="AG188" s="1" t="str">
        <f t="shared" si="136"/>
        <v>NW</v>
      </c>
      <c r="AH188" s="81" t="str">
        <f t="shared" si="87"/>
        <v>"%USERPROFILE%\Documents\GitHub\eaglep3\Utilities\RefineRTDCRunTimes.py" --tripid 1824-23 --locoid 4031 --swversion DE.1.0.9.0 --startMP 300:58630 --initTime 2017-04-23T17:36:43 --startdatetime 2017-04-23T17:40:57 --delay 1 --endMP 204:785 --enddatetime 2017-04-23T17:54:08 --enforcementcount 0 &gt;&gt;C:\Users\stu\Documents\GitHub\eaglep3-reporting\EC\2017-04-23-refined-times.txt</v>
      </c>
      <c r="AI188" s="99" t="str">
        <f t="shared" si="88"/>
        <v>echo {"issue":{"subject":"","project_id":79,"tracker_id":40,"status_id":1,"priority_id":2,"assigned_to_id":23,"start_date":"2017-04-23","description":"","custom_fields":[{"id":1,"name":"Subdivision","value":"NW"},{"id":4,"name":"Milepost","value":"0.0785"},{"id":17,"name":"Train ID","value":"1824-23"},{"id":16,"name":"Locomotive ID","value":"4031"},{"id":130,"name":"Impact","value":""},{"id":150,"name":"Time of Event (Mountain Time)","value":"17:54:08"},{"id":151,"name":"Denver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5" t="str">
        <f t="shared" si="89"/>
        <v>start /low /b %USERPROFILE%\Documents\GitHub\eaglep3\Utilities\DownloadLogsFromS3.py --loco 4031 --day 2017-04-23</v>
      </c>
      <c r="AN188" s="154" t="str">
        <f t="shared" si="90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23:54:08"},{"id":29,"name":"Sharepoint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2" t="s">
        <v>782</v>
      </c>
      <c r="B189" s="7">
        <v>4032</v>
      </c>
      <c r="C189" s="21" t="s">
        <v>213</v>
      </c>
      <c r="D189" s="21" t="s">
        <v>940</v>
      </c>
      <c r="E189" s="13">
        <v>42848.763668981483</v>
      </c>
      <c r="F189" s="13">
        <v>42848.765034722222</v>
      </c>
      <c r="G189" s="7">
        <v>1</v>
      </c>
      <c r="H189" s="21" t="s">
        <v>450</v>
      </c>
      <c r="I189" s="13">
        <v>42848.773958333331</v>
      </c>
      <c r="J189" s="7">
        <v>0</v>
      </c>
      <c r="K189" s="92" t="str">
        <f t="shared" si="125"/>
        <v>4031/4032</v>
      </c>
      <c r="L189" s="21" t="str">
        <f>VLOOKUP(A189,'Trips&amp;Operators'!$C$1:$G$99999,5,FALSE)</f>
        <v>HELVIE ADAM</v>
      </c>
      <c r="M189" s="6">
        <f t="shared" si="126"/>
        <v>8.923611108912155E-3</v>
      </c>
      <c r="N189" s="7">
        <f t="shared" si="91"/>
        <v>12.849999996833503</v>
      </c>
      <c r="O189" s="7"/>
      <c r="P189" s="7"/>
      <c r="Q189" s="22"/>
      <c r="R189" s="200"/>
      <c r="S189" s="206">
        <f t="shared" si="92"/>
        <v>1</v>
      </c>
      <c r="T189" s="200" t="str">
        <f t="shared" si="127"/>
        <v>NorthBound</v>
      </c>
      <c r="U189" s="200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01" t="str">
        <f t="shared" si="128"/>
        <v>https://d0f6bd738d7f1b3e5a7ca70fe4ff75f0.us-east-1.aws.found.io/app/kibana#/discover/Steve-Slow-Train-Analysis-(2080s-and-2083s)?_g=(refreshInterval:(display:Off,pause:!f,section:0,value:0),time:(from:'2017-04-23T17:19:41-0600',mode:absolute,to:'2017-04-23T19:34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9" s="202" t="str">
        <f t="shared" si="129"/>
        <v>N</v>
      </c>
      <c r="X189" s="202">
        <f t="shared" si="124"/>
        <v>1</v>
      </c>
      <c r="Y189" s="202">
        <f t="shared" si="130"/>
        <v>0.1079</v>
      </c>
      <c r="Z189" s="202">
        <f t="shared" si="131"/>
        <v>5.8933</v>
      </c>
      <c r="AA189" s="202">
        <f t="shared" si="132"/>
        <v>5.7854000000000001</v>
      </c>
      <c r="AB189" s="57" t="e">
        <f>VLOOKUP(A189,Enforcements!$C$7:$K$13,8,0)</f>
        <v>#N/A</v>
      </c>
      <c r="AC189" s="53" t="e">
        <f>VLOOKUP(A189,Enforcements!$C$7:$E$13,3,0)</f>
        <v>#N/A</v>
      </c>
      <c r="AD189" s="54" t="str">
        <f t="shared" si="133"/>
        <v>1825-23</v>
      </c>
      <c r="AE189" s="80" t="str">
        <f t="shared" si="134"/>
        <v>aws s3 cp s3://rtdc.mdm.uploadarchive.raw/RTDC4032/ "%USERPROFILE%\AppData\Local\Temp\OnboardLogs"\RTDC4032\2017-04-23 --exclude "*" --recursive --include "*20170423*" &amp; "%USERPROFILE%\Documents\GitHub\mrs-test-scripts\Headless Mode &amp; Sideloading\WalkAndUnGZ.bat" "%USERPROFILE%\AppData\Local\Temp\OnboardLogs"\RTDC4032\2017-04-23 &amp; aws s3 cp s3://rtdc.mdm.uploadarchive.raw/RTDC4032/ "%USERPROFILE%\AppData\Local\Temp\OnboardLogs"\RTDC4032\2017-04-24 --exclude "*" --recursive --include "*20170424*" &amp; "%USERPROFILE%\Documents\GitHub\mrs-test-scripts\Headless Mode &amp; Sideloading\WalkAndUnGZ.bat" "%USERPROFILE%\AppData\Local\Temp\OnboardLogs"\RTDC4032\2017-04-24</v>
      </c>
      <c r="AF189" s="77" t="str">
        <f t="shared" si="135"/>
        <v>"C:\Program Files (x86)\AstroGrep\AstroGrep.exe" /e /r /s /spath="%USERPROFILE%\AppData\Local\Temp\OnboardLogs" /stypes="app*4032*20170424*" /stext=" 00:.+((SYSTEM_STATE.+slice.+state.+changed )|(ment ac)|(multiple cpu faults)|(system.+state.+changed )|(\[timeout)|(PRM\|1\|D)|(kpr)|(kdp)|(\|lc)|(penalty))"</v>
      </c>
      <c r="AG189" s="1" t="str">
        <f t="shared" si="136"/>
        <v>NW</v>
      </c>
      <c r="AH189" s="81" t="str">
        <f t="shared" si="87"/>
        <v>"%USERPROFILE%\Documents\GitHub\eaglep3\Utilities\RefineRTDCRunTimes.py" --tripid 1825-23 --locoid 4032 --swversion DE.1.0.9.0 --startMP 204:1079 --initTime 2017-04-23T18:19:41 --startdatetime 2017-04-23T18:21:39 --delay 1 --endMP 300:58933 --enddatetime 2017-04-23T18:34:30 --enforcementcount 0 &gt;&gt;C:\Users\stu\Documents\GitHub\eaglep3-reporting\EC\2017-04-23-refined-times.txt</v>
      </c>
      <c r="AI189" s="99" t="str">
        <f t="shared" si="88"/>
        <v>echo {"issue":{"subject":"","project_id":79,"tracker_id":40,"status_id":1,"priority_id":2,"assigned_to_id":23,"start_date":"2017-04-23","description":"","custom_fields":[{"id":1,"name":"Subdivision","value":"NW"},{"id":4,"name":"Milepost","value":"5.8933"},{"id":17,"name":"Train ID","value":"1825-23"},{"id":16,"name":"Locomotive ID","value":"4032"},{"id":130,"name":"Impact","value":""},{"id":150,"name":"Time of Event (Mountain Time)","value":"18:34:30"},{"id":151,"name":"Denver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5" t="str">
        <f t="shared" si="89"/>
        <v>start /low /b %USERPROFILE%\Documents\GitHub\eaglep3\Utilities\DownloadLogsFromS3.py --loco 4032 --day 2017-04-23</v>
      </c>
      <c r="AN189" s="154" t="str">
        <f t="shared" si="90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00:34:30"},{"id":29,"name":"Sharepoint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2" t="s">
        <v>786</v>
      </c>
      <c r="B190" s="7">
        <v>4031</v>
      </c>
      <c r="C190" s="21" t="s">
        <v>213</v>
      </c>
      <c r="D190" s="21" t="s">
        <v>592</v>
      </c>
      <c r="E190" s="13">
        <v>42848.775601851848</v>
      </c>
      <c r="F190" s="13">
        <v>42848.778668981482</v>
      </c>
      <c r="G190" s="7">
        <v>1</v>
      </c>
      <c r="H190" s="21" t="s">
        <v>941</v>
      </c>
      <c r="I190" s="13">
        <v>42848.787986111114</v>
      </c>
      <c r="J190" s="7">
        <v>0</v>
      </c>
      <c r="K190" s="92" t="str">
        <f t="shared" si="125"/>
        <v>4031/4032</v>
      </c>
      <c r="L190" s="21" t="str">
        <f>VLOOKUP(A190,'Trips&amp;Operators'!$C$1:$G$99999,5,FALSE)</f>
        <v>HELVIE ADAM</v>
      </c>
      <c r="M190" s="6">
        <f t="shared" si="126"/>
        <v>9.3171296321088448E-3</v>
      </c>
      <c r="N190" s="7">
        <f t="shared" si="91"/>
        <v>13.416666670236737</v>
      </c>
      <c r="O190" s="7"/>
      <c r="P190" s="7"/>
      <c r="Q190" s="22"/>
      <c r="R190" s="200"/>
      <c r="S190" s="206">
        <f t="shared" si="92"/>
        <v>1</v>
      </c>
      <c r="T190" s="200" t="str">
        <f t="shared" si="127"/>
        <v>Southbound</v>
      </c>
      <c r="U190" s="200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01" t="str">
        <f t="shared" si="128"/>
        <v>https://d0f6bd738d7f1b3e5a7ca70fe4ff75f0.us-east-1.aws.found.io/app/kibana#/discover/Steve-Slow-Train-Analysis-(2080s-and-2083s)?_g=(refreshInterval:(display:Off,pause:!f,section:0,value:0),time:(from:'2017-04-23T17:36:52-0600',mode:absolute,to:'2017-04-23T19:54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0" s="202" t="str">
        <f t="shared" si="129"/>
        <v>N</v>
      </c>
      <c r="X190" s="202">
        <f t="shared" si="124"/>
        <v>1</v>
      </c>
      <c r="Y190" s="202">
        <f t="shared" si="130"/>
        <v>5.8616999999999999</v>
      </c>
      <c r="Z190" s="202">
        <f t="shared" si="131"/>
        <v>7.6399999999999996E-2</v>
      </c>
      <c r="AA190" s="202">
        <f t="shared" si="132"/>
        <v>5.7853000000000003</v>
      </c>
      <c r="AB190" s="57" t="e">
        <f>VLOOKUP(A190,Enforcements!$C$7:$K$13,8,0)</f>
        <v>#N/A</v>
      </c>
      <c r="AC190" s="53" t="e">
        <f>VLOOKUP(A190,Enforcements!$C$7:$E$13,3,0)</f>
        <v>#N/A</v>
      </c>
      <c r="AD190" s="54" t="str">
        <f t="shared" si="133"/>
        <v>1826-23</v>
      </c>
      <c r="AE190" s="80" t="str">
        <f t="shared" si="134"/>
        <v>aws s3 cp s3://rtdc.mdm.uploadarchive.raw/RTDC4031/ "%USERPROFILE%\AppData\Local\Temp\OnboardLogs"\RTDC4031\2017-04-23 --exclude "*" --recursive --include "*20170423*" &amp; "%USERPROFILE%\Documents\GitHub\mrs-test-scripts\Headless Mode &amp; Sideloading\WalkAndUnGZ.bat" "%USERPROFILE%\AppData\Local\Temp\OnboardLogs"\RTDC4031\2017-04-23 &amp; aws s3 cp s3://rtdc.mdm.uploadarchive.raw/RTDC4031/ "%USERPROFILE%\AppData\Local\Temp\OnboardLogs"\RTDC4031\2017-04-24 --exclude "*" --recursive --include "*20170424*" &amp; "%USERPROFILE%\Documents\GitHub\mrs-test-scripts\Headless Mode &amp; Sideloading\WalkAndUnGZ.bat" "%USERPROFILE%\AppData\Local\Temp\OnboardLogs"\RTDC4031\2017-04-24</v>
      </c>
      <c r="AF190" s="77" t="str">
        <f t="shared" si="135"/>
        <v>"C:\Program Files (x86)\AstroGrep\AstroGrep.exe" /e /r /s /spath="%USERPROFILE%\AppData\Local\Temp\OnboardLogs" /stypes="app*4031*20170424*" /stext=" 00:.+((SYSTEM_STATE.+slice.+state.+changed )|(ment ac)|(multiple cpu faults)|(system.+state.+changed )|(\[timeout)|(PRM\|1\|D)|(kpr)|(kdp)|(\|lc)|(penalty))"</v>
      </c>
      <c r="AG190" s="1" t="str">
        <f t="shared" si="136"/>
        <v>NW</v>
      </c>
      <c r="AH190" s="81" t="str">
        <f t="shared" si="87"/>
        <v>"%USERPROFILE%\Documents\GitHub\eaglep3\Utilities\RefineRTDCRunTimes.py" --tripid 1826-23 --locoid 4031 --swversion DE.1.0.9.0 --startMP 300:58617 --initTime 2017-04-23T18:36:52 --startdatetime 2017-04-23T18:41:17 --delay 1 --endMP 204:764 --enddatetime 2017-04-23T18:54:42 --enforcementcount 0 &gt;&gt;C:\Users\stu\Documents\GitHub\eaglep3-reporting\EC\2017-04-23-refined-times.txt</v>
      </c>
      <c r="AI190" s="99" t="str">
        <f t="shared" si="88"/>
        <v>echo {"issue":{"subject":"","project_id":79,"tracker_id":40,"status_id":1,"priority_id":2,"assigned_to_id":23,"start_date":"2017-04-23","description":"","custom_fields":[{"id":1,"name":"Subdivision","value":"NW"},{"id":4,"name":"Milepost","value":"0.0764"},{"id":17,"name":"Train ID","value":"1826-23"},{"id":16,"name":"Locomotive ID","value":"4031"},{"id":130,"name":"Impact","value":""},{"id":150,"name":"Time of Event (Mountain Time)","value":"18:54:42"},{"id":151,"name":"Denver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5" t="str">
        <f t="shared" si="89"/>
        <v>start /low /b %USERPROFILE%\Documents\GitHub\eaglep3\Utilities\DownloadLogsFromS3.py --loco 4031 --day 2017-04-23</v>
      </c>
      <c r="AN190" s="154" t="str">
        <f t="shared" si="90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00:54:42"},{"id":29,"name":"Sharepoint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2" t="s">
        <v>792</v>
      </c>
      <c r="B191" s="7">
        <v>4032</v>
      </c>
      <c r="C191" s="21" t="s">
        <v>213</v>
      </c>
      <c r="D191" s="21" t="s">
        <v>942</v>
      </c>
      <c r="E191" s="13">
        <v>42848.803217592591</v>
      </c>
      <c r="F191" s="13">
        <v>42848.806527777779</v>
      </c>
      <c r="G191" s="7">
        <v>1</v>
      </c>
      <c r="H191" s="21" t="s">
        <v>931</v>
      </c>
      <c r="I191" s="13">
        <v>42848.81591435185</v>
      </c>
      <c r="J191" s="7">
        <v>0</v>
      </c>
      <c r="K191" s="92" t="str">
        <f t="shared" si="125"/>
        <v>4031/4032</v>
      </c>
      <c r="L191" s="21" t="str">
        <f>VLOOKUP(A191,'Trips&amp;Operators'!$C$1:$G$99999,5,FALSE)</f>
        <v>HELVIE ADAM</v>
      </c>
      <c r="M191" s="6">
        <f t="shared" si="126"/>
        <v>9.3865740709588863E-3</v>
      </c>
      <c r="N191" s="7">
        <f t="shared" si="91"/>
        <v>13.516666662180796</v>
      </c>
      <c r="O191" s="7"/>
      <c r="P191" s="7"/>
      <c r="Q191" s="22"/>
      <c r="R191" s="200"/>
      <c r="S191" s="206">
        <f t="shared" si="92"/>
        <v>1</v>
      </c>
      <c r="T191" s="200" t="str">
        <f t="shared" si="127"/>
        <v>NorthBound</v>
      </c>
      <c r="U191" s="200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01" t="str">
        <f t="shared" si="128"/>
        <v>https://d0f6bd738d7f1b3e5a7ca70fe4ff75f0.us-east-1.aws.found.io/app/kibana#/discover/Steve-Slow-Train-Analysis-(2080s-and-2083s)?_g=(refreshInterval:(display:Off,pause:!f,section:0,value:0),time:(from:'2017-04-23T18:16:38-0600',mode:absolute,to:'2017-04-23T20:34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1" s="202" t="str">
        <f t="shared" si="129"/>
        <v>N</v>
      </c>
      <c r="X191" s="202">
        <f t="shared" si="124"/>
        <v>1</v>
      </c>
      <c r="Y191" s="202">
        <f t="shared" si="130"/>
        <v>0.10580000000000001</v>
      </c>
      <c r="Z191" s="202">
        <f t="shared" si="131"/>
        <v>5.8935000000000004</v>
      </c>
      <c r="AA191" s="202">
        <f t="shared" si="132"/>
        <v>5.7877000000000001</v>
      </c>
      <c r="AB191" s="57" t="e">
        <f>VLOOKUP(A191,Enforcements!$C$7:$K$13,8,0)</f>
        <v>#N/A</v>
      </c>
      <c r="AC191" s="53" t="e">
        <f>VLOOKUP(A191,Enforcements!$C$7:$E$13,3,0)</f>
        <v>#N/A</v>
      </c>
      <c r="AD191" s="54" t="str">
        <f t="shared" si="133"/>
        <v>1827-23</v>
      </c>
      <c r="AE191" s="80" t="str">
        <f t="shared" si="134"/>
        <v>aws s3 cp s3://rtdc.mdm.uploadarchive.raw/RTDC4032/ "%USERPROFILE%\AppData\Local\Temp\OnboardLogs"\RTDC4032\2017-04-23 --exclude "*" --recursive --include "*20170423*" &amp; "%USERPROFILE%\Documents\GitHub\mrs-test-scripts\Headless Mode &amp; Sideloading\WalkAndUnGZ.bat" "%USERPROFILE%\AppData\Local\Temp\OnboardLogs"\RTDC4032\2017-04-23 &amp; aws s3 cp s3://rtdc.mdm.uploadarchive.raw/RTDC4032/ "%USERPROFILE%\AppData\Local\Temp\OnboardLogs"\RTDC4032\2017-04-24 --exclude "*" --recursive --include "*20170424*" &amp; "%USERPROFILE%\Documents\GitHub\mrs-test-scripts\Headless Mode &amp; Sideloading\WalkAndUnGZ.bat" "%USERPROFILE%\AppData\Local\Temp\OnboardLogs"\RTDC4032\2017-04-24</v>
      </c>
      <c r="AF191" s="77" t="str">
        <f t="shared" si="135"/>
        <v>"C:\Program Files (x86)\AstroGrep\AstroGrep.exe" /e /r /s /spath="%USERPROFILE%\AppData\Local\Temp\OnboardLogs" /stypes="app*4032*20170424*" /stext=" 01:.+((SYSTEM_STATE.+slice.+state.+changed )|(ment ac)|(multiple cpu faults)|(system.+state.+changed )|(\[timeout)|(PRM\|1\|D)|(kpr)|(kdp)|(\|lc)|(penalty))"</v>
      </c>
      <c r="AG191" s="1" t="str">
        <f t="shared" si="136"/>
        <v>NW</v>
      </c>
      <c r="AH191" s="81" t="str">
        <f t="shared" si="87"/>
        <v>"%USERPROFILE%\Documents\GitHub\eaglep3\Utilities\RefineRTDCRunTimes.py" --tripid 1827-23 --locoid 4032 --swversion DE.1.0.9.0 --startMP 204:1058 --initTime 2017-04-23T19:16:38 --startdatetime 2017-04-23T19:21:24 --delay 1 --endMP 300:58935 --enddatetime 2017-04-23T19:34:55 --enforcementcount 0 &gt;&gt;C:\Users\stu\Documents\GitHub\eaglep3-reporting\EC\2017-04-23-refined-times.txt</v>
      </c>
      <c r="AI191" s="99" t="str">
        <f t="shared" si="88"/>
        <v>echo {"issue":{"subject":"","project_id":79,"tracker_id":40,"status_id":1,"priority_id":2,"assigned_to_id":23,"start_date":"2017-04-23","description":"","custom_fields":[{"id":1,"name":"Subdivision","value":"NW"},{"id":4,"name":"Milepost","value":"5.8935"},{"id":17,"name":"Train ID","value":"1827-23"},{"id":16,"name":"Locomotive ID","value":"4032"},{"id":130,"name":"Impact","value":""},{"id":150,"name":"Time of Event (Mountain Time)","value":"19:34:55"},{"id":151,"name":"Denver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5" t="str">
        <f t="shared" si="89"/>
        <v>start /low /b %USERPROFILE%\Documents\GitHub\eaglep3\Utilities\DownloadLogsFromS3.py --loco 4032 --day 2017-04-23</v>
      </c>
      <c r="AN191" s="154" t="str">
        <f t="shared" si="90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01:34:55"},{"id":29,"name":"Sharepoint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2" t="s">
        <v>794</v>
      </c>
      <c r="B192" s="7">
        <v>4031</v>
      </c>
      <c r="C192" s="21" t="s">
        <v>213</v>
      </c>
      <c r="D192" s="21" t="s">
        <v>917</v>
      </c>
      <c r="E192" s="13">
        <v>42848.816863425927</v>
      </c>
      <c r="F192" s="13">
        <v>42848.820520833331</v>
      </c>
      <c r="G192" s="7">
        <v>1</v>
      </c>
      <c r="H192" s="21" t="s">
        <v>939</v>
      </c>
      <c r="I192" s="13">
        <v>42848.828900462962</v>
      </c>
      <c r="J192" s="7">
        <v>0</v>
      </c>
      <c r="K192" s="92" t="str">
        <f t="shared" si="125"/>
        <v>4031/4032</v>
      </c>
      <c r="L192" s="21" t="str">
        <f>VLOOKUP(A192,'Trips&amp;Operators'!$C$1:$G$99999,5,FALSE)</f>
        <v>HELVIE ADAM</v>
      </c>
      <c r="M192" s="6">
        <f t="shared" si="126"/>
        <v>8.3796296312357299E-3</v>
      </c>
      <c r="N192" s="7">
        <f t="shared" si="91"/>
        <v>12.066666668979451</v>
      </c>
      <c r="O192" s="7"/>
      <c r="P192" s="7"/>
      <c r="Q192" s="22"/>
      <c r="R192" s="200"/>
      <c r="S192" s="206">
        <f t="shared" si="92"/>
        <v>1</v>
      </c>
      <c r="T192" s="200" t="str">
        <f t="shared" si="127"/>
        <v>Southbound</v>
      </c>
      <c r="U192" s="200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01" t="str">
        <f t="shared" si="128"/>
        <v>https://d0f6bd738d7f1b3e5a7ca70fe4ff75f0.us-east-1.aws.found.io/app/kibana#/discover/Steve-Slow-Train-Analysis-(2080s-and-2083s)?_g=(refreshInterval:(display:Off,pause:!f,section:0,value:0),time:(from:'2017-04-23T18:36:17-0600',mode:absolute,to:'2017-04-23T20:53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2" s="202" t="str">
        <f t="shared" si="129"/>
        <v>N</v>
      </c>
      <c r="X192" s="202">
        <f t="shared" si="124"/>
        <v>1</v>
      </c>
      <c r="Y192" s="202">
        <f t="shared" si="130"/>
        <v>5.8619000000000003</v>
      </c>
      <c r="Z192" s="202">
        <f t="shared" si="131"/>
        <v>7.85E-2</v>
      </c>
      <c r="AA192" s="202">
        <f t="shared" si="132"/>
        <v>5.7834000000000003</v>
      </c>
      <c r="AB192" s="57" t="e">
        <f>VLOOKUP(A192,Enforcements!$C$7:$K$13,8,0)</f>
        <v>#N/A</v>
      </c>
      <c r="AC192" s="53" t="e">
        <f>VLOOKUP(A192,Enforcements!$C$7:$E$13,3,0)</f>
        <v>#N/A</v>
      </c>
      <c r="AD192" s="54" t="str">
        <f t="shared" si="133"/>
        <v>1828-23</v>
      </c>
      <c r="AE192" s="80" t="str">
        <f t="shared" si="134"/>
        <v>aws s3 cp s3://rtdc.mdm.uploadarchive.raw/RTDC4031/ "%USERPROFILE%\AppData\Local\Temp\OnboardLogs"\RTDC4031\2017-04-23 --exclude "*" --recursive --include "*20170423*" &amp; "%USERPROFILE%\Documents\GitHub\mrs-test-scripts\Headless Mode &amp; Sideloading\WalkAndUnGZ.bat" "%USERPROFILE%\AppData\Local\Temp\OnboardLogs"\RTDC4031\2017-04-23 &amp; aws s3 cp s3://rtdc.mdm.uploadarchive.raw/RTDC4031/ "%USERPROFILE%\AppData\Local\Temp\OnboardLogs"\RTDC4031\2017-04-24 --exclude "*" --recursive --include "*20170424*" &amp; "%USERPROFILE%\Documents\GitHub\mrs-test-scripts\Headless Mode &amp; Sideloading\WalkAndUnGZ.bat" "%USERPROFILE%\AppData\Local\Temp\OnboardLogs"\RTDC4031\2017-04-24</v>
      </c>
      <c r="AF192" s="77" t="str">
        <f t="shared" si="135"/>
        <v>"C:\Program Files (x86)\AstroGrep\AstroGrep.exe" /e /r /s /spath="%USERPROFILE%\AppData\Local\Temp\OnboardLogs" /stypes="app*4031*20170424*" /stext=" 01:.+((SYSTEM_STATE.+slice.+state.+changed )|(ment ac)|(multiple cpu faults)|(system.+state.+changed )|(\[timeout)|(PRM\|1\|D)|(kpr)|(kdp)|(\|lc)|(penalty))"</v>
      </c>
      <c r="AG192" s="1" t="str">
        <f t="shared" si="136"/>
        <v>NW</v>
      </c>
      <c r="AH192" s="81" t="str">
        <f t="shared" si="87"/>
        <v>"%USERPROFILE%\Documents\GitHub\eaglep3\Utilities\RefineRTDCRunTimes.py" --tripid 1828-23 --locoid 4031 --swversion DE.1.0.9.0 --startMP 300:58619 --initTime 2017-04-23T19:36:17 --startdatetime 2017-04-23T19:41:33 --delay 1 --endMP 204:785 --enddatetime 2017-04-23T19:53:37 --enforcementcount 0 &gt;&gt;C:\Users\stu\Documents\GitHub\eaglep3-reporting\EC\2017-04-23-refined-times.txt</v>
      </c>
      <c r="AI192" s="99" t="str">
        <f t="shared" si="88"/>
        <v>echo {"issue":{"subject":"","project_id":79,"tracker_id":40,"status_id":1,"priority_id":2,"assigned_to_id":23,"start_date":"2017-04-23","description":"","custom_fields":[{"id":1,"name":"Subdivision","value":"NW"},{"id":4,"name":"Milepost","value":"0.0785"},{"id":17,"name":"Train ID","value":"1828-23"},{"id":16,"name":"Locomotive ID","value":"4031"},{"id":130,"name":"Impact","value":""},{"id":150,"name":"Time of Event (Mountain Time)","value":"19:53:37"},{"id":151,"name":"Denver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5" t="str">
        <f t="shared" si="89"/>
        <v>start /low /b %USERPROFILE%\Documents\GitHub\eaglep3\Utilities\DownloadLogsFromS3.py --loco 4031 --day 2017-04-23</v>
      </c>
      <c r="AN192" s="154" t="str">
        <f t="shared" si="90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01:53:37"},{"id":29,"name":"Sharepoint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91" x14ac:dyDescent="0.25">
      <c r="A193" s="32" t="s">
        <v>799</v>
      </c>
      <c r="B193" s="7">
        <v>4032</v>
      </c>
      <c r="C193" s="21" t="s">
        <v>213</v>
      </c>
      <c r="D193" s="21" t="s">
        <v>943</v>
      </c>
      <c r="E193" s="13">
        <v>42848.846701388888</v>
      </c>
      <c r="F193" s="13">
        <v>42848.848101851851</v>
      </c>
      <c r="G193" s="7">
        <v>1</v>
      </c>
      <c r="H193" s="21" t="s">
        <v>919</v>
      </c>
      <c r="I193" s="13">
        <v>42848.856817129628</v>
      </c>
      <c r="J193" s="7">
        <v>0</v>
      </c>
      <c r="K193" s="92" t="str">
        <f t="shared" si="125"/>
        <v>4031/4032</v>
      </c>
      <c r="L193" s="21" t="str">
        <f>VLOOKUP(A193,'Trips&amp;Operators'!$C$1:$G$99999,5,FALSE)</f>
        <v>HELVIE ADAM</v>
      </c>
      <c r="M193" s="6">
        <f t="shared" si="126"/>
        <v>8.7152777778101154E-3</v>
      </c>
      <c r="N193" s="7">
        <f t="shared" ref="N193:P217" si="137">24*60*SUM($M193:$M193)</f>
        <v>12.550000000046566</v>
      </c>
      <c r="O193" s="7"/>
      <c r="P193" s="7"/>
      <c r="Q193" s="22"/>
      <c r="R193" s="200"/>
      <c r="S193" s="206">
        <f t="shared" ref="S193:S217" si="138">SUM(U193:U193)/IF(AG193="EC",12,1)</f>
        <v>1</v>
      </c>
      <c r="T193" s="200" t="str">
        <f t="shared" si="127"/>
        <v>NorthBound</v>
      </c>
      <c r="U193" s="200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01" t="str">
        <f t="shared" si="128"/>
        <v>https://d0f6bd738d7f1b3e5a7ca70fe4ff75f0.us-east-1.aws.found.io/app/kibana#/discover/Steve-Slow-Train-Analysis-(2080s-and-2083s)?_g=(refreshInterval:(display:Off,pause:!f,section:0,value:0),time:(from:'2017-04-23T19:19:15-0600',mode:absolute,to:'2017-04-23T21:33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3" s="202" t="str">
        <f t="shared" si="129"/>
        <v>N</v>
      </c>
      <c r="X193" s="202">
        <f t="shared" si="124"/>
        <v>1</v>
      </c>
      <c r="Y193" s="202">
        <f t="shared" si="130"/>
        <v>0.1077</v>
      </c>
      <c r="Z193" s="202">
        <f t="shared" si="131"/>
        <v>5.8940999999999999</v>
      </c>
      <c r="AA193" s="202">
        <f t="shared" si="132"/>
        <v>5.7863999999999995</v>
      </c>
      <c r="AB193" s="57" t="e">
        <f>VLOOKUP(A193,Enforcements!$C$7:$K$13,8,0)</f>
        <v>#N/A</v>
      </c>
      <c r="AC193" s="53" t="e">
        <f>VLOOKUP(A193,Enforcements!$C$7:$E$13,3,0)</f>
        <v>#N/A</v>
      </c>
      <c r="AD193" s="54" t="str">
        <f t="shared" si="133"/>
        <v>1829-23</v>
      </c>
      <c r="AE193" s="80" t="str">
        <f t="shared" si="134"/>
        <v>aws s3 cp s3://rtdc.mdm.uploadarchive.raw/RTDC4032/ "%USERPROFILE%\AppData\Local\Temp\OnboardLogs"\RTDC4032\2017-04-23 --exclude "*" --recursive --include "*20170423*" &amp; "%USERPROFILE%\Documents\GitHub\mrs-test-scripts\Headless Mode &amp; Sideloading\WalkAndUnGZ.bat" "%USERPROFILE%\AppData\Local\Temp\OnboardLogs"\RTDC4032\2017-04-23 &amp; aws s3 cp s3://rtdc.mdm.uploadarchive.raw/RTDC4032/ "%USERPROFILE%\AppData\Local\Temp\OnboardLogs"\RTDC4032\2017-04-24 --exclude "*" --recursive --include "*20170424*" &amp; "%USERPROFILE%\Documents\GitHub\mrs-test-scripts\Headless Mode &amp; Sideloading\WalkAndUnGZ.bat" "%USERPROFILE%\AppData\Local\Temp\OnboardLogs"\RTDC4032\2017-04-24</v>
      </c>
      <c r="AF193" s="77" t="str">
        <f t="shared" si="135"/>
        <v>"C:\Program Files (x86)\AstroGrep\AstroGrep.exe" /e /r /s /spath="%USERPROFILE%\AppData\Local\Temp\OnboardLogs" /stypes="app*4032*20170424*" /stext=" 02:.+((SYSTEM_STATE.+slice.+state.+changed )|(ment ac)|(multiple cpu faults)|(system.+state.+changed )|(\[timeout)|(PRM\|1\|D)|(kpr)|(kdp)|(\|lc)|(penalty))"</v>
      </c>
      <c r="AG193" s="1" t="str">
        <f t="shared" si="136"/>
        <v>NW</v>
      </c>
      <c r="AH193" s="81" t="str">
        <f t="shared" si="87"/>
        <v>"%USERPROFILE%\Documents\GitHub\eaglep3\Utilities\RefineRTDCRunTimes.py" --tripid 1829-23 --locoid 4032 --swversion DE.1.0.9.0 --startMP 204:1077 --initTime 2017-04-23T20:19:15 --startdatetime 2017-04-23T20:21:16 --delay 1 --endMP 300:58941 --enddatetime 2017-04-23T20:33:49 --enforcementcount 0 &gt;&gt;C:\Users\stu\Documents\GitHub\eaglep3-reporting\EC\2017-04-23-refined-times.txt</v>
      </c>
      <c r="AI193" s="99" t="str">
        <f t="shared" si="88"/>
        <v>echo {"issue":{"subject":"","project_id":79,"tracker_id":40,"status_id":1,"priority_id":2,"assigned_to_id":23,"start_date":"2017-04-23","description":"","custom_fields":[{"id":1,"name":"Subdivision","value":"NW"},{"id":4,"name":"Milepost","value":"5.8941"},{"id":17,"name":"Train ID","value":"1829-23"},{"id":16,"name":"Locomotive ID","value":"4032"},{"id":130,"name":"Impact","value":""},{"id":150,"name":"Time of Event (Mountain Time)","value":"20:33:49"},{"id":151,"name":"Denver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5" t="str">
        <f t="shared" si="89"/>
        <v>start /low /b %USERPROFILE%\Documents\GitHub\eaglep3\Utilities\DownloadLogsFromS3.py --loco 4032 --day 2017-04-23</v>
      </c>
      <c r="AN193" s="154" t="str">
        <f t="shared" si="90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02:33:49"},{"id":29,"name":"Sharepoint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91" x14ac:dyDescent="0.25">
      <c r="A194" s="32" t="s">
        <v>800</v>
      </c>
      <c r="B194" s="7">
        <v>4031</v>
      </c>
      <c r="C194" s="21" t="s">
        <v>213</v>
      </c>
      <c r="D194" s="21" t="s">
        <v>483</v>
      </c>
      <c r="E194" s="13">
        <v>42848.857881944445</v>
      </c>
      <c r="F194" s="13">
        <v>42848.861886574072</v>
      </c>
      <c r="G194" s="7">
        <v>1</v>
      </c>
      <c r="H194" s="21" t="s">
        <v>939</v>
      </c>
      <c r="I194" s="13">
        <v>42848.871076388888</v>
      </c>
      <c r="J194" s="7">
        <v>0</v>
      </c>
      <c r="K194" s="92" t="str">
        <f t="shared" si="125"/>
        <v>4031/4032</v>
      </c>
      <c r="L194" s="21" t="str">
        <f>VLOOKUP(A194,'Trips&amp;Operators'!$C$1:$G$99999,5,FALSE)</f>
        <v>HELVIE ADAM</v>
      </c>
      <c r="M194" s="6">
        <f t="shared" si="126"/>
        <v>9.189814816636499E-3</v>
      </c>
      <c r="N194" s="7">
        <f t="shared" si="137"/>
        <v>13.233333335956559</v>
      </c>
      <c r="O194" s="7"/>
      <c r="P194" s="7"/>
      <c r="Q194" s="22"/>
      <c r="R194" s="200"/>
      <c r="S194" s="206">
        <f t="shared" si="138"/>
        <v>1</v>
      </c>
      <c r="T194" s="200" t="str">
        <f t="shared" si="127"/>
        <v>Southbound</v>
      </c>
      <c r="U194" s="200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01" t="str">
        <f t="shared" si="128"/>
        <v>https://d0f6bd738d7f1b3e5a7ca70fe4ff75f0.us-east-1.aws.found.io/app/kibana#/discover/Steve-Slow-Train-Analysis-(2080s-and-2083s)?_g=(refreshInterval:(display:Off,pause:!f,section:0,value:0),time:(from:'2017-04-23T19:35:21-0600',mode:absolute,to:'2017-04-23T21:54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4" s="202" t="str">
        <f t="shared" si="129"/>
        <v>N</v>
      </c>
      <c r="X194" s="202">
        <f t="shared" si="124"/>
        <v>1</v>
      </c>
      <c r="Y194" s="202">
        <f t="shared" si="130"/>
        <v>5.8635999999999999</v>
      </c>
      <c r="Z194" s="202">
        <f t="shared" si="131"/>
        <v>7.85E-2</v>
      </c>
      <c r="AA194" s="202">
        <f t="shared" si="132"/>
        <v>5.7850999999999999</v>
      </c>
      <c r="AB194" s="57" t="e">
        <f>VLOOKUP(A194,Enforcements!$C$7:$K$13,8,0)</f>
        <v>#N/A</v>
      </c>
      <c r="AC194" s="53" t="e">
        <f>VLOOKUP(A194,Enforcements!$C$7:$E$13,3,0)</f>
        <v>#N/A</v>
      </c>
      <c r="AD194" s="54" t="str">
        <f t="shared" si="133"/>
        <v>1830-23</v>
      </c>
      <c r="AE194" s="80" t="str">
        <f t="shared" si="134"/>
        <v>aws s3 cp s3://rtdc.mdm.uploadarchive.raw/RTDC4031/ "%USERPROFILE%\AppData\Local\Temp\OnboardLogs"\RTDC4031\2017-04-23 --exclude "*" --recursive --include "*20170423*" &amp; "%USERPROFILE%\Documents\GitHub\mrs-test-scripts\Headless Mode &amp; Sideloading\WalkAndUnGZ.bat" "%USERPROFILE%\AppData\Local\Temp\OnboardLogs"\RTDC4031\2017-04-23 &amp; aws s3 cp s3://rtdc.mdm.uploadarchive.raw/RTDC4031/ "%USERPROFILE%\AppData\Local\Temp\OnboardLogs"\RTDC4031\2017-04-24 --exclude "*" --recursive --include "*20170424*" &amp; "%USERPROFILE%\Documents\GitHub\mrs-test-scripts\Headless Mode &amp; Sideloading\WalkAndUnGZ.bat" "%USERPROFILE%\AppData\Local\Temp\OnboardLogs"\RTDC4031\2017-04-24</v>
      </c>
      <c r="AF194" s="77" t="str">
        <f t="shared" si="135"/>
        <v>"C:\Program Files (x86)\AstroGrep\AstroGrep.exe" /e /r /s /spath="%USERPROFILE%\AppData\Local\Temp\OnboardLogs" /stypes="app*4031*20170424*" /stext=" 02:.+((SYSTEM_STATE.+slice.+state.+changed )|(ment ac)|(multiple cpu faults)|(system.+state.+changed )|(\[timeout)|(PRM\|1\|D)|(kpr)|(kdp)|(\|lc)|(penalty))"</v>
      </c>
      <c r="AG194" s="1" t="str">
        <f t="shared" si="136"/>
        <v>NW</v>
      </c>
      <c r="AH194" s="81" t="str">
        <f t="shared" si="87"/>
        <v>"%USERPROFILE%\Documents\GitHub\eaglep3\Utilities\RefineRTDCRunTimes.py" --tripid 1830-23 --locoid 4031 --swversion DE.1.0.9.0 --startMP 300:58636 --initTime 2017-04-23T20:35:21 --startdatetime 2017-04-23T20:41:07 --delay 1 --endMP 204:785 --enddatetime 2017-04-23T20:54:21 --enforcementcount 0 &gt;&gt;C:\Users\stu\Documents\GitHub\eaglep3-reporting\EC\2017-04-23-refined-times.txt</v>
      </c>
      <c r="AI194" s="99" t="str">
        <f t="shared" si="88"/>
        <v>echo {"issue":{"subject":"","project_id":79,"tracker_id":40,"status_id":1,"priority_id":2,"assigned_to_id":23,"start_date":"2017-04-23","description":"","custom_fields":[{"id":1,"name":"Subdivision","value":"NW"},{"id":4,"name":"Milepost","value":"0.0785"},{"id":17,"name":"Train ID","value":"1830-23"},{"id":16,"name":"Locomotive ID","value":"4031"},{"id":130,"name":"Impact","value":""},{"id":150,"name":"Time of Event (Mountain Time)","value":"20:54:21"},{"id":151,"name":"Denver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5" t="str">
        <f t="shared" si="89"/>
        <v>start /low /b %USERPROFILE%\Documents\GitHub\eaglep3\Utilities\DownloadLogsFromS3.py --loco 4031 --day 2017-04-23</v>
      </c>
      <c r="AN194" s="154" t="str">
        <f t="shared" si="90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02:54:21"},{"id":29,"name":"Sharepoint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91" x14ac:dyDescent="0.25">
      <c r="A195" s="32" t="s">
        <v>804</v>
      </c>
      <c r="B195" s="7">
        <v>4032</v>
      </c>
      <c r="C195" s="21" t="s">
        <v>213</v>
      </c>
      <c r="D195" s="21" t="s">
        <v>938</v>
      </c>
      <c r="E195" s="13">
        <v>42848.888275462959</v>
      </c>
      <c r="F195" s="13">
        <v>42848.889745370368</v>
      </c>
      <c r="G195" s="7">
        <v>1</v>
      </c>
      <c r="H195" s="21" t="s">
        <v>934</v>
      </c>
      <c r="I195" s="13">
        <v>42848.898425925923</v>
      </c>
      <c r="J195" s="7">
        <v>0</v>
      </c>
      <c r="K195" s="92" t="str">
        <f t="shared" si="125"/>
        <v>4031/4032</v>
      </c>
      <c r="L195" s="21" t="str">
        <f>VLOOKUP(A195,'Trips&amp;Operators'!$C$1:$G$99999,5,FALSE)</f>
        <v>HELVIE ADAM</v>
      </c>
      <c r="M195" s="6">
        <f t="shared" si="126"/>
        <v>8.6805555547471158E-3</v>
      </c>
      <c r="N195" s="7">
        <f t="shared" si="137"/>
        <v>12.499999998835847</v>
      </c>
      <c r="O195" s="7"/>
      <c r="P195" s="7"/>
      <c r="Q195" s="22"/>
      <c r="R195" s="200"/>
      <c r="S195" s="206">
        <f t="shared" si="138"/>
        <v>1</v>
      </c>
      <c r="T195" s="200" t="str">
        <f t="shared" si="127"/>
        <v>NorthBound</v>
      </c>
      <c r="U195" s="200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01" t="str">
        <f t="shared" si="128"/>
        <v>https://d0f6bd738d7f1b3e5a7ca70fe4ff75f0.us-east-1.aws.found.io/app/kibana#/discover/Steve-Slow-Train-Analysis-(2080s-and-2083s)?_g=(refreshInterval:(display:Off,pause:!f,section:0,value:0),time:(from:'2017-04-23T20:19:07-0600',mode:absolute,to:'2017-04-23T22:33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5" s="202" t="str">
        <f t="shared" si="129"/>
        <v>N</v>
      </c>
      <c r="X195" s="202">
        <f t="shared" si="124"/>
        <v>1</v>
      </c>
      <c r="Y195" s="202">
        <f t="shared" si="130"/>
        <v>0.1072</v>
      </c>
      <c r="Z195" s="202">
        <f t="shared" si="131"/>
        <v>5.8930999999999996</v>
      </c>
      <c r="AA195" s="202">
        <f t="shared" si="132"/>
        <v>5.7858999999999998</v>
      </c>
      <c r="AB195" s="57" t="e">
        <f>VLOOKUP(A195,Enforcements!$C$7:$K$13,8,0)</f>
        <v>#N/A</v>
      </c>
      <c r="AC195" s="53" t="e">
        <f>VLOOKUP(A195,Enforcements!$C$7:$E$13,3,0)</f>
        <v>#N/A</v>
      </c>
      <c r="AD195" s="54" t="str">
        <f t="shared" si="133"/>
        <v>1831-23</v>
      </c>
      <c r="AE195" s="80" t="str">
        <f t="shared" si="134"/>
        <v>aws s3 cp s3://rtdc.mdm.uploadarchive.raw/RTDC4032/ "%USERPROFILE%\AppData\Local\Temp\OnboardLogs"\RTDC4032\2017-04-23 --exclude "*" --recursive --include "*20170423*" &amp; "%USERPROFILE%\Documents\GitHub\mrs-test-scripts\Headless Mode &amp; Sideloading\WalkAndUnGZ.bat" "%USERPROFILE%\AppData\Local\Temp\OnboardLogs"\RTDC4032\2017-04-23 &amp; aws s3 cp s3://rtdc.mdm.uploadarchive.raw/RTDC4032/ "%USERPROFILE%\AppData\Local\Temp\OnboardLogs"\RTDC4032\2017-04-24 --exclude "*" --recursive --include "*20170424*" &amp; "%USERPROFILE%\Documents\GitHub\mrs-test-scripts\Headless Mode &amp; Sideloading\WalkAndUnGZ.bat" "%USERPROFILE%\AppData\Local\Temp\OnboardLogs"\RTDC4032\2017-04-24</v>
      </c>
      <c r="AF195" s="77" t="str">
        <f t="shared" si="135"/>
        <v>"C:\Program Files (x86)\AstroGrep\AstroGrep.exe" /e /r /s /spath="%USERPROFILE%\AppData\Local\Temp\OnboardLogs" /stypes="app*4032*20170424*" /stext=" 03:.+((SYSTEM_STATE.+slice.+state.+changed )|(ment ac)|(multiple cpu faults)|(system.+state.+changed )|(\[timeout)|(PRM\|1\|D)|(kpr)|(kdp)|(\|lc)|(penalty))"</v>
      </c>
      <c r="AG195" s="1" t="str">
        <f t="shared" si="136"/>
        <v>NW</v>
      </c>
      <c r="AH195" s="81" t="str">
        <f t="shared" si="87"/>
        <v>"%USERPROFILE%\Documents\GitHub\eaglep3\Utilities\RefineRTDCRunTimes.py" --tripid 1831-23 --locoid 4032 --swversion DE.1.0.9.0 --startMP 204:1072 --initTime 2017-04-23T21:19:07 --startdatetime 2017-04-23T21:21:14 --delay 1 --endMP 300:58931 --enddatetime 2017-04-23T21:33:44 --enforcementcount 0 &gt;&gt;C:\Users\stu\Documents\GitHub\eaglep3-reporting\EC\2017-04-23-refined-times.txt</v>
      </c>
      <c r="AI195" s="99" t="str">
        <f t="shared" si="88"/>
        <v>echo {"issue":{"subject":"","project_id":79,"tracker_id":40,"status_id":1,"priority_id":2,"assigned_to_id":23,"start_date":"2017-04-23","description":"","custom_fields":[{"id":1,"name":"Subdivision","value":"NW"},{"id":4,"name":"Milepost","value":"5.8931"},{"id":17,"name":"Train ID","value":"1831-23"},{"id":16,"name":"Locomotive ID","value":"4032"},{"id":130,"name":"Impact","value":""},{"id":150,"name":"Time of Event (Mountain Time)","value":"21:33:44"},{"id":151,"name":"Denver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5" t="str">
        <f t="shared" si="89"/>
        <v>start /low /b %USERPROFILE%\Documents\GitHub\eaglep3\Utilities\DownloadLogsFromS3.py --loco 4032 --day 2017-04-23</v>
      </c>
      <c r="AN195" s="154" t="str">
        <f t="shared" si="90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03:33:44"},{"id":29,"name":"Sharepoint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91" x14ac:dyDescent="0.25">
      <c r="A196" s="32" t="s">
        <v>620</v>
      </c>
      <c r="B196" s="7">
        <v>4031</v>
      </c>
      <c r="C196" s="21" t="s">
        <v>213</v>
      </c>
      <c r="D196" s="21" t="s">
        <v>522</v>
      </c>
      <c r="E196" s="13">
        <v>42848.899583333332</v>
      </c>
      <c r="F196" s="13">
        <v>42848.903634259259</v>
      </c>
      <c r="G196" s="7">
        <v>1</v>
      </c>
      <c r="H196" s="21" t="s">
        <v>946</v>
      </c>
      <c r="I196" s="13">
        <v>42848.913495370369</v>
      </c>
      <c r="J196" s="7">
        <v>0</v>
      </c>
      <c r="K196" s="92" t="str">
        <f t="shared" si="125"/>
        <v>4031/4032</v>
      </c>
      <c r="L196" s="21" t="str">
        <f>VLOOKUP(A196,'Trips&amp;Operators'!$C$1:$G$99999,5,FALSE)</f>
        <v>HELVIE ADAM</v>
      </c>
      <c r="M196" s="6">
        <f t="shared" si="126"/>
        <v>9.8611111097852699E-3</v>
      </c>
      <c r="N196" s="7">
        <f t="shared" si="137"/>
        <v>14.199999998090789</v>
      </c>
      <c r="O196" s="7"/>
      <c r="P196" s="7"/>
      <c r="Q196" s="22"/>
      <c r="R196" s="200"/>
      <c r="S196" s="206">
        <f t="shared" si="138"/>
        <v>1</v>
      </c>
      <c r="T196" s="200" t="str">
        <f t="shared" si="127"/>
        <v>Southbound</v>
      </c>
      <c r="U196" s="200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01" t="str">
        <f t="shared" si="128"/>
        <v>https://d0f6bd738d7f1b3e5a7ca70fe4ff75f0.us-east-1.aws.found.io/app/kibana#/discover/Steve-Slow-Train-Analysis-(2080s-and-2083s)?_g=(refreshInterval:(display:Off,pause:!f,section:0,value:0),time:(from:'2017-04-23T20:35:24-0600',mode:absolute,to:'2017-04-23T22:55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6" s="202" t="str">
        <f t="shared" si="129"/>
        <v>N</v>
      </c>
      <c r="X196" s="202">
        <f t="shared" si="124"/>
        <v>1</v>
      </c>
      <c r="Y196" s="202">
        <f t="shared" si="130"/>
        <v>5.8615000000000004</v>
      </c>
      <c r="Z196" s="202">
        <f t="shared" si="131"/>
        <v>7.8299999999999995E-2</v>
      </c>
      <c r="AA196" s="202">
        <f t="shared" si="132"/>
        <v>5.7832000000000008</v>
      </c>
      <c r="AB196" s="57" t="e">
        <f>VLOOKUP(A196,Enforcements!$C$7:$K$13,8,0)</f>
        <v>#N/A</v>
      </c>
      <c r="AC196" s="53" t="e">
        <f>VLOOKUP(A196,Enforcements!$C$7:$E$13,3,0)</f>
        <v>#N/A</v>
      </c>
      <c r="AD196" s="54" t="str">
        <f t="shared" si="133"/>
        <v>1832-23</v>
      </c>
      <c r="AE196" s="80" t="str">
        <f t="shared" si="134"/>
        <v>aws s3 cp s3://rtdc.mdm.uploadarchive.raw/RTDC4031/ "%USERPROFILE%\AppData\Local\Temp\OnboardLogs"\RTDC4031\2017-04-23 --exclude "*" --recursive --include "*20170423*" &amp; "%USERPROFILE%\Documents\GitHub\mrs-test-scripts\Headless Mode &amp; Sideloading\WalkAndUnGZ.bat" "%USERPROFILE%\AppData\Local\Temp\OnboardLogs"\RTDC4031\2017-04-23 &amp; aws s3 cp s3://rtdc.mdm.uploadarchive.raw/RTDC4031/ "%USERPROFILE%\AppData\Local\Temp\OnboardLogs"\RTDC4031\2017-04-24 --exclude "*" --recursive --include "*20170424*" &amp; "%USERPROFILE%\Documents\GitHub\mrs-test-scripts\Headless Mode &amp; Sideloading\WalkAndUnGZ.bat" "%USERPROFILE%\AppData\Local\Temp\OnboardLogs"\RTDC4031\2017-04-24</v>
      </c>
      <c r="AF196" s="77" t="str">
        <f t="shared" si="135"/>
        <v>"C:\Program Files (x86)\AstroGrep\AstroGrep.exe" /e /r /s /spath="%USERPROFILE%\AppData\Local\Temp\OnboardLogs" /stypes="app*4031*20170424*" /stext=" 03:.+((SYSTEM_STATE.+slice.+state.+changed )|(ment ac)|(multiple cpu faults)|(system.+state.+changed )|(\[timeout)|(PRM\|1\|D)|(kpr)|(kdp)|(\|lc)|(penalty))"</v>
      </c>
      <c r="AG196" s="1" t="str">
        <f t="shared" si="136"/>
        <v>NW</v>
      </c>
      <c r="AH196" s="81" t="str">
        <f t="shared" si="87"/>
        <v>"%USERPROFILE%\Documents\GitHub\eaglep3\Utilities\RefineRTDCRunTimes.py" --tripid 1832-23 --locoid 4031 --swversion DE.1.0.9.0 --startMP 300:58615 --initTime 2017-04-23T21:35:24 --startdatetime 2017-04-23T21:41:14 --delay 1 --endMP 204:783 --enddatetime 2017-04-23T21:55:26 --enforcementcount 0 &gt;&gt;C:\Users\stu\Documents\GitHub\eaglep3-reporting\EC\2017-04-23-refined-times.txt</v>
      </c>
      <c r="AI196" s="99" t="str">
        <f t="shared" si="88"/>
        <v>echo {"issue":{"subject":"","project_id":79,"tracker_id":40,"status_id":1,"priority_id":2,"assigned_to_id":23,"start_date":"2017-04-23","description":"","custom_fields":[{"id":1,"name":"Subdivision","value":"NW"},{"id":4,"name":"Milepost","value":"0.0783"},{"id":17,"name":"Train ID","value":"1832-23"},{"id":16,"name":"Locomotive ID","value":"4031"},{"id":130,"name":"Impact","value":""},{"id":150,"name":"Time of Event (Mountain Time)","value":"21:55:26"},{"id":151,"name":"Denver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5" t="str">
        <f t="shared" si="89"/>
        <v>start /low /b %USERPROFILE%\Documents\GitHub\eaglep3\Utilities\DownloadLogsFromS3.py --loco 4031 --day 2017-04-23</v>
      </c>
      <c r="AN196" s="154" t="str">
        <f t="shared" si="90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03:55:26"},{"id":29,"name":"Sharepoint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91" x14ac:dyDescent="0.25">
      <c r="A197" s="32" t="s">
        <v>809</v>
      </c>
      <c r="B197" s="7">
        <v>4032</v>
      </c>
      <c r="C197" s="21" t="s">
        <v>213</v>
      </c>
      <c r="D197" s="21" t="s">
        <v>938</v>
      </c>
      <c r="E197" s="13">
        <v>42848.930694444447</v>
      </c>
      <c r="F197" s="13">
        <v>42848.931851851848</v>
      </c>
      <c r="G197" s="7">
        <v>1</v>
      </c>
      <c r="H197" s="21" t="s">
        <v>931</v>
      </c>
      <c r="I197" s="13">
        <v>42848.945902777778</v>
      </c>
      <c r="J197" s="7">
        <v>0</v>
      </c>
      <c r="K197" s="92" t="str">
        <f t="shared" si="125"/>
        <v>4031/4032</v>
      </c>
      <c r="L197" s="21" t="str">
        <f>VLOOKUP(A197,'Trips&amp;Operators'!$C$1:$G$99999,5,FALSE)</f>
        <v>HELVIE ADAM</v>
      </c>
      <c r="M197" s="6">
        <f t="shared" si="126"/>
        <v>1.4050925929041114E-2</v>
      </c>
      <c r="N197" s="7">
        <f t="shared" si="137"/>
        <v>20.233333337819204</v>
      </c>
      <c r="O197" s="7"/>
      <c r="P197" s="7"/>
      <c r="Q197" s="22"/>
      <c r="R197" s="200"/>
      <c r="S197" s="206">
        <f t="shared" si="138"/>
        <v>1</v>
      </c>
      <c r="T197" s="200" t="str">
        <f t="shared" si="127"/>
        <v>NorthBound</v>
      </c>
      <c r="U197" s="200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01" t="str">
        <f t="shared" si="128"/>
        <v>https://d0f6bd738d7f1b3e5a7ca70fe4ff75f0.us-east-1.aws.found.io/app/kibana#/discover/Steve-Slow-Train-Analysis-(2080s-and-2083s)?_g=(refreshInterval:(display:Off,pause:!f,section:0,value:0),time:(from:'2017-04-23T21:20:12-0600',mode:absolute,to:'2017-04-23T23:42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7" s="202" t="str">
        <f t="shared" si="129"/>
        <v>N</v>
      </c>
      <c r="X197" s="202">
        <f t="shared" si="124"/>
        <v>1</v>
      </c>
      <c r="Y197" s="202">
        <f t="shared" si="130"/>
        <v>0.1072</v>
      </c>
      <c r="Z197" s="202">
        <f t="shared" si="131"/>
        <v>5.8935000000000004</v>
      </c>
      <c r="AA197" s="202">
        <f t="shared" si="132"/>
        <v>5.7863000000000007</v>
      </c>
      <c r="AB197" s="57" t="e">
        <f>VLOOKUP(A197,Enforcements!$C$7:$K$13,8,0)</f>
        <v>#N/A</v>
      </c>
      <c r="AC197" s="53" t="e">
        <f>VLOOKUP(A197,Enforcements!$C$7:$E$13,3,0)</f>
        <v>#N/A</v>
      </c>
      <c r="AD197" s="54" t="str">
        <f t="shared" si="133"/>
        <v>1833-23</v>
      </c>
      <c r="AE197" s="80" t="str">
        <f t="shared" si="134"/>
        <v>aws s3 cp s3://rtdc.mdm.uploadarchive.raw/RTDC4032/ "%USERPROFILE%\AppData\Local\Temp\OnboardLogs"\RTDC4032\2017-04-23 --exclude "*" --recursive --include "*20170423*" &amp; "%USERPROFILE%\Documents\GitHub\mrs-test-scripts\Headless Mode &amp; Sideloading\WalkAndUnGZ.bat" "%USERPROFILE%\AppData\Local\Temp\OnboardLogs"\RTDC4032\2017-04-23 &amp; aws s3 cp s3://rtdc.mdm.uploadarchive.raw/RTDC4032/ "%USERPROFILE%\AppData\Local\Temp\OnboardLogs"\RTDC4032\2017-04-24 --exclude "*" --recursive --include "*20170424*" &amp; "%USERPROFILE%\Documents\GitHub\mrs-test-scripts\Headless Mode &amp; Sideloading\WalkAndUnGZ.bat" "%USERPROFILE%\AppData\Local\Temp\OnboardLogs"\RTDC4032\2017-04-24</v>
      </c>
      <c r="AF197" s="77" t="str">
        <f t="shared" si="135"/>
        <v>"C:\Program Files (x86)\AstroGrep\AstroGrep.exe" /e /r /s /spath="%USERPROFILE%\AppData\Local\Temp\OnboardLogs" /stypes="app*4032*20170424*" /stext=" 04:.+((SYSTEM_STATE.+slice.+state.+changed )|(ment ac)|(multiple cpu faults)|(system.+state.+changed )|(\[timeout)|(PRM\|1\|D)|(kpr)|(kdp)|(\|lc)|(penalty))"</v>
      </c>
      <c r="AG197" s="1" t="str">
        <f t="shared" si="136"/>
        <v>NW</v>
      </c>
      <c r="AH197" s="81" t="str">
        <f t="shared" si="87"/>
        <v>"%USERPROFILE%\Documents\GitHub\eaglep3\Utilities\RefineRTDCRunTimes.py" --tripid 1833-23 --locoid 4032 --swversion DE.1.0.9.0 --startMP 204:1072 --initTime 2017-04-23T22:20:12 --startdatetime 2017-04-23T22:21:52 --delay 1 --endMP 300:58935 --enddatetime 2017-04-23T22:42:06 --enforcementcount 0 &gt;&gt;C:\Users\stu\Documents\GitHub\eaglep3-reporting\EC\2017-04-23-refined-times.txt</v>
      </c>
      <c r="AI197" s="99" t="str">
        <f t="shared" si="88"/>
        <v>echo {"issue":{"subject":"","project_id":79,"tracker_id":40,"status_id":1,"priority_id":2,"assigned_to_id":23,"start_date":"2017-04-23","description":"","custom_fields":[{"id":1,"name":"Subdivision","value":"NW"},{"id":4,"name":"Milepost","value":"5.8935"},{"id":17,"name":"Train ID","value":"1833-23"},{"id":16,"name":"Locomotive ID","value":"4032"},{"id":130,"name":"Impact","value":""},{"id":150,"name":"Time of Event (Mountain Time)","value":"22:42:06"},{"id":151,"name":"Denver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5" t="str">
        <f t="shared" si="89"/>
        <v>start /low /b %USERPROFILE%\Documents\GitHub\eaglep3\Utilities\DownloadLogsFromS3.py --loco 4032 --day 2017-04-23</v>
      </c>
      <c r="AN197" s="154" t="str">
        <f t="shared" si="90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04:42:06"},{"id":29,"name":"Sharepoint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91" s="20" customFormat="1" x14ac:dyDescent="0.25">
      <c r="A198" s="32" t="s">
        <v>596</v>
      </c>
      <c r="B198" s="7">
        <v>4001</v>
      </c>
      <c r="C198" s="21" t="s">
        <v>213</v>
      </c>
      <c r="D198" s="21" t="s">
        <v>977</v>
      </c>
      <c r="E198" s="13">
        <v>42848.118136574078</v>
      </c>
      <c r="F198" s="13">
        <v>42848.121817129628</v>
      </c>
      <c r="G198" s="7">
        <v>5</v>
      </c>
      <c r="H198" s="21" t="s">
        <v>978</v>
      </c>
      <c r="I198" s="13">
        <v>42848.125381944446</v>
      </c>
      <c r="J198" s="7">
        <v>0</v>
      </c>
      <c r="K198" s="92" t="str">
        <f t="shared" si="125"/>
        <v>4001/4002</v>
      </c>
      <c r="L198" s="21" t="str">
        <f>VLOOKUP(A198,'Trips&amp;Operators'!$C$1:$G$99999,5,FALSE)</f>
        <v>SANTIZO D. EDY</v>
      </c>
      <c r="M198" s="6">
        <f t="shared" si="126"/>
        <v>3.5648148186737671E-3</v>
      </c>
      <c r="N198" s="7"/>
      <c r="O198" s="7"/>
      <c r="P198" s="7">
        <f t="shared" si="137"/>
        <v>5.1333333388902247</v>
      </c>
      <c r="Q198" s="22"/>
      <c r="R198" s="200" t="s">
        <v>1022</v>
      </c>
      <c r="S198" s="206">
        <f t="shared" si="138"/>
        <v>1</v>
      </c>
      <c r="T198" s="200" t="str">
        <f t="shared" si="127"/>
        <v>Southbound</v>
      </c>
      <c r="U198" s="200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01" t="str">
        <f t="shared" si="128"/>
        <v>https://d0f6bd738d7f1b3e5a7ca70fe4ff75f0.us-east-1.aws.found.io/app/kibana#/discover/Steve-Slow-Train-Analysis-(2080s-and-2083s)?_g=(refreshInterval:(display:Off,pause:!f,section:0,value:0),time:(from:'2017-04-23T01:50:07-0600',mode:absolute,to:'2017-04-23T04:00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8" s="202" t="str">
        <f t="shared" si="129"/>
        <v>Y</v>
      </c>
      <c r="X198" s="202">
        <f t="shared" si="124"/>
        <v>-1531</v>
      </c>
      <c r="Y198" s="202">
        <f t="shared" si="130"/>
        <v>1.9547000000000001</v>
      </c>
      <c r="Z198" s="202">
        <f t="shared" si="131"/>
        <v>0.50590000000000002</v>
      </c>
      <c r="AA198" s="202">
        <f t="shared" si="132"/>
        <v>1.4488000000000001</v>
      </c>
      <c r="AB198" s="57" t="e">
        <f>VLOOKUP(A198,Enforcements!$C$7:$K$13,8,0)</f>
        <v>#N/A</v>
      </c>
      <c r="AC198" s="53" t="e">
        <f>VLOOKUP(A198,Enforcements!$C$7:$E$13,3,0)</f>
        <v>#N/A</v>
      </c>
      <c r="AD198" s="54" t="str">
        <f t="shared" si="133"/>
        <v>0302-23</v>
      </c>
      <c r="AE198" s="80" t="str">
        <f t="shared" si="134"/>
        <v>aws s3 cp s3://rtdc.mdm.uploadarchive.raw/RTDC4001/ "%USERPROFILE%\AppData\Local\Temp\OnboardLogs"\RTDC4001\2017-04-23 --exclude "*" --recursive --include "*20170423*" &amp; "%USERPROFILE%\Documents\GitHub\mrs-test-scripts\Headless Mode &amp; Sideloading\WalkAndUnGZ.bat" "%USERPROFILE%\AppData\Local\Temp\OnboardLogs"\RTDC4001\2017-04-23 &amp; aws s3 cp s3://rtdc.mdm.uploadarchive.raw/RTDC4001/ "%USERPROFILE%\AppData\Local\Temp\OnboardLogs"\RTDC4001\2017-04-24 --exclude "*" --recursive --include "*20170424*" &amp; "%USERPROFILE%\Documents\GitHub\mrs-test-scripts\Headless Mode &amp; Sideloading\WalkAndUnGZ.bat" "%USERPROFILE%\AppData\Local\Temp\OnboardLogs"\RTDC4001\2017-04-24</v>
      </c>
      <c r="AF198" s="77" t="str">
        <f t="shared" si="135"/>
        <v>"C:\Program Files (x86)\AstroGrep\AstroGrep.exe" /e /r /s /spath="%USERPROFILE%\AppData\Local\Temp\OnboardLogs" /stypes="app*4001*20170423*" /stext=" 09:.+((SYSTEM_STATE.+slice.+state.+changed )|(ment ac)|(multiple cpu faults)|(system.+state.+changed )|(\[timeout)|(PRM\|1\|D)|(kpr)|(kdp)|(\|lc)|(penalty))"</v>
      </c>
      <c r="AG198" s="1" t="str">
        <f t="shared" si="136"/>
        <v>Other</v>
      </c>
      <c r="AH198" s="81" t="str">
        <f t="shared" si="87"/>
        <v>"%USERPROFILE%\Documents\GitHub\eaglep3\Utilities\RefineRTDCRunTimes.py" --tripid 302-23 --locoid 4001 --swversion DE.1.0.9.0 --startMP 300:19547 --initTime 2017-04-23T02:50:07 --startdatetime 2017-04-23T02:55:25 --delay 5 --endMP 300:5059 --enddatetime 2017-04-23T03:00:33 --enforcementcount 0 &gt;&gt;C:\Users\stu\Documents\GitHub\eaglep3-reporting\EC\2017-04-23-refined-times.txt</v>
      </c>
      <c r="AI198" s="99" t="str">
        <f t="shared" si="88"/>
        <v>echo {"issue":{"subject":"FEP-02 outage - virus scan caused PTC Comms apps to lock up","project_id":79,"tracker_id":40,"status_id":1,"priority_id":2,"assigned_to_id":23,"start_date":"2017-04-23","description":"","custom_fields":[{"id":1,"name":"Subdivision","value":"Other"},{"id":4,"name":"Milepost","value":"0.5059"},{"id":17,"name":"Train ID","value":"302-23"},{"id":16,"name":"Locomotive ID","value":"4001"},{"id":130,"name":"Impact","value":""},{"id":150,"name":"Time of Event (Mountain Time)","value":"03:00:33"},{"id":151,"name":"Denver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8" s="47"/>
      <c r="AL198" s="47"/>
      <c r="AM198" s="145" t="str">
        <f t="shared" si="89"/>
        <v>start /low /b %USERPROFILE%\Documents\GitHub\eaglep3\Utilities\DownloadLogsFromS3.py --loco 4001 --day 2017-04-23</v>
      </c>
      <c r="AN198" s="154" t="str">
        <f t="shared" si="90"/>
        <v>echo {"issue":{"subject":"FEP-02 outage - virus scan caused PTC Comms apps to lock up","project_id":30,"tracker_id":4,"status_id":1,"priority_id":1,"assigned_to_id":10,"start_date":"2017-04-23","description":"","custom_fields":[{"id":30,"name":"Category","value":"Issue"},{"id":3,"name":"Functional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09:00:33"},{"id":29,"name":"Sharepoint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x14ac:dyDescent="0.25">
      <c r="A199" s="32" t="s">
        <v>785</v>
      </c>
      <c r="B199" s="7">
        <v>4042</v>
      </c>
      <c r="C199" s="21" t="s">
        <v>213</v>
      </c>
      <c r="D199" s="21" t="s">
        <v>208</v>
      </c>
      <c r="E199" s="13">
        <v>42848.77542824074</v>
      </c>
      <c r="F199" s="13">
        <v>42848.776990740742</v>
      </c>
      <c r="G199" s="7">
        <v>1</v>
      </c>
      <c r="H199" s="21" t="s">
        <v>979</v>
      </c>
      <c r="I199" s="13">
        <v>42848.78324074074</v>
      </c>
      <c r="J199" s="7">
        <v>0</v>
      </c>
      <c r="K199" s="92" t="str">
        <f t="shared" si="125"/>
        <v>4041/4042</v>
      </c>
      <c r="L199" s="21" t="str">
        <f>VLOOKUP(A199,'Trips&amp;Operators'!$C$1:$G$99999,5,FALSE)</f>
        <v>BRUDER RICHARD</v>
      </c>
      <c r="M199" s="6">
        <f t="shared" si="126"/>
        <v>6.2499999985448085E-3</v>
      </c>
      <c r="N199" s="7">
        <f t="shared" si="137"/>
        <v>8.9999999979045242</v>
      </c>
      <c r="O199" s="7"/>
      <c r="P199" s="7"/>
      <c r="Q199" s="22"/>
      <c r="R199" s="200"/>
      <c r="S199" s="206">
        <f t="shared" si="138"/>
        <v>1</v>
      </c>
      <c r="T199" s="200" t="str">
        <f t="shared" si="127"/>
        <v>NorthBound</v>
      </c>
      <c r="U199" s="200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01" t="str">
        <f t="shared" si="128"/>
        <v>https://d0f6bd738d7f1b3e5a7ca70fe4ff75f0.us-east-1.aws.found.io/app/kibana#/discover/Steve-Slow-Train-Analysis-(2080s-and-2083s)?_g=(refreshInterval:(display:Off,pause:!f,section:0,value:0),time:(from:'2017-04-23T17:36:37-0600',mode:absolute,to:'2017-04-23T19:47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9" s="202" t="str">
        <f t="shared" si="129"/>
        <v>Y</v>
      </c>
      <c r="X199" s="202">
        <f t="shared" si="124"/>
        <v>1</v>
      </c>
      <c r="Y199" s="202">
        <f t="shared" si="130"/>
        <v>4.53E-2</v>
      </c>
      <c r="Z199" s="202">
        <f t="shared" si="131"/>
        <v>2.3313999999999999</v>
      </c>
      <c r="AA199" s="202">
        <f t="shared" si="132"/>
        <v>2.2860999999999998</v>
      </c>
      <c r="AB199" s="57" t="e">
        <f>VLOOKUP(A199,Enforcements!$C$7:$K$13,8,0)</f>
        <v>#N/A</v>
      </c>
      <c r="AC199" s="53" t="e">
        <f>VLOOKUP(A199,Enforcements!$C$7:$E$13,3,0)</f>
        <v>#N/A</v>
      </c>
      <c r="AD199" s="54" t="str">
        <f t="shared" si="133"/>
        <v>0303-23</v>
      </c>
      <c r="AE199" s="80" t="str">
        <f t="shared" si="134"/>
        <v>aws s3 cp s3://rtdc.mdm.uploadarchive.raw/RTDC4042/ "%USERPROFILE%\AppData\Local\Temp\OnboardLogs"\RTDC4042\2017-04-23 --exclude "*" --recursive --include "*20170423*" &amp; "%USERPROFILE%\Documents\GitHub\mrs-test-scripts\Headless Mode &amp; Sideloading\WalkAndUnGZ.bat" "%USERPROFILE%\AppData\Local\Temp\OnboardLogs"\RTDC4042\2017-04-23 &amp; aws s3 cp s3://rtdc.mdm.uploadarchive.raw/RTDC4042/ "%USERPROFILE%\AppData\Local\Temp\OnboardLogs"\RTDC4042\2017-04-24 --exclude "*" --recursive --include "*20170424*" &amp; "%USERPROFILE%\Documents\GitHub\mrs-test-scripts\Headless Mode &amp; Sideloading\WalkAndUnGZ.bat" "%USERPROFILE%\AppData\Local\Temp\OnboardLogs"\RTDC4042\2017-04-24</v>
      </c>
      <c r="AF199" s="77" t="str">
        <f t="shared" si="135"/>
        <v>"C:\Program Files (x86)\AstroGrep\AstroGrep.exe" /e /r /s /spath="%USERPROFILE%\AppData\Local\Temp\OnboardLogs" /stypes="app*4042*20170424*" /stext=" 00:.+((SYSTEM_STATE.+slice.+state.+changed )|(ment ac)|(multiple cpu faults)|(system.+state.+changed )|(\[timeout)|(PRM\|1\|D)|(kpr)|(kdp)|(\|lc)|(penalty))"</v>
      </c>
      <c r="AG199" s="1" t="str">
        <f t="shared" si="136"/>
        <v>Other</v>
      </c>
      <c r="AH199" s="81" t="str">
        <f t="shared" si="87"/>
        <v>"%USERPROFILE%\Documents\GitHub\eaglep3\Utilities\RefineRTDCRunTimes.py" --tripid 303-23 --locoid 4042 --swversion DE.1.0.9.0 --startMP 204:453 --initTime 2017-04-23T18:36:37 --startdatetime 2017-04-23T18:38:52 --delay 1 --endMP 300:23314 --enddatetime 2017-04-23T18:47:52 --enforcementcount 0 &gt;&gt;C:\Users\stu\Documents\GitHub\eaglep3-reporting\EC\2017-04-23-refined-times.txt</v>
      </c>
      <c r="AI199" s="99" t="str">
        <f t="shared" si="88"/>
        <v>echo {"issue":{"subject":"","project_id":79,"tracker_id":40,"status_id":1,"priority_id":2,"assigned_to_id":23,"start_date":"2017-04-23","description":"","custom_fields":[{"id":1,"name":"Subdivision","value":"Other"},{"id":4,"name":"Milepost","value":"2.3314"},{"id":17,"name":"Train ID","value":"303-23"},{"id":16,"name":"Locomotive ID","value":"4042"},{"id":130,"name":"Impact","value":""},{"id":150,"name":"Time of Event (Mountain Time)","value":"18:47:52"},{"id":151,"name":"Denver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5" t="str">
        <f t="shared" si="89"/>
        <v>start /low /b %USERPROFILE%\Documents\GitHub\eaglep3\Utilities\DownloadLogsFromS3.py --loco 4042 --day 2017-04-23</v>
      </c>
      <c r="AN199" s="154" t="str">
        <f t="shared" si="90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00:47:52"},{"id":29,"name":"Sharepoint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91" x14ac:dyDescent="0.25">
      <c r="A200" s="32" t="s">
        <v>597</v>
      </c>
      <c r="B200" s="7">
        <v>4043</v>
      </c>
      <c r="C200" s="21" t="s">
        <v>213</v>
      </c>
      <c r="D200" s="21" t="s">
        <v>980</v>
      </c>
      <c r="E200" s="13">
        <v>42848.134629629632</v>
      </c>
      <c r="F200" s="13">
        <v>42848.138599537036</v>
      </c>
      <c r="G200" s="7">
        <v>5</v>
      </c>
      <c r="H200" s="21" t="s">
        <v>981</v>
      </c>
      <c r="I200" s="13">
        <v>42848.13890046296</v>
      </c>
      <c r="J200" s="7">
        <v>0</v>
      </c>
      <c r="K200" s="92" t="str">
        <f t="shared" si="125"/>
        <v>4043/4044</v>
      </c>
      <c r="L200" s="21" t="str">
        <f>VLOOKUP(A200,'Trips&amp;Operators'!$C$1:$G$99999,5,FALSE)</f>
        <v>MAELZER KURT</v>
      </c>
      <c r="M200" s="6">
        <f t="shared" si="126"/>
        <v>3.0092592351138592E-4</v>
      </c>
      <c r="N200" s="7"/>
      <c r="O200" s="7"/>
      <c r="P200" s="7">
        <f t="shared" si="137"/>
        <v>0.43333332985639572</v>
      </c>
      <c r="Q200" s="22"/>
      <c r="R200" s="200" t="s">
        <v>1022</v>
      </c>
      <c r="S200" s="206">
        <f t="shared" si="138"/>
        <v>0</v>
      </c>
      <c r="T200" s="200" t="str">
        <f t="shared" si="127"/>
        <v>Southbound</v>
      </c>
      <c r="U200" s="200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0</v>
      </c>
      <c r="V200" s="201" t="str">
        <f t="shared" si="128"/>
        <v>https://d0f6bd738d7f1b3e5a7ca70fe4ff75f0.us-east-1.aws.found.io/app/kibana#/discover/Steve-Slow-Train-Analysis-(2080s-and-2083s)?_g=(refreshInterval:(display:Off,pause:!f,section:0,value:0),time:(from:'2017-04-23T02:13:52-0600',mode:absolute,to:'2017-04-23T04:20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0" s="202" t="str">
        <f t="shared" si="129"/>
        <v>Y</v>
      </c>
      <c r="X200" s="202">
        <f t="shared" si="124"/>
        <v>1</v>
      </c>
      <c r="Y200" s="202">
        <f t="shared" si="130"/>
        <v>2.3389000000000002</v>
      </c>
      <c r="Z200" s="202">
        <f t="shared" si="131"/>
        <v>2.2542</v>
      </c>
      <c r="AA200" s="202">
        <f t="shared" si="132"/>
        <v>8.470000000000022E-2</v>
      </c>
      <c r="AB200" s="57" t="e">
        <f>VLOOKUP(A200,Enforcements!$C$7:$K$13,8,0)</f>
        <v>#N/A</v>
      </c>
      <c r="AC200" s="53" t="e">
        <f>VLOOKUP(A200,Enforcements!$C$7:$E$13,3,0)</f>
        <v>#N/A</v>
      </c>
      <c r="AD200" s="54" t="str">
        <f t="shared" si="133"/>
        <v>0304-23</v>
      </c>
      <c r="AE200" s="80" t="str">
        <f t="shared" si="134"/>
        <v>aws s3 cp s3://rtdc.mdm.uploadarchive.raw/RTDC4043/ "%USERPROFILE%\AppData\Local\Temp\OnboardLogs"\RTDC4043\2017-04-23 --exclude "*" --recursive --include "*20170423*" &amp; "%USERPROFILE%\Documents\GitHub\mrs-test-scripts\Headless Mode &amp; Sideloading\WalkAndUnGZ.bat" "%USERPROFILE%\AppData\Local\Temp\OnboardLogs"\RTDC4043\2017-04-23 &amp; aws s3 cp s3://rtdc.mdm.uploadarchive.raw/RTDC4043/ "%USERPROFILE%\AppData\Local\Temp\OnboardLogs"\RTDC4043\2017-04-24 --exclude "*" --recursive --include "*20170424*" &amp; "%USERPROFILE%\Documents\GitHub\mrs-test-scripts\Headless Mode &amp; Sideloading\WalkAndUnGZ.bat" "%USERPROFILE%\AppData\Local\Temp\OnboardLogs"\RTDC4043\2017-04-24</v>
      </c>
      <c r="AF200" s="77" t="str">
        <f t="shared" si="135"/>
        <v>"C:\Program Files (x86)\AstroGrep\AstroGrep.exe" /e /r /s /spath="%USERPROFILE%\AppData\Local\Temp\OnboardLogs" /stypes="app*4043*20170423*" /stext=" 09:.+((SYSTEM_STATE.+slice.+state.+changed )|(ment ac)|(multiple cpu faults)|(system.+state.+changed )|(\[timeout)|(PRM\|1\|D)|(kpr)|(kdp)|(\|lc)|(penalty))"</v>
      </c>
      <c r="AG200" s="1" t="str">
        <f t="shared" si="136"/>
        <v>Other</v>
      </c>
      <c r="AH200" s="81" t="str">
        <f t="shared" si="87"/>
        <v>"%USERPROFILE%\Documents\GitHub\eaglep3\Utilities\RefineRTDCRunTimes.py" --tripid 304-23 --locoid 4043 --swversion DE.1.0.9.0 --startMP 300:23389 --initTime 2017-04-23T03:13:52 --startdatetime 2017-04-23T03:19:35 --delay 5 --endMP 300:22542 --enddatetime 2017-04-23T03:20:01 --enforcementcount 0 &gt;&gt;C:\Users\stu\Documents\GitHub\eaglep3-reporting\EC\2017-04-23-refined-times.txt</v>
      </c>
      <c r="AI200" s="99" t="str">
        <f t="shared" si="88"/>
        <v>echo {"issue":{"subject":"FEP-02 outage - virus scan caused PTC Comms apps to lock up","project_id":79,"tracker_id":40,"status_id":1,"priority_id":2,"assigned_to_id":23,"start_date":"2017-04-23","description":"","custom_fields":[{"id":1,"name":"Subdivision","value":"Other"},{"id":4,"name":"Milepost","value":"2.2542"},{"id":17,"name":"Train ID","value":"304-23"},{"id":16,"name":"Locomotive ID","value":"4043"},{"id":130,"name":"Impact","value":""},{"id":150,"name":"Time of Event (Mountain Time)","value":"03:20:01"},{"id":151,"name":"Denver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5" t="str">
        <f t="shared" si="89"/>
        <v>start /low /b %USERPROFILE%\Documents\GitHub\eaglep3\Utilities\DownloadLogsFromS3.py --loco 4043 --day 2017-04-23</v>
      </c>
      <c r="AN200" s="154" t="str">
        <f t="shared" si="90"/>
        <v>echo {"issue":{"subject":"FEP-02 outage - virus scan caused PTC Comms apps to lock up","project_id":30,"tracker_id":4,"status_id":1,"priority_id":1,"assigned_to_id":10,"start_date":"2017-04-23","description":"","custom_fields":[{"id":30,"name":"Category","value":"Issue"},{"id":3,"name":"Functional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09:20:01"},{"id":29,"name":"Sharepoint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91" x14ac:dyDescent="0.25">
      <c r="A201" s="32" t="s">
        <v>790</v>
      </c>
      <c r="B201" s="7">
        <v>4002</v>
      </c>
      <c r="C201" s="21" t="s">
        <v>213</v>
      </c>
      <c r="D201" s="21" t="s">
        <v>435</v>
      </c>
      <c r="E201" s="13">
        <v>42848.797638888886</v>
      </c>
      <c r="F201" s="13">
        <v>42848.800879629627</v>
      </c>
      <c r="G201" s="7">
        <v>1</v>
      </c>
      <c r="H201" s="21" t="s">
        <v>590</v>
      </c>
      <c r="I201" s="13">
        <v>42848.808391203704</v>
      </c>
      <c r="J201" s="7">
        <v>0</v>
      </c>
      <c r="K201" s="92" t="str">
        <f t="shared" si="125"/>
        <v>4001/4002</v>
      </c>
      <c r="L201" s="21" t="str">
        <f>VLOOKUP(A201,'Trips&amp;Operators'!$C$1:$G$99999,5,FALSE)</f>
        <v>DAVIDSON DAVID</v>
      </c>
      <c r="M201" s="6">
        <f t="shared" si="126"/>
        <v>7.5115740764886141E-3</v>
      </c>
      <c r="N201" s="7">
        <f t="shared" si="137"/>
        <v>10.816666670143604</v>
      </c>
      <c r="O201" s="7"/>
      <c r="P201" s="7"/>
      <c r="Q201" s="22"/>
      <c r="R201" s="200"/>
      <c r="S201" s="206">
        <f t="shared" si="138"/>
        <v>1</v>
      </c>
      <c r="T201" s="200" t="str">
        <f t="shared" si="127"/>
        <v>NorthBound</v>
      </c>
      <c r="U201" s="200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01" t="str">
        <f t="shared" si="128"/>
        <v>https://d0f6bd738d7f1b3e5a7ca70fe4ff75f0.us-east-1.aws.found.io/app/kibana#/discover/Steve-Slow-Train-Analysis-(2080s-and-2083s)?_g=(refreshInterval:(display:Off,pause:!f,section:0,value:0),time:(from:'2017-04-23T18:08:36-0600',mode:absolute,to:'2017-04-23T20:24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1" s="202" t="str">
        <f t="shared" si="129"/>
        <v>Y</v>
      </c>
      <c r="X201" s="202">
        <f t="shared" si="124"/>
        <v>1</v>
      </c>
      <c r="Y201" s="202">
        <f t="shared" si="130"/>
        <v>4.6600000000000003E-2</v>
      </c>
      <c r="Z201" s="202">
        <f t="shared" si="131"/>
        <v>2.3306</v>
      </c>
      <c r="AA201" s="202">
        <f t="shared" si="132"/>
        <v>2.2839999999999998</v>
      </c>
      <c r="AB201" s="57" t="e">
        <f>VLOOKUP(A201,Enforcements!$C$7:$K$13,8,0)</f>
        <v>#N/A</v>
      </c>
      <c r="AC201" s="53" t="e">
        <f>VLOOKUP(A201,Enforcements!$C$7:$E$13,3,0)</f>
        <v>#N/A</v>
      </c>
      <c r="AD201" s="54" t="str">
        <f t="shared" si="133"/>
        <v>0305-23</v>
      </c>
      <c r="AE201" s="80" t="str">
        <f t="shared" si="134"/>
        <v>aws s3 cp s3://rtdc.mdm.uploadarchive.raw/RTDC4002/ "%USERPROFILE%\AppData\Local\Temp\OnboardLogs"\RTDC4002\2017-04-23 --exclude "*" --recursive --include "*20170423*" &amp; "%USERPROFILE%\Documents\GitHub\mrs-test-scripts\Headless Mode &amp; Sideloading\WalkAndUnGZ.bat" "%USERPROFILE%\AppData\Local\Temp\OnboardLogs"\RTDC4002\2017-04-23 &amp; aws s3 cp s3://rtdc.mdm.uploadarchive.raw/RTDC4002/ "%USERPROFILE%\AppData\Local\Temp\OnboardLogs"\RTDC4002\2017-04-24 --exclude "*" --recursive --include "*20170424*" &amp; "%USERPROFILE%\Documents\GitHub\mrs-test-scripts\Headless Mode &amp; Sideloading\WalkAndUnGZ.bat" "%USERPROFILE%\AppData\Local\Temp\OnboardLogs"\RTDC4002\2017-04-24</v>
      </c>
      <c r="AF201" s="77" t="str">
        <f t="shared" si="135"/>
        <v>"C:\Program Files (x86)\AstroGrep\AstroGrep.exe" /e /r /s /spath="%USERPROFILE%\AppData\Local\Temp\OnboardLogs" /stypes="app*4002*20170424*" /stext=" 01:.+((SYSTEM_STATE.+slice.+state.+changed )|(ment ac)|(multiple cpu faults)|(system.+state.+changed )|(\[timeout)|(PRM\|1\|D)|(kpr)|(kdp)|(\|lc)|(penalty))"</v>
      </c>
      <c r="AG201" s="1" t="str">
        <f t="shared" si="136"/>
        <v>Other</v>
      </c>
      <c r="AH201" s="81" t="str">
        <f t="shared" si="87"/>
        <v>"%USERPROFILE%\Documents\GitHub\eaglep3\Utilities\RefineRTDCRunTimes.py" --tripid 305-23 --locoid 4002 --swversion DE.1.0.9.0 --startMP 204:466 --initTime 2017-04-23T19:08:36 --startdatetime 2017-04-23T19:13:16 --delay 1 --endMP 300:23306 --enddatetime 2017-04-23T19:24:05 --enforcementcount 0 &gt;&gt;C:\Users\stu\Documents\GitHub\eaglep3-reporting\EC\2017-04-23-refined-times.txt</v>
      </c>
      <c r="AI201" s="99" t="str">
        <f t="shared" si="88"/>
        <v>echo {"issue":{"subject":"","project_id":79,"tracker_id":40,"status_id":1,"priority_id":2,"assigned_to_id":23,"start_date":"2017-04-23","description":"","custom_fields":[{"id":1,"name":"Subdivision","value":"Other"},{"id":4,"name":"Milepost","value":"2.3306"},{"id":17,"name":"Train ID","value":"305-23"},{"id":16,"name":"Locomotive ID","value":"4002"},{"id":130,"name":"Impact","value":""},{"id":150,"name":"Time of Event (Mountain Time)","value":"19:24:05"},{"id":151,"name":"Denver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5" t="str">
        <f t="shared" si="89"/>
        <v>start /low /b %USERPROFILE%\Documents\GitHub\eaglep3\Utilities\DownloadLogsFromS3.py --loco 4002 --day 2017-04-23</v>
      </c>
      <c r="AN201" s="154" t="str">
        <f t="shared" si="90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01:24:05"},{"id":29,"name":"Sharepoint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91" x14ac:dyDescent="0.25">
      <c r="A202" s="32" t="s">
        <v>598</v>
      </c>
      <c r="B202" s="7">
        <v>4045</v>
      </c>
      <c r="C202" s="21" t="s">
        <v>213</v>
      </c>
      <c r="D202" s="21" t="s">
        <v>982</v>
      </c>
      <c r="E202" s="13">
        <v>42848.160671296297</v>
      </c>
      <c r="F202" s="13">
        <v>42848.16479166667</v>
      </c>
      <c r="G202" s="7">
        <v>5</v>
      </c>
      <c r="H202" s="21" t="s">
        <v>983</v>
      </c>
      <c r="I202" s="13">
        <v>42848.164918981478</v>
      </c>
      <c r="J202" s="7">
        <v>0</v>
      </c>
      <c r="K202" s="92" t="str">
        <f t="shared" si="125"/>
        <v>4045/4046</v>
      </c>
      <c r="L202" s="21" t="str">
        <f>VLOOKUP(A202,'Trips&amp;Operators'!$C$1:$G$99999,5,FALSE)</f>
        <v>BADERTSCHER DIANE</v>
      </c>
      <c r="M202" s="6">
        <f t="shared" si="126"/>
        <v>1.2731480819638819E-4</v>
      </c>
      <c r="N202" s="7"/>
      <c r="O202" s="7"/>
      <c r="P202" s="7">
        <f t="shared" si="137"/>
        <v>0.18333332380279899</v>
      </c>
      <c r="Q202" s="22"/>
      <c r="R202" s="200" t="s">
        <v>1022</v>
      </c>
      <c r="S202" s="206">
        <f t="shared" si="138"/>
        <v>0</v>
      </c>
      <c r="T202" s="200" t="str">
        <f t="shared" si="127"/>
        <v>Southbound</v>
      </c>
      <c r="U202" s="200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0</v>
      </c>
      <c r="V202" s="201" t="str">
        <f t="shared" si="128"/>
        <v>https://d0f6bd738d7f1b3e5a7ca70fe4ff75f0.us-east-1.aws.found.io/app/kibana#/discover/Steve-Slow-Train-Analysis-(2080s-and-2083s)?_g=(refreshInterval:(display:Off,pause:!f,section:0,value:0),time:(from:'2017-04-23T02:51:22-0600',mode:absolute,to:'2017-04-23T04:57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2" s="202" t="str">
        <f t="shared" si="129"/>
        <v>Y</v>
      </c>
      <c r="X202" s="202">
        <f t="shared" si="124"/>
        <v>1</v>
      </c>
      <c r="Y202" s="202">
        <f t="shared" si="130"/>
        <v>2.29</v>
      </c>
      <c r="Z202" s="202">
        <f t="shared" si="131"/>
        <v>2.2467000000000001</v>
      </c>
      <c r="AA202" s="202">
        <f t="shared" si="132"/>
        <v>4.3299999999999894E-2</v>
      </c>
      <c r="AB202" s="57" t="e">
        <f>VLOOKUP(A202,Enforcements!$C$7:$K$13,8,0)</f>
        <v>#N/A</v>
      </c>
      <c r="AC202" s="53" t="e">
        <f>VLOOKUP(A202,Enforcements!$C$7:$E$13,3,0)</f>
        <v>#N/A</v>
      </c>
      <c r="AD202" s="54" t="str">
        <f t="shared" si="133"/>
        <v>0306-23</v>
      </c>
      <c r="AE202" s="80" t="str">
        <f t="shared" si="134"/>
        <v>aws s3 cp s3://rtdc.mdm.uploadarchive.raw/RTDC4045/ "%USERPROFILE%\AppData\Local\Temp\OnboardLogs"\RTDC4045\2017-04-23 --exclude "*" --recursive --include "*20170423*" &amp; "%USERPROFILE%\Documents\GitHub\mrs-test-scripts\Headless Mode &amp; Sideloading\WalkAndUnGZ.bat" "%USERPROFILE%\AppData\Local\Temp\OnboardLogs"\RTDC4045\2017-04-23 &amp; aws s3 cp s3://rtdc.mdm.uploadarchive.raw/RTDC4045/ "%USERPROFILE%\AppData\Local\Temp\OnboardLogs"\RTDC4045\2017-04-24 --exclude "*" --recursive --include "*20170424*" &amp; "%USERPROFILE%\Documents\GitHub\mrs-test-scripts\Headless Mode &amp; Sideloading\WalkAndUnGZ.bat" "%USERPROFILE%\AppData\Local\Temp\OnboardLogs"\RTDC4045\2017-04-24</v>
      </c>
      <c r="AF202" s="77" t="str">
        <f t="shared" si="135"/>
        <v>"C:\Program Files (x86)\AstroGrep\AstroGrep.exe" /e /r /s /spath="%USERPROFILE%\AppData\Local\Temp\OnboardLogs" /stypes="app*4045*20170423*" /stext=" 09:.+((SYSTEM_STATE.+slice.+state.+changed )|(ment ac)|(multiple cpu faults)|(system.+state.+changed )|(\[timeout)|(PRM\|1\|D)|(kpr)|(kdp)|(\|lc)|(penalty))"</v>
      </c>
      <c r="AG202" s="1" t="str">
        <f t="shared" si="136"/>
        <v>Other</v>
      </c>
      <c r="AH202" s="81" t="str">
        <f t="shared" si="87"/>
        <v>"%USERPROFILE%\Documents\GitHub\eaglep3\Utilities\RefineRTDCRunTimes.py" --tripid 306-23 --locoid 4045 --swversion DE.1.0.9.0 --startMP 300:22900 --initTime 2017-04-23T03:51:22 --startdatetime 2017-04-23T03:57:18 --delay 5 --endMP 300:22467 --enddatetime 2017-04-23T03:57:29 --enforcementcount 0 &gt;&gt;C:\Users\stu\Documents\GitHub\eaglep3-reporting\EC\2017-04-23-refined-times.txt</v>
      </c>
      <c r="AI202" s="99" t="str">
        <f t="shared" si="88"/>
        <v>echo {"issue":{"subject":"FEP-02 outage - virus scan caused PTC Comms apps to lock up","project_id":79,"tracker_id":40,"status_id":1,"priority_id":2,"assigned_to_id":23,"start_date":"2017-04-23","description":"","custom_fields":[{"id":1,"name":"Subdivision","value":"Other"},{"id":4,"name":"Milepost","value":"2.2467"},{"id":17,"name":"Train ID","value":"306-23"},{"id":16,"name":"Locomotive ID","value":"4045"},{"id":130,"name":"Impact","value":""},{"id":150,"name":"Time of Event (Mountain Time)","value":"03:57:29"},{"id":151,"name":"Denver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5" t="str">
        <f t="shared" si="89"/>
        <v>start /low /b %USERPROFILE%\Documents\GitHub\eaglep3\Utilities\DownloadLogsFromS3.py --loco 4045 --day 2017-04-23</v>
      </c>
      <c r="AN202" s="154" t="str">
        <f t="shared" si="90"/>
        <v>echo {"issue":{"subject":"FEP-02 outage - virus scan caused PTC Comms apps to lock up","project_id":30,"tracker_id":4,"status_id":1,"priority_id":1,"assigned_to_id":10,"start_date":"2017-04-23","description":"","custom_fields":[{"id":30,"name":"Category","value":"Issue"},{"id":3,"name":"Functional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09:57:29"},{"id":29,"name":"Sharepoint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91" x14ac:dyDescent="0.25">
      <c r="A203" s="32" t="s">
        <v>795</v>
      </c>
      <c r="B203" s="7">
        <v>4044</v>
      </c>
      <c r="C203" s="21" t="s">
        <v>213</v>
      </c>
      <c r="D203" s="21" t="s">
        <v>459</v>
      </c>
      <c r="E203" s="13">
        <v>42848.81826388889</v>
      </c>
      <c r="F203" s="13">
        <v>42848.829375000001</v>
      </c>
      <c r="G203" s="7">
        <v>1</v>
      </c>
      <c r="H203" s="21" t="s">
        <v>984</v>
      </c>
      <c r="I203" s="13">
        <v>42848.834745370368</v>
      </c>
      <c r="J203" s="7">
        <v>0</v>
      </c>
      <c r="K203" s="92" t="str">
        <f t="shared" si="125"/>
        <v>4043/4044</v>
      </c>
      <c r="L203" s="21" t="str">
        <f>VLOOKUP(A203,'Trips&amp;Operators'!$C$1:$G$99999,5,FALSE)</f>
        <v>BRANDNER MELINDA</v>
      </c>
      <c r="M203" s="6">
        <f t="shared" si="126"/>
        <v>5.3703703670180403E-3</v>
      </c>
      <c r="N203" s="7">
        <f t="shared" si="137"/>
        <v>7.733333328505978</v>
      </c>
      <c r="O203" s="7"/>
      <c r="P203" s="7"/>
      <c r="Q203" s="22"/>
      <c r="R203" s="200"/>
      <c r="S203" s="206">
        <f t="shared" si="138"/>
        <v>1</v>
      </c>
      <c r="T203" s="200" t="str">
        <f t="shared" si="127"/>
        <v>NorthBound</v>
      </c>
      <c r="U203" s="200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01" t="str">
        <f t="shared" si="128"/>
        <v>https://d0f6bd738d7f1b3e5a7ca70fe4ff75f0.us-east-1.aws.found.io/app/kibana#/discover/Steve-Slow-Train-Analysis-(2080s-and-2083s)?_g=(refreshInterval:(display:Off,pause:!f,section:0,value:0),time:(from:'2017-04-23T18:38:18-0600',mode:absolute,to:'2017-04-23T21:02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3" s="202" t="str">
        <f t="shared" si="129"/>
        <v>Y</v>
      </c>
      <c r="X203" s="202">
        <f t="shared" si="124"/>
        <v>1</v>
      </c>
      <c r="Y203" s="202">
        <f t="shared" si="130"/>
        <v>4.6899999999999997E-2</v>
      </c>
      <c r="Z203" s="202">
        <f t="shared" si="131"/>
        <v>2.302</v>
      </c>
      <c r="AA203" s="202">
        <f t="shared" si="132"/>
        <v>2.2551000000000001</v>
      </c>
      <c r="AB203" s="57" t="e">
        <f>VLOOKUP(A203,Enforcements!$C$7:$K$13,8,0)</f>
        <v>#N/A</v>
      </c>
      <c r="AC203" s="53" t="e">
        <f>VLOOKUP(A203,Enforcements!$C$7:$E$13,3,0)</f>
        <v>#N/A</v>
      </c>
      <c r="AD203" s="54" t="str">
        <f t="shared" si="133"/>
        <v>0307-23</v>
      </c>
      <c r="AE203" s="80" t="str">
        <f t="shared" si="134"/>
        <v>aws s3 cp s3://rtdc.mdm.uploadarchive.raw/RTDC4044/ "%USERPROFILE%\AppData\Local\Temp\OnboardLogs"\RTDC4044\2017-04-23 --exclude "*" --recursive --include "*20170423*" &amp; "%USERPROFILE%\Documents\GitHub\mrs-test-scripts\Headless Mode &amp; Sideloading\WalkAndUnGZ.bat" "%USERPROFILE%\AppData\Local\Temp\OnboardLogs"\RTDC4044\2017-04-23 &amp; aws s3 cp s3://rtdc.mdm.uploadarchive.raw/RTDC4044/ "%USERPROFILE%\AppData\Local\Temp\OnboardLogs"\RTDC4044\2017-04-24 --exclude "*" --recursive --include "*20170424*" &amp; "%USERPROFILE%\Documents\GitHub\mrs-test-scripts\Headless Mode &amp; Sideloading\WalkAndUnGZ.bat" "%USERPROFILE%\AppData\Local\Temp\OnboardLogs"\RTDC4044\2017-04-24</v>
      </c>
      <c r="AF203" s="77" t="str">
        <f t="shared" si="135"/>
        <v>"C:\Program Files (x86)\AstroGrep\AstroGrep.exe" /e /r /s /spath="%USERPROFILE%\AppData\Local\Temp\OnboardLogs" /stypes="app*4044*20170424*" /stext=" 02:.+((SYSTEM_STATE.+slice.+state.+changed )|(ment ac)|(multiple cpu faults)|(system.+state.+changed )|(\[timeout)|(PRM\|1\|D)|(kpr)|(kdp)|(\|lc)|(penalty))"</v>
      </c>
      <c r="AG203" s="1" t="str">
        <f t="shared" si="136"/>
        <v>Other</v>
      </c>
      <c r="AH203" s="81" t="str">
        <f t="shared" si="87"/>
        <v>"%USERPROFILE%\Documents\GitHub\eaglep3\Utilities\RefineRTDCRunTimes.py" --tripid 307-23 --locoid 4044 --swversion DE.1.0.9.0 --startMP 204:469 --initTime 2017-04-23T19:38:18 --startdatetime 2017-04-23T19:54:18 --delay 1 --endMP 300:23020 --enddatetime 2017-04-23T20:02:02 --enforcementcount 0 &gt;&gt;C:\Users\stu\Documents\GitHub\eaglep3-reporting\EC\2017-04-23-refined-times.txt</v>
      </c>
      <c r="AI203" s="99" t="str">
        <f t="shared" si="88"/>
        <v>echo {"issue":{"subject":"","project_id":79,"tracker_id":40,"status_id":1,"priority_id":2,"assigned_to_id":23,"start_date":"2017-04-23","description":"","custom_fields":[{"id":1,"name":"Subdivision","value":"Other"},{"id":4,"name":"Milepost","value":"2.302"},{"id":17,"name":"Train ID","value":"307-23"},{"id":16,"name":"Locomotive ID","value":"4044"},{"id":130,"name":"Impact","value":""},{"id":150,"name":"Time of Event (Mountain Time)","value":"20:02:02"},{"id":151,"name":"Denver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5" t="str">
        <f t="shared" si="89"/>
        <v>start /low /b %USERPROFILE%\Documents\GitHub\eaglep3\Utilities\DownloadLogsFromS3.py --loco 4044 --day 2017-04-23</v>
      </c>
      <c r="AN203" s="154" t="str">
        <f t="shared" si="90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02:02:02"},{"id":29,"name":"Sharepoint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91" x14ac:dyDescent="0.25">
      <c r="A204" s="32" t="s">
        <v>599</v>
      </c>
      <c r="B204" s="7">
        <v>4021</v>
      </c>
      <c r="C204" s="21" t="s">
        <v>213</v>
      </c>
      <c r="D204" s="21" t="s">
        <v>985</v>
      </c>
      <c r="E204" s="13">
        <v>42848.166400462964</v>
      </c>
      <c r="F204" s="13">
        <v>42848.171446759261</v>
      </c>
      <c r="G204" s="7">
        <v>7</v>
      </c>
      <c r="H204" s="21" t="s">
        <v>986</v>
      </c>
      <c r="I204" s="13">
        <v>42848.171620370369</v>
      </c>
      <c r="J204" s="7">
        <v>0</v>
      </c>
      <c r="K204" s="92" t="str">
        <f t="shared" si="125"/>
        <v>4021/4022</v>
      </c>
      <c r="L204" s="21" t="str">
        <f>VLOOKUP(A204,'Trips&amp;Operators'!$C$1:$G$99999,5,FALSE)</f>
        <v>DAVIS WENDY</v>
      </c>
      <c r="M204" s="6">
        <f t="shared" si="126"/>
        <v>1.7361110803904012E-4</v>
      </c>
      <c r="N204" s="7"/>
      <c r="O204" s="7"/>
      <c r="P204" s="7">
        <f t="shared" si="137"/>
        <v>0.24999999557621777</v>
      </c>
      <c r="Q204" s="22"/>
      <c r="R204" s="200" t="s">
        <v>1022</v>
      </c>
      <c r="S204" s="206">
        <f t="shared" si="138"/>
        <v>0</v>
      </c>
      <c r="T204" s="200" t="str">
        <f t="shared" si="127"/>
        <v>Southbound</v>
      </c>
      <c r="U204" s="200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201" t="str">
        <f t="shared" si="128"/>
        <v>https://d0f6bd738d7f1b3e5a7ca70fe4ff75f0.us-east-1.aws.found.io/app/kibana#/discover/Steve-Slow-Train-Analysis-(2080s-and-2083s)?_g=(refreshInterval:(display:Off,pause:!f,section:0,value:0),time:(from:'2017-04-23T02:59:37-0600',mode:absolute,to:'2017-04-23T05:07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4" s="202" t="str">
        <f t="shared" si="129"/>
        <v>Y</v>
      </c>
      <c r="X204" s="202">
        <f t="shared" si="124"/>
        <v>1</v>
      </c>
      <c r="Y204" s="202">
        <f t="shared" si="130"/>
        <v>2.3561000000000001</v>
      </c>
      <c r="Z204" s="202">
        <f t="shared" si="131"/>
        <v>2.2987000000000002</v>
      </c>
      <c r="AA204" s="202">
        <f t="shared" si="132"/>
        <v>5.7399999999999896E-2</v>
      </c>
      <c r="AB204" s="57" t="e">
        <f>VLOOKUP(A204,Enforcements!$C$7:$K$13,8,0)</f>
        <v>#N/A</v>
      </c>
      <c r="AC204" s="53" t="e">
        <f>VLOOKUP(A204,Enforcements!$C$7:$E$13,3,0)</f>
        <v>#N/A</v>
      </c>
      <c r="AD204" s="54" t="str">
        <f t="shared" si="133"/>
        <v>0308-23</v>
      </c>
      <c r="AE204" s="80" t="str">
        <f t="shared" si="134"/>
        <v>aws s3 cp s3://rtdc.mdm.uploadarchive.raw/RTDC4021/ "%USERPROFILE%\AppData\Local\Temp\OnboardLogs"\RTDC4021\2017-04-23 --exclude "*" --recursive --include "*20170423*" &amp; "%USERPROFILE%\Documents\GitHub\mrs-test-scripts\Headless Mode &amp; Sideloading\WalkAndUnGZ.bat" "%USERPROFILE%\AppData\Local\Temp\OnboardLogs"\RTDC4021\2017-04-23 &amp; aws s3 cp s3://rtdc.mdm.uploadarchive.raw/RTDC4021/ "%USERPROFILE%\AppData\Local\Temp\OnboardLogs"\RTDC4021\2017-04-24 --exclude "*" --recursive --include "*20170424*" &amp; "%USERPROFILE%\Documents\GitHub\mrs-test-scripts\Headless Mode &amp; Sideloading\WalkAndUnGZ.bat" "%USERPROFILE%\AppData\Local\Temp\OnboardLogs"\RTDC4021\2017-04-24</v>
      </c>
      <c r="AF204" s="77" t="str">
        <f t="shared" si="135"/>
        <v>"C:\Program Files (x86)\AstroGrep\AstroGrep.exe" /e /r /s /spath="%USERPROFILE%\AppData\Local\Temp\OnboardLogs" /stypes="app*4021*20170423*" /stext=" 10:.+((SYSTEM_STATE.+slice.+state.+changed )|(ment ac)|(multiple cpu faults)|(system.+state.+changed )|(\[timeout)|(PRM\|1\|D)|(kpr)|(kdp)|(\|lc)|(penalty))"</v>
      </c>
      <c r="AG204" s="1" t="str">
        <f t="shared" si="136"/>
        <v>Other</v>
      </c>
      <c r="AH204" s="81" t="str">
        <f t="shared" si="87"/>
        <v>"%USERPROFILE%\Documents\GitHub\eaglep3\Utilities\RefineRTDCRunTimes.py" --tripid 308-23 --locoid 4021 --swversion DE.1.0.9.0 --startMP 300:23561 --initTime 2017-04-23T03:59:37 --startdatetime 2017-04-23T04:06:53 --delay 7 --endMP 300:22987 --enddatetime 2017-04-23T04:07:08 --enforcementcount 0 &gt;&gt;C:\Users\stu\Documents\GitHub\eaglep3-reporting\EC\2017-04-23-refined-times.txt</v>
      </c>
      <c r="AI204" s="99" t="str">
        <f t="shared" si="88"/>
        <v>echo {"issue":{"subject":"FEP-02 outage - virus scan caused PTC Comms apps to lock up","project_id":79,"tracker_id":40,"status_id":1,"priority_id":2,"assigned_to_id":23,"start_date":"2017-04-23","description":"","custom_fields":[{"id":1,"name":"Subdivision","value":"Other"},{"id":4,"name":"Milepost","value":"2.2987"},{"id":17,"name":"Train ID","value":"308-23"},{"id":16,"name":"Locomotive ID","value":"4021"},{"id":130,"name":"Impact","value":""},{"id":150,"name":"Time of Event (Mountain Time)","value":"04:07:08"},{"id":151,"name":"Denver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5" t="str">
        <f t="shared" si="89"/>
        <v>start /low /b %USERPROFILE%\Documents\GitHub\eaglep3\Utilities\DownloadLogsFromS3.py --loco 4021 --day 2017-04-23</v>
      </c>
      <c r="AN204" s="154" t="str">
        <f t="shared" si="90"/>
        <v>echo {"issue":{"subject":"FEP-02 outage - virus scan caused PTC Comms apps to lock up","project_id":30,"tracker_id":4,"status_id":1,"priority_id":1,"assigned_to_id":10,"start_date":"2017-04-23","description":"","custom_fields":[{"id":30,"name":"Category","value":"Issue"},{"id":3,"name":"Functional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10:07:08"},{"id":29,"name":"Sharepoint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91" s="20" customFormat="1" x14ac:dyDescent="0.25">
      <c r="A205" s="32" t="s">
        <v>822</v>
      </c>
      <c r="B205" s="7">
        <v>4046</v>
      </c>
      <c r="C205" s="21" t="s">
        <v>213</v>
      </c>
      <c r="D205" s="21" t="s">
        <v>415</v>
      </c>
      <c r="E205" s="13">
        <v>42849.046932870369</v>
      </c>
      <c r="F205" s="13">
        <v>42849.048275462963</v>
      </c>
      <c r="G205" s="7">
        <v>1</v>
      </c>
      <c r="H205" s="21" t="s">
        <v>987</v>
      </c>
      <c r="I205" s="13">
        <v>42849.06386574074</v>
      </c>
      <c r="J205" s="7">
        <v>0</v>
      </c>
      <c r="K205" s="92" t="str">
        <f t="shared" si="125"/>
        <v>4045/4046</v>
      </c>
      <c r="L205" s="21" t="str">
        <f>VLOOKUP(A205,'Trips&amp;Operators'!$C$1:$G$99999,5,FALSE)</f>
        <v>NEWELL JAMES</v>
      </c>
      <c r="M205" s="6">
        <f t="shared" si="126"/>
        <v>1.5590277776937E-2</v>
      </c>
      <c r="N205" s="7">
        <f t="shared" si="137"/>
        <v>22.449999998789281</v>
      </c>
      <c r="O205" s="7"/>
      <c r="P205" s="7"/>
      <c r="Q205" s="22"/>
      <c r="R205" s="200"/>
      <c r="S205" s="206">
        <f t="shared" si="138"/>
        <v>1</v>
      </c>
      <c r="T205" s="200" t="str">
        <f t="shared" si="127"/>
        <v>NorthBound</v>
      </c>
      <c r="U205" s="200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01" t="str">
        <f t="shared" si="128"/>
        <v>https://d0f6bd738d7f1b3e5a7ca70fe4ff75f0.us-east-1.aws.found.io/app/kibana#/discover/Steve-Slow-Train-Analysis-(2080s-and-2083s)?_g=(refreshInterval:(display:Off,pause:!f,section:0,value:0),time:(from:'2017-04-24T00:07:35-0600',mode:absolute,to:'2017-04-24T02:31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05" s="202" t="str">
        <f t="shared" si="129"/>
        <v>Y</v>
      </c>
      <c r="X205" s="202">
        <f t="shared" si="124"/>
        <v>1</v>
      </c>
      <c r="Y205" s="202">
        <f t="shared" si="130"/>
        <v>4.6699999999999998E-2</v>
      </c>
      <c r="Z205" s="202">
        <f t="shared" si="131"/>
        <v>2.3308</v>
      </c>
      <c r="AA205" s="202">
        <f t="shared" si="132"/>
        <v>2.2841</v>
      </c>
      <c r="AB205" s="57" t="e">
        <f>VLOOKUP(A205,Enforcements!$C$7:$K$13,8,0)</f>
        <v>#N/A</v>
      </c>
      <c r="AC205" s="53" t="e">
        <f>VLOOKUP(A205,Enforcements!$C$7:$E$13,3,0)</f>
        <v>#N/A</v>
      </c>
      <c r="AD205" s="54" t="str">
        <f t="shared" si="133"/>
        <v>0309-23</v>
      </c>
      <c r="AE205" s="80" t="str">
        <f t="shared" si="134"/>
        <v>aws s3 cp s3://rtdc.mdm.uploadarchive.raw/RTDC4046/ "%USERPROFILE%\AppData\Local\Temp\OnboardLogs"\RTDC4046\2017-04-24 --exclude "*" --recursive --include "*20170424*" &amp; "%USERPROFILE%\Documents\GitHub\mrs-test-scripts\Headless Mode &amp; Sideloading\WalkAndUnGZ.bat" "%USERPROFILE%\AppData\Local\Temp\OnboardLogs"\RTDC4046\2017-04-24 &amp; aws s3 cp s3://rtdc.mdm.uploadarchive.raw/RTDC4046/ "%USERPROFILE%\AppData\Local\Temp\OnboardLogs"\RTDC4046\2017-04-25 --exclude "*" --recursive --include "*20170425*" &amp; "%USERPROFILE%\Documents\GitHub\mrs-test-scripts\Headless Mode &amp; Sideloading\WalkAndUnGZ.bat" "%USERPROFILE%\AppData\Local\Temp\OnboardLogs"\RTDC4046\2017-04-25</v>
      </c>
      <c r="AF205" s="77" t="str">
        <f t="shared" si="135"/>
        <v>"C:\Program Files (x86)\AstroGrep\AstroGrep.exe" /e /r /s /spath="%USERPROFILE%\AppData\Local\Temp\OnboardLogs" /stypes="app*4046*20170424*" /stext=" 07:.+((SYSTEM_STATE.+slice.+state.+changed )|(ment ac)|(multiple cpu faults)|(system.+state.+changed )|(\[timeout)|(PRM\|1\|D)|(kpr)|(kdp)|(\|lc)|(penalty))"</v>
      </c>
      <c r="AG205" s="1" t="str">
        <f t="shared" si="136"/>
        <v>Other</v>
      </c>
      <c r="AH205" s="81" t="str">
        <f t="shared" si="87"/>
        <v>"%USERPROFILE%\Documents\GitHub\eaglep3\Utilities\RefineRTDCRunTimes.py" --tripid 309-23 --locoid 4046 --swversion DE.1.0.9.0 --startMP 204:467 --initTime 2017-04-24T01:07:35 --startdatetime 2017-04-24T01:09:31 --delay 1 --endMP 300:23308 --enddatetime 2017-04-24T01:31:58 --enforcementcount 0 &gt;&gt;C:\Users\stu\Documents\GitHub\eaglep3-reporting\EC\2017-04-23-refined-times.txt</v>
      </c>
      <c r="AI205" s="99" t="str">
        <f t="shared" si="88"/>
        <v>echo {"issue":{"subject":"","project_id":79,"tracker_id":40,"status_id":1,"priority_id":2,"assigned_to_id":23,"start_date":"2017-04-24","description":"","custom_fields":[{"id":1,"name":"Subdivision","value":"Other"},{"id":4,"name":"Milepost","value":"2.3308"},{"id":17,"name":"Train ID","value":"309-23"},{"id":16,"name":"Locomotive ID","value":"4046"},{"id":130,"name":"Impact","value":""},{"id":150,"name":"Time of Event (Mountain Time)","value":"01:31:58"},{"id":151,"name":"Denver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5" s="47"/>
      <c r="AL205" s="47"/>
      <c r="AM205" s="145" t="str">
        <f t="shared" si="89"/>
        <v>start /low /b %USERPROFILE%\Documents\GitHub\eaglep3\Utilities\DownloadLogsFromS3.py --loco 4046 --day 2017-04-24</v>
      </c>
      <c r="AN205" s="154" t="str">
        <f t="shared" si="90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07:31:58"},{"id":29,"name":"Sharepoint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x14ac:dyDescent="0.25">
      <c r="A206" s="32" t="s">
        <v>601</v>
      </c>
      <c r="B206" s="7">
        <v>4041</v>
      </c>
      <c r="C206" s="21" t="s">
        <v>213</v>
      </c>
      <c r="D206" s="21" t="s">
        <v>988</v>
      </c>
      <c r="E206" s="13">
        <v>42848.177465277775</v>
      </c>
      <c r="F206" s="13">
        <v>42848.181122685186</v>
      </c>
      <c r="G206" s="7">
        <v>5</v>
      </c>
      <c r="H206" s="21" t="s">
        <v>989</v>
      </c>
      <c r="I206" s="13">
        <v>42848.181284722225</v>
      </c>
      <c r="J206" s="7">
        <v>0</v>
      </c>
      <c r="K206" s="92" t="str">
        <f t="shared" si="125"/>
        <v>4041/4042</v>
      </c>
      <c r="L206" s="21" t="str">
        <f>VLOOKUP(A206,'Trips&amp;Operators'!$C$1:$G$99999,5,FALSE)</f>
        <v>ROBINSON KADDIBA</v>
      </c>
      <c r="M206" s="6">
        <f t="shared" si="126"/>
        <v>1.6203703853534535E-4</v>
      </c>
      <c r="N206" s="7"/>
      <c r="O206" s="7"/>
      <c r="P206" s="7">
        <f t="shared" si="137"/>
        <v>0.2333333354908973</v>
      </c>
      <c r="Q206" s="22"/>
      <c r="R206" s="200" t="s">
        <v>1022</v>
      </c>
      <c r="S206" s="206">
        <f t="shared" si="138"/>
        <v>0</v>
      </c>
      <c r="T206" s="200" t="str">
        <f t="shared" si="127"/>
        <v>Southbound</v>
      </c>
      <c r="U206" s="200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201" t="str">
        <f t="shared" si="128"/>
        <v>https://d0f6bd738d7f1b3e5a7ca70fe4ff75f0.us-east-1.aws.found.io/app/kibana#/discover/Steve-Slow-Train-Analysis-(2080s-and-2083s)?_g=(refreshInterval:(display:Off,pause:!f,section:0,value:0),time:(from:'2017-04-23T03:15:33-0600',mode:absolute,to:'2017-04-23T05:21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6" s="202" t="str">
        <f t="shared" si="129"/>
        <v>Y</v>
      </c>
      <c r="X206" s="202">
        <f t="shared" si="124"/>
        <v>1</v>
      </c>
      <c r="Y206" s="202">
        <f t="shared" si="130"/>
        <v>2.3408000000000002</v>
      </c>
      <c r="Z206" s="202">
        <f t="shared" si="131"/>
        <v>1.2515000000000001</v>
      </c>
      <c r="AA206" s="202">
        <f t="shared" si="132"/>
        <v>1.0893000000000002</v>
      </c>
      <c r="AB206" s="57" t="e">
        <f>VLOOKUP(A206,Enforcements!$C$7:$K$13,8,0)</f>
        <v>#N/A</v>
      </c>
      <c r="AC206" s="53" t="e">
        <f>VLOOKUP(A206,Enforcements!$C$7:$E$13,3,0)</f>
        <v>#N/A</v>
      </c>
      <c r="AD206" s="54" t="str">
        <f t="shared" si="133"/>
        <v>0310-23</v>
      </c>
      <c r="AE206" s="80" t="str">
        <f t="shared" si="134"/>
        <v>aws s3 cp s3://rtdc.mdm.uploadarchive.raw/RTDC4041/ "%USERPROFILE%\AppData\Local\Temp\OnboardLogs"\RTDC4041\2017-04-23 --exclude "*" --recursive --include "*20170423*" &amp; "%USERPROFILE%\Documents\GitHub\mrs-test-scripts\Headless Mode &amp; Sideloading\WalkAndUnGZ.bat" "%USERPROFILE%\AppData\Local\Temp\OnboardLogs"\RTDC4041\2017-04-23 &amp; aws s3 cp s3://rtdc.mdm.uploadarchive.raw/RTDC4041/ "%USERPROFILE%\AppData\Local\Temp\OnboardLogs"\RTDC4041\2017-04-24 --exclude "*" --recursive --include "*20170424*" &amp; "%USERPROFILE%\Documents\GitHub\mrs-test-scripts\Headless Mode &amp; Sideloading\WalkAndUnGZ.bat" "%USERPROFILE%\AppData\Local\Temp\OnboardLogs"\RTDC4041\2017-04-24</v>
      </c>
      <c r="AF206" s="77" t="str">
        <f t="shared" si="135"/>
        <v>"C:\Program Files (x86)\AstroGrep\AstroGrep.exe" /e /r /s /spath="%USERPROFILE%\AppData\Local\Temp\OnboardLogs" /stypes="app*4041*20170423*" /stext=" 10:.+((SYSTEM_STATE.+slice.+state.+changed )|(ment ac)|(multiple cpu faults)|(system.+state.+changed )|(\[timeout)|(PRM\|1\|D)|(kpr)|(kdp)|(\|lc)|(penalty))"</v>
      </c>
      <c r="AG206" s="1" t="str">
        <f t="shared" si="136"/>
        <v>Other</v>
      </c>
      <c r="AH206" s="81" t="str">
        <f t="shared" si="87"/>
        <v>"%USERPROFILE%\Documents\GitHub\eaglep3\Utilities\RefineRTDCRunTimes.py" --tripid 310-23 --locoid 4041 --swversion DE.1.0.9.0 --startMP 300:23408 --initTime 2017-04-23T04:15:33 --startdatetime 2017-04-23T04:20:49 --delay 5 --endMP 300:12515 --enddatetime 2017-04-23T04:21:03 --enforcementcount 0 &gt;&gt;C:\Users\stu\Documents\GitHub\eaglep3-reporting\EC\2017-04-23-refined-times.txt</v>
      </c>
      <c r="AI206" s="99" t="str">
        <f t="shared" si="88"/>
        <v>echo {"issue":{"subject":"FEP-02 outage - virus scan caused PTC Comms apps to lock up","project_id":79,"tracker_id":40,"status_id":1,"priority_id":2,"assigned_to_id":23,"start_date":"2017-04-23","description":"","custom_fields":[{"id":1,"name":"Subdivision","value":"Other"},{"id":4,"name":"Milepost","value":"1.2515"},{"id":17,"name":"Train ID","value":"310-23"},{"id":16,"name":"Locomotive ID","value":"4041"},{"id":130,"name":"Impact","value":""},{"id":150,"name":"Time of Event (Mountain Time)","value":"04:21:03"},{"id":151,"name":"Denver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5" t="str">
        <f t="shared" si="89"/>
        <v>start /low /b %USERPROFILE%\Documents\GitHub\eaglep3\Utilities\DownloadLogsFromS3.py --loco 4041 --day 2017-04-23</v>
      </c>
      <c r="AN206" s="154" t="str">
        <f t="shared" si="90"/>
        <v>echo {"issue":{"subject":"FEP-02 outage - virus scan caused PTC Comms apps to lock up","project_id":30,"tracker_id":4,"status_id":1,"priority_id":1,"assigned_to_id":10,"start_date":"2017-04-23","description":"","custom_fields":[{"id":30,"name":"Category","value":"Issue"},{"id":3,"name":"Functional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10:21:03"},{"id":29,"name":"Sharepoint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91" x14ac:dyDescent="0.25">
      <c r="A207" s="32" t="s">
        <v>824</v>
      </c>
      <c r="B207" s="7">
        <v>4016</v>
      </c>
      <c r="C207" s="21" t="s">
        <v>213</v>
      </c>
      <c r="D207" s="21" t="s">
        <v>205</v>
      </c>
      <c r="E207" s="13">
        <v>42849.069293981483</v>
      </c>
      <c r="F207" s="13">
        <v>42849.070717592593</v>
      </c>
      <c r="G207" s="7">
        <v>1</v>
      </c>
      <c r="H207" s="21" t="s">
        <v>990</v>
      </c>
      <c r="I207" s="13">
        <v>42849.073194444441</v>
      </c>
      <c r="J207" s="7">
        <v>0</v>
      </c>
      <c r="K207" s="92" t="str">
        <f t="shared" si="125"/>
        <v>4015/4016</v>
      </c>
      <c r="L207" s="21" t="str">
        <f>VLOOKUP(A207,'Trips&amp;Operators'!$C$1:$G$99999,5,FALSE)</f>
        <v>DUNCAN SHEILA</v>
      </c>
      <c r="M207" s="6">
        <f t="shared" si="126"/>
        <v>2.4768518487690017E-3</v>
      </c>
      <c r="N207" s="7">
        <f t="shared" si="137"/>
        <v>3.5666666622273624</v>
      </c>
      <c r="O207" s="7"/>
      <c r="P207" s="7"/>
      <c r="Q207" s="22"/>
      <c r="R207" s="200"/>
      <c r="S207" s="206">
        <f t="shared" si="138"/>
        <v>1</v>
      </c>
      <c r="T207" s="200" t="str">
        <f t="shared" si="127"/>
        <v>NorthBound</v>
      </c>
      <c r="U207" s="200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01" t="str">
        <f t="shared" si="128"/>
        <v>https://d0f6bd738d7f1b3e5a7ca70fe4ff75f0.us-east-1.aws.found.io/app/kibana#/discover/Steve-Slow-Train-Analysis-(2080s-and-2083s)?_g=(refreshInterval:(display:Off,pause:!f,section:0,value:0),time:(from:'2017-04-24T00:39:47-0600',mode:absolute,to:'2017-04-24T02:45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7" s="202" t="str">
        <f t="shared" si="129"/>
        <v>Y</v>
      </c>
      <c r="X207" s="202">
        <f t="shared" si="124"/>
        <v>1</v>
      </c>
      <c r="Y207" s="202">
        <f t="shared" si="130"/>
        <v>4.5999999999999999E-2</v>
      </c>
      <c r="Z207" s="202">
        <f t="shared" si="131"/>
        <v>1.8723000000000001</v>
      </c>
      <c r="AA207" s="202">
        <f t="shared" si="132"/>
        <v>1.8263</v>
      </c>
      <c r="AB207" s="57" t="e">
        <f>VLOOKUP(A207,Enforcements!$C$7:$K$13,8,0)</f>
        <v>#N/A</v>
      </c>
      <c r="AC207" s="53" t="e">
        <f>VLOOKUP(A207,Enforcements!$C$7:$E$13,3,0)</f>
        <v>#N/A</v>
      </c>
      <c r="AD207" s="54" t="str">
        <f t="shared" si="133"/>
        <v>0311-23</v>
      </c>
      <c r="AE207" s="80" t="str">
        <f t="shared" si="134"/>
        <v>aws s3 cp s3://rtdc.mdm.uploadarchive.raw/RTDC4016/ "%USERPROFILE%\AppData\Local\Temp\OnboardLogs"\RTDC4016\2017-04-24 --exclude "*" --recursive --include "*20170424*" &amp; "%USERPROFILE%\Documents\GitHub\mrs-test-scripts\Headless Mode &amp; Sideloading\WalkAndUnGZ.bat" "%USERPROFILE%\AppData\Local\Temp\OnboardLogs"\RTDC4016\2017-04-24 &amp; aws s3 cp s3://rtdc.mdm.uploadarchive.raw/RTDC4016/ "%USERPROFILE%\AppData\Local\Temp\OnboardLogs"\RTDC4016\2017-04-25 --exclude "*" --recursive --include "*20170425*" &amp; "%USERPROFILE%\Documents\GitHub\mrs-test-scripts\Headless Mode &amp; Sideloading\WalkAndUnGZ.bat" "%USERPROFILE%\AppData\Local\Temp\OnboardLogs"\RTDC4016\2017-04-25</v>
      </c>
      <c r="AF207" s="77" t="str">
        <f t="shared" si="135"/>
        <v>"C:\Program Files (x86)\AstroGrep\AstroGrep.exe" /e /r /s /spath="%USERPROFILE%\AppData\Local\Temp\OnboardLogs" /stypes="app*4016*20170424*" /stext=" 07:.+((SYSTEM_STATE.+slice.+state.+changed )|(ment ac)|(multiple cpu faults)|(system.+state.+changed )|(\[timeout)|(PRM\|1\|D)|(kpr)|(kdp)|(\|lc)|(penalty))"</v>
      </c>
      <c r="AG207" s="1" t="str">
        <f t="shared" si="136"/>
        <v>Other</v>
      </c>
      <c r="AH207" s="81" t="str">
        <f t="shared" si="87"/>
        <v>"%USERPROFILE%\Documents\GitHub\eaglep3\Utilities\RefineRTDCRunTimes.py" --tripid 311-23 --locoid 4016 --swversion DE.1.0.9.0 --startMP 204:460 --initTime 2017-04-24T01:39:47 --startdatetime 2017-04-24T01:41:50 --delay 1 --endMP 300:18723 --enddatetime 2017-04-24T01:45:24 --enforcementcount 0 &gt;&gt;C:\Users\stu\Documents\GitHub\eaglep3-reporting\EC\2017-04-23-refined-times.txt</v>
      </c>
      <c r="AI207" s="99" t="str">
        <f t="shared" si="88"/>
        <v>echo {"issue":{"subject":"","project_id":79,"tracker_id":40,"status_id":1,"priority_id":2,"assigned_to_id":23,"start_date":"2017-04-24","description":"","custom_fields":[{"id":1,"name":"Subdivision","value":"Other"},{"id":4,"name":"Milepost","value":"1.8723"},{"id":17,"name":"Train ID","value":"311-23"},{"id":16,"name":"Locomotive ID","value":"4016"},{"id":130,"name":"Impact","value":""},{"id":150,"name":"Time of Event (Mountain Time)","value":"01:45:24"},{"id":151,"name":"Denver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5" t="str">
        <f t="shared" si="89"/>
        <v>start /low /b %USERPROFILE%\Documents\GitHub\eaglep3\Utilities\DownloadLogsFromS3.py --loco 4016 --day 2017-04-24</v>
      </c>
      <c r="AN207" s="154" t="str">
        <f t="shared" si="90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07:45:24"},{"id":29,"name":"Sharepoint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91" x14ac:dyDescent="0.25">
      <c r="A208" s="32" t="s">
        <v>825</v>
      </c>
      <c r="B208" s="7">
        <v>4022</v>
      </c>
      <c r="C208" s="21" t="s">
        <v>213</v>
      </c>
      <c r="D208" s="21" t="s">
        <v>425</v>
      </c>
      <c r="E208" s="13">
        <v>42849.089444444442</v>
      </c>
      <c r="F208" s="13">
        <v>42849.091145833336</v>
      </c>
      <c r="G208" s="7">
        <v>1</v>
      </c>
      <c r="H208" s="21" t="s">
        <v>991</v>
      </c>
      <c r="I208" s="13">
        <v>42849.100590277776</v>
      </c>
      <c r="J208" s="7">
        <v>0</v>
      </c>
      <c r="K208" s="92" t="str">
        <f t="shared" si="125"/>
        <v>4021/4022</v>
      </c>
      <c r="L208" s="21" t="str">
        <f>VLOOKUP(A208,'Trips&amp;Operators'!$C$1:$G$99999,5,FALSE)</f>
        <v>YANG JAN</v>
      </c>
      <c r="M208" s="6">
        <f t="shared" si="126"/>
        <v>9.444444440305233E-3</v>
      </c>
      <c r="N208" s="7">
        <f t="shared" si="137"/>
        <v>13.599999994039536</v>
      </c>
      <c r="O208" s="7"/>
      <c r="P208" s="7"/>
      <c r="Q208" s="22"/>
      <c r="R208" s="200"/>
      <c r="S208" s="206">
        <f t="shared" si="138"/>
        <v>1</v>
      </c>
      <c r="T208" s="200" t="str">
        <f t="shared" si="127"/>
        <v>NorthBound</v>
      </c>
      <c r="U208" s="200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01" t="str">
        <f t="shared" si="128"/>
        <v>https://d0f6bd738d7f1b3e5a7ca70fe4ff75f0.us-east-1.aws.found.io/app/kibana#/discover/Steve-Slow-Train-Analysis-(2080s-and-2083s)?_g=(refreshInterval:(display:Off,pause:!f,section:0,value:0),time:(from:'2017-04-24T01:08:48-0600',mode:absolute,to:'2017-04-24T03:24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8" s="202" t="str">
        <f t="shared" si="129"/>
        <v>Y</v>
      </c>
      <c r="X208" s="202">
        <f t="shared" si="124"/>
        <v>2</v>
      </c>
      <c r="Y208" s="202">
        <f t="shared" si="130"/>
        <v>4.7500000000000001E-2</v>
      </c>
      <c r="Z208" s="202">
        <f t="shared" si="131"/>
        <v>2.3296999999999999</v>
      </c>
      <c r="AA208" s="202">
        <f t="shared" si="132"/>
        <v>2.2822</v>
      </c>
      <c r="AB208" s="57" t="e">
        <f>VLOOKUP(A208,Enforcements!$C$7:$K$13,8,0)</f>
        <v>#N/A</v>
      </c>
      <c r="AC208" s="53" t="e">
        <f>VLOOKUP(A208,Enforcements!$C$7:$E$13,3,0)</f>
        <v>#N/A</v>
      </c>
      <c r="AD208" s="54" t="str">
        <f t="shared" si="133"/>
        <v>0313-23</v>
      </c>
      <c r="AE208" s="80" t="str">
        <f t="shared" si="134"/>
        <v>aws s3 cp s3://rtdc.mdm.uploadarchive.raw/RTDC4022/ "%USERPROFILE%\AppData\Local\Temp\OnboardLogs"\RTDC4022\2017-04-24 --exclude "*" --recursive --include "*20170424*" &amp; "%USERPROFILE%\Documents\GitHub\mrs-test-scripts\Headless Mode &amp; Sideloading\WalkAndUnGZ.bat" "%USERPROFILE%\AppData\Local\Temp\OnboardLogs"\RTDC4022\2017-04-24 &amp; aws s3 cp s3://rtdc.mdm.uploadarchive.raw/RTDC4022/ "%USERPROFILE%\AppData\Local\Temp\OnboardLogs"\RTDC4022\2017-04-25 --exclude "*" --recursive --include "*20170425*" &amp; "%USERPROFILE%\Documents\GitHub\mrs-test-scripts\Headless Mode &amp; Sideloading\WalkAndUnGZ.bat" "%USERPROFILE%\AppData\Local\Temp\OnboardLogs"\RTDC4022\2017-04-25</v>
      </c>
      <c r="AF208" s="77" t="str">
        <f t="shared" si="135"/>
        <v>"C:\Program Files (x86)\AstroGrep\AstroGrep.exe" /e /r /s /spath="%USERPROFILE%\AppData\Local\Temp\OnboardLogs" /stypes="app*4022*20170424*" /stext=" 08:.+((SYSTEM_STATE.+slice.+state.+changed )|(ment ac)|(multiple cpu faults)|(system.+state.+changed )|(\[timeout)|(PRM\|1\|D)|(kpr)|(kdp)|(\|lc)|(penalty))"</v>
      </c>
      <c r="AG208" s="1" t="str">
        <f t="shared" si="136"/>
        <v>Other</v>
      </c>
      <c r="AH208" s="81" t="str">
        <f t="shared" si="87"/>
        <v>"%USERPROFILE%\Documents\GitHub\eaglep3\Utilities\RefineRTDCRunTimes.py" --tripid 313-23 --locoid 4022 --swversion DE.1.0.9.0 --startMP 204:475 --initTime 2017-04-24T02:08:48 --startdatetime 2017-04-24T02:11:15 --delay 1 --endMP 300:23297 --enddatetime 2017-04-24T02:24:51 --enforcementcount 0 &gt;&gt;C:\Users\stu\Documents\GitHub\eaglep3-reporting\EC\2017-04-23-refined-times.txt</v>
      </c>
      <c r="AI208" s="99" t="str">
        <f t="shared" si="88"/>
        <v>echo {"issue":{"subject":"","project_id":79,"tracker_id":40,"status_id":1,"priority_id":2,"assigned_to_id":23,"start_date":"2017-04-24","description":"","custom_fields":[{"id":1,"name":"Subdivision","value":"Other"},{"id":4,"name":"Milepost","value":"2.3297"},{"id":17,"name":"Train ID","value":"313-23"},{"id":16,"name":"Locomotive ID","value":"4022"},{"id":130,"name":"Impact","value":""},{"id":150,"name":"Time of Event (Mountain Time)","value":"02:24:51"},{"id":151,"name":"Denver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5" t="str">
        <f t="shared" si="89"/>
        <v>start /low /b %USERPROFILE%\Documents\GitHub\eaglep3\Utilities\DownloadLogsFromS3.py --loco 4022 --day 2017-04-24</v>
      </c>
      <c r="AN208" s="154" t="str">
        <f t="shared" si="90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08:24:51"},{"id":29,"name":"Sharepoint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2" t="s">
        <v>636</v>
      </c>
      <c r="B209" s="7">
        <v>4056</v>
      </c>
      <c r="C209" s="21" t="s">
        <v>213</v>
      </c>
      <c r="D209" s="21" t="s">
        <v>992</v>
      </c>
      <c r="E209" s="13">
        <v>42848.111064814817</v>
      </c>
      <c r="F209" s="13">
        <v>42848.112326388888</v>
      </c>
      <c r="G209" s="7">
        <v>1</v>
      </c>
      <c r="H209" s="21" t="s">
        <v>480</v>
      </c>
      <c r="I209" s="13">
        <v>42848.121261574073</v>
      </c>
      <c r="J209" s="7">
        <v>0</v>
      </c>
      <c r="K209" s="92" t="str">
        <f t="shared" si="125"/>
        <v>4055/4056</v>
      </c>
      <c r="L209" s="21" t="str">
        <f>VLOOKUP(A209,'Trips&amp;Operators'!$C$1:$G$99999,5,FALSE)</f>
        <v>BROWN JACOB</v>
      </c>
      <c r="M209" s="6">
        <f t="shared" si="126"/>
        <v>8.9351851856918074E-3</v>
      </c>
      <c r="N209" s="7">
        <f t="shared" si="137"/>
        <v>12.866666667396203</v>
      </c>
      <c r="O209" s="7"/>
      <c r="P209" s="7"/>
      <c r="Q209" s="22"/>
      <c r="R209" s="200"/>
      <c r="S209" s="206">
        <f t="shared" si="138"/>
        <v>1</v>
      </c>
      <c r="T209" s="200" t="str">
        <f t="shared" si="127"/>
        <v>NorthBound</v>
      </c>
      <c r="U209" s="200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01" t="str">
        <f t="shared" si="128"/>
        <v>https://d0f6bd738d7f1b3e5a7ca70fe4ff75f0.us-east-1.aws.found.io/app/kibana#/discover/Steve-Slow-Train-Analysis-(2080s-and-2083s)?_g=(refreshInterval:(display:Off,pause:!f,section:0,value:0),time:(from:'2017-04-23T01:39:56-0600',mode:absolute,to:'2017-04-23T03:54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09" s="202" t="str">
        <f t="shared" si="129"/>
        <v>Y</v>
      </c>
      <c r="X209" s="202">
        <f t="shared" si="124"/>
        <v>2</v>
      </c>
      <c r="Y209" s="202">
        <f t="shared" si="130"/>
        <v>5.04E-2</v>
      </c>
      <c r="Z209" s="202">
        <f t="shared" si="131"/>
        <v>2.3346</v>
      </c>
      <c r="AA209" s="202">
        <f t="shared" si="132"/>
        <v>2.2842000000000002</v>
      </c>
      <c r="AB209" s="57" t="e">
        <f>VLOOKUP(A209,Enforcements!$C$7:$K$13,8,0)</f>
        <v>#N/A</v>
      </c>
      <c r="AC209" s="53" t="e">
        <f>VLOOKUP(A209,Enforcements!$C$7:$E$13,3,0)</f>
        <v>#N/A</v>
      </c>
      <c r="AD209" s="54" t="str">
        <f t="shared" si="133"/>
        <v>0315-22</v>
      </c>
      <c r="AE209" s="80" t="str">
        <f t="shared" si="134"/>
        <v>aws s3 cp s3://rtdc.mdm.uploadarchive.raw/RTDC4056/ "%USERPROFILE%\AppData\Local\Temp\OnboardLogs"\RTDC4056\2017-04-23 --exclude "*" --recursive --include "*20170423*" &amp; "%USERPROFILE%\Documents\GitHub\mrs-test-scripts\Headless Mode &amp; Sideloading\WalkAndUnGZ.bat" "%USERPROFILE%\AppData\Local\Temp\OnboardLogs"\RTDC4056\2017-04-23 &amp; aws s3 cp s3://rtdc.mdm.uploadarchive.raw/RTDC4056/ "%USERPROFILE%\AppData\Local\Temp\OnboardLogs"\RTDC4056\2017-04-24 --exclude "*" --recursive --include "*20170424*" &amp; "%USERPROFILE%\Documents\GitHub\mrs-test-scripts\Headless Mode &amp; Sideloading\WalkAndUnGZ.bat" "%USERPROFILE%\AppData\Local\Temp\OnboardLogs"\RTDC4056\2017-04-24</v>
      </c>
      <c r="AF209" s="77" t="str">
        <f t="shared" si="135"/>
        <v>"C:\Program Files (x86)\AstroGrep\AstroGrep.exe" /e /r /s /spath="%USERPROFILE%\AppData\Local\Temp\OnboardLogs" /stypes="app*4056*20170423*" /stext=" 08:.+((SYSTEM_STATE.+slice.+state.+changed )|(ment ac)|(multiple cpu faults)|(system.+state.+changed )|(\[timeout)|(PRM\|1\|D)|(kpr)|(kdp)|(\|lc)|(penalty))"</v>
      </c>
      <c r="AG209" s="1" t="str">
        <f t="shared" si="136"/>
        <v>Other</v>
      </c>
      <c r="AH209" s="81" t="str">
        <f t="shared" si="87"/>
        <v>"%USERPROFILE%\Documents\GitHub\eaglep3\Utilities\RefineRTDCRunTimes.py" --tripid 315-22 --locoid 4056 --swversion DE.1.0.9.0 --startMP 204:504 --initTime 2017-04-23T02:39:56 --startdatetime 2017-04-23T02:41:45 --delay 1 --endMP 300:23346 --enddatetime 2017-04-23T02:54:37 --enforcementcount 0 &gt;&gt;C:\Users\stu\Documents\GitHub\eaglep3-reporting\EC\2017-04-23-refined-times.txt</v>
      </c>
      <c r="AI209" s="99" t="str">
        <f t="shared" si="88"/>
        <v>echo {"issue":{"subject":"","project_id":79,"tracker_id":40,"status_id":1,"priority_id":2,"assigned_to_id":23,"start_date":"2017-04-23","description":"","custom_fields":[{"id":1,"name":"Subdivision","value":"Other"},{"id":4,"name":"Milepost","value":"2.3346"},{"id":17,"name":"Train ID","value":"315-22"},{"id":16,"name":"Locomotive ID","value":"4056"},{"id":130,"name":"Impact","value":""},{"id":150,"name":"Time of Event (Mountain Time)","value":"02:54:37"},{"id":151,"name":"Denver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5" t="str">
        <f t="shared" si="89"/>
        <v>start /low /b %USERPROFILE%\Documents\GitHub\eaglep3\Utilities\DownloadLogsFromS3.py --loco 4056 --day 2017-04-23</v>
      </c>
      <c r="AN209" s="154" t="str">
        <f t="shared" si="90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08:54:37"},{"id":29,"name":"Sharepoint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2" t="s">
        <v>820</v>
      </c>
      <c r="B210" s="7">
        <v>4004</v>
      </c>
      <c r="C210" s="21" t="s">
        <v>213</v>
      </c>
      <c r="D210" s="21" t="s">
        <v>476</v>
      </c>
      <c r="E210" s="13">
        <v>42849.029328703706</v>
      </c>
      <c r="F210" s="13">
        <v>42849.030509259261</v>
      </c>
      <c r="G210" s="7">
        <v>1</v>
      </c>
      <c r="H210" s="21" t="s">
        <v>453</v>
      </c>
      <c r="I210" s="13">
        <v>42849.036805555559</v>
      </c>
      <c r="J210" s="7">
        <v>0</v>
      </c>
      <c r="K210" s="92" t="str">
        <f t="shared" si="125"/>
        <v>4003/4004</v>
      </c>
      <c r="L210" s="21" t="str">
        <f>VLOOKUP(A210,'Trips&amp;Operators'!$C$1:$G$99999,5,FALSE)</f>
        <v>CHANDLER KELVIN</v>
      </c>
      <c r="M210" s="6">
        <f t="shared" si="126"/>
        <v>6.2962962983874604E-3</v>
      </c>
      <c r="N210" s="7">
        <f t="shared" si="137"/>
        <v>9.066666669677943</v>
      </c>
      <c r="O210" s="7"/>
      <c r="P210" s="7"/>
      <c r="Q210" s="22"/>
      <c r="R210" s="200"/>
      <c r="S210" s="206">
        <f t="shared" si="138"/>
        <v>1</v>
      </c>
      <c r="T210" s="200" t="str">
        <f t="shared" si="127"/>
        <v>NorthBound</v>
      </c>
      <c r="U210" s="200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01" t="str">
        <f t="shared" si="128"/>
        <v>https://d0f6bd738d7f1b3e5a7ca70fe4ff75f0.us-east-1.aws.found.io/app/kibana#/discover/Steve-Slow-Train-Analysis-(2080s-and-2083s)?_g=(refreshInterval:(display:Off,pause:!f,section:0,value:0),time:(from:'2017-04-23T23:42:14-0600',mode:absolute,to:'2017-04-24T01:53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0" s="202" t="str">
        <f t="shared" si="129"/>
        <v>Y</v>
      </c>
      <c r="X210" s="202">
        <f t="shared" si="124"/>
        <v>0</v>
      </c>
      <c r="Y210" s="202">
        <f t="shared" si="130"/>
        <v>4.5100000000000001E-2</v>
      </c>
      <c r="Z210" s="202">
        <f t="shared" si="131"/>
        <v>2.3304</v>
      </c>
      <c r="AA210" s="202">
        <f t="shared" si="132"/>
        <v>2.2852999999999999</v>
      </c>
      <c r="AB210" s="57" t="e">
        <f>VLOOKUP(A210,Enforcements!$C$7:$K$13,8,0)</f>
        <v>#N/A</v>
      </c>
      <c r="AC210" s="53" t="e">
        <f>VLOOKUP(A210,Enforcements!$C$7:$E$13,3,0)</f>
        <v>#N/A</v>
      </c>
      <c r="AD210" s="54" t="str">
        <f t="shared" si="133"/>
        <v>0315-23</v>
      </c>
      <c r="AE210" s="80" t="str">
        <f t="shared" si="134"/>
        <v>aws s3 cp s3://rtdc.mdm.uploadarchive.raw/RTDC4004/ "%USERPROFILE%\AppData\Local\Temp\OnboardLogs"\RTDC4004\2017-04-24 --exclude "*" --recursive --include "*20170424*" &amp; "%USERPROFILE%\Documents\GitHub\mrs-test-scripts\Headless Mode &amp; Sideloading\WalkAndUnGZ.bat" "%USERPROFILE%\AppData\Local\Temp\OnboardLogs"\RTDC4004\2017-04-24 &amp; aws s3 cp s3://rtdc.mdm.uploadarchive.raw/RTDC4004/ "%USERPROFILE%\AppData\Local\Temp\OnboardLogs"\RTDC4004\2017-04-25 --exclude "*" --recursive --include "*20170425*" &amp; "%USERPROFILE%\Documents\GitHub\mrs-test-scripts\Headless Mode &amp; Sideloading\WalkAndUnGZ.bat" "%USERPROFILE%\AppData\Local\Temp\OnboardLogs"\RTDC4004\2017-04-25</v>
      </c>
      <c r="AF210" s="77" t="str">
        <f t="shared" si="135"/>
        <v>"C:\Program Files (x86)\AstroGrep\AstroGrep.exe" /e /r /s /spath="%USERPROFILE%\AppData\Local\Temp\OnboardLogs" /stypes="app*4004*20170424*" /stext=" 06:.+((SYSTEM_STATE.+slice.+state.+changed )|(ment ac)|(multiple cpu faults)|(system.+state.+changed )|(\[timeout)|(PRM\|1\|D)|(kpr)|(kdp)|(\|lc)|(penalty))"</v>
      </c>
      <c r="AG210" s="1" t="str">
        <f t="shared" si="136"/>
        <v>Other</v>
      </c>
      <c r="AH210" s="81" t="str">
        <f t="shared" si="87"/>
        <v>"%USERPROFILE%\Documents\GitHub\eaglep3\Utilities\RefineRTDCRunTimes.py" --tripid 315-23 --locoid 4004 --swversion DE.1.0.9.0 --startMP 204:451 --initTime 2017-04-24T00:42:14 --startdatetime 2017-04-24T00:43:56 --delay 1 --endMP 300:23304 --enddatetime 2017-04-24T00:53:00 --enforcementcount 0 &gt;&gt;C:\Users\stu\Documents\GitHub\eaglep3-reporting\EC\2017-04-23-refined-times.txt</v>
      </c>
      <c r="AI210" s="99" t="str">
        <f t="shared" si="88"/>
        <v>echo {"issue":{"subject":"","project_id":79,"tracker_id":40,"status_id":1,"priority_id":2,"assigned_to_id":23,"start_date":"2017-04-24","description":"","custom_fields":[{"id":1,"name":"Subdivision","value":"Other"},{"id":4,"name":"Milepost","value":"2.3304"},{"id":17,"name":"Train ID","value":"315-23"},{"id":16,"name":"Locomotive ID","value":"4004"},{"id":130,"name":"Impact","value":""},{"id":150,"name":"Time of Event (Mountain Time)","value":"00:53:00"},{"id":151,"name":"Denver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5" t="str">
        <f t="shared" si="89"/>
        <v>start /low /b %USERPROFILE%\Documents\GitHub\eaglep3\Utilities\DownloadLogsFromS3.py --loco 4004 --day 2017-04-24</v>
      </c>
      <c r="AN210" s="154" t="str">
        <f t="shared" si="90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06:53:00"},{"id":29,"name":"Sharepoint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x14ac:dyDescent="0.25">
      <c r="A211" s="32" t="s">
        <v>657</v>
      </c>
      <c r="B211" s="7">
        <v>4032</v>
      </c>
      <c r="C211" s="21" t="s">
        <v>213</v>
      </c>
      <c r="D211" s="21" t="s">
        <v>951</v>
      </c>
      <c r="E211" s="13">
        <v>42848.226585648146</v>
      </c>
      <c r="F211" s="13">
        <v>42848.230081018519</v>
      </c>
      <c r="G211" s="7">
        <v>4</v>
      </c>
      <c r="H211" s="21" t="s">
        <v>952</v>
      </c>
      <c r="I211" s="13">
        <v>42848.230671296296</v>
      </c>
      <c r="J211" s="7">
        <v>0</v>
      </c>
      <c r="K211" s="92" t="str">
        <f t="shared" ref="K211:K217" si="139">IF(ISEVEN(B211),(B211-1)&amp;"/"&amp;B211,B211&amp;"/"&amp;(B211+1))</f>
        <v>4031/4032</v>
      </c>
      <c r="L211" s="21" t="str">
        <f>VLOOKUP(A211,'Trips&amp;Operators'!$C$1:$G$99999,5,FALSE)</f>
        <v>YORK EDGAR</v>
      </c>
      <c r="M211" s="6">
        <f t="shared" ref="M211:M217" si="140">I211-F211</f>
        <v>5.9027777751907706E-4</v>
      </c>
      <c r="N211" s="7">
        <f t="shared" si="137"/>
        <v>0.84999999962747097</v>
      </c>
      <c r="O211" s="7"/>
      <c r="P211" s="7"/>
      <c r="Q211" s="22"/>
      <c r="R211" s="200"/>
      <c r="S211" s="206">
        <f t="shared" si="138"/>
        <v>0</v>
      </c>
      <c r="T211" s="200" t="str">
        <f t="shared" ref="T211:T217" si="141">IF(ISEVEN(LEFT(AD211,4)),"Southbound","NorthBound")</f>
        <v>NorthBound</v>
      </c>
      <c r="U211" s="200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201" t="str">
        <f t="shared" ref="V211:V217" si="142"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-04-23T04:26:17-0600',mode:absolute,to:'2017-04-23T06:32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1" s="202" t="str">
        <f t="shared" ref="W211:W217" si="143">IF(AA211&lt;IF(AG211="EC",23,5.65),"Y","N")</f>
        <v>Y</v>
      </c>
      <c r="X211" s="202">
        <f t="shared" si="124"/>
        <v>1586</v>
      </c>
      <c r="Y211" s="202">
        <f t="shared" ref="Y211:Y217" si="144">RIGHT(D211,LEN(D211)-4)/10000</f>
        <v>3.0078</v>
      </c>
      <c r="Z211" s="202">
        <f t="shared" ref="Z211:Z217" si="145">RIGHT(H211,LEN(H211)-4)/10000</f>
        <v>3.2258</v>
      </c>
      <c r="AA211" s="202">
        <f t="shared" ref="AA211:AA217" si="146">ABS(Z211-Y211)</f>
        <v>0.21799999999999997</v>
      </c>
      <c r="AB211" s="57" t="e">
        <f>VLOOKUP(A211,Enforcements!$C$7:$K$13,8,0)</f>
        <v>#N/A</v>
      </c>
      <c r="AC211" s="53" t="e">
        <f>VLOOKUP(A211,Enforcements!$C$7:$E$13,3,0)</f>
        <v>#N/A</v>
      </c>
      <c r="AD211" s="54" t="str">
        <f t="shared" ref="AD211:AD217" si="147">IF(LEN(A211)=6,"0"&amp;A211,A211)</f>
        <v>1901-23</v>
      </c>
      <c r="AE211" s="80" t="str">
        <f t="shared" ref="AE211:AE217" si="148"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s3://rtdc.mdm.uploadarchive.raw/RTDC4032/ "%USERPROFILE%\AppData\Local\Temp\OnboardLogs"\RTDC4032\2017-04-23 --exclude "*" --recursive --include "*20170423*" &amp; "%USERPROFILE%\Documents\GitHub\mrs-test-scripts\Headless Mode &amp; Sideloading\WalkAndUnGZ.bat" "%USERPROFILE%\AppData\Local\Temp\OnboardLogs"\RTDC4032\2017-04-23 &amp; aws s3 cp s3://rtdc.mdm.uploadarchive.raw/RTDC4032/ "%USERPROFILE%\AppData\Local\Temp\OnboardLogs"\RTDC4032\2017-04-24 --exclude "*" --recursive --include "*20170424*" &amp; "%USERPROFILE%\Documents\GitHub\mrs-test-scripts\Headless Mode &amp; Sideloading\WalkAndUnGZ.bat" "%USERPROFILE%\AppData\Local\Temp\OnboardLogs"\RTDC4032\2017-04-24</v>
      </c>
      <c r="AF211" s="77" t="str">
        <f t="shared" ref="AF211:AF217" si="149"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/stypes="app*4032*20170423*" /stext=" 11:.+((SYSTEM_STATE.+slice.+state.+changed )|(ment ac)|(multiple cpu faults)|(system.+state.+changed )|(\[timeout)|(PRM\|1\|D)|(kpr)|(kdp)|(\|lc)|(penalty))"</v>
      </c>
      <c r="AG211" s="1" t="str">
        <f t="shared" ref="AG211:AG217" si="150">IFERROR(IF(VALUE(LEFT(AD211,2))&lt;=2,"EC",IF(OR(VALUE(LEFT(AD211,2))=8,VALUE(LEFT(AD211,2))=18),"NW","Other")),"Other")</f>
        <v>Other</v>
      </c>
      <c r="AH211" s="81" t="str">
        <f t="shared" ref="AH211:AH217" si="151">refinertdcruntimes&amp;" --tripid "&amp;A211&amp;" --locoid "&amp;B211&amp;" --swversion "&amp;C211&amp;" --startMP "&amp;D211&amp;" --initTime "&amp;TEXT(E211,"yyyy-mm-ddTHH:MM:SS")&amp;" --startdatetime "&amp;TEXT(F211,"yyyy-mm-ddTHH:MM:SS")&amp;" --delay "&amp;G211&amp;" --endMP "&amp;H211&amp;" --enddatetime "&amp;TEXT(I211,"yyyy-mm-ddTHH:MM:SS")&amp;" --enforcementcount "&amp;J211&amp;IF(outputrefinedruntimes," &gt;&gt;"&amp;RefinedRTDCRunTimesOutputFile,"")</f>
        <v>"%USERPROFILE%\Documents\GitHub\eaglep3\Utilities\RefineRTDCRunTimes.py" --tripid 1901-23 --locoid 4032 --swversion DE.1.0.9.0 --startMP 300:30078 --initTime 2017-04-23T05:26:17 --startdatetime 2017-04-23T05:31:19 --delay 4 --endMP 300:32258 --enddatetime 2017-04-23T05:32:10 --enforcementcount 0 &gt;&gt;C:\Users\stu\Documents\GitHub\eaglep3-reporting\EC\2017-04-23-refined-times.txt</v>
      </c>
      <c r="AI211" s="99" t="str">
        <f t="shared" ref="AI211:AI217" si="152">"echo {""issue"":{""subject"":"""&amp;R211&amp;""",""project_id"":79,""tracker_id"":40,""status_id"":"&amp;redmine_status&amp;",""priority_id"":"&amp;redmine_priority&amp;",""assigned_to_id"":"&amp;redmine_assignee&amp;",""start_date"":"""&amp;TEXT(I211,"YYYY-mm-dd")&amp;""",""description"":"""&amp;AJ211&amp;""",""custom_fields"":[{""id"":1,""name"":""Subdivision"",""value"":"""&amp;AG211&amp;"""},{""id"":4,""name"":""Milepost"",""value"":"""&amp;Z211&amp;"""},{""id"":17,""name"":""Train ID"",""value"":"""&amp;A211&amp;"""},{""id"":16,""name"":""Locomotive ID"",""value"":"""&amp;B211&amp;"""},{""id"":130,""name"":""Impact"",""value"":"""&amp;AK211&amp;"""},{""id"":150,""name"":""Time of Event (Mountain Time)"",""value"":"""&amp;TEXT(I211,"hh:mm:ss")&amp;"""},{""id"":151,""name"":""Denver Issue ID"",""value"":"""&amp;"""},{""id"":178,""name"":""Operational Impact"",""value"":"""&amp;redmine_op_impact&amp;"""},{""id"":179,""name"":""Denver Segment Assigned"",""value"":"""&amp;AL211&amp;"""}]}}"&amp;"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{"issue":{"subject":"","project_id":79,"tracker_id":40,"status_id":1,"priority_id":2,"assigned_to_id":23,"start_date":"2017-04-23","description":"","custom_fields":[{"id":1,"name":"Subdivision","value":"Other"},{"id":4,"name":"Milepost","value":"3.2258"},{"id":17,"name":"Train ID","value":"1901-23"},{"id":16,"name":"Locomotive ID","value":"4032"},{"id":130,"name":"Impact","value":""},{"id":150,"name":"Time of Event (Mountain Time)","value":"05:32:10"},{"id":151,"name":"Denver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5" t="str">
        <f t="shared" ref="AM211:AM217" si="153">"start /low /b "&amp;dls3logs&amp;" --loco "&amp;B211&amp;" --day "&amp;TEXT(F211,"YYYY-MM-DD")</f>
        <v>start /low /b %USERPROFILE%\Documents\GitHub\eaglep3\Utilities\DownloadLogsFromS3.py --loco 4032 --day 2017-04-23</v>
      </c>
      <c r="AN211" s="154" t="str">
        <f t="shared" ref="AN211:AN217" si="154">"echo {""issue"":{""subject"":"""&amp;R211&amp;""",""project_id"":30,""tracker_id"":4,""status_id"":"&amp;redmine_status_wcr&amp;",""priority_id"":"&amp;redmine_priority_wcr&amp;",""assigned_to_id"":"&amp;redmine_assignee_wcr&amp;",""start_date"":"""&amp;TEXT(I211-utc_offset/24,"YYYY-mm-dd")&amp;""",""description"":"""&amp;AJ211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11:32:10"},{"id":29,"name":"Sharepoint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2" t="s">
        <v>811</v>
      </c>
      <c r="B212" s="7">
        <v>4031</v>
      </c>
      <c r="C212" s="21" t="s">
        <v>213</v>
      </c>
      <c r="D212" s="21" t="s">
        <v>921</v>
      </c>
      <c r="E212" s="13">
        <v>42848.946585648147</v>
      </c>
      <c r="F212" s="13">
        <v>42848.947662037041</v>
      </c>
      <c r="G212" s="7">
        <v>1</v>
      </c>
      <c r="H212" s="21" t="s">
        <v>953</v>
      </c>
      <c r="I212" s="13">
        <v>42848.951979166668</v>
      </c>
      <c r="J212" s="7">
        <v>0</v>
      </c>
      <c r="K212" s="92" t="str">
        <f t="shared" si="139"/>
        <v>4031/4032</v>
      </c>
      <c r="L212" s="21" t="str">
        <f>VLOOKUP(A212,'Trips&amp;Operators'!$C$1:$G$99999,5,FALSE)</f>
        <v>HELVIE ADAM</v>
      </c>
      <c r="M212" s="6">
        <f t="shared" si="140"/>
        <v>4.3171296274522319E-3</v>
      </c>
      <c r="N212" s="7">
        <f t="shared" si="137"/>
        <v>6.216666663531214</v>
      </c>
      <c r="O212" s="7"/>
      <c r="P212" s="7"/>
      <c r="Q212" s="22"/>
      <c r="R212" s="200"/>
      <c r="S212" s="206">
        <f t="shared" si="138"/>
        <v>0</v>
      </c>
      <c r="T212" s="200" t="str">
        <f t="shared" si="141"/>
        <v>Southbound</v>
      </c>
      <c r="U212" s="200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201" t="str">
        <f t="shared" si="142"/>
        <v>https://d0f6bd738d7f1b3e5a7ca70fe4ff75f0.us-east-1.aws.found.io/app/kibana#/discover/Steve-Slow-Train-Analysis-(2080s-and-2083s)?_g=(refreshInterval:(display:Off,pause:!f,section:0,value:0),time:(from:'2017-04-23T21:43:05-0600',mode:absolute,to:'2017-04-23T23:50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12" s="202" t="str">
        <f t="shared" si="143"/>
        <v>Y</v>
      </c>
      <c r="X212" s="202">
        <f t="shared" si="124"/>
        <v>1</v>
      </c>
      <c r="Y212" s="202">
        <f t="shared" si="144"/>
        <v>5.8628</v>
      </c>
      <c r="Z212" s="202">
        <f t="shared" si="145"/>
        <v>2.1728999999999998</v>
      </c>
      <c r="AA212" s="202">
        <f t="shared" si="146"/>
        <v>3.6899000000000002</v>
      </c>
      <c r="AB212" s="57" t="e">
        <f>VLOOKUP(A212,Enforcements!$C$7:$K$13,8,0)</f>
        <v>#N/A</v>
      </c>
      <c r="AC212" s="53" t="e">
        <f>VLOOKUP(A212,Enforcements!$C$7:$E$13,3,0)</f>
        <v>#N/A</v>
      </c>
      <c r="AD212" s="54" t="str">
        <f t="shared" si="147"/>
        <v>1902-23</v>
      </c>
      <c r="AE212" s="80" t="str">
        <f t="shared" si="148"/>
        <v>aws s3 cp s3://rtdc.mdm.uploadarchive.raw/RTDC4031/ "%USERPROFILE%\AppData\Local\Temp\OnboardLogs"\RTDC4031\2017-04-23 --exclude "*" --recursive --include "*20170423*" &amp; "%USERPROFILE%\Documents\GitHub\mrs-test-scripts\Headless Mode &amp; Sideloading\WalkAndUnGZ.bat" "%USERPROFILE%\AppData\Local\Temp\OnboardLogs"\RTDC4031\2017-04-23 &amp; aws s3 cp s3://rtdc.mdm.uploadarchive.raw/RTDC4031/ "%USERPROFILE%\AppData\Local\Temp\OnboardLogs"\RTDC4031\2017-04-24 --exclude "*" --recursive --include "*20170424*" &amp; "%USERPROFILE%\Documents\GitHub\mrs-test-scripts\Headless Mode &amp; Sideloading\WalkAndUnGZ.bat" "%USERPROFILE%\AppData\Local\Temp\OnboardLogs"\RTDC4031\2017-04-24</v>
      </c>
      <c r="AF212" s="77" t="str">
        <f t="shared" si="149"/>
        <v>"C:\Program Files (x86)\AstroGrep\AstroGrep.exe" /e /r /s /spath="%USERPROFILE%\AppData\Local\Temp\OnboardLogs" /stypes="app*4031*20170424*" /stext=" 04:.+((SYSTEM_STATE.+slice.+state.+changed )|(ment ac)|(multiple cpu faults)|(system.+state.+changed )|(\[timeout)|(PRM\|1\|D)|(kpr)|(kdp)|(\|lc)|(penalty))"</v>
      </c>
      <c r="AG212" s="1" t="str">
        <f t="shared" si="150"/>
        <v>Other</v>
      </c>
      <c r="AH212" s="81" t="str">
        <f t="shared" si="151"/>
        <v>"%USERPROFILE%\Documents\GitHub\eaglep3\Utilities\RefineRTDCRunTimes.py" --tripid 1902-23 --locoid 4031 --swversion DE.1.0.9.0 --startMP 300:58628 --initTime 2017-04-23T22:43:05 --startdatetime 2017-04-23T22:44:38 --delay 1 --endMP 300:21729 --enddatetime 2017-04-23T22:50:51 --enforcementcount 0 &gt;&gt;C:\Users\stu\Documents\GitHub\eaglep3-reporting\EC\2017-04-23-refined-times.txt</v>
      </c>
      <c r="AI212" s="99" t="str">
        <f t="shared" si="152"/>
        <v>echo {"issue":{"subject":"","project_id":79,"tracker_id":40,"status_id":1,"priority_id":2,"assigned_to_id":23,"start_date":"2017-04-23","description":"","custom_fields":[{"id":1,"name":"Subdivision","value":"Other"},{"id":4,"name":"Milepost","value":"2.1729"},{"id":17,"name":"Train ID","value":"1902-23"},{"id":16,"name":"Locomotive ID","value":"4031"},{"id":130,"name":"Impact","value":""},{"id":150,"name":"Time of Event (Mountain Time)","value":"22:50:51"},{"id":151,"name":"Denver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5" t="str">
        <f t="shared" si="153"/>
        <v>start /low /b %USERPROFILE%\Documents\GitHub\eaglep3\Utilities\DownloadLogsFromS3.py --loco 4031 --day 2017-04-23</v>
      </c>
      <c r="AN212" s="154" t="str">
        <f t="shared" si="154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04:50:51"},{"id":29,"name":"Sharepoint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x14ac:dyDescent="0.25">
      <c r="A213" s="32" t="s">
        <v>776</v>
      </c>
      <c r="B213" s="7">
        <v>4025</v>
      </c>
      <c r="C213" s="21" t="s">
        <v>213</v>
      </c>
      <c r="D213" s="21" t="s">
        <v>993</v>
      </c>
      <c r="E213" s="13">
        <v>42848.737361111111</v>
      </c>
      <c r="F213" s="13">
        <v>42848.743391203701</v>
      </c>
      <c r="G213" s="7">
        <v>8</v>
      </c>
      <c r="H213" s="21" t="s">
        <v>994</v>
      </c>
      <c r="I213" s="13">
        <v>42848.753368055557</v>
      </c>
      <c r="J213" s="7">
        <v>0</v>
      </c>
      <c r="K213" s="92" t="str">
        <f t="shared" si="139"/>
        <v>4025/4026</v>
      </c>
      <c r="L213" s="21" t="str">
        <f>VLOOKUP(A213,'Trips&amp;Operators'!$C$1:$G$99999,5,FALSE)</f>
        <v>MAGEE KENYA</v>
      </c>
      <c r="M213" s="6">
        <f t="shared" si="140"/>
        <v>9.976851855753921E-3</v>
      </c>
      <c r="N213" s="7">
        <f t="shared" si="137"/>
        <v>14.366666672285646</v>
      </c>
      <c r="O213" s="7"/>
      <c r="P213" s="7"/>
      <c r="Q213" s="22"/>
      <c r="R213" s="200"/>
      <c r="S213" s="206">
        <f t="shared" si="138"/>
        <v>0</v>
      </c>
      <c r="T213" s="200" t="e">
        <f t="shared" si="141"/>
        <v>#VALUE!</v>
      </c>
      <c r="U213" s="200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201" t="str">
        <f t="shared" si="142"/>
        <v>https://d0f6bd738d7f1b3e5a7ca70fe4ff75f0.us-east-1.aws.found.io/app/kibana#/discover/Steve-Slow-Train-Analysis-(2080s-and-2083s)?_g=(refreshInterval:(display:Off,pause:!f,section:0,value:0),time:(from:'2017-04-23T16:41:48-0600',mode:absolute,to:'2017-04-23T19:04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3" s="202" t="str">
        <f t="shared" si="143"/>
        <v>Y</v>
      </c>
      <c r="X213" s="202" t="e">
        <f t="shared" si="124"/>
        <v>#VALUE!</v>
      </c>
      <c r="Y213" s="202">
        <f t="shared" si="144"/>
        <v>2.2299000000000002</v>
      </c>
      <c r="Z213" s="202">
        <f t="shared" si="145"/>
        <v>0.1963</v>
      </c>
      <c r="AA213" s="202">
        <f t="shared" si="146"/>
        <v>2.0336000000000003</v>
      </c>
      <c r="AB213" s="57" t="e">
        <f>VLOOKUP(A213,Enforcements!$C$7:$K$13,8,0)</f>
        <v>#N/A</v>
      </c>
      <c r="AC213" s="53" t="e">
        <f>VLOOKUP(A213,Enforcements!$C$7:$E$13,3,0)</f>
        <v>#N/A</v>
      </c>
      <c r="AD213" s="54" t="str">
        <f t="shared" si="147"/>
        <v>51-23</v>
      </c>
      <c r="AE213" s="80" t="str">
        <f t="shared" si="148"/>
        <v>aws s3 cp s3://rtdc.mdm.uploadarchive.raw/RTDC4025/ "%USERPROFILE%\AppData\Local\Temp\OnboardLogs"\RTDC4025\2017-04-23 --exclude "*" --recursive --include "*20170423*" &amp; "%USERPROFILE%\Documents\GitHub\mrs-test-scripts\Headless Mode &amp; Sideloading\WalkAndUnGZ.bat" "%USERPROFILE%\AppData\Local\Temp\OnboardLogs"\RTDC4025\2017-04-23 &amp; aws s3 cp s3://rtdc.mdm.uploadarchive.raw/RTDC4025/ "%USERPROFILE%\AppData\Local\Temp\OnboardLogs"\RTDC4025\2017-04-24 --exclude "*" --recursive --include "*20170424*" &amp; "%USERPROFILE%\Documents\GitHub\mrs-test-scripts\Headless Mode &amp; Sideloading\WalkAndUnGZ.bat" "%USERPROFILE%\AppData\Local\Temp\OnboardLogs"\RTDC4025\2017-04-24</v>
      </c>
      <c r="AF213" s="77" t="str">
        <f t="shared" si="149"/>
        <v>"C:\Program Files (x86)\AstroGrep\AstroGrep.exe" /e /r /s /spath="%USERPROFILE%\AppData\Local\Temp\OnboardLogs" /stypes="app*4025*20170424*" /stext=" 00:.+((SYSTEM_STATE.+slice.+state.+changed )|(ment ac)|(multiple cpu faults)|(system.+state.+changed )|(\[timeout)|(PRM\|1\|D)|(kpr)|(kdp)|(\|lc)|(penalty))"</v>
      </c>
      <c r="AG213" s="1" t="str">
        <f t="shared" si="150"/>
        <v>Other</v>
      </c>
      <c r="AH213" s="81" t="str">
        <f t="shared" si="151"/>
        <v>"%USERPROFILE%\Documents\GitHub\eaglep3\Utilities\RefineRTDCRunTimes.py" --tripid 51-23 --locoid 4025 --swversion DE.1.0.9.0 --startMP 300:22299 --initTime 2017-04-23T17:41:48 --startdatetime 2017-04-23T17:50:29 --delay 8 --endMP 204:1963 --enddatetime 2017-04-23T18:04:51 --enforcementcount 0 &gt;&gt;C:\Users\stu\Documents\GitHub\eaglep3-reporting\EC\2017-04-23-refined-times.txt</v>
      </c>
      <c r="AI213" s="99" t="str">
        <f t="shared" si="152"/>
        <v>echo {"issue":{"subject":"","project_id":79,"tracker_id":40,"status_id":1,"priority_id":2,"assigned_to_id":23,"start_date":"2017-04-23","description":"","custom_fields":[{"id":1,"name":"Subdivision","value":"Other"},{"id":4,"name":"Milepost","value":"0.1963"},{"id":17,"name":"Train ID","value":"51-23"},{"id":16,"name":"Locomotive ID","value":"4025"},{"id":130,"name":"Impact","value":""},{"id":150,"name":"Time of Event (Mountain Time)","value":"18:04:51"},{"id":151,"name":"Denver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5" t="str">
        <f t="shared" si="153"/>
        <v>start /low /b %USERPROFILE%\Documents\GitHub\eaglep3\Utilities\DownloadLogsFromS3.py --loco 4025 --day 2017-04-23</v>
      </c>
      <c r="AN213" s="154" t="str">
        <f t="shared" si="154"/>
        <v>echo {"issue":{"subject":"","project_id":30,"tracker_id":4,"status_id":1,"priority_id":1,"assigned_to_id":10,"start_date":"2017-04-24","description":"","custom_fields":[{"id":30,"name":"Category","value":"Issue"},{"id":3,"name":"Functional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UTC","value":"2017-04-24 00:04:51"},{"id":29,"name":"Sharepoint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2" t="s">
        <v>702</v>
      </c>
      <c r="B214" s="7">
        <v>4045</v>
      </c>
      <c r="C214" s="21" t="s">
        <v>213</v>
      </c>
      <c r="D214" s="21" t="s">
        <v>995</v>
      </c>
      <c r="E214" s="13">
        <v>42848.438981481479</v>
      </c>
      <c r="F214" s="13">
        <v>42848.440474537034</v>
      </c>
      <c r="G214" s="7">
        <v>1</v>
      </c>
      <c r="H214" s="21" t="s">
        <v>519</v>
      </c>
      <c r="I214" s="13">
        <v>42848.441759259258</v>
      </c>
      <c r="J214" s="7">
        <v>0</v>
      </c>
      <c r="K214" s="92" t="str">
        <f t="shared" si="139"/>
        <v>4045/4046</v>
      </c>
      <c r="L214" s="21" t="str">
        <f>VLOOKUP(A214,'Trips&amp;Operators'!$C$1:$G$99999,5,FALSE)</f>
        <v>DELGADO DIANAH</v>
      </c>
      <c r="M214" s="6">
        <f t="shared" si="140"/>
        <v>1.2847222242271528E-3</v>
      </c>
      <c r="N214" s="7">
        <f t="shared" si="137"/>
        <v>1.8500000028871</v>
      </c>
      <c r="O214" s="7"/>
      <c r="P214" s="7"/>
      <c r="Q214" s="22"/>
      <c r="R214" s="200"/>
      <c r="S214" s="206">
        <f t="shared" si="138"/>
        <v>0</v>
      </c>
      <c r="T214" s="200" t="e">
        <f t="shared" si="141"/>
        <v>#VALUE!</v>
      </c>
      <c r="U214" s="200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201" t="str">
        <f t="shared" si="142"/>
        <v>https://d0f6bd738d7f1b3e5a7ca70fe4ff75f0.us-east-1.aws.found.io/app/kibana#/discover/Steve-Slow-Train-Analysis-(2080s-and-2083s)?_g=(refreshInterval:(display:Off,pause:!f,section:0,value:0),time:(from:'2017-04-23T09:32:08-0600',mode:absolute,to:'2017-04-23T11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14" s="202" t="str">
        <f t="shared" si="143"/>
        <v>Y</v>
      </c>
      <c r="X214" s="202" t="e">
        <f t="shared" si="124"/>
        <v>#VALUE!</v>
      </c>
      <c r="Y214" s="202">
        <f t="shared" si="144"/>
        <v>0.31040000000000001</v>
      </c>
      <c r="Z214" s="202">
        <f t="shared" si="145"/>
        <v>1.32E-2</v>
      </c>
      <c r="AA214" s="202">
        <f t="shared" si="146"/>
        <v>0.29720000000000002</v>
      </c>
      <c r="AB214" s="57" t="e">
        <f>VLOOKUP(A214,Enforcements!$C$7:$K$13,8,0)</f>
        <v>#N/A</v>
      </c>
      <c r="AC214" s="53" t="e">
        <f>VLOOKUP(A214,Enforcements!$C$7:$E$13,3,0)</f>
        <v>#N/A</v>
      </c>
      <c r="AD214" s="54" t="str">
        <f t="shared" si="147"/>
        <v>55-23</v>
      </c>
      <c r="AE214" s="80" t="str">
        <f t="shared" si="148"/>
        <v>aws s3 cp s3://rtdc.mdm.uploadarchive.raw/RTDC4045/ "%USERPROFILE%\AppData\Local\Temp\OnboardLogs"\RTDC4045\2017-04-23 --exclude "*" --recursive --include "*20170423*" &amp; "%USERPROFILE%\Documents\GitHub\mrs-test-scripts\Headless Mode &amp; Sideloading\WalkAndUnGZ.bat" "%USERPROFILE%\AppData\Local\Temp\OnboardLogs"\RTDC4045\2017-04-23 &amp; aws s3 cp s3://rtdc.mdm.uploadarchive.raw/RTDC4045/ "%USERPROFILE%\AppData\Local\Temp\OnboardLogs"\RTDC4045\2017-04-24 --exclude "*" --recursive --include "*20170424*" &amp; "%USERPROFILE%\Documents\GitHub\mrs-test-scripts\Headless Mode &amp; Sideloading\WalkAndUnGZ.bat" "%USERPROFILE%\AppData\Local\Temp\OnboardLogs"\RTDC4045\2017-04-24</v>
      </c>
      <c r="AF214" s="77" t="str">
        <f t="shared" si="149"/>
        <v>"C:\Program Files (x86)\AstroGrep\AstroGrep.exe" /e /r /s /spath="%USERPROFILE%\AppData\Local\Temp\OnboardLogs" /stypes="app*4045*20170423*" /stext=" 16:.+((SYSTEM_STATE.+slice.+state.+changed )|(ment ac)|(multiple cpu faults)|(system.+state.+changed )|(\[timeout)|(PRM\|1\|D)|(kpr)|(kdp)|(\|lc)|(penalty))"</v>
      </c>
      <c r="AG214" s="1" t="str">
        <f t="shared" si="150"/>
        <v>Other</v>
      </c>
      <c r="AH214" s="81" t="str">
        <f t="shared" si="151"/>
        <v>"%USERPROFILE%\Documents\GitHub\eaglep3\Utilities\RefineRTDCRunTimes.py" --tripid 55-23 --locoid 4045 --swversion DE.1.0.9.0 --startMP 204:3104 --initTime 2017-04-23T10:32:08 --startdatetime 2017-04-23T10:34:17 --delay 1 --endMP 204:132 --enddatetime 2017-04-23T10:36:08 --enforcementcount 0 &gt;&gt;C:\Users\stu\Documents\GitHub\eaglep3-reporting\EC\2017-04-23-refined-times.txt</v>
      </c>
      <c r="AI214" s="99" t="str">
        <f t="shared" si="152"/>
        <v>echo {"issue":{"subject":"","project_id":79,"tracker_id":40,"status_id":1,"priority_id":2,"assigned_to_id":23,"start_date":"2017-04-23","description":"","custom_fields":[{"id":1,"name":"Subdivision","value":"Other"},{"id":4,"name":"Milepost","value":"0.0132"},{"id":17,"name":"Train ID","value":"55-23"},{"id":16,"name":"Locomotive ID","value":"4045"},{"id":130,"name":"Impact","value":""},{"id":150,"name":"Time of Event (Mountain Time)","value":"10:36:08"},{"id":151,"name":"Denver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5" t="str">
        <f t="shared" si="153"/>
        <v>start /low /b %USERPROFILE%\Documents\GitHub\eaglep3\Utilities\DownloadLogsFromS3.py --loco 4045 --day 2017-04-23</v>
      </c>
      <c r="AN214" s="154" t="str">
        <f t="shared" si="154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16:36:08"},{"id":29,"name":"Sharepoint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2" t="s">
        <v>702</v>
      </c>
      <c r="B215" s="7">
        <v>4046</v>
      </c>
      <c r="C215" s="21" t="s">
        <v>213</v>
      </c>
      <c r="D215" s="21" t="s">
        <v>996</v>
      </c>
      <c r="E215" s="13">
        <v>42848.43550925926</v>
      </c>
      <c r="F215" s="13">
        <v>42848.440474537034</v>
      </c>
      <c r="G215" s="7">
        <v>1</v>
      </c>
      <c r="H215" s="21" t="s">
        <v>997</v>
      </c>
      <c r="I215" s="13">
        <v>42848.441759259258</v>
      </c>
      <c r="J215" s="7">
        <v>0</v>
      </c>
      <c r="K215" s="92" t="str">
        <f t="shared" si="139"/>
        <v>4045/4046</v>
      </c>
      <c r="L215" s="21" t="str">
        <f>VLOOKUP(A215,'Trips&amp;Operators'!$C$1:$G$99999,5,FALSE)</f>
        <v>DELGADO DIANAH</v>
      </c>
      <c r="M215" s="6">
        <f t="shared" si="140"/>
        <v>1.2847222242271528E-3</v>
      </c>
      <c r="N215" s="7">
        <f t="shared" si="137"/>
        <v>1.8500000028871</v>
      </c>
      <c r="O215" s="7"/>
      <c r="P215" s="7"/>
      <c r="Q215" s="22"/>
      <c r="R215" s="200"/>
      <c r="S215" s="206">
        <f t="shared" si="138"/>
        <v>0</v>
      </c>
      <c r="T215" s="200" t="e">
        <f t="shared" si="141"/>
        <v>#VALUE!</v>
      </c>
      <c r="U215" s="200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201" t="str">
        <f t="shared" si="142"/>
        <v>https://d0f6bd738d7f1b3e5a7ca70fe4ff75f0.us-east-1.aws.found.io/app/kibana#/discover/Steve-Slow-Train-Analysis-(2080s-and-2083s)?_g=(refreshInterval:(display:Off,pause:!f,section:0,value:0),time:(from:'2017-04-23T09:27:08-0600',mode:absolute,to:'2017-04-23T11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5" s="202" t="str">
        <f t="shared" si="143"/>
        <v>Y</v>
      </c>
      <c r="X215" s="202" t="e">
        <f t="shared" si="124"/>
        <v>#VALUE!</v>
      </c>
      <c r="Y215" s="202">
        <f t="shared" si="144"/>
        <v>0.14749999999999999</v>
      </c>
      <c r="Z215" s="202">
        <f t="shared" si="145"/>
        <v>0.3473</v>
      </c>
      <c r="AA215" s="202">
        <f t="shared" si="146"/>
        <v>0.19980000000000001</v>
      </c>
      <c r="AB215" s="57" t="e">
        <f>VLOOKUP(A215,Enforcements!$C$7:$K$13,8,0)</f>
        <v>#N/A</v>
      </c>
      <c r="AC215" s="53" t="e">
        <f>VLOOKUP(A215,Enforcements!$C$7:$E$13,3,0)</f>
        <v>#N/A</v>
      </c>
      <c r="AD215" s="54" t="str">
        <f t="shared" si="147"/>
        <v>55-23</v>
      </c>
      <c r="AE215" s="80" t="str">
        <f t="shared" si="148"/>
        <v>aws s3 cp s3://rtdc.mdm.uploadarchive.raw/RTDC4046/ "%USERPROFILE%\AppData\Local\Temp\OnboardLogs"\RTDC4046\2017-04-23 --exclude "*" --recursive --include "*20170423*" &amp; "%USERPROFILE%\Documents\GitHub\mrs-test-scripts\Headless Mode &amp; Sideloading\WalkAndUnGZ.bat" "%USERPROFILE%\AppData\Local\Temp\OnboardLogs"\RTDC4046\2017-04-23 &amp; aws s3 cp s3://rtdc.mdm.uploadarchive.raw/RTDC4046/ "%USERPROFILE%\AppData\Local\Temp\OnboardLogs"\RTDC4046\2017-04-24 --exclude "*" --recursive --include "*20170424*" &amp; "%USERPROFILE%\Documents\GitHub\mrs-test-scripts\Headless Mode &amp; Sideloading\WalkAndUnGZ.bat" "%USERPROFILE%\AppData\Local\Temp\OnboardLogs"\RTDC4046\2017-04-24</v>
      </c>
      <c r="AF215" s="77" t="str">
        <f t="shared" si="149"/>
        <v>"C:\Program Files (x86)\AstroGrep\AstroGrep.exe" /e /r /s /spath="%USERPROFILE%\AppData\Local\Temp\OnboardLogs" /stypes="app*4046*20170423*" /stext=" 16:.+((SYSTEM_STATE.+slice.+state.+changed )|(ment ac)|(multiple cpu faults)|(system.+state.+changed )|(\[timeout)|(PRM\|1\|D)|(kpr)|(kdp)|(\|lc)|(penalty))"</v>
      </c>
      <c r="AG215" s="1" t="str">
        <f t="shared" si="150"/>
        <v>Other</v>
      </c>
      <c r="AH215" s="81" t="str">
        <f t="shared" si="151"/>
        <v>"%USERPROFILE%\Documents\GitHub\eaglep3\Utilities\RefineRTDCRunTimes.py" --tripid 55-23 --locoid 4046 --swversion DE.1.0.9.0 --startMP 204:1475 --initTime 2017-04-23T10:27:08 --startdatetime 2017-04-23T10:34:17 --delay 1 --endMP 204:3473 --enddatetime 2017-04-23T10:36:08 --enforcementcount 0 &gt;&gt;C:\Users\stu\Documents\GitHub\eaglep3-reporting\EC\2017-04-23-refined-times.txt</v>
      </c>
      <c r="AI215" s="99" t="str">
        <f t="shared" si="152"/>
        <v>echo {"issue":{"subject":"","project_id":79,"tracker_id":40,"status_id":1,"priority_id":2,"assigned_to_id":23,"start_date":"2017-04-23","description":"","custom_fields":[{"id":1,"name":"Subdivision","value":"Other"},{"id":4,"name":"Milepost","value":"0.3473"},{"id":17,"name":"Train ID","value":"55-23"},{"id":16,"name":"Locomotive ID","value":"4046"},{"id":130,"name":"Impact","value":""},{"id":150,"name":"Time of Event (Mountain Time)","value":"10:36:08"},{"id":151,"name":"Denver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5" t="str">
        <f t="shared" si="153"/>
        <v>start /low /b %USERPROFILE%\Documents\GitHub\eaglep3\Utilities\DownloadLogsFromS3.py --loco 4046 --day 2017-04-23</v>
      </c>
      <c r="AN215" s="154" t="str">
        <f t="shared" si="154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16:36:08"},{"id":29,"name":"Sharepoint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2" t="s">
        <v>711</v>
      </c>
      <c r="B216" s="7">
        <v>4027</v>
      </c>
      <c r="C216" s="21" t="s">
        <v>213</v>
      </c>
      <c r="D216" s="21" t="s">
        <v>998</v>
      </c>
      <c r="E216" s="13">
        <v>42848.463136574072</v>
      </c>
      <c r="F216" s="13">
        <v>42848.464606481481</v>
      </c>
      <c r="G216" s="7">
        <v>1</v>
      </c>
      <c r="H216" s="21" t="s">
        <v>999</v>
      </c>
      <c r="I216" s="13">
        <v>42848.465636574074</v>
      </c>
      <c r="J216" s="7">
        <v>0</v>
      </c>
      <c r="K216" s="92" t="str">
        <f t="shared" si="139"/>
        <v>4027/4028</v>
      </c>
      <c r="L216" s="21" t="str">
        <f>VLOOKUP(A216,'Trips&amp;Operators'!$C$1:$G$99999,5,FALSE)</f>
        <v>LOPES KIMBERLY</v>
      </c>
      <c r="M216" s="6">
        <f t="shared" si="140"/>
        <v>1.0300925932824612E-3</v>
      </c>
      <c r="N216" s="7">
        <f t="shared" si="137"/>
        <v>1.4833333343267441</v>
      </c>
      <c r="O216" s="7"/>
      <c r="P216" s="7"/>
      <c r="Q216" s="22"/>
      <c r="R216" s="200"/>
      <c r="S216" s="206">
        <f t="shared" si="138"/>
        <v>0</v>
      </c>
      <c r="T216" s="200" t="e">
        <f t="shared" si="141"/>
        <v>#VALUE!</v>
      </c>
      <c r="U216" s="200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201" t="str">
        <f t="shared" si="142"/>
        <v>https://d0f6bd738d7f1b3e5a7ca70fe4ff75f0.us-east-1.aws.found.io/app/kibana#/discover/Steve-Slow-Train-Analysis-(2080s-and-2083s)?_g=(refreshInterval:(display:Off,pause:!f,section:0,value:0),time:(from:'2017-04-23T10:06:55-0600',mode:absolute,to:'2017-04-23T12:10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6" s="202" t="str">
        <f t="shared" si="143"/>
        <v>Y</v>
      </c>
      <c r="X216" s="202" t="e">
        <f t="shared" si="124"/>
        <v>#VALUE!</v>
      </c>
      <c r="Y216" s="202">
        <f t="shared" si="144"/>
        <v>0.3155</v>
      </c>
      <c r="Z216" s="202">
        <f t="shared" si="145"/>
        <v>0.1148</v>
      </c>
      <c r="AA216" s="202">
        <f t="shared" si="146"/>
        <v>0.20069999999999999</v>
      </c>
      <c r="AB216" s="57" t="e">
        <f>VLOOKUP(A216,Enforcements!$C$7:$K$13,8,0)</f>
        <v>#N/A</v>
      </c>
      <c r="AC216" s="53" t="e">
        <f>VLOOKUP(A216,Enforcements!$C$7:$E$13,3,0)</f>
        <v>#N/A</v>
      </c>
      <c r="AD216" s="54" t="str">
        <f t="shared" si="147"/>
        <v>57-23</v>
      </c>
      <c r="AE216" s="80" t="str">
        <f t="shared" si="148"/>
        <v>aws s3 cp s3://rtdc.mdm.uploadarchive.raw/RTDC4027/ "%USERPROFILE%\AppData\Local\Temp\OnboardLogs"\RTDC4027\2017-04-23 --exclude "*" --recursive --include "*20170423*" &amp; "%USERPROFILE%\Documents\GitHub\mrs-test-scripts\Headless Mode &amp; Sideloading\WalkAndUnGZ.bat" "%USERPROFILE%\AppData\Local\Temp\OnboardLogs"\RTDC4027\2017-04-23 &amp; aws s3 cp s3://rtdc.mdm.uploadarchive.raw/RTDC4027/ "%USERPROFILE%\AppData\Local\Temp\OnboardLogs"\RTDC4027\2017-04-24 --exclude "*" --recursive --include "*20170424*" &amp; "%USERPROFILE%\Documents\GitHub\mrs-test-scripts\Headless Mode &amp; Sideloading\WalkAndUnGZ.bat" "%USERPROFILE%\AppData\Local\Temp\OnboardLogs"\RTDC4027\2017-04-24</v>
      </c>
      <c r="AF216" s="77" t="str">
        <f t="shared" si="149"/>
        <v>"C:\Program Files (x86)\AstroGrep\AstroGrep.exe" /e /r /s /spath="%USERPROFILE%\AppData\Local\Temp\OnboardLogs" /stypes="app*4027*20170423*" /stext=" 17:.+((SYSTEM_STATE.+slice.+state.+changed )|(ment ac)|(multiple cpu faults)|(system.+state.+changed )|(\[timeout)|(PRM\|1\|D)|(kpr)|(kdp)|(\|lc)|(penalty))"</v>
      </c>
      <c r="AG216" s="1" t="str">
        <f t="shared" si="150"/>
        <v>Other</v>
      </c>
      <c r="AH216" s="81" t="str">
        <f t="shared" si="151"/>
        <v>"%USERPROFILE%\Documents\GitHub\eaglep3\Utilities\RefineRTDCRunTimes.py" --tripid 57-23 --locoid 4027 --swversion DE.1.0.9.0 --startMP 204:3155 --initTime 2017-04-23T11:06:55 --startdatetime 2017-04-23T11:09:02 --delay 1 --endMP 204:1148 --enddatetime 2017-04-23T11:10:31 --enforcementcount 0 &gt;&gt;C:\Users\stu\Documents\GitHub\eaglep3-reporting\EC\2017-04-23-refined-times.txt</v>
      </c>
      <c r="AI216" s="99" t="str">
        <f t="shared" si="152"/>
        <v>echo {"issue":{"subject":"","project_id":79,"tracker_id":40,"status_id":1,"priority_id":2,"assigned_to_id":23,"start_date":"2017-04-23","description":"","custom_fields":[{"id":1,"name":"Subdivision","value":"Other"},{"id":4,"name":"Milepost","value":"0.1148"},{"id":17,"name":"Train ID","value":"57-23"},{"id":16,"name":"Locomotive ID","value":"4027"},{"id":130,"name":"Impact","value":""},{"id":150,"name":"Time of Event (Mountain Time)","value":"11:10:31"},{"id":151,"name":"Denver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5" t="str">
        <f t="shared" si="153"/>
        <v>start /low /b %USERPROFILE%\Documents\GitHub\eaglep3\Utilities\DownloadLogsFromS3.py --loco 4027 --day 2017-04-23</v>
      </c>
      <c r="AN216" s="154" t="str">
        <f t="shared" si="154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17:10:31"},{"id":29,"name":"Sharepoint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2" t="s">
        <v>711</v>
      </c>
      <c r="B217" s="7">
        <v>4028</v>
      </c>
      <c r="C217" s="21" t="s">
        <v>213</v>
      </c>
      <c r="D217" s="21" t="s">
        <v>1000</v>
      </c>
      <c r="E217" s="13">
        <v>42848.457453703704</v>
      </c>
      <c r="F217" s="13">
        <v>42848.464606481481</v>
      </c>
      <c r="G217" s="7">
        <v>1</v>
      </c>
      <c r="H217" s="21" t="s">
        <v>1001</v>
      </c>
      <c r="I217" s="13">
        <v>42848.465636574074</v>
      </c>
      <c r="J217" s="7">
        <v>0</v>
      </c>
      <c r="K217" s="92" t="str">
        <f t="shared" si="139"/>
        <v>4027/4028</v>
      </c>
      <c r="L217" s="21" t="str">
        <f>VLOOKUP(A217,'Trips&amp;Operators'!$C$1:$G$99999,5,FALSE)</f>
        <v>LOPES KIMBERLY</v>
      </c>
      <c r="M217" s="6">
        <f t="shared" si="140"/>
        <v>1.0300925932824612E-3</v>
      </c>
      <c r="N217" s="7">
        <f t="shared" si="137"/>
        <v>1.4833333343267441</v>
      </c>
      <c r="O217" s="7"/>
      <c r="P217" s="7"/>
      <c r="Q217" s="22"/>
      <c r="R217" s="200"/>
      <c r="S217" s="206">
        <f t="shared" si="138"/>
        <v>0</v>
      </c>
      <c r="T217" s="200" t="e">
        <f t="shared" si="141"/>
        <v>#VALUE!</v>
      </c>
      <c r="U217" s="200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201" t="str">
        <f t="shared" si="142"/>
        <v>https://d0f6bd738d7f1b3e5a7ca70fe4ff75f0.us-east-1.aws.found.io/app/kibana#/discover/Steve-Slow-Train-Analysis-(2080s-and-2083s)?_g=(refreshInterval:(display:Off,pause:!f,section:0,value:0),time:(from:'2017-04-23T09:58:44-0600',mode:absolute,to:'2017-04-23T12:10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7" s="202" t="str">
        <f t="shared" si="143"/>
        <v>Y</v>
      </c>
      <c r="X217" s="202" t="e">
        <f t="shared" si="124"/>
        <v>#VALUE!</v>
      </c>
      <c r="Y217" s="202">
        <f t="shared" si="144"/>
        <v>3.4200000000000001E-2</v>
      </c>
      <c r="Z217" s="202">
        <f t="shared" si="145"/>
        <v>0.34710000000000002</v>
      </c>
      <c r="AA217" s="202">
        <f t="shared" si="146"/>
        <v>0.31290000000000001</v>
      </c>
      <c r="AB217" s="57" t="e">
        <f>VLOOKUP(A217,Enforcements!$C$7:$K$13,8,0)</f>
        <v>#N/A</v>
      </c>
      <c r="AC217" s="53" t="e">
        <f>VLOOKUP(A217,Enforcements!$C$7:$E$13,3,0)</f>
        <v>#N/A</v>
      </c>
      <c r="AD217" s="54" t="str">
        <f t="shared" si="147"/>
        <v>57-23</v>
      </c>
      <c r="AE217" s="80" t="str">
        <f t="shared" si="148"/>
        <v>aws s3 cp s3://rtdc.mdm.uploadarchive.raw/RTDC4028/ "%USERPROFILE%\AppData\Local\Temp\OnboardLogs"\RTDC4028\2017-04-23 --exclude "*" --recursive --include "*20170423*" &amp; "%USERPROFILE%\Documents\GitHub\mrs-test-scripts\Headless Mode &amp; Sideloading\WalkAndUnGZ.bat" "%USERPROFILE%\AppData\Local\Temp\OnboardLogs"\RTDC4028\2017-04-23 &amp; aws s3 cp s3://rtdc.mdm.uploadarchive.raw/RTDC4028/ "%USERPROFILE%\AppData\Local\Temp\OnboardLogs"\RTDC4028\2017-04-24 --exclude "*" --recursive --include "*20170424*" &amp; "%USERPROFILE%\Documents\GitHub\mrs-test-scripts\Headless Mode &amp; Sideloading\WalkAndUnGZ.bat" "%USERPROFILE%\AppData\Local\Temp\OnboardLogs"\RTDC4028\2017-04-24</v>
      </c>
      <c r="AF217" s="77" t="str">
        <f t="shared" si="149"/>
        <v>"C:\Program Files (x86)\AstroGrep\AstroGrep.exe" /e /r /s /spath="%USERPROFILE%\AppData\Local\Temp\OnboardLogs" /stypes="app*4028*20170423*" /stext=" 17:.+((SYSTEM_STATE.+slice.+state.+changed )|(ment ac)|(multiple cpu faults)|(system.+state.+changed )|(\[timeout)|(PRM\|1\|D)|(kpr)|(kdp)|(\|lc)|(penalty))"</v>
      </c>
      <c r="AG217" s="1" t="str">
        <f t="shared" si="150"/>
        <v>Other</v>
      </c>
      <c r="AH217" s="81" t="str">
        <f t="shared" si="151"/>
        <v>"%USERPROFILE%\Documents\GitHub\eaglep3\Utilities\RefineRTDCRunTimes.py" --tripid 57-23 --locoid 4028 --swversion DE.1.0.9.0 --startMP 204:342 --initTime 2017-04-23T10:58:44 --startdatetime 2017-04-23T11:09:02 --delay 1 --endMP 204:3471 --enddatetime 2017-04-23T11:10:31 --enforcementcount 0 &gt;&gt;C:\Users\stu\Documents\GitHub\eaglep3-reporting\EC\2017-04-23-refined-times.txt</v>
      </c>
      <c r="AI217" s="99" t="str">
        <f t="shared" si="152"/>
        <v>echo {"issue":{"subject":"","project_id":79,"tracker_id":40,"status_id":1,"priority_id":2,"assigned_to_id":23,"start_date":"2017-04-23","description":"","custom_fields":[{"id":1,"name":"Subdivision","value":"Other"},{"id":4,"name":"Milepost","value":"0.3471"},{"id":17,"name":"Train ID","value":"57-23"},{"id":16,"name":"Locomotive ID","value":"4028"},{"id":130,"name":"Impact","value":""},{"id":150,"name":"Time of Event (Mountain Time)","value":"11:10:31"},{"id":151,"name":"Denver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5" t="str">
        <f t="shared" si="153"/>
        <v>start /low /b %USERPROFILE%\Documents\GitHub\eaglep3\Utilities\DownloadLogsFromS3.py --loco 4028 --day 2017-04-23</v>
      </c>
      <c r="AN217" s="154" t="str">
        <f t="shared" si="154"/>
        <v>echo {"issue":{"subject":"","project_id":30,"tracker_id":4,"status_id":1,"priority_id":1,"assigned_to_id":10,"start_date":"2017-04-23","description":"","custom_fields":[{"id":30,"name":"Category","value":"Issue"},{"id":3,"name":"Functional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UTC","value":"2017-04-23 17:10:31"},{"id":29,"name":"Sharepoint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V218" s="177"/>
      <c r="W218" s="177"/>
      <c r="X218" s="177"/>
      <c r="Y218" s="177"/>
      <c r="Z218" s="177"/>
      <c r="AA218" s="177"/>
      <c r="AB218"/>
      <c r="AC218"/>
      <c r="AD218"/>
      <c r="AE218"/>
      <c r="AF218"/>
      <c r="AH218"/>
      <c r="AI218"/>
      <c r="AM218"/>
    </row>
    <row r="219" spans="1:40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V219" s="177"/>
      <c r="W219" s="177"/>
      <c r="X219" s="177"/>
      <c r="Y219" s="177"/>
      <c r="Z219" s="177"/>
      <c r="AA219" s="177"/>
      <c r="AB219"/>
      <c r="AC219"/>
      <c r="AD219"/>
      <c r="AE219"/>
      <c r="AF219"/>
      <c r="AH219"/>
      <c r="AI219"/>
      <c r="AM219"/>
    </row>
    <row r="220" spans="1:40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V220" s="177"/>
      <c r="W220" s="177"/>
      <c r="X220" s="177"/>
      <c r="Y220" s="177"/>
      <c r="Z220" s="177"/>
      <c r="AA220" s="177"/>
      <c r="AB220"/>
      <c r="AC220"/>
      <c r="AD220"/>
      <c r="AE220"/>
      <c r="AF220"/>
      <c r="AH220"/>
      <c r="AI220"/>
      <c r="AM220"/>
    </row>
    <row r="221" spans="1:40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V221" s="177"/>
      <c r="W221" s="177"/>
      <c r="X221" s="177"/>
      <c r="Y221" s="177"/>
      <c r="Z221" s="177"/>
      <c r="AA221" s="177"/>
      <c r="AB221"/>
      <c r="AC221"/>
      <c r="AD221"/>
      <c r="AE221"/>
      <c r="AF221"/>
      <c r="AH221"/>
      <c r="AI221"/>
      <c r="AM221"/>
    </row>
    <row r="222" spans="1:40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V222" s="177"/>
      <c r="W222" s="177"/>
      <c r="X222" s="177"/>
      <c r="Y222" s="177"/>
      <c r="Z222" s="177"/>
      <c r="AA222" s="177"/>
      <c r="AB222"/>
      <c r="AC222"/>
      <c r="AD222"/>
      <c r="AE222"/>
      <c r="AF222"/>
      <c r="AH222"/>
      <c r="AI222"/>
      <c r="AM222"/>
    </row>
    <row r="223" spans="1:40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V223" s="177"/>
      <c r="W223" s="177"/>
      <c r="X223" s="177"/>
      <c r="Y223" s="177"/>
      <c r="Z223" s="177"/>
      <c r="AA223" s="177"/>
      <c r="AB223"/>
      <c r="AC223"/>
      <c r="AD223"/>
      <c r="AE223"/>
      <c r="AF223"/>
      <c r="AH223"/>
      <c r="AI223"/>
      <c r="AM223"/>
    </row>
    <row r="224" spans="1:40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V224" s="177"/>
      <c r="W224" s="177"/>
      <c r="X224" s="177"/>
      <c r="Y224" s="177"/>
      <c r="Z224" s="177"/>
      <c r="AA224" s="177"/>
      <c r="AB224"/>
      <c r="AC224"/>
      <c r="AD224"/>
      <c r="AE224"/>
      <c r="AF224"/>
      <c r="AH224"/>
      <c r="AI224"/>
      <c r="AM224"/>
    </row>
    <row r="225" spans="1:40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V225" s="177"/>
      <c r="W225" s="177"/>
      <c r="X225" s="177"/>
      <c r="Y225" s="177"/>
      <c r="Z225" s="177"/>
      <c r="AA225" s="177"/>
      <c r="AB225"/>
      <c r="AC225"/>
      <c r="AD225"/>
      <c r="AE225"/>
      <c r="AF225"/>
      <c r="AH225"/>
      <c r="AI225"/>
      <c r="AM225"/>
    </row>
    <row r="226" spans="1:40" s="20" customForma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 s="177"/>
      <c r="S226" s="204"/>
      <c r="T226" s="177"/>
      <c r="U226" s="177"/>
      <c r="V226" s="177"/>
      <c r="W226" s="177"/>
      <c r="X226" s="177"/>
      <c r="Y226" s="177"/>
      <c r="Z226" s="177"/>
      <c r="AA226" s="177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</row>
    <row r="227" spans="1:40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V227" s="177"/>
      <c r="W227" s="177"/>
      <c r="X227" s="177"/>
      <c r="Y227" s="177"/>
      <c r="Z227" s="177"/>
      <c r="AA227" s="177"/>
      <c r="AB227"/>
      <c r="AC227"/>
      <c r="AD227"/>
      <c r="AE227"/>
      <c r="AF227"/>
      <c r="AH227"/>
      <c r="AI227"/>
      <c r="AM227"/>
    </row>
    <row r="228" spans="1:40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V228" s="177"/>
      <c r="W228" s="177"/>
      <c r="X228" s="177"/>
      <c r="Y228" s="177"/>
      <c r="Z228" s="177"/>
      <c r="AA228" s="177"/>
      <c r="AB228"/>
      <c r="AC228"/>
      <c r="AD228"/>
      <c r="AE228"/>
      <c r="AF228"/>
      <c r="AH228"/>
      <c r="AI228"/>
      <c r="AM228"/>
    </row>
    <row r="229" spans="1:40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V229" s="177"/>
      <c r="W229" s="177"/>
      <c r="X229" s="177"/>
      <c r="Y229" s="177"/>
      <c r="Z229" s="177"/>
      <c r="AA229" s="177"/>
      <c r="AB229"/>
      <c r="AC229"/>
      <c r="AD229"/>
      <c r="AE229"/>
      <c r="AF229"/>
      <c r="AH229"/>
      <c r="AI229"/>
      <c r="AM229"/>
    </row>
    <row r="230" spans="1:40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V230" s="177"/>
      <c r="W230" s="177"/>
      <c r="X230" s="177"/>
      <c r="Y230" s="177"/>
      <c r="Z230" s="177"/>
      <c r="AA230" s="177"/>
      <c r="AB230"/>
      <c r="AC230"/>
      <c r="AD230"/>
      <c r="AE230"/>
      <c r="AF230"/>
      <c r="AH230"/>
      <c r="AI230"/>
      <c r="AM230"/>
    </row>
    <row r="231" spans="1:40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V231" s="177"/>
      <c r="W231" s="177"/>
      <c r="X231" s="177"/>
      <c r="Y231" s="177"/>
      <c r="Z231" s="177"/>
      <c r="AA231" s="177"/>
      <c r="AB231"/>
      <c r="AC231"/>
      <c r="AD231"/>
      <c r="AE231"/>
      <c r="AF231"/>
      <c r="AH231"/>
      <c r="AI231"/>
      <c r="AM231"/>
    </row>
    <row r="232" spans="1:40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V232" s="177"/>
      <c r="W232" s="177"/>
      <c r="X232" s="177"/>
      <c r="Y232" s="177"/>
      <c r="Z232" s="177"/>
      <c r="AA232" s="177"/>
      <c r="AB232"/>
      <c r="AC232"/>
      <c r="AD232"/>
      <c r="AE232"/>
      <c r="AF232"/>
      <c r="AH232"/>
      <c r="AI232"/>
      <c r="AM232"/>
    </row>
    <row r="233" spans="1:40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V233" s="177"/>
      <c r="W233" s="177"/>
      <c r="X233" s="177"/>
      <c r="Y233" s="177"/>
      <c r="Z233" s="177"/>
      <c r="AA233" s="177"/>
      <c r="AB233"/>
      <c r="AC233"/>
      <c r="AD233"/>
      <c r="AE233"/>
      <c r="AF233"/>
      <c r="AH233"/>
      <c r="AI233"/>
      <c r="AM233"/>
    </row>
    <row r="234" spans="1:40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V234" s="177"/>
      <c r="W234" s="177"/>
      <c r="X234" s="177"/>
      <c r="Y234" s="177"/>
      <c r="Z234" s="177"/>
      <c r="AA234" s="177"/>
      <c r="AB234"/>
      <c r="AC234"/>
      <c r="AD234"/>
      <c r="AE234"/>
      <c r="AF234"/>
      <c r="AH234"/>
      <c r="AI234"/>
      <c r="AM234"/>
    </row>
    <row r="235" spans="1:40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V235" s="177"/>
      <c r="W235" s="177"/>
      <c r="X235" s="177"/>
      <c r="Y235" s="177"/>
      <c r="Z235" s="177"/>
      <c r="AA235" s="177"/>
      <c r="AB235"/>
      <c r="AC235"/>
      <c r="AD235"/>
      <c r="AE235"/>
      <c r="AF235"/>
      <c r="AH235"/>
      <c r="AI235"/>
      <c r="AM235"/>
    </row>
    <row r="236" spans="1:40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V236" s="177"/>
      <c r="W236" s="177"/>
      <c r="X236" s="177"/>
      <c r="Y236" s="177"/>
      <c r="Z236" s="177"/>
      <c r="AA236" s="177"/>
      <c r="AB236"/>
      <c r="AC236"/>
      <c r="AD236"/>
      <c r="AE236"/>
      <c r="AF236"/>
      <c r="AH236"/>
      <c r="AI236"/>
      <c r="AM236"/>
    </row>
    <row r="237" spans="1:40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V237" s="177"/>
      <c r="W237" s="177"/>
      <c r="X237" s="177"/>
      <c r="Y237" s="177"/>
      <c r="Z237" s="177"/>
      <c r="AA237" s="177"/>
      <c r="AB237"/>
      <c r="AC237"/>
      <c r="AD237"/>
      <c r="AE237"/>
      <c r="AF237"/>
      <c r="AH237"/>
      <c r="AI237"/>
      <c r="AM237"/>
    </row>
    <row r="238" spans="1:4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V238" s="177"/>
      <c r="W238" s="177"/>
      <c r="X238" s="177"/>
      <c r="Y238" s="177"/>
      <c r="Z238" s="177"/>
      <c r="AA238" s="177"/>
      <c r="AB238"/>
      <c r="AC238"/>
      <c r="AD238"/>
      <c r="AE238"/>
      <c r="AF238"/>
      <c r="AH238"/>
      <c r="AI238"/>
      <c r="AM238"/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V239" s="177"/>
      <c r="W239" s="177"/>
      <c r="X239" s="177"/>
      <c r="Y239" s="177"/>
      <c r="Z239" s="177"/>
      <c r="AA239" s="177"/>
      <c r="AB239"/>
      <c r="AC239"/>
      <c r="AD239"/>
      <c r="AE239"/>
      <c r="AF239"/>
      <c r="AH239"/>
      <c r="AI239"/>
      <c r="AM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V240" s="177"/>
      <c r="W240" s="177"/>
      <c r="X240" s="177"/>
      <c r="Y240" s="177"/>
      <c r="Z240" s="177"/>
      <c r="AA240" s="177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V241" s="177"/>
      <c r="W241" s="177"/>
      <c r="X241" s="177"/>
      <c r="Y241" s="177"/>
      <c r="Z241" s="177"/>
      <c r="AA241" s="177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V242" s="177"/>
      <c r="W242" s="177"/>
      <c r="X242" s="177"/>
      <c r="Y242" s="177"/>
      <c r="Z242" s="177"/>
      <c r="AA242" s="177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V243" s="177"/>
      <c r="W243" s="177"/>
      <c r="X243" s="177"/>
      <c r="Y243" s="177"/>
      <c r="Z243" s="177"/>
      <c r="AA243" s="177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V244" s="177"/>
      <c r="W244" s="177"/>
      <c r="X244" s="177"/>
      <c r="Y244" s="177"/>
      <c r="Z244" s="177"/>
      <c r="AA244" s="177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V245" s="177"/>
      <c r="W245" s="177"/>
      <c r="X245" s="177"/>
      <c r="Y245" s="177"/>
      <c r="Z245" s="177"/>
      <c r="AA245" s="177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V246" s="177"/>
      <c r="W246" s="177"/>
      <c r="X246" s="177"/>
      <c r="Y246" s="177"/>
      <c r="Z246" s="177"/>
      <c r="AA246" s="177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V247" s="177"/>
      <c r="W247" s="177"/>
      <c r="X247" s="177"/>
      <c r="Y247" s="177"/>
      <c r="Z247" s="177"/>
      <c r="AA247" s="17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V248" s="177"/>
      <c r="W248" s="177"/>
      <c r="X248" s="177"/>
      <c r="Y248" s="177"/>
      <c r="Z248" s="177"/>
      <c r="AA248" s="177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V249" s="177"/>
      <c r="W249" s="177"/>
      <c r="X249" s="177"/>
      <c r="Y249" s="177"/>
      <c r="Z249" s="177"/>
      <c r="AA249" s="177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V250" s="177"/>
      <c r="W250" s="177"/>
      <c r="X250" s="177"/>
      <c r="Y250" s="177"/>
      <c r="Z250" s="177"/>
      <c r="AA250" s="177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V251" s="177"/>
      <c r="W251" s="177"/>
      <c r="X251" s="177"/>
      <c r="Y251" s="177"/>
      <c r="Z251" s="177"/>
      <c r="AA251" s="177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V252" s="177"/>
      <c r="W252" s="177"/>
      <c r="X252" s="177"/>
      <c r="Y252" s="177"/>
      <c r="Z252" s="177"/>
      <c r="AA252" s="177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V253" s="177"/>
      <c r="W253" s="177"/>
      <c r="X253" s="177"/>
      <c r="Y253" s="177"/>
      <c r="Z253" s="177"/>
      <c r="AA253" s="177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V254" s="177"/>
      <c r="W254" s="177"/>
      <c r="X254" s="177"/>
      <c r="Y254" s="177"/>
      <c r="Z254" s="177"/>
      <c r="AA254" s="177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V255" s="177"/>
      <c r="W255" s="177"/>
      <c r="X255" s="177"/>
      <c r="Y255" s="177"/>
      <c r="Z255" s="177"/>
      <c r="AA255" s="177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V256" s="177"/>
      <c r="W256" s="177"/>
      <c r="X256" s="177"/>
      <c r="Y256" s="177"/>
      <c r="Z256" s="177"/>
      <c r="AA256" s="177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V257" s="177"/>
      <c r="W257" s="177"/>
      <c r="X257" s="177"/>
      <c r="Y257" s="177"/>
      <c r="Z257" s="177"/>
      <c r="AA257" s="17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V258" s="177"/>
      <c r="W258" s="177"/>
      <c r="X258" s="177"/>
      <c r="Y258" s="177"/>
      <c r="Z258" s="177"/>
      <c r="AA258" s="177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V259" s="177"/>
      <c r="W259" s="177"/>
      <c r="X259" s="177"/>
      <c r="Y259" s="177"/>
      <c r="Z259" s="177"/>
      <c r="AA259" s="177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V260" s="177"/>
      <c r="W260" s="177"/>
      <c r="X260" s="177"/>
      <c r="Y260" s="177"/>
      <c r="Z260" s="177"/>
      <c r="AA260" s="177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V261" s="177"/>
      <c r="W261" s="177"/>
      <c r="X261" s="177"/>
      <c r="Y261" s="177"/>
      <c r="Z261" s="177"/>
      <c r="AA261" s="177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V262" s="177"/>
      <c r="W262" s="177"/>
      <c r="X262" s="177"/>
      <c r="Y262" s="177"/>
      <c r="Z262" s="177"/>
      <c r="AA262" s="177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V263" s="177"/>
      <c r="W263" s="177"/>
      <c r="X263" s="177"/>
      <c r="Y263" s="177"/>
      <c r="Z263" s="177"/>
      <c r="AA263" s="177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V264" s="177"/>
      <c r="W264" s="177"/>
      <c r="X264" s="177"/>
      <c r="Y264" s="177"/>
      <c r="Z264" s="177"/>
      <c r="AA264" s="177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V265" s="177"/>
      <c r="W265" s="177"/>
      <c r="X265" s="177"/>
      <c r="Y265" s="177"/>
      <c r="Z265" s="177"/>
      <c r="AA265" s="177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V266" s="177"/>
      <c r="W266" s="177"/>
      <c r="X266" s="177"/>
      <c r="Y266" s="177"/>
      <c r="Z266" s="177"/>
      <c r="AA266" s="177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V267" s="177"/>
      <c r="W267" s="177"/>
      <c r="X267" s="177"/>
      <c r="Y267" s="177"/>
      <c r="Z267" s="177"/>
      <c r="AA267" s="177"/>
      <c r="AB267"/>
      <c r="AC267"/>
      <c r="AD267"/>
      <c r="AE267"/>
      <c r="AF267"/>
      <c r="AH267"/>
      <c r="AI267"/>
      <c r="AM267"/>
    </row>
  </sheetData>
  <autoFilter ref="A12:AG261">
    <sortState ref="A13:AG256">
      <sortCondition ref="AG13:AG212"/>
      <sortCondition ref="AD13:AD212"/>
    </sortState>
  </autoFilter>
  <sortState ref="A13:AH200">
    <sortCondition ref="AG13:AG200"/>
    <sortCondition ref="AD13:AD200"/>
  </sortState>
  <mergeCells count="1">
    <mergeCell ref="A11:P11"/>
  </mergeCells>
  <conditionalFormatting sqref="W11:W12 W268:X1048576 W13:X162 W176:X217 W170:W175 W163 X163:X175">
    <cfRule type="cellIs" dxfId="41" priority="401" operator="equal">
      <formula>"Y"</formula>
    </cfRule>
  </conditionalFormatting>
  <conditionalFormatting sqref="X268:X1048576 X13:X217">
    <cfRule type="cellIs" dxfId="40" priority="384" operator="greaterThan">
      <formula>1</formula>
    </cfRule>
  </conditionalFormatting>
  <conditionalFormatting sqref="X268:X1048576 X12:X217">
    <cfRule type="cellIs" dxfId="39" priority="381" operator="equal">
      <formula>0</formula>
    </cfRule>
  </conditionalFormatting>
  <conditionalFormatting sqref="A13:S163 A170:S217">
    <cfRule type="expression" dxfId="38" priority="375" stopIfTrue="1">
      <formula>$P13&gt;0</formula>
    </cfRule>
    <cfRule type="expression" dxfId="37" priority="376" stopIfTrue="1">
      <formula>$O13&gt;0</formula>
    </cfRule>
  </conditionalFormatting>
  <conditionalFormatting sqref="W165:W169">
    <cfRule type="cellIs" dxfId="34" priority="27" operator="equal">
      <formula>"Y"</formula>
    </cfRule>
  </conditionalFormatting>
  <conditionalFormatting sqref="A165:Q165 A166:A169 C166:Q169 S165:S169">
    <cfRule type="expression" dxfId="31" priority="22" stopIfTrue="1">
      <formula>$P165&gt;0</formula>
    </cfRule>
    <cfRule type="expression" dxfId="30" priority="23" stopIfTrue="1">
      <formula>$O165&gt;0</formula>
    </cfRule>
  </conditionalFormatting>
  <conditionalFormatting sqref="B168:B169">
    <cfRule type="expression" dxfId="27" priority="18" stopIfTrue="1">
      <formula>$P168&gt;0</formula>
    </cfRule>
    <cfRule type="expression" dxfId="26" priority="19" stopIfTrue="1">
      <formula>$O168&gt;0</formula>
    </cfRule>
  </conditionalFormatting>
  <conditionalFormatting sqref="B166:B167">
    <cfRule type="expression" dxfId="23" priority="14" stopIfTrue="1">
      <formula>$P166&gt;0</formula>
    </cfRule>
    <cfRule type="expression" dxfId="22" priority="15" stopIfTrue="1">
      <formula>$O166&gt;0</formula>
    </cfRule>
  </conditionalFormatting>
  <conditionalFormatting sqref="W164">
    <cfRule type="cellIs" dxfId="12" priority="9" operator="equal">
      <formula>"Y"</formula>
    </cfRule>
  </conditionalFormatting>
  <conditionalFormatting sqref="A164:Q164 S164">
    <cfRule type="expression" dxfId="11" priority="6" stopIfTrue="1">
      <formula>$P164&gt;0</formula>
    </cfRule>
    <cfRule type="expression" dxfId="10" priority="7" stopIfTrue="1">
      <formula>$O164&gt;0</formula>
    </cfRule>
  </conditionalFormatting>
  <conditionalFormatting sqref="R164:R169">
    <cfRule type="expression" dxfId="7" priority="2" stopIfTrue="1">
      <formula>$P164&gt;0</formula>
    </cfRule>
    <cfRule type="expression" dxfId="6" priority="3" stopIfTrue="1">
      <formula>$O164&gt;0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77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A13:S163 A170:S217</xm:sqref>
        </x14:conditionalFormatting>
        <x14:conditionalFormatting xmlns:xm="http://schemas.microsoft.com/office/excel/2006/main">
          <x14:cfRule type="expression" priority="60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A13:S163 A170:S217</xm:sqref>
        </x14:conditionalFormatting>
        <x14:conditionalFormatting xmlns:xm="http://schemas.microsoft.com/office/excel/2006/main">
          <x14:cfRule type="expression" priority="24" stopIfTrue="1" id="{28FBF8C2-9CE9-46D5-8289-8A56CF0525FE}">
            <xm:f>IF($AG165="EC",OR($N165&gt;Variables!$C$2,$N165&lt;Variables!$C$5),OR($N165&gt;Variables!$D$2,$N165&lt;Variables!$D$5))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A165:Q165 A166:A169 C166:Q169 S165:S169</xm:sqref>
        </x14:conditionalFormatting>
        <x14:conditionalFormatting xmlns:xm="http://schemas.microsoft.com/office/excel/2006/main">
          <x14:cfRule type="expression" priority="21" stopIfTrue="1" id="{0A7EA697-F468-4979-BAA8-0BDB79C44C63}">
            <xm:f>IF($AG165="EC",OR($N165&gt;Variables!#REF!,$N165&lt;Variables!#REF!),OR($N165&gt;Variables!#REF!,$N165&lt;Variables!#REF!))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A165:Q165 A166:A169 C166:Q169 S165:S169</xm:sqref>
        </x14:conditionalFormatting>
        <x14:conditionalFormatting xmlns:xm="http://schemas.microsoft.com/office/excel/2006/main">
          <x14:cfRule type="expression" priority="20" stopIfTrue="1" id="{E9D3A63F-B438-4C47-A2C6-BB9B541ED5A9}">
            <xm:f>IF($AG168="EC",OR($N168&gt;Variables!$C$2,$N168&lt;Variables!$C$5),OR($N168&gt;Variables!$D$2,$N168&lt;Variables!$D$5))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B168:B169</xm:sqref>
        </x14:conditionalFormatting>
        <x14:conditionalFormatting xmlns:xm="http://schemas.microsoft.com/office/excel/2006/main">
          <x14:cfRule type="expression" priority="17" stopIfTrue="1" id="{B786664A-3014-4DDD-84F9-E69257373195}">
            <xm:f>IF($AG168="EC",OR($N168&gt;Variables!#REF!,$N168&lt;Variables!#REF!),OR($N168&gt;Variables!#REF!,$N168&lt;Variables!#REF!))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B168:B169</xm:sqref>
        </x14:conditionalFormatting>
        <x14:conditionalFormatting xmlns:xm="http://schemas.microsoft.com/office/excel/2006/main">
          <x14:cfRule type="expression" priority="16" stopIfTrue="1" id="{4C4DAC4F-D364-426F-AED5-72E81A20A553}">
            <xm:f>IF($AG166="EC",OR($N166&gt;Variables!$C$2,$N166&lt;Variables!$C$5),OR($N166&gt;Variables!$D$2,$N166&lt;Variables!$D$5))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B166:B167</xm:sqref>
        </x14:conditionalFormatting>
        <x14:conditionalFormatting xmlns:xm="http://schemas.microsoft.com/office/excel/2006/main">
          <x14:cfRule type="expression" priority="13" stopIfTrue="1" id="{3E4CD6E9-874E-4B0D-B31C-73C2F8ACE055}">
            <xm:f>IF($AG166="EC",OR($N166&gt;Variables!#REF!,$N166&lt;Variables!#REF!),OR($N166&gt;Variables!#REF!,$N166&lt;Variables!#REF!))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B166:B167</xm:sqref>
        </x14:conditionalFormatting>
        <x14:conditionalFormatting xmlns:xm="http://schemas.microsoft.com/office/excel/2006/main">
          <x14:cfRule type="expression" priority="8" stopIfTrue="1" id="{74789766-2464-4AD8-8114-38A113E9370D}">
            <xm:f>IF($AG164="EC",OR($N164&gt;Variables!$C$2,$N164&lt;Variables!$C$5),OR($N164&gt;Variables!$D$2,$N164&lt;Variables!$D$5))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A164:Q164 S164</xm:sqref>
        </x14:conditionalFormatting>
        <x14:conditionalFormatting xmlns:xm="http://schemas.microsoft.com/office/excel/2006/main">
          <x14:cfRule type="expression" priority="5" stopIfTrue="1" id="{F93B9B90-FADF-4C89-900D-C553FFFF71BE}">
            <xm:f>IF($AG164="EC",OR($N164&gt;Variables!#REF!,$N164&lt;Variables!#REF!),OR($N164&gt;Variables!#REF!,$N164&lt;Variables!#REF!))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A164:Q164 S164</xm:sqref>
        </x14:conditionalFormatting>
        <x14:conditionalFormatting xmlns:xm="http://schemas.microsoft.com/office/excel/2006/main">
          <x14:cfRule type="expression" priority="4" stopIfTrue="1" id="{A6094FCC-6EAA-4085-9453-66AB2324327E}">
            <xm:f>IF($AG164="EC",OR($N164&gt;Variables!$C$2,$N164&lt;Variables!$C$5),OR($N164&gt;Variables!$D$2,$N164&lt;Variables!$D$5))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R164:R169</xm:sqref>
        </x14:conditionalFormatting>
        <x14:conditionalFormatting xmlns:xm="http://schemas.microsoft.com/office/excel/2006/main">
          <x14:cfRule type="expression" priority="1" stopIfTrue="1" id="{BB77C2F0-A2E7-4876-825B-0ABC4249562A}">
            <xm:f>IF($AG164="EC",OR($N164&gt;Variables!#REF!,$N164&lt;Variables!#REF!),OR($N164&gt;Variables!#REF!,$N164&lt;Variables!#REF!))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R164:R169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AK13:AK217</xm:sqref>
        </x14:dataValidation>
        <x14:dataValidation type="list" allowBlank="1" showInputMessage="1" showErrorMessage="1">
          <x14:formula1>
            <xm:f>'Redmine List Values'!$C$2:$C$15</xm:f>
          </x14:formula1>
          <xm:sqref>AL13:AL217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6"/>
  <sheetViews>
    <sheetView topLeftCell="A2" zoomScaleNormal="100" workbookViewId="0">
      <selection activeCell="K14" sqref="K14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2.85546875" style="116" customWidth="1"/>
    <col min="5" max="5" width="17.7109375" style="116" customWidth="1"/>
    <col min="6" max="6" width="5.7109375" style="116" customWidth="1"/>
    <col min="7" max="7" width="5.85546875" style="116" customWidth="1"/>
    <col min="8" max="8" width="7.85546875" style="116" customWidth="1"/>
    <col min="9" max="9" width="9" style="116" customWidth="1"/>
    <col min="10" max="10" width="11.5703125" style="116" hidden="1" customWidth="1"/>
    <col min="11" max="11" width="9.140625" style="116" customWidth="1"/>
    <col min="12" max="12" width="13.85546875" style="116" customWidth="1"/>
    <col min="13" max="13" width="7.85546875" style="2" customWidth="1"/>
    <col min="14" max="14" width="14.28515625" style="115" customWidth="1"/>
    <col min="15" max="15" width="4.42578125" style="157" customWidth="1"/>
    <col min="16" max="16" width="24.140625" style="116" customWidth="1"/>
    <col min="17" max="17" width="5" hidden="1" customWidth="1"/>
    <col min="18" max="18" width="5.5703125" style="78" customWidth="1"/>
    <col min="19" max="19" width="5.5703125" style="85" customWidth="1"/>
    <col min="20" max="20" width="6" style="75" customWidth="1"/>
    <col min="21" max="21" width="5.140625" customWidth="1"/>
    <col min="22" max="22" width="18.5703125" style="43" customWidth="1"/>
    <col min="23" max="23" width="5.28515625" customWidth="1"/>
    <col min="24" max="24" width="6.7109375" hidden="1" customWidth="1"/>
    <col min="25" max="25" width="5" customWidth="1"/>
    <col min="26" max="26" width="5" style="167" customWidth="1"/>
    <col min="27" max="27" width="5.28515625" customWidth="1"/>
    <col min="28" max="28" width="5.5703125" customWidth="1"/>
    <col min="29" max="29" width="5.28515625" style="118" customWidth="1"/>
    <col min="30" max="30" width="6.7109375" customWidth="1"/>
    <col min="31" max="31" width="9.140625" style="145"/>
  </cols>
  <sheetData>
    <row r="1" spans="1:32" s="20" customFormat="1" ht="15.75" hidden="1" thickBot="1" x14ac:dyDescent="0.3">
      <c r="A1" s="8"/>
      <c r="D1" s="116"/>
      <c r="E1" s="116"/>
      <c r="F1" s="116"/>
      <c r="G1" s="116"/>
      <c r="H1" s="116"/>
      <c r="I1" s="116"/>
      <c r="J1" s="116"/>
      <c r="K1" s="116"/>
      <c r="L1" s="116"/>
      <c r="M1" s="2"/>
      <c r="N1" s="115"/>
      <c r="O1" s="157"/>
      <c r="P1" s="116"/>
      <c r="R1" s="78"/>
      <c r="S1" s="85"/>
      <c r="T1" s="75"/>
      <c r="V1" s="43"/>
      <c r="Z1" s="167"/>
      <c r="AC1" s="118"/>
      <c r="AE1" s="145"/>
    </row>
    <row r="2" spans="1:32" s="20" customFormat="1" x14ac:dyDescent="0.25">
      <c r="A2" s="8"/>
      <c r="D2" s="116"/>
      <c r="E2" s="116"/>
      <c r="F2" s="116"/>
      <c r="G2" s="116"/>
      <c r="H2" s="116"/>
      <c r="I2" s="116"/>
      <c r="J2" s="116"/>
      <c r="K2" s="116"/>
      <c r="L2" s="127" t="s">
        <v>80</v>
      </c>
      <c r="M2" s="111"/>
      <c r="N2" s="128"/>
      <c r="O2" s="161">
        <f>COUNTIF($O$7:$O$294,"=Y")</f>
        <v>4</v>
      </c>
      <c r="P2" s="113"/>
      <c r="R2" s="78"/>
      <c r="S2" s="85"/>
      <c r="T2" s="75"/>
      <c r="V2" s="43"/>
      <c r="Z2" s="167"/>
      <c r="AC2" s="119"/>
      <c r="AE2" s="145"/>
    </row>
    <row r="3" spans="1:32" s="20" customFormat="1" ht="15.75" thickBot="1" x14ac:dyDescent="0.3">
      <c r="A3" s="8"/>
      <c r="D3" s="116"/>
      <c r="E3" s="116"/>
      <c r="F3" s="116"/>
      <c r="G3" s="116"/>
      <c r="H3" s="116"/>
      <c r="I3" s="116"/>
      <c r="J3" s="116"/>
      <c r="K3" s="116"/>
      <c r="L3" s="129" t="s">
        <v>81</v>
      </c>
      <c r="M3" s="112"/>
      <c r="N3" s="130"/>
      <c r="O3" s="162">
        <f>COUNTA($O$7:$O$294)-O2</f>
        <v>23</v>
      </c>
      <c r="P3" s="113"/>
      <c r="R3" s="78"/>
      <c r="S3" s="85"/>
      <c r="T3" s="75"/>
      <c r="V3" s="43"/>
      <c r="Z3" s="167"/>
      <c r="AC3" s="119"/>
      <c r="AE3" s="145"/>
    </row>
    <row r="4" spans="1:32" s="20" customFormat="1" x14ac:dyDescent="0.25">
      <c r="A4" s="8"/>
      <c r="D4" s="116"/>
      <c r="E4" s="116"/>
      <c r="F4" s="116"/>
      <c r="G4" s="116"/>
      <c r="H4" s="116"/>
      <c r="I4" s="116"/>
      <c r="J4" s="116"/>
      <c r="K4" s="116"/>
      <c r="L4" s="116"/>
      <c r="M4" s="2"/>
      <c r="N4" s="115"/>
      <c r="O4" s="157"/>
      <c r="P4" s="116"/>
      <c r="R4" s="78"/>
      <c r="S4" s="85"/>
      <c r="T4" s="75"/>
      <c r="V4" s="43"/>
      <c r="Z4" s="167"/>
      <c r="AC4" s="119"/>
      <c r="AE4" s="145"/>
    </row>
    <row r="5" spans="1:32" s="10" customFormat="1" ht="15" customHeight="1" x14ac:dyDescent="0.25">
      <c r="A5" s="173" t="str">
        <f>"Eagle P3 Braking Events - "&amp;TEXT(Variables!$A$2,"YYYY-mm-dd")</f>
        <v>Eagle P3 Braking Events - 2017-04-23</v>
      </c>
      <c r="B5" s="173"/>
      <c r="C5" s="173"/>
      <c r="D5" s="173"/>
      <c r="E5" s="173"/>
      <c r="F5" s="173"/>
      <c r="G5" s="173"/>
      <c r="H5" s="173"/>
      <c r="I5" s="173"/>
      <c r="J5" s="173"/>
      <c r="K5" s="173"/>
      <c r="L5" s="173"/>
      <c r="M5" s="173"/>
      <c r="N5" s="173"/>
      <c r="O5" s="173"/>
      <c r="P5" s="131"/>
      <c r="R5" s="83"/>
      <c r="S5" s="86"/>
      <c r="T5" s="88"/>
      <c r="V5" s="44"/>
      <c r="AC5" s="120"/>
      <c r="AE5" s="147"/>
    </row>
    <row r="6" spans="1:32" s="110" customFormat="1" ht="69.75" customHeight="1" x14ac:dyDescent="0.2">
      <c r="A6" s="100" t="s">
        <v>38</v>
      </c>
      <c r="B6" s="101" t="s">
        <v>37</v>
      </c>
      <c r="C6" s="101" t="s">
        <v>36</v>
      </c>
      <c r="D6" s="117" t="s">
        <v>35</v>
      </c>
      <c r="E6" s="117" t="s">
        <v>34</v>
      </c>
      <c r="F6" s="117" t="s">
        <v>33</v>
      </c>
      <c r="G6" s="117" t="s">
        <v>32</v>
      </c>
      <c r="H6" s="117" t="s">
        <v>31</v>
      </c>
      <c r="I6" s="117" t="s">
        <v>153</v>
      </c>
      <c r="J6" s="117" t="s">
        <v>30</v>
      </c>
      <c r="K6" s="117" t="s">
        <v>29</v>
      </c>
      <c r="L6" s="117" t="s">
        <v>28</v>
      </c>
      <c r="M6" s="102" t="s">
        <v>154</v>
      </c>
      <c r="N6" s="132" t="s">
        <v>47</v>
      </c>
      <c r="O6" s="163" t="s">
        <v>27</v>
      </c>
      <c r="P6" s="117" t="s">
        <v>24</v>
      </c>
      <c r="Q6" s="103"/>
      <c r="R6" s="104" t="s">
        <v>89</v>
      </c>
      <c r="S6" s="105" t="s">
        <v>55</v>
      </c>
      <c r="T6" s="106" t="s">
        <v>88</v>
      </c>
      <c r="U6" s="101" t="s">
        <v>83</v>
      </c>
      <c r="V6" s="107" t="s">
        <v>84</v>
      </c>
      <c r="W6" s="103" t="s">
        <v>96</v>
      </c>
      <c r="X6" s="103" t="s">
        <v>97</v>
      </c>
      <c r="Y6" s="108" t="s">
        <v>147</v>
      </c>
      <c r="Z6" s="168" t="s">
        <v>148</v>
      </c>
      <c r="AA6" s="109" t="s">
        <v>121</v>
      </c>
      <c r="AB6" s="109" t="s">
        <v>149</v>
      </c>
      <c r="AC6" s="121" t="s">
        <v>173</v>
      </c>
      <c r="AD6" s="110" t="s">
        <v>190</v>
      </c>
      <c r="AE6" s="146" t="s">
        <v>200</v>
      </c>
    </row>
    <row r="7" spans="1:32" s="1" customFormat="1" x14ac:dyDescent="0.25">
      <c r="A7" s="31">
        <v>42848.758321759262</v>
      </c>
      <c r="B7" s="30" t="s">
        <v>358</v>
      </c>
      <c r="C7" s="30" t="s">
        <v>618</v>
      </c>
      <c r="D7" s="30" t="s">
        <v>98</v>
      </c>
      <c r="E7" s="30" t="s">
        <v>191</v>
      </c>
      <c r="F7" s="42">
        <v>0</v>
      </c>
      <c r="G7" s="42">
        <v>72</v>
      </c>
      <c r="H7" s="42">
        <v>27345</v>
      </c>
      <c r="I7" s="42">
        <v>27276</v>
      </c>
      <c r="J7" s="30" t="s">
        <v>192</v>
      </c>
      <c r="K7" s="42">
        <v>27350</v>
      </c>
      <c r="L7" s="134" t="s">
        <v>51</v>
      </c>
      <c r="M7" s="135">
        <f t="shared" ref="M7:M33" si="0">CONVERT((I7-K7)/10000,"mi","ft")*IF(L7="Increasing Mileposts (1)",-1,1)</f>
        <v>-39.072000000000003</v>
      </c>
      <c r="N7" s="136" t="str">
        <f>VLOOKUP(C7,'Trips&amp;Operators'!$C$1:$G$99999,5,FALSE)</f>
        <v>LEVIN SCOTT</v>
      </c>
      <c r="O7" s="164" t="s">
        <v>184</v>
      </c>
      <c r="P7" s="137" t="s">
        <v>1031</v>
      </c>
      <c r="Q7" s="30"/>
      <c r="R7" s="84" t="e">
        <f>IF(VLOOKUP(C7,'Train Runs'!$A$13:$AE$9937,1,1)=C7,VLOOKUP(C7,'Train Runs'!$A$13:$AE$9937,31,1),NA())</f>
        <v>#N/A</v>
      </c>
      <c r="S7" s="87" t="str">
        <f>VLOOKUP(C7,'Train Runs'!$A$13:$AE$9937,22,0)</f>
        <v>https://d0f6bd738d7f1b3e5a7ca70fe4ff75f0.us-east-1.aws.found.io/app/kibana#/discover/Steve-Slow-Train-Analysis-(2080s-and-2083s)?_g=(refreshInterval:(display:Off,pause:!f,section:0,value:0),time:(from:'2017-04-23T16:36:06-0600',mode:absolute,to:'2017-04-23T19:20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7" s="89" t="str">
        <f t="shared" ref="T7:T33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/stypes="*4021*201704240*" /stext=" 00:.+((SYSTEM_STATE.+slice.+state.+changed )|(ment ac)|(multiple cpu faults)|(system.+state.+changed )|(\[timeout)|(PRM\|1\|D)|(kpr)|(kdp)|(\|lc)|(penalty))"</v>
      </c>
      <c r="U7" s="9" t="str">
        <f t="shared" ref="U7:U33" si="2">MID(B7,13,4)</f>
        <v>4021</v>
      </c>
      <c r="V7" s="31">
        <f t="shared" ref="V7:V33" si="3">A7-utc_offset/24</f>
        <v>42849.008321759262</v>
      </c>
      <c r="W7" s="45" t="str">
        <f t="shared" ref="W7:W33" si="4">IFERROR(IF(VALUE(LEFT(IF(LEN(C7)=6,"0"&amp;C7,C7),2))&lt;=2,"EC",IF(OR(VALUE(LEFT(IF(LEN(C7)=6,"0"&amp;C7,C7),2))=8,VALUE(LEFT(IF(LEN(C7)=6,"0"&amp;C7,C7),2))=18),"NW","Other")),"Other")</f>
        <v>EC</v>
      </c>
      <c r="X7" s="45" t="str">
        <f t="shared" ref="X7:X33" si="5">IF(AND(E7="TRACK WARRANT AUTHORITY",G7&lt;10),"OMIT","KEEP")</f>
        <v>KEEP</v>
      </c>
      <c r="Y7" s="99" t="str">
        <f t="shared" ref="Y7:Y33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arrival","project_id":79,"tracker_id":40,"status_id":1,"priority_id":2,"assigned_to_id":23,"start_date":"2017-04-23","description":"","custom_fields":[{"id":1,"name":"Subdivision","value":"EC"},{"id":4,"name":"Milepost","value":"2.735"},{"id":17,"name":"Train ID","value":"206-23"},{"id":16,"name":"Locomotive ID","value":"4021"},{"id":130,"name":"Impact","value":""},{"id":150,"name":"Time of Event (Mountain Time)","value":"18:11:59"},{"id":151,"name":"Denver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69"/>
      <c r="AA7" s="47"/>
      <c r="AB7" s="47"/>
      <c r="AC7" s="118" t="str">
        <f t="shared" ref="AC7:AC33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"%USERPROFILE%\AppData\Local\Temp\OnboardLogs"\RTDC4021\*4021*201704240*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"%USERPROFILE%\AppData\Local\Temp\OnboardLogs"\RTDC4021\*4021*201704240* &gt;&gt; 2017-04-23-SliceDisagreementCheck.txt</v>
      </c>
      <c r="AE7" s="148" t="str">
        <f t="shared" ref="AE7" si="8">"start /low /b "&amp;dls3logs&amp;" --loco "&amp;U7&amp;" --day "&amp;TEXT(V7,"YYYY-MM-DD")</f>
        <v>start /low /b %USERPROFILE%\Documents\GitHub\eaglep3\Utilities\DownloadLogsFromS3.py --loco 4021 --day 2017-04-24</v>
      </c>
    </row>
    <row r="8" spans="1:32" s="1" customFormat="1" x14ac:dyDescent="0.25">
      <c r="A8" s="31">
        <v>42848.839305555557</v>
      </c>
      <c r="B8" s="30" t="s">
        <v>603</v>
      </c>
      <c r="C8" s="30" t="s">
        <v>619</v>
      </c>
      <c r="D8" s="30" t="s">
        <v>49</v>
      </c>
      <c r="E8" s="30" t="s">
        <v>191</v>
      </c>
      <c r="F8" s="42">
        <v>0</v>
      </c>
      <c r="G8" s="42">
        <v>360</v>
      </c>
      <c r="H8" s="42">
        <v>32772</v>
      </c>
      <c r="I8" s="42">
        <v>33281</v>
      </c>
      <c r="J8" s="30" t="s">
        <v>192</v>
      </c>
      <c r="K8" s="42">
        <v>33137</v>
      </c>
      <c r="L8" s="134" t="s">
        <v>50</v>
      </c>
      <c r="M8" s="135">
        <f t="shared" si="0"/>
        <v>-76.031999999999996</v>
      </c>
      <c r="N8" s="136" t="str">
        <f>VLOOKUP(C8,'Trips&amp;Operators'!$C$1:$G$99999,5,FALSE)</f>
        <v>DUNCAN SHEILA</v>
      </c>
      <c r="O8" s="164" t="s">
        <v>184</v>
      </c>
      <c r="P8" s="137" t="s">
        <v>1031</v>
      </c>
      <c r="Q8" s="30"/>
      <c r="R8" s="84" t="e">
        <f>IF(VLOOKUP(C8,'Train Runs'!$A$13:$AE$9937,1,1)=C8,VLOOKUP(C8,'Train Runs'!$A$13:$AE$9937,31,1),NA())</f>
        <v>#N/A</v>
      </c>
      <c r="S8" s="87" t="str">
        <f>VLOOKUP(C8,'Train Runs'!$A$13:$AE$9937,22,0)</f>
        <v>https://d0f6bd738d7f1b3e5a7ca70fe4ff75f0.us-east-1.aws.found.io/app/kibana#/discover/Steve-Slow-Train-Analysis-(2080s-and-2083s)?_g=(refreshInterval:(display:Off,pause:!f,section:0,value:0),time:(from:'2017-04-23T18:53:26-0600',mode:absolute,to:'2017-04-23T21:41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8" s="89" t="str">
        <f t="shared" si="1"/>
        <v>"C:\Program Files (x86)\AstroGrep\AstroGrep.exe" /e /r /s /spath="%USERPROFILE%\AppData\Local\Temp\OnboardLogs" /stypes="*4016*201704240*" /stext=" 02:.+((SYSTEM_STATE.+slice.+state.+changed )|(ment ac)|(multiple cpu faults)|(system.+state.+changed )|(\[timeout)|(PRM\|1\|D)|(kpr)|(kdp)|(\|lc)|(penalty))"</v>
      </c>
      <c r="U8" s="9" t="str">
        <f t="shared" si="2"/>
        <v>4016</v>
      </c>
      <c r="V8" s="31">
        <f t="shared" si="3"/>
        <v>42849.089305555557</v>
      </c>
      <c r="W8" s="45" t="str">
        <f t="shared" si="4"/>
        <v>EC</v>
      </c>
      <c r="X8" s="45" t="str">
        <f t="shared" si="5"/>
        <v>KEEP</v>
      </c>
      <c r="Y8" s="99" t="str">
        <f t="shared" si="6"/>
        <v>echo {"issue":{"subject":"Early arrival","project_id":79,"tracker_id":40,"status_id":1,"priority_id":2,"assigned_to_id":23,"start_date":"2017-04-23","description":"","custom_fields":[{"id":1,"name":"Subdivision","value":"EC"},{"id":4,"name":"Milepost","value":"3.3137"},{"id":17,"name":"Train ID","value":"225-23"},{"id":16,"name":"Locomotive ID","value":"4016"},{"id":130,"name":"Impact","value":""},{"id":150,"name":"Time of Event (Mountain Time)","value":"20:08:36"},{"id":151,"name":"Denver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69"/>
      <c r="AA8" s="47"/>
      <c r="AB8" s="47"/>
      <c r="AC8" s="118" t="str">
        <f t="shared" si="7"/>
        <v>grep -hSE -A400 "Enforcement Action" "%USERPROFILE%\AppData\Local\Temp\OnboardLogs"\RTDC4016\*4016*201704240*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"%USERPROFILE%\AppData\Local\Temp\OnboardLogs"\RTDC4016\*4016*201704240* &gt;&gt; 2017-04-23-SliceDisagreementCheck.txt</v>
      </c>
      <c r="AE8" s="148" t="str">
        <f t="shared" ref="AE8:AE33" si="9">"start /low /b "&amp;dls3logs&amp;" --loco "&amp;U8&amp;" --day "&amp;TEXT(V8,"YYYY-MM-DD")</f>
        <v>start /low /b %USERPROFILE%\Documents\GitHub\eaglep3\Utilities\DownloadLogsFromS3.py --loco 4016 --day 2017-04-24</v>
      </c>
    </row>
    <row r="9" spans="1:32" s="1" customFormat="1" x14ac:dyDescent="0.25">
      <c r="A9" s="31">
        <v>42848.413206018522</v>
      </c>
      <c r="B9" s="30" t="s">
        <v>398</v>
      </c>
      <c r="C9" s="30" t="s">
        <v>605</v>
      </c>
      <c r="D9" s="30" t="s">
        <v>49</v>
      </c>
      <c r="E9" s="30" t="s">
        <v>191</v>
      </c>
      <c r="F9" s="42">
        <v>250</v>
      </c>
      <c r="G9" s="42">
        <v>364</v>
      </c>
      <c r="H9" s="42">
        <v>35759</v>
      </c>
      <c r="I9" s="42">
        <v>34748</v>
      </c>
      <c r="J9" s="30" t="s">
        <v>192</v>
      </c>
      <c r="K9" s="42">
        <v>33257</v>
      </c>
      <c r="L9" s="134" t="s">
        <v>51</v>
      </c>
      <c r="M9" s="135">
        <f t="shared" si="0"/>
        <v>787.24800000000005</v>
      </c>
      <c r="N9" s="136" t="str">
        <f>VLOOKUP(C9,'Trips&amp;Operators'!$C$1:$G$99999,5,FALSE)</f>
        <v>GEBRETEKLE DAGNEW</v>
      </c>
      <c r="O9" s="164" t="s">
        <v>184</v>
      </c>
      <c r="P9" s="137" t="s">
        <v>1031</v>
      </c>
      <c r="Q9" s="30"/>
      <c r="R9" s="84" t="str">
        <f>IF(VLOOKUP(C9,'Train Runs'!$A$13:$AE$9937,1,1)=C9,VLOOKUP(C9,'Train Runs'!$A$13:$AE$9937,31,1),NA())</f>
        <v>aws s3 cp s3://rtdc.mdm.uploadarchive.raw/RTDC4003/ "%USERPROFILE%\AppData\Local\Temp\OnboardLogs"\RTDC4003\2017-04-23 --exclude "*" --recursive --include "*20170423*" &amp; "%USERPROFILE%\Documents\GitHub\mrs-test-scripts\Headless Mode &amp; Sideloading\WalkAndUnGZ.bat" "%USERPROFILE%\AppData\Local\Temp\OnboardLogs"\RTDC4003\2017-04-23 &amp; aws s3 cp s3://rtdc.mdm.uploadarchive.raw/RTDC4003/ "%USERPROFILE%\AppData\Local\Temp\OnboardLogs"\RTDC4003\2017-04-24 --exclude "*" --recursive --include "*20170424*" &amp; "%USERPROFILE%\Documents\GitHub\mrs-test-scripts\Headless Mode &amp; Sideloading\WalkAndUnGZ.bat" "%USERPROFILE%\AppData\Local\Temp\OnboardLogs"\RTDC4003\2017-04-24</v>
      </c>
      <c r="S9" s="87" t="str">
        <f>VLOOKUP(C9,'Train Runs'!$A$13:$AE$9937,22,0)</f>
        <v>https://d0f6bd738d7f1b3e5a7ca70fe4ff75f0.us-east-1.aws.found.io/app/kibana#/discover/Steve-Slow-Train-Analysis-(2080s-and-2083s)?_g=(refreshInterval:(display:Off,pause:!f,section:0,value:0),time:(from:'2017-04-23T08:20:50-0600',mode:absolute,to:'2017-04-23T11:04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9" s="89" t="str">
        <f t="shared" si="1"/>
        <v>"C:\Program Files (x86)\AstroGrep\AstroGrep.exe" /e /r /s /spath="%USERPROFILE%\AppData\Local\Temp\OnboardLogs" /stypes="*4003*201704231*" /stext=" 15:.+((SYSTEM_STATE.+slice.+state.+changed )|(ment ac)|(multiple cpu faults)|(system.+state.+changed )|(\[timeout)|(PRM\|1\|D)|(kpr)|(kdp)|(\|lc)|(penalty))"</v>
      </c>
      <c r="U9" s="9" t="str">
        <f t="shared" si="2"/>
        <v>4003</v>
      </c>
      <c r="V9" s="31">
        <f t="shared" si="3"/>
        <v>42848.663206018522</v>
      </c>
      <c r="W9" s="45" t="str">
        <f t="shared" si="4"/>
        <v>EC</v>
      </c>
      <c r="X9" s="45" t="str">
        <f t="shared" si="5"/>
        <v>KEEP</v>
      </c>
      <c r="Y9" s="99" t="str">
        <f t="shared" si="6"/>
        <v>echo {"issue":{"subject":"Early arrival","project_id":79,"tracker_id":40,"status_id":1,"priority_id":2,"assigned_to_id":23,"start_date":"2017-04-23","description":"","custom_fields":[{"id":1,"name":"Subdivision","value":"EC"},{"id":4,"name":"Milepost","value":"3.3257"},{"id":17,"name":"Train ID","value":"140-23"},{"id":16,"name":"Locomotive ID","value":"4003"},{"id":130,"name":"Impact","value":""},{"id":150,"name":"Time of Event (Mountain Time)","value":"09:55:01"},{"id":151,"name":"Denver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69"/>
      <c r="AA9" s="47"/>
      <c r="AB9" s="47"/>
      <c r="AC9" s="118" t="str">
        <f t="shared" si="7"/>
        <v>grep -hSE -A400 "Enforcement Action" "%USERPROFILE%\AppData\Local\Temp\OnboardLogs"\RTDC4003\*4003*201704231*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"%USERPROFILE%\AppData\Local\Temp\OnboardLogs"\RTDC4003\*4003*201704231* &gt;&gt; 2017-04-23-SliceDisagreementCheck.txt</v>
      </c>
      <c r="AE9" s="148" t="str">
        <f t="shared" si="9"/>
        <v>start /low /b %USERPROFILE%\Documents\GitHub\eaglep3\Utilities\DownloadLogsFromS3.py --loco 4003 --day 2017-04-23</v>
      </c>
    </row>
    <row r="10" spans="1:32" s="1" customFormat="1" x14ac:dyDescent="0.25">
      <c r="A10" s="31">
        <v>42848.634513888886</v>
      </c>
      <c r="B10" s="30" t="s">
        <v>359</v>
      </c>
      <c r="C10" s="30" t="s">
        <v>611</v>
      </c>
      <c r="D10" s="30" t="s">
        <v>49</v>
      </c>
      <c r="E10" s="30" t="s">
        <v>191</v>
      </c>
      <c r="F10" s="42">
        <v>0</v>
      </c>
      <c r="G10" s="42">
        <v>476</v>
      </c>
      <c r="H10" s="42">
        <v>62628</v>
      </c>
      <c r="I10" s="42">
        <v>64024</v>
      </c>
      <c r="J10" s="30" t="s">
        <v>192</v>
      </c>
      <c r="K10" s="42">
        <v>63069</v>
      </c>
      <c r="L10" s="134" t="s">
        <v>50</v>
      </c>
      <c r="M10" s="135">
        <f t="shared" si="0"/>
        <v>-504.24</v>
      </c>
      <c r="N10" s="136" t="str">
        <f>VLOOKUP(C10,'Trips&amp;Operators'!$C$1:$G$99999,5,FALSE)</f>
        <v>LEVIN SCOTT</v>
      </c>
      <c r="O10" s="164" t="s">
        <v>184</v>
      </c>
      <c r="P10" s="137" t="s">
        <v>1031</v>
      </c>
      <c r="Q10" s="30"/>
      <c r="R10" s="84" t="e">
        <f>IF(VLOOKUP(C10,'Train Runs'!$A$13:$AE$9937,1,1)=C10,VLOOKUP(C10,'Train Runs'!$A$13:$AE$9937,31,1),NA())</f>
        <v>#N/A</v>
      </c>
      <c r="S10" s="87" t="str">
        <f>VLOOKUP(C10,'Train Runs'!$A$13:$AE$9937,22,0)</f>
        <v>https://d0f6bd738d7f1b3e5a7ca70fe4ff75f0.us-east-1.aws.found.io/app/kibana#/discover/Steve-Slow-Train-Analysis-(2080s-and-2083s)?_g=(refreshInterval:(display:Off,pause:!f,section:0,value:0),time:(from:'2017-04-23T13:57:45-0600',mode:absolute,to:'2017-04-23T16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10" s="89" t="str">
        <f t="shared" si="1"/>
        <v>"C:\Program Files (x86)\AstroGrep\AstroGrep.exe" /e /r /s /spath="%USERPROFILE%\AppData\Local\Temp\OnboardLogs" /stypes="*4022*201704232*" /stext=" 21:.+((SYSTEM_STATE.+slice.+state.+changed )|(ment ac)|(multiple cpu faults)|(system.+state.+changed )|(\[timeout)|(PRM\|1\|D)|(kpr)|(kdp)|(\|lc)|(penalty))"</v>
      </c>
      <c r="U10" s="9" t="str">
        <f t="shared" si="2"/>
        <v>4022</v>
      </c>
      <c r="V10" s="31">
        <f t="shared" si="3"/>
        <v>42848.884513888886</v>
      </c>
      <c r="W10" s="45" t="str">
        <f t="shared" si="4"/>
        <v>EC</v>
      </c>
      <c r="X10" s="45" t="str">
        <f t="shared" si="5"/>
        <v>KEEP</v>
      </c>
      <c r="Y10" s="99" t="str">
        <f t="shared" si="6"/>
        <v>echo {"issue":{"subject":"Early arrival","project_id":79,"tracker_id":40,"status_id":1,"priority_id":2,"assigned_to_id":23,"start_date":"2017-04-23","description":"","custom_fields":[{"id":1,"name":"Subdivision","value":"EC"},{"id":4,"name":"Milepost","value":"6.3069"},{"id":17,"name":"Train ID","value":"191-23"},{"id":16,"name":"Locomotive ID","value":"4022"},{"id":130,"name":"Impact","value":""},{"id":150,"name":"Time of Event (Mountain Time)","value":"15:13:42"},{"id":151,"name":"Denver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69"/>
      <c r="AA10" s="47"/>
      <c r="AB10" s="47"/>
      <c r="AC10" s="118" t="str">
        <f t="shared" si="7"/>
        <v>grep -hSE -A400 "Enforcement Action" "%USERPROFILE%\AppData\Local\Temp\OnboardLogs"\RTDC4022\*4022*201704232*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"%USERPROFILE%\AppData\Local\Temp\OnboardLogs"\RTDC4022\*4022*201704232* &gt;&gt; 2017-04-23-SliceDisagreementCheck.txt</v>
      </c>
      <c r="AE10" s="148" t="str">
        <f t="shared" si="9"/>
        <v>start /low /b %USERPROFILE%\Documents\GitHub\eaglep3\Utilities\DownloadLogsFromS3.py --loco 4022 --day 2017-04-23</v>
      </c>
    </row>
    <row r="11" spans="1:32" s="1" customFormat="1" x14ac:dyDescent="0.25">
      <c r="A11" s="31">
        <v>42848.406319444446</v>
      </c>
      <c r="B11" s="30" t="s">
        <v>603</v>
      </c>
      <c r="C11" s="30" t="s">
        <v>604</v>
      </c>
      <c r="D11" s="30" t="s">
        <v>49</v>
      </c>
      <c r="E11" s="30" t="s">
        <v>191</v>
      </c>
      <c r="F11" s="42">
        <v>440</v>
      </c>
      <c r="G11" s="42">
        <v>536</v>
      </c>
      <c r="H11" s="42">
        <v>61561</v>
      </c>
      <c r="I11" s="42">
        <v>63195</v>
      </c>
      <c r="J11" s="30" t="s">
        <v>192</v>
      </c>
      <c r="K11" s="42">
        <v>63069</v>
      </c>
      <c r="L11" s="134" t="s">
        <v>50</v>
      </c>
      <c r="M11" s="135">
        <f t="shared" si="0"/>
        <v>-66.528000000000006</v>
      </c>
      <c r="N11" s="136" t="str">
        <f>VLOOKUP(C11,'Trips&amp;Operators'!$C$1:$G$99999,5,FALSE)</f>
        <v>BADERTSCHER DIANE</v>
      </c>
      <c r="O11" s="164" t="s">
        <v>184</v>
      </c>
      <c r="P11" s="137" t="s">
        <v>1031</v>
      </c>
      <c r="Q11" s="30"/>
      <c r="R11" s="84" t="str">
        <f>IF(VLOOKUP(C11,'Train Runs'!$A$13:$AE$9937,1,1)=C11,VLOOKUP(C11,'Train Runs'!$A$13:$AE$9937,31,1),NA())</f>
        <v>aws s3 cp s3://rtdc.mdm.uploadarchive.raw/RTDC4016/ "%USERPROFILE%\AppData\Local\Temp\OnboardLogs"\RTDC4016\2017-04-23 --exclude "*" --recursive --include "*20170423*" &amp; "%USERPROFILE%\Documents\GitHub\mrs-test-scripts\Headless Mode &amp; Sideloading\WalkAndUnGZ.bat" "%USERPROFILE%\AppData\Local\Temp\OnboardLogs"\RTDC4016\2017-04-23 &amp; aws s3 cp s3://rtdc.mdm.uploadarchive.raw/RTDC4016/ "%USERPROFILE%\AppData\Local\Temp\OnboardLogs"\RTDC4016\2017-04-24 --exclude "*" --recursive --include "*20170424*" &amp; "%USERPROFILE%\Documents\GitHub\mrs-test-scripts\Headless Mode &amp; Sideloading\WalkAndUnGZ.bat" "%USERPROFILE%\AppData\Local\Temp\OnboardLogs"\RTDC4016\2017-04-24</v>
      </c>
      <c r="S11" s="87" t="str">
        <f>VLOOKUP(C11,'Train Runs'!$A$13:$AE$9937,22,0)</f>
        <v>https://d0f6bd738d7f1b3e5a7ca70fe4ff75f0.us-east-1.aws.found.io/app/kibana#/discover/Steve-Slow-Train-Analysis-(2080s-and-2083s)?_g=(refreshInterval:(display:Off,pause:!f,section:0,value:0),time:(from:'2017-04-23T08:24:14-0600',mode:absolute,to:'2017-04-23T11:08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1" s="89" t="str">
        <f t="shared" si="1"/>
        <v>"C:\Program Files (x86)\AstroGrep\AstroGrep.exe" /e /r /s /spath="%USERPROFILE%\AppData\Local\Temp\OnboardLogs" /stypes="*4016*201704231*" /stext=" 15:.+((SYSTEM_STATE.+slice.+state.+changed )|(ment ac)|(multiple cpu faults)|(system.+state.+changed )|(\[timeout)|(PRM\|1\|D)|(kpr)|(kdp)|(\|lc)|(penalty))"</v>
      </c>
      <c r="U11" s="9" t="str">
        <f t="shared" si="2"/>
        <v>4016</v>
      </c>
      <c r="V11" s="31">
        <f t="shared" si="3"/>
        <v>42848.656319444446</v>
      </c>
      <c r="W11" s="45" t="str">
        <f t="shared" si="4"/>
        <v>EC</v>
      </c>
      <c r="X11" s="45" t="str">
        <f t="shared" si="5"/>
        <v>KEEP</v>
      </c>
      <c r="Y11" s="99" t="str">
        <f t="shared" si="6"/>
        <v>echo {"issue":{"subject":"Early arrival","project_id":79,"tracker_id":40,"status_id":1,"priority_id":2,"assigned_to_id":23,"start_date":"2017-04-23","description":"","custom_fields":[{"id":1,"name":"Subdivision","value":"EC"},{"id":4,"name":"Milepost","value":"6.3069"},{"id":17,"name":"Train ID","value":"147-23"},{"id":16,"name":"Locomotive ID","value":"4016"},{"id":130,"name":"Impact","value":""},{"id":150,"name":"Time of Event (Mountain Time)","value":"09:45:06"},{"id":151,"name":"Denver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69"/>
      <c r="AA11" s="47"/>
      <c r="AB11" s="47"/>
      <c r="AC11" s="118" t="str">
        <f t="shared" si="7"/>
        <v>grep -hSE -A400 "Enforcement Action" "%USERPROFILE%\AppData\Local\Temp\OnboardLogs"\RTDC4016\*4016*201704231*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"%USERPROFILE%\AppData\Local\Temp\OnboardLogs"\RTDC4016\*4016*201704231* &gt;&gt; 2017-04-23-SliceDisagreementCheck.txt</v>
      </c>
      <c r="AE11" s="148" t="str">
        <f t="shared" si="9"/>
        <v>start /low /b %USERPROFILE%\Documents\GitHub\eaglep3\Utilities\DownloadLogsFromS3.py --loco 4016 --day 2017-04-23</v>
      </c>
    </row>
    <row r="12" spans="1:32" s="1" customFormat="1" x14ac:dyDescent="0.25">
      <c r="A12" s="31">
        <v>42848.650034722225</v>
      </c>
      <c r="B12" s="30" t="s">
        <v>390</v>
      </c>
      <c r="C12" s="30" t="s">
        <v>612</v>
      </c>
      <c r="D12" s="30" t="s">
        <v>98</v>
      </c>
      <c r="E12" s="30" t="s">
        <v>191</v>
      </c>
      <c r="F12" s="42">
        <v>90</v>
      </c>
      <c r="G12" s="42">
        <v>143</v>
      </c>
      <c r="H12" s="42">
        <v>63130</v>
      </c>
      <c r="I12" s="42">
        <v>62895</v>
      </c>
      <c r="J12" s="30" t="s">
        <v>192</v>
      </c>
      <c r="K12" s="42">
        <v>63309</v>
      </c>
      <c r="L12" s="134" t="s">
        <v>51</v>
      </c>
      <c r="M12" s="135">
        <f t="shared" si="0"/>
        <v>-218.59200000000001</v>
      </c>
      <c r="N12" s="136" t="str">
        <f>VLOOKUP(C12,'Trips&amp;Operators'!$C$1:$G$99999,5,FALSE)</f>
        <v>BRANDNER MELINDA</v>
      </c>
      <c r="O12" s="164" t="s">
        <v>184</v>
      </c>
      <c r="P12" s="137" t="s">
        <v>1031</v>
      </c>
      <c r="Q12" s="30"/>
      <c r="R12" s="84" t="e">
        <f>IF(VLOOKUP(C12,'Train Runs'!$A$13:$AE$9937,1,1)=C12,VLOOKUP(C12,'Train Runs'!$A$13:$AE$9937,31,1),NA())</f>
        <v>#N/A</v>
      </c>
      <c r="S12" s="87" t="str">
        <f>VLOOKUP(C12,'Train Runs'!$A$13:$AE$9937,22,0)</f>
        <v>https://d0f6bd738d7f1b3e5a7ca70fe4ff75f0.us-east-1.aws.found.io/app/kibana#/discover/Steve-Slow-Train-Analysis-(2080s-and-2083s)?_g=(refreshInterval:(display:Off,pause:!f,section:0,value:0),time:(from:'2017-04-23T14:04:12-0600',mode:absolute,to:'2017-04-23T16:51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2" s="89" t="str">
        <f t="shared" si="1"/>
        <v>"C:\Program Files (x86)\AstroGrep\AstroGrep.exe" /e /r /s /spath="%USERPROFILE%\AppData\Local\Temp\OnboardLogs" /stypes="*4045*201704232*" /stext=" 21:.+((SYSTEM_STATE.+slice.+state.+changed )|(ment ac)|(multiple cpu faults)|(system.+state.+changed )|(\[timeout)|(PRM\|1\|D)|(kpr)|(kdp)|(\|lc)|(penalty))"</v>
      </c>
      <c r="U12" s="9" t="str">
        <f t="shared" si="2"/>
        <v>4045</v>
      </c>
      <c r="V12" s="31">
        <f t="shared" si="3"/>
        <v>42848.900034722225</v>
      </c>
      <c r="W12" s="45" t="str">
        <f t="shared" si="4"/>
        <v>EC</v>
      </c>
      <c r="X12" s="45" t="str">
        <f t="shared" si="5"/>
        <v>KEEP</v>
      </c>
      <c r="Y12" s="99" t="str">
        <f t="shared" si="6"/>
        <v>echo {"issue":{"subject":"Early arrival","project_id":79,"tracker_id":40,"status_id":1,"priority_id":2,"assigned_to_id":23,"start_date":"2017-04-23","description":"","custom_fields":[{"id":1,"name":"Subdivision","value":"EC"},{"id":4,"name":"Milepost","value":"6.3309"},{"id":17,"name":"Train ID","value":"186-23"},{"id":16,"name":"Locomotive ID","value":"4045"},{"id":130,"name":"Impact","value":""},{"id":150,"name":"Time of Event (Mountain Time)","value":"15:36:03"},{"id":151,"name":"Denver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69"/>
      <c r="AA12" s="47"/>
      <c r="AB12" s="47"/>
      <c r="AC12" s="118" t="str">
        <f t="shared" si="7"/>
        <v>grep -hSE -A400 "Enforcement Action" "%USERPROFILE%\AppData\Local\Temp\OnboardLogs"\RTDC4045\*4045*201704232*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"%USERPROFILE%\AppData\Local\Temp\OnboardLogs"\RTDC4045\*4045*201704232* &gt;&gt; 2017-04-23-SliceDisagreementCheck.txt</v>
      </c>
      <c r="AE12" s="148" t="str">
        <f t="shared" si="9"/>
        <v>start /low /b %USERPROFILE%\Documents\GitHub\eaglep3\Utilities\DownloadLogsFromS3.py --loco 4045 --day 2017-04-23</v>
      </c>
    </row>
    <row r="13" spans="1:32" s="1" customFormat="1" x14ac:dyDescent="0.25">
      <c r="A13" s="31">
        <v>42848.523287037038</v>
      </c>
      <c r="B13" s="30" t="s">
        <v>357</v>
      </c>
      <c r="C13" s="30" t="s">
        <v>607</v>
      </c>
      <c r="D13" s="30" t="s">
        <v>98</v>
      </c>
      <c r="E13" s="30" t="s">
        <v>211</v>
      </c>
      <c r="F13" s="42">
        <v>450</v>
      </c>
      <c r="G13" s="42">
        <v>500</v>
      </c>
      <c r="H13" s="42">
        <v>11358</v>
      </c>
      <c r="I13" s="42">
        <v>12799</v>
      </c>
      <c r="J13" s="30" t="s">
        <v>212</v>
      </c>
      <c r="K13" s="42">
        <v>11201</v>
      </c>
      <c r="L13" s="134" t="s">
        <v>50</v>
      </c>
      <c r="M13" s="135">
        <f t="shared" si="0"/>
        <v>-843.74400000000003</v>
      </c>
      <c r="N13" s="136" t="str">
        <f>VLOOKUP(C13,'Trips&amp;Operators'!$C$1:$G$99999,5,FALSE)</f>
        <v>BRANDNER MELINDA</v>
      </c>
      <c r="O13" s="164" t="s">
        <v>184</v>
      </c>
      <c r="P13" s="137"/>
      <c r="Q13" s="30"/>
      <c r="R13" s="84" t="str">
        <f>IF(VLOOKUP(C13,'Train Runs'!$A$13:$AE$9937,1,1)=C13,VLOOKUP(C13,'Train Runs'!$A$13:$AE$9937,31,1),NA())</f>
        <v>aws s3 cp s3://rtdc.mdm.uploadarchive.raw/RTDC4046/ "%USERPROFILE%\AppData\Local\Temp\OnboardLogs"\RTDC4046\2017-04-23 --exclude "*" --recursive --include "*20170423*" &amp; "%USERPROFILE%\Documents\GitHub\mrs-test-scripts\Headless Mode &amp; Sideloading\WalkAndUnGZ.bat" "%USERPROFILE%\AppData\Local\Temp\OnboardLogs"\RTDC4046\2017-04-23 &amp; aws s3 cp s3://rtdc.mdm.uploadarchive.raw/RTDC4046/ "%USERPROFILE%\AppData\Local\Temp\OnboardLogs"\RTDC4046\2017-04-24 --exclude "*" --recursive --include "*20170424*" &amp; "%USERPROFILE%\Documents\GitHub\mrs-test-scripts\Headless Mode &amp; Sideloading\WalkAndUnGZ.bat" "%USERPROFILE%\AppData\Local\Temp\OnboardLogs"\RTDC4046\2017-04-24</v>
      </c>
      <c r="S13" s="87" t="str">
        <f>VLOOKUP(C13,'Train Runs'!$A$13:$AE$9937,22,0)</f>
        <v>https://d0f6bd738d7f1b3e5a7ca70fe4ff75f0.us-east-1.aws.found.io/app/kibana#/discover/Steve-Slow-Train-Analysis-(2080s-and-2083s)?_g=(refreshInterval:(display:Off,pause:!f,section:0,value:0),time:(from:'2017-04-23T11:23:35-0600',mode:absolute,to:'2017-04-23T14:09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13" s="89" t="str">
        <f t="shared" si="1"/>
        <v>"C:\Program Files (x86)\AstroGrep\AstroGrep.exe" /e /r /s /spath="%USERPROFILE%\AppData\Local\Temp\OnboardLogs" /stypes="*4046*201704231*" /stext=" 18:.+((SYSTEM_STATE.+slice.+state.+changed )|(ment ac)|(multiple cpu faults)|(system.+state.+changed )|(\[timeout)|(PRM\|1\|D)|(kpr)|(kdp)|(\|lc)|(penalty))"</v>
      </c>
      <c r="U13" s="9" t="str">
        <f t="shared" si="2"/>
        <v>4046</v>
      </c>
      <c r="V13" s="31">
        <f t="shared" si="3"/>
        <v>42848.773287037038</v>
      </c>
      <c r="W13" s="45" t="str">
        <f t="shared" si="4"/>
        <v>EC</v>
      </c>
      <c r="X13" s="45" t="str">
        <f t="shared" si="5"/>
        <v>KEEP</v>
      </c>
      <c r="Y13" s="99" t="str">
        <f t="shared" si="6"/>
        <v>echo {"issue":{"subject":"","project_id":79,"tracker_id":40,"status_id":1,"priority_id":2,"assigned_to_id":23,"start_date":"2017-04-23","description":"","custom_fields":[{"id":1,"name":"Subdivision","value":"EC"},{"id":4,"name":"Milepost","value":"1.1201"},{"id":17,"name":"Train ID","value":"171-23"},{"id":16,"name":"Locomotive ID","value":"4046"},{"id":130,"name":"Impact","value":""},{"id":150,"name":"Time of Event (Mountain Time)","value":"12:33:32"},{"id":151,"name":"Denver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69"/>
      <c r="AA13" s="47"/>
      <c r="AB13" s="47"/>
      <c r="AC13" s="118" t="str">
        <f t="shared" si="7"/>
        <v>grep -hSE -A400 "Enforcement Action" "%USERPROFILE%\AppData\Local\Temp\OnboardLogs"\RTDC4046\*4046*201704231*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"%USERPROFILE%\AppData\Local\Temp\OnboardLogs"\RTDC4046\*4046*201704231* &gt;&gt; 2017-04-23-SliceDisagreementCheck.txt</v>
      </c>
      <c r="AE13" s="148" t="str">
        <f t="shared" si="9"/>
        <v>start /low /b %USERPROFILE%\Documents\GitHub\eaglep3\Utilities\DownloadLogsFromS3.py --loco 4046 --day 2017-04-23</v>
      </c>
    </row>
    <row r="14" spans="1:32" x14ac:dyDescent="0.25">
      <c r="A14" s="31">
        <v>42848.524930555555</v>
      </c>
      <c r="B14" s="30" t="s">
        <v>523</v>
      </c>
      <c r="C14" s="30" t="s">
        <v>608</v>
      </c>
      <c r="D14" s="30" t="s">
        <v>49</v>
      </c>
      <c r="E14" s="30" t="s">
        <v>211</v>
      </c>
      <c r="F14" s="42">
        <v>400</v>
      </c>
      <c r="G14" s="42">
        <v>520</v>
      </c>
      <c r="H14" s="42">
        <v>116073</v>
      </c>
      <c r="I14" s="42">
        <v>117358</v>
      </c>
      <c r="J14" s="30" t="s">
        <v>212</v>
      </c>
      <c r="K14" s="42">
        <v>116838</v>
      </c>
      <c r="L14" s="134" t="s">
        <v>50</v>
      </c>
      <c r="M14" s="135">
        <f t="shared" si="0"/>
        <v>-274.56</v>
      </c>
      <c r="N14" s="136" t="str">
        <f>VLOOKUP(C14,'Trips&amp;Operators'!$C$1:$G$99999,5,FALSE)</f>
        <v>ROMERO CHAD</v>
      </c>
      <c r="O14" s="164" t="s">
        <v>184</v>
      </c>
      <c r="P14" s="137"/>
      <c r="Q14" s="30"/>
      <c r="R14" s="84" t="str">
        <f>IF(VLOOKUP(C14,'Train Runs'!$A$13:$AE$9937,1,1)=C14,VLOOKUP(C14,'Train Runs'!$A$13:$AE$9937,31,1),NA())</f>
        <v>aws s3 cp s3://rtdc.mdm.uploadarchive.raw/RTDC4002/ "%USERPROFILE%\AppData\Local\Temp\OnboardLogs"\RTDC4002\2017-04-23 --exclude "*" --recursive --include "*20170423*" &amp; "%USERPROFILE%\Documents\GitHub\mrs-test-scripts\Headless Mode &amp; Sideloading\WalkAndUnGZ.bat" "%USERPROFILE%\AppData\Local\Temp\OnboardLogs"\RTDC4002\2017-04-23 &amp; aws s3 cp s3://rtdc.mdm.uploadarchive.raw/RTDC4002/ "%USERPROFILE%\AppData\Local\Temp\OnboardLogs"\RTDC4002\2017-04-24 --exclude "*" --recursive --include "*20170424*" &amp; "%USERPROFILE%\Documents\GitHub\mrs-test-scripts\Headless Mode &amp; Sideloading\WalkAndUnGZ.bat" "%USERPROFILE%\AppData\Local\Temp\OnboardLogs"\RTDC4002\2017-04-24</v>
      </c>
      <c r="S14" s="87" t="str">
        <f>VLOOKUP(C14,'Train Runs'!$A$13:$AE$9937,22,0)</f>
        <v>https://d0f6bd738d7f1b3e5a7ca70fe4ff75f0.us-east-1.aws.found.io/app/kibana#/discover/Steve-Slow-Train-Analysis-(2080s-and-2083s)?_g=(refreshInterval:(display:Off,pause:!f,section:0,value:0),time:(from:'2017-04-23T11:05:50-0600',mode:absolute,to:'2017-04-23T13:51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14" s="89" t="str">
        <f t="shared" si="1"/>
        <v>"C:\Program Files (x86)\AstroGrep\AstroGrep.exe" /e /r /s /spath="%USERPROFILE%\AppData\Local\Temp\OnboardLogs" /stypes="*4002*201704231*" /stext=" 18:.+((SYSTEM_STATE.+slice.+state.+changed )|(ment ac)|(multiple cpu faults)|(system.+state.+changed )|(\[timeout)|(PRM\|1\|D)|(kpr)|(kdp)|(\|lc)|(penalty))"</v>
      </c>
      <c r="U14" s="9" t="str">
        <f t="shared" si="2"/>
        <v>4002</v>
      </c>
      <c r="V14" s="31">
        <f t="shared" si="3"/>
        <v>42848.774930555555</v>
      </c>
      <c r="W14" s="45" t="str">
        <f t="shared" si="4"/>
        <v>EC</v>
      </c>
      <c r="X14" s="45" t="str">
        <f t="shared" si="5"/>
        <v>KEEP</v>
      </c>
      <c r="Y14" s="99" t="str">
        <f t="shared" si="6"/>
        <v>echo {"issue":{"subject":"","project_id":79,"tracker_id":40,"status_id":1,"priority_id":2,"assigned_to_id":23,"start_date":"2017-04-23","description":"","custom_fields":[{"id":1,"name":"Subdivision","value":"EC"},{"id":4,"name":"Milepost","value":"11.6838"},{"id":17,"name":"Train ID","value":"169-23"},{"id":16,"name":"Locomotive ID","value":"4002"},{"id":130,"name":"Impact","value":""},{"id":150,"name":"Time of Event (Mountain Time)","value":"12:35:54"},{"id":151,"name":"Denver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69"/>
      <c r="AA14" s="47"/>
      <c r="AB14" s="47"/>
      <c r="AC14" s="118" t="str">
        <f t="shared" si="7"/>
        <v>grep -hSE -A400 "Enforcement Action" "%USERPROFILE%\AppData\Local\Temp\OnboardLogs"\RTDC4002\*4002*201704231*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"%USERPROFILE%\AppData\Local\Temp\OnboardLogs"\RTDC4002\*4002*201704231* &gt;&gt; 2017-04-23-SliceDisagreementCheck.txt</v>
      </c>
      <c r="AE14" s="148" t="str">
        <f t="shared" si="9"/>
        <v>start /low /b %USERPROFILE%\Documents\GitHub\eaglep3\Utilities\DownloadLogsFromS3.py --loco 4002 --day 2017-04-23</v>
      </c>
      <c r="AF14" s="1"/>
    </row>
    <row r="15" spans="1:32" x14ac:dyDescent="0.25">
      <c r="A15" s="31">
        <v>42848.656458333331</v>
      </c>
      <c r="B15" s="30" t="s">
        <v>397</v>
      </c>
      <c r="C15" s="30" t="s">
        <v>614</v>
      </c>
      <c r="D15" s="30" t="s">
        <v>49</v>
      </c>
      <c r="E15" s="30" t="s">
        <v>454</v>
      </c>
      <c r="F15" s="42">
        <v>0</v>
      </c>
      <c r="G15" s="42">
        <v>420</v>
      </c>
      <c r="H15" s="42">
        <v>66655</v>
      </c>
      <c r="I15" s="42">
        <v>68095</v>
      </c>
      <c r="J15" s="30" t="s">
        <v>455</v>
      </c>
      <c r="K15" s="42">
        <v>68372</v>
      </c>
      <c r="L15" s="134" t="s">
        <v>50</v>
      </c>
      <c r="M15" s="135">
        <f t="shared" si="0"/>
        <v>146.256</v>
      </c>
      <c r="N15" s="136" t="str">
        <f>VLOOKUP(C15,'Trips&amp;Operators'!$C$1:$G$99999,5,FALSE)</f>
        <v>DAVIDSON DAVID</v>
      </c>
      <c r="O15" s="164" t="s">
        <v>433</v>
      </c>
      <c r="P15" s="137" t="s">
        <v>1032</v>
      </c>
      <c r="Q15" s="30"/>
      <c r="R15" s="84" t="e">
        <f>IF(VLOOKUP(C15,'Train Runs'!$A$13:$AE$9937,1,1)=C15,VLOOKUP(C15,'Train Runs'!$A$13:$AE$9937,31,1),NA())</f>
        <v>#N/A</v>
      </c>
      <c r="S15" s="87" t="str">
        <f>VLOOKUP(C15,'Train Runs'!$A$13:$AE$9937,22,0)</f>
        <v>https://d0f6bd738d7f1b3e5a7ca70fe4ff75f0.us-east-1.aws.found.io/app/kibana#/discover/Steve-Slow-Train-Analysis-(2080s-and-2083s)?_g=(refreshInterval:(display:Off,pause:!f,section:0,value:0),time:(from:'2017-04-23T14:21:09-0600',mode:absolute,to:'2017-04-23T17:08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15" s="89" t="str">
        <f t="shared" si="1"/>
        <v>"C:\Program Files (x86)\AstroGrep\AstroGrep.exe" /e /r /s /spath="%USERPROFILE%\AppData\Local\Temp\OnboardLogs" /stypes="*4004*201704232*" /stext=" 21:.+((SYSTEM_STATE.+slice.+state.+changed )|(ment ac)|(multiple cpu faults)|(system.+state.+changed )|(\[timeout)|(PRM\|1\|D)|(kpr)|(kdp)|(\|lc)|(penalty))"</v>
      </c>
      <c r="U15" s="9" t="str">
        <f t="shared" si="2"/>
        <v>4004</v>
      </c>
      <c r="V15" s="31">
        <f t="shared" si="3"/>
        <v>42848.906458333331</v>
      </c>
      <c r="W15" s="45" t="str">
        <f t="shared" si="4"/>
        <v>EC</v>
      </c>
      <c r="X15" s="45" t="str">
        <f t="shared" si="5"/>
        <v>KEEP</v>
      </c>
      <c r="Y15" s="99" t="str">
        <f t="shared" si="6"/>
        <v>echo {"issue":{"subject":"Wi-MAX data drop","project_id":79,"tracker_id":40,"status_id":1,"priority_id":2,"assigned_to_id":23,"start_date":"2017-04-23","description":"","custom_fields":[{"id":1,"name":"Subdivision","value":"EC"},{"id":4,"name":"Milepost","value":"6.8372"},{"id":17,"name":"Train ID","value":"195-23"},{"id":16,"name":"Locomotive ID","value":"4004"},{"id":130,"name":"Impact","value":""},{"id":150,"name":"Time of Event (Mountain Time)","value":"15:45:18"},{"id":151,"name":"Denver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69"/>
      <c r="AA15" s="47"/>
      <c r="AB15" s="47"/>
      <c r="AC15" s="118" t="str">
        <f t="shared" si="7"/>
        <v>grep -hSE -A400 "Enforcement Action" "%USERPROFILE%\AppData\Local\Temp\OnboardLogs"\RTDC4004\*4004*201704232*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"%USERPROFILE%\AppData\Local\Temp\OnboardLogs"\RTDC4004\*4004*201704232* &gt;&gt; 2017-04-23-SliceDisagreementCheck.txt</v>
      </c>
      <c r="AE15" s="148" t="str">
        <f t="shared" si="9"/>
        <v>start /low /b %USERPROFILE%\Documents\GitHub\eaglep3\Utilities\DownloadLogsFromS3.py --loco 4004 --day 2017-04-23</v>
      </c>
      <c r="AF15" s="1"/>
    </row>
    <row r="16" spans="1:32" x14ac:dyDescent="0.25">
      <c r="A16" s="31">
        <v>42848.329583333332</v>
      </c>
      <c r="B16" s="30" t="s">
        <v>398</v>
      </c>
      <c r="C16" s="30" t="s">
        <v>602</v>
      </c>
      <c r="D16" s="30" t="s">
        <v>49</v>
      </c>
      <c r="E16" s="30" t="s">
        <v>454</v>
      </c>
      <c r="F16" s="42">
        <v>0</v>
      </c>
      <c r="G16" s="42">
        <v>79</v>
      </c>
      <c r="H16" s="42">
        <v>149952</v>
      </c>
      <c r="I16" s="42">
        <v>149843</v>
      </c>
      <c r="J16" s="30" t="s">
        <v>455</v>
      </c>
      <c r="K16" s="42">
        <v>149700</v>
      </c>
      <c r="L16" s="134" t="s">
        <v>51</v>
      </c>
      <c r="M16" s="135">
        <f t="shared" si="0"/>
        <v>75.504000000000005</v>
      </c>
      <c r="N16" s="136" t="str">
        <f>VLOOKUP(C16,'Trips&amp;Operators'!$C$1:$G$99999,5,FALSE)</f>
        <v>GEBRETEKLE DAGNEW</v>
      </c>
      <c r="O16" s="164" t="s">
        <v>433</v>
      </c>
      <c r="P16" s="137" t="s">
        <v>1022</v>
      </c>
      <c r="Q16" s="30"/>
      <c r="R16" s="84" t="str">
        <f>IF(VLOOKUP(C16,'Train Runs'!$A$13:$AE$9937,1,1)=C16,VLOOKUP(C16,'Train Runs'!$A$13:$AE$9937,31,1),NA())</f>
        <v>aws s3 cp s3://rtdc.mdm.uploadarchive.raw/RTDC4003/ "%USERPROFILE%\AppData\Local\Temp\OnboardLogs"\RTDC4003\2017-04-23 --exclude "*" --recursive --include "*20170423*" &amp; "%USERPROFILE%\Documents\GitHub\mrs-test-scripts\Headless Mode &amp; Sideloading\WalkAndUnGZ.bat" "%USERPROFILE%\AppData\Local\Temp\OnboardLogs"\RTDC4003\2017-04-23 &amp; aws s3 cp s3://rtdc.mdm.uploadarchive.raw/RTDC4003/ "%USERPROFILE%\AppData\Local\Temp\OnboardLogs"\RTDC4003\2017-04-24 --exclude "*" --recursive --include "*20170424*" &amp; "%USERPROFILE%\Documents\GitHub\mrs-test-scripts\Headless Mode &amp; Sideloading\WalkAndUnGZ.bat" "%USERPROFILE%\AppData\Local\Temp\OnboardLogs"\RTDC4003\2017-04-24</v>
      </c>
      <c r="S16" s="87" t="str">
        <f>VLOOKUP(C16,'Train Runs'!$A$13:$AE$9937,22,0)</f>
        <v>https://d0f6bd738d7f1b3e5a7ca70fe4ff75f0.us-east-1.aws.found.io/app/kibana#/discover/Steve-Slow-Train-Analysis-(2080s-and-2083s)?_g=(refreshInterval:(display:Off,pause:!f,section:0,value:0),time:(from:'2017-04-23T06:59:59-0600',mode:absolute,to:'2017-04-23T09:02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6" s="89" t="str">
        <f t="shared" si="1"/>
        <v>"C:\Program Files (x86)\AstroGrep\AstroGrep.exe" /e /r /s /spath="%USERPROFILE%\AppData\Local\Temp\OnboardLogs" /stypes="*4003*201704231*" /stext=" 13:.+((SYSTEM_STATE.+slice.+state.+changed )|(ment ac)|(multiple cpu faults)|(system.+state.+changed )|(\[timeout)|(PRM\|1\|D)|(kpr)|(kdp)|(\|lc)|(penalty))"</v>
      </c>
      <c r="U16" s="9" t="str">
        <f t="shared" si="2"/>
        <v>4003</v>
      </c>
      <c r="V16" s="31">
        <f t="shared" si="3"/>
        <v>42848.579583333332</v>
      </c>
      <c r="W16" s="45" t="str">
        <f t="shared" si="4"/>
        <v>EC</v>
      </c>
      <c r="X16" s="45" t="str">
        <f t="shared" si="5"/>
        <v>KEEP</v>
      </c>
      <c r="Y16" s="99" t="str">
        <f t="shared" si="6"/>
        <v>echo {"issue":{"subject":"FEP-02 outage - virus scan caused PTC Comms apps to lock up","project_id":79,"tracker_id":40,"status_id":1,"priority_id":2,"assigned_to_id":23,"start_date":"2017-04-23","description":"","custom_fields":[{"id":1,"name":"Subdivision","value":"EC"},{"id":4,"name":"Milepost","value":"14.97"},{"id":17,"name":"Train ID","value":"126-23"},{"id":16,"name":"Locomotive ID","value":"4003"},{"id":130,"name":"Impact","value":""},{"id":150,"name":"Time of Event (Mountain Time)","value":"07:54:36"},{"id":151,"name":"Denver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69"/>
      <c r="AA16" s="47"/>
      <c r="AB16" s="47"/>
      <c r="AC16" s="118" t="str">
        <f t="shared" si="7"/>
        <v>grep -hSE -A400 "Enforcement Action" "%USERPROFILE%\AppData\Local\Temp\OnboardLogs"\RTDC4003\*4003*201704231*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"%USERPROFILE%\AppData\Local\Temp\OnboardLogs"\RTDC4003\*4003*201704231* &gt;&gt; 2017-04-23-SliceDisagreementCheck.txt</v>
      </c>
      <c r="AE16" s="148" t="str">
        <f t="shared" si="9"/>
        <v>start /low /b %USERPROFILE%\Documents\GitHub\eaglep3\Utilities\DownloadLogsFromS3.py --loco 4003 --day 2017-04-23</v>
      </c>
      <c r="AF16" s="1"/>
    </row>
    <row r="17" spans="1:32" x14ac:dyDescent="0.25">
      <c r="A17" s="31">
        <v>42848.72278935185</v>
      </c>
      <c r="B17" s="30" t="s">
        <v>359</v>
      </c>
      <c r="C17" s="30" t="s">
        <v>616</v>
      </c>
      <c r="D17" s="30" t="s">
        <v>49</v>
      </c>
      <c r="E17" s="30" t="s">
        <v>454</v>
      </c>
      <c r="F17" s="42">
        <v>0</v>
      </c>
      <c r="G17" s="42">
        <v>165</v>
      </c>
      <c r="H17" s="42">
        <v>227830</v>
      </c>
      <c r="I17" s="42">
        <v>228096</v>
      </c>
      <c r="J17" s="30" t="s">
        <v>455</v>
      </c>
      <c r="K17" s="42">
        <v>228572</v>
      </c>
      <c r="L17" s="134" t="s">
        <v>50</v>
      </c>
      <c r="M17" s="135">
        <f t="shared" si="0"/>
        <v>251.328</v>
      </c>
      <c r="N17" s="136" t="str">
        <f>VLOOKUP(C17,'Trips&amp;Operators'!$C$1:$G$99999,5,FALSE)</f>
        <v>LEVIN SCOTT</v>
      </c>
      <c r="O17" s="164" t="s">
        <v>184</v>
      </c>
      <c r="P17" s="137" t="s">
        <v>1024</v>
      </c>
      <c r="Q17" s="30"/>
      <c r="R17" s="84" t="e">
        <f>IF(VLOOKUP(C17,'Train Runs'!$A$13:$AE$9937,1,1)=C17,VLOOKUP(C17,'Train Runs'!$A$13:$AE$9937,31,1),NA())</f>
        <v>#N/A</v>
      </c>
      <c r="S17" s="87" t="str">
        <f>VLOOKUP(C17,'Train Runs'!$A$13:$AE$9937,22,0)</f>
        <v>https://d0f6bd738d7f1b3e5a7ca70fe4ff75f0.us-east-1.aws.found.io/app/kibana#/discover/Steve-Slow-Train-Analysis-(2080s-and-2083s)?_g=(refreshInterval:(display:Off,pause:!f,section:0,value:0),time:(from:'2017-04-23T15:40:18-0600',mode:absolute,to:'2017-04-23T18:20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17" s="89" t="str">
        <f t="shared" si="1"/>
        <v>"C:\Program Files (x86)\AstroGrep\AstroGrep.exe" /e /r /s /spath="%USERPROFILE%\AppData\Local\Temp\OnboardLogs" /stypes="*4022*201704232*" /stext=" 23:.+((SYSTEM_STATE.+slice.+state.+changed )|(ment ac)|(multiple cpu faults)|(system.+state.+changed )|(\[timeout)|(PRM\|1\|D)|(kpr)|(kdp)|(\|lc)|(penalty))"</v>
      </c>
      <c r="U17" s="9" t="str">
        <f t="shared" si="2"/>
        <v>4022</v>
      </c>
      <c r="V17" s="31">
        <f t="shared" si="3"/>
        <v>42848.97278935185</v>
      </c>
      <c r="W17" s="45" t="str">
        <f t="shared" si="4"/>
        <v>EC</v>
      </c>
      <c r="X17" s="45" t="str">
        <f t="shared" si="5"/>
        <v>KEEP</v>
      </c>
      <c r="Y17" s="99" t="str">
        <f t="shared" si="6"/>
        <v>echo {"issue":{"subject":"DTO Efficiency Test","project_id":79,"tracker_id":40,"status_id":1,"priority_id":2,"assigned_to_id":23,"start_date":"2017-04-23","description":"","custom_fields":[{"id":1,"name":"Subdivision","value":"EC"},{"id":4,"name":"Milepost","value":"22.8572"},{"id":17,"name":"Train ID","value":"205-23"},{"id":16,"name":"Locomotive ID","value":"4022"},{"id":130,"name":"Impact","value":""},{"id":150,"name":"Time of Event (Mountain Time)","value":"17:20:49"},{"id":151,"name":"Denver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69"/>
      <c r="AA17" s="47"/>
      <c r="AB17" s="47"/>
      <c r="AC17" s="118" t="str">
        <f t="shared" si="7"/>
        <v>grep -hSE -A400 "Enforcement Action" "%USERPROFILE%\AppData\Local\Temp\OnboardLogs"\RTDC4022\*4022*201704232*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"%USERPROFILE%\AppData\Local\Temp\OnboardLogs"\RTDC4022\*4022*201704232* &gt;&gt; 2017-04-23-SliceDisagreementCheck.txt</v>
      </c>
      <c r="AE17" s="148" t="str">
        <f t="shared" si="9"/>
        <v>start /low /b %USERPROFILE%\Documents\GitHub\eaglep3\Utilities\DownloadLogsFromS3.py --loco 4022 --day 2017-04-23</v>
      </c>
      <c r="AF17" s="1"/>
    </row>
    <row r="18" spans="1:32" x14ac:dyDescent="0.25">
      <c r="A18" s="31">
        <v>42848.174641203703</v>
      </c>
      <c r="B18" s="30" t="s">
        <v>456</v>
      </c>
      <c r="C18" s="30" t="s">
        <v>600</v>
      </c>
      <c r="D18" s="30" t="s">
        <v>49</v>
      </c>
      <c r="E18" s="30" t="s">
        <v>454</v>
      </c>
      <c r="F18" s="42">
        <v>0</v>
      </c>
      <c r="G18" s="42">
        <v>130</v>
      </c>
      <c r="H18" s="42">
        <v>232245</v>
      </c>
      <c r="I18" s="42">
        <v>232099</v>
      </c>
      <c r="J18" s="30" t="s">
        <v>455</v>
      </c>
      <c r="K18" s="42">
        <v>231650</v>
      </c>
      <c r="L18" s="134" t="s">
        <v>51</v>
      </c>
      <c r="M18" s="135">
        <f t="shared" si="0"/>
        <v>237.072</v>
      </c>
      <c r="N18" s="136" t="str">
        <f>VLOOKUP(C18,'Trips&amp;Operators'!$C$1:$G$99999,5,FALSE)</f>
        <v>SANTIZO D. EDY</v>
      </c>
      <c r="O18" s="164" t="s">
        <v>433</v>
      </c>
      <c r="P18" s="137" t="s">
        <v>1022</v>
      </c>
      <c r="Q18" s="30"/>
      <c r="R18" s="84" t="str">
        <f>IF(VLOOKUP(C18,'Train Runs'!$A$13:$AE$9937,1,1)=C18,VLOOKUP(C18,'Train Runs'!$A$13:$AE$9937,31,1),NA())</f>
        <v>aws s3 cp s3://rtdc.mdm.uploadarchive.raw/RTDC4001/ "%USERPROFILE%\AppData\Local\Temp\OnboardLogs"\RTDC4001\2017-04-23 --exclude "*" --recursive --include "*20170423*" &amp; "%USERPROFILE%\Documents\GitHub\mrs-test-scripts\Headless Mode &amp; Sideloading\WalkAndUnGZ.bat" "%USERPROFILE%\AppData\Local\Temp\OnboardLogs"\RTDC4001\2017-04-23 &amp; aws s3 cp s3://rtdc.mdm.uploadarchive.raw/RTDC4001/ "%USERPROFILE%\AppData\Local\Temp\OnboardLogs"\RTDC4001\2017-04-24 --exclude "*" --recursive --include "*20170424*" &amp; "%USERPROFILE%\Documents\GitHub\mrs-test-scripts\Headless Mode &amp; Sideloading\WalkAndUnGZ.bat" "%USERPROFILE%\AppData\Local\Temp\OnboardLogs"\RTDC4001\2017-04-24</v>
      </c>
      <c r="S18" s="87" t="str">
        <f>VLOOKUP(C18,'Train Runs'!$A$13:$AE$9937,22,0)</f>
        <v>https://d0f6bd738d7f1b3e5a7ca70fe4ff75f0.us-east-1.aws.found.io/app/kibana#/discover/Steve-Slow-Train-Analysis-(2080s-and-2083s)?_g=(refreshInterval:(display:Off,pause:!f,section:0,value:0),time:(from:'2017-04-23T02:56:44-0600',mode:absolute,to:'2017-04-23T05:11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8" s="89" t="str">
        <f t="shared" si="1"/>
        <v>"C:\Program Files (x86)\AstroGrep\AstroGrep.exe" /e /r /s /spath="%USERPROFILE%\AppData\Local\Temp\OnboardLogs" /stypes="*4001*201704231*" /stext=" 10:.+((SYSTEM_STATE.+slice.+state.+changed )|(ment ac)|(multiple cpu faults)|(system.+state.+changed )|(\[timeout)|(PRM\|1\|D)|(kpr)|(kdp)|(\|lc)|(penalty))"</v>
      </c>
      <c r="U18" s="9" t="str">
        <f t="shared" si="2"/>
        <v>4001</v>
      </c>
      <c r="V18" s="31">
        <f t="shared" si="3"/>
        <v>42848.424641203703</v>
      </c>
      <c r="W18" s="45" t="str">
        <f t="shared" si="4"/>
        <v>EC</v>
      </c>
      <c r="X18" s="45" t="str">
        <f t="shared" si="5"/>
        <v>KEEP</v>
      </c>
      <c r="Y18" s="99" t="str">
        <f t="shared" si="6"/>
        <v>echo {"issue":{"subject":"FEP-02 outage - virus scan caused PTC Comms apps to lock up","project_id":79,"tracker_id":40,"status_id":1,"priority_id":2,"assigned_to_id":23,"start_date":"2017-04-23","description":"","custom_fields":[{"id":1,"name":"Subdivision","value":"EC"},{"id":4,"name":"Milepost","value":"23.165"},{"id":17,"name":"Train ID","value":"102-23"},{"id":16,"name":"Locomotive ID","value":"4001"},{"id":130,"name":"Impact","value":""},{"id":150,"name":"Time of Event (Mountain Time)","value":"04:11:29"},{"id":151,"name":"Denver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69"/>
      <c r="AA18" s="47"/>
      <c r="AB18" s="47"/>
      <c r="AC18" s="118" t="str">
        <f t="shared" si="7"/>
        <v>grep -hSE -A400 "Enforcement Action" "%USERPROFILE%\AppData\Local\Temp\OnboardLogs"\RTDC4001\*4001*201704231*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"%USERPROFILE%\AppData\Local\Temp\OnboardLogs"\RTDC4001\*4001*201704231* &gt;&gt; 2017-04-23-SliceDisagreementCheck.txt</v>
      </c>
      <c r="AE18" s="148" t="str">
        <f t="shared" si="9"/>
        <v>start /low /b %USERPROFILE%\Documents\GitHub\eaglep3\Utilities\DownloadLogsFromS3.py --loco 4001 --day 2017-04-23</v>
      </c>
      <c r="AF18" s="1"/>
    </row>
    <row r="19" spans="1:32" x14ac:dyDescent="0.25">
      <c r="A19" s="31">
        <v>42848.320497685185</v>
      </c>
      <c r="B19" s="30" t="s">
        <v>398</v>
      </c>
      <c r="C19" s="30" t="s">
        <v>602</v>
      </c>
      <c r="D19" s="30" t="s">
        <v>49</v>
      </c>
      <c r="E19" s="30" t="s">
        <v>454</v>
      </c>
      <c r="F19" s="42">
        <v>0</v>
      </c>
      <c r="G19" s="42">
        <v>135</v>
      </c>
      <c r="H19" s="42">
        <v>232503</v>
      </c>
      <c r="I19" s="42">
        <v>232294</v>
      </c>
      <c r="J19" s="30" t="s">
        <v>455</v>
      </c>
      <c r="K19" s="42">
        <v>231650</v>
      </c>
      <c r="L19" s="134" t="s">
        <v>51</v>
      </c>
      <c r="M19" s="135">
        <f t="shared" si="0"/>
        <v>340.03199999999998</v>
      </c>
      <c r="N19" s="136" t="str">
        <f>VLOOKUP(C19,'Trips&amp;Operators'!$C$1:$G$99999,5,FALSE)</f>
        <v>GEBRETEKLE DAGNEW</v>
      </c>
      <c r="O19" s="164" t="s">
        <v>433</v>
      </c>
      <c r="P19" s="137" t="s">
        <v>1022</v>
      </c>
      <c r="Q19" s="30"/>
      <c r="R19" s="84" t="str">
        <f>IF(VLOOKUP(C19,'Train Runs'!$A$13:$AE$9937,1,1)=C19,VLOOKUP(C19,'Train Runs'!$A$13:$AE$9937,31,1),NA())</f>
        <v>aws s3 cp s3://rtdc.mdm.uploadarchive.raw/RTDC4003/ "%USERPROFILE%\AppData\Local\Temp\OnboardLogs"\RTDC4003\2017-04-23 --exclude "*" --recursive --include "*20170423*" &amp; "%USERPROFILE%\Documents\GitHub\mrs-test-scripts\Headless Mode &amp; Sideloading\WalkAndUnGZ.bat" "%USERPROFILE%\AppData\Local\Temp\OnboardLogs"\RTDC4003\2017-04-23 &amp; aws s3 cp s3://rtdc.mdm.uploadarchive.raw/RTDC4003/ "%USERPROFILE%\AppData\Local\Temp\OnboardLogs"\RTDC4003\2017-04-24 --exclude "*" --recursive --include "*20170424*" &amp; "%USERPROFILE%\Documents\GitHub\mrs-test-scripts\Headless Mode &amp; Sideloading\WalkAndUnGZ.bat" "%USERPROFILE%\AppData\Local\Temp\OnboardLogs"\RTDC4003\2017-04-24</v>
      </c>
      <c r="S19" s="87" t="str">
        <f>VLOOKUP(C19,'Train Runs'!$A$13:$AE$9937,22,0)</f>
        <v>https://d0f6bd738d7f1b3e5a7ca70fe4ff75f0.us-east-1.aws.found.io/app/kibana#/discover/Steve-Slow-Train-Analysis-(2080s-and-2083s)?_g=(refreshInterval:(display:Off,pause:!f,section:0,value:0),time:(from:'2017-04-23T06:59:59-0600',mode:absolute,to:'2017-04-23T09:02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9" s="89" t="str">
        <f t="shared" si="1"/>
        <v>"C:\Program Files (x86)\AstroGrep\AstroGrep.exe" /e /r /s /spath="%USERPROFILE%\AppData\Local\Temp\OnboardLogs" /stypes="*4003*201704231*" /stext=" 13:.+((SYSTEM_STATE.+slice.+state.+changed )|(ment ac)|(multiple cpu faults)|(system.+state.+changed )|(\[timeout)|(PRM\|1\|D)|(kpr)|(kdp)|(\|lc)|(penalty))"</v>
      </c>
      <c r="U19" s="9" t="str">
        <f t="shared" si="2"/>
        <v>4003</v>
      </c>
      <c r="V19" s="31">
        <f t="shared" si="3"/>
        <v>42848.570497685185</v>
      </c>
      <c r="W19" s="45" t="str">
        <f t="shared" si="4"/>
        <v>EC</v>
      </c>
      <c r="X19" s="45" t="str">
        <f t="shared" si="5"/>
        <v>KEEP</v>
      </c>
      <c r="Y19" s="99" t="str">
        <f t="shared" si="6"/>
        <v>echo {"issue":{"subject":"FEP-02 outage - virus scan caused PTC Comms apps to lock up","project_id":79,"tracker_id":40,"status_id":1,"priority_id":2,"assigned_to_id":23,"start_date":"2017-04-23","description":"","custom_fields":[{"id":1,"name":"Subdivision","value":"EC"},{"id":4,"name":"Milepost","value":"23.165"},{"id":17,"name":"Train ID","value":"126-23"},{"id":16,"name":"Locomotive ID","value":"4003"},{"id":130,"name":"Impact","value":""},{"id":150,"name":"Time of Event (Mountain Time)","value":"07:41:31"},{"id":151,"name":"Denver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69"/>
      <c r="AA19" s="47"/>
      <c r="AB19" s="47"/>
      <c r="AC19" s="118" t="str">
        <f t="shared" si="7"/>
        <v>grep -hSE -A400 "Enforcement Action" "%USERPROFILE%\AppData\Local\Temp\OnboardLogs"\RTDC4003\*4003*201704231*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"%USERPROFILE%\AppData\Local\Temp\OnboardLogs"\RTDC4003\*4003*201704231* &gt;&gt; 2017-04-23-SliceDisagreementCheck.txt</v>
      </c>
      <c r="AE19" s="148" t="str">
        <f t="shared" si="9"/>
        <v>start /low /b %USERPROFILE%\Documents\GitHub\eaglep3\Utilities\DownloadLogsFromS3.py --loco 4003 --day 2017-04-23</v>
      </c>
      <c r="AF19" s="1"/>
    </row>
    <row r="20" spans="1:32" x14ac:dyDescent="0.25">
      <c r="A20" s="31">
        <v>42848.462766203702</v>
      </c>
      <c r="B20" s="30" t="s">
        <v>440</v>
      </c>
      <c r="C20" s="30" t="s">
        <v>606</v>
      </c>
      <c r="D20" s="30" t="s">
        <v>49</v>
      </c>
      <c r="E20" s="30" t="s">
        <v>185</v>
      </c>
      <c r="F20" s="42">
        <v>0</v>
      </c>
      <c r="G20" s="42">
        <v>18</v>
      </c>
      <c r="H20" s="42">
        <v>109</v>
      </c>
      <c r="I20" s="42">
        <v>107</v>
      </c>
      <c r="J20" s="30" t="s">
        <v>186</v>
      </c>
      <c r="K20" s="42">
        <v>1</v>
      </c>
      <c r="L20" s="134" t="s">
        <v>51</v>
      </c>
      <c r="M20" s="135">
        <f t="shared" si="0"/>
        <v>55.968000000000004</v>
      </c>
      <c r="N20" s="136" t="str">
        <f>VLOOKUP(C20,'Trips&amp;Operators'!$C$1:$G$99999,5,FALSE)</f>
        <v>BADERTSCHER DIANE</v>
      </c>
      <c r="O20" s="164" t="s">
        <v>184</v>
      </c>
      <c r="P20" s="137"/>
      <c r="Q20" s="30"/>
      <c r="R20" s="84" t="str">
        <f>IF(VLOOKUP(C20,'Train Runs'!$A$13:$AE$9937,1,1)=C20,VLOOKUP(C20,'Train Runs'!$A$13:$AE$9937,31,1),NA())</f>
        <v>aws s3 cp s3://rtdc.mdm.uploadarchive.raw/RTDC4015/ "%USERPROFILE%\AppData\Local\Temp\OnboardLogs"\RTDC4015\2017-04-23 --exclude "*" --recursive --include "*20170423*" &amp; "%USERPROFILE%\Documents\GitHub\mrs-test-scripts\Headless Mode &amp; Sideloading\WalkAndUnGZ.bat" "%USERPROFILE%\AppData\Local\Temp\OnboardLogs"\RTDC4015\2017-04-23 &amp; aws s3 cp s3://rtdc.mdm.uploadarchive.raw/RTDC4015/ "%USERPROFILE%\AppData\Local\Temp\OnboardLogs"\RTDC4015\2017-04-24 --exclude "*" --recursive --include "*20170424*" &amp; "%USERPROFILE%\Documents\GitHub\mrs-test-scripts\Headless Mode &amp; Sideloading\WalkAndUnGZ.bat" "%USERPROFILE%\AppData\Local\Temp\OnboardLogs"\RTDC4015\2017-04-24</v>
      </c>
      <c r="S20" s="87" t="str">
        <f>VLOOKUP(C20,'Train Runs'!$A$13:$AE$9937,22,0)</f>
        <v>https://d0f6bd738d7f1b3e5a7ca70fe4ff75f0.us-east-1.aws.found.io/app/kibana#/discover/Steve-Slow-Train-Analysis-(2080s-and-2083s)?_g=(refreshInterval:(display:Off,pause:!f,section:0,value:0),time:(from:'2017-04-23T09:19:11-0600',mode:absolute,to:'2017-04-23T12:06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0" s="89" t="str">
        <f t="shared" si="1"/>
        <v>"C:\Program Files (x86)\AstroGrep\AstroGrep.exe" /e /r /s /spath="%USERPROFILE%\AppData\Local\Temp\OnboardLogs" /stypes="*4015*201704231*" /stext=" 17:.+((SYSTEM_STATE.+slice.+state.+changed )|(ment ac)|(multiple cpu faults)|(system.+state.+changed )|(\[timeout)|(PRM\|1\|D)|(kpr)|(kdp)|(\|lc)|(penalty))"</v>
      </c>
      <c r="U20" s="9" t="str">
        <f t="shared" si="2"/>
        <v>4015</v>
      </c>
      <c r="V20" s="31">
        <f t="shared" si="3"/>
        <v>42848.712766203702</v>
      </c>
      <c r="W20" s="45" t="str">
        <f t="shared" si="4"/>
        <v>EC</v>
      </c>
      <c r="X20" s="45" t="str">
        <f t="shared" si="5"/>
        <v>KEEP</v>
      </c>
      <c r="Y20" s="99" t="str">
        <f t="shared" si="6"/>
        <v>echo {"issue":{"subject":"","project_id":79,"tracker_id":40,"status_id":1,"priority_id":2,"assigned_to_id":23,"start_date":"2017-04-23","description":"","custom_fields":[{"id":1,"name":"Subdivision","value":"EC"},{"id":4,"name":"Milepost","value":"0.0001"},{"id":17,"name":"Train ID","value":"148-23"},{"id":16,"name":"Locomotive ID","value":"4015"},{"id":130,"name":"Impact","value":""},{"id":150,"name":"Time of Event (Mountain Time)","value":"11:06:23"},{"id":151,"name":"Denver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69"/>
      <c r="AA20" s="47"/>
      <c r="AB20" s="47"/>
      <c r="AC20" s="118" t="str">
        <f t="shared" si="7"/>
        <v>grep -hSE -A400 "Enforcement Action" "%USERPROFILE%\AppData\Local\Temp\OnboardLogs"\RTDC4015\*4015*201704231*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"%USERPROFILE%\AppData\Local\Temp\OnboardLogs"\RTDC4015\*4015*201704231* &gt;&gt; 2017-04-23-SliceDisagreementCheck.txt</v>
      </c>
      <c r="AE20" s="148" t="str">
        <f t="shared" si="9"/>
        <v>start /low /b %USERPROFILE%\Documents\GitHub\eaglep3\Utilities\DownloadLogsFromS3.py --loco 4015 --day 2017-04-23</v>
      </c>
      <c r="AF20" s="1"/>
    </row>
    <row r="21" spans="1:32" x14ac:dyDescent="0.25">
      <c r="A21" s="31">
        <v>42848.733923611115</v>
      </c>
      <c r="B21" s="30" t="s">
        <v>390</v>
      </c>
      <c r="C21" s="30" t="s">
        <v>617</v>
      </c>
      <c r="D21" s="30" t="s">
        <v>49</v>
      </c>
      <c r="E21" s="30" t="s">
        <v>185</v>
      </c>
      <c r="F21" s="42">
        <v>0</v>
      </c>
      <c r="G21" s="42">
        <v>33</v>
      </c>
      <c r="H21" s="42">
        <v>138</v>
      </c>
      <c r="I21" s="42">
        <v>121</v>
      </c>
      <c r="J21" s="30" t="s">
        <v>186</v>
      </c>
      <c r="K21" s="42">
        <v>1</v>
      </c>
      <c r="L21" s="134" t="s">
        <v>51</v>
      </c>
      <c r="M21" s="135">
        <f t="shared" si="0"/>
        <v>63.36</v>
      </c>
      <c r="N21" s="136" t="str">
        <f>VLOOKUP(C21,'Trips&amp;Operators'!$C$1:$G$99999,5,FALSE)</f>
        <v>BRANDNER MELINDA</v>
      </c>
      <c r="O21" s="164" t="s">
        <v>184</v>
      </c>
      <c r="P21" s="137"/>
      <c r="Q21" s="30"/>
      <c r="R21" s="84" t="e">
        <f>IF(VLOOKUP(C21,'Train Runs'!$A$13:$AE$9937,1,1)=C21,VLOOKUP(C21,'Train Runs'!$A$13:$AE$9937,31,1),NA())</f>
        <v>#N/A</v>
      </c>
      <c r="S21" s="87" t="str">
        <f>VLOOKUP(C21,'Train Runs'!$A$13:$AE$9937,22,0)</f>
        <v>https://d0f6bd738d7f1b3e5a7ca70fe4ff75f0.us-east-1.aws.found.io/app/kibana#/discover/Steve-Slow-Train-Analysis-(2080s-and-2083s)?_g=(refreshInterval:(display:Off,pause:!f,section:0,value:0),time:(from:'2017-04-23T15:48:39-0600',mode:absolute,to:'2017-04-23T18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21" s="89" t="str">
        <f t="shared" si="1"/>
        <v>"C:\Program Files (x86)\AstroGrep\AstroGrep.exe" /e /r /s /spath="%USERPROFILE%\AppData\Local\Temp\OnboardLogs" /stypes="*4045*201704232*" /stext=" 23:.+((SYSTEM_STATE.+slice.+state.+changed )|(ment ac)|(multiple cpu faults)|(system.+state.+changed )|(\[timeout)|(PRM\|1\|D)|(kpr)|(kdp)|(\|lc)|(penalty))"</v>
      </c>
      <c r="U21" s="9" t="str">
        <f t="shared" si="2"/>
        <v>4045</v>
      </c>
      <c r="V21" s="31">
        <f t="shared" si="3"/>
        <v>42848.983923611115</v>
      </c>
      <c r="W21" s="45" t="str">
        <f t="shared" si="4"/>
        <v>EC</v>
      </c>
      <c r="X21" s="45" t="str">
        <f t="shared" si="5"/>
        <v>KEEP</v>
      </c>
      <c r="Y21" s="99" t="str">
        <f t="shared" si="6"/>
        <v>echo {"issue":{"subject":"","project_id":79,"tracker_id":40,"status_id":1,"priority_id":2,"assigned_to_id":23,"start_date":"2017-04-23","description":"","custom_fields":[{"id":1,"name":"Subdivision","value":"EC"},{"id":4,"name":"Milepost","value":"0.0001"},{"id":17,"name":"Train ID","value":"200-23"},{"id":16,"name":"Locomotive ID","value":"4045"},{"id":130,"name":"Impact","value":""},{"id":150,"name":"Time of Event (Mountain Time)","value":"17:36:51"},{"id":151,"name":"Denver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69"/>
      <c r="AA21" s="47"/>
      <c r="AB21" s="47"/>
      <c r="AC21" s="118" t="str">
        <f t="shared" si="7"/>
        <v>grep -hSE -A400 "Enforcement Action" "%USERPROFILE%\AppData\Local\Temp\OnboardLogs"\RTDC4045\*4045*201704232*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"%USERPROFILE%\AppData\Local\Temp\OnboardLogs"\RTDC4045\*4045*201704232* &gt;&gt; 2017-04-23-SliceDisagreementCheck.txt</v>
      </c>
      <c r="AE21" s="148" t="str">
        <f t="shared" si="9"/>
        <v>start /low /b %USERPROFILE%\Documents\GitHub\eaglep3\Utilities\DownloadLogsFromS3.py --loco 4045 --day 2017-04-23</v>
      </c>
      <c r="AF21" s="1"/>
    </row>
    <row r="22" spans="1:32" x14ac:dyDescent="0.25">
      <c r="A22" s="31">
        <v>42848.862141203703</v>
      </c>
      <c r="B22" s="30" t="s">
        <v>603</v>
      </c>
      <c r="C22" s="30" t="s">
        <v>619</v>
      </c>
      <c r="D22" s="30" t="s">
        <v>49</v>
      </c>
      <c r="E22" s="30" t="s">
        <v>185</v>
      </c>
      <c r="F22" s="42">
        <v>0</v>
      </c>
      <c r="G22" s="42">
        <v>154</v>
      </c>
      <c r="H22" s="42">
        <v>232823</v>
      </c>
      <c r="I22" s="42">
        <v>232972</v>
      </c>
      <c r="J22" s="30" t="s">
        <v>186</v>
      </c>
      <c r="K22" s="42">
        <v>233491</v>
      </c>
      <c r="L22" s="134" t="s">
        <v>50</v>
      </c>
      <c r="M22" s="135">
        <f t="shared" si="0"/>
        <v>274.03199999999998</v>
      </c>
      <c r="N22" s="136" t="str">
        <f>VLOOKUP(C22,'Trips&amp;Operators'!$C$1:$G$99999,5,FALSE)</f>
        <v>DUNCAN SHEILA</v>
      </c>
      <c r="O22" s="164" t="s">
        <v>184</v>
      </c>
      <c r="P22" s="137"/>
      <c r="Q22" s="30"/>
      <c r="R22" s="84" t="e">
        <f>IF(VLOOKUP(C22,'Train Runs'!$A$13:$AE$9937,1,1)=C22,VLOOKUP(C22,'Train Runs'!$A$13:$AE$9937,31,1),NA())</f>
        <v>#N/A</v>
      </c>
      <c r="S22" s="87" t="str">
        <f>VLOOKUP(C22,'Train Runs'!$A$13:$AE$9937,22,0)</f>
        <v>https://d0f6bd738d7f1b3e5a7ca70fe4ff75f0.us-east-1.aws.found.io/app/kibana#/discover/Steve-Slow-Train-Analysis-(2080s-and-2083s)?_g=(refreshInterval:(display:Off,pause:!f,section:0,value:0),time:(from:'2017-04-23T18:53:26-0600',mode:absolute,to:'2017-04-23T21:41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22" s="89" t="str">
        <f t="shared" si="1"/>
        <v>"C:\Program Files (x86)\AstroGrep\AstroGrep.exe" /e /r /s /spath="%USERPROFILE%\AppData\Local\Temp\OnboardLogs" /stypes="*4016*201704240*" /stext=" 02:.+((SYSTEM_STATE.+slice.+state.+changed )|(ment ac)|(multiple cpu faults)|(system.+state.+changed )|(\[timeout)|(PRM\|1\|D)|(kpr)|(kdp)|(\|lc)|(penalty))"</v>
      </c>
      <c r="U22" s="9" t="str">
        <f t="shared" si="2"/>
        <v>4016</v>
      </c>
      <c r="V22" s="31">
        <f t="shared" si="3"/>
        <v>42849.112141203703</v>
      </c>
      <c r="W22" s="45" t="str">
        <f t="shared" si="4"/>
        <v>EC</v>
      </c>
      <c r="X22" s="45" t="str">
        <f t="shared" si="5"/>
        <v>KEEP</v>
      </c>
      <c r="Y22" s="99" t="str">
        <f t="shared" si="6"/>
        <v>echo {"issue":{"subject":"","project_id":79,"tracker_id":40,"status_id":1,"priority_id":2,"assigned_to_id":23,"start_date":"2017-04-23","description":"","custom_fields":[{"id":1,"name":"Subdivision","value":"EC"},{"id":4,"name":"Milepost","value":"23.3491"},{"id":17,"name":"Train ID","value":"225-23"},{"id":16,"name":"Locomotive ID","value":"4016"},{"id":130,"name":"Impact","value":""},{"id":150,"name":"Time of Event (Mountain Time)","value":"20:41:29"},{"id":151,"name":"Denver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69"/>
      <c r="AA22" s="47"/>
      <c r="AB22" s="47"/>
      <c r="AC22" s="118" t="str">
        <f t="shared" si="7"/>
        <v>grep -hSE -A400 "Enforcement Action" "%USERPROFILE%\AppData\Local\Temp\OnboardLogs"\RTDC4016\*4016*201704240*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"%USERPROFILE%\AppData\Local\Temp\OnboardLogs"\RTDC4016\*4016*201704240* &gt;&gt; 2017-04-23-SliceDisagreementCheck.txt</v>
      </c>
      <c r="AE22" s="148" t="str">
        <f t="shared" si="9"/>
        <v>start /low /b %USERPROFILE%\Documents\GitHub\eaglep3\Utilities\DownloadLogsFromS3.py --loco 4016 --day 2017-04-24</v>
      </c>
      <c r="AF22" s="1"/>
    </row>
    <row r="23" spans="1:32" x14ac:dyDescent="0.25">
      <c r="A23" s="31">
        <v>42848.618206018517</v>
      </c>
      <c r="B23" s="30" t="s">
        <v>356</v>
      </c>
      <c r="C23" s="30" t="s">
        <v>610</v>
      </c>
      <c r="D23" s="30" t="s">
        <v>49</v>
      </c>
      <c r="E23" s="30" t="s">
        <v>191</v>
      </c>
      <c r="F23" s="42">
        <v>360</v>
      </c>
      <c r="G23" s="42">
        <v>455</v>
      </c>
      <c r="H23" s="42">
        <v>13038</v>
      </c>
      <c r="I23" s="42">
        <v>11477</v>
      </c>
      <c r="J23" s="30" t="s">
        <v>192</v>
      </c>
      <c r="K23" s="42">
        <v>10988</v>
      </c>
      <c r="L23" s="134" t="s">
        <v>51</v>
      </c>
      <c r="M23" s="135">
        <f t="shared" si="0"/>
        <v>258.19200000000001</v>
      </c>
      <c r="N23" s="136" t="str">
        <f>VLOOKUP(C23,'Trips&amp;Operators'!$C$1:$G$99999,5,FALSE)</f>
        <v>HELVIE ADAM</v>
      </c>
      <c r="O23" s="164" t="s">
        <v>184</v>
      </c>
      <c r="P23" s="137" t="s">
        <v>1031</v>
      </c>
      <c r="Q23" s="30"/>
      <c r="R23" s="84" t="str">
        <f>IF(VLOOKUP(C23,'Train Runs'!$A$13:$AE$9937,1,1)=C23,VLOOKUP(C23,'Train Runs'!$A$13:$AE$9937,31,1),NA())</f>
        <v>aws s3 cp s3://rtdc.mdm.uploadarchive.raw/RTDC4031/ "%USERPROFILE%\AppData\Local\Temp\OnboardLogs"\RTDC4031\2017-04-23 --exclude "*" --recursive --include "*20170423*" &amp; "%USERPROFILE%\Documents\GitHub\mrs-test-scripts\Headless Mode &amp; Sideloading\WalkAndUnGZ.bat" "%USERPROFILE%\AppData\Local\Temp\OnboardLogs"\RTDC4031\2017-04-23 &amp; aws s3 cp s3://rtdc.mdm.uploadarchive.raw/RTDC4031/ "%USERPROFILE%\AppData\Local\Temp\OnboardLogs"\RTDC4031\2017-04-24 --exclude "*" --recursive --include "*20170424*" &amp; "%USERPROFILE%\Documents\GitHub\mrs-test-scripts\Headless Mode &amp; Sideloading\WalkAndUnGZ.bat" "%USERPROFILE%\AppData\Local\Temp\OnboardLogs"\RTDC4031\2017-04-24</v>
      </c>
      <c r="S23" s="87" t="str">
        <f>VLOOKUP(C23,'Train Runs'!$A$13:$AE$9937,22,0)</f>
        <v>https://d0f6bd738d7f1b3e5a7ca70fe4ff75f0.us-east-1.aws.found.io/app/kibana#/discover/Steve-Slow-Train-Analysis-(2080s-and-2083s)?_g=(refreshInterval:(display:Off,pause:!f,section:0,value:0),time:(from:'2017-04-23T13:39:42-0600',mode:absolute,to:'2017-04-23T15:54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3" s="89" t="str">
        <f t="shared" si="1"/>
        <v>"C:\Program Files (x86)\AstroGrep\AstroGrep.exe" /e /r /s /spath="%USERPROFILE%\AppData\Local\Temp\OnboardLogs" /stypes="*4031*201704232*" /stext=" 20:.+((SYSTEM_STATE.+slice.+state.+changed )|(ment ac)|(multiple cpu faults)|(system.+state.+changed )|(\[timeout)|(PRM\|1\|D)|(kpr)|(kdp)|(\|lc)|(penalty))"</v>
      </c>
      <c r="U23" s="9" t="str">
        <f t="shared" si="2"/>
        <v>4031</v>
      </c>
      <c r="V23" s="31">
        <f t="shared" si="3"/>
        <v>42848.868206018517</v>
      </c>
      <c r="W23" s="45" t="str">
        <f t="shared" si="4"/>
        <v>NW</v>
      </c>
      <c r="X23" s="45" t="str">
        <f t="shared" si="5"/>
        <v>KEEP</v>
      </c>
      <c r="Y23" s="99" t="str">
        <f t="shared" si="6"/>
        <v>echo {"issue":{"subject":"Early arrival","project_id":79,"tracker_id":40,"status_id":1,"priority_id":2,"assigned_to_id":23,"start_date":"2017-04-23","description":"","custom_fields":[{"id":1,"name":"Subdivision","value":"NW"},{"id":4,"name":"Milepost","value":"1.0988"},{"id":17,"name":"Train ID","value":"1818-23"},{"id":16,"name":"Locomotive ID","value":"4031"},{"id":130,"name":"Impact","value":""},{"id":150,"name":"Time of Event (Mountain Time)","value":"14:50:13"},{"id":151,"name":"Denver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69"/>
      <c r="AA23" s="47"/>
      <c r="AB23" s="47"/>
      <c r="AC23" s="118" t="str">
        <f t="shared" si="7"/>
        <v>grep -hSE -A400 "Enforcement Action" "%USERPROFILE%\AppData\Local\Temp\OnboardLogs"\RTDC4031\*4031*201704232*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"%USERPROFILE%\AppData\Local\Temp\OnboardLogs"\RTDC4031\*4031*201704232* &gt;&gt; 2017-04-23-SliceDisagreementCheck.txt</v>
      </c>
      <c r="AE23" s="148" t="str">
        <f t="shared" si="9"/>
        <v>start /low /b %USERPROFILE%\Documents\GitHub\eaglep3\Utilities\DownloadLogsFromS3.py --loco 4031 --day 2017-04-23</v>
      </c>
      <c r="AF23" s="1"/>
    </row>
    <row r="24" spans="1:32" x14ac:dyDescent="0.25">
      <c r="A24" s="31">
        <v>42848.701701388891</v>
      </c>
      <c r="B24" s="30" t="s">
        <v>356</v>
      </c>
      <c r="C24" s="30" t="s">
        <v>615</v>
      </c>
      <c r="D24" s="30" t="s">
        <v>98</v>
      </c>
      <c r="E24" s="30" t="s">
        <v>211</v>
      </c>
      <c r="F24" s="42">
        <v>300</v>
      </c>
      <c r="G24" s="42">
        <v>350</v>
      </c>
      <c r="H24" s="42">
        <v>20988</v>
      </c>
      <c r="I24" s="42">
        <v>18323</v>
      </c>
      <c r="J24" s="30" t="s">
        <v>212</v>
      </c>
      <c r="K24" s="42">
        <v>23561</v>
      </c>
      <c r="L24" s="134" t="s">
        <v>51</v>
      </c>
      <c r="M24" s="135">
        <f t="shared" si="0"/>
        <v>-2765.6640000000002</v>
      </c>
      <c r="N24" s="136" t="str">
        <f>VLOOKUP(C24,'Trips&amp;Operators'!$C$1:$G$99999,5,FALSE)</f>
        <v>HELVIE ADAM</v>
      </c>
      <c r="O24" s="164" t="s">
        <v>184</v>
      </c>
      <c r="P24" s="137"/>
      <c r="Q24" s="30"/>
      <c r="R24" s="84" t="str">
        <f>IF(VLOOKUP(C24,'Train Runs'!$A$13:$AE$9937,1,1)=C24,VLOOKUP(C24,'Train Runs'!$A$13:$AE$9937,31,1),NA())</f>
        <v>aws s3 cp s3://rtdc.mdm.uploadarchive.raw/RTDC4031/ "%USERPROFILE%\AppData\Local\Temp\OnboardLogs"\RTDC4031\2017-04-23 --exclude "*" --recursive --include "*20170423*" &amp; "%USERPROFILE%\Documents\GitHub\mrs-test-scripts\Headless Mode &amp; Sideloading\WalkAndUnGZ.bat" "%USERPROFILE%\AppData\Local\Temp\OnboardLogs"\RTDC4031\2017-04-23 &amp; aws s3 cp s3://rtdc.mdm.uploadarchive.raw/RTDC4031/ "%USERPROFILE%\AppData\Local\Temp\OnboardLogs"\RTDC4031\2017-04-24 --exclude "*" --recursive --include "*20170424*" &amp; "%USERPROFILE%\Documents\GitHub\mrs-test-scripts\Headless Mode &amp; Sideloading\WalkAndUnGZ.bat" "%USERPROFILE%\AppData\Local\Temp\OnboardLogs"\RTDC4031\2017-04-24</v>
      </c>
      <c r="S24" s="87" t="str">
        <f>VLOOKUP(C24,'Train Runs'!$A$13:$AE$9937,22,0)</f>
        <v>https://d0f6bd738d7f1b3e5a7ca70fe4ff75f0.us-east-1.aws.found.io/app/kibana#/discover/Steve-Slow-Train-Analysis-(2080s-and-2083s)?_g=(refreshInterval:(display:Off,pause:!f,section:0,value:0),time:(from:'2017-04-23T15:36:48-0600',mode:absolute,to:'2017-04-23T17:55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4" s="89" t="str">
        <f t="shared" si="1"/>
        <v>"C:\Program Files (x86)\AstroGrep\AstroGrep.exe" /e /r /s /spath="%USERPROFILE%\AppData\Local\Temp\OnboardLogs" /stypes="*4031*201704232*" /stext=" 22:.+((SYSTEM_STATE.+slice.+state.+changed )|(ment ac)|(multiple cpu faults)|(system.+state.+changed )|(\[timeout)|(PRM\|1\|D)|(kpr)|(kdp)|(\|lc)|(penalty))"</v>
      </c>
      <c r="U24" s="9" t="str">
        <f t="shared" si="2"/>
        <v>4031</v>
      </c>
      <c r="V24" s="31">
        <f t="shared" si="3"/>
        <v>42848.951701388891</v>
      </c>
      <c r="W24" s="45" t="str">
        <f t="shared" si="4"/>
        <v>NW</v>
      </c>
      <c r="X24" s="45" t="str">
        <f t="shared" si="5"/>
        <v>KEEP</v>
      </c>
      <c r="Y24" s="99" t="str">
        <f t="shared" si="6"/>
        <v>echo {"issue":{"subject":"","project_id":79,"tracker_id":40,"status_id":1,"priority_id":2,"assigned_to_id":23,"start_date":"2017-04-23","description":"","custom_fields":[{"id":1,"name":"Subdivision","value":"NW"},{"id":4,"name":"Milepost","value":"2.3561"},{"id":17,"name":"Train ID","value":"1822-23"},{"id":16,"name":"Locomotive ID","value":"4031"},{"id":130,"name":"Impact","value":""},{"id":150,"name":"Time of Event (Mountain Time)","value":"16:50:27"},{"id":151,"name":"Denver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69"/>
      <c r="AA24" s="47"/>
      <c r="AB24" s="47"/>
      <c r="AC24" s="118" t="str">
        <f t="shared" si="7"/>
        <v>grep -hSE -A400 "Enforcement Action" "%USERPROFILE%\AppData\Local\Temp\OnboardLogs"\RTDC4031\*4031*201704232*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"%USERPROFILE%\AppData\Local\Temp\OnboardLogs"\RTDC4031\*4031*201704232* &gt;&gt; 2017-04-23-SliceDisagreementCheck.txt</v>
      </c>
      <c r="AE24" s="148" t="str">
        <f t="shared" si="9"/>
        <v>start /low /b %USERPROFILE%\Documents\GitHub\eaglep3\Utilities\DownloadLogsFromS3.py --loco 4031 --day 2017-04-23</v>
      </c>
      <c r="AF24" s="1"/>
    </row>
    <row r="25" spans="1:32" x14ac:dyDescent="0.25">
      <c r="A25" s="31">
        <v>42848.655439814815</v>
      </c>
      <c r="B25" s="30" t="s">
        <v>356</v>
      </c>
      <c r="C25" s="30" t="s">
        <v>613</v>
      </c>
      <c r="D25" s="30" t="s">
        <v>98</v>
      </c>
      <c r="E25" s="30" t="s">
        <v>211</v>
      </c>
      <c r="F25" s="42">
        <v>150</v>
      </c>
      <c r="G25" s="42">
        <v>203</v>
      </c>
      <c r="H25" s="42">
        <v>56993</v>
      </c>
      <c r="I25" s="42">
        <v>56426</v>
      </c>
      <c r="J25" s="30" t="s">
        <v>212</v>
      </c>
      <c r="K25" s="42">
        <v>59050</v>
      </c>
      <c r="L25" s="134" t="s">
        <v>51</v>
      </c>
      <c r="M25" s="135">
        <f t="shared" si="0"/>
        <v>-1385.4720000000002</v>
      </c>
      <c r="N25" s="136" t="str">
        <f>VLOOKUP(C25,'Trips&amp;Operators'!$C$1:$G$99999,5,FALSE)</f>
        <v>HELVIE ADAM</v>
      </c>
      <c r="O25" s="164" t="s">
        <v>184</v>
      </c>
      <c r="P25" s="137"/>
      <c r="Q25" s="30"/>
      <c r="R25" s="84" t="str">
        <f>IF(VLOOKUP(C25,'Train Runs'!$A$13:$AE$9937,1,1)=C25,VLOOKUP(C25,'Train Runs'!$A$13:$AE$9937,31,1),NA())</f>
        <v>aws s3 cp s3://rtdc.mdm.uploadarchive.raw/RTDC4031/ "%USERPROFILE%\AppData\Local\Temp\OnboardLogs"\RTDC4031\2017-04-23 --exclude "*" --recursive --include "*20170423*" &amp; "%USERPROFILE%\Documents\GitHub\mrs-test-scripts\Headless Mode &amp; Sideloading\WalkAndUnGZ.bat" "%USERPROFILE%\AppData\Local\Temp\OnboardLogs"\RTDC4031\2017-04-23 &amp; aws s3 cp s3://rtdc.mdm.uploadarchive.raw/RTDC4031/ "%USERPROFILE%\AppData\Local\Temp\OnboardLogs"\RTDC4031\2017-04-24 --exclude "*" --recursive --include "*20170424*" &amp; "%USERPROFILE%\Documents\GitHub\mrs-test-scripts\Headless Mode &amp; Sideloading\WalkAndUnGZ.bat" "%USERPROFILE%\AppData\Local\Temp\OnboardLogs"\RTDC4031\2017-04-24</v>
      </c>
      <c r="S25" s="87" t="str">
        <f>VLOOKUP(C25,'Train Runs'!$A$13:$AE$9937,22,0)</f>
        <v>https://d0f6bd738d7f1b3e5a7ca70fe4ff75f0.us-east-1.aws.found.io/app/kibana#/discover/Steve-Slow-Train-Analysis-(2080s-and-2083s)?_g=(refreshInterval:(display:Off,pause:!f,section:0,value:0),time:(from:'2017-04-23T14:36:51-0600',mode:absolute,to:'2017-04-23T16:55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5" s="89" t="str">
        <f t="shared" si="1"/>
        <v>"C:\Program Files (x86)\AstroGrep\AstroGrep.exe" /e /r /s /spath="%USERPROFILE%\AppData\Local\Temp\OnboardLogs" /stypes="*4031*201704232*" /stext=" 21:.+((SYSTEM_STATE.+slice.+state.+changed )|(ment ac)|(multiple cpu faults)|(system.+state.+changed )|(\[timeout)|(PRM\|1\|D)|(kpr)|(kdp)|(\|lc)|(penalty))"</v>
      </c>
      <c r="U25" s="9" t="str">
        <f t="shared" si="2"/>
        <v>4031</v>
      </c>
      <c r="V25" s="31">
        <f t="shared" si="3"/>
        <v>42848.905439814815</v>
      </c>
      <c r="W25" s="45" t="str">
        <f t="shared" si="4"/>
        <v>NW</v>
      </c>
      <c r="X25" s="45" t="str">
        <f t="shared" si="5"/>
        <v>KEEP</v>
      </c>
      <c r="Y25" s="99" t="str">
        <f t="shared" si="6"/>
        <v>echo {"issue":{"subject":"","project_id":79,"tracker_id":40,"status_id":1,"priority_id":2,"assigned_to_id":23,"start_date":"2017-04-23","description":"","custom_fields":[{"id":1,"name":"Subdivision","value":"NW"},{"id":4,"name":"Milepost","value":"5.905"},{"id":17,"name":"Train ID","value":"1820-23"},{"id":16,"name":"Locomotive ID","value":"4031"},{"id":130,"name":"Impact","value":""},{"id":150,"name":"Time of Event (Mountain Time)","value":"15:43:50"},{"id":151,"name":"Denver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69"/>
      <c r="AA25" s="47"/>
      <c r="AB25" s="47"/>
      <c r="AC25" s="118" t="str">
        <f t="shared" si="7"/>
        <v>grep -hSE -A400 "Enforcement Action" "%USERPROFILE%\AppData\Local\Temp\OnboardLogs"\RTDC4031\*4031*201704232*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"%USERPROFILE%\AppData\Local\Temp\OnboardLogs"\RTDC4031\*4031*201704232* &gt;&gt; 2017-04-23-SliceDisagreementCheck.txt</v>
      </c>
      <c r="AE25" s="148" t="str">
        <f t="shared" si="9"/>
        <v>start /low /b %USERPROFILE%\Documents\GitHub\eaglep3\Utilities\DownloadLogsFromS3.py --loco 4031 --day 2017-04-23</v>
      </c>
      <c r="AF25" s="1"/>
    </row>
    <row r="26" spans="1:32" x14ac:dyDescent="0.25">
      <c r="A26" s="31">
        <v>42848.905543981484</v>
      </c>
      <c r="B26" s="30" t="s">
        <v>356</v>
      </c>
      <c r="C26" s="30" t="s">
        <v>620</v>
      </c>
      <c r="D26" s="30" t="s">
        <v>98</v>
      </c>
      <c r="E26" s="30" t="s">
        <v>211</v>
      </c>
      <c r="F26" s="42">
        <v>150</v>
      </c>
      <c r="G26" s="42">
        <v>204</v>
      </c>
      <c r="H26" s="42">
        <v>57022</v>
      </c>
      <c r="I26" s="42">
        <v>56598</v>
      </c>
      <c r="J26" s="30" t="s">
        <v>212</v>
      </c>
      <c r="K26" s="42">
        <v>59050</v>
      </c>
      <c r="L26" s="134" t="s">
        <v>51</v>
      </c>
      <c r="M26" s="135">
        <f t="shared" si="0"/>
        <v>-1294.6559999999999</v>
      </c>
      <c r="N26" s="136" t="str">
        <f>VLOOKUP(C26,'Trips&amp;Operators'!$C$1:$G$99999,5,FALSE)</f>
        <v>HELVIE ADAM</v>
      </c>
      <c r="O26" s="164" t="s">
        <v>184</v>
      </c>
      <c r="P26" s="137"/>
      <c r="Q26" s="30"/>
      <c r="R26" s="84" t="str">
        <f>IF(VLOOKUP(C26,'Train Runs'!$A$13:$AE$9937,1,1)=C26,VLOOKUP(C26,'Train Runs'!$A$13:$AE$9937,31,1),NA())</f>
        <v>aws s3 cp s3://rtdc.mdm.uploadarchive.raw/RTDC4031/ "%USERPROFILE%\AppData\Local\Temp\OnboardLogs"\RTDC4031\2017-04-23 --exclude "*" --recursive --include "*20170423*" &amp; "%USERPROFILE%\Documents\GitHub\mrs-test-scripts\Headless Mode &amp; Sideloading\WalkAndUnGZ.bat" "%USERPROFILE%\AppData\Local\Temp\OnboardLogs"\RTDC4031\2017-04-23 &amp; aws s3 cp s3://rtdc.mdm.uploadarchive.raw/RTDC4031/ "%USERPROFILE%\AppData\Local\Temp\OnboardLogs"\RTDC4031\2017-04-24 --exclude "*" --recursive --include "*20170424*" &amp; "%USERPROFILE%\Documents\GitHub\mrs-test-scripts\Headless Mode &amp; Sideloading\WalkAndUnGZ.bat" "%USERPROFILE%\AppData\Local\Temp\OnboardLogs"\RTDC4031\2017-04-24</v>
      </c>
      <c r="S26" s="87" t="str">
        <f>VLOOKUP(C26,'Train Runs'!$A$13:$AE$9937,22,0)</f>
        <v>https://d0f6bd738d7f1b3e5a7ca70fe4ff75f0.us-east-1.aws.found.io/app/kibana#/discover/Steve-Slow-Train-Analysis-(2080s-and-2083s)?_g=(refreshInterval:(display:Off,pause:!f,section:0,value:0),time:(from:'2017-04-23T20:35:24-0600',mode:absolute,to:'2017-04-23T22:55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6" s="89" t="str">
        <f t="shared" si="1"/>
        <v>"C:\Program Files (x86)\AstroGrep\AstroGrep.exe" /e /r /s /spath="%USERPROFILE%\AppData\Local\Temp\OnboardLogs" /stypes="*4031*201704240*" /stext=" 03:.+((SYSTEM_STATE.+slice.+state.+changed )|(ment ac)|(multiple cpu faults)|(system.+state.+changed )|(\[timeout)|(PRM\|1\|D)|(kpr)|(kdp)|(\|lc)|(penalty))"</v>
      </c>
      <c r="U26" s="9" t="str">
        <f t="shared" si="2"/>
        <v>4031</v>
      </c>
      <c r="V26" s="31">
        <f t="shared" si="3"/>
        <v>42849.155543981484</v>
      </c>
      <c r="W26" s="45" t="str">
        <f t="shared" si="4"/>
        <v>NW</v>
      </c>
      <c r="X26" s="45" t="str">
        <f t="shared" si="5"/>
        <v>KEEP</v>
      </c>
      <c r="Y26" s="99" t="str">
        <f t="shared" si="6"/>
        <v>echo {"issue":{"subject":"","project_id":79,"tracker_id":40,"status_id":1,"priority_id":2,"assigned_to_id":23,"start_date":"2017-04-23","description":"","custom_fields":[{"id":1,"name":"Subdivision","value":"NW"},{"id":4,"name":"Milepost","value":"5.905"},{"id":17,"name":"Train ID","value":"1832-23"},{"id":16,"name":"Locomotive ID","value":"4031"},{"id":130,"name":"Impact","value":""},{"id":150,"name":"Time of Event (Mountain Time)","value":"21:43:59"},{"id":151,"name":"Denver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69"/>
      <c r="AA26" s="47"/>
      <c r="AB26" s="47"/>
      <c r="AC26" s="118" t="str">
        <f t="shared" si="7"/>
        <v>grep -hSE -A400 "Enforcement Action" "%USERPROFILE%\AppData\Local\Temp\OnboardLogs"\RTDC4031\*4031*201704240*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"%USERPROFILE%\AppData\Local\Temp\OnboardLogs"\RTDC4031\*4031*201704240* &gt;&gt; 2017-04-23-SliceDisagreementCheck.txt</v>
      </c>
      <c r="AE26" s="148" t="str">
        <f t="shared" si="9"/>
        <v>start /low /b %USERPROFILE%\Documents\GitHub\eaglep3\Utilities\DownloadLogsFromS3.py --loco 4031 --day 2017-04-24</v>
      </c>
      <c r="AF26" s="1"/>
    </row>
    <row r="27" spans="1:32" x14ac:dyDescent="0.25">
      <c r="A27" s="31">
        <v>42848.538298611114</v>
      </c>
      <c r="B27" s="30" t="s">
        <v>356</v>
      </c>
      <c r="C27" s="30" t="s">
        <v>609</v>
      </c>
      <c r="D27" s="30" t="s">
        <v>49</v>
      </c>
      <c r="E27" s="30" t="s">
        <v>185</v>
      </c>
      <c r="F27" s="42">
        <v>0</v>
      </c>
      <c r="G27" s="42">
        <v>43</v>
      </c>
      <c r="H27" s="42">
        <v>733</v>
      </c>
      <c r="I27" s="42">
        <v>712</v>
      </c>
      <c r="J27" s="30" t="s">
        <v>186</v>
      </c>
      <c r="K27" s="42">
        <v>575</v>
      </c>
      <c r="L27" s="134" t="s">
        <v>51</v>
      </c>
      <c r="M27" s="135">
        <f t="shared" si="0"/>
        <v>72.335999999999999</v>
      </c>
      <c r="N27" s="136" t="str">
        <f>VLOOKUP(C27,'Trips&amp;Operators'!$C$1:$G$99999,5,FALSE)</f>
        <v>YORK EDGAR</v>
      </c>
      <c r="O27" s="164" t="s">
        <v>184</v>
      </c>
      <c r="P27" s="137"/>
      <c r="Q27" s="30"/>
      <c r="R27" s="84" t="str">
        <f>IF(VLOOKUP(C27,'Train Runs'!$A$13:$AE$9937,1,1)=C27,VLOOKUP(C27,'Train Runs'!$A$13:$AE$9937,31,1),NA())</f>
        <v>aws s3 cp s3://rtdc.mdm.uploadarchive.raw/RTDC4031/ "%USERPROFILE%\AppData\Local\Temp\OnboardLogs"\RTDC4031\2017-04-23 --exclude "*" --recursive --include "*20170423*" &amp; "%USERPROFILE%\Documents\GitHub\mrs-test-scripts\Headless Mode &amp; Sideloading\WalkAndUnGZ.bat" "%USERPROFILE%\AppData\Local\Temp\OnboardLogs"\RTDC4031\2017-04-23 &amp; aws s3 cp s3://rtdc.mdm.uploadarchive.raw/RTDC4031/ "%USERPROFILE%\AppData\Local\Temp\OnboardLogs"\RTDC4031\2017-04-24 --exclude "*" --recursive --include "*20170424*" &amp; "%USERPROFILE%\Documents\GitHub\mrs-test-scripts\Headless Mode &amp; Sideloading\WalkAndUnGZ.bat" "%USERPROFILE%\AppData\Local\Temp\OnboardLogs"\RTDC4031\2017-04-24</v>
      </c>
      <c r="S27" s="87" t="str">
        <f>VLOOKUP(C27,'Train Runs'!$A$13:$AE$9937,22,0)</f>
        <v>https://d0f6bd738d7f1b3e5a7ca70fe4ff75f0.us-east-1.aws.found.io/app/kibana#/discover/Steve-Slow-Train-Analysis-(2080s-and-2083s)?_g=(refreshInterval:(display:Off,pause:!f,section:0,value:0),time:(from:'2017-04-23T11:35:59-0600',mode:absolute,to:'2017-04-23T13:55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7" s="89" t="str">
        <f t="shared" si="1"/>
        <v>"C:\Program Files (x86)\AstroGrep\AstroGrep.exe" /e /r /s /spath="%USERPROFILE%\AppData\Local\Temp\OnboardLogs" /stypes="*4031*201704231*" /stext=" 18:.+((SYSTEM_STATE.+slice.+state.+changed )|(ment ac)|(multiple cpu faults)|(system.+state.+changed )|(\[timeout)|(PRM\|1\|D)|(kpr)|(kdp)|(\|lc)|(penalty))"</v>
      </c>
      <c r="U27" s="9" t="str">
        <f t="shared" si="2"/>
        <v>4031</v>
      </c>
      <c r="V27" s="31">
        <f t="shared" si="3"/>
        <v>42848.788298611114</v>
      </c>
      <c r="W27" s="45" t="str">
        <f t="shared" si="4"/>
        <v>NW</v>
      </c>
      <c r="X27" s="45" t="str">
        <f t="shared" si="5"/>
        <v>KEEP</v>
      </c>
      <c r="Y27" s="99" t="str">
        <f t="shared" si="6"/>
        <v>echo {"issue":{"subject":"","project_id":79,"tracker_id":40,"status_id":1,"priority_id":2,"assigned_to_id":23,"start_date":"2017-04-23","description":"","custom_fields":[{"id":1,"name":"Subdivision","value":"NW"},{"id":4,"name":"Milepost","value":"0.0575"},{"id":17,"name":"Train ID","value":"1814-23"},{"id":16,"name":"Locomotive ID","value":"4031"},{"id":130,"name":"Impact","value":""},{"id":150,"name":"Time of Event (Mountain Time)","value":"12:55:09"},{"id":151,"name":"Denver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69"/>
      <c r="AA27" s="47"/>
      <c r="AB27" s="47"/>
      <c r="AC27" s="118" t="str">
        <f t="shared" si="7"/>
        <v>grep -hSE -A400 "Enforcement Action" "%USERPROFILE%\AppData\Local\Temp\OnboardLogs"\RTDC4031\*4031*201704231*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"%USERPROFILE%\AppData\Local\Temp\OnboardLogs"\RTDC4031\*4031*201704231* &gt;&gt; 2017-04-23-SliceDisagreementCheck.txt</v>
      </c>
      <c r="AE27" s="148" t="str">
        <f t="shared" si="9"/>
        <v>start /low /b %USERPROFILE%\Documents\GitHub\eaglep3\Utilities\DownloadLogsFromS3.py --loco 4031 --day 2017-04-23</v>
      </c>
      <c r="AF27" s="1"/>
    </row>
    <row r="28" spans="1:32" x14ac:dyDescent="0.25">
      <c r="A28" s="31">
        <v>42848.123206018521</v>
      </c>
      <c r="B28" s="30" t="s">
        <v>456</v>
      </c>
      <c r="C28" s="30" t="s">
        <v>596</v>
      </c>
      <c r="D28" s="30" t="s">
        <v>49</v>
      </c>
      <c r="E28" s="30" t="s">
        <v>454</v>
      </c>
      <c r="F28" s="42">
        <v>0</v>
      </c>
      <c r="G28" s="42">
        <v>209</v>
      </c>
      <c r="H28" s="42">
        <v>10538</v>
      </c>
      <c r="I28" s="42">
        <v>10189</v>
      </c>
      <c r="J28" s="30" t="s">
        <v>455</v>
      </c>
      <c r="K28" s="42">
        <v>9500</v>
      </c>
      <c r="L28" s="134" t="s">
        <v>51</v>
      </c>
      <c r="M28" s="135">
        <f t="shared" si="0"/>
        <v>363.79199999999997</v>
      </c>
      <c r="N28" s="136" t="str">
        <f>VLOOKUP(C28,'Trips&amp;Operators'!$C$1:$G$99999,5,FALSE)</f>
        <v>SANTIZO D. EDY</v>
      </c>
      <c r="O28" s="164" t="s">
        <v>184</v>
      </c>
      <c r="P28" s="137"/>
      <c r="Q28" s="30"/>
      <c r="R28" s="84" t="str">
        <f>IF(VLOOKUP(C28,'Train Runs'!$A$13:$AE$9937,1,1)=C28,VLOOKUP(C28,'Train Runs'!$A$13:$AE$9937,31,1),NA())</f>
        <v>aws s3 cp s3://rtdc.mdm.uploadarchive.raw/RTDC4001/ "%USERPROFILE%\AppData\Local\Temp\OnboardLogs"\RTDC4001\2017-04-23 --exclude "*" --recursive --include "*20170423*" &amp; "%USERPROFILE%\Documents\GitHub\mrs-test-scripts\Headless Mode &amp; Sideloading\WalkAndUnGZ.bat" "%USERPROFILE%\AppData\Local\Temp\OnboardLogs"\RTDC4001\2017-04-23 &amp; aws s3 cp s3://rtdc.mdm.uploadarchive.raw/RTDC4001/ "%USERPROFILE%\AppData\Local\Temp\OnboardLogs"\RTDC4001\2017-04-24 --exclude "*" --recursive --include "*20170424*" &amp; "%USERPROFILE%\Documents\GitHub\mrs-test-scripts\Headless Mode &amp; Sideloading\WalkAndUnGZ.bat" "%USERPROFILE%\AppData\Local\Temp\OnboardLogs"\RTDC4001\2017-04-24</v>
      </c>
      <c r="S28" s="87" t="str">
        <f>VLOOKUP(C28,'Train Runs'!$A$13:$AE$9937,22,0)</f>
        <v>https://d0f6bd738d7f1b3e5a7ca70fe4ff75f0.us-east-1.aws.found.io/app/kibana#/discover/Steve-Slow-Train-Analysis-(2080s-and-2083s)?_g=(refreshInterval:(display:Off,pause:!f,section:0,value:0),time:(from:'2017-04-23T01:50:07-0600',mode:absolute,to:'2017-04-23T04:00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8" s="89" t="str">
        <f t="shared" si="1"/>
        <v>"C:\Program Files (x86)\AstroGrep\AstroGrep.exe" /e /r /s /spath="%USERPROFILE%\AppData\Local\Temp\OnboardLogs" /stypes="*4001*201704230*" /stext=" 08:.+((SYSTEM_STATE.+slice.+state.+changed )|(ment ac)|(multiple cpu faults)|(system.+state.+changed )|(\[timeout)|(PRM\|1\|D)|(kpr)|(kdp)|(\|lc)|(penalty))"</v>
      </c>
      <c r="U28" s="9" t="str">
        <f t="shared" si="2"/>
        <v>4001</v>
      </c>
      <c r="V28" s="31">
        <f t="shared" si="3"/>
        <v>42848.373206018521</v>
      </c>
      <c r="W28" s="45" t="str">
        <f t="shared" si="4"/>
        <v>Other</v>
      </c>
      <c r="X28" s="45" t="str">
        <f t="shared" si="5"/>
        <v>KEEP</v>
      </c>
      <c r="Y28" s="99" t="str">
        <f t="shared" si="6"/>
        <v>echo {"issue":{"subject":"","project_id":79,"tracker_id":40,"status_id":1,"priority_id":2,"assigned_to_id":23,"start_date":"2017-04-23","description":"","custom_fields":[{"id":1,"name":"Subdivision","value":"Other"},{"id":4,"name":"Milepost","value":"0.95"},{"id":17,"name":"Train ID","value":"302-23"},{"id":16,"name":"Locomotive ID","value":"4001"},{"id":130,"name":"Impact","value":""},{"id":150,"name":"Time of Event (Mountain Time)","value":"02:57:25"},{"id":151,"name":"Denver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69"/>
      <c r="AA28" s="47"/>
      <c r="AB28" s="47"/>
      <c r="AC28" s="118" t="str">
        <f t="shared" si="7"/>
        <v>grep -hSE -A400 "Enforcement Action" "%USERPROFILE%\AppData\Local\Temp\OnboardLogs"\RTDC4001\*4001*201704230*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"%USERPROFILE%\AppData\Local\Temp\OnboardLogs"\RTDC4001\*4001*201704230* &gt;&gt; 2017-04-23-SliceDisagreementCheck.txt</v>
      </c>
      <c r="AE28" s="148" t="str">
        <f t="shared" si="9"/>
        <v>start /low /b %USERPROFILE%\Documents\GitHub\eaglep3\Utilities\DownloadLogsFromS3.py --loco 4001 --day 2017-04-23</v>
      </c>
      <c r="AF28" s="1"/>
    </row>
    <row r="29" spans="1:32" x14ac:dyDescent="0.25">
      <c r="A29" s="31">
        <v>42848.125381944446</v>
      </c>
      <c r="B29" s="30" t="s">
        <v>456</v>
      </c>
      <c r="C29" s="30" t="s">
        <v>596</v>
      </c>
      <c r="D29" s="30" t="s">
        <v>49</v>
      </c>
      <c r="E29" s="30" t="s">
        <v>441</v>
      </c>
      <c r="F29" s="42">
        <v>0</v>
      </c>
      <c r="G29" s="42">
        <v>95</v>
      </c>
      <c r="H29" s="42">
        <v>5154</v>
      </c>
      <c r="I29" s="42">
        <v>5024</v>
      </c>
      <c r="J29" s="30" t="s">
        <v>442</v>
      </c>
      <c r="K29" s="42">
        <v>4790</v>
      </c>
      <c r="L29" s="134" t="s">
        <v>51</v>
      </c>
      <c r="M29" s="135">
        <f t="shared" si="0"/>
        <v>123.55200000000001</v>
      </c>
      <c r="N29" s="136" t="str">
        <f>VLOOKUP(C29,'Trips&amp;Operators'!$C$1:$G$99999,5,FALSE)</f>
        <v>SANTIZO D. EDY</v>
      </c>
      <c r="O29" s="164" t="s">
        <v>184</v>
      </c>
      <c r="P29" s="137"/>
      <c r="Q29" s="30"/>
      <c r="R29" s="84" t="str">
        <f>IF(VLOOKUP(C29,'Train Runs'!$A$13:$AE$9937,1,1)=C29,VLOOKUP(C29,'Train Runs'!$A$13:$AE$9937,31,1),NA())</f>
        <v>aws s3 cp s3://rtdc.mdm.uploadarchive.raw/RTDC4001/ "%USERPROFILE%\AppData\Local\Temp\OnboardLogs"\RTDC4001\2017-04-23 --exclude "*" --recursive --include "*20170423*" &amp; "%USERPROFILE%\Documents\GitHub\mrs-test-scripts\Headless Mode &amp; Sideloading\WalkAndUnGZ.bat" "%USERPROFILE%\AppData\Local\Temp\OnboardLogs"\RTDC4001\2017-04-23 &amp; aws s3 cp s3://rtdc.mdm.uploadarchive.raw/RTDC4001/ "%USERPROFILE%\AppData\Local\Temp\OnboardLogs"\RTDC4001\2017-04-24 --exclude "*" --recursive --include "*20170424*" &amp; "%USERPROFILE%\Documents\GitHub\mrs-test-scripts\Headless Mode &amp; Sideloading\WalkAndUnGZ.bat" "%USERPROFILE%\AppData\Local\Temp\OnboardLogs"\RTDC4001\2017-04-24</v>
      </c>
      <c r="S29" s="87" t="str">
        <f>VLOOKUP(C29,'Train Runs'!$A$13:$AE$9937,22,0)</f>
        <v>https://d0f6bd738d7f1b3e5a7ca70fe4ff75f0.us-east-1.aws.found.io/app/kibana#/discover/Steve-Slow-Train-Analysis-(2080s-and-2083s)?_g=(refreshInterval:(display:Off,pause:!f,section:0,value:0),time:(from:'2017-04-23T01:50:07-0600',mode:absolute,to:'2017-04-23T04:00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9" s="89" t="str">
        <f t="shared" si="1"/>
        <v>"C:\Program Files (x86)\AstroGrep\AstroGrep.exe" /e /r /s /spath="%USERPROFILE%\AppData\Local\Temp\OnboardLogs" /stypes="*4001*201704230*" /stext=" 09:.+((SYSTEM_STATE.+slice.+state.+changed )|(ment ac)|(multiple cpu faults)|(system.+state.+changed )|(\[timeout)|(PRM\|1\|D)|(kpr)|(kdp)|(\|lc)|(penalty))"</v>
      </c>
      <c r="U29" s="9" t="str">
        <f t="shared" si="2"/>
        <v>4001</v>
      </c>
      <c r="V29" s="31">
        <f t="shared" si="3"/>
        <v>42848.375381944446</v>
      </c>
      <c r="W29" s="45" t="str">
        <f t="shared" si="4"/>
        <v>Other</v>
      </c>
      <c r="X29" s="45" t="str">
        <f t="shared" si="5"/>
        <v>KEEP</v>
      </c>
      <c r="Y29" s="99" t="str">
        <f t="shared" si="6"/>
        <v>echo {"issue":{"subject":"","project_id":79,"tracker_id":40,"status_id":1,"priority_id":2,"assigned_to_id":23,"start_date":"2017-04-23","description":"","custom_fields":[{"id":1,"name":"Subdivision","value":"Other"},{"id":4,"name":"Milepost","value":"0.479"},{"id":17,"name":"Train ID","value":"302-23"},{"id":16,"name":"Locomotive ID","value":"4001"},{"id":130,"name":"Impact","value":""},{"id":150,"name":"Time of Event (Mountain Time)","value":"03:00:33"},{"id":151,"name":"Denver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69"/>
      <c r="AA29" s="47"/>
      <c r="AB29" s="47"/>
      <c r="AC29" s="118" t="str">
        <f t="shared" si="7"/>
        <v>grep -hSE -A400 "Enforcement Action" "%USERPROFILE%\AppData\Local\Temp\OnboardLogs"\RTDC4001\*4001*201704230*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"%USERPROFILE%\AppData\Local\Temp\OnboardLogs"\RTDC4001\*4001*201704230* &gt;&gt; 2017-04-23-SliceDisagreementCheck.txt</v>
      </c>
      <c r="AE29" s="148" t="str">
        <f t="shared" si="9"/>
        <v>start /low /b %USERPROFILE%\Documents\GitHub\eaglep3\Utilities\DownloadLogsFromS3.py --loco 4001 --day 2017-04-23</v>
      </c>
      <c r="AF29" s="1"/>
    </row>
    <row r="30" spans="1:32" x14ac:dyDescent="0.25">
      <c r="A30" s="31">
        <v>42848.138912037037</v>
      </c>
      <c r="B30" s="30" t="s">
        <v>524</v>
      </c>
      <c r="C30" s="30" t="s">
        <v>597</v>
      </c>
      <c r="D30" s="30" t="s">
        <v>98</v>
      </c>
      <c r="E30" s="30" t="s">
        <v>441</v>
      </c>
      <c r="F30" s="42">
        <v>0</v>
      </c>
      <c r="G30" s="42">
        <v>57</v>
      </c>
      <c r="H30" s="42">
        <v>22535</v>
      </c>
      <c r="I30" s="42">
        <v>22514</v>
      </c>
      <c r="J30" s="30" t="s">
        <v>442</v>
      </c>
      <c r="K30" s="42">
        <v>24235</v>
      </c>
      <c r="L30" s="134" t="s">
        <v>51</v>
      </c>
      <c r="M30" s="135">
        <f t="shared" si="0"/>
        <v>-908.68799999999999</v>
      </c>
      <c r="N30" s="136" t="str">
        <f>VLOOKUP(C30,'Trips&amp;Operators'!$C$1:$G$99999,5,FALSE)</f>
        <v>MAELZER KURT</v>
      </c>
      <c r="O30" s="164" t="s">
        <v>184</v>
      </c>
      <c r="P30" s="137"/>
      <c r="Q30" s="30"/>
      <c r="R30" s="84" t="str">
        <f>IF(VLOOKUP(C30,'Train Runs'!$A$13:$AE$9937,1,1)=C30,VLOOKUP(C30,'Train Runs'!$A$13:$AE$9937,31,1),NA())</f>
        <v>aws s3 cp s3://rtdc.mdm.uploadarchive.raw/RTDC4043/ "%USERPROFILE%\AppData\Local\Temp\OnboardLogs"\RTDC4043\2017-04-23 --exclude "*" --recursive --include "*20170423*" &amp; "%USERPROFILE%\Documents\GitHub\mrs-test-scripts\Headless Mode &amp; Sideloading\WalkAndUnGZ.bat" "%USERPROFILE%\AppData\Local\Temp\OnboardLogs"\RTDC4043\2017-04-23 &amp; aws s3 cp s3://rtdc.mdm.uploadarchive.raw/RTDC4043/ "%USERPROFILE%\AppData\Local\Temp\OnboardLogs"\RTDC4043\2017-04-24 --exclude "*" --recursive --include "*20170424*" &amp; "%USERPROFILE%\Documents\GitHub\mrs-test-scripts\Headless Mode &amp; Sideloading\WalkAndUnGZ.bat" "%USERPROFILE%\AppData\Local\Temp\OnboardLogs"\RTDC4043\2017-04-24</v>
      </c>
      <c r="S30" s="87" t="str">
        <f>VLOOKUP(C30,'Train Runs'!$A$13:$AE$9937,22,0)</f>
        <v>https://d0f6bd738d7f1b3e5a7ca70fe4ff75f0.us-east-1.aws.found.io/app/kibana#/discover/Steve-Slow-Train-Analysis-(2080s-and-2083s)?_g=(refreshInterval:(display:Off,pause:!f,section:0,value:0),time:(from:'2017-04-23T02:13:52-0600',mode:absolute,to:'2017-04-23T04:20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30" s="89" t="str">
        <f t="shared" si="1"/>
        <v>"C:\Program Files (x86)\AstroGrep\AstroGrep.exe" /e /r /s /spath="%USERPROFILE%\AppData\Local\Temp\OnboardLogs" /stypes="*4043*201704230*" /stext=" 09:.+((SYSTEM_STATE.+slice.+state.+changed )|(ment ac)|(multiple cpu faults)|(system.+state.+changed )|(\[timeout)|(PRM\|1\|D)|(kpr)|(kdp)|(\|lc)|(penalty))"</v>
      </c>
      <c r="U30" s="9" t="str">
        <f t="shared" si="2"/>
        <v>4043</v>
      </c>
      <c r="V30" s="31">
        <f t="shared" si="3"/>
        <v>42848.388912037037</v>
      </c>
      <c r="W30" s="45" t="str">
        <f t="shared" si="4"/>
        <v>Other</v>
      </c>
      <c r="X30" s="45" t="str">
        <f t="shared" si="5"/>
        <v>KEEP</v>
      </c>
      <c r="Y30" s="99" t="str">
        <f t="shared" si="6"/>
        <v>echo {"issue":{"subject":"","project_id":79,"tracker_id":40,"status_id":1,"priority_id":2,"assigned_to_id":23,"start_date":"2017-04-23","description":"","custom_fields":[{"id":1,"name":"Subdivision","value":"Other"},{"id":4,"name":"Milepost","value":"2.4235"},{"id":17,"name":"Train ID","value":"304-23"},{"id":16,"name":"Locomotive ID","value":"4043"},{"id":130,"name":"Impact","value":""},{"id":150,"name":"Time of Event (Mountain Time)","value":"03:20:02"},{"id":151,"name":"Denver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69"/>
      <c r="AA30" s="47"/>
      <c r="AB30" s="47"/>
      <c r="AC30" s="118" t="str">
        <f t="shared" si="7"/>
        <v>grep -hSE -A400 "Enforcement Action" "%USERPROFILE%\AppData\Local\Temp\OnboardLogs"\RTDC4043\*4043*201704230*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"%USERPROFILE%\AppData\Local\Temp\OnboardLogs"\RTDC4043\*4043*201704230* &gt;&gt; 2017-04-23-SliceDisagreementCheck.txt</v>
      </c>
      <c r="AE30" s="148" t="str">
        <f t="shared" si="9"/>
        <v>start /low /b %USERPROFILE%\Documents\GitHub\eaglep3\Utilities\DownloadLogsFromS3.py --loco 4043 --day 2017-04-23</v>
      </c>
      <c r="AF30" s="1"/>
    </row>
    <row r="31" spans="1:32" x14ac:dyDescent="0.25">
      <c r="A31" s="31">
        <v>42848.164918981478</v>
      </c>
      <c r="B31" s="30" t="s">
        <v>390</v>
      </c>
      <c r="C31" s="30" t="s">
        <v>598</v>
      </c>
      <c r="D31" s="30" t="s">
        <v>98</v>
      </c>
      <c r="E31" s="30" t="s">
        <v>441</v>
      </c>
      <c r="F31" s="42">
        <v>0</v>
      </c>
      <c r="G31" s="42">
        <v>59</v>
      </c>
      <c r="H31" s="42">
        <v>22493</v>
      </c>
      <c r="I31" s="42">
        <v>22440</v>
      </c>
      <c r="J31" s="30" t="s">
        <v>442</v>
      </c>
      <c r="K31" s="42">
        <v>24235</v>
      </c>
      <c r="L31" s="134" t="s">
        <v>51</v>
      </c>
      <c r="M31" s="135">
        <f t="shared" si="0"/>
        <v>-947.76</v>
      </c>
      <c r="N31" s="136" t="str">
        <f>VLOOKUP(C31,'Trips&amp;Operators'!$C$1:$G$99999,5,FALSE)</f>
        <v>BADERTSCHER DIANE</v>
      </c>
      <c r="O31" s="164" t="s">
        <v>184</v>
      </c>
      <c r="P31" s="137"/>
      <c r="Q31" s="30"/>
      <c r="R31" s="84" t="str">
        <f>IF(VLOOKUP(C31,'Train Runs'!$A$13:$AE$9937,1,1)=C31,VLOOKUP(C31,'Train Runs'!$A$13:$AE$9937,31,1),NA())</f>
        <v>aws s3 cp s3://rtdc.mdm.uploadarchive.raw/RTDC4045/ "%USERPROFILE%\AppData\Local\Temp\OnboardLogs"\RTDC4045\2017-04-23 --exclude "*" --recursive --include "*20170423*" &amp; "%USERPROFILE%\Documents\GitHub\mrs-test-scripts\Headless Mode &amp; Sideloading\WalkAndUnGZ.bat" "%USERPROFILE%\AppData\Local\Temp\OnboardLogs"\RTDC4045\2017-04-23 &amp; aws s3 cp s3://rtdc.mdm.uploadarchive.raw/RTDC4045/ "%USERPROFILE%\AppData\Local\Temp\OnboardLogs"\RTDC4045\2017-04-24 --exclude "*" --recursive --include "*20170424*" &amp; "%USERPROFILE%\Documents\GitHub\mrs-test-scripts\Headless Mode &amp; Sideloading\WalkAndUnGZ.bat" "%USERPROFILE%\AppData\Local\Temp\OnboardLogs"\RTDC4045\2017-04-24</v>
      </c>
      <c r="S31" s="87" t="str">
        <f>VLOOKUP(C31,'Train Runs'!$A$13:$AE$9937,22,0)</f>
        <v>https://d0f6bd738d7f1b3e5a7ca70fe4ff75f0.us-east-1.aws.found.io/app/kibana#/discover/Steve-Slow-Train-Analysis-(2080s-and-2083s)?_g=(refreshInterval:(display:Off,pause:!f,section:0,value:0),time:(from:'2017-04-23T02:51:22-0600',mode:absolute,to:'2017-04-23T04:57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31" s="89" t="str">
        <f t="shared" si="1"/>
        <v>"C:\Program Files (x86)\AstroGrep\AstroGrep.exe" /e /r /s /spath="%USERPROFILE%\AppData\Local\Temp\OnboardLogs" /stypes="*4045*201704230*" /stext=" 09:.+((SYSTEM_STATE.+slice.+state.+changed )|(ment ac)|(multiple cpu faults)|(system.+state.+changed )|(\[timeout)|(PRM\|1\|D)|(kpr)|(kdp)|(\|lc)|(penalty))"</v>
      </c>
      <c r="U31" s="9" t="str">
        <f t="shared" si="2"/>
        <v>4045</v>
      </c>
      <c r="V31" s="31">
        <f t="shared" si="3"/>
        <v>42848.414918981478</v>
      </c>
      <c r="W31" s="45" t="str">
        <f t="shared" si="4"/>
        <v>Other</v>
      </c>
      <c r="X31" s="45" t="str">
        <f t="shared" si="5"/>
        <v>KEEP</v>
      </c>
      <c r="Y31" s="99" t="str">
        <f t="shared" si="6"/>
        <v>echo {"issue":{"subject":"","project_id":79,"tracker_id":40,"status_id":1,"priority_id":2,"assigned_to_id":23,"start_date":"2017-04-23","description":"","custom_fields":[{"id":1,"name":"Subdivision","value":"Other"},{"id":4,"name":"Milepost","value":"2.4235"},{"id":17,"name":"Train ID","value":"306-23"},{"id":16,"name":"Locomotive ID","value":"4045"},{"id":130,"name":"Impact","value":""},{"id":150,"name":"Time of Event (Mountain Time)","value":"03:57:29"},{"id":151,"name":"Denver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69"/>
      <c r="AA31" s="47"/>
      <c r="AB31" s="47"/>
      <c r="AC31" s="118" t="str">
        <f t="shared" si="7"/>
        <v>grep -hSE -A400 "Enforcement Action" "%USERPROFILE%\AppData\Local\Temp\OnboardLogs"\RTDC4045\*4045*201704230*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"%USERPROFILE%\AppData\Local\Temp\OnboardLogs"\RTDC4045\*4045*201704230* &gt;&gt; 2017-04-23-SliceDisagreementCheck.txt</v>
      </c>
      <c r="AE31" s="148" t="str">
        <f t="shared" si="9"/>
        <v>start /low /b %USERPROFILE%\Documents\GitHub\eaglep3\Utilities\DownloadLogsFromS3.py --loco 4045 --day 2017-04-23</v>
      </c>
      <c r="AF31" s="1"/>
    </row>
    <row r="32" spans="1:32" x14ac:dyDescent="0.25">
      <c r="A32" s="31">
        <v>42848.171620370369</v>
      </c>
      <c r="B32" s="30" t="s">
        <v>358</v>
      </c>
      <c r="C32" s="30" t="s">
        <v>599</v>
      </c>
      <c r="D32" s="30" t="s">
        <v>98</v>
      </c>
      <c r="E32" s="30" t="s">
        <v>441</v>
      </c>
      <c r="F32" s="42">
        <v>0</v>
      </c>
      <c r="G32" s="42">
        <v>112</v>
      </c>
      <c r="H32" s="42">
        <v>23093</v>
      </c>
      <c r="I32" s="42">
        <v>0</v>
      </c>
      <c r="J32" s="30" t="s">
        <v>442</v>
      </c>
      <c r="K32" s="42">
        <v>24235</v>
      </c>
      <c r="L32" s="134" t="s">
        <v>51</v>
      </c>
      <c r="M32" s="135">
        <f t="shared" si="0"/>
        <v>-12796.08</v>
      </c>
      <c r="N32" s="136" t="str">
        <f>VLOOKUP(C32,'Trips&amp;Operators'!$C$1:$G$99999,5,FALSE)</f>
        <v>DAVIS WENDY</v>
      </c>
      <c r="O32" s="164" t="s">
        <v>184</v>
      </c>
      <c r="P32" s="137"/>
      <c r="Q32" s="30"/>
      <c r="R32" s="84" t="str">
        <f>IF(VLOOKUP(C32,'Train Runs'!$A$13:$AE$9937,1,1)=C32,VLOOKUP(C32,'Train Runs'!$A$13:$AE$9937,31,1),NA())</f>
        <v>aws s3 cp s3://rtdc.mdm.uploadarchive.raw/RTDC4021/ "%USERPROFILE%\AppData\Local\Temp\OnboardLogs"\RTDC4021\2017-04-23 --exclude "*" --recursive --include "*20170423*" &amp; "%USERPROFILE%\Documents\GitHub\mrs-test-scripts\Headless Mode &amp; Sideloading\WalkAndUnGZ.bat" "%USERPROFILE%\AppData\Local\Temp\OnboardLogs"\RTDC4021\2017-04-23 &amp; aws s3 cp s3://rtdc.mdm.uploadarchive.raw/RTDC4021/ "%USERPROFILE%\AppData\Local\Temp\OnboardLogs"\RTDC4021\2017-04-24 --exclude "*" --recursive --include "*20170424*" &amp; "%USERPROFILE%\Documents\GitHub\mrs-test-scripts\Headless Mode &amp; Sideloading\WalkAndUnGZ.bat" "%USERPROFILE%\AppData\Local\Temp\OnboardLogs"\RTDC4021\2017-04-24</v>
      </c>
      <c r="S32" s="87" t="str">
        <f>VLOOKUP(C32,'Train Runs'!$A$13:$AE$9937,22,0)</f>
        <v>https://d0f6bd738d7f1b3e5a7ca70fe4ff75f0.us-east-1.aws.found.io/app/kibana#/discover/Steve-Slow-Train-Analysis-(2080s-and-2083s)?_g=(refreshInterval:(display:Off,pause:!f,section:0,value:0),time:(from:'2017-04-23T02:59:37-0600',mode:absolute,to:'2017-04-23T05:07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32" s="89" t="str">
        <f t="shared" si="1"/>
        <v>"C:\Program Files (x86)\AstroGrep\AstroGrep.exe" /e /r /s /spath="%USERPROFILE%\AppData\Local\Temp\OnboardLogs" /stypes="*4021*201704231*" /stext=" 10:.+((SYSTEM_STATE.+slice.+state.+changed )|(ment ac)|(multiple cpu faults)|(system.+state.+changed )|(\[timeout)|(PRM\|1\|D)|(kpr)|(kdp)|(\|lc)|(penalty))"</v>
      </c>
      <c r="U32" s="9" t="str">
        <f t="shared" si="2"/>
        <v>4021</v>
      </c>
      <c r="V32" s="31">
        <f t="shared" si="3"/>
        <v>42848.421620370369</v>
      </c>
      <c r="W32" s="45" t="str">
        <f t="shared" si="4"/>
        <v>Other</v>
      </c>
      <c r="X32" s="45" t="str">
        <f t="shared" si="5"/>
        <v>KEEP</v>
      </c>
      <c r="Y32" s="99" t="str">
        <f t="shared" si="6"/>
        <v>echo {"issue":{"subject":"","project_id":79,"tracker_id":40,"status_id":1,"priority_id":2,"assigned_to_id":23,"start_date":"2017-04-23","description":"","custom_fields":[{"id":1,"name":"Subdivision","value":"Other"},{"id":4,"name":"Milepost","value":"2.4235"},{"id":17,"name":"Train ID","value":"308-23"},{"id":16,"name":"Locomotive ID","value":"4021"},{"id":130,"name":"Impact","value":""},{"id":150,"name":"Time of Event (Mountain Time)","value":"04:07:08"},{"id":151,"name":"Denver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69"/>
      <c r="AA32" s="47"/>
      <c r="AB32" s="47"/>
      <c r="AC32" s="118" t="str">
        <f t="shared" si="7"/>
        <v>grep -hSE -A400 "Enforcement Action" "%USERPROFILE%\AppData\Local\Temp\OnboardLogs"\RTDC4021\*4021*201704231*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"%USERPROFILE%\AppData\Local\Temp\OnboardLogs"\RTDC4021\*4021*201704231* &gt;&gt; 2017-04-23-SliceDisagreementCheck.txt</v>
      </c>
      <c r="AE32" s="148" t="str">
        <f t="shared" si="9"/>
        <v>start /low /b %USERPROFILE%\Documents\GitHub\eaglep3\Utilities\DownloadLogsFromS3.py --loco 4021 --day 2017-04-23</v>
      </c>
      <c r="AF32" s="1"/>
    </row>
    <row r="33" spans="1:32" x14ac:dyDescent="0.25">
      <c r="A33" s="31">
        <v>42848.181284722225</v>
      </c>
      <c r="B33" s="30" t="s">
        <v>396</v>
      </c>
      <c r="C33" s="30" t="s">
        <v>601</v>
      </c>
      <c r="D33" s="30" t="s">
        <v>98</v>
      </c>
      <c r="E33" s="30" t="s">
        <v>441</v>
      </c>
      <c r="F33" s="42">
        <v>0</v>
      </c>
      <c r="G33" s="42">
        <v>105</v>
      </c>
      <c r="H33" s="42">
        <v>22959</v>
      </c>
      <c r="I33" s="42">
        <v>0</v>
      </c>
      <c r="J33" s="30" t="s">
        <v>442</v>
      </c>
      <c r="K33" s="42">
        <v>24235</v>
      </c>
      <c r="L33" s="134" t="s">
        <v>51</v>
      </c>
      <c r="M33" s="135">
        <f t="shared" si="0"/>
        <v>-12796.08</v>
      </c>
      <c r="N33" s="136" t="str">
        <f>VLOOKUP(C33,'Trips&amp;Operators'!$C$1:$G$99999,5,FALSE)</f>
        <v>ROBINSON KADDIBA</v>
      </c>
      <c r="O33" s="164" t="s">
        <v>184</v>
      </c>
      <c r="P33" s="137"/>
      <c r="Q33" s="30"/>
      <c r="R33" s="84" t="str">
        <f>IF(VLOOKUP(C33,'Train Runs'!$A$13:$AE$9937,1,1)=C33,VLOOKUP(C33,'Train Runs'!$A$13:$AE$9937,31,1),NA())</f>
        <v>aws s3 cp s3://rtdc.mdm.uploadarchive.raw/RTDC4041/ "%USERPROFILE%\AppData\Local\Temp\OnboardLogs"\RTDC4041\2017-04-23 --exclude "*" --recursive --include "*20170423*" &amp; "%USERPROFILE%\Documents\GitHub\mrs-test-scripts\Headless Mode &amp; Sideloading\WalkAndUnGZ.bat" "%USERPROFILE%\AppData\Local\Temp\OnboardLogs"\RTDC4041\2017-04-23 &amp; aws s3 cp s3://rtdc.mdm.uploadarchive.raw/RTDC4041/ "%USERPROFILE%\AppData\Local\Temp\OnboardLogs"\RTDC4041\2017-04-24 --exclude "*" --recursive --include "*20170424*" &amp; "%USERPROFILE%\Documents\GitHub\mrs-test-scripts\Headless Mode &amp; Sideloading\WalkAndUnGZ.bat" "%USERPROFILE%\AppData\Local\Temp\OnboardLogs"\RTDC4041\2017-04-24</v>
      </c>
      <c r="S33" s="87" t="str">
        <f>VLOOKUP(C33,'Train Runs'!$A$13:$AE$9937,22,0)</f>
        <v>https://d0f6bd738d7f1b3e5a7ca70fe4ff75f0.us-east-1.aws.found.io/app/kibana#/discover/Steve-Slow-Train-Analysis-(2080s-and-2083s)?_g=(refreshInterval:(display:Off,pause:!f,section:0,value:0),time:(from:'2017-04-23T03:15:33-0600',mode:absolute,to:'2017-04-23T05:21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33" s="89" t="str">
        <f t="shared" si="1"/>
        <v>"C:\Program Files (x86)\AstroGrep\AstroGrep.exe" /e /r /s /spath="%USERPROFILE%\AppData\Local\Temp\OnboardLogs" /stypes="*4041*201704231*" /stext=" 10:.+((SYSTEM_STATE.+slice.+state.+changed )|(ment ac)|(multiple cpu faults)|(system.+state.+changed )|(\[timeout)|(PRM\|1\|D)|(kpr)|(kdp)|(\|lc)|(penalty))"</v>
      </c>
      <c r="U33" s="9" t="str">
        <f t="shared" si="2"/>
        <v>4041</v>
      </c>
      <c r="V33" s="31">
        <f t="shared" si="3"/>
        <v>42848.431284722225</v>
      </c>
      <c r="W33" s="45" t="str">
        <f t="shared" si="4"/>
        <v>Other</v>
      </c>
      <c r="X33" s="45" t="str">
        <f t="shared" si="5"/>
        <v>KEEP</v>
      </c>
      <c r="Y33" s="99" t="str">
        <f t="shared" si="6"/>
        <v>echo {"issue":{"subject":"","project_id":79,"tracker_id":40,"status_id":1,"priority_id":2,"assigned_to_id":23,"start_date":"2017-04-23","description":"","custom_fields":[{"id":1,"name":"Subdivision","value":"Other"},{"id":4,"name":"Milepost","value":"2.4235"},{"id":17,"name":"Train ID","value":"310-23"},{"id":16,"name":"Locomotive ID","value":"4041"},{"id":130,"name":"Impact","value":""},{"id":150,"name":"Time of Event (Mountain Time)","value":"04:21:03"},{"id":151,"name":"Denver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69"/>
      <c r="AA33" s="47"/>
      <c r="AB33" s="47"/>
      <c r="AC33" s="118" t="str">
        <f t="shared" si="7"/>
        <v>grep -hSE -A400 "Enforcement Action" "%USERPROFILE%\AppData\Local\Temp\OnboardLogs"\RTDC4041\*4041*201704231*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"%USERPROFILE%\AppData\Local\Temp\OnboardLogs"\RTDC4041\*4041*201704231* &gt;&gt; 2017-04-23-SliceDisagreementCheck.txt</v>
      </c>
      <c r="AE33" s="148" t="str">
        <f t="shared" si="9"/>
        <v>start /low /b %USERPROFILE%\Documents\GitHub\eaglep3\Utilities\DownloadLogsFromS3.py --loco 4041 --day 2017-04-23</v>
      </c>
      <c r="AF33" s="1"/>
    </row>
    <row r="34" spans="1:32" x14ac:dyDescent="0.25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Z34"/>
      <c r="AC34"/>
      <c r="AE34"/>
    </row>
    <row r="35" spans="1:32" x14ac:dyDescent="0.25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Z35"/>
      <c r="AC35"/>
      <c r="AE35"/>
    </row>
    <row r="36" spans="1:32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Z36"/>
      <c r="AC36"/>
      <c r="AE36"/>
    </row>
    <row r="37" spans="1:32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Z37"/>
      <c r="AC37"/>
      <c r="AE37"/>
    </row>
    <row r="38" spans="1:32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Z38"/>
      <c r="AC38"/>
      <c r="AE38"/>
    </row>
    <row r="39" spans="1:32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Z39"/>
      <c r="AC39"/>
      <c r="AE39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Z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Z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Z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Z66"/>
      <c r="AC66"/>
      <c r="AE66"/>
    </row>
  </sheetData>
  <autoFilter ref="A6:AC66">
    <sortState ref="A7:AC66">
      <sortCondition ref="W7:W33"/>
      <sortCondition ref="E7:E33"/>
      <sortCondition ref="K7:K33"/>
      <sortCondition ref="F7:F33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67:O1048576 O7:O33">
    <cfRule type="cellIs" dxfId="19" priority="36" operator="equal">
      <formula>"Y"</formula>
    </cfRule>
  </conditionalFormatting>
  <conditionalFormatting sqref="O2:O3">
    <cfRule type="cellIs" dxfId="18" priority="27" operator="equal">
      <formula>"Y"</formula>
    </cfRule>
  </conditionalFormatting>
  <conditionalFormatting sqref="A7:P33">
    <cfRule type="expression" dxfId="17" priority="20">
      <formula>$O7="Y"</formula>
    </cfRule>
  </conditionalFormatting>
  <pageMargins left="0.7" right="0.7" top="0.75" bottom="0.75" header="0.3" footer="0.3"/>
  <pageSetup scale="2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AA7:AA33</xm:sqref>
        </x14:dataValidation>
        <x14:dataValidation type="list" allowBlank="1" showInputMessage="1" showErrorMessage="1">
          <x14:formula1>
            <xm:f>'Redmine List Values'!$C$2:$C$15</xm:f>
          </x14:formula1>
          <xm:sqref>AB7:AB33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5"/>
  <sheetViews>
    <sheetView workbookViewId="0">
      <selection activeCell="A3" sqref="A3:A6"/>
    </sheetView>
  </sheetViews>
  <sheetFormatPr defaultRowHeight="15" x14ac:dyDescent="0.25"/>
  <cols>
    <col min="1" max="1" width="9.140625" style="157"/>
    <col min="2" max="2" width="9.140625" style="2" customWidth="1"/>
    <col min="3" max="3" width="8" style="91" bestFit="1" customWidth="1"/>
    <col min="4" max="4" width="9.85546875" style="142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57"/>
      <c r="B1" s="174" t="str">
        <f>"Trips that did not appear in PTC Data "&amp;TEXT(Variables!$A$2,"YYYY-mm-dd")</f>
        <v>Trips that did not appear in PTC Data 2017-04-23</v>
      </c>
      <c r="C1" s="174"/>
      <c r="D1" s="174"/>
      <c r="E1" s="174"/>
      <c r="F1" s="174"/>
    </row>
    <row r="2" spans="1:10" s="23" customFormat="1" ht="45" x14ac:dyDescent="0.25">
      <c r="A2" s="159" t="s">
        <v>152</v>
      </c>
      <c r="B2" s="93" t="s">
        <v>58</v>
      </c>
      <c r="C2" s="90" t="s">
        <v>59</v>
      </c>
      <c r="D2" s="155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58"/>
      <c r="B3" s="42" t="str">
        <f>A3&amp;"-"&amp;IF(DAY(Variables!$A$2)&lt;10,0,"")&amp;DAY(Variables!$A$2)</f>
        <v>-23</v>
      </c>
      <c r="C3" s="138"/>
      <c r="D3" s="156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31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" s="30" t="e">
        <f>VLOOKUP(B3,'Train Runs'!$A$13:$A$99934,1,FALSE)</f>
        <v>#N/A</v>
      </c>
    </row>
    <row r="4" spans="1:10" x14ac:dyDescent="0.25">
      <c r="A4" s="158"/>
      <c r="B4" s="42" t="str">
        <f>A4&amp;"-"&amp;IF(DAY(Variables!$A$2)&lt;10,0,"")&amp;DAY(Variables!$A$2)</f>
        <v>-23</v>
      </c>
      <c r="C4" s="138"/>
      <c r="D4" s="156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" s="30" t="e">
        <f>VLOOKUP(B4,'Train Runs'!$A$13:$A$99934,1,FALSE)</f>
        <v>#N/A</v>
      </c>
    </row>
    <row r="5" spans="1:10" x14ac:dyDescent="0.25">
      <c r="A5" s="158"/>
      <c r="B5" s="42" t="str">
        <f>A5&amp;"-"&amp;IF(DAY(Variables!$A$2)&lt;10,0,"")&amp;DAY(Variables!$A$2)</f>
        <v>-23</v>
      </c>
      <c r="C5" s="138"/>
      <c r="D5" s="156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" s="30" t="e">
        <f>VLOOKUP(B5,'Train Runs'!$A$13:$A$99934,1,FALSE)</f>
        <v>#N/A</v>
      </c>
    </row>
    <row r="6" spans="1:10" x14ac:dyDescent="0.25">
      <c r="A6" s="158"/>
      <c r="B6" s="42" t="str">
        <f>A6&amp;"-"&amp;IF(DAY(Variables!$A$2)&lt;10,0,"")&amp;DAY(Variables!$A$2)</f>
        <v>-23</v>
      </c>
      <c r="C6" s="138"/>
      <c r="D6" s="156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" s="30" t="e">
        <f>VLOOKUP(B6,'Train Runs'!$A$13:$A$99934,1,FALSE)</f>
        <v>#N/A</v>
      </c>
    </row>
    <row r="7" spans="1:10" x14ac:dyDescent="0.25">
      <c r="A7" s="158"/>
      <c r="B7" s="42" t="str">
        <f>A7&amp;"-"&amp;IF(DAY(Variables!$A$2)&lt;10,0,"")&amp;DAY(Variables!$A$2)</f>
        <v>-23</v>
      </c>
      <c r="C7" s="138"/>
      <c r="D7" s="156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" s="30" t="e">
        <f>VLOOKUP(B7,'Train Runs'!$A$13:$A$99934,1,FALSE)</f>
        <v>#N/A</v>
      </c>
    </row>
    <row r="8" spans="1:10" x14ac:dyDescent="0.25">
      <c r="A8" s="158"/>
      <c r="B8" s="42" t="str">
        <f>A8&amp;"-"&amp;IF(DAY(Variables!$A$2)&lt;10,0,"")&amp;DAY(Variables!$A$2)</f>
        <v>-23</v>
      </c>
      <c r="C8" s="138"/>
      <c r="D8" s="156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" s="30" t="e">
        <f>VLOOKUP(B8,'Train Runs'!$A$13:$A$99934,1,FALSE)</f>
        <v>#N/A</v>
      </c>
    </row>
    <row r="9" spans="1:10" x14ac:dyDescent="0.25">
      <c r="A9" s="158"/>
      <c r="B9" s="42" t="str">
        <f>A9&amp;"-"&amp;IF(DAY(Variables!$A$2)&lt;10,0,"")&amp;DAY(Variables!$A$2)</f>
        <v>-23</v>
      </c>
      <c r="C9" s="138"/>
      <c r="D9" s="156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9" s="30" t="e">
        <f>VLOOKUP(B9,'Train Runs'!$A$13:$A$99934,1,FALSE)</f>
        <v>#N/A</v>
      </c>
    </row>
    <row r="10" spans="1:10" x14ac:dyDescent="0.25">
      <c r="A10" s="158"/>
      <c r="B10" s="42" t="str">
        <f>A10&amp;"-"&amp;IF(DAY(Variables!$A$2)&lt;10,0,"")&amp;DAY(Variables!$A$2)</f>
        <v>-23</v>
      </c>
      <c r="C10" s="138"/>
      <c r="D10" s="156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0" s="30" t="e">
        <f>VLOOKUP(B10,'Train Runs'!$A$13:$A$99934,1,FALSE)</f>
        <v>#N/A</v>
      </c>
    </row>
    <row r="11" spans="1:10" x14ac:dyDescent="0.25">
      <c r="A11" s="158"/>
      <c r="B11" s="42" t="str">
        <f>A11&amp;"-"&amp;IF(DAY(Variables!$A$2)&lt;10,0,"")&amp;DAY(Variables!$A$2)</f>
        <v>-23</v>
      </c>
      <c r="C11" s="138"/>
      <c r="D11" s="156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1" s="30" t="e">
        <f>VLOOKUP(B11,'Train Runs'!$A$13:$A$99934,1,FALSE)</f>
        <v>#N/A</v>
      </c>
    </row>
    <row r="12" spans="1:10" x14ac:dyDescent="0.25">
      <c r="A12" s="158"/>
      <c r="B12" s="42" t="str">
        <f>A12&amp;"-"&amp;IF(DAY(Variables!$A$2)&lt;10,0,"")&amp;DAY(Variables!$A$2)</f>
        <v>-23</v>
      </c>
      <c r="C12" s="138"/>
      <c r="D12" s="156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2" s="30" t="e">
        <f>VLOOKUP(B12,'Train Runs'!$A$13:$A$99934,1,FALSE)</f>
        <v>#N/A</v>
      </c>
    </row>
    <row r="13" spans="1:10" x14ac:dyDescent="0.25">
      <c r="A13" s="158"/>
      <c r="B13" s="42" t="str">
        <f>A13&amp;"-"&amp;IF(DAY(Variables!$A$2)&lt;10,0,"")&amp;DAY(Variables!$A$2)</f>
        <v>-23</v>
      </c>
      <c r="C13" s="138"/>
      <c r="D13" s="156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3" s="30" t="e">
        <f>VLOOKUP(B13,'Train Runs'!$A$13:$A$99934,1,FALSE)</f>
        <v>#N/A</v>
      </c>
    </row>
    <row r="14" spans="1:10" x14ac:dyDescent="0.25">
      <c r="A14" s="158"/>
      <c r="B14" s="42" t="str">
        <f>A14&amp;"-"&amp;IF(DAY(Variables!$A$2)&lt;10,0,"")&amp;DAY(Variables!$A$2)</f>
        <v>-23</v>
      </c>
      <c r="C14" s="138"/>
      <c r="D14" s="156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4" s="30" t="e">
        <f>VLOOKUP(B14,'Train Runs'!$A$13:$A$99934,1,FALSE)</f>
        <v>#N/A</v>
      </c>
    </row>
    <row r="15" spans="1:10" x14ac:dyDescent="0.25">
      <c r="A15" s="158"/>
      <c r="B15" s="42" t="str">
        <f>A15&amp;"-"&amp;IF(DAY(Variables!$A$2)&lt;10,0,"")&amp;DAY(Variables!$A$2)</f>
        <v>-23</v>
      </c>
      <c r="C15" s="138"/>
      <c r="D15" s="156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5" s="30" t="e">
        <f>VLOOKUP(B15,'Train Runs'!$A$13:$A$99934,1,FALSE)</f>
        <v>#N/A</v>
      </c>
    </row>
    <row r="16" spans="1:10" x14ac:dyDescent="0.25">
      <c r="A16" s="158"/>
      <c r="B16" s="42" t="str">
        <f>A16&amp;"-"&amp;IF(DAY(Variables!$A$2)&lt;10,0,"")&amp;DAY(Variables!$A$2)</f>
        <v>-23</v>
      </c>
      <c r="C16" s="138"/>
      <c r="D16" s="156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6" s="30" t="e">
        <f>VLOOKUP(B16,'Train Runs'!$A$13:$A$99934,1,FALSE)</f>
        <v>#N/A</v>
      </c>
    </row>
    <row r="17" spans="1:10" x14ac:dyDescent="0.25">
      <c r="A17" s="158"/>
      <c r="B17" s="42" t="str">
        <f>A17&amp;"-"&amp;IF(DAY(Variables!$A$2)&lt;10,0,"")&amp;DAY(Variables!$A$2)</f>
        <v>-23</v>
      </c>
      <c r="C17" s="138"/>
      <c r="D17" s="156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7" s="30" t="e">
        <f>VLOOKUP(B17,'Train Runs'!$A$13:$A$99934,1,FALSE)</f>
        <v>#N/A</v>
      </c>
    </row>
    <row r="18" spans="1:10" x14ac:dyDescent="0.25">
      <c r="A18" s="158"/>
      <c r="B18" s="42" t="str">
        <f>A18&amp;"-"&amp;IF(DAY(Variables!$A$2)&lt;10,0,"")&amp;DAY(Variables!$A$2)</f>
        <v>-23</v>
      </c>
      <c r="C18" s="138"/>
      <c r="D18" s="156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8" s="30" t="e">
        <f>VLOOKUP(B18,'Train Runs'!$A$13:$A$99934,1,FALSE)</f>
        <v>#N/A</v>
      </c>
    </row>
    <row r="19" spans="1:10" x14ac:dyDescent="0.25">
      <c r="A19" s="158"/>
      <c r="B19" s="42" t="str">
        <f>A19&amp;"-"&amp;IF(DAY(Variables!$A$2)&lt;10,0,"")&amp;DAY(Variables!$A$2)</f>
        <v>-23</v>
      </c>
      <c r="C19" s="138"/>
      <c r="D19" s="156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9" s="30" t="e">
        <f>VLOOKUP(B19,'Train Runs'!$A$13:$A$99934,1,FALSE)</f>
        <v>#N/A</v>
      </c>
    </row>
    <row r="20" spans="1:10" x14ac:dyDescent="0.25">
      <c r="A20" s="158"/>
      <c r="B20" s="42" t="str">
        <f>A20&amp;"-"&amp;IF(DAY(Variables!$A$2)&lt;10,0,"")&amp;DAY(Variables!$A$2)</f>
        <v>-23</v>
      </c>
      <c r="C20" s="138"/>
      <c r="D20" s="156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0" s="30" t="e">
        <f>VLOOKUP(B20,'Train Runs'!$A$13:$A$99934,1,FALSE)</f>
        <v>#N/A</v>
      </c>
    </row>
    <row r="21" spans="1:10" x14ac:dyDescent="0.25">
      <c r="A21" s="158"/>
      <c r="B21" s="42" t="str">
        <f>A21&amp;"-"&amp;IF(DAY(Variables!$A$2)&lt;10,0,"")&amp;DAY(Variables!$A$2)</f>
        <v>-23</v>
      </c>
      <c r="C21" s="138"/>
      <c r="D21" s="156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1" s="30" t="e">
        <f>VLOOKUP(B21,'Train Runs'!$A$13:$A$99934,1,FALSE)</f>
        <v>#N/A</v>
      </c>
    </row>
    <row r="22" spans="1:10" x14ac:dyDescent="0.25">
      <c r="A22" s="158"/>
      <c r="B22" s="42" t="str">
        <f>A22&amp;"-"&amp;IF(DAY(Variables!$A$2)&lt;10,0,"")&amp;DAY(Variables!$A$2)</f>
        <v>-23</v>
      </c>
      <c r="C22" s="138"/>
      <c r="D22" s="156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2" s="30" t="e">
        <f>VLOOKUP(B22,'Train Runs'!$A$13:$A$99934,1,FALSE)</f>
        <v>#N/A</v>
      </c>
    </row>
    <row r="23" spans="1:10" x14ac:dyDescent="0.25">
      <c r="A23" s="158"/>
      <c r="B23" s="42" t="str">
        <f>A23&amp;"-"&amp;IF(DAY(Variables!$A$2)&lt;10,0,"")&amp;DAY(Variables!$A$2)</f>
        <v>-23</v>
      </c>
      <c r="C23" s="138"/>
      <c r="D23" s="156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3" s="30" t="e">
        <f>VLOOKUP(B23,'Train Runs'!$A$13:$A$99934,1,FALSE)</f>
        <v>#N/A</v>
      </c>
    </row>
    <row r="24" spans="1:10" x14ac:dyDescent="0.25">
      <c r="A24" s="158"/>
      <c r="B24" s="42" t="str">
        <f>A24&amp;"-"&amp;IF(DAY(Variables!$A$2)&lt;10,0,"")&amp;DAY(Variables!$A$2)</f>
        <v>-23</v>
      </c>
      <c r="C24" s="138"/>
      <c r="D24" s="156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4" s="30" t="e">
        <f>VLOOKUP(B24,'Train Runs'!$A$13:$A$99934,1,FALSE)</f>
        <v>#N/A</v>
      </c>
    </row>
    <row r="25" spans="1:10" x14ac:dyDescent="0.25">
      <c r="A25" s="158"/>
      <c r="B25" s="42" t="str">
        <f>A25&amp;"-"&amp;IF(DAY(Variables!$A$2)&lt;10,0,"")&amp;DAY(Variables!$A$2)</f>
        <v>-23</v>
      </c>
      <c r="C25" s="138"/>
      <c r="D25" s="156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5" s="30" t="e">
        <f>VLOOKUP(B25,'Train Runs'!$A$13:$A$99934,1,FALSE)</f>
        <v>#N/A</v>
      </c>
    </row>
    <row r="26" spans="1:10" x14ac:dyDescent="0.25">
      <c r="A26" s="158"/>
      <c r="B26" s="42" t="str">
        <f>A26&amp;"-"&amp;IF(DAY(Variables!$A$2)&lt;10,0,"")&amp;DAY(Variables!$A$2)</f>
        <v>-23</v>
      </c>
      <c r="C26" s="138"/>
      <c r="D26" s="156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6" s="30" t="e">
        <f>VLOOKUP(B26,'Train Runs'!$A$13:$A$99934,1,FALSE)</f>
        <v>#N/A</v>
      </c>
    </row>
    <row r="27" spans="1:10" x14ac:dyDescent="0.25">
      <c r="A27" s="158"/>
      <c r="B27" s="42" t="str">
        <f>A27&amp;"-"&amp;IF(DAY(Variables!$A$2)&lt;10,0,"")&amp;DAY(Variables!$A$2)</f>
        <v>-23</v>
      </c>
      <c r="C27" s="138"/>
      <c r="D27" s="156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7" s="30" t="e">
        <f>VLOOKUP(B27,'Train Runs'!$A$13:$A$99934,1,FALSE)</f>
        <v>#N/A</v>
      </c>
    </row>
    <row r="28" spans="1:10" x14ac:dyDescent="0.25">
      <c r="A28" s="158"/>
      <c r="B28" s="42" t="str">
        <f>A28&amp;"-"&amp;IF(DAY(Variables!$A$2)&lt;10,0,"")&amp;DAY(Variables!$A$2)</f>
        <v>-23</v>
      </c>
      <c r="C28" s="138"/>
      <c r="D28" s="156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8" s="30" t="e">
        <f>VLOOKUP(B28,'Train Runs'!$A$13:$A$99934,1,FALSE)</f>
        <v>#N/A</v>
      </c>
    </row>
    <row r="29" spans="1:10" x14ac:dyDescent="0.25">
      <c r="A29" s="158"/>
      <c r="B29" s="42" t="str">
        <f>A29&amp;"-"&amp;IF(DAY(Variables!$A$2)&lt;10,0,"")&amp;DAY(Variables!$A$2)</f>
        <v>-23</v>
      </c>
      <c r="C29" s="138"/>
      <c r="D29" s="156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9" s="30" t="e">
        <f>VLOOKUP(B29,'Train Runs'!$A$13:$A$99934,1,FALSE)</f>
        <v>#N/A</v>
      </c>
    </row>
    <row r="30" spans="1:10" x14ac:dyDescent="0.25">
      <c r="A30" s="158"/>
      <c r="B30" s="42" t="str">
        <f>A30&amp;"-"&amp;IF(DAY(Variables!$A$2)&lt;10,0,"")&amp;DAY(Variables!$A$2)</f>
        <v>-23</v>
      </c>
      <c r="C30" s="138"/>
      <c r="D30" s="156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0" s="30" t="e">
        <f>VLOOKUP(B30,'Train Runs'!$A$13:$A$99934,1,FALSE)</f>
        <v>#N/A</v>
      </c>
    </row>
    <row r="31" spans="1:10" x14ac:dyDescent="0.25">
      <c r="A31" s="158"/>
      <c r="B31" s="42" t="str">
        <f>A31&amp;"-"&amp;IF(DAY(Variables!$A$2)&lt;10,0,"")&amp;DAY(Variables!$A$2)</f>
        <v>-23</v>
      </c>
      <c r="C31" s="138"/>
      <c r="D31" s="156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1" s="30" t="e">
        <f>VLOOKUP(B31,'Train Runs'!$A$13:$A$99934,1,FALSE)</f>
        <v>#N/A</v>
      </c>
    </row>
    <row r="32" spans="1:10" x14ac:dyDescent="0.25">
      <c r="A32" s="158"/>
      <c r="B32" s="42" t="str">
        <f>A32&amp;"-"&amp;IF(DAY(Variables!$A$2)&lt;10,0,"")&amp;DAY(Variables!$A$2)</f>
        <v>-23</v>
      </c>
      <c r="C32" s="138"/>
      <c r="D32" s="156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ref="I32:I63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32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2" s="30" t="e">
        <f>VLOOKUP(B32,'Train Runs'!$A$13:$A$99934,1,FALSE)</f>
        <v>#N/A</v>
      </c>
    </row>
    <row r="33" spans="1:10" x14ac:dyDescent="0.25">
      <c r="A33" s="158"/>
      <c r="B33" s="42" t="str">
        <f>A33&amp;"-"&amp;IF(DAY(Variables!$A$2)&lt;10,0,"")&amp;DAY(Variables!$A$2)</f>
        <v>-23</v>
      </c>
      <c r="C33" s="138"/>
      <c r="D33" s="156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3" s="30" t="e">
        <f>VLOOKUP(B33,'Train Runs'!$A$13:$A$99934,1,FALSE)</f>
        <v>#N/A</v>
      </c>
    </row>
    <row r="34" spans="1:10" x14ac:dyDescent="0.25">
      <c r="A34" s="158"/>
      <c r="B34" s="42" t="str">
        <f>A34&amp;"-"&amp;IF(DAY(Variables!$A$2)&lt;10,0,"")&amp;DAY(Variables!$A$2)</f>
        <v>-23</v>
      </c>
      <c r="C34" s="138"/>
      <c r="D34" s="156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4" s="30" t="e">
        <f>VLOOKUP(B34,'Train Runs'!$A$13:$A$99934,1,FALSE)</f>
        <v>#N/A</v>
      </c>
    </row>
    <row r="35" spans="1:10" x14ac:dyDescent="0.25">
      <c r="A35" s="158"/>
      <c r="B35" s="42" t="str">
        <f>A35&amp;"-"&amp;IF(DAY(Variables!$A$2)&lt;10,0,"")&amp;DAY(Variables!$A$2)</f>
        <v>-23</v>
      </c>
      <c r="C35" s="138"/>
      <c r="D35" s="156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5" s="30" t="e">
        <f>VLOOKUP(B35,'Train Runs'!$A$13:$A$99934,1,FALSE)</f>
        <v>#N/A</v>
      </c>
    </row>
    <row r="36" spans="1:10" x14ac:dyDescent="0.25">
      <c r="A36" s="158"/>
      <c r="B36" s="42" t="str">
        <f>A36&amp;"-"&amp;IF(DAY(Variables!$A$2)&lt;10,0,"")&amp;DAY(Variables!$A$2)</f>
        <v>-23</v>
      </c>
      <c r="C36" s="138"/>
      <c r="D36" s="156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6" s="30" t="e">
        <f>VLOOKUP(B36,'Train Runs'!$A$13:$A$99934,1,FALSE)</f>
        <v>#N/A</v>
      </c>
    </row>
    <row r="37" spans="1:10" x14ac:dyDescent="0.25">
      <c r="A37" s="158"/>
      <c r="B37" s="42" t="str">
        <f>A37&amp;"-"&amp;IF(DAY(Variables!$A$2)&lt;10,0,"")&amp;DAY(Variables!$A$2)</f>
        <v>-23</v>
      </c>
      <c r="C37" s="138"/>
      <c r="D37" s="156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7" s="30" t="e">
        <f>VLOOKUP(B37,'Train Runs'!$A$13:$A$99934,1,FALSE)</f>
        <v>#N/A</v>
      </c>
    </row>
    <row r="38" spans="1:10" x14ac:dyDescent="0.25">
      <c r="A38" s="158"/>
      <c r="B38" s="42" t="str">
        <f>A38&amp;"-"&amp;IF(DAY(Variables!$A$2)&lt;10,0,"")&amp;DAY(Variables!$A$2)</f>
        <v>-23</v>
      </c>
      <c r="C38" s="138"/>
      <c r="D38" s="156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8" s="30" t="e">
        <f>VLOOKUP(B38,'Train Runs'!$A$13:$A$99934,1,FALSE)</f>
        <v>#N/A</v>
      </c>
    </row>
    <row r="39" spans="1:10" x14ac:dyDescent="0.25">
      <c r="A39" s="158"/>
      <c r="B39" s="42" t="str">
        <f>A39&amp;"-"&amp;IF(DAY(Variables!$A$2)&lt;10,0,"")&amp;DAY(Variables!$A$2)</f>
        <v>-23</v>
      </c>
      <c r="C39" s="138"/>
      <c r="D39" s="156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9" s="30" t="e">
        <f>VLOOKUP(B39,'Train Runs'!$A$13:$A$99934,1,FALSE)</f>
        <v>#N/A</v>
      </c>
    </row>
    <row r="40" spans="1:10" x14ac:dyDescent="0.25">
      <c r="A40" s="158"/>
      <c r="B40" s="42" t="str">
        <f>A40&amp;"-"&amp;IF(DAY(Variables!$A$2)&lt;10,0,"")&amp;DAY(Variables!$A$2)</f>
        <v>-23</v>
      </c>
      <c r="C40" s="138"/>
      <c r="D40" s="156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0" s="30" t="e">
        <f>VLOOKUP(B40,'Train Runs'!$A$13:$A$99934,1,FALSE)</f>
        <v>#N/A</v>
      </c>
    </row>
    <row r="41" spans="1:10" x14ac:dyDescent="0.25">
      <c r="A41" s="158"/>
      <c r="B41" s="42" t="str">
        <f>A41&amp;"-"&amp;IF(DAY(Variables!$A$2)&lt;10,0,"")&amp;DAY(Variables!$A$2)</f>
        <v>-23</v>
      </c>
      <c r="C41" s="138"/>
      <c r="D41" s="156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1" s="30" t="e">
        <f>VLOOKUP(B41,'Train Runs'!$A$13:$A$99934,1,FALSE)</f>
        <v>#N/A</v>
      </c>
    </row>
    <row r="42" spans="1:10" x14ac:dyDescent="0.25">
      <c r="A42" s="158"/>
      <c r="B42" s="42" t="str">
        <f>A42&amp;"-"&amp;IF(DAY(Variables!$A$2)&lt;10,0,"")&amp;DAY(Variables!$A$2)</f>
        <v>-23</v>
      </c>
      <c r="C42" s="138"/>
      <c r="D42" s="156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2" s="30" t="e">
        <f>VLOOKUP(B42,'Train Runs'!$A$13:$A$99934,1,FALSE)</f>
        <v>#N/A</v>
      </c>
    </row>
    <row r="43" spans="1:10" x14ac:dyDescent="0.25">
      <c r="A43" s="158"/>
      <c r="B43" s="42" t="str">
        <f>A43&amp;"-"&amp;IF(DAY(Variables!$A$2)&lt;10,0,"")&amp;DAY(Variables!$A$2)</f>
        <v>-23</v>
      </c>
      <c r="C43" s="138"/>
      <c r="D43" s="156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3" s="30" t="e">
        <f>VLOOKUP(B43,'Train Runs'!$A$13:$A$99934,1,FALSE)</f>
        <v>#N/A</v>
      </c>
    </row>
    <row r="44" spans="1:10" x14ac:dyDescent="0.25">
      <c r="A44" s="158"/>
      <c r="B44" s="42" t="str">
        <f>A44&amp;"-"&amp;IF(DAY(Variables!$A$2)&lt;10,0,"")&amp;DAY(Variables!$A$2)</f>
        <v>-23</v>
      </c>
      <c r="C44" s="138"/>
      <c r="D44" s="156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4" s="30" t="e">
        <f>VLOOKUP(B44,'Train Runs'!$A$13:$A$99934,1,FALSE)</f>
        <v>#N/A</v>
      </c>
    </row>
    <row r="45" spans="1:10" x14ac:dyDescent="0.25">
      <c r="A45" s="158"/>
      <c r="B45" s="42" t="str">
        <f>A45&amp;"-"&amp;IF(DAY(Variables!$A$2)&lt;10,0,"")&amp;DAY(Variables!$A$2)</f>
        <v>-23</v>
      </c>
      <c r="C45" s="138"/>
      <c r="D45" s="156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5" s="30" t="e">
        <f>VLOOKUP(B45,'Train Runs'!$A$13:$A$99934,1,FALSE)</f>
        <v>#N/A</v>
      </c>
    </row>
    <row r="46" spans="1:10" x14ac:dyDescent="0.25">
      <c r="A46" s="158"/>
      <c r="B46" s="42" t="str">
        <f>A46&amp;"-"&amp;IF(DAY(Variables!$A$2)&lt;10,0,"")&amp;DAY(Variables!$A$2)</f>
        <v>-23</v>
      </c>
      <c r="C46" s="138"/>
      <c r="D46" s="156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6" s="30" t="e">
        <f>VLOOKUP(B46,'Train Runs'!$A$13:$A$99934,1,FALSE)</f>
        <v>#N/A</v>
      </c>
    </row>
    <row r="47" spans="1:10" x14ac:dyDescent="0.25">
      <c r="A47" s="158"/>
      <c r="B47" s="42" t="str">
        <f>A47&amp;"-"&amp;IF(DAY(Variables!$A$2)&lt;10,0,"")&amp;DAY(Variables!$A$2)</f>
        <v>-23</v>
      </c>
      <c r="C47" s="138"/>
      <c r="D47" s="156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7" s="30" t="e">
        <f>VLOOKUP(B47,'Train Runs'!$A$13:$A$99934,1,FALSE)</f>
        <v>#N/A</v>
      </c>
    </row>
    <row r="48" spans="1:10" x14ac:dyDescent="0.25">
      <c r="A48" s="158"/>
      <c r="B48" s="42" t="str">
        <f>A48&amp;"-"&amp;IF(DAY(Variables!$A$2)&lt;10,0,"")&amp;DAY(Variables!$A$2)</f>
        <v>-23</v>
      </c>
      <c r="C48" s="138"/>
      <c r="D48" s="156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8" s="30" t="e">
        <f>VLOOKUP(B48,'Train Runs'!$A$13:$A$99934,1,FALSE)</f>
        <v>#N/A</v>
      </c>
    </row>
    <row r="49" spans="1:10" x14ac:dyDescent="0.25">
      <c r="A49" s="158"/>
      <c r="B49" s="42" t="str">
        <f>A49&amp;"-"&amp;IF(DAY(Variables!$A$2)&lt;10,0,"")&amp;DAY(Variables!$A$2)</f>
        <v>-23</v>
      </c>
      <c r="C49" s="138"/>
      <c r="D49" s="156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9" s="30" t="e">
        <f>VLOOKUP(B49,'Train Runs'!$A$13:$A$99934,1,FALSE)</f>
        <v>#N/A</v>
      </c>
    </row>
    <row r="50" spans="1:10" x14ac:dyDescent="0.25">
      <c r="A50" s="158"/>
      <c r="B50" s="42" t="str">
        <f>A50&amp;"-"&amp;IF(DAY(Variables!$A$2)&lt;10,0,"")&amp;DAY(Variables!$A$2)</f>
        <v>-23</v>
      </c>
      <c r="C50" s="138"/>
      <c r="D50" s="156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0" s="30" t="e">
        <f>VLOOKUP(B50,'Train Runs'!$A$13:$A$99934,1,FALSE)</f>
        <v>#N/A</v>
      </c>
    </row>
    <row r="51" spans="1:10" x14ac:dyDescent="0.25">
      <c r="A51" s="158"/>
      <c r="B51" s="42" t="str">
        <f>A51&amp;"-"&amp;IF(DAY(Variables!$A$2)&lt;10,0,"")&amp;DAY(Variables!$A$2)</f>
        <v>-23</v>
      </c>
      <c r="C51" s="138"/>
      <c r="D51" s="156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1" s="30" t="e">
        <f>VLOOKUP(B51,'Train Runs'!$A$13:$A$99934,1,FALSE)</f>
        <v>#N/A</v>
      </c>
    </row>
    <row r="52" spans="1:10" x14ac:dyDescent="0.25">
      <c r="A52" s="158"/>
      <c r="B52" s="42" t="str">
        <f>A52&amp;"-"&amp;IF(DAY(Variables!$A$2)&lt;10,0,"")&amp;DAY(Variables!$A$2)</f>
        <v>-23</v>
      </c>
      <c r="C52" s="138"/>
      <c r="D52" s="156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2" s="30" t="e">
        <f>VLOOKUP(B52,'Train Runs'!$A$13:$A$99934,1,FALSE)</f>
        <v>#N/A</v>
      </c>
    </row>
    <row r="53" spans="1:10" x14ac:dyDescent="0.25">
      <c r="A53" s="158"/>
      <c r="B53" s="42" t="str">
        <f>A53&amp;"-"&amp;IF(DAY(Variables!$A$2)&lt;10,0,"")&amp;DAY(Variables!$A$2)</f>
        <v>-23</v>
      </c>
      <c r="C53" s="138"/>
      <c r="D53" s="156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3" s="30" t="e">
        <f>VLOOKUP(B53,'Train Runs'!$A$13:$A$99934,1,FALSE)</f>
        <v>#N/A</v>
      </c>
    </row>
    <row r="54" spans="1:10" x14ac:dyDescent="0.25">
      <c r="A54" s="158"/>
      <c r="B54" s="42" t="str">
        <f>A54&amp;"-"&amp;IF(DAY(Variables!$A$2)&lt;10,0,"")&amp;DAY(Variables!$A$2)</f>
        <v>-23</v>
      </c>
      <c r="C54" s="138"/>
      <c r="D54" s="156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4" s="30" t="e">
        <f>VLOOKUP(B54,'Train Runs'!$A$13:$A$99934,1,FALSE)</f>
        <v>#N/A</v>
      </c>
    </row>
    <row r="55" spans="1:10" x14ac:dyDescent="0.25">
      <c r="A55" s="158"/>
      <c r="B55" s="42" t="str">
        <f>A55&amp;"-"&amp;IF(DAY(Variables!$A$2)&lt;10,0,"")&amp;DAY(Variables!$A$2)</f>
        <v>-23</v>
      </c>
      <c r="C55" s="138"/>
      <c r="D55" s="156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5" s="30" t="e">
        <f>VLOOKUP(B55,'Train Runs'!$A$13:$A$99934,1,FALSE)</f>
        <v>#N/A</v>
      </c>
    </row>
    <row r="56" spans="1:10" x14ac:dyDescent="0.25">
      <c r="A56" s="158"/>
      <c r="B56" s="42" t="str">
        <f>A56&amp;"-"&amp;IF(DAY(Variables!$A$2)&lt;10,0,"")&amp;DAY(Variables!$A$2)</f>
        <v>-23</v>
      </c>
      <c r="C56" s="138"/>
      <c r="D56" s="156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6" s="30" t="e">
        <f>VLOOKUP(B56,'Train Runs'!$A$13:$A$99934,1,FALSE)</f>
        <v>#N/A</v>
      </c>
    </row>
    <row r="57" spans="1:10" x14ac:dyDescent="0.25">
      <c r="A57" s="158"/>
      <c r="B57" s="42" t="str">
        <f>A57&amp;"-"&amp;IF(DAY(Variables!$A$2)&lt;10,0,"")&amp;DAY(Variables!$A$2)</f>
        <v>-23</v>
      </c>
      <c r="C57" s="138"/>
      <c r="D57" s="156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7" s="30" t="e">
        <f>VLOOKUP(B57,'Train Runs'!$A$13:$A$99934,1,FALSE)</f>
        <v>#N/A</v>
      </c>
    </row>
    <row r="58" spans="1:10" x14ac:dyDescent="0.25">
      <c r="A58" s="158"/>
      <c r="B58" s="42" t="str">
        <f>A58&amp;"-"&amp;IF(DAY(Variables!$A$2)&lt;10,0,"")&amp;DAY(Variables!$A$2)</f>
        <v>-23</v>
      </c>
      <c r="C58" s="138"/>
      <c r="D58" s="156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8" s="30" t="e">
        <f>VLOOKUP(B58,'Train Runs'!$A$13:$A$99934,1,FALSE)</f>
        <v>#N/A</v>
      </c>
    </row>
    <row r="59" spans="1:10" x14ac:dyDescent="0.25">
      <c r="A59" s="158"/>
      <c r="B59" s="42" t="str">
        <f>A59&amp;"-"&amp;IF(DAY(Variables!$A$2)&lt;10,0,"")&amp;DAY(Variables!$A$2)</f>
        <v>-23</v>
      </c>
      <c r="C59" s="138"/>
      <c r="D59" s="156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9" s="30" t="e">
        <f>VLOOKUP(B59,'Train Runs'!$A$13:$A$99934,1,FALSE)</f>
        <v>#N/A</v>
      </c>
    </row>
    <row r="60" spans="1:10" x14ac:dyDescent="0.25">
      <c r="A60" s="158"/>
      <c r="B60" s="42" t="str">
        <f>A60&amp;"-"&amp;IF(DAY(Variables!$A$2)&lt;10,0,"")&amp;DAY(Variables!$A$2)</f>
        <v>-23</v>
      </c>
      <c r="C60" s="138"/>
      <c r="D60" s="156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0" s="30" t="e">
        <f>VLOOKUP(B60,'Train Runs'!$A$13:$A$99934,1,FALSE)</f>
        <v>#N/A</v>
      </c>
    </row>
    <row r="61" spans="1:10" x14ac:dyDescent="0.25">
      <c r="A61" s="158"/>
      <c r="B61" s="42" t="str">
        <f>A61&amp;"-"&amp;IF(DAY(Variables!$A$2)&lt;10,0,"")&amp;DAY(Variables!$A$2)</f>
        <v>-23</v>
      </c>
      <c r="C61" s="138"/>
      <c r="D61" s="156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1" s="30" t="e">
        <f>VLOOKUP(B61,'Train Runs'!$A$13:$A$99934,1,FALSE)</f>
        <v>#N/A</v>
      </c>
    </row>
    <row r="62" spans="1:10" x14ac:dyDescent="0.25">
      <c r="A62" s="158"/>
      <c r="B62" s="42" t="str">
        <f>A62&amp;"-"&amp;IF(DAY(Variables!$A$2)&lt;10,0,"")&amp;DAY(Variables!$A$2)</f>
        <v>-23</v>
      </c>
      <c r="C62" s="138"/>
      <c r="D62" s="156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2" s="30" t="e">
        <f>VLOOKUP(B62,'Train Runs'!$A$13:$A$99934,1,FALSE)</f>
        <v>#N/A</v>
      </c>
    </row>
    <row r="63" spans="1:10" x14ac:dyDescent="0.25">
      <c r="A63" s="158"/>
      <c r="B63" s="42" t="str">
        <f>A63&amp;"-"&amp;IF(DAY(Variables!$A$2)&lt;10,0,"")&amp;DAY(Variables!$A$2)</f>
        <v>-23</v>
      </c>
      <c r="C63" s="138"/>
      <c r="D63" s="156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3" s="30" t="e">
        <f>VLOOKUP(B63,'Train Runs'!$A$13:$A$99934,1,FALSE)</f>
        <v>#N/A</v>
      </c>
    </row>
    <row r="64" spans="1:10" x14ac:dyDescent="0.25">
      <c r="A64" s="158"/>
      <c r="B64" s="42" t="str">
        <f>A64&amp;"-"&amp;IF(DAY(Variables!$A$2)&lt;10,0,"")&amp;DAY(Variables!$A$2)</f>
        <v>-23</v>
      </c>
      <c r="C64" s="138"/>
      <c r="D64" s="156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5" t="str">
        <f t="shared" ref="I64:I85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4" s="30" t="e">
        <f>VLOOKUP(B64,'Train Runs'!$A$13:$A$99934,1,FALSE)</f>
        <v>#N/A</v>
      </c>
    </row>
    <row r="65" spans="1:10" x14ac:dyDescent="0.25">
      <c r="A65" s="158"/>
      <c r="B65" s="42" t="str">
        <f>A65&amp;"-"&amp;IF(DAY(Variables!$A$2)&lt;10,0,"")&amp;DAY(Variables!$A$2)</f>
        <v>-23</v>
      </c>
      <c r="C65" s="138"/>
      <c r="D65" s="156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5" s="30" t="e">
        <f>VLOOKUP(B65,'Train Runs'!$A$13:$A$99934,1,FALSE)</f>
        <v>#N/A</v>
      </c>
    </row>
    <row r="66" spans="1:10" x14ac:dyDescent="0.25">
      <c r="A66" s="158"/>
      <c r="B66" s="42" t="str">
        <f>A66&amp;"-"&amp;IF(DAY(Variables!$A$2)&lt;10,0,"")&amp;DAY(Variables!$A$2)</f>
        <v>-23</v>
      </c>
      <c r="C66" s="138"/>
      <c r="D66" s="156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6" s="30" t="e">
        <f>VLOOKUP(B66,'Train Runs'!$A$13:$A$99934,1,FALSE)</f>
        <v>#N/A</v>
      </c>
    </row>
    <row r="67" spans="1:10" x14ac:dyDescent="0.25">
      <c r="A67" s="158"/>
      <c r="B67" s="42" t="str">
        <f>A67&amp;"-"&amp;IF(DAY(Variables!$A$2)&lt;10,0,"")&amp;DAY(Variables!$A$2)</f>
        <v>-23</v>
      </c>
      <c r="C67" s="138"/>
      <c r="D67" s="156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7" s="30" t="e">
        <f>VLOOKUP(B67,'Train Runs'!$A$13:$A$99934,1,FALSE)</f>
        <v>#N/A</v>
      </c>
    </row>
    <row r="68" spans="1:10" x14ac:dyDescent="0.25">
      <c r="A68" s="158"/>
      <c r="B68" s="42" t="str">
        <f>A68&amp;"-"&amp;IF(DAY(Variables!$A$2)&lt;10,0,"")&amp;DAY(Variables!$A$2)</f>
        <v>-23</v>
      </c>
      <c r="C68" s="138"/>
      <c r="D68" s="156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8" s="30" t="e">
        <f>VLOOKUP(B68,'Train Runs'!$A$13:$A$99934,1,FALSE)</f>
        <v>#N/A</v>
      </c>
    </row>
    <row r="69" spans="1:10" x14ac:dyDescent="0.25">
      <c r="A69" s="158"/>
      <c r="B69" s="42" t="str">
        <f>A69&amp;"-"&amp;IF(DAY(Variables!$A$2)&lt;10,0,"")&amp;DAY(Variables!$A$2)</f>
        <v>-23</v>
      </c>
      <c r="C69" s="138"/>
      <c r="D69" s="156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9" s="30" t="e">
        <f>VLOOKUP(B69,'Train Runs'!$A$13:$A$99934,1,FALSE)</f>
        <v>#N/A</v>
      </c>
    </row>
    <row r="70" spans="1:10" x14ac:dyDescent="0.25">
      <c r="A70" s="158"/>
      <c r="B70" s="42" t="str">
        <f>A70&amp;"-"&amp;IF(DAY(Variables!$A$2)&lt;10,0,"")&amp;DAY(Variables!$A$2)</f>
        <v>-23</v>
      </c>
      <c r="C70" s="138"/>
      <c r="D70" s="156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0" s="30" t="e">
        <f>VLOOKUP(B70,'Train Runs'!$A$13:$A$99934,1,FALSE)</f>
        <v>#N/A</v>
      </c>
    </row>
    <row r="71" spans="1:10" x14ac:dyDescent="0.25">
      <c r="A71" s="158"/>
      <c r="B71" s="42" t="str">
        <f>A71&amp;"-"&amp;IF(DAY(Variables!$A$2)&lt;10,0,"")&amp;DAY(Variables!$A$2)</f>
        <v>-23</v>
      </c>
      <c r="C71" s="138"/>
      <c r="D71" s="156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1" s="30" t="e">
        <f>VLOOKUP(B71,'Train Runs'!$A$13:$A$99934,1,FALSE)</f>
        <v>#N/A</v>
      </c>
    </row>
    <row r="72" spans="1:10" x14ac:dyDescent="0.25">
      <c r="A72" s="158"/>
      <c r="B72" s="42" t="str">
        <f>A72&amp;"-"&amp;IF(DAY(Variables!$A$2)&lt;10,0,"")&amp;DAY(Variables!$A$2)</f>
        <v>-23</v>
      </c>
      <c r="C72" s="138"/>
      <c r="D72" s="156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2" s="30" t="e">
        <f>VLOOKUP(B72,'Train Runs'!$A$13:$A$99934,1,FALSE)</f>
        <v>#N/A</v>
      </c>
    </row>
    <row r="73" spans="1:10" x14ac:dyDescent="0.25">
      <c r="A73" s="158"/>
      <c r="B73" s="42" t="str">
        <f>A73&amp;"-"&amp;IF(DAY(Variables!$A$2)&lt;10,0,"")&amp;DAY(Variables!$A$2)</f>
        <v>-23</v>
      </c>
      <c r="C73" s="138"/>
      <c r="D73" s="156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3" s="30" t="e">
        <f>VLOOKUP(B73,'Train Runs'!$A$13:$A$99934,1,FALSE)</f>
        <v>#N/A</v>
      </c>
    </row>
    <row r="74" spans="1:10" x14ac:dyDescent="0.25">
      <c r="A74" s="158"/>
      <c r="B74" s="42" t="str">
        <f>A74&amp;"-"&amp;IF(DAY(Variables!$A$2)&lt;10,0,"")&amp;DAY(Variables!$A$2)</f>
        <v>-23</v>
      </c>
      <c r="C74" s="138"/>
      <c r="D74" s="156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4" s="30" t="e">
        <f>VLOOKUP(B74,'Train Runs'!$A$13:$A$99934,1,FALSE)</f>
        <v>#N/A</v>
      </c>
    </row>
    <row r="75" spans="1:10" x14ac:dyDescent="0.25">
      <c r="A75" s="158"/>
      <c r="B75" s="42" t="str">
        <f>A75&amp;"-"&amp;IF(DAY(Variables!$A$2)&lt;10,0,"")&amp;DAY(Variables!$A$2)</f>
        <v>-23</v>
      </c>
      <c r="C75" s="138"/>
      <c r="D75" s="156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5" s="30" t="e">
        <f>VLOOKUP(B75,'Train Runs'!$A$13:$A$99934,1,FALSE)</f>
        <v>#N/A</v>
      </c>
    </row>
    <row r="76" spans="1:10" x14ac:dyDescent="0.25">
      <c r="A76" s="158"/>
      <c r="B76" s="42" t="str">
        <f>A76&amp;"-"&amp;IF(DAY(Variables!$A$2)&lt;10,0,"")&amp;DAY(Variables!$A$2)</f>
        <v>-23</v>
      </c>
      <c r="C76" s="138"/>
      <c r="D76" s="156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6" s="30" t="e">
        <f>VLOOKUP(B76,'Train Runs'!$A$13:$A$99934,1,FALSE)</f>
        <v>#N/A</v>
      </c>
    </row>
    <row r="77" spans="1:10" x14ac:dyDescent="0.25">
      <c r="A77" s="158"/>
      <c r="B77" s="42" t="str">
        <f>A77&amp;"-"&amp;IF(DAY(Variables!$A$2)&lt;10,0,"")&amp;DAY(Variables!$A$2)</f>
        <v>-23</v>
      </c>
      <c r="C77" s="138"/>
      <c r="D77" s="156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7" s="30" t="e">
        <f>VLOOKUP(B77,'Train Runs'!$A$13:$A$99934,1,FALSE)</f>
        <v>#N/A</v>
      </c>
    </row>
    <row r="78" spans="1:10" x14ac:dyDescent="0.25">
      <c r="A78" s="158"/>
      <c r="B78" s="42" t="str">
        <f>A78&amp;"-"&amp;IF(DAY(Variables!$A$2)&lt;10,0,"")&amp;DAY(Variables!$A$2)</f>
        <v>-23</v>
      </c>
      <c r="C78" s="138"/>
      <c r="D78" s="156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8" s="30" t="e">
        <f>VLOOKUP(B78,'Train Runs'!$A$13:$A$99934,1,FALSE)</f>
        <v>#N/A</v>
      </c>
    </row>
    <row r="79" spans="1:10" x14ac:dyDescent="0.25">
      <c r="A79" s="158"/>
      <c r="B79" s="42" t="str">
        <f>A79&amp;"-"&amp;IF(DAY(Variables!$A$2)&lt;10,0,"")&amp;DAY(Variables!$A$2)</f>
        <v>-23</v>
      </c>
      <c r="C79" s="138"/>
      <c r="D79" s="156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9" s="30" t="e">
        <f>VLOOKUP(B79,'Train Runs'!$A$13:$A$99934,1,FALSE)</f>
        <v>#N/A</v>
      </c>
    </row>
    <row r="80" spans="1:10" x14ac:dyDescent="0.25">
      <c r="A80" s="158"/>
      <c r="B80" s="42" t="str">
        <f>A80&amp;"-"&amp;IF(DAY(Variables!$A$2)&lt;10,0,"")&amp;DAY(Variables!$A$2)</f>
        <v>-23</v>
      </c>
      <c r="C80" s="138"/>
      <c r="D80" s="156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0" s="30" t="e">
        <f>VLOOKUP(B80,'Train Runs'!$A$13:$A$99934,1,FALSE)</f>
        <v>#N/A</v>
      </c>
    </row>
    <row r="81" spans="1:10" x14ac:dyDescent="0.25">
      <c r="A81" s="158"/>
      <c r="B81" s="42" t="str">
        <f>A81&amp;"-"&amp;IF(DAY(Variables!$A$2)&lt;10,0,"")&amp;DAY(Variables!$A$2)</f>
        <v>-23</v>
      </c>
      <c r="C81" s="138"/>
      <c r="D81" s="156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1" s="30" t="e">
        <f>VLOOKUP(B81,'Train Runs'!$A$13:$A$99934,1,FALSE)</f>
        <v>#N/A</v>
      </c>
    </row>
    <row r="82" spans="1:10" x14ac:dyDescent="0.25">
      <c r="A82" s="158"/>
      <c r="B82" s="42" t="str">
        <f>A82&amp;"-"&amp;IF(DAY(Variables!$A$2)&lt;10,0,"")&amp;DAY(Variables!$A$2)</f>
        <v>-23</v>
      </c>
      <c r="C82" s="138"/>
      <c r="D82" s="156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2" s="30" t="e">
        <f>VLOOKUP(B82,'Train Runs'!$A$13:$A$99934,1,FALSE)</f>
        <v>#N/A</v>
      </c>
    </row>
    <row r="83" spans="1:10" x14ac:dyDescent="0.25">
      <c r="A83" s="158"/>
      <c r="B83" s="42" t="str">
        <f>A83&amp;"-"&amp;IF(DAY(Variables!$A$2)&lt;10,0,"")&amp;DAY(Variables!$A$2)</f>
        <v>-23</v>
      </c>
      <c r="C83" s="138"/>
      <c r="D83" s="156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3" s="30" t="e">
        <f>VLOOKUP(B83,'Train Runs'!$A$13:$A$99934,1,FALSE)</f>
        <v>#N/A</v>
      </c>
    </row>
    <row r="84" spans="1:10" x14ac:dyDescent="0.25">
      <c r="A84" s="158"/>
      <c r="B84" s="42" t="str">
        <f>A84&amp;"-"&amp;IF(DAY(Variables!$A$2)&lt;10,0,"")&amp;DAY(Variables!$A$2)</f>
        <v>-23</v>
      </c>
      <c r="C84" s="138"/>
      <c r="D84" s="156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4" s="30" t="e">
        <f>VLOOKUP(B84,'Train Runs'!$A$13:$A$99934,1,FALSE)</f>
        <v>#N/A</v>
      </c>
    </row>
    <row r="85" spans="1:10" x14ac:dyDescent="0.25">
      <c r="A85" s="158"/>
      <c r="B85" s="42" t="str">
        <f>A85&amp;"-"&amp;IF(DAY(Variables!$A$2)&lt;10,0,"")&amp;DAY(Variables!$A$2)</f>
        <v>-23</v>
      </c>
      <c r="C85" s="138"/>
      <c r="D85" s="156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5" s="30" t="e">
        <f>VLOOKUP(B85,'Train Runs'!$A$13:$A$99934,1,FALSE)</f>
        <v>#N/A</v>
      </c>
    </row>
  </sheetData>
  <autoFilter ref="A2:J85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12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1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41" t="s">
        <v>176</v>
      </c>
      <c r="E1" s="20" t="s">
        <v>177</v>
      </c>
      <c r="F1" s="20" t="s">
        <v>195</v>
      </c>
      <c r="G1" s="8" t="s">
        <v>194</v>
      </c>
    </row>
    <row r="2" spans="1:7" x14ac:dyDescent="0.25">
      <c r="A2" s="8">
        <v>42848.034074074072</v>
      </c>
      <c r="B2" s="20" t="s">
        <v>484</v>
      </c>
      <c r="C2" s="20" t="s">
        <v>621</v>
      </c>
      <c r="D2" s="141">
        <v>2000000</v>
      </c>
      <c r="E2" s="20" t="s">
        <v>355</v>
      </c>
      <c r="F2" s="20" t="s">
        <v>193</v>
      </c>
      <c r="G2" s="8" t="str">
        <f>E2&amp;" "&amp;F2</f>
        <v>STAMBAUGH JAMES</v>
      </c>
    </row>
    <row r="3" spans="1:7" x14ac:dyDescent="0.25">
      <c r="A3" s="8">
        <v>42848.034108796295</v>
      </c>
      <c r="B3" s="20" t="s">
        <v>622</v>
      </c>
      <c r="C3" s="20" t="s">
        <v>623</v>
      </c>
      <c r="D3" s="141">
        <v>2270000</v>
      </c>
      <c r="E3" s="20" t="s">
        <v>206</v>
      </c>
      <c r="F3" s="20" t="s">
        <v>207</v>
      </c>
      <c r="G3" s="8" t="str">
        <f t="shared" ref="G3:G66" si="0">E3&amp;" "&amp;F3</f>
        <v>BROWN JACOB</v>
      </c>
    </row>
    <row r="4" spans="1:7" x14ac:dyDescent="0.25">
      <c r="A4" s="8">
        <v>42848.049502314818</v>
      </c>
      <c r="B4" s="20" t="s">
        <v>430</v>
      </c>
      <c r="C4" s="20" t="s">
        <v>624</v>
      </c>
      <c r="D4" s="141">
        <v>2600000</v>
      </c>
      <c r="E4" s="20" t="s">
        <v>625</v>
      </c>
      <c r="F4" s="20" t="s">
        <v>626</v>
      </c>
      <c r="G4" s="8" t="str">
        <f t="shared" si="0"/>
        <v>DAVIDSON DAVID</v>
      </c>
    </row>
    <row r="5" spans="1:7" x14ac:dyDescent="0.25">
      <c r="A5" s="8">
        <v>42848.056689814817</v>
      </c>
      <c r="B5" s="20" t="s">
        <v>627</v>
      </c>
      <c r="C5" s="20" t="s">
        <v>628</v>
      </c>
      <c r="D5" s="141">
        <v>2610000</v>
      </c>
      <c r="E5" s="20" t="s">
        <v>629</v>
      </c>
      <c r="F5" s="20" t="s">
        <v>630</v>
      </c>
      <c r="G5" s="8" t="str">
        <f t="shared" si="0"/>
        <v>MAGEE KENYA</v>
      </c>
    </row>
    <row r="6" spans="1:7" x14ac:dyDescent="0.25">
      <c r="A6" s="8">
        <v>42848.067083333335</v>
      </c>
      <c r="B6" s="20" t="s">
        <v>486</v>
      </c>
      <c r="C6" s="20" t="s">
        <v>631</v>
      </c>
      <c r="D6" s="141">
        <v>2000000</v>
      </c>
      <c r="E6" s="20" t="s">
        <v>355</v>
      </c>
      <c r="F6" s="20" t="s">
        <v>193</v>
      </c>
      <c r="G6" s="8" t="str">
        <f t="shared" si="0"/>
        <v>STAMBAUGH JAMES</v>
      </c>
    </row>
    <row r="7" spans="1:7" x14ac:dyDescent="0.25">
      <c r="A7" s="8">
        <v>42848.074212962965</v>
      </c>
      <c r="B7" s="20" t="s">
        <v>632</v>
      </c>
      <c r="C7" s="20" t="s">
        <v>633</v>
      </c>
      <c r="D7" s="141">
        <v>2270000</v>
      </c>
      <c r="E7" s="20" t="s">
        <v>206</v>
      </c>
      <c r="F7" s="20" t="s">
        <v>207</v>
      </c>
      <c r="G7" s="8" t="str">
        <f t="shared" si="0"/>
        <v>BROWN JACOB</v>
      </c>
    </row>
    <row r="8" spans="1:7" x14ac:dyDescent="0.25">
      <c r="A8" s="8">
        <v>42848.09003472222</v>
      </c>
      <c r="B8" s="20" t="s">
        <v>634</v>
      </c>
      <c r="C8" s="20" t="s">
        <v>635</v>
      </c>
      <c r="D8" s="141">
        <v>2610000</v>
      </c>
      <c r="E8" s="20" t="s">
        <v>629</v>
      </c>
      <c r="F8" s="20" t="s">
        <v>630</v>
      </c>
      <c r="G8" s="8" t="str">
        <f t="shared" si="0"/>
        <v>MAGEE KENYA</v>
      </c>
    </row>
    <row r="9" spans="1:7" ht="15.75" thickBot="1" x14ac:dyDescent="0.3">
      <c r="A9" s="24">
        <v>42848.111493055556</v>
      </c>
      <c r="B9" s="20" t="s">
        <v>622</v>
      </c>
      <c r="C9" s="20" t="s">
        <v>636</v>
      </c>
      <c r="D9" s="141">
        <v>2270000</v>
      </c>
      <c r="E9" s="20" t="s">
        <v>206</v>
      </c>
      <c r="F9" s="20" t="s">
        <v>207</v>
      </c>
      <c r="G9" s="8" t="str">
        <f t="shared" si="0"/>
        <v>BROWN JACOB</v>
      </c>
    </row>
    <row r="10" spans="1:7" x14ac:dyDescent="0.25">
      <c r="A10" s="8">
        <v>42848.118703703702</v>
      </c>
      <c r="B10" s="20" t="s">
        <v>456</v>
      </c>
      <c r="C10" s="20" t="s">
        <v>596</v>
      </c>
      <c r="D10" s="141">
        <v>1360000</v>
      </c>
      <c r="E10" s="20" t="s">
        <v>637</v>
      </c>
      <c r="F10" s="20" t="s">
        <v>638</v>
      </c>
      <c r="G10" s="8" t="str">
        <f t="shared" si="0"/>
        <v>SANTIZO D. EDY</v>
      </c>
    </row>
    <row r="11" spans="1:7" x14ac:dyDescent="0.25">
      <c r="A11" s="8">
        <v>42848.132210648146</v>
      </c>
      <c r="B11" s="20" t="s">
        <v>397</v>
      </c>
      <c r="C11" s="20" t="s">
        <v>639</v>
      </c>
      <c r="D11" s="141">
        <v>1360000</v>
      </c>
      <c r="E11" s="20" t="s">
        <v>637</v>
      </c>
      <c r="F11" s="20" t="s">
        <v>638</v>
      </c>
      <c r="G11" s="8" t="str">
        <f t="shared" si="0"/>
        <v>SANTIZO D. EDY</v>
      </c>
    </row>
    <row r="12" spans="1:7" x14ac:dyDescent="0.25">
      <c r="A12" s="8">
        <v>42848.13521990741</v>
      </c>
      <c r="B12" s="20" t="s">
        <v>524</v>
      </c>
      <c r="C12" s="20" t="s">
        <v>597</v>
      </c>
      <c r="D12" s="141">
        <v>2010000</v>
      </c>
      <c r="E12" s="20" t="s">
        <v>640</v>
      </c>
      <c r="F12" s="20" t="s">
        <v>641</v>
      </c>
      <c r="G12" s="8" t="str">
        <f t="shared" si="0"/>
        <v>MAELZER KURT</v>
      </c>
    </row>
    <row r="13" spans="1:7" x14ac:dyDescent="0.25">
      <c r="A13" s="8">
        <v>42848.154618055552</v>
      </c>
      <c r="B13" s="20" t="s">
        <v>353</v>
      </c>
      <c r="C13" s="20" t="s">
        <v>642</v>
      </c>
      <c r="D13" s="141">
        <v>2010000</v>
      </c>
      <c r="E13" s="20" t="s">
        <v>640</v>
      </c>
      <c r="F13" s="20" t="s">
        <v>641</v>
      </c>
      <c r="G13" s="8" t="str">
        <f t="shared" si="0"/>
        <v>MAELZER KURT</v>
      </c>
    </row>
    <row r="14" spans="1:7" x14ac:dyDescent="0.25">
      <c r="A14" s="8">
        <v>42848.157210648147</v>
      </c>
      <c r="B14" s="20" t="s">
        <v>353</v>
      </c>
      <c r="C14" s="20" t="s">
        <v>642</v>
      </c>
      <c r="D14" s="141">
        <v>2010000</v>
      </c>
      <c r="E14" s="20" t="s">
        <v>640</v>
      </c>
      <c r="F14" s="20" t="s">
        <v>641</v>
      </c>
      <c r="G14" s="8" t="str">
        <f t="shared" si="0"/>
        <v>MAELZER KURT</v>
      </c>
    </row>
    <row r="15" spans="1:7" x14ac:dyDescent="0.25">
      <c r="A15" s="8">
        <v>42848.161574074074</v>
      </c>
      <c r="B15" s="20" t="s">
        <v>390</v>
      </c>
      <c r="C15" s="20" t="s">
        <v>598</v>
      </c>
      <c r="D15" s="141">
        <v>2550000</v>
      </c>
      <c r="E15" s="20" t="s">
        <v>489</v>
      </c>
      <c r="F15" s="20" t="s">
        <v>490</v>
      </c>
      <c r="G15" s="8" t="str">
        <f t="shared" si="0"/>
        <v>BADERTSCHER DIANE</v>
      </c>
    </row>
    <row r="16" spans="1:7" x14ac:dyDescent="0.25">
      <c r="A16" s="8">
        <v>42848.164895833332</v>
      </c>
      <c r="B16" s="20" t="s">
        <v>456</v>
      </c>
      <c r="C16" s="20" t="s">
        <v>600</v>
      </c>
      <c r="D16" s="141">
        <v>1360000</v>
      </c>
      <c r="E16" s="20" t="s">
        <v>637</v>
      </c>
      <c r="F16" s="20" t="s">
        <v>638</v>
      </c>
      <c r="G16" s="8" t="str">
        <f t="shared" si="0"/>
        <v>SANTIZO D. EDY</v>
      </c>
    </row>
    <row r="17" spans="1:7" x14ac:dyDescent="0.25">
      <c r="A17" s="8">
        <v>42848.168657407405</v>
      </c>
      <c r="B17" s="20" t="s">
        <v>358</v>
      </c>
      <c r="C17" s="20" t="s">
        <v>599</v>
      </c>
      <c r="D17" s="141">
        <v>1990000</v>
      </c>
      <c r="E17" s="20" t="s">
        <v>643</v>
      </c>
      <c r="F17" s="20" t="s">
        <v>644</v>
      </c>
      <c r="G17" s="8" t="str">
        <f t="shared" si="0"/>
        <v>DAVIS WENDY</v>
      </c>
    </row>
    <row r="18" spans="1:7" x14ac:dyDescent="0.25">
      <c r="A18" s="8">
        <v>42848.17396990741</v>
      </c>
      <c r="B18" s="20" t="s">
        <v>603</v>
      </c>
      <c r="C18" s="20" t="s">
        <v>645</v>
      </c>
      <c r="D18" s="141">
        <v>2550000</v>
      </c>
      <c r="E18" s="20" t="s">
        <v>489</v>
      </c>
      <c r="F18" s="20" t="s">
        <v>490</v>
      </c>
      <c r="G18" s="8" t="str">
        <f t="shared" si="0"/>
        <v>BADERTSCHER DIANE</v>
      </c>
    </row>
    <row r="19" spans="1:7" x14ac:dyDescent="0.25">
      <c r="A19" s="8">
        <v>42848.178298611114</v>
      </c>
      <c r="B19" s="20" t="s">
        <v>396</v>
      </c>
      <c r="C19" s="20" t="s">
        <v>601</v>
      </c>
      <c r="D19" s="141">
        <v>2140000</v>
      </c>
      <c r="E19" s="20" t="s">
        <v>646</v>
      </c>
      <c r="F19" s="20" t="s">
        <v>647</v>
      </c>
      <c r="G19" s="8" t="str">
        <f t="shared" si="0"/>
        <v>ROBINSON KADDIBA</v>
      </c>
    </row>
    <row r="20" spans="1:7" x14ac:dyDescent="0.25">
      <c r="A20" s="8">
        <v>42848.180439814816</v>
      </c>
      <c r="B20" s="20" t="s">
        <v>359</v>
      </c>
      <c r="C20" s="20" t="s">
        <v>648</v>
      </c>
      <c r="D20" s="141">
        <v>1990000</v>
      </c>
      <c r="E20" s="20" t="s">
        <v>643</v>
      </c>
      <c r="F20" s="20" t="s">
        <v>644</v>
      </c>
      <c r="G20" s="8" t="str">
        <f t="shared" si="0"/>
        <v>DAVIS WENDY</v>
      </c>
    </row>
    <row r="21" spans="1:7" x14ac:dyDescent="0.25">
      <c r="A21" s="8">
        <v>42848.193576388891</v>
      </c>
      <c r="B21" s="20" t="s">
        <v>524</v>
      </c>
      <c r="C21" s="20" t="s">
        <v>649</v>
      </c>
      <c r="D21" s="141">
        <v>2010000</v>
      </c>
      <c r="E21" s="20" t="s">
        <v>640</v>
      </c>
      <c r="F21" s="20" t="s">
        <v>641</v>
      </c>
      <c r="G21" s="8" t="str">
        <f t="shared" si="0"/>
        <v>MAELZER KURT</v>
      </c>
    </row>
    <row r="22" spans="1:7" x14ac:dyDescent="0.25">
      <c r="A22" s="26">
        <v>42848.194328703707</v>
      </c>
      <c r="B22" s="20" t="s">
        <v>399</v>
      </c>
      <c r="C22" s="20" t="s">
        <v>650</v>
      </c>
      <c r="D22" s="141">
        <v>2140000</v>
      </c>
      <c r="E22" s="20" t="s">
        <v>646</v>
      </c>
      <c r="F22" s="20" t="s">
        <v>647</v>
      </c>
      <c r="G22" s="8" t="str">
        <f t="shared" si="0"/>
        <v>ROBINSON KADDIBA</v>
      </c>
    </row>
    <row r="23" spans="1:7" x14ac:dyDescent="0.25">
      <c r="A23" s="8">
        <v>42848.203969907408</v>
      </c>
      <c r="B23" s="20" t="s">
        <v>397</v>
      </c>
      <c r="C23" s="20" t="s">
        <v>651</v>
      </c>
      <c r="D23" s="141">
        <v>1100000</v>
      </c>
      <c r="E23" s="20" t="s">
        <v>491</v>
      </c>
      <c r="F23" s="20" t="s">
        <v>492</v>
      </c>
      <c r="G23" s="8" t="str">
        <f t="shared" si="0"/>
        <v>GEBRETEKLE DAGNEW</v>
      </c>
    </row>
    <row r="24" spans="1:7" x14ac:dyDescent="0.25">
      <c r="A24" s="8">
        <v>42848.209872685184</v>
      </c>
      <c r="B24" s="20" t="s">
        <v>523</v>
      </c>
      <c r="C24" s="20" t="s">
        <v>652</v>
      </c>
      <c r="D24" s="141">
        <v>1360000</v>
      </c>
      <c r="E24" s="20" t="s">
        <v>637</v>
      </c>
      <c r="F24" s="20" t="s">
        <v>638</v>
      </c>
      <c r="G24" s="8" t="str">
        <f t="shared" si="0"/>
        <v>SANTIZO D. EDY</v>
      </c>
    </row>
    <row r="25" spans="1:7" x14ac:dyDescent="0.25">
      <c r="A25" s="8">
        <v>42848.210752314815</v>
      </c>
      <c r="B25" s="20" t="s">
        <v>390</v>
      </c>
      <c r="C25" s="20" t="s">
        <v>653</v>
      </c>
      <c r="D25" s="141">
        <v>2550000</v>
      </c>
      <c r="E25" s="20" t="s">
        <v>489</v>
      </c>
      <c r="F25" s="20" t="s">
        <v>490</v>
      </c>
      <c r="G25" s="8" t="str">
        <f t="shared" si="0"/>
        <v>BADERTSCHER DIANE</v>
      </c>
    </row>
    <row r="26" spans="1:7" x14ac:dyDescent="0.25">
      <c r="A26" s="8">
        <v>42848.222916666666</v>
      </c>
      <c r="B26" s="20" t="s">
        <v>358</v>
      </c>
      <c r="C26" s="20" t="s">
        <v>654</v>
      </c>
      <c r="D26" s="141">
        <v>1990000</v>
      </c>
      <c r="E26" s="20" t="s">
        <v>643</v>
      </c>
      <c r="F26" s="20" t="s">
        <v>644</v>
      </c>
      <c r="G26" s="8" t="str">
        <f t="shared" si="0"/>
        <v>DAVIS WENDY</v>
      </c>
    </row>
    <row r="27" spans="1:7" x14ac:dyDescent="0.25">
      <c r="A27" s="8">
        <v>42848.225335648145</v>
      </c>
      <c r="B27" s="20" t="s">
        <v>353</v>
      </c>
      <c r="C27" s="20" t="s">
        <v>655</v>
      </c>
      <c r="D27" s="141">
        <v>2020000</v>
      </c>
      <c r="E27" s="20" t="s">
        <v>656</v>
      </c>
      <c r="F27" s="20" t="s">
        <v>526</v>
      </c>
      <c r="G27" s="8" t="str">
        <f t="shared" si="0"/>
        <v>SHOOK JOHN</v>
      </c>
    </row>
    <row r="28" spans="1:7" x14ac:dyDescent="0.25">
      <c r="A28" s="8">
        <v>42848.22729166667</v>
      </c>
      <c r="B28" s="20" t="s">
        <v>487</v>
      </c>
      <c r="C28" s="20" t="s">
        <v>657</v>
      </c>
      <c r="D28" s="141">
        <v>1830000</v>
      </c>
      <c r="E28" s="20" t="s">
        <v>443</v>
      </c>
      <c r="F28" s="20" t="s">
        <v>444</v>
      </c>
      <c r="G28" s="8" t="str">
        <f t="shared" si="0"/>
        <v>YORK EDGAR</v>
      </c>
    </row>
    <row r="29" spans="1:7" x14ac:dyDescent="0.25">
      <c r="A29" s="8">
        <v>42848.232465277775</v>
      </c>
      <c r="B29" s="20" t="s">
        <v>396</v>
      </c>
      <c r="C29" s="20" t="s">
        <v>658</v>
      </c>
      <c r="D29" s="141">
        <v>2140000</v>
      </c>
      <c r="E29" s="20" t="s">
        <v>646</v>
      </c>
      <c r="F29" s="20" t="s">
        <v>647</v>
      </c>
      <c r="G29" s="8" t="str">
        <f t="shared" si="0"/>
        <v>ROBINSON KADDIBA</v>
      </c>
    </row>
    <row r="30" spans="1:7" x14ac:dyDescent="0.25">
      <c r="A30" s="8">
        <v>42848.235636574071</v>
      </c>
      <c r="B30" s="20" t="s">
        <v>531</v>
      </c>
      <c r="C30" s="20" t="s">
        <v>659</v>
      </c>
      <c r="D30" s="141">
        <v>2010000</v>
      </c>
      <c r="E30" s="20" t="s">
        <v>640</v>
      </c>
      <c r="F30" s="20" t="s">
        <v>641</v>
      </c>
      <c r="G30" s="8" t="str">
        <f t="shared" si="0"/>
        <v>MAELZER KURT</v>
      </c>
    </row>
    <row r="31" spans="1:7" x14ac:dyDescent="0.25">
      <c r="A31" s="8">
        <v>42848.243842592594</v>
      </c>
      <c r="B31" s="20" t="s">
        <v>398</v>
      </c>
      <c r="C31" s="20" t="s">
        <v>660</v>
      </c>
      <c r="D31" s="141">
        <v>1100000</v>
      </c>
      <c r="E31" s="20" t="s">
        <v>491</v>
      </c>
      <c r="F31" s="20" t="s">
        <v>492</v>
      </c>
      <c r="G31" s="8" t="str">
        <f t="shared" si="0"/>
        <v>GEBRETEKLE DAGNEW</v>
      </c>
    </row>
    <row r="32" spans="1:7" x14ac:dyDescent="0.25">
      <c r="A32" s="8">
        <v>42848.246446759258</v>
      </c>
      <c r="B32" s="20" t="s">
        <v>456</v>
      </c>
      <c r="C32" s="20" t="s">
        <v>661</v>
      </c>
      <c r="D32" s="141">
        <v>1360000</v>
      </c>
      <c r="E32" s="20" t="s">
        <v>637</v>
      </c>
      <c r="F32" s="20" t="s">
        <v>638</v>
      </c>
      <c r="G32" s="8" t="str">
        <f t="shared" si="0"/>
        <v>SANTIZO D. EDY</v>
      </c>
    </row>
    <row r="33" spans="1:7" x14ac:dyDescent="0.25">
      <c r="A33" s="8">
        <v>42848.24726851852</v>
      </c>
      <c r="B33" s="20" t="s">
        <v>603</v>
      </c>
      <c r="C33" s="20" t="s">
        <v>662</v>
      </c>
      <c r="D33" s="141">
        <v>2550000</v>
      </c>
      <c r="E33" s="20" t="s">
        <v>489</v>
      </c>
      <c r="F33" s="20" t="s">
        <v>490</v>
      </c>
      <c r="G33" s="8" t="str">
        <f t="shared" si="0"/>
        <v>BADERTSCHER DIANE</v>
      </c>
    </row>
    <row r="34" spans="1:7" x14ac:dyDescent="0.25">
      <c r="A34" s="8">
        <v>42848.249340277776</v>
      </c>
      <c r="B34" s="20" t="s">
        <v>603</v>
      </c>
      <c r="C34" s="20" t="s">
        <v>662</v>
      </c>
      <c r="D34" s="141">
        <v>2550000</v>
      </c>
      <c r="E34" s="20" t="s">
        <v>489</v>
      </c>
      <c r="F34" s="20" t="s">
        <v>490</v>
      </c>
      <c r="G34" s="8" t="str">
        <f t="shared" si="0"/>
        <v>BADERTSCHER DIANE</v>
      </c>
    </row>
    <row r="35" spans="1:7" x14ac:dyDescent="0.25">
      <c r="A35" s="8">
        <v>42848.256041666667</v>
      </c>
      <c r="B35" s="20" t="s">
        <v>359</v>
      </c>
      <c r="C35" s="20" t="s">
        <v>663</v>
      </c>
      <c r="D35" s="141">
        <v>2040000</v>
      </c>
      <c r="E35" s="20" t="s">
        <v>664</v>
      </c>
      <c r="F35" s="20" t="s">
        <v>665</v>
      </c>
      <c r="G35" s="8" t="str">
        <f t="shared" si="0"/>
        <v>MOSES BRADLEY</v>
      </c>
    </row>
    <row r="36" spans="1:7" x14ac:dyDescent="0.25">
      <c r="A36" s="8">
        <v>42848.257754629631</v>
      </c>
      <c r="B36" s="20" t="s">
        <v>354</v>
      </c>
      <c r="C36" s="20" t="s">
        <v>666</v>
      </c>
      <c r="D36" s="141">
        <v>2020000</v>
      </c>
      <c r="E36" s="20" t="s">
        <v>656</v>
      </c>
      <c r="F36" s="20" t="s">
        <v>526</v>
      </c>
      <c r="G36" s="8" t="str">
        <f t="shared" si="0"/>
        <v>SHOOK JOHN</v>
      </c>
    </row>
    <row r="37" spans="1:7" x14ac:dyDescent="0.25">
      <c r="A37" s="8">
        <v>42848.264027777775</v>
      </c>
      <c r="B37" s="20" t="s">
        <v>399</v>
      </c>
      <c r="C37" s="20" t="s">
        <v>667</v>
      </c>
      <c r="D37" s="141">
        <v>2140000</v>
      </c>
      <c r="E37" s="20" t="s">
        <v>646</v>
      </c>
      <c r="F37" s="20" t="s">
        <v>647</v>
      </c>
      <c r="G37" s="8" t="str">
        <f t="shared" si="0"/>
        <v>ROBINSON KADDIBA</v>
      </c>
    </row>
    <row r="38" spans="1:7" x14ac:dyDescent="0.25">
      <c r="A38" s="8">
        <v>42848.274918981479</v>
      </c>
      <c r="B38" s="20" t="s">
        <v>524</v>
      </c>
      <c r="C38" s="20" t="s">
        <v>668</v>
      </c>
      <c r="D38" s="141">
        <v>2010000</v>
      </c>
      <c r="E38" s="20" t="s">
        <v>640</v>
      </c>
      <c r="F38" s="20" t="s">
        <v>641</v>
      </c>
      <c r="G38" s="8" t="str">
        <f t="shared" si="0"/>
        <v>MAELZER KURT</v>
      </c>
    </row>
    <row r="39" spans="1:7" x14ac:dyDescent="0.25">
      <c r="A39" s="8">
        <v>42848.27548611111</v>
      </c>
      <c r="B39" s="20" t="s">
        <v>397</v>
      </c>
      <c r="C39" s="20" t="s">
        <v>669</v>
      </c>
      <c r="D39" s="141">
        <v>1100000</v>
      </c>
      <c r="E39" s="20" t="s">
        <v>491</v>
      </c>
      <c r="F39" s="20" t="s">
        <v>492</v>
      </c>
      <c r="G39" s="8" t="str">
        <f t="shared" si="0"/>
        <v>GEBRETEKLE DAGNEW</v>
      </c>
    </row>
    <row r="40" spans="1:7" x14ac:dyDescent="0.25">
      <c r="A40" s="8">
        <v>42848.28</v>
      </c>
      <c r="B40" s="25" t="s">
        <v>440</v>
      </c>
      <c r="C40" s="20" t="s">
        <v>670</v>
      </c>
      <c r="D40" s="141">
        <v>2550000</v>
      </c>
      <c r="E40" s="20" t="s">
        <v>489</v>
      </c>
      <c r="F40" s="20" t="s">
        <v>490</v>
      </c>
      <c r="G40" s="8" t="str">
        <f t="shared" si="0"/>
        <v>BADERTSCHER DIANE</v>
      </c>
    </row>
    <row r="41" spans="1:7" x14ac:dyDescent="0.25">
      <c r="A41" s="8">
        <v>42848.283900462964</v>
      </c>
      <c r="B41" s="20" t="s">
        <v>523</v>
      </c>
      <c r="C41" s="20" t="s">
        <v>671</v>
      </c>
      <c r="D41" s="141">
        <v>1360000</v>
      </c>
      <c r="E41" s="20" t="s">
        <v>637</v>
      </c>
      <c r="F41" s="20" t="s">
        <v>638</v>
      </c>
      <c r="G41" s="8" t="str">
        <f t="shared" si="0"/>
        <v>SANTIZO D. EDY</v>
      </c>
    </row>
    <row r="42" spans="1:7" x14ac:dyDescent="0.25">
      <c r="A42" s="8">
        <v>42848.295960648145</v>
      </c>
      <c r="B42" s="20" t="s">
        <v>358</v>
      </c>
      <c r="C42" s="20" t="s">
        <v>672</v>
      </c>
      <c r="D42" s="141">
        <v>2040000</v>
      </c>
      <c r="E42" s="20" t="s">
        <v>664</v>
      </c>
      <c r="F42" s="20" t="s">
        <v>665</v>
      </c>
      <c r="G42" s="8" t="str">
        <f t="shared" si="0"/>
        <v>MOSES BRADLEY</v>
      </c>
    </row>
    <row r="43" spans="1:7" x14ac:dyDescent="0.25">
      <c r="A43" s="8">
        <v>42848.297939814816</v>
      </c>
      <c r="B43" s="20" t="s">
        <v>353</v>
      </c>
      <c r="C43" s="20" t="s">
        <v>673</v>
      </c>
      <c r="D43" s="141">
        <v>2020000</v>
      </c>
      <c r="E43" s="20" t="s">
        <v>656</v>
      </c>
      <c r="F43" s="20" t="s">
        <v>526</v>
      </c>
      <c r="G43" s="8" t="str">
        <f t="shared" si="0"/>
        <v>SHOOK JOHN</v>
      </c>
    </row>
    <row r="44" spans="1:7" x14ac:dyDescent="0.25">
      <c r="A44" s="8">
        <v>42848.306828703702</v>
      </c>
      <c r="B44" s="20" t="s">
        <v>396</v>
      </c>
      <c r="C44" s="20" t="s">
        <v>674</v>
      </c>
      <c r="D44" s="141">
        <v>2140000</v>
      </c>
      <c r="E44" s="20" t="s">
        <v>646</v>
      </c>
      <c r="F44" s="20" t="s">
        <v>647</v>
      </c>
      <c r="G44" s="8" t="str">
        <f t="shared" si="0"/>
        <v>ROBINSON KADDIBA</v>
      </c>
    </row>
    <row r="45" spans="1:7" x14ac:dyDescent="0.25">
      <c r="A45" s="8">
        <v>42848.307314814818</v>
      </c>
      <c r="B45" s="20" t="s">
        <v>531</v>
      </c>
      <c r="C45" s="20" t="s">
        <v>675</v>
      </c>
      <c r="D45" s="141">
        <v>2010000</v>
      </c>
      <c r="E45" s="20" t="s">
        <v>640</v>
      </c>
      <c r="F45" s="20" t="s">
        <v>641</v>
      </c>
      <c r="G45" s="8" t="str">
        <f t="shared" si="0"/>
        <v>MAELZER KURT</v>
      </c>
    </row>
    <row r="46" spans="1:7" x14ac:dyDescent="0.25">
      <c r="A46" s="8">
        <v>42848.317650462966</v>
      </c>
      <c r="B46" s="20" t="s">
        <v>456</v>
      </c>
      <c r="C46" s="20" t="s">
        <v>676</v>
      </c>
      <c r="D46" s="141">
        <v>1360000</v>
      </c>
      <c r="E46" s="20" t="s">
        <v>637</v>
      </c>
      <c r="F46" s="20" t="s">
        <v>638</v>
      </c>
      <c r="G46" s="8" t="str">
        <f t="shared" si="0"/>
        <v>SANTIZO D. EDY</v>
      </c>
    </row>
    <row r="47" spans="1:7" x14ac:dyDescent="0.25">
      <c r="A47" s="8">
        <v>42848.318020833336</v>
      </c>
      <c r="B47" s="20" t="s">
        <v>398</v>
      </c>
      <c r="C47" s="20" t="s">
        <v>602</v>
      </c>
      <c r="D47" s="141">
        <v>1100000</v>
      </c>
      <c r="E47" s="20" t="s">
        <v>491</v>
      </c>
      <c r="F47" s="20" t="s">
        <v>492</v>
      </c>
      <c r="G47" s="8" t="str">
        <f t="shared" si="0"/>
        <v>GEBRETEKLE DAGNEW</v>
      </c>
    </row>
    <row r="48" spans="1:7" x14ac:dyDescent="0.25">
      <c r="A48" s="8">
        <v>42848.318298611113</v>
      </c>
      <c r="B48" s="20" t="s">
        <v>603</v>
      </c>
      <c r="C48" s="20" t="s">
        <v>677</v>
      </c>
      <c r="D48" s="141">
        <v>2370000</v>
      </c>
      <c r="E48" s="20" t="s">
        <v>495</v>
      </c>
      <c r="F48" s="20" t="s">
        <v>496</v>
      </c>
      <c r="G48" s="8" t="str">
        <f t="shared" si="0"/>
        <v>DELGADO DIANAH</v>
      </c>
    </row>
    <row r="49" spans="1:7" x14ac:dyDescent="0.25">
      <c r="A49" s="8">
        <v>42848.327592592592</v>
      </c>
      <c r="B49" s="20" t="s">
        <v>398</v>
      </c>
      <c r="C49" s="20" t="s">
        <v>602</v>
      </c>
      <c r="D49" s="141">
        <v>1100000</v>
      </c>
      <c r="E49" s="20" t="s">
        <v>491</v>
      </c>
      <c r="F49" s="20" t="s">
        <v>492</v>
      </c>
      <c r="G49" s="8" t="str">
        <f t="shared" si="0"/>
        <v>GEBRETEKLE DAGNEW</v>
      </c>
    </row>
    <row r="50" spans="1:7" x14ac:dyDescent="0.25">
      <c r="A50" s="8">
        <v>42848.328067129631</v>
      </c>
      <c r="B50" s="20" t="s">
        <v>359</v>
      </c>
      <c r="C50" s="20" t="s">
        <v>678</v>
      </c>
      <c r="D50" s="141">
        <v>1990000</v>
      </c>
      <c r="E50" s="20" t="s">
        <v>643</v>
      </c>
      <c r="F50" s="20" t="s">
        <v>644</v>
      </c>
      <c r="G50" s="8" t="str">
        <f t="shared" si="0"/>
        <v>DAVIS WENDY</v>
      </c>
    </row>
    <row r="51" spans="1:7" x14ac:dyDescent="0.25">
      <c r="A51" s="8">
        <v>42848.329525462963</v>
      </c>
      <c r="B51" s="20" t="s">
        <v>456</v>
      </c>
      <c r="C51" s="20" t="s">
        <v>676</v>
      </c>
      <c r="D51" s="141">
        <v>1360000</v>
      </c>
      <c r="E51" s="20" t="s">
        <v>637</v>
      </c>
      <c r="F51" s="20" t="s">
        <v>638</v>
      </c>
      <c r="G51" s="8" t="str">
        <f t="shared" si="0"/>
        <v>SANTIZO D. EDY</v>
      </c>
    </row>
    <row r="52" spans="1:7" x14ac:dyDescent="0.25">
      <c r="A52" s="8">
        <v>42848.329641203702</v>
      </c>
      <c r="B52" s="20" t="s">
        <v>354</v>
      </c>
      <c r="C52" s="20" t="s">
        <v>679</v>
      </c>
      <c r="D52" s="141">
        <v>2020000</v>
      </c>
      <c r="E52" s="20" t="s">
        <v>656</v>
      </c>
      <c r="F52" s="20" t="s">
        <v>526</v>
      </c>
      <c r="G52" s="8" t="str">
        <f t="shared" si="0"/>
        <v>SHOOK JOHN</v>
      </c>
    </row>
    <row r="53" spans="1:7" x14ac:dyDescent="0.25">
      <c r="A53" s="8">
        <v>42848.332499999997</v>
      </c>
      <c r="B53" s="20" t="s">
        <v>603</v>
      </c>
      <c r="C53" s="20" t="s">
        <v>677</v>
      </c>
      <c r="D53" s="141">
        <v>2370000</v>
      </c>
      <c r="E53" s="20" t="s">
        <v>495</v>
      </c>
      <c r="F53" s="20" t="s">
        <v>496</v>
      </c>
      <c r="G53" s="8" t="str">
        <f t="shared" si="0"/>
        <v>DELGADO DIANAH</v>
      </c>
    </row>
    <row r="54" spans="1:7" x14ac:dyDescent="0.25">
      <c r="A54" s="8">
        <v>42848.333495370367</v>
      </c>
      <c r="B54" s="20" t="s">
        <v>398</v>
      </c>
      <c r="C54" s="20" t="s">
        <v>602</v>
      </c>
      <c r="D54" s="141">
        <v>1100000</v>
      </c>
      <c r="E54" s="20" t="s">
        <v>491</v>
      </c>
      <c r="F54" s="20" t="s">
        <v>492</v>
      </c>
      <c r="G54" s="8" t="str">
        <f t="shared" si="0"/>
        <v>GEBRETEKLE DAGNEW</v>
      </c>
    </row>
    <row r="55" spans="1:7" x14ac:dyDescent="0.25">
      <c r="A55" s="8">
        <v>42848.337013888886</v>
      </c>
      <c r="B55" s="20" t="s">
        <v>399</v>
      </c>
      <c r="C55" s="20" t="s">
        <v>680</v>
      </c>
      <c r="D55" s="141">
        <v>2140000</v>
      </c>
      <c r="E55" s="20" t="s">
        <v>646</v>
      </c>
      <c r="F55" s="20" t="s">
        <v>647</v>
      </c>
      <c r="G55" s="8" t="str">
        <f t="shared" si="0"/>
        <v>ROBINSON KADDIBA</v>
      </c>
    </row>
    <row r="56" spans="1:7" x14ac:dyDescent="0.25">
      <c r="A56" s="8">
        <v>42848.345601851855</v>
      </c>
      <c r="B56" s="20" t="s">
        <v>524</v>
      </c>
      <c r="C56" s="20" t="s">
        <v>681</v>
      </c>
      <c r="D56" s="141">
        <v>2010000</v>
      </c>
      <c r="E56" s="20" t="s">
        <v>640</v>
      </c>
      <c r="F56" s="20" t="s">
        <v>641</v>
      </c>
      <c r="G56" s="8" t="str">
        <f t="shared" si="0"/>
        <v>MAELZER KURT</v>
      </c>
    </row>
    <row r="57" spans="1:7" x14ac:dyDescent="0.25">
      <c r="A57" s="8">
        <v>42848.347222222219</v>
      </c>
      <c r="B57" s="20" t="s">
        <v>399</v>
      </c>
      <c r="C57" s="20" t="s">
        <v>680</v>
      </c>
      <c r="D57" s="141">
        <v>2140000</v>
      </c>
      <c r="E57" s="20" t="s">
        <v>646</v>
      </c>
      <c r="F57" s="20" t="s">
        <v>647</v>
      </c>
      <c r="G57" s="8" t="str">
        <f t="shared" si="0"/>
        <v>ROBINSON KADDIBA</v>
      </c>
    </row>
    <row r="58" spans="1:7" x14ac:dyDescent="0.25">
      <c r="A58" s="8">
        <v>42848.351655092592</v>
      </c>
      <c r="B58" s="20" t="s">
        <v>397</v>
      </c>
      <c r="C58" s="20" t="s">
        <v>682</v>
      </c>
      <c r="D58" s="141">
        <v>1100000</v>
      </c>
      <c r="E58" s="20" t="s">
        <v>491</v>
      </c>
      <c r="F58" s="20" t="s">
        <v>492</v>
      </c>
      <c r="G58" s="8" t="str">
        <f t="shared" si="0"/>
        <v>GEBRETEKLE DAGNEW</v>
      </c>
    </row>
    <row r="59" spans="1:7" x14ac:dyDescent="0.25">
      <c r="A59" s="8">
        <v>42848.351736111108</v>
      </c>
      <c r="B59" s="20" t="s">
        <v>440</v>
      </c>
      <c r="C59" s="20" t="s">
        <v>683</v>
      </c>
      <c r="D59" s="141">
        <v>2370000</v>
      </c>
      <c r="E59" s="20" t="s">
        <v>495</v>
      </c>
      <c r="F59" s="20" t="s">
        <v>496</v>
      </c>
      <c r="G59" s="8" t="str">
        <f t="shared" si="0"/>
        <v>DELGADO DIANAH</v>
      </c>
    </row>
    <row r="60" spans="1:7" x14ac:dyDescent="0.25">
      <c r="A60" s="8">
        <v>42848.35696759259</v>
      </c>
      <c r="B60" s="20" t="s">
        <v>523</v>
      </c>
      <c r="C60" s="20" t="s">
        <v>684</v>
      </c>
      <c r="D60" s="141">
        <v>1360000</v>
      </c>
      <c r="E60" s="20" t="s">
        <v>637</v>
      </c>
      <c r="F60" s="20" t="s">
        <v>638</v>
      </c>
      <c r="G60" s="8" t="str">
        <f t="shared" si="0"/>
        <v>SANTIZO D. EDY</v>
      </c>
    </row>
    <row r="61" spans="1:7" x14ac:dyDescent="0.25">
      <c r="A61" s="8">
        <v>42848.361909722225</v>
      </c>
      <c r="B61" s="20" t="s">
        <v>524</v>
      </c>
      <c r="C61" s="20" t="s">
        <v>681</v>
      </c>
      <c r="D61" s="141">
        <v>2010000</v>
      </c>
      <c r="E61" s="20" t="s">
        <v>640</v>
      </c>
      <c r="F61" s="20" t="s">
        <v>641</v>
      </c>
      <c r="G61" s="8" t="str">
        <f t="shared" si="0"/>
        <v>MAELZER KURT</v>
      </c>
    </row>
    <row r="62" spans="1:7" x14ac:dyDescent="0.25">
      <c r="A62" s="8">
        <v>42848.363275462965</v>
      </c>
      <c r="B62" s="20" t="s">
        <v>356</v>
      </c>
      <c r="C62" s="20" t="s">
        <v>685</v>
      </c>
      <c r="D62" s="141">
        <v>1830000</v>
      </c>
      <c r="E62" s="20" t="s">
        <v>443</v>
      </c>
      <c r="F62" s="20" t="s">
        <v>444</v>
      </c>
      <c r="G62" s="8" t="str">
        <f t="shared" si="0"/>
        <v>YORK EDGAR</v>
      </c>
    </row>
    <row r="63" spans="1:7" x14ac:dyDescent="0.25">
      <c r="A63" s="8">
        <v>42848.363634259258</v>
      </c>
      <c r="B63" s="20" t="s">
        <v>397</v>
      </c>
      <c r="C63" s="20" t="s">
        <v>682</v>
      </c>
      <c r="D63" s="141">
        <v>1100000</v>
      </c>
      <c r="E63" s="20" t="s">
        <v>491</v>
      </c>
      <c r="F63" s="20" t="s">
        <v>492</v>
      </c>
      <c r="G63" s="8" t="str">
        <f t="shared" si="0"/>
        <v>GEBRETEKLE DAGNEW</v>
      </c>
    </row>
    <row r="64" spans="1:7" x14ac:dyDescent="0.25">
      <c r="A64" s="26">
        <v>42848.366307870368</v>
      </c>
      <c r="B64" s="20" t="s">
        <v>358</v>
      </c>
      <c r="C64" s="20" t="s">
        <v>686</v>
      </c>
      <c r="D64" s="141">
        <v>1990000</v>
      </c>
      <c r="E64" s="20" t="s">
        <v>643</v>
      </c>
      <c r="F64" s="20" t="s">
        <v>644</v>
      </c>
      <c r="G64" s="8" t="str">
        <f t="shared" si="0"/>
        <v>DAVIS WENDY</v>
      </c>
    </row>
    <row r="65" spans="1:7" x14ac:dyDescent="0.25">
      <c r="A65" s="8">
        <v>42848.37023148148</v>
      </c>
      <c r="B65" s="20" t="s">
        <v>353</v>
      </c>
      <c r="C65" s="20" t="s">
        <v>687</v>
      </c>
      <c r="D65" s="141">
        <v>2020000</v>
      </c>
      <c r="E65" s="20" t="s">
        <v>656</v>
      </c>
      <c r="F65" s="20" t="s">
        <v>526</v>
      </c>
      <c r="G65" s="8" t="str">
        <f t="shared" si="0"/>
        <v>SHOOK JOHN</v>
      </c>
    </row>
    <row r="66" spans="1:7" x14ac:dyDescent="0.25">
      <c r="A66" s="8">
        <v>42848.373414351852</v>
      </c>
      <c r="B66" s="20" t="s">
        <v>487</v>
      </c>
      <c r="C66" s="20" t="s">
        <v>688</v>
      </c>
      <c r="D66" s="141">
        <v>1830000</v>
      </c>
      <c r="E66" s="20" t="s">
        <v>443</v>
      </c>
      <c r="F66" s="20" t="s">
        <v>444</v>
      </c>
      <c r="G66" s="8" t="str">
        <f t="shared" si="0"/>
        <v>YORK EDGAR</v>
      </c>
    </row>
    <row r="67" spans="1:7" x14ac:dyDescent="0.25">
      <c r="A67" s="8">
        <v>42848.380393518521</v>
      </c>
      <c r="B67" s="20" t="s">
        <v>396</v>
      </c>
      <c r="C67" s="20" t="s">
        <v>689</v>
      </c>
      <c r="D67" s="141">
        <v>2140000</v>
      </c>
      <c r="E67" s="20" t="s">
        <v>646</v>
      </c>
      <c r="F67" s="20" t="s">
        <v>647</v>
      </c>
      <c r="G67" s="8" t="str">
        <f t="shared" ref="G67:G130" si="1">E67&amp;" "&amp;F67</f>
        <v>ROBINSON KADDIBA</v>
      </c>
    </row>
    <row r="68" spans="1:7" x14ac:dyDescent="0.25">
      <c r="A68" s="8">
        <v>42848.382326388892</v>
      </c>
      <c r="B68" s="20" t="s">
        <v>531</v>
      </c>
      <c r="C68" s="20" t="s">
        <v>690</v>
      </c>
      <c r="D68" s="141">
        <v>2010000</v>
      </c>
      <c r="E68" s="20" t="s">
        <v>640</v>
      </c>
      <c r="F68" s="20" t="s">
        <v>641</v>
      </c>
      <c r="G68" s="8" t="str">
        <f t="shared" si="1"/>
        <v>MAELZER KURT</v>
      </c>
    </row>
    <row r="69" spans="1:7" x14ac:dyDescent="0.25">
      <c r="A69" s="8">
        <v>42848.389861111114</v>
      </c>
      <c r="B69" s="20" t="s">
        <v>398</v>
      </c>
      <c r="C69" s="20" t="s">
        <v>605</v>
      </c>
      <c r="D69" s="141">
        <v>1100000</v>
      </c>
      <c r="E69" s="20" t="s">
        <v>491</v>
      </c>
      <c r="F69" s="20" t="s">
        <v>492</v>
      </c>
      <c r="G69" s="8" t="str">
        <f t="shared" si="1"/>
        <v>GEBRETEKLE DAGNEW</v>
      </c>
    </row>
    <row r="70" spans="1:7" x14ac:dyDescent="0.25">
      <c r="A70" s="8">
        <v>42848.391134259262</v>
      </c>
      <c r="B70" s="20" t="s">
        <v>456</v>
      </c>
      <c r="C70" s="20" t="s">
        <v>691</v>
      </c>
      <c r="D70" s="141">
        <v>1360000</v>
      </c>
      <c r="E70" s="20" t="s">
        <v>637</v>
      </c>
      <c r="F70" s="20" t="s">
        <v>638</v>
      </c>
      <c r="G70" s="8" t="str">
        <f t="shared" si="1"/>
        <v>SANTIZO D. EDY</v>
      </c>
    </row>
    <row r="71" spans="1:7" x14ac:dyDescent="0.25">
      <c r="A71" s="8">
        <v>42848.392442129632</v>
      </c>
      <c r="B71" s="20" t="s">
        <v>603</v>
      </c>
      <c r="C71" s="20" t="s">
        <v>604</v>
      </c>
      <c r="D71" s="141">
        <v>2550000</v>
      </c>
      <c r="E71" s="20" t="s">
        <v>489</v>
      </c>
      <c r="F71" s="20" t="s">
        <v>490</v>
      </c>
      <c r="G71" s="8" t="str">
        <f t="shared" si="1"/>
        <v>BADERTSCHER DIANE</v>
      </c>
    </row>
    <row r="72" spans="1:7" x14ac:dyDescent="0.25">
      <c r="A72" s="8">
        <v>42848.399525462963</v>
      </c>
      <c r="B72" s="20" t="s">
        <v>356</v>
      </c>
      <c r="C72" s="20" t="s">
        <v>692</v>
      </c>
      <c r="D72" s="141">
        <v>1830000</v>
      </c>
      <c r="E72" s="20" t="s">
        <v>443</v>
      </c>
      <c r="F72" s="20" t="s">
        <v>444</v>
      </c>
      <c r="G72" s="8" t="str">
        <f t="shared" si="1"/>
        <v>YORK EDGAR</v>
      </c>
    </row>
    <row r="73" spans="1:7" x14ac:dyDescent="0.25">
      <c r="A73" s="8">
        <v>42848.403506944444</v>
      </c>
      <c r="B73" s="20" t="s">
        <v>354</v>
      </c>
      <c r="C73" s="20" t="s">
        <v>693</v>
      </c>
      <c r="D73" s="141">
        <v>2020000</v>
      </c>
      <c r="E73" s="20" t="s">
        <v>656</v>
      </c>
      <c r="F73" s="20" t="s">
        <v>526</v>
      </c>
      <c r="G73" s="8" t="str">
        <f t="shared" si="1"/>
        <v>SHOOK JOHN</v>
      </c>
    </row>
    <row r="74" spans="1:7" x14ac:dyDescent="0.25">
      <c r="A74" s="8">
        <v>42848.403726851851</v>
      </c>
      <c r="B74" s="20" t="s">
        <v>359</v>
      </c>
      <c r="C74" s="20" t="s">
        <v>694</v>
      </c>
      <c r="D74" s="141">
        <v>1990000</v>
      </c>
      <c r="E74" s="20" t="s">
        <v>643</v>
      </c>
      <c r="F74" s="20" t="s">
        <v>644</v>
      </c>
      <c r="G74" s="8" t="str">
        <f t="shared" si="1"/>
        <v>DAVIS WENDY</v>
      </c>
    </row>
    <row r="75" spans="1:7" x14ac:dyDescent="0.25">
      <c r="A75" s="8">
        <v>42848.411990740744</v>
      </c>
      <c r="B75" s="20" t="s">
        <v>399</v>
      </c>
      <c r="C75" s="20" t="s">
        <v>695</v>
      </c>
      <c r="D75" s="141">
        <v>2140000</v>
      </c>
      <c r="E75" s="20" t="s">
        <v>646</v>
      </c>
      <c r="F75" s="20" t="s">
        <v>647</v>
      </c>
      <c r="G75" s="8" t="str">
        <f t="shared" si="1"/>
        <v>ROBINSON KADDIBA</v>
      </c>
    </row>
    <row r="76" spans="1:7" x14ac:dyDescent="0.25">
      <c r="A76" s="8">
        <v>42848.413703703707</v>
      </c>
      <c r="B76" s="20" t="s">
        <v>487</v>
      </c>
      <c r="C76" s="20" t="s">
        <v>696</v>
      </c>
      <c r="D76" s="141">
        <v>1830000</v>
      </c>
      <c r="E76" s="20" t="s">
        <v>443</v>
      </c>
      <c r="F76" s="20" t="s">
        <v>444</v>
      </c>
      <c r="G76" s="8" t="str">
        <f t="shared" si="1"/>
        <v>YORK EDGAR</v>
      </c>
    </row>
    <row r="77" spans="1:7" x14ac:dyDescent="0.25">
      <c r="A77" s="8">
        <v>42848.418842592589</v>
      </c>
      <c r="B77" s="20" t="s">
        <v>524</v>
      </c>
      <c r="C77" s="20" t="s">
        <v>697</v>
      </c>
      <c r="D77" s="141">
        <v>2010000</v>
      </c>
      <c r="E77" s="20" t="s">
        <v>640</v>
      </c>
      <c r="F77" s="20" t="s">
        <v>641</v>
      </c>
      <c r="G77" s="8" t="str">
        <f t="shared" si="1"/>
        <v>MAELZER KURT</v>
      </c>
    </row>
    <row r="78" spans="1:7" x14ac:dyDescent="0.25">
      <c r="A78" s="8">
        <v>42848.422361111108</v>
      </c>
      <c r="B78" s="20" t="s">
        <v>397</v>
      </c>
      <c r="C78" s="20" t="s">
        <v>698</v>
      </c>
      <c r="D78" s="141">
        <v>1100000</v>
      </c>
      <c r="E78" s="20" t="s">
        <v>491</v>
      </c>
      <c r="F78" s="20" t="s">
        <v>492</v>
      </c>
      <c r="G78" s="8" t="str">
        <f t="shared" si="1"/>
        <v>GEBRETEKLE DAGNEW</v>
      </c>
    </row>
    <row r="79" spans="1:7" x14ac:dyDescent="0.25">
      <c r="A79" s="8">
        <v>42848.430763888886</v>
      </c>
      <c r="B79" s="20" t="s">
        <v>440</v>
      </c>
      <c r="C79" s="20" t="s">
        <v>606</v>
      </c>
      <c r="D79" s="141">
        <v>2550000</v>
      </c>
      <c r="E79" s="20" t="s">
        <v>489</v>
      </c>
      <c r="F79" s="20" t="s">
        <v>490</v>
      </c>
      <c r="G79" s="8" t="str">
        <f t="shared" si="1"/>
        <v>BADERTSCHER DIANE</v>
      </c>
    </row>
    <row r="80" spans="1:7" x14ac:dyDescent="0.25">
      <c r="A80" s="8">
        <v>42848.433252314811</v>
      </c>
      <c r="B80" s="20" t="s">
        <v>523</v>
      </c>
      <c r="C80" s="20" t="s">
        <v>699</v>
      </c>
      <c r="D80" s="141">
        <v>2470000</v>
      </c>
      <c r="E80" s="20" t="s">
        <v>700</v>
      </c>
      <c r="F80" s="20" t="s">
        <v>701</v>
      </c>
      <c r="G80" s="8" t="str">
        <f t="shared" si="1"/>
        <v>ROMERO CHAD</v>
      </c>
    </row>
    <row r="81" spans="1:7" x14ac:dyDescent="0.25">
      <c r="A81" s="8">
        <v>42848.434328703705</v>
      </c>
      <c r="B81" s="20" t="s">
        <v>357</v>
      </c>
      <c r="C81" s="20" t="s">
        <v>702</v>
      </c>
      <c r="D81" s="141">
        <v>2370000</v>
      </c>
      <c r="E81" s="20" t="s">
        <v>495</v>
      </c>
      <c r="F81" s="20" t="s">
        <v>496</v>
      </c>
      <c r="G81" s="8" t="str">
        <f t="shared" si="1"/>
        <v>DELGADO DIANAH</v>
      </c>
    </row>
    <row r="82" spans="1:7" x14ac:dyDescent="0.25">
      <c r="A82" s="8">
        <v>42848.434942129628</v>
      </c>
      <c r="B82" s="20" t="s">
        <v>357</v>
      </c>
      <c r="C82" s="20" t="s">
        <v>702</v>
      </c>
      <c r="D82" s="141">
        <v>2370000</v>
      </c>
      <c r="E82" s="20" t="s">
        <v>495</v>
      </c>
      <c r="F82" s="20" t="s">
        <v>496</v>
      </c>
      <c r="G82" s="8" t="str">
        <f t="shared" si="1"/>
        <v>DELGADO DIANAH</v>
      </c>
    </row>
    <row r="83" spans="1:7" x14ac:dyDescent="0.25">
      <c r="A83" s="8">
        <v>42848.435844907406</v>
      </c>
      <c r="B83" s="20" t="s">
        <v>357</v>
      </c>
      <c r="C83" s="20" t="s">
        <v>702</v>
      </c>
      <c r="D83" s="141">
        <v>2370000</v>
      </c>
      <c r="E83" s="20" t="s">
        <v>495</v>
      </c>
      <c r="F83" s="20" t="s">
        <v>496</v>
      </c>
      <c r="G83" s="8" t="str">
        <f t="shared" si="1"/>
        <v>DELGADO DIANAH</v>
      </c>
    </row>
    <row r="84" spans="1:7" x14ac:dyDescent="0.25">
      <c r="A84" s="8">
        <v>42848.439317129632</v>
      </c>
      <c r="B84" s="20" t="s">
        <v>390</v>
      </c>
      <c r="C84" s="20" t="s">
        <v>702</v>
      </c>
      <c r="D84" s="141">
        <v>2370000</v>
      </c>
      <c r="E84" s="20" t="s">
        <v>495</v>
      </c>
      <c r="F84" s="20" t="s">
        <v>496</v>
      </c>
      <c r="G84" s="8" t="str">
        <f t="shared" si="1"/>
        <v>DELGADO DIANAH</v>
      </c>
    </row>
    <row r="85" spans="1:7" x14ac:dyDescent="0.25">
      <c r="A85" s="8">
        <v>42848.441365740742</v>
      </c>
      <c r="B85" s="20" t="s">
        <v>356</v>
      </c>
      <c r="C85" s="20" t="s">
        <v>703</v>
      </c>
      <c r="D85" s="141">
        <v>1830000</v>
      </c>
      <c r="E85" s="20" t="s">
        <v>443</v>
      </c>
      <c r="F85" s="20" t="s">
        <v>444</v>
      </c>
      <c r="G85" s="8" t="str">
        <f t="shared" si="1"/>
        <v>YORK EDGAR</v>
      </c>
    </row>
    <row r="86" spans="1:7" x14ac:dyDescent="0.25">
      <c r="A86" s="8">
        <v>42848.443310185183</v>
      </c>
      <c r="B86" s="20" t="s">
        <v>358</v>
      </c>
      <c r="C86" s="20" t="s">
        <v>704</v>
      </c>
      <c r="D86" s="141">
        <v>1990000</v>
      </c>
      <c r="E86" s="20" t="s">
        <v>643</v>
      </c>
      <c r="F86" s="20" t="s">
        <v>644</v>
      </c>
      <c r="G86" s="8" t="str">
        <f t="shared" si="1"/>
        <v>DAVIS WENDY</v>
      </c>
    </row>
    <row r="87" spans="1:7" x14ac:dyDescent="0.25">
      <c r="A87" s="8">
        <v>42848.445277777777</v>
      </c>
      <c r="B87" s="20" t="s">
        <v>357</v>
      </c>
      <c r="C87" s="20" t="s">
        <v>705</v>
      </c>
      <c r="D87" s="141">
        <v>2030000</v>
      </c>
      <c r="E87" s="20" t="s">
        <v>706</v>
      </c>
      <c r="F87" s="20" t="s">
        <v>626</v>
      </c>
      <c r="G87" s="8" t="str">
        <f t="shared" si="1"/>
        <v>KILLION DAVID</v>
      </c>
    </row>
    <row r="88" spans="1:7" x14ac:dyDescent="0.25">
      <c r="A88" s="8">
        <v>42848.452743055554</v>
      </c>
      <c r="B88" s="20" t="s">
        <v>396</v>
      </c>
      <c r="C88" s="20" t="s">
        <v>707</v>
      </c>
      <c r="D88" s="141">
        <v>2140000</v>
      </c>
      <c r="E88" s="20" t="s">
        <v>646</v>
      </c>
      <c r="F88" s="20" t="s">
        <v>647</v>
      </c>
      <c r="G88" s="8" t="str">
        <f t="shared" si="1"/>
        <v>ROBINSON KADDIBA</v>
      </c>
    </row>
    <row r="89" spans="1:7" x14ac:dyDescent="0.25">
      <c r="A89" s="8">
        <v>42848.455046296294</v>
      </c>
      <c r="B89" s="20" t="s">
        <v>531</v>
      </c>
      <c r="C89" s="20" t="s">
        <v>708</v>
      </c>
      <c r="D89" s="141">
        <v>880000</v>
      </c>
      <c r="E89" s="20" t="s">
        <v>709</v>
      </c>
      <c r="F89" s="20" t="s">
        <v>196</v>
      </c>
      <c r="G89" s="8" t="str">
        <f t="shared" si="1"/>
        <v>STEWART MICHAEL</v>
      </c>
    </row>
    <row r="90" spans="1:7" x14ac:dyDescent="0.25">
      <c r="A90" s="8">
        <v>42848.455462962964</v>
      </c>
      <c r="B90" s="20" t="s">
        <v>487</v>
      </c>
      <c r="C90" s="20" t="s">
        <v>710</v>
      </c>
      <c r="D90" s="141">
        <v>1830000</v>
      </c>
      <c r="E90" s="20" t="s">
        <v>443</v>
      </c>
      <c r="F90" s="20" t="s">
        <v>444</v>
      </c>
      <c r="G90" s="8" t="str">
        <f t="shared" si="1"/>
        <v>YORK EDGAR</v>
      </c>
    </row>
    <row r="91" spans="1:7" x14ac:dyDescent="0.25">
      <c r="A91" s="8">
        <v>42848.457905092589</v>
      </c>
      <c r="B91" s="20" t="s">
        <v>353</v>
      </c>
      <c r="C91" s="20" t="s">
        <v>711</v>
      </c>
      <c r="D91" s="141">
        <v>2440000</v>
      </c>
      <c r="E91" s="20" t="s">
        <v>497</v>
      </c>
      <c r="F91" s="20" t="s">
        <v>498</v>
      </c>
      <c r="G91" s="8" t="str">
        <f t="shared" si="1"/>
        <v>LOPES KIMBERLY</v>
      </c>
    </row>
    <row r="92" spans="1:7" x14ac:dyDescent="0.25">
      <c r="A92" s="8">
        <v>42848.462280092594</v>
      </c>
      <c r="B92" s="20" t="s">
        <v>398</v>
      </c>
      <c r="C92" s="20" t="s">
        <v>712</v>
      </c>
      <c r="D92" s="141">
        <v>1100000</v>
      </c>
      <c r="E92" s="20" t="s">
        <v>491</v>
      </c>
      <c r="F92" s="20" t="s">
        <v>492</v>
      </c>
      <c r="G92" s="8" t="str">
        <f t="shared" si="1"/>
        <v>GEBRETEKLE DAGNEW</v>
      </c>
    </row>
    <row r="93" spans="1:7" x14ac:dyDescent="0.25">
      <c r="A93" s="8">
        <v>42848.463622685187</v>
      </c>
      <c r="B93" s="20" t="s">
        <v>354</v>
      </c>
      <c r="C93" s="20" t="s">
        <v>711</v>
      </c>
      <c r="D93" s="141">
        <v>2440000</v>
      </c>
      <c r="E93" s="20" t="s">
        <v>497</v>
      </c>
      <c r="F93" s="20" t="s">
        <v>498</v>
      </c>
      <c r="G93" s="8" t="str">
        <f t="shared" si="1"/>
        <v>LOPES KIMBERLY</v>
      </c>
    </row>
    <row r="94" spans="1:7" x14ac:dyDescent="0.25">
      <c r="A94" s="8">
        <v>42848.464166666665</v>
      </c>
      <c r="B94" s="20" t="s">
        <v>456</v>
      </c>
      <c r="C94" s="20" t="s">
        <v>713</v>
      </c>
      <c r="D94" s="141">
        <v>2470000</v>
      </c>
      <c r="E94" s="20" t="s">
        <v>700</v>
      </c>
      <c r="F94" s="20" t="s">
        <v>701</v>
      </c>
      <c r="G94" s="8" t="str">
        <f t="shared" si="1"/>
        <v>ROMERO CHAD</v>
      </c>
    </row>
    <row r="95" spans="1:7" x14ac:dyDescent="0.25">
      <c r="A95" s="8">
        <v>42848.466377314813</v>
      </c>
      <c r="B95" s="20" t="s">
        <v>603</v>
      </c>
      <c r="C95" s="20" t="s">
        <v>714</v>
      </c>
      <c r="D95" s="141">
        <v>2450000</v>
      </c>
      <c r="E95" s="20" t="s">
        <v>715</v>
      </c>
      <c r="F95" s="20" t="s">
        <v>716</v>
      </c>
      <c r="G95" s="8" t="str">
        <f t="shared" si="1"/>
        <v>NELSON ARIANE</v>
      </c>
    </row>
    <row r="96" spans="1:7" x14ac:dyDescent="0.25">
      <c r="A96" s="8">
        <v>42848.47619212963</v>
      </c>
      <c r="B96" s="20" t="s">
        <v>359</v>
      </c>
      <c r="C96" s="20" t="s">
        <v>717</v>
      </c>
      <c r="D96" s="141">
        <v>1300000</v>
      </c>
      <c r="E96" s="20" t="s">
        <v>718</v>
      </c>
      <c r="F96" s="20" t="s">
        <v>719</v>
      </c>
      <c r="G96" s="8" t="str">
        <f t="shared" si="1"/>
        <v>LEVIN SCOTT</v>
      </c>
    </row>
    <row r="97" spans="1:7" x14ac:dyDescent="0.25">
      <c r="A97" s="8">
        <v>42848.478379629632</v>
      </c>
      <c r="B97" s="20" t="s">
        <v>390</v>
      </c>
      <c r="C97" s="20" t="s">
        <v>720</v>
      </c>
      <c r="D97" s="141">
        <v>2020000</v>
      </c>
      <c r="E97" s="20" t="s">
        <v>656</v>
      </c>
      <c r="F97" s="20" t="s">
        <v>526</v>
      </c>
      <c r="G97" s="8" t="str">
        <f t="shared" si="1"/>
        <v>SHOOK JOHN</v>
      </c>
    </row>
    <row r="98" spans="1:7" x14ac:dyDescent="0.25">
      <c r="A98" s="8">
        <v>42848.483067129629</v>
      </c>
      <c r="B98" s="20" t="s">
        <v>356</v>
      </c>
      <c r="C98" s="20" t="s">
        <v>721</v>
      </c>
      <c r="D98" s="141">
        <v>1830000</v>
      </c>
      <c r="E98" s="20" t="s">
        <v>443</v>
      </c>
      <c r="F98" s="20" t="s">
        <v>444</v>
      </c>
      <c r="G98" s="8" t="str">
        <f t="shared" si="1"/>
        <v>YORK EDGAR</v>
      </c>
    </row>
    <row r="99" spans="1:7" x14ac:dyDescent="0.25">
      <c r="A99" s="8">
        <v>42848.487187500003</v>
      </c>
      <c r="B99" s="20" t="s">
        <v>399</v>
      </c>
      <c r="C99" s="20" t="s">
        <v>722</v>
      </c>
      <c r="D99" s="141">
        <v>1770000</v>
      </c>
      <c r="E99" s="20" t="s">
        <v>499</v>
      </c>
      <c r="F99" s="20" t="s">
        <v>500</v>
      </c>
      <c r="G99" s="8" t="str">
        <f t="shared" si="1"/>
        <v>BRUDER RICHARD</v>
      </c>
    </row>
    <row r="100" spans="1:7" x14ac:dyDescent="0.25">
      <c r="A100" s="8">
        <v>42848.494525462964</v>
      </c>
      <c r="B100" s="20" t="s">
        <v>524</v>
      </c>
      <c r="C100" s="20" t="s">
        <v>723</v>
      </c>
      <c r="D100" s="141">
        <v>880000</v>
      </c>
      <c r="E100" s="20" t="s">
        <v>709</v>
      </c>
      <c r="F100" s="20" t="s">
        <v>196</v>
      </c>
      <c r="G100" s="8" t="str">
        <f t="shared" si="1"/>
        <v>STEWART MICHAEL</v>
      </c>
    </row>
    <row r="101" spans="1:7" x14ac:dyDescent="0.25">
      <c r="A101" s="8">
        <v>42848.495358796295</v>
      </c>
      <c r="B101" s="20" t="s">
        <v>397</v>
      </c>
      <c r="C101" s="20" t="s">
        <v>724</v>
      </c>
      <c r="D101" s="141">
        <v>2600000</v>
      </c>
      <c r="E101" s="20" t="s">
        <v>625</v>
      </c>
      <c r="F101" s="20" t="s">
        <v>626</v>
      </c>
      <c r="G101" s="8" t="str">
        <f t="shared" si="1"/>
        <v>DAVIDSON DAVID</v>
      </c>
    </row>
    <row r="102" spans="1:7" x14ac:dyDescent="0.25">
      <c r="A102" s="8">
        <v>42848.497418981482</v>
      </c>
      <c r="B102" s="20" t="s">
        <v>487</v>
      </c>
      <c r="C102" s="20" t="s">
        <v>725</v>
      </c>
      <c r="D102" s="141">
        <v>1830000</v>
      </c>
      <c r="E102" s="20" t="s">
        <v>443</v>
      </c>
      <c r="F102" s="20" t="s">
        <v>444</v>
      </c>
      <c r="G102" s="8" t="str">
        <f t="shared" si="1"/>
        <v>YORK EDGAR</v>
      </c>
    </row>
    <row r="103" spans="1:7" x14ac:dyDescent="0.25">
      <c r="A103" s="8">
        <v>42848.504525462966</v>
      </c>
      <c r="B103" s="20" t="s">
        <v>523</v>
      </c>
      <c r="C103" s="20" t="s">
        <v>608</v>
      </c>
      <c r="D103" s="141">
        <v>2470000</v>
      </c>
      <c r="E103" s="20" t="s">
        <v>700</v>
      </c>
      <c r="F103" s="20" t="s">
        <v>701</v>
      </c>
      <c r="G103" s="8" t="str">
        <f t="shared" si="1"/>
        <v>ROMERO CHAD</v>
      </c>
    </row>
    <row r="104" spans="1:7" x14ac:dyDescent="0.25">
      <c r="A104" s="8">
        <v>42848.505787037036</v>
      </c>
      <c r="B104" s="20" t="s">
        <v>440</v>
      </c>
      <c r="C104" s="20" t="s">
        <v>726</v>
      </c>
      <c r="D104" s="141">
        <v>2450000</v>
      </c>
      <c r="E104" s="20" t="s">
        <v>715</v>
      </c>
      <c r="F104" s="20" t="s">
        <v>716</v>
      </c>
      <c r="G104" s="8" t="str">
        <f t="shared" si="1"/>
        <v>NELSON ARIANE</v>
      </c>
    </row>
    <row r="105" spans="1:7" x14ac:dyDescent="0.25">
      <c r="A105" s="8">
        <v>42848.514699074076</v>
      </c>
      <c r="B105" s="20" t="s">
        <v>358</v>
      </c>
      <c r="C105" s="20" t="s">
        <v>727</v>
      </c>
      <c r="D105" s="141">
        <v>1300000</v>
      </c>
      <c r="E105" s="20" t="s">
        <v>718</v>
      </c>
      <c r="F105" s="20" t="s">
        <v>719</v>
      </c>
      <c r="G105" s="8" t="str">
        <f t="shared" si="1"/>
        <v>LEVIN SCOTT</v>
      </c>
    </row>
    <row r="106" spans="1:7" x14ac:dyDescent="0.25">
      <c r="A106" s="8">
        <v>42848.517141203702</v>
      </c>
      <c r="B106" s="20" t="s">
        <v>357</v>
      </c>
      <c r="C106" s="20" t="s">
        <v>607</v>
      </c>
      <c r="D106" s="141">
        <v>2360000</v>
      </c>
      <c r="E106" s="20" t="s">
        <v>728</v>
      </c>
      <c r="F106" s="20" t="s">
        <v>729</v>
      </c>
      <c r="G106" s="8" t="str">
        <f t="shared" si="1"/>
        <v>BRANDNER MELINDA</v>
      </c>
    </row>
    <row r="107" spans="1:7" x14ac:dyDescent="0.25">
      <c r="A107" s="8">
        <v>42848.525370370371</v>
      </c>
      <c r="B107" s="20" t="s">
        <v>356</v>
      </c>
      <c r="C107" s="20" t="s">
        <v>609</v>
      </c>
      <c r="D107" s="141">
        <v>1830000</v>
      </c>
      <c r="E107" s="20" t="s">
        <v>443</v>
      </c>
      <c r="F107" s="20" t="s">
        <v>444</v>
      </c>
      <c r="G107" s="8" t="str">
        <f t="shared" si="1"/>
        <v>YORK EDGAR</v>
      </c>
    </row>
    <row r="108" spans="1:7" x14ac:dyDescent="0.25">
      <c r="A108" s="8">
        <v>42848.525381944448</v>
      </c>
      <c r="B108" s="20" t="s">
        <v>396</v>
      </c>
      <c r="C108" s="20" t="s">
        <v>730</v>
      </c>
      <c r="D108" s="141">
        <v>1770000</v>
      </c>
      <c r="E108" s="20" t="s">
        <v>499</v>
      </c>
      <c r="F108" s="20" t="s">
        <v>500</v>
      </c>
      <c r="G108" s="8" t="str">
        <f t="shared" si="1"/>
        <v>BRUDER RICHARD</v>
      </c>
    </row>
    <row r="109" spans="1:7" x14ac:dyDescent="0.25">
      <c r="A109" s="8">
        <v>42848.528182870374</v>
      </c>
      <c r="B109" s="20" t="s">
        <v>531</v>
      </c>
      <c r="C109" s="20" t="s">
        <v>731</v>
      </c>
      <c r="D109" s="141">
        <v>880000</v>
      </c>
      <c r="E109" s="20" t="s">
        <v>709</v>
      </c>
      <c r="F109" s="20" t="s">
        <v>196</v>
      </c>
      <c r="G109" s="8" t="str">
        <f t="shared" si="1"/>
        <v>STEWART MICHAEL</v>
      </c>
    </row>
    <row r="110" spans="1:7" x14ac:dyDescent="0.25">
      <c r="A110" s="8">
        <v>42848.52957175926</v>
      </c>
      <c r="B110" s="20" t="s">
        <v>398</v>
      </c>
      <c r="C110" s="20" t="s">
        <v>732</v>
      </c>
      <c r="D110" s="141">
        <v>2600000</v>
      </c>
      <c r="E110" s="20" t="s">
        <v>625</v>
      </c>
      <c r="F110" s="20" t="s">
        <v>626</v>
      </c>
      <c r="G110" s="8" t="str">
        <f t="shared" si="1"/>
        <v>DAVIDSON DAVID</v>
      </c>
    </row>
    <row r="111" spans="1:7" x14ac:dyDescent="0.25">
      <c r="A111" s="8">
        <v>42848.537291666667</v>
      </c>
      <c r="B111" s="20" t="s">
        <v>456</v>
      </c>
      <c r="C111" s="20" t="s">
        <v>733</v>
      </c>
      <c r="D111" s="141">
        <v>2470000</v>
      </c>
      <c r="E111" s="20" t="s">
        <v>700</v>
      </c>
      <c r="F111" s="20" t="s">
        <v>701</v>
      </c>
      <c r="G111" s="8" t="str">
        <f t="shared" si="1"/>
        <v>ROMERO CHAD</v>
      </c>
    </row>
    <row r="112" spans="1:7" x14ac:dyDescent="0.25">
      <c r="A112" s="8">
        <v>42848.539560185185</v>
      </c>
      <c r="B112" s="20" t="s">
        <v>487</v>
      </c>
      <c r="C112" s="20" t="s">
        <v>734</v>
      </c>
      <c r="D112" s="141">
        <v>1830000</v>
      </c>
      <c r="E112" s="20" t="s">
        <v>443</v>
      </c>
      <c r="F112" s="20" t="s">
        <v>444</v>
      </c>
      <c r="G112" s="8" t="str">
        <f t="shared" si="1"/>
        <v>YORK EDGAR</v>
      </c>
    </row>
    <row r="113" spans="1:7" x14ac:dyDescent="0.25">
      <c r="A113" s="8">
        <v>42848.539942129632</v>
      </c>
      <c r="B113" s="20" t="s">
        <v>603</v>
      </c>
      <c r="C113" s="20" t="s">
        <v>735</v>
      </c>
      <c r="D113" s="141">
        <v>2450000</v>
      </c>
      <c r="E113" s="20" t="s">
        <v>715</v>
      </c>
      <c r="F113" s="20" t="s">
        <v>716</v>
      </c>
      <c r="G113" s="8" t="str">
        <f t="shared" si="1"/>
        <v>NELSON ARIANE</v>
      </c>
    </row>
    <row r="114" spans="1:7" x14ac:dyDescent="0.25">
      <c r="A114" s="8">
        <v>42848.548854166664</v>
      </c>
      <c r="B114" s="20" t="s">
        <v>359</v>
      </c>
      <c r="C114" s="20" t="s">
        <v>736</v>
      </c>
      <c r="D114" s="141">
        <v>1300000</v>
      </c>
      <c r="E114" s="20" t="s">
        <v>718</v>
      </c>
      <c r="F114" s="20" t="s">
        <v>719</v>
      </c>
      <c r="G114" s="8" t="str">
        <f t="shared" si="1"/>
        <v>LEVIN SCOTT</v>
      </c>
    </row>
    <row r="115" spans="1:7" x14ac:dyDescent="0.25">
      <c r="A115" s="8">
        <v>42848.554988425924</v>
      </c>
      <c r="B115" s="20" t="s">
        <v>390</v>
      </c>
      <c r="C115" s="20" t="s">
        <v>737</v>
      </c>
      <c r="D115" s="141">
        <v>2360000</v>
      </c>
      <c r="E115" s="20" t="s">
        <v>728</v>
      </c>
      <c r="F115" s="20" t="s">
        <v>729</v>
      </c>
      <c r="G115" s="8" t="str">
        <f t="shared" si="1"/>
        <v>BRANDNER MELINDA</v>
      </c>
    </row>
    <row r="116" spans="1:7" x14ac:dyDescent="0.25">
      <c r="A116" s="8">
        <v>42848.559710648151</v>
      </c>
      <c r="B116" s="20" t="s">
        <v>399</v>
      </c>
      <c r="C116" s="20" t="s">
        <v>738</v>
      </c>
      <c r="D116" s="141">
        <v>2530000</v>
      </c>
      <c r="E116" s="20" t="s">
        <v>739</v>
      </c>
      <c r="F116" s="20" t="s">
        <v>740</v>
      </c>
      <c r="G116" s="8" t="str">
        <f t="shared" si="1"/>
        <v>LALONDE GREGORY</v>
      </c>
    </row>
    <row r="117" spans="1:7" x14ac:dyDescent="0.25">
      <c r="A117" s="8">
        <v>42848.566296296296</v>
      </c>
      <c r="B117" s="20" t="s">
        <v>356</v>
      </c>
      <c r="C117" s="20" t="s">
        <v>741</v>
      </c>
      <c r="D117" s="141">
        <v>1830000</v>
      </c>
      <c r="E117" s="20" t="s">
        <v>443</v>
      </c>
      <c r="F117" s="20" t="s">
        <v>444</v>
      </c>
      <c r="G117" s="8" t="str">
        <f t="shared" si="1"/>
        <v>YORK EDGAR</v>
      </c>
    </row>
    <row r="118" spans="1:7" x14ac:dyDescent="0.25">
      <c r="A118" s="8">
        <v>42848.568530092591</v>
      </c>
      <c r="B118" s="20" t="s">
        <v>524</v>
      </c>
      <c r="C118" s="20" t="s">
        <v>742</v>
      </c>
      <c r="D118" s="141">
        <v>880000</v>
      </c>
      <c r="E118" s="20" t="s">
        <v>709</v>
      </c>
      <c r="F118" s="20" t="s">
        <v>196</v>
      </c>
      <c r="G118" s="8" t="str">
        <f t="shared" si="1"/>
        <v>STEWART MICHAEL</v>
      </c>
    </row>
    <row r="119" spans="1:7" x14ac:dyDescent="0.25">
      <c r="A119" s="8">
        <v>42848.57130787037</v>
      </c>
      <c r="B119" s="20" t="s">
        <v>397</v>
      </c>
      <c r="C119" s="20" t="s">
        <v>743</v>
      </c>
      <c r="D119" s="141">
        <v>2480000</v>
      </c>
      <c r="E119" s="20" t="s">
        <v>527</v>
      </c>
      <c r="F119" s="20" t="s">
        <v>528</v>
      </c>
      <c r="G119" s="8" t="str">
        <f t="shared" si="1"/>
        <v>WHITED DUSTIN</v>
      </c>
    </row>
    <row r="120" spans="1:7" x14ac:dyDescent="0.25">
      <c r="A120" s="8">
        <v>42848.577314814815</v>
      </c>
      <c r="B120" s="20" t="s">
        <v>523</v>
      </c>
      <c r="C120" s="20" t="s">
        <v>744</v>
      </c>
      <c r="D120" s="141">
        <v>2470000</v>
      </c>
      <c r="E120" s="20" t="s">
        <v>700</v>
      </c>
      <c r="F120" s="20" t="s">
        <v>701</v>
      </c>
      <c r="G120" s="8" t="str">
        <f t="shared" si="1"/>
        <v>ROMERO CHAD</v>
      </c>
    </row>
    <row r="121" spans="1:7" x14ac:dyDescent="0.25">
      <c r="A121" s="8">
        <v>42848.579224537039</v>
      </c>
      <c r="B121" s="20" t="s">
        <v>440</v>
      </c>
      <c r="C121" s="20" t="s">
        <v>745</v>
      </c>
      <c r="D121" s="141">
        <v>2450000</v>
      </c>
      <c r="E121" s="20" t="s">
        <v>715</v>
      </c>
      <c r="F121" s="20" t="s">
        <v>716</v>
      </c>
      <c r="G121" s="8" t="str">
        <f t="shared" si="1"/>
        <v>NELSON ARIANE</v>
      </c>
    </row>
    <row r="122" spans="1:7" x14ac:dyDescent="0.25">
      <c r="A122" s="8">
        <v>42848.588703703703</v>
      </c>
      <c r="B122" s="25" t="s">
        <v>358</v>
      </c>
      <c r="C122" s="20" t="s">
        <v>746</v>
      </c>
      <c r="D122" s="141">
        <v>1300000</v>
      </c>
      <c r="E122" s="20" t="s">
        <v>718</v>
      </c>
      <c r="F122" s="20" t="s">
        <v>719</v>
      </c>
      <c r="G122" s="8" t="str">
        <f t="shared" si="1"/>
        <v>LEVIN SCOTT</v>
      </c>
    </row>
    <row r="123" spans="1:7" x14ac:dyDescent="0.25">
      <c r="A123" s="8">
        <v>42848.589108796295</v>
      </c>
      <c r="B123" s="20" t="s">
        <v>396</v>
      </c>
      <c r="C123" s="20" t="s">
        <v>747</v>
      </c>
      <c r="D123" s="141">
        <v>2530000</v>
      </c>
      <c r="E123" s="20" t="s">
        <v>739</v>
      </c>
      <c r="F123" s="20" t="s">
        <v>740</v>
      </c>
      <c r="G123" s="8" t="str">
        <f t="shared" si="1"/>
        <v>LALONDE GREGORY</v>
      </c>
    </row>
    <row r="124" spans="1:7" x14ac:dyDescent="0.25">
      <c r="A124" s="8">
        <v>42848.590879629628</v>
      </c>
      <c r="B124" s="20" t="s">
        <v>357</v>
      </c>
      <c r="C124" s="20" t="s">
        <v>748</v>
      </c>
      <c r="D124" s="141">
        <v>2360000</v>
      </c>
      <c r="E124" s="20" t="s">
        <v>728</v>
      </c>
      <c r="F124" s="20" t="s">
        <v>729</v>
      </c>
      <c r="G124" s="8" t="str">
        <f t="shared" si="1"/>
        <v>BRANDNER MELINDA</v>
      </c>
    </row>
    <row r="125" spans="1:7" x14ac:dyDescent="0.25">
      <c r="A125" s="8">
        <v>42848.595671296294</v>
      </c>
      <c r="B125" s="20" t="s">
        <v>487</v>
      </c>
      <c r="C125" s="20" t="s">
        <v>749</v>
      </c>
      <c r="D125" s="141">
        <v>1540000</v>
      </c>
      <c r="E125" s="20" t="s">
        <v>493</v>
      </c>
      <c r="F125" s="20" t="s">
        <v>494</v>
      </c>
      <c r="G125" s="8" t="str">
        <f t="shared" si="1"/>
        <v>HELVIE ADAM</v>
      </c>
    </row>
    <row r="126" spans="1:7" x14ac:dyDescent="0.25">
      <c r="A126" s="8">
        <v>42848.601018518515</v>
      </c>
      <c r="B126" s="20" t="s">
        <v>531</v>
      </c>
      <c r="C126" s="20" t="s">
        <v>750</v>
      </c>
      <c r="D126" s="141">
        <v>880000</v>
      </c>
      <c r="E126" s="20" t="s">
        <v>709</v>
      </c>
      <c r="F126" s="20" t="s">
        <v>196</v>
      </c>
      <c r="G126" s="8" t="str">
        <f t="shared" si="1"/>
        <v>STEWART MICHAEL</v>
      </c>
    </row>
    <row r="127" spans="1:7" x14ac:dyDescent="0.25">
      <c r="A127" s="8">
        <v>42848.609166666669</v>
      </c>
      <c r="B127" s="20" t="s">
        <v>398</v>
      </c>
      <c r="C127" s="20" t="s">
        <v>751</v>
      </c>
      <c r="D127" s="141">
        <v>2480000</v>
      </c>
      <c r="E127" s="20" t="s">
        <v>527</v>
      </c>
      <c r="F127" s="20" t="s">
        <v>528</v>
      </c>
      <c r="G127" s="8" t="str">
        <f t="shared" si="1"/>
        <v>WHITED DUSTIN</v>
      </c>
    </row>
    <row r="128" spans="1:7" x14ac:dyDescent="0.25">
      <c r="A128" s="8">
        <v>42848.610115740739</v>
      </c>
      <c r="B128" s="20" t="s">
        <v>456</v>
      </c>
      <c r="C128" s="20" t="s">
        <v>752</v>
      </c>
      <c r="D128" s="141">
        <v>2470000</v>
      </c>
      <c r="E128" s="20" t="s">
        <v>700</v>
      </c>
      <c r="F128" s="20" t="s">
        <v>701</v>
      </c>
      <c r="G128" s="8" t="str">
        <f t="shared" si="1"/>
        <v>ROMERO CHAD</v>
      </c>
    </row>
    <row r="129" spans="1:7" x14ac:dyDescent="0.25">
      <c r="A129" s="8">
        <v>42848.611458333333</v>
      </c>
      <c r="B129" s="20" t="s">
        <v>356</v>
      </c>
      <c r="C129" s="20" t="s">
        <v>610</v>
      </c>
      <c r="D129" s="141">
        <v>1540000</v>
      </c>
      <c r="E129" s="20" t="s">
        <v>493</v>
      </c>
      <c r="F129" s="20" t="s">
        <v>494</v>
      </c>
      <c r="G129" s="8" t="str">
        <f t="shared" si="1"/>
        <v>HELVIE ADAM</v>
      </c>
    </row>
    <row r="130" spans="1:7" x14ac:dyDescent="0.25">
      <c r="A130" s="8">
        <v>42848.613067129627</v>
      </c>
      <c r="B130" s="20" t="s">
        <v>603</v>
      </c>
      <c r="C130" s="20" t="s">
        <v>753</v>
      </c>
      <c r="D130" s="141">
        <v>2450000</v>
      </c>
      <c r="E130" s="20" t="s">
        <v>715</v>
      </c>
      <c r="F130" s="20" t="s">
        <v>716</v>
      </c>
      <c r="G130" s="8" t="str">
        <f t="shared" si="1"/>
        <v>NELSON ARIANE</v>
      </c>
    </row>
    <row r="131" spans="1:7" x14ac:dyDescent="0.25">
      <c r="A131" s="8">
        <v>42848.623738425929</v>
      </c>
      <c r="B131" s="20" t="s">
        <v>359</v>
      </c>
      <c r="C131" s="20" t="s">
        <v>611</v>
      </c>
      <c r="D131" s="141">
        <v>1300000</v>
      </c>
      <c r="E131" s="20" t="s">
        <v>718</v>
      </c>
      <c r="F131" s="20" t="s">
        <v>719</v>
      </c>
      <c r="G131" s="8" t="str">
        <f t="shared" ref="G131:G194" si="2">E131&amp;" "&amp;F131</f>
        <v>LEVIN SCOTT</v>
      </c>
    </row>
    <row r="132" spans="1:7" x14ac:dyDescent="0.25">
      <c r="A132" s="8">
        <v>42848.628518518519</v>
      </c>
      <c r="B132" s="20" t="s">
        <v>390</v>
      </c>
      <c r="C132" s="20" t="s">
        <v>612</v>
      </c>
      <c r="D132" s="141">
        <v>2360000</v>
      </c>
      <c r="E132" s="20" t="s">
        <v>728</v>
      </c>
      <c r="F132" s="20" t="s">
        <v>729</v>
      </c>
      <c r="G132" s="8" t="str">
        <f t="shared" si="2"/>
        <v>BRANDNER MELINDA</v>
      </c>
    </row>
    <row r="133" spans="1:7" x14ac:dyDescent="0.25">
      <c r="A133" s="8">
        <v>42848.630474537036</v>
      </c>
      <c r="B133" s="20" t="s">
        <v>399</v>
      </c>
      <c r="C133" s="20" t="s">
        <v>754</v>
      </c>
      <c r="D133" s="141">
        <v>1770000</v>
      </c>
      <c r="E133" s="20" t="s">
        <v>499</v>
      </c>
      <c r="F133" s="20" t="s">
        <v>500</v>
      </c>
      <c r="G133" s="8" t="str">
        <f t="shared" si="2"/>
        <v>BRUDER RICHARD</v>
      </c>
    </row>
    <row r="134" spans="1:7" x14ac:dyDescent="0.25">
      <c r="A134" s="8">
        <v>42848.637627314813</v>
      </c>
      <c r="B134" s="20" t="s">
        <v>487</v>
      </c>
      <c r="C134" s="20" t="s">
        <v>755</v>
      </c>
      <c r="D134" s="141">
        <v>1540000</v>
      </c>
      <c r="E134" s="20" t="s">
        <v>493</v>
      </c>
      <c r="F134" s="20" t="s">
        <v>494</v>
      </c>
      <c r="G134" s="8" t="str">
        <f t="shared" si="2"/>
        <v>HELVIE ADAM</v>
      </c>
    </row>
    <row r="135" spans="1:7" x14ac:dyDescent="0.25">
      <c r="A135" s="8">
        <v>42848.6403587963</v>
      </c>
      <c r="B135" s="20" t="s">
        <v>397</v>
      </c>
      <c r="C135" s="20" t="s">
        <v>614</v>
      </c>
      <c r="D135" s="141">
        <v>2600000</v>
      </c>
      <c r="E135" s="20" t="s">
        <v>625</v>
      </c>
      <c r="F135" s="20" t="s">
        <v>626</v>
      </c>
      <c r="G135" s="8" t="str">
        <f t="shared" si="2"/>
        <v>DAVIDSON DAVID</v>
      </c>
    </row>
    <row r="136" spans="1:7" x14ac:dyDescent="0.25">
      <c r="A136" s="8">
        <v>42848.641145833331</v>
      </c>
      <c r="B136" s="20" t="s">
        <v>524</v>
      </c>
      <c r="C136" s="20" t="s">
        <v>756</v>
      </c>
      <c r="D136" s="141">
        <v>880000</v>
      </c>
      <c r="E136" s="20" t="s">
        <v>709</v>
      </c>
      <c r="F136" s="20" t="s">
        <v>196</v>
      </c>
      <c r="G136" s="8" t="str">
        <f t="shared" si="2"/>
        <v>STEWART MICHAEL</v>
      </c>
    </row>
    <row r="137" spans="1:7" x14ac:dyDescent="0.25">
      <c r="A137" s="8">
        <v>42848.651145833333</v>
      </c>
      <c r="B137" s="20" t="s">
        <v>356</v>
      </c>
      <c r="C137" s="20" t="s">
        <v>613</v>
      </c>
      <c r="D137" s="141">
        <v>1540000</v>
      </c>
      <c r="E137" s="20" t="s">
        <v>493</v>
      </c>
      <c r="F137" s="20" t="s">
        <v>494</v>
      </c>
      <c r="G137" s="8" t="str">
        <f t="shared" si="2"/>
        <v>HELVIE ADAM</v>
      </c>
    </row>
    <row r="138" spans="1:7" x14ac:dyDescent="0.25">
      <c r="A138" s="8">
        <v>42848.65116898148</v>
      </c>
      <c r="B138" s="20" t="s">
        <v>440</v>
      </c>
      <c r="C138" s="20" t="s">
        <v>757</v>
      </c>
      <c r="D138" s="141">
        <v>2450000</v>
      </c>
      <c r="E138" s="20" t="s">
        <v>715</v>
      </c>
      <c r="F138" s="20" t="s">
        <v>716</v>
      </c>
      <c r="G138" s="8" t="str">
        <f t="shared" si="2"/>
        <v>NELSON ARIANE</v>
      </c>
    </row>
    <row r="139" spans="1:7" x14ac:dyDescent="0.25">
      <c r="A139" s="8">
        <v>42848.651423611111</v>
      </c>
      <c r="B139" s="20" t="s">
        <v>523</v>
      </c>
      <c r="C139" s="20" t="s">
        <v>758</v>
      </c>
      <c r="D139" s="141">
        <v>2470000</v>
      </c>
      <c r="E139" s="20" t="s">
        <v>700</v>
      </c>
      <c r="F139" s="20" t="s">
        <v>701</v>
      </c>
      <c r="G139" s="8" t="str">
        <f t="shared" si="2"/>
        <v>ROMERO CHAD</v>
      </c>
    </row>
    <row r="140" spans="1:7" x14ac:dyDescent="0.25">
      <c r="A140" s="8">
        <v>42848.661747685182</v>
      </c>
      <c r="B140" s="20" t="s">
        <v>358</v>
      </c>
      <c r="C140" s="20" t="s">
        <v>759</v>
      </c>
      <c r="D140" s="141">
        <v>1300000</v>
      </c>
      <c r="E140" s="20" t="s">
        <v>718</v>
      </c>
      <c r="F140" s="20" t="s">
        <v>719</v>
      </c>
      <c r="G140" s="8" t="str">
        <f t="shared" si="2"/>
        <v>LEVIN SCOTT</v>
      </c>
    </row>
    <row r="141" spans="1:7" x14ac:dyDescent="0.25">
      <c r="A141" s="8">
        <v>42848.6637962963</v>
      </c>
      <c r="B141" s="20" t="s">
        <v>357</v>
      </c>
      <c r="C141" s="20" t="s">
        <v>760</v>
      </c>
      <c r="D141" s="141">
        <v>2360000</v>
      </c>
      <c r="E141" s="20" t="s">
        <v>728</v>
      </c>
      <c r="F141" s="20" t="s">
        <v>729</v>
      </c>
      <c r="G141" s="8" t="str">
        <f t="shared" si="2"/>
        <v>BRANDNER MELINDA</v>
      </c>
    </row>
    <row r="142" spans="1:7" x14ac:dyDescent="0.25">
      <c r="A142" s="8">
        <v>42848.670289351852</v>
      </c>
      <c r="B142" s="20" t="s">
        <v>396</v>
      </c>
      <c r="C142" s="20" t="s">
        <v>761</v>
      </c>
      <c r="D142" s="141">
        <v>1770000</v>
      </c>
      <c r="E142" s="20" t="s">
        <v>499</v>
      </c>
      <c r="F142" s="20" t="s">
        <v>500</v>
      </c>
      <c r="G142" s="8" t="str">
        <f t="shared" si="2"/>
        <v>BRUDER RICHARD</v>
      </c>
    </row>
    <row r="143" spans="1:7" x14ac:dyDescent="0.25">
      <c r="A143" s="8">
        <v>42848.673437500001</v>
      </c>
      <c r="B143" s="20" t="s">
        <v>531</v>
      </c>
      <c r="C143" s="20" t="s">
        <v>762</v>
      </c>
      <c r="D143" s="141">
        <v>880000</v>
      </c>
      <c r="E143" s="20" t="s">
        <v>709</v>
      </c>
      <c r="F143" s="20" t="s">
        <v>196</v>
      </c>
      <c r="G143" s="8" t="str">
        <f t="shared" si="2"/>
        <v>STEWART MICHAEL</v>
      </c>
    </row>
    <row r="144" spans="1:7" x14ac:dyDescent="0.25">
      <c r="A144" s="8">
        <v>42848.678148148145</v>
      </c>
      <c r="B144" s="20" t="s">
        <v>487</v>
      </c>
      <c r="C144" s="20" t="s">
        <v>763</v>
      </c>
      <c r="D144" s="141">
        <v>1540000</v>
      </c>
      <c r="E144" s="20" t="s">
        <v>493</v>
      </c>
      <c r="F144" s="20" t="s">
        <v>494</v>
      </c>
      <c r="G144" s="8" t="str">
        <f t="shared" si="2"/>
        <v>HELVIE ADAM</v>
      </c>
    </row>
    <row r="145" spans="1:7" x14ac:dyDescent="0.25">
      <c r="A145" s="8">
        <v>42848.679155092592</v>
      </c>
      <c r="B145" s="20" t="s">
        <v>398</v>
      </c>
      <c r="C145" s="20" t="s">
        <v>764</v>
      </c>
      <c r="D145" s="141">
        <v>2600000</v>
      </c>
      <c r="E145" s="20" t="s">
        <v>625</v>
      </c>
      <c r="F145" s="20" t="s">
        <v>626</v>
      </c>
      <c r="G145" s="8" t="str">
        <f t="shared" si="2"/>
        <v>DAVIDSON DAVID</v>
      </c>
    </row>
    <row r="146" spans="1:7" x14ac:dyDescent="0.25">
      <c r="A146" s="8">
        <v>42848.682708333334</v>
      </c>
      <c r="B146" s="20" t="s">
        <v>456</v>
      </c>
      <c r="C146" s="20" t="s">
        <v>765</v>
      </c>
      <c r="D146" s="141">
        <v>2470000</v>
      </c>
      <c r="E146" s="20" t="s">
        <v>700</v>
      </c>
      <c r="F146" s="20" t="s">
        <v>701</v>
      </c>
      <c r="G146" s="8" t="str">
        <f t="shared" si="2"/>
        <v>ROMERO CHAD</v>
      </c>
    </row>
    <row r="147" spans="1:7" x14ac:dyDescent="0.25">
      <c r="A147" s="8">
        <v>42848.68577546296</v>
      </c>
      <c r="B147" s="20" t="s">
        <v>603</v>
      </c>
      <c r="C147" s="20" t="s">
        <v>766</v>
      </c>
      <c r="D147" s="141">
        <v>2450000</v>
      </c>
      <c r="E147" s="20" t="s">
        <v>715</v>
      </c>
      <c r="F147" s="20" t="s">
        <v>716</v>
      </c>
      <c r="G147" s="8" t="str">
        <f t="shared" si="2"/>
        <v>NELSON ARIANE</v>
      </c>
    </row>
    <row r="148" spans="1:7" x14ac:dyDescent="0.25">
      <c r="A148" s="8">
        <v>42848.69259259259</v>
      </c>
      <c r="B148" s="20" t="s">
        <v>356</v>
      </c>
      <c r="C148" s="20" t="s">
        <v>615</v>
      </c>
      <c r="D148" s="141">
        <v>1540000</v>
      </c>
      <c r="E148" s="20" t="s">
        <v>493</v>
      </c>
      <c r="F148" s="20" t="s">
        <v>494</v>
      </c>
      <c r="G148" s="8" t="str">
        <f t="shared" si="2"/>
        <v>HELVIE ADAM</v>
      </c>
    </row>
    <row r="149" spans="1:7" x14ac:dyDescent="0.25">
      <c r="A149" s="8">
        <v>42848.694965277777</v>
      </c>
      <c r="B149" s="20" t="s">
        <v>359</v>
      </c>
      <c r="C149" s="20" t="s">
        <v>616</v>
      </c>
      <c r="D149" s="141">
        <v>1300000</v>
      </c>
      <c r="E149" s="20" t="s">
        <v>718</v>
      </c>
      <c r="F149" s="20" t="s">
        <v>719</v>
      </c>
      <c r="G149" s="8" t="str">
        <f t="shared" si="2"/>
        <v>LEVIN SCOTT</v>
      </c>
    </row>
    <row r="150" spans="1:7" x14ac:dyDescent="0.25">
      <c r="A150" s="8">
        <v>42848.700879629629</v>
      </c>
      <c r="B150" s="20" t="s">
        <v>390</v>
      </c>
      <c r="C150" s="20" t="s">
        <v>617</v>
      </c>
      <c r="D150" s="141">
        <v>2360000</v>
      </c>
      <c r="E150" s="20" t="s">
        <v>728</v>
      </c>
      <c r="F150" s="20" t="s">
        <v>729</v>
      </c>
      <c r="G150" s="8" t="str">
        <f t="shared" si="2"/>
        <v>BRANDNER MELINDA</v>
      </c>
    </row>
    <row r="151" spans="1:7" x14ac:dyDescent="0.25">
      <c r="A151" s="8">
        <v>42848.702592592592</v>
      </c>
      <c r="B151" s="20" t="s">
        <v>353</v>
      </c>
      <c r="C151" s="20" t="s">
        <v>767</v>
      </c>
      <c r="D151" s="141">
        <v>2560000</v>
      </c>
      <c r="E151" s="20" t="s">
        <v>529</v>
      </c>
      <c r="F151" s="20" t="s">
        <v>530</v>
      </c>
      <c r="G151" s="8" t="str">
        <f t="shared" si="2"/>
        <v>MACDONALD THOMAS</v>
      </c>
    </row>
    <row r="152" spans="1:7" x14ac:dyDescent="0.25">
      <c r="A152" s="8">
        <v>42848.703113425923</v>
      </c>
      <c r="B152" s="20" t="s">
        <v>399</v>
      </c>
      <c r="C152" s="20" t="s">
        <v>768</v>
      </c>
      <c r="D152" s="141">
        <v>1770000</v>
      </c>
      <c r="E152" s="20" t="s">
        <v>499</v>
      </c>
      <c r="F152" s="20" t="s">
        <v>500</v>
      </c>
      <c r="G152" s="8" t="str">
        <f t="shared" si="2"/>
        <v>BRUDER RICHARD</v>
      </c>
    </row>
    <row r="153" spans="1:7" x14ac:dyDescent="0.25">
      <c r="A153" s="8">
        <v>42848.710775462961</v>
      </c>
      <c r="B153" s="20" t="s">
        <v>524</v>
      </c>
      <c r="C153" s="20" t="s">
        <v>769</v>
      </c>
      <c r="D153" s="141">
        <v>880000</v>
      </c>
      <c r="E153" s="20" t="s">
        <v>709</v>
      </c>
      <c r="F153" s="20" t="s">
        <v>196</v>
      </c>
      <c r="G153" s="8" t="str">
        <f t="shared" si="2"/>
        <v>STEWART MICHAEL</v>
      </c>
    </row>
    <row r="154" spans="1:7" x14ac:dyDescent="0.25">
      <c r="A154" s="8">
        <v>42848.716956018521</v>
      </c>
      <c r="B154" s="20" t="s">
        <v>397</v>
      </c>
      <c r="C154" s="20" t="s">
        <v>770</v>
      </c>
      <c r="D154" s="141">
        <v>1800000</v>
      </c>
      <c r="E154" s="20" t="s">
        <v>371</v>
      </c>
      <c r="F154" s="20" t="s">
        <v>372</v>
      </c>
      <c r="G154" s="8" t="str">
        <f t="shared" si="2"/>
        <v>CHANDLER KELVIN</v>
      </c>
    </row>
    <row r="155" spans="1:7" x14ac:dyDescent="0.25">
      <c r="A155" s="8">
        <v>42848.721886574072</v>
      </c>
      <c r="B155" s="20" t="s">
        <v>487</v>
      </c>
      <c r="C155" s="20" t="s">
        <v>771</v>
      </c>
      <c r="D155" s="141">
        <v>1540000</v>
      </c>
      <c r="E155" s="20" t="s">
        <v>493</v>
      </c>
      <c r="F155" s="20" t="s">
        <v>494</v>
      </c>
      <c r="G155" s="8" t="str">
        <f t="shared" si="2"/>
        <v>HELVIE ADAM</v>
      </c>
    </row>
    <row r="156" spans="1:7" x14ac:dyDescent="0.25">
      <c r="A156" s="8">
        <v>42848.723460648151</v>
      </c>
      <c r="B156" s="20" t="s">
        <v>523</v>
      </c>
      <c r="C156" s="20" t="s">
        <v>772</v>
      </c>
      <c r="D156" s="141">
        <v>2600000</v>
      </c>
      <c r="E156" s="20" t="s">
        <v>625</v>
      </c>
      <c r="F156" s="20" t="s">
        <v>626</v>
      </c>
      <c r="G156" s="8" t="str">
        <f t="shared" si="2"/>
        <v>DAVIDSON DAVID</v>
      </c>
    </row>
    <row r="157" spans="1:7" x14ac:dyDescent="0.25">
      <c r="A157" s="8">
        <v>42848.724675925929</v>
      </c>
      <c r="B157" s="20" t="s">
        <v>440</v>
      </c>
      <c r="C157" s="20" t="s">
        <v>773</v>
      </c>
      <c r="D157" s="141">
        <v>2450000</v>
      </c>
      <c r="E157" s="20" t="s">
        <v>715</v>
      </c>
      <c r="F157" s="20" t="s">
        <v>716</v>
      </c>
      <c r="G157" s="8" t="str">
        <f t="shared" si="2"/>
        <v>NELSON ARIANE</v>
      </c>
    </row>
    <row r="158" spans="1:7" x14ac:dyDescent="0.25">
      <c r="A158" s="8">
        <v>42848.733796296299</v>
      </c>
      <c r="B158" s="20" t="s">
        <v>358</v>
      </c>
      <c r="C158" s="20" t="s">
        <v>618</v>
      </c>
      <c r="D158" s="141">
        <v>1300000</v>
      </c>
      <c r="E158" s="20" t="s">
        <v>718</v>
      </c>
      <c r="F158" s="20" t="s">
        <v>719</v>
      </c>
      <c r="G158" s="8" t="str">
        <f t="shared" si="2"/>
        <v>LEVIN SCOTT</v>
      </c>
    </row>
    <row r="159" spans="1:7" x14ac:dyDescent="0.25">
      <c r="A159" s="8">
        <v>42848.734166666669</v>
      </c>
      <c r="B159" s="20" t="s">
        <v>356</v>
      </c>
      <c r="C159" s="20" t="s">
        <v>774</v>
      </c>
      <c r="D159" s="141">
        <v>1540000</v>
      </c>
      <c r="E159" s="20" t="s">
        <v>493</v>
      </c>
      <c r="F159" s="20" t="s">
        <v>494</v>
      </c>
      <c r="G159" s="8" t="str">
        <f t="shared" si="2"/>
        <v>HELVIE ADAM</v>
      </c>
    </row>
    <row r="160" spans="1:7" x14ac:dyDescent="0.25">
      <c r="A160" s="8">
        <v>42848.737175925926</v>
      </c>
      <c r="B160" s="20" t="s">
        <v>357</v>
      </c>
      <c r="C160" s="20" t="s">
        <v>775</v>
      </c>
      <c r="D160" s="141">
        <v>1810000</v>
      </c>
      <c r="E160" s="20" t="s">
        <v>373</v>
      </c>
      <c r="F160" s="20" t="s">
        <v>193</v>
      </c>
      <c r="G160" s="8" t="str">
        <f t="shared" si="2"/>
        <v>NEWELL JAMES</v>
      </c>
    </row>
    <row r="161" spans="1:7" x14ac:dyDescent="0.25">
      <c r="A161" s="8">
        <v>42848.737881944442</v>
      </c>
      <c r="B161" s="20" t="s">
        <v>431</v>
      </c>
      <c r="C161" s="20" t="s">
        <v>776</v>
      </c>
      <c r="D161" s="141">
        <v>2610000</v>
      </c>
      <c r="E161" s="20" t="s">
        <v>629</v>
      </c>
      <c r="F161" s="20" t="s">
        <v>630</v>
      </c>
      <c r="G161" s="8" t="str">
        <f t="shared" si="2"/>
        <v>MAGEE KENYA</v>
      </c>
    </row>
    <row r="162" spans="1:7" x14ac:dyDescent="0.25">
      <c r="A162" s="8">
        <v>42848.740960648145</v>
      </c>
      <c r="B162" s="20" t="s">
        <v>396</v>
      </c>
      <c r="C162" s="20" t="s">
        <v>777</v>
      </c>
      <c r="D162" s="141">
        <v>1770000</v>
      </c>
      <c r="E162" s="20" t="s">
        <v>499</v>
      </c>
      <c r="F162" s="20" t="s">
        <v>500</v>
      </c>
      <c r="G162" s="8" t="str">
        <f t="shared" si="2"/>
        <v>BRUDER RICHARD</v>
      </c>
    </row>
    <row r="163" spans="1:7" x14ac:dyDescent="0.25">
      <c r="A163" s="8">
        <v>42848.746412037035</v>
      </c>
      <c r="B163" s="20" t="s">
        <v>531</v>
      </c>
      <c r="C163" s="20" t="s">
        <v>778</v>
      </c>
      <c r="D163" s="141">
        <v>2360000</v>
      </c>
      <c r="E163" s="20" t="s">
        <v>728</v>
      </c>
      <c r="F163" s="20" t="s">
        <v>729</v>
      </c>
      <c r="G163" s="8" t="str">
        <f t="shared" si="2"/>
        <v>BRANDNER MELINDA</v>
      </c>
    </row>
    <row r="164" spans="1:7" x14ac:dyDescent="0.25">
      <c r="A164" s="8">
        <v>42848.75509259259</v>
      </c>
      <c r="B164" s="20" t="s">
        <v>398</v>
      </c>
      <c r="C164" s="20" t="s">
        <v>779</v>
      </c>
      <c r="D164" s="141">
        <v>1800000</v>
      </c>
      <c r="E164" s="20" t="s">
        <v>371</v>
      </c>
      <c r="F164" s="20" t="s">
        <v>372</v>
      </c>
      <c r="G164" s="8" t="str">
        <f t="shared" si="2"/>
        <v>CHANDLER KELVIN</v>
      </c>
    </row>
    <row r="165" spans="1:7" x14ac:dyDescent="0.25">
      <c r="A165" s="8">
        <v>42848.75712962963</v>
      </c>
      <c r="B165" s="20" t="s">
        <v>603</v>
      </c>
      <c r="C165" s="20" t="s">
        <v>780</v>
      </c>
      <c r="D165" s="141">
        <v>2680000</v>
      </c>
      <c r="E165" s="20" t="s">
        <v>393</v>
      </c>
      <c r="F165" s="20" t="s">
        <v>394</v>
      </c>
      <c r="G165" s="8" t="str">
        <f t="shared" si="2"/>
        <v>DUNCAN SHEILA</v>
      </c>
    </row>
    <row r="166" spans="1:7" x14ac:dyDescent="0.25">
      <c r="A166" s="8">
        <v>42848.75953703704</v>
      </c>
      <c r="B166" s="20" t="s">
        <v>456</v>
      </c>
      <c r="C166" s="20" t="s">
        <v>781</v>
      </c>
      <c r="D166" s="141">
        <v>2600000</v>
      </c>
      <c r="E166" s="20" t="s">
        <v>625</v>
      </c>
      <c r="F166" s="20" t="s">
        <v>626</v>
      </c>
      <c r="G166" s="8" t="str">
        <f t="shared" si="2"/>
        <v>DAVIDSON DAVID</v>
      </c>
    </row>
    <row r="167" spans="1:7" x14ac:dyDescent="0.25">
      <c r="A167" s="8">
        <v>42848.763981481483</v>
      </c>
      <c r="B167" s="20" t="s">
        <v>487</v>
      </c>
      <c r="C167" s="20" t="s">
        <v>782</v>
      </c>
      <c r="D167" s="141">
        <v>1540000</v>
      </c>
      <c r="E167" s="20" t="s">
        <v>493</v>
      </c>
      <c r="F167" s="20" t="s">
        <v>494</v>
      </c>
      <c r="G167" s="8" t="str">
        <f t="shared" si="2"/>
        <v>HELVIE ADAM</v>
      </c>
    </row>
    <row r="168" spans="1:7" x14ac:dyDescent="0.25">
      <c r="A168" s="8">
        <v>42848.766689814816</v>
      </c>
      <c r="B168" s="20" t="s">
        <v>359</v>
      </c>
      <c r="C168" s="20" t="s">
        <v>783</v>
      </c>
      <c r="D168" s="141">
        <v>2730000</v>
      </c>
      <c r="E168" s="20" t="s">
        <v>469</v>
      </c>
      <c r="F168" s="20" t="s">
        <v>470</v>
      </c>
      <c r="G168" s="8" t="str">
        <f t="shared" si="2"/>
        <v>YANG JAN</v>
      </c>
    </row>
    <row r="169" spans="1:7" x14ac:dyDescent="0.25">
      <c r="A169" s="8">
        <v>42848.769467592596</v>
      </c>
      <c r="B169" s="20" t="s">
        <v>390</v>
      </c>
      <c r="C169" s="20" t="s">
        <v>784</v>
      </c>
      <c r="D169" s="141">
        <v>1810000</v>
      </c>
      <c r="E169" s="20" t="s">
        <v>373</v>
      </c>
      <c r="F169" s="20" t="s">
        <v>193</v>
      </c>
      <c r="G169" s="8" t="str">
        <f t="shared" si="2"/>
        <v>NEWELL JAMES</v>
      </c>
    </row>
    <row r="170" spans="1:7" x14ac:dyDescent="0.25">
      <c r="A170" s="8">
        <v>42848.775833333333</v>
      </c>
      <c r="B170" s="20" t="s">
        <v>399</v>
      </c>
      <c r="C170" s="20" t="s">
        <v>785</v>
      </c>
      <c r="D170" s="141">
        <v>1770000</v>
      </c>
      <c r="E170" s="20" t="s">
        <v>499</v>
      </c>
      <c r="F170" s="20" t="s">
        <v>500</v>
      </c>
      <c r="G170" s="8" t="str">
        <f t="shared" si="2"/>
        <v>BRUDER RICHARD</v>
      </c>
    </row>
    <row r="171" spans="1:7" x14ac:dyDescent="0.25">
      <c r="A171" s="8">
        <v>42848.776076388887</v>
      </c>
      <c r="B171" s="20" t="s">
        <v>356</v>
      </c>
      <c r="C171" s="20" t="s">
        <v>786</v>
      </c>
      <c r="D171" s="141">
        <v>1540000</v>
      </c>
      <c r="E171" s="20" t="s">
        <v>493</v>
      </c>
      <c r="F171" s="20" t="s">
        <v>494</v>
      </c>
      <c r="G171" s="8" t="str">
        <f t="shared" si="2"/>
        <v>HELVIE ADAM</v>
      </c>
    </row>
    <row r="172" spans="1:7" x14ac:dyDescent="0.25">
      <c r="A172" s="8">
        <v>42848.78565972222</v>
      </c>
      <c r="B172" s="20" t="s">
        <v>524</v>
      </c>
      <c r="C172" s="20" t="s">
        <v>787</v>
      </c>
      <c r="D172" s="141">
        <v>2360000</v>
      </c>
      <c r="E172" s="20" t="s">
        <v>728</v>
      </c>
      <c r="F172" s="20" t="s">
        <v>729</v>
      </c>
      <c r="G172" s="8" t="str">
        <f t="shared" si="2"/>
        <v>BRANDNER MELINDA</v>
      </c>
    </row>
    <row r="173" spans="1:7" x14ac:dyDescent="0.25">
      <c r="A173" s="8">
        <v>42848.790034722224</v>
      </c>
      <c r="B173" s="20" t="s">
        <v>397</v>
      </c>
      <c r="C173" s="20" t="s">
        <v>788</v>
      </c>
      <c r="D173" s="141">
        <v>1800000</v>
      </c>
      <c r="E173" s="20" t="s">
        <v>371</v>
      </c>
      <c r="F173" s="20" t="s">
        <v>372</v>
      </c>
      <c r="G173" s="8" t="str">
        <f t="shared" si="2"/>
        <v>CHANDLER KELVIN</v>
      </c>
    </row>
    <row r="174" spans="1:7" x14ac:dyDescent="0.25">
      <c r="A174" s="8">
        <v>42848.795648148145</v>
      </c>
      <c r="B174" s="20" t="s">
        <v>440</v>
      </c>
      <c r="C174" s="20" t="s">
        <v>789</v>
      </c>
      <c r="D174" s="141">
        <v>2680000</v>
      </c>
      <c r="E174" s="20" t="s">
        <v>393</v>
      </c>
      <c r="F174" s="20" t="s">
        <v>394</v>
      </c>
      <c r="G174" s="8" t="str">
        <f t="shared" si="2"/>
        <v>DUNCAN SHEILA</v>
      </c>
    </row>
    <row r="175" spans="1:7" x14ac:dyDescent="0.25">
      <c r="A175" s="8">
        <v>42848.797997685186</v>
      </c>
      <c r="B175" s="20" t="s">
        <v>523</v>
      </c>
      <c r="C175" s="20" t="s">
        <v>790</v>
      </c>
      <c r="D175" s="141">
        <v>2600000</v>
      </c>
      <c r="E175" s="20" t="s">
        <v>625</v>
      </c>
      <c r="F175" s="20" t="s">
        <v>626</v>
      </c>
      <c r="G175" s="8" t="str">
        <f t="shared" si="2"/>
        <v>DAVIDSON DAVID</v>
      </c>
    </row>
    <row r="176" spans="1:7" x14ac:dyDescent="0.25">
      <c r="A176" s="8">
        <v>42848.803796296299</v>
      </c>
      <c r="B176" s="20" t="s">
        <v>358</v>
      </c>
      <c r="C176" s="20" t="s">
        <v>791</v>
      </c>
      <c r="D176" s="141">
        <v>2730000</v>
      </c>
      <c r="E176" s="20" t="s">
        <v>469</v>
      </c>
      <c r="F176" s="20" t="s">
        <v>470</v>
      </c>
      <c r="G176" s="8" t="str">
        <f t="shared" si="2"/>
        <v>YANG JAN</v>
      </c>
    </row>
    <row r="177" spans="1:7" x14ac:dyDescent="0.25">
      <c r="A177" s="8">
        <v>42848.803865740738</v>
      </c>
      <c r="B177" s="20" t="s">
        <v>487</v>
      </c>
      <c r="C177" s="20" t="s">
        <v>792</v>
      </c>
      <c r="D177" s="141">
        <v>1540000</v>
      </c>
      <c r="E177" s="20" t="s">
        <v>493</v>
      </c>
      <c r="F177" s="20" t="s">
        <v>494</v>
      </c>
      <c r="G177" s="8" t="str">
        <f t="shared" si="2"/>
        <v>HELVIE ADAM</v>
      </c>
    </row>
    <row r="178" spans="1:7" x14ac:dyDescent="0.25">
      <c r="A178" s="8">
        <v>42848.806608796294</v>
      </c>
      <c r="B178" s="20" t="s">
        <v>357</v>
      </c>
      <c r="C178" s="20" t="s">
        <v>793</v>
      </c>
      <c r="D178" s="141">
        <v>1810000</v>
      </c>
      <c r="E178" s="20" t="s">
        <v>373</v>
      </c>
      <c r="F178" s="20" t="s">
        <v>193</v>
      </c>
      <c r="G178" s="8" t="str">
        <f t="shared" si="2"/>
        <v>NEWELL JAMES</v>
      </c>
    </row>
    <row r="179" spans="1:7" x14ac:dyDescent="0.25">
      <c r="A179" s="8">
        <v>42848.81758101852</v>
      </c>
      <c r="B179" s="20" t="s">
        <v>356</v>
      </c>
      <c r="C179" s="20" t="s">
        <v>794</v>
      </c>
      <c r="D179" s="141">
        <v>1540000</v>
      </c>
      <c r="E179" s="20" t="s">
        <v>493</v>
      </c>
      <c r="F179" s="20" t="s">
        <v>494</v>
      </c>
      <c r="G179" s="8" t="str">
        <f t="shared" si="2"/>
        <v>HELVIE ADAM</v>
      </c>
    </row>
    <row r="180" spans="1:7" x14ac:dyDescent="0.25">
      <c r="A180" s="8">
        <v>42848.818726851852</v>
      </c>
      <c r="B180" s="20" t="s">
        <v>531</v>
      </c>
      <c r="C180" s="20" t="s">
        <v>795</v>
      </c>
      <c r="D180" s="141">
        <v>2360000</v>
      </c>
      <c r="E180" s="20" t="s">
        <v>728</v>
      </c>
      <c r="F180" s="20" t="s">
        <v>729</v>
      </c>
      <c r="G180" s="8" t="str">
        <f t="shared" si="2"/>
        <v>BRANDNER MELINDA</v>
      </c>
    </row>
    <row r="181" spans="1:7" x14ac:dyDescent="0.25">
      <c r="A181" s="8">
        <v>42848.828194444446</v>
      </c>
      <c r="B181" s="20" t="s">
        <v>398</v>
      </c>
      <c r="C181" s="20" t="s">
        <v>796</v>
      </c>
      <c r="D181" s="141">
        <v>1800000</v>
      </c>
      <c r="E181" s="20" t="s">
        <v>371</v>
      </c>
      <c r="F181" s="20" t="s">
        <v>372</v>
      </c>
      <c r="G181" s="8" t="str">
        <f t="shared" si="2"/>
        <v>CHANDLER KELVIN</v>
      </c>
    </row>
    <row r="182" spans="1:7" x14ac:dyDescent="0.25">
      <c r="A182" s="8">
        <v>42848.82916666667</v>
      </c>
      <c r="B182" s="20" t="s">
        <v>603</v>
      </c>
      <c r="C182" s="20" t="s">
        <v>619</v>
      </c>
      <c r="D182" s="141">
        <v>2680000</v>
      </c>
      <c r="E182" s="20" t="s">
        <v>393</v>
      </c>
      <c r="F182" s="20" t="s">
        <v>394</v>
      </c>
      <c r="G182" s="8" t="str">
        <f t="shared" si="2"/>
        <v>DUNCAN SHEILA</v>
      </c>
    </row>
    <row r="183" spans="1:7" x14ac:dyDescent="0.25">
      <c r="A183" s="8">
        <v>42848.83865740741</v>
      </c>
      <c r="B183" s="20" t="s">
        <v>390</v>
      </c>
      <c r="C183" s="20" t="s">
        <v>797</v>
      </c>
      <c r="D183" s="141">
        <v>1810000</v>
      </c>
      <c r="E183" s="20" t="s">
        <v>373</v>
      </c>
      <c r="F183" s="20" t="s">
        <v>193</v>
      </c>
      <c r="G183" s="8" t="str">
        <f t="shared" si="2"/>
        <v>NEWELL JAMES</v>
      </c>
    </row>
    <row r="184" spans="1:7" x14ac:dyDescent="0.25">
      <c r="A184" s="8">
        <v>42848.844201388885</v>
      </c>
      <c r="B184" s="20" t="s">
        <v>359</v>
      </c>
      <c r="C184" s="20" t="s">
        <v>798</v>
      </c>
      <c r="D184" s="141">
        <v>2730000</v>
      </c>
      <c r="E184" s="20" t="s">
        <v>469</v>
      </c>
      <c r="F184" s="20" t="s">
        <v>470</v>
      </c>
      <c r="G184" s="8" t="str">
        <f t="shared" si="2"/>
        <v>YANG JAN</v>
      </c>
    </row>
    <row r="185" spans="1:7" x14ac:dyDescent="0.25">
      <c r="A185" s="8">
        <v>42848.847141203703</v>
      </c>
      <c r="B185" s="20" t="s">
        <v>487</v>
      </c>
      <c r="C185" s="20" t="s">
        <v>799</v>
      </c>
      <c r="D185" s="141">
        <v>1540000</v>
      </c>
      <c r="E185" s="20" t="s">
        <v>493</v>
      </c>
      <c r="F185" s="20" t="s">
        <v>494</v>
      </c>
      <c r="G185" s="8" t="str">
        <f t="shared" si="2"/>
        <v>HELVIE ADAM</v>
      </c>
    </row>
    <row r="186" spans="1:7" x14ac:dyDescent="0.25">
      <c r="A186" s="8">
        <v>42848.858287037037</v>
      </c>
      <c r="B186" s="20" t="s">
        <v>356</v>
      </c>
      <c r="C186" s="20" t="s">
        <v>800</v>
      </c>
      <c r="D186" s="141">
        <v>1540000</v>
      </c>
      <c r="E186" s="20" t="s">
        <v>493</v>
      </c>
      <c r="F186" s="20" t="s">
        <v>494</v>
      </c>
      <c r="G186" s="8" t="str">
        <f t="shared" si="2"/>
        <v>HELVIE ADAM</v>
      </c>
    </row>
    <row r="187" spans="1:7" x14ac:dyDescent="0.25">
      <c r="A187" s="8">
        <v>42848.867071759261</v>
      </c>
      <c r="B187" s="20" t="s">
        <v>440</v>
      </c>
      <c r="C187" s="20" t="s">
        <v>801</v>
      </c>
      <c r="D187" s="141">
        <v>2680000</v>
      </c>
      <c r="E187" s="20" t="s">
        <v>393</v>
      </c>
      <c r="F187" s="20" t="s">
        <v>394</v>
      </c>
      <c r="G187" s="8" t="str">
        <f t="shared" si="2"/>
        <v>DUNCAN SHEILA</v>
      </c>
    </row>
    <row r="188" spans="1:7" x14ac:dyDescent="0.25">
      <c r="A188" s="8">
        <v>42848.872164351851</v>
      </c>
      <c r="B188" s="20" t="s">
        <v>397</v>
      </c>
      <c r="C188" s="20" t="s">
        <v>802</v>
      </c>
      <c r="D188" s="141">
        <v>1800000</v>
      </c>
      <c r="E188" s="20" t="s">
        <v>371</v>
      </c>
      <c r="F188" s="20" t="s">
        <v>372</v>
      </c>
      <c r="G188" s="8" t="str">
        <f t="shared" si="2"/>
        <v>CHANDLER KELVIN</v>
      </c>
    </row>
    <row r="189" spans="1:7" x14ac:dyDescent="0.25">
      <c r="A189" s="8">
        <v>42848.883946759262</v>
      </c>
      <c r="B189" s="20" t="s">
        <v>357</v>
      </c>
      <c r="C189" s="20" t="s">
        <v>803</v>
      </c>
      <c r="D189" s="141">
        <v>1810000</v>
      </c>
      <c r="E189" s="20" t="s">
        <v>373</v>
      </c>
      <c r="F189" s="20" t="s">
        <v>193</v>
      </c>
      <c r="G189" s="8" t="str">
        <f t="shared" si="2"/>
        <v>NEWELL JAMES</v>
      </c>
    </row>
    <row r="190" spans="1:7" x14ac:dyDescent="0.25">
      <c r="A190" s="8">
        <v>42848.888692129629</v>
      </c>
      <c r="B190" s="20" t="s">
        <v>487</v>
      </c>
      <c r="C190" s="20" t="s">
        <v>804</v>
      </c>
      <c r="D190" s="141">
        <v>1540000</v>
      </c>
      <c r="E190" s="20" t="s">
        <v>493</v>
      </c>
      <c r="F190" s="20" t="s">
        <v>494</v>
      </c>
      <c r="G190" s="8" t="str">
        <f t="shared" si="2"/>
        <v>HELVIE ADAM</v>
      </c>
    </row>
    <row r="191" spans="1:7" x14ac:dyDescent="0.25">
      <c r="A191" s="8">
        <v>42848.890509259261</v>
      </c>
      <c r="B191" s="20" t="s">
        <v>358</v>
      </c>
      <c r="C191" s="20" t="s">
        <v>805</v>
      </c>
      <c r="D191" s="141">
        <v>2730000</v>
      </c>
      <c r="E191" s="20" t="s">
        <v>469</v>
      </c>
      <c r="F191" s="20" t="s">
        <v>470</v>
      </c>
      <c r="G191" s="8" t="str">
        <f t="shared" si="2"/>
        <v>YANG JAN</v>
      </c>
    </row>
    <row r="192" spans="1:7" x14ac:dyDescent="0.25">
      <c r="A192" s="8">
        <v>42848.900046296294</v>
      </c>
      <c r="B192" s="20" t="s">
        <v>356</v>
      </c>
      <c r="C192" s="20" t="s">
        <v>620</v>
      </c>
      <c r="D192" s="141">
        <v>1540000</v>
      </c>
      <c r="E192" s="20" t="s">
        <v>493</v>
      </c>
      <c r="F192" s="20" t="s">
        <v>494</v>
      </c>
      <c r="G192" s="8" t="str">
        <f t="shared" si="2"/>
        <v>HELVIE ADAM</v>
      </c>
    </row>
    <row r="193" spans="1:7" x14ac:dyDescent="0.25">
      <c r="A193" s="8">
        <v>42848.90253472222</v>
      </c>
      <c r="B193" s="20" t="s">
        <v>603</v>
      </c>
      <c r="C193" s="20" t="s">
        <v>806</v>
      </c>
      <c r="D193" s="141">
        <v>2680000</v>
      </c>
      <c r="E193" s="20" t="s">
        <v>393</v>
      </c>
      <c r="F193" s="20" t="s">
        <v>394</v>
      </c>
      <c r="G193" s="8" t="str">
        <f t="shared" si="2"/>
        <v>DUNCAN SHEILA</v>
      </c>
    </row>
    <row r="194" spans="1:7" x14ac:dyDescent="0.25">
      <c r="A194" s="8">
        <v>42848.912465277775</v>
      </c>
      <c r="B194" s="20" t="s">
        <v>398</v>
      </c>
      <c r="C194" s="20" t="s">
        <v>807</v>
      </c>
      <c r="D194" s="141">
        <v>1800000</v>
      </c>
      <c r="E194" s="20" t="s">
        <v>371</v>
      </c>
      <c r="F194" s="20" t="s">
        <v>372</v>
      </c>
      <c r="G194" s="8" t="str">
        <f t="shared" si="2"/>
        <v>CHANDLER KELVIN</v>
      </c>
    </row>
    <row r="195" spans="1:7" x14ac:dyDescent="0.25">
      <c r="A195" s="8">
        <v>42848.928298611114</v>
      </c>
      <c r="B195" s="20" t="s">
        <v>359</v>
      </c>
      <c r="C195" s="20" t="s">
        <v>808</v>
      </c>
      <c r="D195" s="141">
        <v>2730000</v>
      </c>
      <c r="E195" s="20" t="s">
        <v>469</v>
      </c>
      <c r="F195" s="20" t="s">
        <v>470</v>
      </c>
      <c r="G195" s="8" t="str">
        <f t="shared" ref="G195:G258" si="3">E195&amp;" "&amp;F195</f>
        <v>YANG JAN</v>
      </c>
    </row>
    <row r="196" spans="1:7" x14ac:dyDescent="0.25">
      <c r="A196" s="8">
        <v>42848.931111111109</v>
      </c>
      <c r="B196" s="20" t="s">
        <v>487</v>
      </c>
      <c r="C196" s="20" t="s">
        <v>809</v>
      </c>
      <c r="D196" s="141">
        <v>1540000</v>
      </c>
      <c r="E196" s="20" t="s">
        <v>493</v>
      </c>
      <c r="F196" s="20" t="s">
        <v>494</v>
      </c>
      <c r="G196" s="8" t="str">
        <f t="shared" si="3"/>
        <v>HELVIE ADAM</v>
      </c>
    </row>
    <row r="197" spans="1:7" x14ac:dyDescent="0.25">
      <c r="A197" s="8">
        <v>42848.931932870371</v>
      </c>
      <c r="B197" s="20" t="s">
        <v>390</v>
      </c>
      <c r="C197" s="20" t="s">
        <v>810</v>
      </c>
      <c r="D197" s="141">
        <v>1810000</v>
      </c>
      <c r="E197" s="20" t="s">
        <v>373</v>
      </c>
      <c r="F197" s="20" t="s">
        <v>193</v>
      </c>
      <c r="G197" s="8" t="str">
        <f t="shared" si="3"/>
        <v>NEWELL JAMES</v>
      </c>
    </row>
    <row r="198" spans="1:7" x14ac:dyDescent="0.25">
      <c r="A198" s="8">
        <v>42848.946886574071</v>
      </c>
      <c r="B198" s="20" t="s">
        <v>356</v>
      </c>
      <c r="C198" s="20" t="s">
        <v>811</v>
      </c>
      <c r="D198" s="141">
        <v>1540000</v>
      </c>
      <c r="E198" s="20" t="s">
        <v>493</v>
      </c>
      <c r="F198" s="20" t="s">
        <v>494</v>
      </c>
      <c r="G198" s="8" t="str">
        <f t="shared" si="3"/>
        <v>HELVIE ADAM</v>
      </c>
    </row>
    <row r="199" spans="1:7" x14ac:dyDescent="0.25">
      <c r="A199" s="8">
        <v>42848.950694444444</v>
      </c>
      <c r="B199" s="20" t="s">
        <v>440</v>
      </c>
      <c r="C199" s="20" t="s">
        <v>812</v>
      </c>
      <c r="D199" s="141">
        <v>2680000</v>
      </c>
      <c r="E199" s="20" t="s">
        <v>393</v>
      </c>
      <c r="F199" s="20" t="s">
        <v>394</v>
      </c>
      <c r="G199" s="8" t="str">
        <f t="shared" si="3"/>
        <v>DUNCAN SHEILA</v>
      </c>
    </row>
    <row r="200" spans="1:7" x14ac:dyDescent="0.25">
      <c r="A200" s="8">
        <v>42848.958136574074</v>
      </c>
      <c r="B200" s="20" t="s">
        <v>397</v>
      </c>
      <c r="C200" s="20" t="s">
        <v>813</v>
      </c>
      <c r="D200" s="141">
        <v>1800000</v>
      </c>
      <c r="E200" s="20" t="s">
        <v>371</v>
      </c>
      <c r="F200" s="20" t="s">
        <v>372</v>
      </c>
      <c r="G200" s="8" t="str">
        <f t="shared" si="3"/>
        <v>CHANDLER KELVIN</v>
      </c>
    </row>
    <row r="201" spans="1:7" x14ac:dyDescent="0.25">
      <c r="A201" s="8">
        <v>42848.972175925926</v>
      </c>
      <c r="B201" s="20" t="s">
        <v>358</v>
      </c>
      <c r="C201" s="20" t="s">
        <v>814</v>
      </c>
      <c r="D201" s="141">
        <v>2730000</v>
      </c>
      <c r="E201" s="20" t="s">
        <v>469</v>
      </c>
      <c r="F201" s="20" t="s">
        <v>470</v>
      </c>
      <c r="G201" s="8" t="str">
        <f t="shared" si="3"/>
        <v>YANG JAN</v>
      </c>
    </row>
    <row r="202" spans="1:7" x14ac:dyDescent="0.25">
      <c r="A202" s="26">
        <v>42848.976493055554</v>
      </c>
      <c r="B202" s="20" t="s">
        <v>357</v>
      </c>
      <c r="C202" s="20" t="s">
        <v>815</v>
      </c>
      <c r="D202" s="141">
        <v>1810000</v>
      </c>
      <c r="E202" s="20" t="s">
        <v>373</v>
      </c>
      <c r="F202" s="20" t="s">
        <v>193</v>
      </c>
      <c r="G202" s="8" t="str">
        <f t="shared" si="3"/>
        <v>NEWELL JAMES</v>
      </c>
    </row>
    <row r="203" spans="1:7" x14ac:dyDescent="0.25">
      <c r="A203" s="8">
        <v>42848.986875000002</v>
      </c>
      <c r="B203" s="20" t="s">
        <v>603</v>
      </c>
      <c r="C203" s="20" t="s">
        <v>816</v>
      </c>
      <c r="D203" s="141">
        <v>2680000</v>
      </c>
      <c r="E203" s="20" t="s">
        <v>393</v>
      </c>
      <c r="F203" s="20" t="s">
        <v>394</v>
      </c>
      <c r="G203" s="8" t="str">
        <f t="shared" si="3"/>
        <v>DUNCAN SHEILA</v>
      </c>
    </row>
    <row r="204" spans="1:7" x14ac:dyDescent="0.25">
      <c r="A204" s="8">
        <v>42848.993611111109</v>
      </c>
      <c r="B204" s="20" t="s">
        <v>398</v>
      </c>
      <c r="C204" s="20" t="s">
        <v>817</v>
      </c>
      <c r="D204" s="141">
        <v>1800000</v>
      </c>
      <c r="E204" s="20" t="s">
        <v>371</v>
      </c>
      <c r="F204" s="20" t="s">
        <v>372</v>
      </c>
      <c r="G204" s="8" t="str">
        <f t="shared" si="3"/>
        <v>CHANDLER KELVIN</v>
      </c>
    </row>
    <row r="205" spans="1:7" x14ac:dyDescent="0.25">
      <c r="A205" s="8">
        <v>42849.008634259262</v>
      </c>
      <c r="B205" s="20" t="s">
        <v>359</v>
      </c>
      <c r="C205" s="20" t="s">
        <v>818</v>
      </c>
      <c r="D205" s="141">
        <v>2730000</v>
      </c>
      <c r="E205" s="20" t="s">
        <v>469</v>
      </c>
      <c r="F205" s="20" t="s">
        <v>470</v>
      </c>
      <c r="G205" s="8" t="str">
        <f t="shared" si="3"/>
        <v>YANG JAN</v>
      </c>
    </row>
    <row r="206" spans="1:7" x14ac:dyDescent="0.25">
      <c r="A206" s="8">
        <v>42849.015173611115</v>
      </c>
      <c r="B206" s="20" t="s">
        <v>390</v>
      </c>
      <c r="C206" s="20" t="s">
        <v>819</v>
      </c>
      <c r="D206" s="141">
        <v>1810000</v>
      </c>
      <c r="E206" s="20" t="s">
        <v>373</v>
      </c>
      <c r="F206" s="20" t="s">
        <v>193</v>
      </c>
      <c r="G206" s="8" t="str">
        <f t="shared" si="3"/>
        <v>NEWELL JAMES</v>
      </c>
    </row>
    <row r="207" spans="1:7" x14ac:dyDescent="0.25">
      <c r="A207" s="8">
        <v>42849.029745370368</v>
      </c>
      <c r="B207" s="20" t="s">
        <v>397</v>
      </c>
      <c r="C207" s="20" t="s">
        <v>820</v>
      </c>
      <c r="D207" s="141">
        <v>1800000</v>
      </c>
      <c r="E207" s="20" t="s">
        <v>371</v>
      </c>
      <c r="F207" s="20" t="s">
        <v>372</v>
      </c>
      <c r="G207" s="8" t="str">
        <f t="shared" si="3"/>
        <v>CHANDLER KELVIN</v>
      </c>
    </row>
    <row r="208" spans="1:7" x14ac:dyDescent="0.25">
      <c r="A208" s="8">
        <v>42849.034513888888</v>
      </c>
      <c r="B208" s="20" t="s">
        <v>440</v>
      </c>
      <c r="C208" s="20" t="s">
        <v>821</v>
      </c>
      <c r="D208" s="141">
        <v>2680000</v>
      </c>
      <c r="E208" s="20" t="s">
        <v>393</v>
      </c>
      <c r="F208" s="20" t="s">
        <v>394</v>
      </c>
      <c r="G208" s="8" t="str">
        <f t="shared" si="3"/>
        <v>DUNCAN SHEILA</v>
      </c>
    </row>
    <row r="209" spans="1:7" x14ac:dyDescent="0.25">
      <c r="A209" s="8">
        <v>42849.047349537039</v>
      </c>
      <c r="B209" s="20" t="s">
        <v>357</v>
      </c>
      <c r="C209" s="20" t="s">
        <v>822</v>
      </c>
      <c r="D209" s="141">
        <v>1810000</v>
      </c>
      <c r="E209" s="20" t="s">
        <v>373</v>
      </c>
      <c r="F209" s="20" t="s">
        <v>193</v>
      </c>
      <c r="G209" s="8" t="str">
        <f t="shared" si="3"/>
        <v>NEWELL JAMES</v>
      </c>
    </row>
    <row r="210" spans="1:7" x14ac:dyDescent="0.25">
      <c r="A210" s="8">
        <v>42849.055266203701</v>
      </c>
      <c r="B210" s="20" t="s">
        <v>358</v>
      </c>
      <c r="C210" s="20" t="s">
        <v>823</v>
      </c>
      <c r="D210" s="141">
        <v>2730000</v>
      </c>
      <c r="E210" s="20" t="s">
        <v>469</v>
      </c>
      <c r="F210" s="20" t="s">
        <v>470</v>
      </c>
      <c r="G210" s="8" t="str">
        <f t="shared" si="3"/>
        <v>YANG JAN</v>
      </c>
    </row>
    <row r="211" spans="1:7" x14ac:dyDescent="0.25">
      <c r="A211" s="8">
        <v>42849.069745370369</v>
      </c>
      <c r="B211" s="20" t="s">
        <v>603</v>
      </c>
      <c r="C211" s="20" t="s">
        <v>824</v>
      </c>
      <c r="D211" s="141">
        <v>2680000</v>
      </c>
      <c r="E211" s="20" t="s">
        <v>393</v>
      </c>
      <c r="F211" s="20" t="s">
        <v>394</v>
      </c>
      <c r="G211" s="8" t="str">
        <f t="shared" si="3"/>
        <v>DUNCAN SHEILA</v>
      </c>
    </row>
    <row r="212" spans="1:7" x14ac:dyDescent="0.25">
      <c r="A212" s="8">
        <v>42849.089791666665</v>
      </c>
      <c r="B212" s="20" t="s">
        <v>359</v>
      </c>
      <c r="C212" s="20" t="s">
        <v>825</v>
      </c>
      <c r="D212" s="141">
        <v>2730000</v>
      </c>
      <c r="E212" s="20" t="s">
        <v>469</v>
      </c>
      <c r="F212" s="20" t="s">
        <v>470</v>
      </c>
      <c r="G212" s="8" t="str">
        <f t="shared" si="3"/>
        <v>YANG JAN</v>
      </c>
    </row>
    <row r="213" spans="1:7" x14ac:dyDescent="0.25">
      <c r="A213" s="8">
        <v>42845.863726851851</v>
      </c>
      <c r="B213" s="20" t="s">
        <v>488</v>
      </c>
      <c r="C213" s="20" t="s">
        <v>534</v>
      </c>
      <c r="D213" s="141">
        <v>2560000</v>
      </c>
      <c r="E213" s="20" t="s">
        <v>529</v>
      </c>
      <c r="F213" s="20" t="s">
        <v>530</v>
      </c>
      <c r="G213" s="8" t="str">
        <f t="shared" si="3"/>
        <v>MACDONALD THOMAS</v>
      </c>
    </row>
    <row r="214" spans="1:7" x14ac:dyDescent="0.25">
      <c r="A214" s="8">
        <v>42845.866990740738</v>
      </c>
      <c r="B214" s="20" t="s">
        <v>354</v>
      </c>
      <c r="C214" s="20" t="s">
        <v>535</v>
      </c>
      <c r="D214" s="141">
        <v>2270000</v>
      </c>
      <c r="E214" s="20" t="s">
        <v>206</v>
      </c>
      <c r="F214" s="20" t="s">
        <v>207</v>
      </c>
      <c r="G214" s="8" t="str">
        <f t="shared" si="3"/>
        <v>BROWN JACOB</v>
      </c>
    </row>
    <row r="215" spans="1:7" x14ac:dyDescent="0.25">
      <c r="A215" s="8">
        <v>42845.879282407404</v>
      </c>
      <c r="B215" s="20" t="s">
        <v>484</v>
      </c>
      <c r="C215" s="20" t="s">
        <v>532</v>
      </c>
      <c r="D215" s="141">
        <v>2540000</v>
      </c>
      <c r="E215" s="20" t="s">
        <v>501</v>
      </c>
      <c r="F215" s="20" t="s">
        <v>502</v>
      </c>
      <c r="G215" s="8" t="str">
        <f t="shared" si="3"/>
        <v>MCREYNOLDS KYLE</v>
      </c>
    </row>
    <row r="216" spans="1:7" x14ac:dyDescent="0.25">
      <c r="A216" s="8">
        <v>42845.880613425928</v>
      </c>
      <c r="B216" s="20" t="s">
        <v>403</v>
      </c>
      <c r="C216" s="20" t="s">
        <v>536</v>
      </c>
      <c r="D216" s="141">
        <v>1740000</v>
      </c>
      <c r="E216" s="20" t="s">
        <v>374</v>
      </c>
      <c r="F216" s="20" t="s">
        <v>375</v>
      </c>
      <c r="G216" s="8" t="str">
        <f t="shared" si="3"/>
        <v>STORY SAMANTHA</v>
      </c>
    </row>
    <row r="217" spans="1:7" x14ac:dyDescent="0.25">
      <c r="A217" s="8">
        <v>42845.883009259262</v>
      </c>
      <c r="B217" s="20" t="s">
        <v>390</v>
      </c>
      <c r="C217" s="20" t="s">
        <v>537</v>
      </c>
      <c r="D217" s="141">
        <v>2420000</v>
      </c>
      <c r="E217" s="20" t="s">
        <v>538</v>
      </c>
      <c r="F217" s="20" t="s">
        <v>539</v>
      </c>
      <c r="G217" s="8" t="str">
        <f t="shared" si="3"/>
        <v>HOLCOMB KAMDEN</v>
      </c>
    </row>
    <row r="218" spans="1:7" x14ac:dyDescent="0.25">
      <c r="A218" s="8">
        <v>42845.890034722222</v>
      </c>
      <c r="B218" s="20" t="s">
        <v>431</v>
      </c>
      <c r="C218" s="20" t="s">
        <v>540</v>
      </c>
      <c r="D218" s="141">
        <v>2730000</v>
      </c>
      <c r="E218" s="20" t="s">
        <v>469</v>
      </c>
      <c r="F218" s="20" t="s">
        <v>470</v>
      </c>
      <c r="G218" s="8" t="str">
        <f t="shared" si="3"/>
        <v>YANG JAN</v>
      </c>
    </row>
    <row r="219" spans="1:7" x14ac:dyDescent="0.25">
      <c r="A219" s="8">
        <v>42845.892627314817</v>
      </c>
      <c r="B219" s="20" t="s">
        <v>399</v>
      </c>
      <c r="C219" s="20" t="s">
        <v>541</v>
      </c>
      <c r="D219" s="141">
        <v>1810000</v>
      </c>
      <c r="E219" s="20" t="s">
        <v>373</v>
      </c>
      <c r="F219" s="20" t="s">
        <v>193</v>
      </c>
      <c r="G219" s="8" t="str">
        <f t="shared" si="3"/>
        <v>NEWELL JAMES</v>
      </c>
    </row>
    <row r="220" spans="1:7" x14ac:dyDescent="0.25">
      <c r="A220" s="8">
        <v>42845.895451388889</v>
      </c>
      <c r="B220" s="20" t="s">
        <v>486</v>
      </c>
      <c r="C220" s="20" t="s">
        <v>533</v>
      </c>
      <c r="D220" s="141">
        <v>2540000</v>
      </c>
      <c r="E220" s="20" t="s">
        <v>501</v>
      </c>
      <c r="F220" s="20" t="s">
        <v>502</v>
      </c>
      <c r="G220" s="8" t="str">
        <f t="shared" si="3"/>
        <v>MCREYNOLDS KYLE</v>
      </c>
    </row>
    <row r="221" spans="1:7" x14ac:dyDescent="0.25">
      <c r="A221" s="8">
        <v>42845.900312500002</v>
      </c>
      <c r="B221" s="20" t="s">
        <v>464</v>
      </c>
      <c r="C221" s="20" t="s">
        <v>542</v>
      </c>
      <c r="D221" s="141">
        <v>1740000</v>
      </c>
      <c r="E221" s="20" t="s">
        <v>374</v>
      </c>
      <c r="F221" s="20" t="s">
        <v>375</v>
      </c>
      <c r="G221" s="8" t="str">
        <f t="shared" si="3"/>
        <v>STORY SAMANTHA</v>
      </c>
    </row>
    <row r="222" spans="1:7" x14ac:dyDescent="0.25">
      <c r="A222" s="8">
        <v>42845.912037037036</v>
      </c>
      <c r="B222" s="20" t="s">
        <v>485</v>
      </c>
      <c r="C222" s="20" t="s">
        <v>543</v>
      </c>
      <c r="D222" s="141">
        <v>2560000</v>
      </c>
      <c r="E222" s="20" t="s">
        <v>529</v>
      </c>
      <c r="F222" s="20" t="s">
        <v>530</v>
      </c>
      <c r="G222" s="8" t="str">
        <f t="shared" si="3"/>
        <v>MACDONALD THOMAS</v>
      </c>
    </row>
    <row r="223" spans="1:7" x14ac:dyDescent="0.25">
      <c r="A223" s="8">
        <v>42845.912129629629</v>
      </c>
      <c r="B223" s="20" t="s">
        <v>353</v>
      </c>
      <c r="C223" s="20" t="s">
        <v>544</v>
      </c>
      <c r="D223" s="141">
        <v>2270000</v>
      </c>
      <c r="E223" s="20" t="s">
        <v>206</v>
      </c>
      <c r="F223" s="20" t="s">
        <v>207</v>
      </c>
      <c r="G223" s="8" t="str">
        <f t="shared" si="3"/>
        <v>BROWN JACOB</v>
      </c>
    </row>
    <row r="224" spans="1:7" x14ac:dyDescent="0.25">
      <c r="A224" s="8">
        <v>42845.921296296299</v>
      </c>
      <c r="B224" t="s">
        <v>484</v>
      </c>
      <c r="C224" t="s">
        <v>545</v>
      </c>
      <c r="D224" s="141">
        <v>2540000</v>
      </c>
      <c r="E224" t="s">
        <v>501</v>
      </c>
      <c r="F224" s="20" t="s">
        <v>502</v>
      </c>
      <c r="G224" s="8" t="str">
        <f t="shared" si="3"/>
        <v>MCREYNOLDS KYLE</v>
      </c>
    </row>
    <row r="225" spans="1:7" x14ac:dyDescent="0.25">
      <c r="A225" s="8">
        <v>42845.927615740744</v>
      </c>
      <c r="B225" t="s">
        <v>403</v>
      </c>
      <c r="C225" t="s">
        <v>546</v>
      </c>
      <c r="D225" s="141">
        <v>1740000</v>
      </c>
      <c r="E225" t="s">
        <v>374</v>
      </c>
      <c r="F225" s="20" t="s">
        <v>375</v>
      </c>
      <c r="G225" s="8" t="str">
        <f t="shared" si="3"/>
        <v>STORY SAMANTHA</v>
      </c>
    </row>
    <row r="226" spans="1:7" x14ac:dyDescent="0.25">
      <c r="A226" s="8">
        <v>42845.929259259261</v>
      </c>
      <c r="B226" t="s">
        <v>430</v>
      </c>
      <c r="C226" t="s">
        <v>547</v>
      </c>
      <c r="D226" s="141">
        <v>2730000</v>
      </c>
      <c r="E226" t="s">
        <v>469</v>
      </c>
      <c r="F226" s="20" t="s">
        <v>470</v>
      </c>
      <c r="G226" s="8" t="str">
        <f t="shared" si="3"/>
        <v>YANG JAN</v>
      </c>
    </row>
    <row r="227" spans="1:7" x14ac:dyDescent="0.25">
      <c r="A227" s="8">
        <v>42845.931041666663</v>
      </c>
      <c r="B227" t="s">
        <v>396</v>
      </c>
      <c r="C227" t="s">
        <v>548</v>
      </c>
      <c r="D227" s="141">
        <v>1810000</v>
      </c>
      <c r="E227" t="s">
        <v>373</v>
      </c>
      <c r="F227" s="20" t="s">
        <v>193</v>
      </c>
      <c r="G227" s="8" t="str">
        <f t="shared" si="3"/>
        <v>NEWELL JAMES</v>
      </c>
    </row>
    <row r="228" spans="1:7" x14ac:dyDescent="0.25">
      <c r="A228" s="8">
        <v>42845.942743055559</v>
      </c>
      <c r="B228" t="s">
        <v>464</v>
      </c>
      <c r="C228" t="s">
        <v>549</v>
      </c>
      <c r="D228" s="141">
        <v>1740000</v>
      </c>
      <c r="E228" t="s">
        <v>374</v>
      </c>
      <c r="F228" s="20" t="s">
        <v>375</v>
      </c>
      <c r="G228" s="8" t="str">
        <f t="shared" si="3"/>
        <v>STORY SAMANTHA</v>
      </c>
    </row>
    <row r="229" spans="1:7" x14ac:dyDescent="0.25">
      <c r="A229" s="8">
        <v>42845.947071759256</v>
      </c>
      <c r="B229" t="s">
        <v>488</v>
      </c>
      <c r="C229" t="s">
        <v>550</v>
      </c>
      <c r="D229" s="141">
        <v>2560000</v>
      </c>
      <c r="E229" t="s">
        <v>529</v>
      </c>
      <c r="F229" s="20" t="s">
        <v>530</v>
      </c>
      <c r="G229" s="8" t="str">
        <f t="shared" si="3"/>
        <v>MACDONALD THOMAS</v>
      </c>
    </row>
    <row r="230" spans="1:7" x14ac:dyDescent="0.25">
      <c r="A230" s="8">
        <v>42845.949166666665</v>
      </c>
      <c r="B230" t="s">
        <v>354</v>
      </c>
      <c r="C230" t="s">
        <v>525</v>
      </c>
      <c r="D230" s="141">
        <v>2270000</v>
      </c>
      <c r="E230" t="s">
        <v>206</v>
      </c>
      <c r="F230" s="20" t="s">
        <v>207</v>
      </c>
      <c r="G230" s="8" t="str">
        <f t="shared" si="3"/>
        <v>BROWN JACOB</v>
      </c>
    </row>
    <row r="231" spans="1:7" x14ac:dyDescent="0.25">
      <c r="A231" s="8">
        <v>42845.950706018521</v>
      </c>
      <c r="B231" t="s">
        <v>403</v>
      </c>
      <c r="C231" t="s">
        <v>549</v>
      </c>
      <c r="D231" s="141">
        <v>1740000</v>
      </c>
      <c r="E231" t="s">
        <v>374</v>
      </c>
      <c r="F231" s="20" t="s">
        <v>375</v>
      </c>
      <c r="G231" s="8" t="str">
        <f t="shared" si="3"/>
        <v>STORY SAMANTHA</v>
      </c>
    </row>
    <row r="232" spans="1:7" x14ac:dyDescent="0.25">
      <c r="A232" s="8">
        <v>42845.965462962966</v>
      </c>
      <c r="B232" t="s">
        <v>399</v>
      </c>
      <c r="C232" t="s">
        <v>551</v>
      </c>
      <c r="D232" s="141">
        <v>1810000</v>
      </c>
      <c r="E232" t="s">
        <v>373</v>
      </c>
      <c r="F232" s="20" t="s">
        <v>193</v>
      </c>
      <c r="G232" s="8" t="str">
        <f t="shared" si="3"/>
        <v>NEWELL JAMES</v>
      </c>
    </row>
    <row r="233" spans="1:7" x14ac:dyDescent="0.25">
      <c r="A233" s="8">
        <v>42845.974074074074</v>
      </c>
      <c r="B233" t="s">
        <v>486</v>
      </c>
      <c r="C233" t="s">
        <v>552</v>
      </c>
      <c r="D233" s="141">
        <v>2540000</v>
      </c>
      <c r="E233" t="s">
        <v>501</v>
      </c>
      <c r="F233" s="20" t="s">
        <v>502</v>
      </c>
      <c r="G233" s="8" t="str">
        <f t="shared" si="3"/>
        <v>MCREYNOLDS KYLE</v>
      </c>
    </row>
    <row r="234" spans="1:7" x14ac:dyDescent="0.25">
      <c r="A234" s="8">
        <v>42845.975717592592</v>
      </c>
      <c r="B234" t="s">
        <v>431</v>
      </c>
      <c r="C234" t="s">
        <v>553</v>
      </c>
      <c r="D234" s="141">
        <v>2730000</v>
      </c>
      <c r="E234" t="s">
        <v>469</v>
      </c>
      <c r="F234" s="20" t="s">
        <v>470</v>
      </c>
      <c r="G234" s="8" t="str">
        <f t="shared" si="3"/>
        <v>YANG JAN</v>
      </c>
    </row>
    <row r="235" spans="1:7" x14ac:dyDescent="0.25">
      <c r="A235" s="8">
        <v>42845.993125000001</v>
      </c>
      <c r="B235" t="s">
        <v>353</v>
      </c>
      <c r="C235" t="s">
        <v>554</v>
      </c>
      <c r="D235" s="141">
        <v>2270000</v>
      </c>
      <c r="E235" t="s">
        <v>206</v>
      </c>
      <c r="F235" s="20" t="s">
        <v>207</v>
      </c>
      <c r="G235" s="8" t="str">
        <f t="shared" si="3"/>
        <v>BROWN JACOB</v>
      </c>
    </row>
    <row r="236" spans="1:7" x14ac:dyDescent="0.25">
      <c r="A236" s="8">
        <v>42845.996018518519</v>
      </c>
      <c r="B236" t="s">
        <v>485</v>
      </c>
      <c r="C236" t="s">
        <v>555</v>
      </c>
      <c r="D236" s="141">
        <v>2560000</v>
      </c>
      <c r="E236" t="s">
        <v>529</v>
      </c>
      <c r="F236" s="20" t="s">
        <v>530</v>
      </c>
      <c r="G236" s="8" t="str">
        <f t="shared" si="3"/>
        <v>MACDONALD THOMAS</v>
      </c>
    </row>
    <row r="237" spans="1:7" x14ac:dyDescent="0.25">
      <c r="A237" s="8">
        <v>42846.015127314815</v>
      </c>
      <c r="B237" t="s">
        <v>396</v>
      </c>
      <c r="C237" t="s">
        <v>556</v>
      </c>
      <c r="D237" s="141">
        <v>1810000</v>
      </c>
      <c r="E237" t="s">
        <v>373</v>
      </c>
      <c r="F237" s="20" t="s">
        <v>193</v>
      </c>
      <c r="G237" s="8" t="str">
        <f t="shared" si="3"/>
        <v>NEWELL JAMES</v>
      </c>
    </row>
    <row r="238" spans="1:7" x14ac:dyDescent="0.25">
      <c r="A238" s="8">
        <v>42846.016134259262</v>
      </c>
      <c r="B238" t="s">
        <v>430</v>
      </c>
      <c r="C238" t="s">
        <v>557</v>
      </c>
      <c r="D238" s="141">
        <v>2730000</v>
      </c>
      <c r="E238" t="s">
        <v>469</v>
      </c>
      <c r="F238" s="20" t="s">
        <v>470</v>
      </c>
      <c r="G238" s="8" t="str">
        <f t="shared" si="3"/>
        <v>YANG JAN</v>
      </c>
    </row>
    <row r="239" spans="1:7" x14ac:dyDescent="0.25">
      <c r="A239" s="8">
        <v>42846.02920138889</v>
      </c>
      <c r="B239" t="s">
        <v>488</v>
      </c>
      <c r="C239" t="s">
        <v>558</v>
      </c>
      <c r="D239" s="141">
        <v>2560000</v>
      </c>
      <c r="E239" t="s">
        <v>529</v>
      </c>
      <c r="F239" s="20" t="s">
        <v>530</v>
      </c>
      <c r="G239" s="8" t="str">
        <f t="shared" si="3"/>
        <v>MACDONALD THOMAS</v>
      </c>
    </row>
    <row r="240" spans="1:7" x14ac:dyDescent="0.25">
      <c r="A240" s="8">
        <v>42846.038831018515</v>
      </c>
      <c r="B240" t="s">
        <v>354</v>
      </c>
      <c r="C240" t="s">
        <v>559</v>
      </c>
      <c r="D240" s="141">
        <v>2270000</v>
      </c>
      <c r="E240" t="s">
        <v>206</v>
      </c>
      <c r="F240" s="20" t="s">
        <v>207</v>
      </c>
      <c r="G240" s="8" t="str">
        <f t="shared" si="3"/>
        <v>BROWN JACOB</v>
      </c>
    </row>
    <row r="241" spans="1:7" x14ac:dyDescent="0.25">
      <c r="A241" s="8">
        <v>42846.052951388891</v>
      </c>
      <c r="B241" t="s">
        <v>399</v>
      </c>
      <c r="C241" t="s">
        <v>560</v>
      </c>
      <c r="D241" s="141">
        <v>1810000</v>
      </c>
      <c r="E241" t="s">
        <v>373</v>
      </c>
      <c r="F241" s="20" t="s">
        <v>193</v>
      </c>
      <c r="G241" s="8" t="str">
        <f t="shared" si="3"/>
        <v>NEWELL JAMES</v>
      </c>
    </row>
    <row r="242" spans="1:7" x14ac:dyDescent="0.25">
      <c r="A242" s="8">
        <v>42846.055810185186</v>
      </c>
      <c r="B242" t="s">
        <v>431</v>
      </c>
      <c r="C242" t="s">
        <v>561</v>
      </c>
      <c r="D242" s="141">
        <v>2730000</v>
      </c>
      <c r="E242" t="s">
        <v>469</v>
      </c>
      <c r="F242" s="20" t="s">
        <v>470</v>
      </c>
      <c r="G242" s="8" t="str">
        <f t="shared" si="3"/>
        <v>YANG JAN</v>
      </c>
    </row>
    <row r="243" spans="1:7" x14ac:dyDescent="0.25">
      <c r="A243" s="8">
        <v>42846.072175925925</v>
      </c>
      <c r="B243" t="s">
        <v>353</v>
      </c>
      <c r="C243" t="s">
        <v>562</v>
      </c>
      <c r="D243" s="141">
        <v>2270000</v>
      </c>
      <c r="E243" t="s">
        <v>206</v>
      </c>
      <c r="F243" s="20" t="s">
        <v>207</v>
      </c>
      <c r="G243" s="8" t="str">
        <f t="shared" si="3"/>
        <v>BROWN JACOB</v>
      </c>
    </row>
    <row r="244" spans="1:7" x14ac:dyDescent="0.25">
      <c r="A244" s="8">
        <v>42846.090555555558</v>
      </c>
      <c r="B244" t="s">
        <v>430</v>
      </c>
      <c r="C244" t="s">
        <v>563</v>
      </c>
      <c r="D244" s="141">
        <v>2730000</v>
      </c>
      <c r="E244" t="s">
        <v>469</v>
      </c>
      <c r="F244" s="20" t="s">
        <v>470</v>
      </c>
      <c r="G244" s="8" t="str">
        <f t="shared" si="3"/>
        <v>YANG JAN</v>
      </c>
    </row>
    <row r="245" spans="1:7" x14ac:dyDescent="0.25">
      <c r="A245" s="8">
        <v>42846.11414351852</v>
      </c>
      <c r="B245" t="s">
        <v>440</v>
      </c>
      <c r="C245" t="s">
        <v>564</v>
      </c>
      <c r="D245" s="141">
        <v>2550000</v>
      </c>
      <c r="E245" t="s">
        <v>489</v>
      </c>
      <c r="F245" s="20" t="s">
        <v>490</v>
      </c>
      <c r="G245" s="8" t="str">
        <f t="shared" si="3"/>
        <v>BADERTSCHER DIANE</v>
      </c>
    </row>
    <row r="246" spans="1:7" x14ac:dyDescent="0.25">
      <c r="A246" s="8">
        <v>42845.028541666667</v>
      </c>
      <c r="B246" t="s">
        <v>417</v>
      </c>
      <c r="C246" t="s">
        <v>503</v>
      </c>
      <c r="D246" s="141">
        <v>2150000</v>
      </c>
      <c r="E246" t="s">
        <v>351</v>
      </c>
      <c r="F246" s="20" t="s">
        <v>352</v>
      </c>
      <c r="G246" s="8" t="str">
        <f t="shared" si="3"/>
        <v>SWANSON BRYCE</v>
      </c>
    </row>
    <row r="247" spans="1:7" x14ac:dyDescent="0.25">
      <c r="A247" s="8">
        <v>42845.035798611112</v>
      </c>
      <c r="B247" t="s">
        <v>398</v>
      </c>
      <c r="C247" t="s">
        <v>504</v>
      </c>
      <c r="D247" s="141">
        <v>2270000</v>
      </c>
      <c r="E247" t="s">
        <v>206</v>
      </c>
      <c r="F247" s="20" t="s">
        <v>207</v>
      </c>
      <c r="G247" s="8" t="str">
        <f t="shared" si="3"/>
        <v>BROWN JACOB</v>
      </c>
    </row>
    <row r="248" spans="1:7" x14ac:dyDescent="0.25">
      <c r="A248" s="8">
        <v>42845.047743055555</v>
      </c>
      <c r="B248" t="s">
        <v>487</v>
      </c>
      <c r="C248" t="s">
        <v>505</v>
      </c>
      <c r="D248" s="141">
        <v>1740000</v>
      </c>
      <c r="E248" t="s">
        <v>374</v>
      </c>
      <c r="F248" s="20" t="s">
        <v>375</v>
      </c>
      <c r="G248" s="8" t="str">
        <f t="shared" si="3"/>
        <v>STORY SAMANTHA</v>
      </c>
    </row>
    <row r="249" spans="1:7" x14ac:dyDescent="0.25">
      <c r="A249" s="8">
        <v>42845.056550925925</v>
      </c>
      <c r="B249" t="s">
        <v>378</v>
      </c>
      <c r="C249" t="s">
        <v>506</v>
      </c>
      <c r="D249" s="141">
        <v>1810000</v>
      </c>
      <c r="E249" t="s">
        <v>373</v>
      </c>
      <c r="F249" s="20" t="s">
        <v>193</v>
      </c>
      <c r="G249" s="8" t="str">
        <f t="shared" si="3"/>
        <v>NEWELL JAMES</v>
      </c>
    </row>
    <row r="250" spans="1:7" x14ac:dyDescent="0.25">
      <c r="A250" s="8">
        <v>42845.068842592591</v>
      </c>
      <c r="B250" t="s">
        <v>397</v>
      </c>
      <c r="C250" t="s">
        <v>507</v>
      </c>
      <c r="D250" s="141">
        <v>2270000</v>
      </c>
      <c r="E250" t="s">
        <v>206</v>
      </c>
      <c r="F250" s="20" t="s">
        <v>207</v>
      </c>
      <c r="G250" s="8" t="str">
        <f t="shared" si="3"/>
        <v>BROWN JACOB</v>
      </c>
    </row>
    <row r="251" spans="1:7" x14ac:dyDescent="0.25">
      <c r="A251" s="8">
        <v>42845.089733796296</v>
      </c>
      <c r="B251" t="s">
        <v>377</v>
      </c>
      <c r="C251" t="s">
        <v>508</v>
      </c>
      <c r="D251" s="141">
        <v>1810000</v>
      </c>
      <c r="E251" t="s">
        <v>373</v>
      </c>
      <c r="F251" s="20" t="s">
        <v>193</v>
      </c>
      <c r="G251" s="8" t="str">
        <f t="shared" si="3"/>
        <v>NEWELL JAMES</v>
      </c>
    </row>
    <row r="252" spans="1:7" x14ac:dyDescent="0.25">
      <c r="A252" s="8">
        <v>42843.979224537034</v>
      </c>
      <c r="B252" t="s">
        <v>445</v>
      </c>
      <c r="C252" t="s">
        <v>466</v>
      </c>
      <c r="D252" s="141">
        <v>2730000</v>
      </c>
      <c r="E252" t="s">
        <v>469</v>
      </c>
      <c r="F252" s="20" t="s">
        <v>470</v>
      </c>
      <c r="G252" s="8" t="str">
        <f t="shared" si="3"/>
        <v>YANG JAN</v>
      </c>
    </row>
    <row r="253" spans="1:7" x14ac:dyDescent="0.25">
      <c r="A253" s="8">
        <v>42843.985902777778</v>
      </c>
      <c r="B253" t="s">
        <v>421</v>
      </c>
      <c r="C253" t="s">
        <v>472</v>
      </c>
      <c r="D253" s="141">
        <v>1740000</v>
      </c>
      <c r="E253" t="s">
        <v>374</v>
      </c>
      <c r="F253" s="20" t="s">
        <v>375</v>
      </c>
      <c r="G253" s="8" t="str">
        <f t="shared" si="3"/>
        <v>STORY SAMANTHA</v>
      </c>
    </row>
    <row r="254" spans="1:7" x14ac:dyDescent="0.25">
      <c r="A254" s="8">
        <v>42843.986585648148</v>
      </c>
      <c r="B254" t="s">
        <v>446</v>
      </c>
      <c r="C254" t="s">
        <v>471</v>
      </c>
      <c r="D254" s="141">
        <v>2730000</v>
      </c>
      <c r="E254" t="s">
        <v>469</v>
      </c>
      <c r="F254" s="20" t="s">
        <v>470</v>
      </c>
      <c r="G254" s="8" t="str">
        <f t="shared" si="3"/>
        <v>YANG JAN</v>
      </c>
    </row>
    <row r="255" spans="1:7" x14ac:dyDescent="0.25">
      <c r="A255" s="8">
        <v>42843.993796296294</v>
      </c>
      <c r="B255" t="s">
        <v>396</v>
      </c>
      <c r="C255" t="s">
        <v>473</v>
      </c>
      <c r="D255" s="141">
        <v>1800000</v>
      </c>
      <c r="E255" t="s">
        <v>371</v>
      </c>
      <c r="F255" s="20" t="s">
        <v>372</v>
      </c>
      <c r="G255" s="8" t="str">
        <f t="shared" si="3"/>
        <v>CHANDLER KELVIN</v>
      </c>
    </row>
    <row r="256" spans="1:7" x14ac:dyDescent="0.25">
      <c r="A256" s="8">
        <v>42843.996076388888</v>
      </c>
      <c r="B256" t="s">
        <v>445</v>
      </c>
      <c r="C256" t="s">
        <v>466</v>
      </c>
      <c r="D256" s="141">
        <v>2730000</v>
      </c>
      <c r="E256" t="s">
        <v>469</v>
      </c>
      <c r="F256" s="20" t="s">
        <v>470</v>
      </c>
      <c r="G256" s="8" t="str">
        <f t="shared" si="3"/>
        <v>YANG JAN</v>
      </c>
    </row>
    <row r="257" spans="1:7" x14ac:dyDescent="0.25">
      <c r="A257" s="8">
        <v>42844.004236111112</v>
      </c>
      <c r="B257" t="s">
        <v>357</v>
      </c>
      <c r="C257" t="s">
        <v>467</v>
      </c>
      <c r="D257" s="141">
        <v>2000000</v>
      </c>
      <c r="E257" t="s">
        <v>355</v>
      </c>
      <c r="F257" s="20" t="s">
        <v>193</v>
      </c>
      <c r="G257" s="8" t="str">
        <f t="shared" si="3"/>
        <v>STAMBAUGH JAMES</v>
      </c>
    </row>
    <row r="258" spans="1:7" x14ac:dyDescent="0.25">
      <c r="A258" s="8">
        <v>42844.015416666669</v>
      </c>
      <c r="B258" t="s">
        <v>465</v>
      </c>
      <c r="C258" t="s">
        <v>474</v>
      </c>
      <c r="D258" s="141">
        <v>1810000</v>
      </c>
      <c r="E258" t="s">
        <v>373</v>
      </c>
      <c r="F258" s="20" t="s">
        <v>193</v>
      </c>
      <c r="G258" s="8" t="str">
        <f t="shared" si="3"/>
        <v>NEWELL JAMES</v>
      </c>
    </row>
    <row r="259" spans="1:7" x14ac:dyDescent="0.25">
      <c r="A259" s="8">
        <v>42844.027731481481</v>
      </c>
      <c r="B259" t="s">
        <v>399</v>
      </c>
      <c r="C259" t="s">
        <v>369</v>
      </c>
      <c r="D259" s="141">
        <v>1800000</v>
      </c>
      <c r="E259" t="s">
        <v>371</v>
      </c>
      <c r="F259" s="20" t="s">
        <v>372</v>
      </c>
      <c r="G259" s="8" t="str">
        <f t="shared" ref="G259:G322" si="4">E259&amp;" "&amp;F259</f>
        <v>CHANDLER KELVIN</v>
      </c>
    </row>
    <row r="260" spans="1:7" x14ac:dyDescent="0.25">
      <c r="A260" s="8">
        <v>42844.029895833337</v>
      </c>
      <c r="B260" t="s">
        <v>432</v>
      </c>
      <c r="C260" t="s">
        <v>363</v>
      </c>
      <c r="D260" s="141">
        <v>1740000</v>
      </c>
      <c r="E260" t="s">
        <v>374</v>
      </c>
      <c r="F260" s="20" t="s">
        <v>375</v>
      </c>
      <c r="G260" s="8" t="str">
        <f t="shared" si="4"/>
        <v>STORY SAMANTHA</v>
      </c>
    </row>
    <row r="261" spans="1:7" x14ac:dyDescent="0.25">
      <c r="A261" s="8">
        <v>42844.037569444445</v>
      </c>
      <c r="B261" t="s">
        <v>446</v>
      </c>
      <c r="C261" t="s">
        <v>471</v>
      </c>
      <c r="D261" s="141">
        <v>2730000</v>
      </c>
      <c r="E261" t="s">
        <v>469</v>
      </c>
      <c r="F261" s="20" t="s">
        <v>470</v>
      </c>
      <c r="G261" s="8" t="str">
        <f t="shared" si="4"/>
        <v>YANG JAN</v>
      </c>
    </row>
    <row r="262" spans="1:7" x14ac:dyDescent="0.25">
      <c r="A262" s="8">
        <v>42844.048020833332</v>
      </c>
      <c r="B262" t="s">
        <v>468</v>
      </c>
      <c r="C262" t="s">
        <v>364</v>
      </c>
      <c r="D262" s="141">
        <v>1810000</v>
      </c>
      <c r="E262" t="s">
        <v>373</v>
      </c>
      <c r="F262" s="20" t="s">
        <v>193</v>
      </c>
      <c r="G262" s="8" t="str">
        <f t="shared" si="4"/>
        <v>NEWELL JAMES</v>
      </c>
    </row>
    <row r="263" spans="1:7" x14ac:dyDescent="0.25">
      <c r="A263" s="8">
        <v>42844.058842592596</v>
      </c>
      <c r="B263" t="s">
        <v>390</v>
      </c>
      <c r="C263" t="s">
        <v>365</v>
      </c>
      <c r="D263" s="141">
        <v>2000000</v>
      </c>
      <c r="E263" t="s">
        <v>355</v>
      </c>
      <c r="F263" s="20" t="s">
        <v>193</v>
      </c>
      <c r="G263" s="8" t="str">
        <f t="shared" si="4"/>
        <v>STAMBAUGH JAMES</v>
      </c>
    </row>
    <row r="264" spans="1:7" x14ac:dyDescent="0.25">
      <c r="A264" s="8">
        <v>42844.069675925923</v>
      </c>
      <c r="B264" t="s">
        <v>421</v>
      </c>
      <c r="C264" t="s">
        <v>366</v>
      </c>
      <c r="D264" s="141">
        <v>1740000</v>
      </c>
      <c r="E264" t="s">
        <v>374</v>
      </c>
      <c r="F264" s="20" t="s">
        <v>375</v>
      </c>
      <c r="G264" s="8" t="str">
        <f t="shared" si="4"/>
        <v>STORY SAMANTHA</v>
      </c>
    </row>
    <row r="265" spans="1:7" x14ac:dyDescent="0.25">
      <c r="A265" s="8">
        <v>42844.094085648147</v>
      </c>
      <c r="B265" t="s">
        <v>357</v>
      </c>
      <c r="C265" t="s">
        <v>368</v>
      </c>
      <c r="D265" s="141">
        <v>2000000</v>
      </c>
      <c r="E265" t="s">
        <v>355</v>
      </c>
      <c r="F265" s="20" t="s">
        <v>193</v>
      </c>
      <c r="G265" s="8" t="str">
        <f t="shared" si="4"/>
        <v>STAMBAUGH JAMES</v>
      </c>
    </row>
    <row r="266" spans="1:7" x14ac:dyDescent="0.25">
      <c r="A266" s="8">
        <v>42829.978796296295</v>
      </c>
      <c r="B266" t="s">
        <v>358</v>
      </c>
      <c r="C266" t="s">
        <v>404</v>
      </c>
      <c r="D266" s="141">
        <v>2680000</v>
      </c>
      <c r="E266" t="s">
        <v>393</v>
      </c>
      <c r="F266" s="20" t="s">
        <v>394</v>
      </c>
      <c r="G266" s="8" t="str">
        <f t="shared" si="4"/>
        <v>DUNCAN SHEILA</v>
      </c>
    </row>
    <row r="267" spans="1:7" x14ac:dyDescent="0.25">
      <c r="A267" s="8">
        <v>42829.986134259256</v>
      </c>
      <c r="B267" t="s">
        <v>359</v>
      </c>
      <c r="C267" t="s">
        <v>402</v>
      </c>
      <c r="D267" s="141">
        <v>2680000</v>
      </c>
      <c r="E267" t="s">
        <v>393</v>
      </c>
      <c r="F267" s="20" t="s">
        <v>394</v>
      </c>
      <c r="G267" s="8" t="str">
        <f t="shared" si="4"/>
        <v>DUNCAN SHEILA</v>
      </c>
    </row>
    <row r="268" spans="1:7" x14ac:dyDescent="0.25">
      <c r="A268" s="8">
        <v>42829.993414351855</v>
      </c>
      <c r="B268" t="s">
        <v>385</v>
      </c>
      <c r="C268" t="s">
        <v>405</v>
      </c>
      <c r="D268" s="141">
        <v>1740000</v>
      </c>
      <c r="E268" t="s">
        <v>374</v>
      </c>
      <c r="F268" s="20" t="s">
        <v>375</v>
      </c>
      <c r="G268" s="8" t="str">
        <f t="shared" si="4"/>
        <v>STORY SAMANTHA</v>
      </c>
    </row>
    <row r="269" spans="1:7" x14ac:dyDescent="0.25">
      <c r="A269" s="8">
        <v>42829.995555555557</v>
      </c>
      <c r="B269" t="s">
        <v>378</v>
      </c>
      <c r="C269" t="s">
        <v>406</v>
      </c>
      <c r="D269" s="141">
        <v>1800000</v>
      </c>
      <c r="E269" t="s">
        <v>371</v>
      </c>
      <c r="F269" s="20" t="s">
        <v>372</v>
      </c>
      <c r="G269" s="8" t="str">
        <f t="shared" si="4"/>
        <v>CHANDLER KELVIN</v>
      </c>
    </row>
    <row r="270" spans="1:7" x14ac:dyDescent="0.25">
      <c r="A270" s="8">
        <v>42829.99732638889</v>
      </c>
      <c r="B270" t="s">
        <v>358</v>
      </c>
      <c r="C270" t="s">
        <v>404</v>
      </c>
      <c r="D270" s="141">
        <v>2680000</v>
      </c>
      <c r="E270" t="s">
        <v>393</v>
      </c>
      <c r="F270" s="20" t="s">
        <v>394</v>
      </c>
      <c r="G270" s="8" t="str">
        <f t="shared" si="4"/>
        <v>DUNCAN SHEILA</v>
      </c>
    </row>
    <row r="271" spans="1:7" x14ac:dyDescent="0.25">
      <c r="A271" s="8">
        <v>42830.005949074075</v>
      </c>
      <c r="B271" t="s">
        <v>359</v>
      </c>
      <c r="C271" t="s">
        <v>402</v>
      </c>
      <c r="D271" s="141">
        <v>2680000</v>
      </c>
      <c r="E271" t="s">
        <v>393</v>
      </c>
      <c r="F271" s="20" t="s">
        <v>394</v>
      </c>
      <c r="G271" s="8" t="str">
        <f t="shared" si="4"/>
        <v>DUNCAN SHEILA</v>
      </c>
    </row>
    <row r="272" spans="1:7" x14ac:dyDescent="0.25">
      <c r="A272" s="8">
        <v>42830.007650462961</v>
      </c>
      <c r="B272" t="s">
        <v>357</v>
      </c>
      <c r="C272" t="s">
        <v>407</v>
      </c>
      <c r="D272" s="141">
        <v>2970000</v>
      </c>
      <c r="E272" t="s">
        <v>400</v>
      </c>
      <c r="F272" s="20" t="s">
        <v>401</v>
      </c>
      <c r="G272" s="8" t="str">
        <f t="shared" si="4"/>
        <v>GUZMAN DANNY</v>
      </c>
    </row>
    <row r="273" spans="1:7" x14ac:dyDescent="0.25">
      <c r="A273" s="8">
        <v>42830.01048611111</v>
      </c>
      <c r="B273" t="s">
        <v>358</v>
      </c>
      <c r="C273" t="s">
        <v>404</v>
      </c>
      <c r="D273" s="141">
        <v>2680000</v>
      </c>
      <c r="E273" t="s">
        <v>393</v>
      </c>
      <c r="F273" s="20" t="s">
        <v>394</v>
      </c>
      <c r="G273" s="8" t="str">
        <f t="shared" si="4"/>
        <v>DUNCAN SHEILA</v>
      </c>
    </row>
    <row r="274" spans="1:7" x14ac:dyDescent="0.25">
      <c r="A274" s="8">
        <v>42830.014768518522</v>
      </c>
      <c r="B274" t="s">
        <v>359</v>
      </c>
      <c r="C274" t="s">
        <v>402</v>
      </c>
      <c r="D274" s="141">
        <v>2680000</v>
      </c>
      <c r="E274" t="s">
        <v>393</v>
      </c>
      <c r="F274" s="20" t="s">
        <v>394</v>
      </c>
      <c r="G274" s="8" t="str">
        <f t="shared" si="4"/>
        <v>DUNCAN SHEILA</v>
      </c>
    </row>
    <row r="275" spans="1:7" x14ac:dyDescent="0.25">
      <c r="A275" s="8">
        <v>42830.015636574077</v>
      </c>
      <c r="B275" t="s">
        <v>398</v>
      </c>
      <c r="C275" t="s">
        <v>408</v>
      </c>
      <c r="D275" s="141">
        <v>1810000</v>
      </c>
      <c r="E275" t="s">
        <v>373</v>
      </c>
      <c r="F275" s="20" t="s">
        <v>193</v>
      </c>
      <c r="G275" s="8" t="str">
        <f t="shared" si="4"/>
        <v>NEWELL JAMES</v>
      </c>
    </row>
    <row r="276" spans="1:7" x14ac:dyDescent="0.25">
      <c r="A276" s="8">
        <v>42830.018819444442</v>
      </c>
      <c r="B276" t="s">
        <v>358</v>
      </c>
      <c r="C276" t="s">
        <v>404</v>
      </c>
      <c r="D276" s="141">
        <v>2680000</v>
      </c>
      <c r="E276" t="s">
        <v>393</v>
      </c>
      <c r="F276" s="20" t="s">
        <v>394</v>
      </c>
      <c r="G276" s="8" t="str">
        <f t="shared" si="4"/>
        <v>DUNCAN SHEILA</v>
      </c>
    </row>
    <row r="277" spans="1:7" x14ac:dyDescent="0.25">
      <c r="A277" s="8">
        <v>42830.023252314815</v>
      </c>
      <c r="B277" t="s">
        <v>359</v>
      </c>
      <c r="C277" t="s">
        <v>402</v>
      </c>
      <c r="D277" s="141">
        <v>2680000</v>
      </c>
      <c r="E277" t="s">
        <v>393</v>
      </c>
      <c r="F277" s="20" t="s">
        <v>394</v>
      </c>
      <c r="G277" s="8" t="str">
        <f t="shared" si="4"/>
        <v>DUNCAN SHEILA</v>
      </c>
    </row>
    <row r="278" spans="1:7" x14ac:dyDescent="0.25">
      <c r="A278" s="8">
        <v>42830.027037037034</v>
      </c>
      <c r="B278" t="s">
        <v>358</v>
      </c>
      <c r="C278" t="s">
        <v>404</v>
      </c>
      <c r="D278" s="141">
        <v>2680000</v>
      </c>
      <c r="E278" t="s">
        <v>393</v>
      </c>
      <c r="F278" s="20" t="s">
        <v>394</v>
      </c>
      <c r="G278" s="8" t="str">
        <f t="shared" si="4"/>
        <v>DUNCAN SHEILA</v>
      </c>
    </row>
    <row r="279" spans="1:7" x14ac:dyDescent="0.25">
      <c r="A279" s="8">
        <v>42830.030289351853</v>
      </c>
      <c r="B279" t="s">
        <v>377</v>
      </c>
      <c r="C279" t="s">
        <v>409</v>
      </c>
      <c r="D279" s="141">
        <v>1800000</v>
      </c>
      <c r="E279" t="s">
        <v>371</v>
      </c>
      <c r="F279" s="20" t="s">
        <v>372</v>
      </c>
      <c r="G279" s="8" t="str">
        <f t="shared" si="4"/>
        <v>CHANDLER KELVIN</v>
      </c>
    </row>
    <row r="280" spans="1:7" x14ac:dyDescent="0.25">
      <c r="A280" s="8">
        <v>42830.037499999999</v>
      </c>
      <c r="B280" t="s">
        <v>389</v>
      </c>
      <c r="C280" t="s">
        <v>410</v>
      </c>
      <c r="D280" s="141">
        <v>1740000</v>
      </c>
      <c r="E280" t="s">
        <v>374</v>
      </c>
      <c r="F280" s="20" t="s">
        <v>375</v>
      </c>
      <c r="G280" s="8" t="str">
        <f t="shared" si="4"/>
        <v>STORY SAMANTHA</v>
      </c>
    </row>
    <row r="281" spans="1:7" x14ac:dyDescent="0.25">
      <c r="A281" s="8">
        <v>42830.048020833332</v>
      </c>
      <c r="B281" t="s">
        <v>390</v>
      </c>
      <c r="C281" t="s">
        <v>411</v>
      </c>
      <c r="D281" s="141">
        <v>2970000</v>
      </c>
      <c r="E281" t="s">
        <v>400</v>
      </c>
      <c r="F281" s="20" t="s">
        <v>401</v>
      </c>
      <c r="G281" s="8" t="str">
        <f t="shared" si="4"/>
        <v>GUZMAN DANNY</v>
      </c>
    </row>
    <row r="282" spans="1:7" x14ac:dyDescent="0.25">
      <c r="A282" s="8">
        <v>42830.049016203702</v>
      </c>
      <c r="B282" t="s">
        <v>397</v>
      </c>
      <c r="C282" t="s">
        <v>412</v>
      </c>
      <c r="D282" s="141">
        <v>1810000</v>
      </c>
      <c r="E282" t="s">
        <v>373</v>
      </c>
      <c r="F282" s="20" t="s">
        <v>193</v>
      </c>
      <c r="G282" s="8" t="str">
        <f t="shared" si="4"/>
        <v>NEWELL JAMES</v>
      </c>
    </row>
    <row r="283" spans="1:7" x14ac:dyDescent="0.25">
      <c r="A283" s="8">
        <v>42830.069097222222</v>
      </c>
      <c r="B283" t="s">
        <v>385</v>
      </c>
      <c r="C283" t="s">
        <v>413</v>
      </c>
      <c r="D283" s="141">
        <v>1740000</v>
      </c>
      <c r="E283" t="s">
        <v>374</v>
      </c>
      <c r="F283" s="20" t="s">
        <v>375</v>
      </c>
      <c r="G283" s="8" t="str">
        <f t="shared" si="4"/>
        <v>STORY SAMANTHA</v>
      </c>
    </row>
    <row r="284" spans="1:7" x14ac:dyDescent="0.25">
      <c r="A284" s="8">
        <v>42830.07236111111</v>
      </c>
      <c r="B284" t="s">
        <v>359</v>
      </c>
      <c r="C284" t="s">
        <v>402</v>
      </c>
      <c r="D284" s="141">
        <v>2680000</v>
      </c>
      <c r="E284" t="s">
        <v>393</v>
      </c>
      <c r="F284" s="20" t="s">
        <v>394</v>
      </c>
      <c r="G284" s="8" t="str">
        <f t="shared" si="4"/>
        <v>DUNCAN SHEILA</v>
      </c>
    </row>
    <row r="285" spans="1:7" x14ac:dyDescent="0.25">
      <c r="A285" s="8">
        <v>42830.073888888888</v>
      </c>
      <c r="B285" t="s">
        <v>359</v>
      </c>
      <c r="C285" t="s">
        <v>402</v>
      </c>
      <c r="D285" s="141">
        <v>2680000</v>
      </c>
      <c r="E285" t="s">
        <v>393</v>
      </c>
      <c r="F285" s="20" t="s">
        <v>394</v>
      </c>
      <c r="G285" s="8" t="str">
        <f t="shared" si="4"/>
        <v>DUNCAN SHEILA</v>
      </c>
    </row>
    <row r="286" spans="1:7" x14ac:dyDescent="0.25">
      <c r="A286" s="8">
        <v>42830.087951388887</v>
      </c>
      <c r="B286" t="s">
        <v>357</v>
      </c>
      <c r="C286" t="s">
        <v>414</v>
      </c>
      <c r="D286" s="141">
        <v>2970000</v>
      </c>
      <c r="E286" t="s">
        <v>400</v>
      </c>
      <c r="F286" s="20" t="s">
        <v>401</v>
      </c>
      <c r="G286" s="8" t="str">
        <f t="shared" si="4"/>
        <v>GUZMAN DANNY</v>
      </c>
    </row>
    <row r="287" spans="1:7" x14ac:dyDescent="0.25">
      <c r="A287" s="8">
        <v>42813.04420138889</v>
      </c>
      <c r="B287" t="s">
        <v>199</v>
      </c>
      <c r="C287" t="s">
        <v>363</v>
      </c>
      <c r="D287" s="141">
        <v>2230000</v>
      </c>
      <c r="E287" t="s">
        <v>360</v>
      </c>
      <c r="F287" s="20" t="s">
        <v>196</v>
      </c>
      <c r="G287" s="8" t="str">
        <f t="shared" si="4"/>
        <v>SMITH MICHAEL</v>
      </c>
    </row>
    <row r="288" spans="1:7" x14ac:dyDescent="0.25">
      <c r="A288" s="8">
        <v>42813.047638888886</v>
      </c>
      <c r="B288" t="s">
        <v>356</v>
      </c>
      <c r="C288" t="s">
        <v>364</v>
      </c>
      <c r="D288" s="141">
        <v>2000000</v>
      </c>
      <c r="E288" t="s">
        <v>355</v>
      </c>
      <c r="F288" s="20" t="s">
        <v>193</v>
      </c>
      <c r="G288" s="8" t="str">
        <f t="shared" si="4"/>
        <v>STAMBAUGH JAMES</v>
      </c>
    </row>
    <row r="289" spans="1:7" x14ac:dyDescent="0.25">
      <c r="A289" s="8">
        <v>42813.055462962962</v>
      </c>
      <c r="B289" t="s">
        <v>361</v>
      </c>
      <c r="C289" t="s">
        <v>365</v>
      </c>
      <c r="D289" s="141">
        <v>2150000</v>
      </c>
      <c r="E289" t="s">
        <v>351</v>
      </c>
      <c r="F289" s="20" t="s">
        <v>352</v>
      </c>
      <c r="G289" s="8" t="str">
        <f t="shared" si="4"/>
        <v>SWANSON BRYCE</v>
      </c>
    </row>
    <row r="290" spans="1:7" x14ac:dyDescent="0.25">
      <c r="A290" s="8">
        <v>42813.056620370371</v>
      </c>
      <c r="B290" t="s">
        <v>361</v>
      </c>
      <c r="C290" t="s">
        <v>365</v>
      </c>
      <c r="D290" s="141">
        <v>2150000</v>
      </c>
      <c r="E290" t="s">
        <v>351</v>
      </c>
      <c r="F290" s="20" t="s">
        <v>352</v>
      </c>
      <c r="G290" s="8" t="str">
        <f t="shared" si="4"/>
        <v>SWANSON BRYCE</v>
      </c>
    </row>
    <row r="291" spans="1:7" x14ac:dyDescent="0.25">
      <c r="A291" s="8">
        <v>42813.057199074072</v>
      </c>
      <c r="B291" t="s">
        <v>361</v>
      </c>
      <c r="C291" t="s">
        <v>365</v>
      </c>
      <c r="D291" s="141">
        <v>2150000</v>
      </c>
      <c r="E291" t="s">
        <v>351</v>
      </c>
      <c r="F291" s="20" t="s">
        <v>352</v>
      </c>
      <c r="G291" s="8" t="str">
        <f t="shared" si="4"/>
        <v>SWANSON BRYCE</v>
      </c>
    </row>
    <row r="292" spans="1:7" x14ac:dyDescent="0.25">
      <c r="A292" s="8">
        <v>42813.078009259261</v>
      </c>
      <c r="B292" t="s">
        <v>362</v>
      </c>
      <c r="C292" t="s">
        <v>366</v>
      </c>
      <c r="D292" s="141">
        <v>2230000</v>
      </c>
      <c r="E292" t="s">
        <v>360</v>
      </c>
      <c r="F292" s="20" t="s">
        <v>196</v>
      </c>
      <c r="G292" s="8" t="str">
        <f t="shared" si="4"/>
        <v>SMITH MICHAEL</v>
      </c>
    </row>
    <row r="293" spans="1:7" x14ac:dyDescent="0.25">
      <c r="A293" s="8">
        <v>42813.079247685186</v>
      </c>
      <c r="B293" t="s">
        <v>353</v>
      </c>
      <c r="C293" t="s">
        <v>367</v>
      </c>
      <c r="D293" s="141">
        <v>2270000</v>
      </c>
      <c r="E293" t="s">
        <v>206</v>
      </c>
      <c r="F293" s="20" t="s">
        <v>207</v>
      </c>
      <c r="G293" s="8" t="str">
        <f t="shared" si="4"/>
        <v>BROWN JACOB</v>
      </c>
    </row>
    <row r="294" spans="1:7" x14ac:dyDescent="0.25">
      <c r="A294" s="8">
        <v>42813.079872685186</v>
      </c>
      <c r="B294" t="s">
        <v>353</v>
      </c>
      <c r="C294" t="s">
        <v>367</v>
      </c>
      <c r="D294" s="141">
        <v>2270000</v>
      </c>
      <c r="E294" t="s">
        <v>206</v>
      </c>
      <c r="F294" s="20" t="s">
        <v>207</v>
      </c>
      <c r="G294" s="8" t="str">
        <f t="shared" si="4"/>
        <v>BROWN JACOB</v>
      </c>
    </row>
    <row r="295" spans="1:7" x14ac:dyDescent="0.25">
      <c r="A295" s="8">
        <v>42813.080451388887</v>
      </c>
      <c r="B295" t="s">
        <v>353</v>
      </c>
      <c r="C295" t="s">
        <v>367</v>
      </c>
      <c r="D295" s="141">
        <v>2270000</v>
      </c>
      <c r="E295" t="s">
        <v>206</v>
      </c>
      <c r="F295" s="20" t="s">
        <v>207</v>
      </c>
      <c r="G295" s="8" t="str">
        <f t="shared" si="4"/>
        <v>BROWN JACOB</v>
      </c>
    </row>
    <row r="296" spans="1:7" x14ac:dyDescent="0.25">
      <c r="A296" s="8">
        <v>42813.093668981484</v>
      </c>
      <c r="B296" t="s">
        <v>359</v>
      </c>
      <c r="C296" t="s">
        <v>368</v>
      </c>
      <c r="D296" s="141">
        <v>2150000</v>
      </c>
      <c r="E296" t="s">
        <v>351</v>
      </c>
      <c r="F296" s="20" t="s">
        <v>352</v>
      </c>
      <c r="G296" s="8" t="str">
        <f t="shared" si="4"/>
        <v>SWANSON BRYCE</v>
      </c>
    </row>
    <row r="297" spans="1:7" x14ac:dyDescent="0.25">
      <c r="A297" s="8">
        <v>42813.112708333334</v>
      </c>
      <c r="B297" t="s">
        <v>354</v>
      </c>
      <c r="C297" t="s">
        <v>369</v>
      </c>
      <c r="D297" s="141">
        <v>2270000</v>
      </c>
      <c r="E297" t="s">
        <v>206</v>
      </c>
      <c r="F297" s="20" t="s">
        <v>207</v>
      </c>
      <c r="G297" s="8" t="str">
        <f t="shared" si="4"/>
        <v>BROWN JACOB</v>
      </c>
    </row>
    <row r="298" spans="1:7" x14ac:dyDescent="0.25">
      <c r="F298" s="20">
        <f t="shared" ref="F298:F345" si="5">B298</f>
        <v>0</v>
      </c>
      <c r="G298" s="8" t="str">
        <f t="shared" si="4"/>
        <v xml:space="preserve"> 0</v>
      </c>
    </row>
    <row r="299" spans="1:7" x14ac:dyDescent="0.25">
      <c r="F299" s="20">
        <f t="shared" si="5"/>
        <v>0</v>
      </c>
      <c r="G299" s="8" t="str">
        <f t="shared" si="4"/>
        <v xml:space="preserve"> 0</v>
      </c>
    </row>
    <row r="300" spans="1:7" x14ac:dyDescent="0.25">
      <c r="F300" s="20">
        <f t="shared" si="5"/>
        <v>0</v>
      </c>
      <c r="G300" s="8" t="str">
        <f t="shared" si="4"/>
        <v xml:space="preserve"> 0</v>
      </c>
    </row>
    <row r="301" spans="1:7" x14ac:dyDescent="0.25">
      <c r="F301" s="20">
        <f t="shared" si="5"/>
        <v>0</v>
      </c>
      <c r="G301" s="8" t="str">
        <f t="shared" si="4"/>
        <v xml:space="preserve"> 0</v>
      </c>
    </row>
    <row r="302" spans="1:7" x14ac:dyDescent="0.25">
      <c r="F302" s="20">
        <f t="shared" si="5"/>
        <v>0</v>
      </c>
      <c r="G302" s="8" t="str">
        <f t="shared" si="4"/>
        <v xml:space="preserve"> 0</v>
      </c>
    </row>
    <row r="303" spans="1:7" x14ac:dyDescent="0.25">
      <c r="F303" s="20">
        <f t="shared" si="5"/>
        <v>0</v>
      </c>
      <c r="G303" s="8" t="str">
        <f t="shared" si="4"/>
        <v xml:space="preserve"> 0</v>
      </c>
    </row>
    <row r="304" spans="1:7" x14ac:dyDescent="0.25">
      <c r="F304" s="20">
        <f t="shared" si="5"/>
        <v>0</v>
      </c>
      <c r="G304" s="8" t="str">
        <f t="shared" si="4"/>
        <v xml:space="preserve"> 0</v>
      </c>
    </row>
    <row r="305" spans="6:7" x14ac:dyDescent="0.25">
      <c r="F305" s="20">
        <f t="shared" si="5"/>
        <v>0</v>
      </c>
      <c r="G305" s="8" t="str">
        <f t="shared" si="4"/>
        <v xml:space="preserve"> 0</v>
      </c>
    </row>
    <row r="306" spans="6:7" x14ac:dyDescent="0.25">
      <c r="F306" s="20">
        <f t="shared" si="5"/>
        <v>0</v>
      </c>
      <c r="G306" s="8" t="str">
        <f t="shared" si="4"/>
        <v xml:space="preserve"> 0</v>
      </c>
    </row>
    <row r="307" spans="6:7" x14ac:dyDescent="0.25">
      <c r="F307" s="20">
        <f t="shared" si="5"/>
        <v>0</v>
      </c>
      <c r="G307" s="8" t="str">
        <f t="shared" si="4"/>
        <v xml:space="preserve"> 0</v>
      </c>
    </row>
    <row r="308" spans="6:7" x14ac:dyDescent="0.25">
      <c r="F308" s="20">
        <f t="shared" si="5"/>
        <v>0</v>
      </c>
      <c r="G308" s="8" t="str">
        <f t="shared" si="4"/>
        <v xml:space="preserve"> 0</v>
      </c>
    </row>
    <row r="309" spans="6:7" x14ac:dyDescent="0.25">
      <c r="F309" s="20">
        <f t="shared" si="5"/>
        <v>0</v>
      </c>
      <c r="G309" s="8" t="str">
        <f t="shared" si="4"/>
        <v xml:space="preserve"> 0</v>
      </c>
    </row>
    <row r="310" spans="6:7" x14ac:dyDescent="0.25">
      <c r="F310" s="20">
        <f t="shared" si="5"/>
        <v>0</v>
      </c>
      <c r="G310" s="8" t="str">
        <f t="shared" si="4"/>
        <v xml:space="preserve"> 0</v>
      </c>
    </row>
    <row r="311" spans="6:7" x14ac:dyDescent="0.25">
      <c r="F311" s="20">
        <f t="shared" si="5"/>
        <v>0</v>
      </c>
      <c r="G311" s="8" t="str">
        <f t="shared" si="4"/>
        <v xml:space="preserve"> 0</v>
      </c>
    </row>
    <row r="312" spans="6:7" x14ac:dyDescent="0.25">
      <c r="F312" s="20">
        <f t="shared" si="5"/>
        <v>0</v>
      </c>
      <c r="G312" s="8" t="str">
        <f t="shared" si="4"/>
        <v xml:space="preserve"> 0</v>
      </c>
    </row>
    <row r="313" spans="6:7" x14ac:dyDescent="0.25">
      <c r="F313" s="20">
        <f t="shared" si="5"/>
        <v>0</v>
      </c>
      <c r="G313" s="8" t="str">
        <f t="shared" si="4"/>
        <v xml:space="preserve"> 0</v>
      </c>
    </row>
    <row r="314" spans="6:7" x14ac:dyDescent="0.25">
      <c r="F314" s="20">
        <f t="shared" si="5"/>
        <v>0</v>
      </c>
      <c r="G314" s="8" t="str">
        <f t="shared" si="4"/>
        <v xml:space="preserve"> 0</v>
      </c>
    </row>
    <row r="315" spans="6:7" x14ac:dyDescent="0.25">
      <c r="F315" s="20">
        <f t="shared" si="5"/>
        <v>0</v>
      </c>
      <c r="G315" s="8" t="str">
        <f t="shared" si="4"/>
        <v xml:space="preserve"> 0</v>
      </c>
    </row>
    <row r="316" spans="6:7" x14ac:dyDescent="0.25">
      <c r="F316" s="20">
        <f t="shared" si="5"/>
        <v>0</v>
      </c>
      <c r="G316" s="8" t="str">
        <f t="shared" si="4"/>
        <v xml:space="preserve"> 0</v>
      </c>
    </row>
    <row r="317" spans="6:7" x14ac:dyDescent="0.25">
      <c r="F317" s="20">
        <f t="shared" si="5"/>
        <v>0</v>
      </c>
      <c r="G317" s="8" t="str">
        <f t="shared" si="4"/>
        <v xml:space="preserve"> 0</v>
      </c>
    </row>
    <row r="318" spans="6:7" x14ac:dyDescent="0.25">
      <c r="F318" s="20">
        <f t="shared" si="5"/>
        <v>0</v>
      </c>
      <c r="G318" s="8" t="str">
        <f t="shared" si="4"/>
        <v xml:space="preserve"> 0</v>
      </c>
    </row>
    <row r="319" spans="6:7" x14ac:dyDescent="0.25">
      <c r="F319" s="20">
        <f t="shared" si="5"/>
        <v>0</v>
      </c>
      <c r="G319" s="8" t="str">
        <f t="shared" si="4"/>
        <v xml:space="preserve"> 0</v>
      </c>
    </row>
    <row r="320" spans="6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44" customWidth="1"/>
    <col min="2" max="2" width="8.42578125" style="144" bestFit="1" customWidth="1"/>
    <col min="3" max="3" width="12.5703125" style="144" bestFit="1" customWidth="1"/>
    <col min="4" max="4" width="18.5703125" style="133" bestFit="1" customWidth="1"/>
    <col min="5" max="5" width="9.85546875" style="144" bestFit="1" customWidth="1"/>
    <col min="6" max="6" width="9" style="144" bestFit="1" customWidth="1"/>
    <col min="7" max="7" width="8.85546875" style="144" bestFit="1" customWidth="1"/>
    <col min="8" max="8" width="14" style="144" bestFit="1" customWidth="1"/>
    <col min="9" max="9" width="21.140625" style="144" bestFit="1" customWidth="1"/>
    <col min="10" max="10" width="8.7109375" style="144" bestFit="1" customWidth="1"/>
    <col min="11" max="11" width="11.28515625" style="144" bestFit="1" customWidth="1"/>
    <col min="12" max="12" width="11" style="144" bestFit="1" customWidth="1"/>
    <col min="13" max="13" width="11.28515625" style="144" bestFit="1" customWidth="1"/>
    <col min="14" max="14" width="13.7109375" style="144" bestFit="1" customWidth="1"/>
    <col min="15" max="15" width="14.85546875" style="144" bestFit="1" customWidth="1"/>
    <col min="16" max="16" width="16.7109375" style="144" bestFit="1" customWidth="1"/>
    <col min="17" max="17" width="9.42578125" style="113" bestFit="1" customWidth="1"/>
    <col min="18" max="16384" width="9.140625" style="113"/>
  </cols>
  <sheetData>
    <row r="1" spans="1:18" s="114" customFormat="1" x14ac:dyDescent="0.25">
      <c r="A1" s="160" t="s">
        <v>162</v>
      </c>
      <c r="B1" s="160" t="s">
        <v>165</v>
      </c>
      <c r="C1" s="160" t="s">
        <v>158</v>
      </c>
      <c r="D1" s="139" t="s">
        <v>170</v>
      </c>
      <c r="E1" s="160" t="s">
        <v>159</v>
      </c>
      <c r="F1" s="160" t="s">
        <v>157</v>
      </c>
      <c r="G1" s="160" t="s">
        <v>155</v>
      </c>
      <c r="H1" s="160" t="s">
        <v>168</v>
      </c>
      <c r="I1" s="160" t="s">
        <v>169</v>
      </c>
      <c r="J1" s="160" t="s">
        <v>509</v>
      </c>
      <c r="K1" s="160" t="s">
        <v>163</v>
      </c>
      <c r="L1" s="160" t="s">
        <v>161</v>
      </c>
      <c r="M1" s="160" t="s">
        <v>156</v>
      </c>
      <c r="N1" s="160" t="s">
        <v>166</v>
      </c>
      <c r="O1" s="160" t="s">
        <v>160</v>
      </c>
      <c r="P1" s="160" t="s">
        <v>167</v>
      </c>
      <c r="Q1" s="160" t="s">
        <v>164</v>
      </c>
      <c r="R1"/>
    </row>
    <row r="2" spans="1:18" x14ac:dyDescent="0.25">
      <c r="A2" s="157">
        <v>43.13</v>
      </c>
      <c r="B2" s="157">
        <v>0.17</v>
      </c>
      <c r="C2" s="157">
        <v>31.23</v>
      </c>
      <c r="D2" s="8">
        <v>42848</v>
      </c>
      <c r="E2" s="157">
        <v>0.56999999999999995</v>
      </c>
      <c r="F2" s="157" t="s">
        <v>826</v>
      </c>
      <c r="G2" s="157">
        <v>313.61</v>
      </c>
      <c r="H2" s="157">
        <v>0</v>
      </c>
      <c r="I2" s="157">
        <v>0</v>
      </c>
      <c r="J2" s="157"/>
      <c r="K2" s="157">
        <v>1019.87</v>
      </c>
      <c r="L2" s="157" t="s">
        <v>827</v>
      </c>
      <c r="M2" s="157">
        <v>45.7</v>
      </c>
      <c r="N2" s="157">
        <v>1492927200</v>
      </c>
      <c r="O2" s="157">
        <v>4.87</v>
      </c>
      <c r="P2" s="157">
        <v>179</v>
      </c>
      <c r="Q2" s="157">
        <v>5.0599999999999996</v>
      </c>
      <c r="R2"/>
    </row>
    <row r="3" spans="1:18" x14ac:dyDescent="0.25">
      <c r="A3" s="157">
        <v>42.31</v>
      </c>
      <c r="B3" s="157">
        <v>0.17</v>
      </c>
      <c r="C3" s="157">
        <v>30.71</v>
      </c>
      <c r="D3" s="8">
        <v>42848.041666666664</v>
      </c>
      <c r="E3" s="157">
        <v>0.57999999999999996</v>
      </c>
      <c r="F3" s="157" t="s">
        <v>826</v>
      </c>
      <c r="G3" s="157">
        <v>312.38</v>
      </c>
      <c r="H3" s="157">
        <v>0</v>
      </c>
      <c r="I3" s="157">
        <v>0</v>
      </c>
      <c r="J3" s="157"/>
      <c r="K3" s="157">
        <v>1019.37</v>
      </c>
      <c r="L3" s="157" t="s">
        <v>827</v>
      </c>
      <c r="M3" s="157">
        <v>44.76</v>
      </c>
      <c r="N3" s="157">
        <v>1492930800</v>
      </c>
      <c r="O3" s="157">
        <v>10</v>
      </c>
      <c r="P3" s="157">
        <v>173</v>
      </c>
      <c r="Q3" s="157">
        <v>4.6500000000000004</v>
      </c>
      <c r="R3"/>
    </row>
    <row r="4" spans="1:18" x14ac:dyDescent="0.25">
      <c r="A4" s="157">
        <v>41.56</v>
      </c>
      <c r="B4" s="157">
        <v>0.2</v>
      </c>
      <c r="C4" s="157">
        <v>30.46</v>
      </c>
      <c r="D4" s="8">
        <v>42848.083333333336</v>
      </c>
      <c r="E4" s="157">
        <v>0.59</v>
      </c>
      <c r="F4" s="157" t="s">
        <v>826</v>
      </c>
      <c r="G4" s="157">
        <v>311.14</v>
      </c>
      <c r="H4" s="157">
        <v>0</v>
      </c>
      <c r="I4" s="157">
        <v>0</v>
      </c>
      <c r="J4" s="157"/>
      <c r="K4" s="157">
        <v>1018.86</v>
      </c>
      <c r="L4" s="157" t="s">
        <v>827</v>
      </c>
      <c r="M4" s="157">
        <v>43.98</v>
      </c>
      <c r="N4" s="157">
        <v>1492934400</v>
      </c>
      <c r="O4" s="157">
        <v>5.3</v>
      </c>
      <c r="P4" s="157">
        <v>185</v>
      </c>
      <c r="Q4" s="157">
        <v>4.43</v>
      </c>
      <c r="R4"/>
    </row>
    <row r="5" spans="1:18" x14ac:dyDescent="0.25">
      <c r="A5" s="157">
        <v>40.130000000000003</v>
      </c>
      <c r="B5" s="157">
        <v>0.21</v>
      </c>
      <c r="C5" s="157">
        <v>29.39</v>
      </c>
      <c r="D5" s="8">
        <v>42848.125</v>
      </c>
      <c r="E5" s="157">
        <v>0.6</v>
      </c>
      <c r="F5" s="157" t="s">
        <v>826</v>
      </c>
      <c r="G5" s="157">
        <v>309.91000000000003</v>
      </c>
      <c r="H5" s="157">
        <v>0</v>
      </c>
      <c r="I5" s="157">
        <v>0</v>
      </c>
      <c r="J5" s="157"/>
      <c r="K5" s="157">
        <v>1018.32</v>
      </c>
      <c r="L5" s="157" t="s">
        <v>827</v>
      </c>
      <c r="M5" s="157">
        <v>42.47</v>
      </c>
      <c r="N5" s="157">
        <v>1492938000</v>
      </c>
      <c r="O5" s="157">
        <v>4.96</v>
      </c>
      <c r="P5" s="157">
        <v>201</v>
      </c>
      <c r="Q5" s="157">
        <v>4.04</v>
      </c>
      <c r="R5"/>
    </row>
    <row r="6" spans="1:18" x14ac:dyDescent="0.25">
      <c r="A6" s="157">
        <v>39.43</v>
      </c>
      <c r="B6" s="157">
        <v>0.2</v>
      </c>
      <c r="C6" s="157">
        <v>28.66</v>
      </c>
      <c r="D6" s="8">
        <v>42848.166666666664</v>
      </c>
      <c r="E6" s="157">
        <v>0.6</v>
      </c>
      <c r="F6" s="157" t="s">
        <v>826</v>
      </c>
      <c r="G6" s="157">
        <v>308.79000000000002</v>
      </c>
      <c r="H6" s="157">
        <v>0</v>
      </c>
      <c r="I6" s="157">
        <v>0</v>
      </c>
      <c r="J6" s="157"/>
      <c r="K6" s="157">
        <v>1017.6</v>
      </c>
      <c r="L6" s="157" t="s">
        <v>827</v>
      </c>
      <c r="M6" s="157">
        <v>41.46</v>
      </c>
      <c r="N6" s="157">
        <v>1492941600</v>
      </c>
      <c r="O6" s="157">
        <v>5.29</v>
      </c>
      <c r="P6" s="157">
        <v>208</v>
      </c>
      <c r="Q6" s="157">
        <v>3.54</v>
      </c>
      <c r="R6"/>
    </row>
    <row r="7" spans="1:18" x14ac:dyDescent="0.25">
      <c r="A7" s="157">
        <v>38.36</v>
      </c>
      <c r="B7" s="157">
        <v>0.27</v>
      </c>
      <c r="C7" s="157">
        <v>28.46</v>
      </c>
      <c r="D7" s="8">
        <v>42848.208333333336</v>
      </c>
      <c r="E7" s="157">
        <v>0.63</v>
      </c>
      <c r="F7" s="157" t="s">
        <v>422</v>
      </c>
      <c r="G7" s="157">
        <v>307.70999999999998</v>
      </c>
      <c r="H7" s="157">
        <v>0</v>
      </c>
      <c r="I7" s="157">
        <v>0</v>
      </c>
      <c r="J7" s="157"/>
      <c r="K7" s="157">
        <v>1016.75</v>
      </c>
      <c r="L7" s="157" t="s">
        <v>344</v>
      </c>
      <c r="M7" s="157">
        <v>40.11</v>
      </c>
      <c r="N7" s="157">
        <v>1492945200</v>
      </c>
      <c r="O7" s="157">
        <v>6.34</v>
      </c>
      <c r="P7" s="157">
        <v>228</v>
      </c>
      <c r="Q7" s="157">
        <v>3.11</v>
      </c>
      <c r="R7"/>
    </row>
    <row r="8" spans="1:18" x14ac:dyDescent="0.25">
      <c r="A8" s="157">
        <v>40.01</v>
      </c>
      <c r="B8" s="157">
        <v>0.31</v>
      </c>
      <c r="C8" s="157">
        <v>28.58</v>
      </c>
      <c r="D8" s="8">
        <v>42848.25</v>
      </c>
      <c r="E8" s="157">
        <v>0.63</v>
      </c>
      <c r="F8" s="157" t="s">
        <v>422</v>
      </c>
      <c r="G8" s="157">
        <v>306.62</v>
      </c>
      <c r="H8" s="157">
        <v>0</v>
      </c>
      <c r="I8" s="157">
        <v>0</v>
      </c>
      <c r="J8" s="157"/>
      <c r="K8" s="157">
        <v>1015.9</v>
      </c>
      <c r="L8" s="157" t="s">
        <v>344</v>
      </c>
      <c r="M8" s="157">
        <v>40.01</v>
      </c>
      <c r="N8" s="157">
        <v>1492948800</v>
      </c>
      <c r="O8" s="157">
        <v>6.1</v>
      </c>
      <c r="P8" s="157">
        <v>240</v>
      </c>
      <c r="Q8" s="157">
        <v>2.46</v>
      </c>
      <c r="R8"/>
    </row>
    <row r="9" spans="1:18" x14ac:dyDescent="0.25">
      <c r="A9" s="157">
        <v>41.34</v>
      </c>
      <c r="B9" s="157">
        <v>0.39</v>
      </c>
      <c r="C9" s="157">
        <v>28.72</v>
      </c>
      <c r="D9" s="8">
        <v>42848.291666666664</v>
      </c>
      <c r="E9" s="157">
        <v>0.61</v>
      </c>
      <c r="F9" s="157" t="s">
        <v>434</v>
      </c>
      <c r="G9" s="157">
        <v>305.47000000000003</v>
      </c>
      <c r="H9" s="157">
        <v>0</v>
      </c>
      <c r="I9" s="157">
        <v>0</v>
      </c>
      <c r="J9" s="157"/>
      <c r="K9" s="157">
        <v>1014.89</v>
      </c>
      <c r="L9" s="157" t="s">
        <v>344</v>
      </c>
      <c r="M9" s="157">
        <v>41.34</v>
      </c>
      <c r="N9" s="157">
        <v>1492952400</v>
      </c>
      <c r="O9" s="157">
        <v>5.13</v>
      </c>
      <c r="P9" s="157">
        <v>230</v>
      </c>
      <c r="Q9" s="157">
        <v>2.31</v>
      </c>
      <c r="R9"/>
    </row>
    <row r="10" spans="1:18" x14ac:dyDescent="0.25">
      <c r="A10" s="157">
        <v>45.85</v>
      </c>
      <c r="B10" s="157">
        <v>0.5</v>
      </c>
      <c r="C10" s="157">
        <v>30.37</v>
      </c>
      <c r="D10" s="8">
        <v>42848.333333333336</v>
      </c>
      <c r="E10" s="157">
        <v>0.54</v>
      </c>
      <c r="F10" s="157" t="s">
        <v>434</v>
      </c>
      <c r="G10" s="157">
        <v>304.31</v>
      </c>
      <c r="H10" s="157">
        <v>0</v>
      </c>
      <c r="I10" s="157">
        <v>0</v>
      </c>
      <c r="J10" s="157"/>
      <c r="K10" s="157">
        <v>1013.73</v>
      </c>
      <c r="L10" s="157" t="s">
        <v>344</v>
      </c>
      <c r="M10" s="157">
        <v>45.85</v>
      </c>
      <c r="N10" s="157">
        <v>1492956000</v>
      </c>
      <c r="O10" s="157">
        <v>4.62</v>
      </c>
      <c r="P10" s="157">
        <v>217</v>
      </c>
      <c r="Q10" s="157">
        <v>2.52</v>
      </c>
      <c r="R10"/>
    </row>
    <row r="11" spans="1:18" x14ac:dyDescent="0.25">
      <c r="A11" s="157">
        <v>50.76</v>
      </c>
      <c r="B11" s="157">
        <v>0.51</v>
      </c>
      <c r="C11" s="157">
        <v>30.87</v>
      </c>
      <c r="D11" s="8">
        <v>42848.375</v>
      </c>
      <c r="E11" s="157">
        <v>0.46</v>
      </c>
      <c r="F11" s="157" t="s">
        <v>434</v>
      </c>
      <c r="G11" s="157">
        <v>303.23</v>
      </c>
      <c r="H11" s="157">
        <v>0</v>
      </c>
      <c r="I11" s="157">
        <v>0</v>
      </c>
      <c r="J11" s="157"/>
      <c r="K11" s="157">
        <v>1012.48</v>
      </c>
      <c r="L11" s="157" t="s">
        <v>344</v>
      </c>
      <c r="M11" s="157">
        <v>50.76</v>
      </c>
      <c r="N11" s="157">
        <v>1492959600</v>
      </c>
      <c r="O11" s="157">
        <v>4.45</v>
      </c>
      <c r="P11" s="157">
        <v>207</v>
      </c>
      <c r="Q11" s="157">
        <v>2.54</v>
      </c>
      <c r="R11"/>
    </row>
    <row r="12" spans="1:18" x14ac:dyDescent="0.25">
      <c r="A12" s="157">
        <v>54.79</v>
      </c>
      <c r="B12" s="157">
        <v>0.65</v>
      </c>
      <c r="C12" s="157">
        <v>33.020000000000003</v>
      </c>
      <c r="D12" s="8">
        <v>42848.416666666664</v>
      </c>
      <c r="E12" s="157">
        <v>0.43</v>
      </c>
      <c r="F12" s="157" t="s">
        <v>434</v>
      </c>
      <c r="G12" s="157">
        <v>302.04000000000002</v>
      </c>
      <c r="H12" s="157">
        <v>0</v>
      </c>
      <c r="I12" s="157">
        <v>0</v>
      </c>
      <c r="J12" s="157"/>
      <c r="K12" s="157">
        <v>1011.25</v>
      </c>
      <c r="L12" s="157" t="s">
        <v>457</v>
      </c>
      <c r="M12" s="157">
        <v>54.79</v>
      </c>
      <c r="N12" s="157">
        <v>1492963200</v>
      </c>
      <c r="O12" s="157">
        <v>2.95</v>
      </c>
      <c r="P12" s="157">
        <v>166</v>
      </c>
      <c r="Q12" s="157">
        <v>1.97</v>
      </c>
      <c r="R12"/>
    </row>
    <row r="13" spans="1:18" x14ac:dyDescent="0.25">
      <c r="A13" s="157">
        <v>59.97</v>
      </c>
      <c r="B13" s="157">
        <v>0.69</v>
      </c>
      <c r="C13" s="157">
        <v>31.91</v>
      </c>
      <c r="D13" s="8">
        <v>42848.458333333336</v>
      </c>
      <c r="E13" s="157">
        <v>0.35</v>
      </c>
      <c r="F13" s="157" t="s">
        <v>434</v>
      </c>
      <c r="G13" s="157">
        <v>300.93</v>
      </c>
      <c r="H13" s="157">
        <v>0</v>
      </c>
      <c r="I13" s="157">
        <v>0</v>
      </c>
      <c r="J13" s="157"/>
      <c r="K13" s="157">
        <v>1009.97</v>
      </c>
      <c r="L13" s="157" t="s">
        <v>457</v>
      </c>
      <c r="M13" s="157">
        <v>59.97</v>
      </c>
      <c r="N13" s="157">
        <v>1492966800</v>
      </c>
      <c r="O13" s="157">
        <v>2.99</v>
      </c>
      <c r="P13" s="157">
        <v>179</v>
      </c>
      <c r="Q13" s="157">
        <v>2.6</v>
      </c>
      <c r="R13"/>
    </row>
    <row r="14" spans="1:18" x14ac:dyDescent="0.25">
      <c r="A14" s="157">
        <v>65.430000000000007</v>
      </c>
      <c r="B14" s="157">
        <v>0.7</v>
      </c>
      <c r="C14" s="157">
        <v>28.72</v>
      </c>
      <c r="D14" s="8">
        <v>42848.5</v>
      </c>
      <c r="E14" s="157">
        <v>0.25</v>
      </c>
      <c r="F14" s="157" t="s">
        <v>434</v>
      </c>
      <c r="G14" s="157">
        <v>300.52</v>
      </c>
      <c r="H14" s="157">
        <v>0</v>
      </c>
      <c r="I14" s="157">
        <v>0</v>
      </c>
      <c r="J14" s="157"/>
      <c r="K14" s="157">
        <v>1008.63</v>
      </c>
      <c r="L14" s="157" t="s">
        <v>457</v>
      </c>
      <c r="M14" s="157">
        <v>65.430000000000007</v>
      </c>
      <c r="N14" s="157">
        <v>1492970400</v>
      </c>
      <c r="O14" s="157">
        <v>3.05</v>
      </c>
      <c r="P14" s="157">
        <v>136</v>
      </c>
      <c r="Q14" s="157">
        <v>2.88</v>
      </c>
      <c r="R14"/>
    </row>
    <row r="15" spans="1:18" x14ac:dyDescent="0.25">
      <c r="A15" s="157">
        <v>69.349999999999994</v>
      </c>
      <c r="B15" s="157">
        <v>0.65</v>
      </c>
      <c r="C15" s="157">
        <v>27.81</v>
      </c>
      <c r="D15" s="8">
        <v>42848.541666666664</v>
      </c>
      <c r="E15" s="157">
        <v>0.21</v>
      </c>
      <c r="F15" s="157" t="s">
        <v>434</v>
      </c>
      <c r="G15" s="157">
        <v>300.98</v>
      </c>
      <c r="H15" s="157">
        <v>0</v>
      </c>
      <c r="I15" s="157">
        <v>0</v>
      </c>
      <c r="J15" s="157"/>
      <c r="K15" s="157">
        <v>1007.26</v>
      </c>
      <c r="L15" s="157" t="s">
        <v>457</v>
      </c>
      <c r="M15" s="157">
        <v>69.349999999999994</v>
      </c>
      <c r="N15" s="157">
        <v>1492974000</v>
      </c>
      <c r="O15" s="157">
        <v>3.08</v>
      </c>
      <c r="P15" s="157">
        <v>129</v>
      </c>
      <c r="Q15" s="157">
        <v>3.71</v>
      </c>
      <c r="R15"/>
    </row>
    <row r="16" spans="1:18" x14ac:dyDescent="0.25">
      <c r="A16" s="157">
        <v>72.62</v>
      </c>
      <c r="B16" s="157">
        <v>0.56999999999999995</v>
      </c>
      <c r="C16" s="157">
        <v>25.29</v>
      </c>
      <c r="D16" s="8">
        <v>42848.583333333336</v>
      </c>
      <c r="E16" s="157">
        <v>0.17</v>
      </c>
      <c r="F16" s="157" t="s">
        <v>434</v>
      </c>
      <c r="G16" s="157">
        <v>302.13</v>
      </c>
      <c r="H16" s="157">
        <v>0</v>
      </c>
      <c r="I16" s="157">
        <v>0</v>
      </c>
      <c r="J16" s="157"/>
      <c r="K16" s="157">
        <v>1005.94</v>
      </c>
      <c r="L16" s="157" t="s">
        <v>344</v>
      </c>
      <c r="M16" s="157">
        <v>72.62</v>
      </c>
      <c r="N16" s="157">
        <v>1492977600</v>
      </c>
      <c r="O16" s="157">
        <v>3.06</v>
      </c>
      <c r="P16" s="157">
        <v>100</v>
      </c>
      <c r="Q16" s="157">
        <v>2.81</v>
      </c>
      <c r="R16"/>
    </row>
    <row r="17" spans="1:18" x14ac:dyDescent="0.25">
      <c r="A17" s="157">
        <v>76.13</v>
      </c>
      <c r="B17" s="157">
        <v>0.5</v>
      </c>
      <c r="C17" s="157">
        <v>23.31</v>
      </c>
      <c r="D17" s="8">
        <v>42848.625</v>
      </c>
      <c r="E17" s="157">
        <v>0.14000000000000001</v>
      </c>
      <c r="F17" s="157" t="s">
        <v>434</v>
      </c>
      <c r="G17" s="157">
        <v>304.08</v>
      </c>
      <c r="H17" s="157">
        <v>0</v>
      </c>
      <c r="I17" s="157">
        <v>0</v>
      </c>
      <c r="J17" s="157"/>
      <c r="K17" s="157">
        <v>1004.66</v>
      </c>
      <c r="L17" s="157" t="s">
        <v>344</v>
      </c>
      <c r="M17" s="157">
        <v>76.13</v>
      </c>
      <c r="N17" s="157">
        <v>1492981200</v>
      </c>
      <c r="O17" s="157">
        <v>3.01</v>
      </c>
      <c r="P17" s="157">
        <v>63</v>
      </c>
      <c r="Q17" s="157">
        <v>2.46</v>
      </c>
      <c r="R17"/>
    </row>
    <row r="18" spans="1:18" x14ac:dyDescent="0.25">
      <c r="A18" s="157">
        <v>76.989999999999995</v>
      </c>
      <c r="B18" s="157">
        <v>0.51</v>
      </c>
      <c r="C18" s="157">
        <v>26.32</v>
      </c>
      <c r="D18" s="8">
        <v>42848.666666666664</v>
      </c>
      <c r="E18" s="157">
        <v>0.15</v>
      </c>
      <c r="F18" s="157" t="s">
        <v>434</v>
      </c>
      <c r="G18" s="157">
        <v>307.29000000000002</v>
      </c>
      <c r="H18" s="157">
        <v>0</v>
      </c>
      <c r="I18" s="157">
        <v>0</v>
      </c>
      <c r="J18" s="157"/>
      <c r="K18" s="157">
        <v>1003.49</v>
      </c>
      <c r="L18" s="157" t="s">
        <v>344</v>
      </c>
      <c r="M18" s="157">
        <v>76.989999999999995</v>
      </c>
      <c r="N18" s="157">
        <v>1492984800</v>
      </c>
      <c r="O18" s="157">
        <v>2.99</v>
      </c>
      <c r="P18" s="157">
        <v>77</v>
      </c>
      <c r="Q18" s="157">
        <v>3.51</v>
      </c>
      <c r="R18"/>
    </row>
    <row r="19" spans="1:18" x14ac:dyDescent="0.25">
      <c r="A19" s="157">
        <v>76.98</v>
      </c>
      <c r="B19" s="157">
        <v>0.55000000000000004</v>
      </c>
      <c r="C19" s="157">
        <v>32.26</v>
      </c>
      <c r="D19" s="8">
        <v>42848.708333333336</v>
      </c>
      <c r="E19" s="157">
        <v>0.2</v>
      </c>
      <c r="F19" s="157" t="s">
        <v>434</v>
      </c>
      <c r="G19" s="157">
        <v>311.3</v>
      </c>
      <c r="H19" s="157">
        <v>0</v>
      </c>
      <c r="I19" s="157">
        <v>0</v>
      </c>
      <c r="J19" s="157"/>
      <c r="K19" s="157">
        <v>1002.46</v>
      </c>
      <c r="L19" s="157" t="s">
        <v>344</v>
      </c>
      <c r="M19" s="157">
        <v>76.98</v>
      </c>
      <c r="N19" s="157">
        <v>1492988400</v>
      </c>
      <c r="O19" s="157">
        <v>5.24</v>
      </c>
      <c r="P19" s="157">
        <v>95</v>
      </c>
      <c r="Q19" s="157">
        <v>1.29</v>
      </c>
      <c r="R19"/>
    </row>
    <row r="20" spans="1:18" x14ac:dyDescent="0.25">
      <c r="A20" s="157">
        <v>73.55</v>
      </c>
      <c r="B20" s="157">
        <v>0.5</v>
      </c>
      <c r="C20" s="157">
        <v>34.71</v>
      </c>
      <c r="D20" s="8">
        <v>42848.75</v>
      </c>
      <c r="E20" s="157">
        <v>0.24</v>
      </c>
      <c r="F20" s="157" t="s">
        <v>434</v>
      </c>
      <c r="G20" s="157">
        <v>314.74</v>
      </c>
      <c r="H20" s="157">
        <v>0</v>
      </c>
      <c r="I20" s="157">
        <v>0</v>
      </c>
      <c r="J20" s="157"/>
      <c r="K20" s="157">
        <v>1001.83</v>
      </c>
      <c r="L20" s="157" t="s">
        <v>344</v>
      </c>
      <c r="M20" s="157">
        <v>73.55</v>
      </c>
      <c r="N20" s="157">
        <v>1492992000</v>
      </c>
      <c r="O20" s="157">
        <v>5.44</v>
      </c>
      <c r="P20" s="157">
        <v>91</v>
      </c>
      <c r="Q20" s="157">
        <v>2.6</v>
      </c>
      <c r="R20"/>
    </row>
    <row r="21" spans="1:18" x14ac:dyDescent="0.25">
      <c r="A21" s="157">
        <v>70.02</v>
      </c>
      <c r="B21" s="157">
        <v>0.41</v>
      </c>
      <c r="C21" s="157">
        <v>34.01</v>
      </c>
      <c r="D21" s="8">
        <v>42848.791666666664</v>
      </c>
      <c r="E21" s="157">
        <v>0.26</v>
      </c>
      <c r="F21" s="157" t="s">
        <v>434</v>
      </c>
      <c r="G21" s="157">
        <v>316.85000000000002</v>
      </c>
      <c r="H21" s="157">
        <v>0</v>
      </c>
      <c r="I21" s="157">
        <v>0</v>
      </c>
      <c r="J21" s="157"/>
      <c r="K21" s="157">
        <v>1001.34</v>
      </c>
      <c r="L21" s="157" t="s">
        <v>344</v>
      </c>
      <c r="M21" s="157">
        <v>70.02</v>
      </c>
      <c r="N21" s="157">
        <v>1492995600</v>
      </c>
      <c r="O21" s="157">
        <v>5.86</v>
      </c>
      <c r="P21" s="157">
        <v>21</v>
      </c>
      <c r="Q21" s="157">
        <v>0.6</v>
      </c>
      <c r="R21"/>
    </row>
    <row r="22" spans="1:18" x14ac:dyDescent="0.25">
      <c r="A22" s="157">
        <v>64.75</v>
      </c>
      <c r="B22" s="157">
        <v>0.36</v>
      </c>
      <c r="C22" s="157">
        <v>34.729999999999997</v>
      </c>
      <c r="D22" s="8">
        <v>42848.833333333336</v>
      </c>
      <c r="E22" s="157">
        <v>0.33</v>
      </c>
      <c r="F22" s="157" t="s">
        <v>422</v>
      </c>
      <c r="G22" s="157">
        <v>318.39999999999998</v>
      </c>
      <c r="H22" s="157">
        <v>0</v>
      </c>
      <c r="I22" s="157">
        <v>0</v>
      </c>
      <c r="J22" s="157"/>
      <c r="K22" s="157">
        <v>1001.57</v>
      </c>
      <c r="L22" s="157" t="s">
        <v>344</v>
      </c>
      <c r="M22" s="157">
        <v>64.75</v>
      </c>
      <c r="N22" s="157">
        <v>1492999200</v>
      </c>
      <c r="O22" s="157">
        <v>6.59</v>
      </c>
      <c r="P22" s="157">
        <v>288</v>
      </c>
      <c r="Q22" s="157">
        <v>2.13</v>
      </c>
      <c r="R22"/>
    </row>
    <row r="23" spans="1:18" x14ac:dyDescent="0.25">
      <c r="A23" s="157">
        <v>61.11</v>
      </c>
      <c r="B23" s="157">
        <v>0.32</v>
      </c>
      <c r="C23" s="157">
        <v>36.36</v>
      </c>
      <c r="D23" s="8">
        <v>42848.875</v>
      </c>
      <c r="E23" s="157">
        <v>0.4</v>
      </c>
      <c r="F23" s="157" t="s">
        <v>422</v>
      </c>
      <c r="G23" s="157">
        <v>320.33999999999997</v>
      </c>
      <c r="H23" s="157">
        <v>0</v>
      </c>
      <c r="I23" s="157">
        <v>0</v>
      </c>
      <c r="J23" s="157"/>
      <c r="K23" s="157">
        <v>1001.91</v>
      </c>
      <c r="L23" s="157" t="s">
        <v>344</v>
      </c>
      <c r="M23" s="157">
        <v>61.11</v>
      </c>
      <c r="N23" s="157">
        <v>1493002800</v>
      </c>
      <c r="O23" s="157">
        <v>7.67</v>
      </c>
      <c r="P23" s="157">
        <v>264</v>
      </c>
      <c r="Q23" s="157">
        <v>1.81</v>
      </c>
      <c r="R23"/>
    </row>
    <row r="24" spans="1:18" x14ac:dyDescent="0.25">
      <c r="A24" s="157">
        <v>58.8</v>
      </c>
      <c r="B24" s="157">
        <v>0.34</v>
      </c>
      <c r="C24" s="157">
        <v>36.65</v>
      </c>
      <c r="D24" s="8">
        <v>42848.916666666664</v>
      </c>
      <c r="E24" s="157">
        <v>0.44</v>
      </c>
      <c r="F24" s="157" t="s">
        <v>422</v>
      </c>
      <c r="G24" s="157">
        <v>322.91000000000003</v>
      </c>
      <c r="H24" s="157">
        <v>0</v>
      </c>
      <c r="I24" s="157">
        <v>0</v>
      </c>
      <c r="J24" s="157"/>
      <c r="K24" s="157">
        <v>1001.87</v>
      </c>
      <c r="L24" s="157" t="s">
        <v>344</v>
      </c>
      <c r="M24" s="157">
        <v>58.8</v>
      </c>
      <c r="N24" s="157">
        <v>1493006400</v>
      </c>
      <c r="O24" s="157">
        <v>6.31</v>
      </c>
      <c r="P24" s="157">
        <v>263</v>
      </c>
      <c r="Q24" s="157">
        <v>1.65</v>
      </c>
      <c r="R24"/>
    </row>
    <row r="25" spans="1:18" x14ac:dyDescent="0.25">
      <c r="A25" s="157">
        <v>55</v>
      </c>
      <c r="B25" s="157">
        <v>0.32</v>
      </c>
      <c r="C25" s="157">
        <v>35.67</v>
      </c>
      <c r="D25" s="8">
        <v>42848.958333333336</v>
      </c>
      <c r="E25" s="157">
        <v>0.48</v>
      </c>
      <c r="F25" s="157" t="s">
        <v>422</v>
      </c>
      <c r="G25" s="157">
        <v>325.88</v>
      </c>
      <c r="H25" s="157">
        <v>0</v>
      </c>
      <c r="I25" s="157">
        <v>0</v>
      </c>
      <c r="J25" s="157"/>
      <c r="K25" s="157">
        <v>1001.64</v>
      </c>
      <c r="L25" s="157" t="s">
        <v>344</v>
      </c>
      <c r="M25" s="157">
        <v>55</v>
      </c>
      <c r="N25" s="157">
        <v>1493010000</v>
      </c>
      <c r="O25" s="157">
        <v>5.73</v>
      </c>
      <c r="P25" s="157">
        <v>254</v>
      </c>
      <c r="Q25" s="157">
        <v>1.96</v>
      </c>
      <c r="R25"/>
    </row>
    <row r="26" spans="1:18" x14ac:dyDescent="0.25">
      <c r="A26" s="157">
        <v>53.2</v>
      </c>
      <c r="B26" s="157">
        <v>0.28000000000000003</v>
      </c>
      <c r="C26" s="157">
        <v>35.89</v>
      </c>
      <c r="D26" s="8">
        <v>42849</v>
      </c>
      <c r="E26" s="157">
        <v>0.52</v>
      </c>
      <c r="F26" s="157" t="s">
        <v>422</v>
      </c>
      <c r="G26" s="157">
        <v>329.38</v>
      </c>
      <c r="H26" s="157">
        <v>0</v>
      </c>
      <c r="I26" s="157">
        <v>0</v>
      </c>
      <c r="J26" s="157"/>
      <c r="K26" s="157">
        <v>1001.39</v>
      </c>
      <c r="L26" s="157" t="s">
        <v>344</v>
      </c>
      <c r="M26" s="157">
        <v>53.2</v>
      </c>
      <c r="N26" s="157">
        <v>1493013600</v>
      </c>
      <c r="O26" s="157">
        <v>5.6</v>
      </c>
      <c r="P26" s="157">
        <v>206</v>
      </c>
      <c r="Q26" s="157">
        <v>2.27</v>
      </c>
      <c r="R26"/>
    </row>
    <row r="27" spans="1:18" x14ac:dyDescent="0.25">
      <c r="A27" s="157">
        <v>52.11</v>
      </c>
      <c r="B27" s="157">
        <v>0.34</v>
      </c>
      <c r="C27" s="157">
        <v>34.07</v>
      </c>
      <c r="D27" s="8">
        <v>42849.041666666664</v>
      </c>
      <c r="E27" s="157">
        <v>0.5</v>
      </c>
      <c r="F27" s="157" t="s">
        <v>422</v>
      </c>
      <c r="G27" s="157">
        <v>334.01</v>
      </c>
      <c r="H27" s="157">
        <v>0</v>
      </c>
      <c r="I27" s="157">
        <v>0</v>
      </c>
      <c r="J27" s="157"/>
      <c r="K27" s="157">
        <v>1001.5</v>
      </c>
      <c r="L27" s="157" t="s">
        <v>344</v>
      </c>
      <c r="M27" s="157">
        <v>52.11</v>
      </c>
      <c r="N27" s="157">
        <v>1493017200</v>
      </c>
      <c r="O27" s="157">
        <v>5.81</v>
      </c>
      <c r="P27" s="157">
        <v>205</v>
      </c>
      <c r="Q27" s="157">
        <v>2.4900000000000002</v>
      </c>
      <c r="R27"/>
    </row>
    <row r="28" spans="1:18" x14ac:dyDescent="0.25">
      <c r="A28" s="157">
        <v>50.84</v>
      </c>
      <c r="B28" s="157">
        <v>0.28999999999999998</v>
      </c>
      <c r="C28" s="157">
        <v>33.22</v>
      </c>
      <c r="D28" s="8">
        <v>42849.083333333336</v>
      </c>
      <c r="E28" s="157">
        <v>0.51</v>
      </c>
      <c r="F28" s="157" t="s">
        <v>510</v>
      </c>
      <c r="G28" s="157">
        <v>338.64</v>
      </c>
      <c r="H28" s="157">
        <v>6.1000000000000004E-3</v>
      </c>
      <c r="I28" s="157">
        <v>0.28000000000000003</v>
      </c>
      <c r="J28" s="157" t="s">
        <v>510</v>
      </c>
      <c r="K28" s="157">
        <v>1001.58</v>
      </c>
      <c r="L28" s="157" t="s">
        <v>511</v>
      </c>
      <c r="M28" s="157">
        <v>50.84</v>
      </c>
      <c r="N28" s="157">
        <v>1493020800</v>
      </c>
      <c r="O28" s="157">
        <v>5.93</v>
      </c>
      <c r="P28" s="157">
        <v>234</v>
      </c>
      <c r="Q28" s="157">
        <v>3.64</v>
      </c>
      <c r="R28"/>
    </row>
    <row r="29" spans="1:18" x14ac:dyDescent="0.25">
      <c r="A29" s="157">
        <v>51.3</v>
      </c>
      <c r="B29" s="157">
        <v>0.31</v>
      </c>
      <c r="C29" s="157">
        <v>31.57</v>
      </c>
      <c r="D29" s="8">
        <v>42849.125</v>
      </c>
      <c r="E29" s="157">
        <v>0.47</v>
      </c>
      <c r="F29" s="157" t="s">
        <v>510</v>
      </c>
      <c r="G29" s="157">
        <v>343.26</v>
      </c>
      <c r="H29" s="157">
        <v>8.9999999999999993E-3</v>
      </c>
      <c r="I29" s="157">
        <v>0.48</v>
      </c>
      <c r="J29" s="157" t="s">
        <v>510</v>
      </c>
      <c r="K29" s="157">
        <v>1001.58</v>
      </c>
      <c r="L29" s="157" t="s">
        <v>511</v>
      </c>
      <c r="M29" s="157">
        <v>51.3</v>
      </c>
      <c r="N29" s="157">
        <v>1493024400</v>
      </c>
      <c r="O29" s="157">
        <v>4.1100000000000003</v>
      </c>
      <c r="P29" s="157">
        <v>271</v>
      </c>
      <c r="Q29" s="157">
        <v>3.35</v>
      </c>
      <c r="R29"/>
    </row>
    <row r="30" spans="1:18" x14ac:dyDescent="0.25">
      <c r="A30" s="143"/>
      <c r="B30" s="143"/>
      <c r="C30" s="143"/>
      <c r="D30" s="8"/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</row>
    <row r="31" spans="1:18" x14ac:dyDescent="0.25">
      <c r="A31" s="144" t="s">
        <v>187</v>
      </c>
    </row>
    <row r="33" spans="1:1" x14ac:dyDescent="0.25">
      <c r="A33" s="144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7"/>
  <sheetViews>
    <sheetView workbookViewId="0">
      <selection activeCell="D10" sqref="D10"/>
    </sheetView>
  </sheetViews>
  <sheetFormatPr defaultRowHeight="15" x14ac:dyDescent="0.25"/>
  <cols>
    <col min="1" max="1" width="32.140625" customWidth="1"/>
    <col min="3" max="3" width="24" customWidth="1"/>
    <col min="4" max="4" width="19.140625" style="59" customWidth="1"/>
    <col min="10" max="10" width="24.28515625" style="143" bestFit="1" customWidth="1"/>
    <col min="11" max="11" width="15.28515625" style="143" hidden="1" customWidth="1"/>
    <col min="12" max="12" width="13.5703125" style="143" hidden="1" customWidth="1"/>
    <col min="13" max="13" width="9" style="157" bestFit="1" customWidth="1"/>
    <col min="14" max="17" width="9.140625" style="143"/>
    <col min="20" max="24" width="9.140625" style="157"/>
  </cols>
  <sheetData>
    <row r="1" spans="1:24" ht="45.75" x14ac:dyDescent="0.3">
      <c r="A1" s="11" t="s">
        <v>25</v>
      </c>
      <c r="C1" s="122" t="s">
        <v>99</v>
      </c>
      <c r="D1" s="123" t="s">
        <v>100</v>
      </c>
      <c r="J1" s="149" t="s">
        <v>101</v>
      </c>
      <c r="K1" s="149" t="s">
        <v>66</v>
      </c>
      <c r="L1" s="149" t="s">
        <v>67</v>
      </c>
      <c r="O1" s="150" t="s">
        <v>102</v>
      </c>
      <c r="T1" s="166" t="s">
        <v>346</v>
      </c>
      <c r="U1" s="166"/>
      <c r="V1" s="166"/>
      <c r="W1" s="166"/>
      <c r="X1" s="166"/>
    </row>
    <row r="2" spans="1:24" ht="15.75" thickBot="1" x14ac:dyDescent="0.3">
      <c r="A2" s="12">
        <v>42848</v>
      </c>
      <c r="B2" s="4"/>
      <c r="C2" s="124">
        <v>50</v>
      </c>
      <c r="D2" s="125">
        <v>25</v>
      </c>
      <c r="F2" t="s">
        <v>113</v>
      </c>
      <c r="J2" s="149"/>
      <c r="K2" s="149" t="s">
        <v>66</v>
      </c>
      <c r="L2" s="149" t="s">
        <v>67</v>
      </c>
      <c r="T2" s="165" t="s">
        <v>347</v>
      </c>
      <c r="U2" s="165">
        <v>167</v>
      </c>
      <c r="V2" s="165">
        <v>168</v>
      </c>
      <c r="W2" s="165">
        <v>199</v>
      </c>
      <c r="X2" s="165">
        <v>200</v>
      </c>
    </row>
    <row r="3" spans="1:24" x14ac:dyDescent="0.25">
      <c r="C3" s="59"/>
      <c r="F3" t="s">
        <v>52</v>
      </c>
      <c r="J3" s="151" t="s">
        <v>68</v>
      </c>
      <c r="K3" s="152">
        <v>2.7052</v>
      </c>
      <c r="L3" s="152">
        <v>2.7349999999999999</v>
      </c>
      <c r="M3" s="157">
        <f t="shared" ref="M3:M14" si="0">AVERAGE(K3:L3)</f>
        <v>2.7201</v>
      </c>
      <c r="O3" s="143" t="s">
        <v>103</v>
      </c>
      <c r="P3" s="143">
        <f>AVERAGE(1.0714,1.1016)</f>
        <v>1.0865</v>
      </c>
      <c r="T3" s="165" t="s">
        <v>348</v>
      </c>
      <c r="U3" s="165">
        <v>174</v>
      </c>
      <c r="V3" s="165">
        <v>176</v>
      </c>
      <c r="W3" s="165">
        <v>207</v>
      </c>
      <c r="X3" s="165">
        <v>210</v>
      </c>
    </row>
    <row r="4" spans="1:24" ht="45" x14ac:dyDescent="0.25">
      <c r="C4" s="122" t="s">
        <v>99</v>
      </c>
      <c r="D4" s="123" t="s">
        <v>100</v>
      </c>
      <c r="F4" t="s">
        <v>53</v>
      </c>
      <c r="J4" s="151" t="s">
        <v>69</v>
      </c>
      <c r="K4" s="152">
        <v>3.0830000000000002</v>
      </c>
      <c r="L4" s="152">
        <v>3.097</v>
      </c>
      <c r="M4" s="157">
        <f t="shared" si="0"/>
        <v>3.09</v>
      </c>
      <c r="T4" s="165" t="s">
        <v>349</v>
      </c>
      <c r="U4" s="165">
        <v>173</v>
      </c>
      <c r="V4" s="165">
        <v>175</v>
      </c>
      <c r="W4" s="165">
        <v>208</v>
      </c>
      <c r="X4" s="165">
        <v>209</v>
      </c>
    </row>
    <row r="5" spans="1:24" x14ac:dyDescent="0.25">
      <c r="C5" s="59">
        <v>30</v>
      </c>
      <c r="D5" s="59">
        <v>9</v>
      </c>
      <c r="J5" s="151" t="s">
        <v>70</v>
      </c>
      <c r="K5" s="152">
        <v>3.3136000000000001</v>
      </c>
      <c r="L5" s="152">
        <v>3.3256999999999999</v>
      </c>
      <c r="M5" s="157">
        <f t="shared" si="0"/>
        <v>3.3196500000000002</v>
      </c>
      <c r="T5" s="165" t="s">
        <v>350</v>
      </c>
      <c r="U5" s="165">
        <v>187</v>
      </c>
      <c r="V5" s="165">
        <v>188</v>
      </c>
      <c r="W5" s="165">
        <v>223</v>
      </c>
      <c r="X5" s="165">
        <v>224</v>
      </c>
    </row>
    <row r="6" spans="1:24" x14ac:dyDescent="0.25">
      <c r="C6" s="59"/>
      <c r="F6" t="s">
        <v>114</v>
      </c>
      <c r="J6" s="151" t="s">
        <v>71</v>
      </c>
      <c r="K6" s="152">
        <v>4.2778999999999998</v>
      </c>
      <c r="L6" s="152">
        <v>4.2961</v>
      </c>
      <c r="M6" s="157">
        <f t="shared" si="0"/>
        <v>4.2869999999999999</v>
      </c>
      <c r="T6" s="165"/>
      <c r="U6" s="165"/>
      <c r="V6" s="165"/>
      <c r="W6" s="165"/>
      <c r="X6" s="165"/>
    </row>
    <row r="7" spans="1:24" x14ac:dyDescent="0.25">
      <c r="C7" s="59"/>
      <c r="F7" t="s">
        <v>115</v>
      </c>
      <c r="J7" s="151" t="s">
        <v>72</v>
      </c>
      <c r="K7" s="152">
        <v>4.7865000000000002</v>
      </c>
      <c r="L7" s="152">
        <v>4.8048000000000002</v>
      </c>
      <c r="M7" s="157">
        <f t="shared" si="0"/>
        <v>4.7956500000000002</v>
      </c>
      <c r="T7" s="165"/>
      <c r="U7" s="165"/>
      <c r="V7" s="165"/>
      <c r="W7" s="165"/>
      <c r="X7" s="165"/>
    </row>
    <row r="8" spans="1:24" x14ac:dyDescent="0.25">
      <c r="C8" s="59"/>
      <c r="F8" t="s">
        <v>116</v>
      </c>
      <c r="J8" s="151" t="s">
        <v>73</v>
      </c>
      <c r="K8" s="152">
        <v>5.3155000000000001</v>
      </c>
      <c r="L8" s="152">
        <v>5.3277000000000001</v>
      </c>
      <c r="M8" s="157">
        <f t="shared" si="0"/>
        <v>5.3216000000000001</v>
      </c>
      <c r="T8" s="165"/>
      <c r="U8" s="165"/>
      <c r="V8" s="165"/>
      <c r="W8" s="165"/>
      <c r="X8" s="165"/>
    </row>
    <row r="9" spans="1:24" x14ac:dyDescent="0.25">
      <c r="C9" s="59"/>
      <c r="J9" s="151" t="s">
        <v>74</v>
      </c>
      <c r="K9" s="152">
        <v>5.8117000000000001</v>
      </c>
      <c r="L9" s="152">
        <v>5.8300999999999998</v>
      </c>
      <c r="M9" s="157">
        <f t="shared" si="0"/>
        <v>5.8209</v>
      </c>
      <c r="T9" s="165"/>
      <c r="U9" s="165"/>
      <c r="V9" s="165"/>
      <c r="W9" s="165"/>
      <c r="X9" s="165"/>
    </row>
    <row r="10" spans="1:24" x14ac:dyDescent="0.25">
      <c r="C10" s="59"/>
      <c r="J10" s="151" t="s">
        <v>75</v>
      </c>
      <c r="K10" s="152">
        <v>5.8783000000000003</v>
      </c>
      <c r="L10" s="152">
        <v>5.8903999999999996</v>
      </c>
      <c r="M10" s="157">
        <f t="shared" si="0"/>
        <v>5.8843499999999995</v>
      </c>
      <c r="T10" s="165"/>
      <c r="U10" s="165"/>
      <c r="V10" s="165"/>
      <c r="W10" s="165"/>
      <c r="X10" s="165"/>
    </row>
    <row r="11" spans="1:24" x14ac:dyDescent="0.25">
      <c r="C11" s="59"/>
      <c r="J11" s="151" t="s">
        <v>76</v>
      </c>
      <c r="K11" s="152">
        <v>6.3068</v>
      </c>
      <c r="L11" s="152">
        <v>6.3308999999999997</v>
      </c>
      <c r="M11" s="157">
        <f t="shared" si="0"/>
        <v>6.3188499999999994</v>
      </c>
      <c r="T11" s="165"/>
      <c r="U11" s="165"/>
      <c r="V11" s="165"/>
      <c r="W11" s="165"/>
      <c r="X11" s="165"/>
    </row>
    <row r="12" spans="1:24" x14ac:dyDescent="0.25">
      <c r="C12" s="59"/>
      <c r="J12" s="151" t="s">
        <v>77</v>
      </c>
      <c r="K12" s="152">
        <v>7.8349000000000002</v>
      </c>
      <c r="L12" s="152">
        <v>7.8468999999999998</v>
      </c>
      <c r="M12" s="157">
        <f t="shared" si="0"/>
        <v>7.8408999999999995</v>
      </c>
      <c r="T12" s="165"/>
      <c r="U12" s="165"/>
      <c r="V12" s="165"/>
      <c r="W12" s="165"/>
      <c r="X12" s="165"/>
    </row>
    <row r="13" spans="1:24" x14ac:dyDescent="0.25">
      <c r="C13" s="59"/>
      <c r="J13" s="151" t="s">
        <v>78</v>
      </c>
      <c r="K13" s="152">
        <v>10.373799999999999</v>
      </c>
      <c r="L13" s="152">
        <v>10.38</v>
      </c>
      <c r="M13" s="157">
        <f t="shared" si="0"/>
        <v>10.376899999999999</v>
      </c>
      <c r="T13" s="165"/>
      <c r="U13" s="165"/>
      <c r="V13" s="165"/>
      <c r="W13" s="165"/>
      <c r="X13" s="165"/>
    </row>
    <row r="14" spans="1:24" x14ac:dyDescent="0.25">
      <c r="C14" s="59"/>
      <c r="J14" s="151" t="s">
        <v>79</v>
      </c>
      <c r="K14" s="152">
        <v>10.8954</v>
      </c>
      <c r="L14" s="152">
        <v>10.913500000000001</v>
      </c>
      <c r="M14" s="157">
        <f t="shared" si="0"/>
        <v>10.904450000000001</v>
      </c>
      <c r="T14" s="165"/>
      <c r="U14" s="165"/>
      <c r="V14" s="165"/>
      <c r="W14" s="165"/>
      <c r="X14" s="165"/>
    </row>
    <row r="15" spans="1:24" x14ac:dyDescent="0.25">
      <c r="C15" s="59"/>
      <c r="J15" s="151"/>
      <c r="K15" s="152"/>
      <c r="L15" s="152"/>
      <c r="T15" s="165"/>
      <c r="U15" s="165"/>
      <c r="V15" s="165"/>
      <c r="W15" s="165"/>
      <c r="X15" s="165"/>
    </row>
    <row r="16" spans="1:24" x14ac:dyDescent="0.25">
      <c r="C16" s="59"/>
      <c r="J16" s="151"/>
      <c r="K16" s="152"/>
      <c r="L16" s="152"/>
      <c r="T16" s="165"/>
      <c r="U16" s="165"/>
      <c r="V16" s="165"/>
      <c r="W16" s="165"/>
      <c r="X16" s="165"/>
    </row>
    <row r="17" spans="3:24" x14ac:dyDescent="0.25">
      <c r="C17" s="140" t="s">
        <v>188</v>
      </c>
      <c r="J17" s="151"/>
      <c r="K17" s="152"/>
      <c r="L17" s="152"/>
      <c r="T17" s="165"/>
      <c r="U17" s="165"/>
      <c r="V17" s="165"/>
      <c r="W17" s="165"/>
      <c r="X17" s="165"/>
    </row>
    <row r="18" spans="3:24" x14ac:dyDescent="0.25">
      <c r="C18" t="s">
        <v>1002</v>
      </c>
      <c r="J18" s="151" t="s">
        <v>85</v>
      </c>
      <c r="K18" s="152"/>
      <c r="L18" s="152"/>
      <c r="M18" s="157" t="str">
        <f>"""C:\Program Files (x86)\AstroGrep\AstroGrep.exe"""</f>
        <v>"C:\Program Files (x86)\AstroGrep\AstroGrep.exe"</v>
      </c>
      <c r="T18" s="165"/>
      <c r="U18" s="165"/>
      <c r="V18" s="165"/>
      <c r="W18" s="165"/>
      <c r="X18" s="165"/>
    </row>
    <row r="19" spans="3:24" x14ac:dyDescent="0.25">
      <c r="C19" t="s">
        <v>1003</v>
      </c>
      <c r="J19" s="151" t="s">
        <v>86</v>
      </c>
      <c r="K19" s="152"/>
      <c r="L19" s="152"/>
      <c r="M19" s="157" t="s">
        <v>112</v>
      </c>
      <c r="T19" s="165"/>
      <c r="U19" s="165"/>
      <c r="V19" s="165"/>
      <c r="W19" s="165"/>
      <c r="X19" s="165"/>
    </row>
    <row r="20" spans="3:24" x14ac:dyDescent="0.25">
      <c r="C20" t="s">
        <v>1004</v>
      </c>
      <c r="J20" s="143" t="s">
        <v>87</v>
      </c>
      <c r="M20" s="157" t="s">
        <v>345</v>
      </c>
      <c r="N20" s="157" t="s">
        <v>345</v>
      </c>
      <c r="T20" s="165"/>
      <c r="U20" s="165"/>
      <c r="V20" s="165"/>
      <c r="W20" s="165"/>
      <c r="X20" s="165"/>
    </row>
    <row r="21" spans="3:24" x14ac:dyDescent="0.25">
      <c r="C21" t="s">
        <v>1005</v>
      </c>
      <c r="J21" s="143" t="s">
        <v>90</v>
      </c>
      <c r="K21" s="143" t="s">
        <v>91</v>
      </c>
      <c r="M21" s="157" t="s">
        <v>178</v>
      </c>
      <c r="T21" s="165"/>
      <c r="U21" s="165"/>
      <c r="V21" s="165"/>
      <c r="W21" s="165"/>
      <c r="X21" s="165"/>
    </row>
    <row r="22" spans="3:24" x14ac:dyDescent="0.25">
      <c r="C22" t="s">
        <v>1006</v>
      </c>
      <c r="J22" s="143" t="s">
        <v>92</v>
      </c>
      <c r="K22" s="143" t="s">
        <v>93</v>
      </c>
      <c r="M22" s="157" t="s">
        <v>111</v>
      </c>
      <c r="T22" s="165"/>
      <c r="U22" s="165"/>
      <c r="V22" s="165"/>
      <c r="W22" s="165"/>
      <c r="X22" s="165"/>
    </row>
    <row r="23" spans="3:24" x14ac:dyDescent="0.25">
      <c r="C23" t="s">
        <v>1007</v>
      </c>
      <c r="J23" s="153" t="s">
        <v>95</v>
      </c>
      <c r="M23" s="157" t="str">
        <f>"-06"</f>
        <v>-06</v>
      </c>
      <c r="T23" s="165"/>
      <c r="U23" s="165"/>
      <c r="V23" s="165"/>
      <c r="W23" s="165"/>
      <c r="X23" s="165"/>
    </row>
    <row r="24" spans="3:24" x14ac:dyDescent="0.25">
      <c r="C24" t="s">
        <v>1008</v>
      </c>
      <c r="J24" s="143" t="s">
        <v>108</v>
      </c>
      <c r="M24" s="157" t="s">
        <v>110</v>
      </c>
      <c r="T24" s="165"/>
      <c r="U24" s="165"/>
      <c r="V24" s="165"/>
      <c r="W24" s="165"/>
      <c r="X24" s="165"/>
    </row>
    <row r="25" spans="3:24" x14ac:dyDescent="0.25">
      <c r="C25" t="s">
        <v>1009</v>
      </c>
      <c r="J25" s="143" t="s">
        <v>150</v>
      </c>
      <c r="M25" s="157" t="b">
        <v>1</v>
      </c>
    </row>
    <row r="26" spans="3:24" x14ac:dyDescent="0.25">
      <c r="C26" t="s">
        <v>1010</v>
      </c>
      <c r="J26" s="143" t="s">
        <v>151</v>
      </c>
      <c r="M26" s="157" t="str">
        <f>"C:\Users\stu\Documents\GitHub\eaglep3-reporting\EC\"&amp;TEXT(A2,"yyyy-mm-dd")&amp;"-refined-times.txt"</f>
        <v>C:\Users\stu\Documents\GitHub\eaglep3-reporting\EC\2017-04-23-refined-times.txt</v>
      </c>
    </row>
    <row r="27" spans="3:24" x14ac:dyDescent="0.25">
      <c r="C27" t="s">
        <v>1011</v>
      </c>
      <c r="J27" s="143" t="s">
        <v>180</v>
      </c>
      <c r="M27" s="157" t="str">
        <f>"C:\Users\stu\Documents\GitHub\eaglep3-reporting\EC\"&amp;TEXT(A2,"YYYY-MM-DD")&amp;"-Enforcements.txt"</f>
        <v>C:\Users\stu\Documents\GitHub\eaglep3-reporting\EC\2017-04-23-Enforcements.txt</v>
      </c>
    </row>
    <row r="28" spans="3:24" x14ac:dyDescent="0.25">
      <c r="C28" t="s">
        <v>1012</v>
      </c>
      <c r="J28" s="143" t="s">
        <v>181</v>
      </c>
      <c r="M28" s="157" t="str">
        <f>"C:\Users\stu\Documents\GitHub\eaglep3-reporting\EC\"&amp;TEXT(A2,"YYYY-MM-DD")&amp;"-Runs-refined.txt"</f>
        <v>C:\Users\stu\Documents\GitHub\eaglep3-reporting\EC\2017-04-23-Runs-refined.txt</v>
      </c>
    </row>
    <row r="29" spans="3:24" x14ac:dyDescent="0.25">
      <c r="C29" t="s">
        <v>1013</v>
      </c>
      <c r="J29" s="143" t="s">
        <v>182</v>
      </c>
      <c r="M29" s="157" t="str">
        <f>"C:\Users\stu\Documents\GitHub\eaglep3-reporting\EC\"&amp;TEXT(A2,"YYYY-MM-DD")&amp;"-Trips.txt"</f>
        <v>C:\Users\stu\Documents\GitHub\eaglep3-reporting\EC\2017-04-23-Trips.txt</v>
      </c>
    </row>
    <row r="30" spans="3:24" x14ac:dyDescent="0.25">
      <c r="C30" t="s">
        <v>1014</v>
      </c>
      <c r="J30" s="143" t="s">
        <v>183</v>
      </c>
      <c r="M30" s="157" t="str">
        <f>"C:\Users\stu\Documents\GitHub\eaglep3-reporting\EC\"&amp;TEXT(A2,"YYYY-MM-DD")&amp;"-Weather.txt"</f>
        <v>C:\Users\stu\Documents\GitHub\eaglep3-reporting\EC\2017-04-23-Weather.txt</v>
      </c>
    </row>
    <row r="31" spans="3:24" x14ac:dyDescent="0.25">
      <c r="C31" t="s">
        <v>1015</v>
      </c>
      <c r="J31" s="143" t="s">
        <v>201</v>
      </c>
      <c r="M31" s="157" t="s">
        <v>202</v>
      </c>
    </row>
    <row r="32" spans="3:24" x14ac:dyDescent="0.25">
      <c r="C32" t="s">
        <v>1016</v>
      </c>
    </row>
    <row r="33" spans="3:3" x14ac:dyDescent="0.25">
      <c r="C33" t="s">
        <v>1017</v>
      </c>
    </row>
    <row r="34" spans="3:3" x14ac:dyDescent="0.25">
      <c r="C34" t="s">
        <v>1018</v>
      </c>
    </row>
    <row r="35" spans="3:3" x14ac:dyDescent="0.25">
      <c r="C35" t="s">
        <v>1019</v>
      </c>
    </row>
    <row r="36" spans="3:3" x14ac:dyDescent="0.25">
      <c r="C36" t="s">
        <v>1020</v>
      </c>
    </row>
    <row r="37" spans="3:3" x14ac:dyDescent="0.25">
      <c r="C37" t="s">
        <v>1021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6" bestFit="1" customWidth="1"/>
    <col min="2" max="7" width="9.140625" style="96"/>
    <col min="8" max="8" width="17.7109375" style="96" bestFit="1" customWidth="1"/>
    <col min="9" max="10" width="9.140625" style="172"/>
    <col min="11" max="16384" width="9.140625" style="96"/>
  </cols>
  <sheetData>
    <row r="1" spans="1:11" x14ac:dyDescent="0.25">
      <c r="A1" s="95" t="s">
        <v>121</v>
      </c>
      <c r="B1" s="95" t="s">
        <v>122</v>
      </c>
      <c r="C1" s="96" t="s">
        <v>123</v>
      </c>
      <c r="H1" t="s">
        <v>117</v>
      </c>
      <c r="I1" s="170" t="s">
        <v>119</v>
      </c>
      <c r="J1" s="157" t="s">
        <v>383</v>
      </c>
    </row>
    <row r="2" spans="1:11" x14ac:dyDescent="0.25">
      <c r="A2" s="96" t="s">
        <v>124</v>
      </c>
      <c r="B2" s="96" t="s">
        <v>125</v>
      </c>
      <c r="C2" s="96" t="s">
        <v>126</v>
      </c>
      <c r="H2" t="s">
        <v>118</v>
      </c>
      <c r="I2" s="157" t="s">
        <v>120</v>
      </c>
      <c r="J2" s="157" t="s">
        <v>384</v>
      </c>
    </row>
    <row r="3" spans="1:11" x14ac:dyDescent="0.25">
      <c r="A3" s="96" t="s">
        <v>127</v>
      </c>
      <c r="B3" s="96" t="s">
        <v>128</v>
      </c>
      <c r="C3" s="96" t="s">
        <v>129</v>
      </c>
      <c r="H3" t="s">
        <v>143</v>
      </c>
      <c r="I3" s="157">
        <v>1</v>
      </c>
      <c r="J3" s="157">
        <v>1</v>
      </c>
      <c r="K3" s="58"/>
    </row>
    <row r="4" spans="1:11" x14ac:dyDescent="0.25">
      <c r="A4" s="96" t="s">
        <v>130</v>
      </c>
      <c r="C4" s="96" t="s">
        <v>131</v>
      </c>
      <c r="H4" t="s">
        <v>144</v>
      </c>
      <c r="I4" s="157">
        <v>2</v>
      </c>
      <c r="J4" s="157">
        <v>1</v>
      </c>
      <c r="K4" s="58"/>
    </row>
    <row r="5" spans="1:11" x14ac:dyDescent="0.25">
      <c r="A5" s="96" t="s">
        <v>132</v>
      </c>
      <c r="C5" s="96" t="s">
        <v>133</v>
      </c>
      <c r="H5" t="s">
        <v>145</v>
      </c>
      <c r="I5" s="157">
        <v>23</v>
      </c>
      <c r="J5" s="157">
        <v>10</v>
      </c>
      <c r="K5" s="58"/>
    </row>
    <row r="6" spans="1:11" x14ac:dyDescent="0.25">
      <c r="A6" s="96" t="s">
        <v>134</v>
      </c>
      <c r="C6" s="96" t="s">
        <v>135</v>
      </c>
      <c r="H6" s="97" t="s">
        <v>146</v>
      </c>
      <c r="I6" s="171" t="s">
        <v>125</v>
      </c>
    </row>
    <row r="7" spans="1:11" x14ac:dyDescent="0.25">
      <c r="A7" s="96" t="s">
        <v>136</v>
      </c>
      <c r="C7" s="96" t="s">
        <v>137</v>
      </c>
    </row>
    <row r="8" spans="1:11" x14ac:dyDescent="0.25">
      <c r="C8" s="96" t="s">
        <v>138</v>
      </c>
    </row>
    <row r="9" spans="1:11" x14ac:dyDescent="0.25">
      <c r="C9" s="97" t="s">
        <v>171</v>
      </c>
    </row>
    <row r="10" spans="1:11" x14ac:dyDescent="0.25">
      <c r="C10" s="96" t="s">
        <v>139</v>
      </c>
    </row>
    <row r="11" spans="1:11" x14ac:dyDescent="0.25">
      <c r="C11" s="96" t="s">
        <v>140</v>
      </c>
    </row>
    <row r="12" spans="1:11" x14ac:dyDescent="0.25">
      <c r="C12" s="96" t="s">
        <v>141</v>
      </c>
    </row>
    <row r="13" spans="1:11" x14ac:dyDescent="0.25">
      <c r="C13" s="96" t="s">
        <v>142</v>
      </c>
    </row>
    <row r="14" spans="1:11" x14ac:dyDescent="0.25">
      <c r="C14" s="97" t="s">
        <v>172</v>
      </c>
    </row>
    <row r="15" spans="1:11" x14ac:dyDescent="0.25">
      <c r="C15" s="97" t="s">
        <v>189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214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215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216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217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218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219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220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221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222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223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224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225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226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227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228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229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230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231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232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233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234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235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236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237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238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239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240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241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242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243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244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245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246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247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248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249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250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251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252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253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254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255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256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257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258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259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260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261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262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263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264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265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266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267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268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269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270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271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272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273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274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275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276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277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278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279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280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281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282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283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284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285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286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287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288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289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290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291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292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293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294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295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296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297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298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299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300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301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302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303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304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305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306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307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308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309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310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311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312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313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314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315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316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317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318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319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320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321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322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323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324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325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326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327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328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329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330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331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332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333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334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335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336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337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338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339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340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341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342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343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16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2017-04-25T01:00:50Z</dcterms:modified>
</cp:coreProperties>
</file>