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0" i="1" l="1"/>
  <c r="X204" i="1"/>
  <c r="X205" i="1"/>
  <c r="X206" i="1"/>
  <c r="X207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4" i="1"/>
  <c r="AM204" i="1"/>
  <c r="AN204" i="1"/>
  <c r="P201" i="1"/>
  <c r="X157" i="1"/>
  <c r="X158" i="1"/>
  <c r="X159" i="1"/>
  <c r="X160" i="1"/>
  <c r="X161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X147" i="1"/>
  <c r="X148" i="1"/>
  <c r="X149" i="1"/>
  <c r="K146" i="1"/>
  <c r="L146" i="1"/>
  <c r="M146" i="1"/>
  <c r="N146" i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Z147" i="1"/>
  <c r="AA147" i="1"/>
  <c r="AB147" i="1"/>
  <c r="AC147" i="1"/>
  <c r="AD147" i="1"/>
  <c r="T147" i="1" s="1"/>
  <c r="AE147" i="1"/>
  <c r="AF147" i="1"/>
  <c r="AH147" i="1"/>
  <c r="AM147" i="1"/>
  <c r="AN147" i="1"/>
  <c r="X131" i="1"/>
  <c r="X132" i="1"/>
  <c r="X133" i="1"/>
  <c r="X134" i="1"/>
  <c r="K130" i="1"/>
  <c r="L130" i="1"/>
  <c r="M130" i="1"/>
  <c r="N130" i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A131" i="1"/>
  <c r="AB131" i="1"/>
  <c r="AC131" i="1"/>
  <c r="AD131" i="1"/>
  <c r="T131" i="1" s="1"/>
  <c r="AE131" i="1"/>
  <c r="AF131" i="1"/>
  <c r="AH131" i="1"/>
  <c r="AM131" i="1"/>
  <c r="AN131" i="1"/>
  <c r="X121" i="1"/>
  <c r="X122" i="1"/>
  <c r="K120" i="1"/>
  <c r="L120" i="1"/>
  <c r="M120" i="1"/>
  <c r="N120" i="1" s="1"/>
  <c r="T120" i="1"/>
  <c r="V120" i="1"/>
  <c r="Y120" i="1"/>
  <c r="Z120" i="1"/>
  <c r="AA120" i="1" s="1"/>
  <c r="AB120" i="1"/>
  <c r="AC120" i="1"/>
  <c r="AD120" i="1"/>
  <c r="X120" i="1" s="1"/>
  <c r="AE120" i="1"/>
  <c r="AF120" i="1"/>
  <c r="AH120" i="1"/>
  <c r="AM120" i="1"/>
  <c r="AN120" i="1"/>
  <c r="X107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X102" i="1"/>
  <c r="X103" i="1"/>
  <c r="X104" i="1"/>
  <c r="K102" i="1"/>
  <c r="L102" i="1"/>
  <c r="M102" i="1"/>
  <c r="N102" i="1" s="1"/>
  <c r="V102" i="1"/>
  <c r="S17" i="3" s="1"/>
  <c r="Y102" i="1"/>
  <c r="Z102" i="1"/>
  <c r="AA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S10" i="3" s="1"/>
  <c r="Y103" i="1"/>
  <c r="Z103" i="1"/>
  <c r="AA103" i="1" s="1"/>
  <c r="AB103" i="1"/>
  <c r="AC103" i="1"/>
  <c r="AD103" i="1"/>
  <c r="AE103" i="1"/>
  <c r="R10" i="3" s="1"/>
  <c r="AF103" i="1"/>
  <c r="AH103" i="1"/>
  <c r="AM103" i="1"/>
  <c r="AN103" i="1"/>
  <c r="X92" i="1"/>
  <c r="X93" i="1"/>
  <c r="X94" i="1"/>
  <c r="K92" i="1"/>
  <c r="L92" i="1"/>
  <c r="M92" i="1"/>
  <c r="N92" i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P79" i="1"/>
  <c r="X52" i="1"/>
  <c r="N51" i="1"/>
  <c r="K51" i="1"/>
  <c r="L51" i="1"/>
  <c r="M51" i="1"/>
  <c r="V51" i="1"/>
  <c r="S24" i="3" s="1"/>
  <c r="X51" i="1"/>
  <c r="AA51" i="1"/>
  <c r="AB51" i="1"/>
  <c r="AC51" i="1"/>
  <c r="AD51" i="1"/>
  <c r="T51" i="1" s="1"/>
  <c r="AE51" i="1"/>
  <c r="AF51" i="1"/>
  <c r="AH51" i="1"/>
  <c r="AM51" i="1"/>
  <c r="AN51" i="1"/>
  <c r="B3" i="6"/>
  <c r="P49" i="1"/>
  <c r="P35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T16" i="1"/>
  <c r="V16" i="1"/>
  <c r="Y16" i="1"/>
  <c r="AA16" i="1" s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/>
  <c r="V36" i="1"/>
  <c r="Y36" i="1"/>
  <c r="AA36" i="1" s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9" i="3" s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/>
  <c r="AB41" i="1"/>
  <c r="AC41" i="1"/>
  <c r="AD41" i="1"/>
  <c r="T41" i="1" s="1"/>
  <c r="AE41" i="1"/>
  <c r="R18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R19" i="3" s="1"/>
  <c r="AF43" i="1"/>
  <c r="AH43" i="1"/>
  <c r="AM43" i="1"/>
  <c r="AN43" i="1"/>
  <c r="K44" i="1"/>
  <c r="L44" i="1"/>
  <c r="M44" i="1"/>
  <c r="N44" i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T48" i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V49" i="1"/>
  <c r="S20" i="3" s="1"/>
  <c r="Y49" i="1"/>
  <c r="AA49" i="1" s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/>
  <c r="V57" i="1"/>
  <c r="Y57" i="1"/>
  <c r="AA57" i="1" s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S7" i="3" s="1"/>
  <c r="Y61" i="1"/>
  <c r="Z61" i="1"/>
  <c r="AA61" i="1" s="1"/>
  <c r="AB61" i="1"/>
  <c r="AC61" i="1"/>
  <c r="AD61" i="1"/>
  <c r="AE61" i="1"/>
  <c r="R7" i="3" s="1"/>
  <c r="AF61" i="1"/>
  <c r="AH61" i="1"/>
  <c r="AM61" i="1"/>
  <c r="AN61" i="1"/>
  <c r="K62" i="1"/>
  <c r="L62" i="1"/>
  <c r="M62" i="1"/>
  <c r="N62" i="1" s="1"/>
  <c r="T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T63" i="1"/>
  <c r="V63" i="1"/>
  <c r="X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A73" i="1" s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A75" i="1"/>
  <c r="AB75" i="1"/>
  <c r="AC75" i="1"/>
  <c r="AD75" i="1"/>
  <c r="AE75" i="1"/>
  <c r="AF75" i="1"/>
  <c r="AH75" i="1"/>
  <c r="AM75" i="1"/>
  <c r="AN75" i="1"/>
  <c r="K76" i="1"/>
  <c r="L76" i="1"/>
  <c r="M76" i="1"/>
  <c r="N76" i="1"/>
  <c r="T76" i="1"/>
  <c r="V76" i="1"/>
  <c r="Y76" i="1"/>
  <c r="Z76" i="1"/>
  <c r="AA76" i="1" s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X86" i="1"/>
  <c r="Y86" i="1"/>
  <c r="Z86" i="1"/>
  <c r="AA86" i="1" s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R26" i="3" s="1"/>
  <c r="AF89" i="1"/>
  <c r="AH89" i="1"/>
  <c r="AM89" i="1"/>
  <c r="AN89" i="1"/>
  <c r="K90" i="1"/>
  <c r="L90" i="1"/>
  <c r="M90" i="1"/>
  <c r="N90" i="1"/>
  <c r="V90" i="1"/>
  <c r="X90" i="1"/>
  <c r="Y90" i="1"/>
  <c r="Z90" i="1"/>
  <c r="AA90" i="1" s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AA91" i="1" s="1"/>
  <c r="Z91" i="1"/>
  <c r="AB91" i="1"/>
  <c r="AC91" i="1"/>
  <c r="AD91" i="1"/>
  <c r="T91" i="1" s="1"/>
  <c r="AE91" i="1"/>
  <c r="AF91" i="1"/>
  <c r="AH91" i="1"/>
  <c r="AM91" i="1"/>
  <c r="AN91" i="1"/>
  <c r="K93" i="1"/>
  <c r="L93" i="1"/>
  <c r="M93" i="1"/>
  <c r="N93" i="1" s="1"/>
  <c r="V93" i="1"/>
  <c r="Y93" i="1"/>
  <c r="Z93" i="1"/>
  <c r="AB93" i="1"/>
  <c r="AC93" i="1"/>
  <c r="AD93" i="1"/>
  <c r="AE93" i="1"/>
  <c r="R13" i="3" s="1"/>
  <c r="AF93" i="1"/>
  <c r="AH93" i="1"/>
  <c r="AM93" i="1"/>
  <c r="AN93" i="1"/>
  <c r="K94" i="1"/>
  <c r="L94" i="1"/>
  <c r="M94" i="1"/>
  <c r="N94" i="1" s="1"/>
  <c r="T94" i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25" i="3" s="1"/>
  <c r="Y99" i="1"/>
  <c r="Z99" i="1"/>
  <c r="AB99" i="1"/>
  <c r="AC99" i="1"/>
  <c r="AD99" i="1"/>
  <c r="AE99" i="1"/>
  <c r="R25" i="3" s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21" i="3" s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AA111" i="1" s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15" i="3" s="1"/>
  <c r="Y118" i="1"/>
  <c r="Z118" i="1"/>
  <c r="AB118" i="1"/>
  <c r="AC118" i="1"/>
  <c r="AD118" i="1"/>
  <c r="AE118" i="1"/>
  <c r="R15" i="3" s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14" i="3" s="1"/>
  <c r="Y122" i="1"/>
  <c r="AA122" i="1" s="1"/>
  <c r="Z122" i="1"/>
  <c r="AB122" i="1"/>
  <c r="AC122" i="1"/>
  <c r="AD122" i="1"/>
  <c r="T122" i="1" s="1"/>
  <c r="AE122" i="1"/>
  <c r="R14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S22" i="3" s="1"/>
  <c r="Y124" i="1"/>
  <c r="Z124" i="1"/>
  <c r="AB124" i="1"/>
  <c r="AC124" i="1"/>
  <c r="AD124" i="1"/>
  <c r="T124" i="1" s="1"/>
  <c r="AE124" i="1"/>
  <c r="R22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AA126" i="1" s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X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2" i="1"/>
  <c r="L132" i="1"/>
  <c r="M132" i="1"/>
  <c r="N132" i="1" s="1"/>
  <c r="V132" i="1"/>
  <c r="Y132" i="1"/>
  <c r="AA132" i="1" s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T139" i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T144" i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Z156" i="1"/>
  <c r="AA156" i="1"/>
  <c r="AB156" i="1"/>
  <c r="AC156" i="1"/>
  <c r="AD156" i="1"/>
  <c r="AE156" i="1"/>
  <c r="AF156" i="1"/>
  <c r="AH156" i="1"/>
  <c r="AM156" i="1"/>
  <c r="AN156" i="1"/>
  <c r="K207" i="1"/>
  <c r="L207" i="1"/>
  <c r="M207" i="1"/>
  <c r="N207" i="1"/>
  <c r="V207" i="1"/>
  <c r="Y207" i="1"/>
  <c r="Z207" i="1"/>
  <c r="AA207" i="1" s="1"/>
  <c r="AB207" i="1"/>
  <c r="AC207" i="1"/>
  <c r="AD207" i="1"/>
  <c r="AE207" i="1"/>
  <c r="AF207" i="1"/>
  <c r="AH158" i="1"/>
  <c r="AM158" i="1"/>
  <c r="AN158" i="1"/>
  <c r="K208" i="1"/>
  <c r="L208" i="1"/>
  <c r="M208" i="1"/>
  <c r="N208" i="1" s="1"/>
  <c r="T208" i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/>
  <c r="V209" i="1"/>
  <c r="X209" i="1"/>
  <c r="Y209" i="1"/>
  <c r="Z209" i="1"/>
  <c r="AA209" i="1" s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V210" i="1"/>
  <c r="Y210" i="1"/>
  <c r="AA210" i="1" s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K214" i="1"/>
  <c r="L214" i="1"/>
  <c r="M214" i="1"/>
  <c r="N214" i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K215" i="1"/>
  <c r="L215" i="1"/>
  <c r="M215" i="1"/>
  <c r="N215" i="1"/>
  <c r="V215" i="1"/>
  <c r="Y215" i="1"/>
  <c r="Z215" i="1"/>
  <c r="AA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T216" i="1"/>
  <c r="V216" i="1"/>
  <c r="Y216" i="1"/>
  <c r="Z216" i="1"/>
  <c r="AA216" i="1"/>
  <c r="AB216" i="1"/>
  <c r="AC216" i="1"/>
  <c r="AD216" i="1"/>
  <c r="AE216" i="1"/>
  <c r="AF216" i="1"/>
  <c r="AH167" i="1"/>
  <c r="AM167" i="1"/>
  <c r="AN167" i="1"/>
  <c r="K217" i="1"/>
  <c r="L217" i="1"/>
  <c r="M217" i="1"/>
  <c r="N217" i="1"/>
  <c r="V217" i="1"/>
  <c r="Y217" i="1"/>
  <c r="Z217" i="1"/>
  <c r="AA217" i="1" s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171" i="1"/>
  <c r="AM171" i="1"/>
  <c r="AN171" i="1"/>
  <c r="K227" i="1"/>
  <c r="L227" i="1"/>
  <c r="M227" i="1"/>
  <c r="N227" i="1" s="1"/>
  <c r="V227" i="1"/>
  <c r="S45" i="3" s="1"/>
  <c r="Y227" i="1"/>
  <c r="Z227" i="1"/>
  <c r="AA227" i="1" s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/>
  <c r="V228" i="1"/>
  <c r="Y228" i="1"/>
  <c r="Z228" i="1"/>
  <c r="AA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T229" i="1"/>
  <c r="V229" i="1"/>
  <c r="Y229" i="1"/>
  <c r="Z229" i="1"/>
  <c r="AB229" i="1"/>
  <c r="AC229" i="1"/>
  <c r="AD229" i="1"/>
  <c r="X229" i="1" s="1"/>
  <c r="AE229" i="1"/>
  <c r="AF229" i="1"/>
  <c r="AH174" i="1"/>
  <c r="AM174" i="1"/>
  <c r="AN174" i="1"/>
  <c r="K230" i="1"/>
  <c r="L230" i="1"/>
  <c r="M230" i="1"/>
  <c r="N230" i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A235" i="1" s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3" i="1"/>
  <c r="AM183" i="1"/>
  <c r="AN183" i="1"/>
  <c r="K158" i="1"/>
  <c r="L158" i="1"/>
  <c r="M158" i="1"/>
  <c r="N158" i="1"/>
  <c r="V158" i="1"/>
  <c r="Y158" i="1"/>
  <c r="Z158" i="1"/>
  <c r="AA158" i="1"/>
  <c r="AB158" i="1"/>
  <c r="AC158" i="1"/>
  <c r="AD158" i="1"/>
  <c r="T158" i="1" s="1"/>
  <c r="AE158" i="1"/>
  <c r="R35" i="3" s="1"/>
  <c r="AF158" i="1"/>
  <c r="AH184" i="1"/>
  <c r="AM184" i="1"/>
  <c r="AN184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85" i="1"/>
  <c r="AM185" i="1"/>
  <c r="AN185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186" i="1"/>
  <c r="AM186" i="1"/>
  <c r="AN186" i="1"/>
  <c r="K161" i="1"/>
  <c r="L161" i="1"/>
  <c r="M161" i="1"/>
  <c r="N161" i="1"/>
  <c r="V161" i="1"/>
  <c r="Y161" i="1"/>
  <c r="Z161" i="1"/>
  <c r="AB161" i="1"/>
  <c r="AC161" i="1"/>
  <c r="AD161" i="1"/>
  <c r="T161" i="1" s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AM188" i="1"/>
  <c r="AN188" i="1"/>
  <c r="K163" i="1"/>
  <c r="L163" i="1"/>
  <c r="M163" i="1"/>
  <c r="N163" i="1" s="1"/>
  <c r="V163" i="1"/>
  <c r="Y163" i="1"/>
  <c r="Z163" i="1"/>
  <c r="AA163" i="1"/>
  <c r="AB163" i="1"/>
  <c r="AC163" i="1"/>
  <c r="AD163" i="1"/>
  <c r="T163" i="1" s="1"/>
  <c r="AE163" i="1"/>
  <c r="AF163" i="1"/>
  <c r="AH189" i="1"/>
  <c r="AM189" i="1"/>
  <c r="AN189" i="1"/>
  <c r="K164" i="1"/>
  <c r="L164" i="1"/>
  <c r="M164" i="1"/>
  <c r="N164" i="1" s="1"/>
  <c r="T164" i="1"/>
  <c r="V164" i="1"/>
  <c r="Y164" i="1"/>
  <c r="Z164" i="1"/>
  <c r="AB164" i="1"/>
  <c r="AC164" i="1"/>
  <c r="AD164" i="1"/>
  <c r="X164" i="1" s="1"/>
  <c r="AE164" i="1"/>
  <c r="AF164" i="1"/>
  <c r="AH190" i="1"/>
  <c r="AM190" i="1"/>
  <c r="AN190" i="1"/>
  <c r="K165" i="1"/>
  <c r="L165" i="1"/>
  <c r="M165" i="1"/>
  <c r="N165" i="1" s="1"/>
  <c r="V165" i="1"/>
  <c r="S33" i="3" s="1"/>
  <c r="Y165" i="1"/>
  <c r="Z165" i="1"/>
  <c r="AA165" i="1" s="1"/>
  <c r="AB165" i="1"/>
  <c r="AC165" i="1"/>
  <c r="AD165" i="1"/>
  <c r="T165" i="1" s="1"/>
  <c r="AE165" i="1"/>
  <c r="AF165" i="1"/>
  <c r="AH191" i="1"/>
  <c r="AM191" i="1"/>
  <c r="AN191" i="1"/>
  <c r="K166" i="1"/>
  <c r="L166" i="1"/>
  <c r="M166" i="1"/>
  <c r="N166" i="1"/>
  <c r="V166" i="1"/>
  <c r="S29" i="3" s="1"/>
  <c r="Y166" i="1"/>
  <c r="AA166" i="1" s="1"/>
  <c r="Z166" i="1"/>
  <c r="AB166" i="1"/>
  <c r="AC166" i="1"/>
  <c r="AD166" i="1"/>
  <c r="T166" i="1" s="1"/>
  <c r="AE166" i="1"/>
  <c r="R29" i="3" s="1"/>
  <c r="AF166" i="1"/>
  <c r="AH192" i="1"/>
  <c r="AM192" i="1"/>
  <c r="AN192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 s="1"/>
  <c r="V168" i="1"/>
  <c r="S36" i="3" s="1"/>
  <c r="Y168" i="1"/>
  <c r="Z168" i="1"/>
  <c r="AB168" i="1"/>
  <c r="AC168" i="1"/>
  <c r="AD168" i="1"/>
  <c r="AE168" i="1"/>
  <c r="R36" i="3" s="1"/>
  <c r="AF168" i="1"/>
  <c r="AH194" i="1"/>
  <c r="AM194" i="1"/>
  <c r="AN194" i="1"/>
  <c r="K169" i="1"/>
  <c r="L169" i="1"/>
  <c r="M169" i="1"/>
  <c r="N169" i="1"/>
  <c r="V169" i="1"/>
  <c r="S40" i="3" s="1"/>
  <c r="Y169" i="1"/>
  <c r="Z169" i="1"/>
  <c r="AB169" i="1"/>
  <c r="AC169" i="1"/>
  <c r="AD169" i="1"/>
  <c r="AE169" i="1"/>
  <c r="R40" i="3" s="1"/>
  <c r="AF169" i="1"/>
  <c r="AH195" i="1"/>
  <c r="AM195" i="1"/>
  <c r="AN195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99" i="1"/>
  <c r="AM199" i="1"/>
  <c r="AN199" i="1"/>
  <c r="K174" i="1"/>
  <c r="L174" i="1"/>
  <c r="M174" i="1"/>
  <c r="N174" i="1"/>
  <c r="V174" i="1"/>
  <c r="Y174" i="1"/>
  <c r="AA174" i="1" s="1"/>
  <c r="Z174" i="1"/>
  <c r="AB174" i="1"/>
  <c r="AC174" i="1"/>
  <c r="AD174" i="1"/>
  <c r="T174" i="1" s="1"/>
  <c r="AE174" i="1"/>
  <c r="AF174" i="1"/>
  <c r="AH200" i="1"/>
  <c r="AM200" i="1"/>
  <c r="AN200" i="1"/>
  <c r="K175" i="1"/>
  <c r="L175" i="1"/>
  <c r="M175" i="1"/>
  <c r="N175" i="1"/>
  <c r="V175" i="1"/>
  <c r="X175" i="1"/>
  <c r="Y175" i="1"/>
  <c r="Z175" i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T176" i="1"/>
  <c r="V176" i="1"/>
  <c r="S32" i="3" s="1"/>
  <c r="X176" i="1"/>
  <c r="Y176" i="1"/>
  <c r="Z176" i="1"/>
  <c r="AB176" i="1"/>
  <c r="AC176" i="1"/>
  <c r="AD176" i="1"/>
  <c r="AE176" i="1"/>
  <c r="R32" i="3" s="1"/>
  <c r="AF176" i="1"/>
  <c r="AH202" i="1"/>
  <c r="AM202" i="1"/>
  <c r="AN202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AM205" i="1"/>
  <c r="AN205" i="1"/>
  <c r="K179" i="1"/>
  <c r="L179" i="1"/>
  <c r="M179" i="1"/>
  <c r="N179" i="1" s="1"/>
  <c r="V179" i="1"/>
  <c r="Y179" i="1"/>
  <c r="AA179" i="1" s="1"/>
  <c r="Z179" i="1"/>
  <c r="AB179" i="1"/>
  <c r="AC179" i="1"/>
  <c r="AD179" i="1"/>
  <c r="T179" i="1" s="1"/>
  <c r="AE179" i="1"/>
  <c r="AF179" i="1"/>
  <c r="AH206" i="1"/>
  <c r="AM206" i="1"/>
  <c r="AN206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7" i="1"/>
  <c r="AM207" i="1"/>
  <c r="AN207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208" i="1"/>
  <c r="AM208" i="1"/>
  <c r="AN208" i="1"/>
  <c r="K182" i="1"/>
  <c r="L182" i="1"/>
  <c r="M182" i="1"/>
  <c r="N182" i="1"/>
  <c r="V182" i="1"/>
  <c r="Y182" i="1"/>
  <c r="AA182" i="1" s="1"/>
  <c r="Z182" i="1"/>
  <c r="AB182" i="1"/>
  <c r="AC182" i="1"/>
  <c r="AD182" i="1"/>
  <c r="T182" i="1" s="1"/>
  <c r="AE182" i="1"/>
  <c r="AF182" i="1"/>
  <c r="AH209" i="1"/>
  <c r="AM209" i="1"/>
  <c r="AN209" i="1"/>
  <c r="K183" i="1"/>
  <c r="L183" i="1"/>
  <c r="M183" i="1"/>
  <c r="N183" i="1" s="1"/>
  <c r="V183" i="1"/>
  <c r="Y183" i="1"/>
  <c r="Z183" i="1"/>
  <c r="AA183" i="1" s="1"/>
  <c r="AB183" i="1"/>
  <c r="AC183" i="1"/>
  <c r="AD183" i="1"/>
  <c r="X183" i="1" s="1"/>
  <c r="AE183" i="1"/>
  <c r="AF183" i="1"/>
  <c r="AH210" i="1"/>
  <c r="AM210" i="1"/>
  <c r="AN210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H211" i="1"/>
  <c r="AM211" i="1"/>
  <c r="AN211" i="1"/>
  <c r="K185" i="1"/>
  <c r="L185" i="1"/>
  <c r="M185" i="1"/>
  <c r="N185" i="1"/>
  <c r="V185" i="1"/>
  <c r="Y185" i="1"/>
  <c r="Z185" i="1"/>
  <c r="AB185" i="1"/>
  <c r="AC185" i="1"/>
  <c r="AD185" i="1"/>
  <c r="AE185" i="1"/>
  <c r="AF185" i="1"/>
  <c r="AH212" i="1"/>
  <c r="AM212" i="1"/>
  <c r="AN212" i="1"/>
  <c r="K186" i="1"/>
  <c r="L186" i="1"/>
  <c r="M186" i="1"/>
  <c r="N186" i="1" s="1"/>
  <c r="V186" i="1"/>
  <c r="S38" i="3" s="1"/>
  <c r="Y186" i="1"/>
  <c r="Z186" i="1"/>
  <c r="AA186" i="1" s="1"/>
  <c r="AB186" i="1"/>
  <c r="AC186" i="1"/>
  <c r="AD186" i="1"/>
  <c r="T186" i="1" s="1"/>
  <c r="AE186" i="1"/>
  <c r="R38" i="3" s="1"/>
  <c r="AF186" i="1"/>
  <c r="AH213" i="1"/>
  <c r="AM213" i="1"/>
  <c r="AN213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14" i="1"/>
  <c r="AM214" i="1"/>
  <c r="AN21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5" i="1"/>
  <c r="AM215" i="1"/>
  <c r="AN215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6" i="1"/>
  <c r="AM216" i="1"/>
  <c r="AN216" i="1"/>
  <c r="K190" i="1"/>
  <c r="L190" i="1"/>
  <c r="M190" i="1"/>
  <c r="N190" i="1"/>
  <c r="V190" i="1"/>
  <c r="Y190" i="1"/>
  <c r="Z190" i="1"/>
  <c r="AA190" i="1"/>
  <c r="AB190" i="1"/>
  <c r="AC190" i="1"/>
  <c r="AD190" i="1"/>
  <c r="T190" i="1" s="1"/>
  <c r="AE190" i="1"/>
  <c r="AF190" i="1"/>
  <c r="AH217" i="1"/>
  <c r="AM217" i="1"/>
  <c r="AN217" i="1"/>
  <c r="K191" i="1"/>
  <c r="L191" i="1"/>
  <c r="M191" i="1"/>
  <c r="N191" i="1"/>
  <c r="V191" i="1"/>
  <c r="X191" i="1"/>
  <c r="Y191" i="1"/>
  <c r="Z191" i="1"/>
  <c r="AB191" i="1"/>
  <c r="AC191" i="1"/>
  <c r="AD191" i="1"/>
  <c r="T191" i="1" s="1"/>
  <c r="AE191" i="1"/>
  <c r="R34" i="3" s="1"/>
  <c r="AF191" i="1"/>
  <c r="AH218" i="1"/>
  <c r="AM218" i="1"/>
  <c r="AN218" i="1"/>
  <c r="K192" i="1"/>
  <c r="L192" i="1"/>
  <c r="M192" i="1"/>
  <c r="N192" i="1" s="1"/>
  <c r="T192" i="1"/>
  <c r="V192" i="1"/>
  <c r="X192" i="1"/>
  <c r="Y192" i="1"/>
  <c r="Z192" i="1"/>
  <c r="AB192" i="1"/>
  <c r="AC192" i="1"/>
  <c r="AD192" i="1"/>
  <c r="AE192" i="1"/>
  <c r="AF192" i="1"/>
  <c r="AH219" i="1"/>
  <c r="AM219" i="1"/>
  <c r="AN219" i="1"/>
  <c r="K193" i="1"/>
  <c r="L193" i="1"/>
  <c r="M193" i="1"/>
  <c r="N193" i="1"/>
  <c r="V193" i="1"/>
  <c r="S41" i="3" s="1"/>
  <c r="Y193" i="1"/>
  <c r="Z193" i="1"/>
  <c r="AB193" i="1"/>
  <c r="AC193" i="1"/>
  <c r="AD193" i="1"/>
  <c r="AE193" i="1"/>
  <c r="R41" i="3" s="1"/>
  <c r="AF193" i="1"/>
  <c r="AH220" i="1"/>
  <c r="AM220" i="1"/>
  <c r="AN22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1" i="1"/>
  <c r="AM221" i="1"/>
  <c r="AN221" i="1"/>
  <c r="K195" i="1"/>
  <c r="L195" i="1"/>
  <c r="M195" i="1"/>
  <c r="N195" i="1" s="1"/>
  <c r="V195" i="1"/>
  <c r="Y195" i="1"/>
  <c r="Z195" i="1"/>
  <c r="AA195" i="1"/>
  <c r="AB195" i="1"/>
  <c r="AC195" i="1"/>
  <c r="AD195" i="1"/>
  <c r="T195" i="1" s="1"/>
  <c r="AE195" i="1"/>
  <c r="AF195" i="1"/>
  <c r="AH222" i="1"/>
  <c r="AM222" i="1"/>
  <c r="AN222" i="1"/>
  <c r="K196" i="1"/>
  <c r="L196" i="1"/>
  <c r="M196" i="1"/>
  <c r="N196" i="1" s="1"/>
  <c r="T196" i="1"/>
  <c r="V196" i="1"/>
  <c r="Y196" i="1"/>
  <c r="Z196" i="1"/>
  <c r="AB196" i="1"/>
  <c r="AC196" i="1"/>
  <c r="AD196" i="1"/>
  <c r="X196" i="1" s="1"/>
  <c r="AE196" i="1"/>
  <c r="AF196" i="1"/>
  <c r="AH223" i="1"/>
  <c r="AM223" i="1"/>
  <c r="AN223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24" i="1"/>
  <c r="AM224" i="1"/>
  <c r="AN224" i="1"/>
  <c r="K198" i="1"/>
  <c r="L198" i="1"/>
  <c r="M198" i="1"/>
  <c r="N198" i="1"/>
  <c r="V198" i="1"/>
  <c r="Y198" i="1"/>
  <c r="AA198" i="1" s="1"/>
  <c r="Z198" i="1"/>
  <c r="AB198" i="1"/>
  <c r="AC198" i="1"/>
  <c r="AD198" i="1"/>
  <c r="T198" i="1" s="1"/>
  <c r="AE198" i="1"/>
  <c r="AF198" i="1"/>
  <c r="AH225" i="1"/>
  <c r="AM225" i="1"/>
  <c r="AN225" i="1"/>
  <c r="K199" i="1"/>
  <c r="L199" i="1"/>
  <c r="M199" i="1"/>
  <c r="N199" i="1" s="1"/>
  <c r="V199" i="1"/>
  <c r="Y199" i="1"/>
  <c r="Z199" i="1"/>
  <c r="AA199" i="1" s="1"/>
  <c r="AB199" i="1"/>
  <c r="AC199" i="1"/>
  <c r="AD199" i="1"/>
  <c r="X199" i="1" s="1"/>
  <c r="AE199" i="1"/>
  <c r="AF199" i="1"/>
  <c r="AH226" i="1"/>
  <c r="AM226" i="1"/>
  <c r="AN22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7" i="1"/>
  <c r="AM227" i="1"/>
  <c r="AN227" i="1"/>
  <c r="K201" i="1"/>
  <c r="L201" i="1"/>
  <c r="M201" i="1"/>
  <c r="V201" i="1"/>
  <c r="Y201" i="1"/>
  <c r="Z201" i="1"/>
  <c r="AB201" i="1"/>
  <c r="AC201" i="1"/>
  <c r="AD201" i="1"/>
  <c r="AE201" i="1"/>
  <c r="AF201" i="1"/>
  <c r="AH228" i="1"/>
  <c r="AM228" i="1"/>
  <c r="AN228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9" i="1"/>
  <c r="AM229" i="1"/>
  <c r="AN229" i="1"/>
  <c r="K203" i="1"/>
  <c r="L203" i="1"/>
  <c r="M203" i="1"/>
  <c r="N203" i="1" s="1"/>
  <c r="V203" i="1"/>
  <c r="S28" i="3" s="1"/>
  <c r="Y203" i="1"/>
  <c r="Z203" i="1"/>
  <c r="AA203" i="1" s="1"/>
  <c r="AB203" i="1"/>
  <c r="AC203" i="1"/>
  <c r="AD203" i="1"/>
  <c r="AE203" i="1"/>
  <c r="R28" i="3" s="1"/>
  <c r="AF203" i="1"/>
  <c r="AH230" i="1"/>
  <c r="AM230" i="1"/>
  <c r="AN230" i="1"/>
  <c r="K205" i="1"/>
  <c r="L205" i="1"/>
  <c r="M205" i="1"/>
  <c r="N205" i="1" s="1"/>
  <c r="V205" i="1"/>
  <c r="S30" i="3" s="1"/>
  <c r="Y205" i="1"/>
  <c r="Z205" i="1"/>
  <c r="AB205" i="1"/>
  <c r="AC205" i="1"/>
  <c r="AD205" i="1"/>
  <c r="AE205" i="1"/>
  <c r="AF205" i="1"/>
  <c r="AH231" i="1"/>
  <c r="AM231" i="1"/>
  <c r="AN231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32" i="1"/>
  <c r="AM232" i="1"/>
  <c r="AN232" i="1"/>
  <c r="K219" i="1"/>
  <c r="L219" i="1"/>
  <c r="M219" i="1"/>
  <c r="N219" i="1"/>
  <c r="V219" i="1"/>
  <c r="Y219" i="1"/>
  <c r="AA219" i="1" s="1"/>
  <c r="Z219" i="1"/>
  <c r="AB219" i="1"/>
  <c r="AC219" i="1"/>
  <c r="AD219" i="1"/>
  <c r="T219" i="1" s="1"/>
  <c r="AE219" i="1"/>
  <c r="AF219" i="1"/>
  <c r="AH233" i="1"/>
  <c r="AM233" i="1"/>
  <c r="AN233" i="1"/>
  <c r="K220" i="1"/>
  <c r="L220" i="1"/>
  <c r="M220" i="1"/>
  <c r="N220" i="1"/>
  <c r="V220" i="1"/>
  <c r="X220" i="1"/>
  <c r="Y220" i="1"/>
  <c r="Z220" i="1"/>
  <c r="AB220" i="1"/>
  <c r="AC220" i="1"/>
  <c r="AD220" i="1"/>
  <c r="T220" i="1" s="1"/>
  <c r="AE220" i="1"/>
  <c r="AF220" i="1"/>
  <c r="AH234" i="1"/>
  <c r="AM234" i="1"/>
  <c r="AN234" i="1"/>
  <c r="K221" i="1"/>
  <c r="L221" i="1"/>
  <c r="M221" i="1"/>
  <c r="N221" i="1" s="1"/>
  <c r="T221" i="1"/>
  <c r="V221" i="1"/>
  <c r="X221" i="1"/>
  <c r="Y221" i="1"/>
  <c r="Z221" i="1"/>
  <c r="AB221" i="1"/>
  <c r="AC221" i="1"/>
  <c r="AD221" i="1"/>
  <c r="AE221" i="1"/>
  <c r="AF221" i="1"/>
  <c r="AH235" i="1"/>
  <c r="AM235" i="1"/>
  <c r="AN235" i="1"/>
  <c r="K222" i="1"/>
  <c r="L222" i="1"/>
  <c r="M222" i="1"/>
  <c r="N222" i="1"/>
  <c r="V222" i="1"/>
  <c r="Y222" i="1"/>
  <c r="Z222" i="1"/>
  <c r="AB222" i="1"/>
  <c r="AC222" i="1"/>
  <c r="AD222" i="1"/>
  <c r="AE222" i="1"/>
  <c r="AF222" i="1"/>
  <c r="AH236" i="1"/>
  <c r="AM236" i="1"/>
  <c r="AN23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7" i="1"/>
  <c r="AM237" i="1"/>
  <c r="AN237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AH238" i="1"/>
  <c r="AM238" i="1"/>
  <c r="AN238" i="1"/>
  <c r="M35" i="3"/>
  <c r="S35" i="3"/>
  <c r="U35" i="3"/>
  <c r="T35" i="3" s="1"/>
  <c r="V35" i="3"/>
  <c r="X35" i="3"/>
  <c r="M9" i="3"/>
  <c r="R9" i="3"/>
  <c r="U9" i="3"/>
  <c r="AD9" i="3" s="1"/>
  <c r="V9" i="3"/>
  <c r="X9" i="3"/>
  <c r="M33" i="3"/>
  <c r="R33" i="3"/>
  <c r="U33" i="3"/>
  <c r="AC33" i="3" s="1"/>
  <c r="V33" i="3"/>
  <c r="X33" i="3"/>
  <c r="M19" i="3"/>
  <c r="S19" i="3"/>
  <c r="U19" i="3"/>
  <c r="AC19" i="3" s="1"/>
  <c r="V19" i="3"/>
  <c r="X19" i="3"/>
  <c r="M29" i="3"/>
  <c r="U29" i="3"/>
  <c r="T29" i="3" s="1"/>
  <c r="V29" i="3"/>
  <c r="X29" i="3"/>
  <c r="M18" i="3"/>
  <c r="S18" i="3"/>
  <c r="U18" i="3"/>
  <c r="AC18" i="3" s="1"/>
  <c r="V18" i="3"/>
  <c r="X18" i="3"/>
  <c r="M40" i="3"/>
  <c r="U40" i="3"/>
  <c r="AC40" i="3" s="1"/>
  <c r="V40" i="3"/>
  <c r="X40" i="3"/>
  <c r="M20" i="3"/>
  <c r="R20" i="3"/>
  <c r="U20" i="3"/>
  <c r="AC20" i="3" s="1"/>
  <c r="V20" i="3"/>
  <c r="X20" i="3"/>
  <c r="M36" i="3"/>
  <c r="U36" i="3"/>
  <c r="T36" i="3" s="1"/>
  <c r="V36" i="3"/>
  <c r="X36" i="3"/>
  <c r="M31" i="3"/>
  <c r="U31" i="3"/>
  <c r="V31" i="3"/>
  <c r="X31" i="3"/>
  <c r="M37" i="3"/>
  <c r="U37" i="3"/>
  <c r="AC37" i="3" s="1"/>
  <c r="V37" i="3"/>
  <c r="X37" i="3"/>
  <c r="M23" i="3"/>
  <c r="R23" i="3"/>
  <c r="S23" i="3"/>
  <c r="U23" i="3"/>
  <c r="AC23" i="3" s="1"/>
  <c r="V23" i="3"/>
  <c r="X23" i="3"/>
  <c r="M46" i="3"/>
  <c r="R46" i="3"/>
  <c r="S46" i="3"/>
  <c r="U46" i="3"/>
  <c r="T46" i="3" s="1"/>
  <c r="V46" i="3"/>
  <c r="X46" i="3"/>
  <c r="AD20" i="3"/>
  <c r="M24" i="3"/>
  <c r="R24" i="3"/>
  <c r="U24" i="3"/>
  <c r="AD24" i="3" s="1"/>
  <c r="V24" i="3"/>
  <c r="X24" i="3"/>
  <c r="M7" i="3"/>
  <c r="U7" i="3"/>
  <c r="AC7" i="3" s="1"/>
  <c r="V7" i="3"/>
  <c r="X7" i="3"/>
  <c r="M32" i="3"/>
  <c r="U32" i="3"/>
  <c r="AC32" i="3" s="1"/>
  <c r="V32" i="3"/>
  <c r="X32" i="3"/>
  <c r="AD23" i="3"/>
  <c r="M45" i="3"/>
  <c r="R45" i="3"/>
  <c r="U45" i="3"/>
  <c r="T45" i="3" s="1"/>
  <c r="V45" i="3"/>
  <c r="X45" i="3"/>
  <c r="M8" i="3"/>
  <c r="R8" i="3"/>
  <c r="S8" i="3"/>
  <c r="U8" i="3"/>
  <c r="AC8" i="3" s="1"/>
  <c r="V8" i="3"/>
  <c r="X8" i="3"/>
  <c r="M26" i="3"/>
  <c r="S26" i="3"/>
  <c r="U26" i="3"/>
  <c r="AC26" i="3" s="1"/>
  <c r="V26" i="3"/>
  <c r="X26" i="3"/>
  <c r="M13" i="3"/>
  <c r="S13" i="3"/>
  <c r="U13" i="3"/>
  <c r="AC13" i="3" s="1"/>
  <c r="V13" i="3"/>
  <c r="X13" i="3"/>
  <c r="M17" i="3"/>
  <c r="R17" i="3"/>
  <c r="U17" i="3"/>
  <c r="T17" i="3" s="1"/>
  <c r="V17" i="3"/>
  <c r="X17" i="3"/>
  <c r="M43" i="3"/>
  <c r="R43" i="3"/>
  <c r="U43" i="3"/>
  <c r="V43" i="3"/>
  <c r="X43" i="3"/>
  <c r="M44" i="3"/>
  <c r="R44" i="3"/>
  <c r="U44" i="3"/>
  <c r="AC44" i="3" s="1"/>
  <c r="V44" i="3"/>
  <c r="X44" i="3"/>
  <c r="M25" i="3"/>
  <c r="T25" i="3"/>
  <c r="U25" i="3"/>
  <c r="AC25" i="3" s="1"/>
  <c r="V25" i="3"/>
  <c r="X25" i="3"/>
  <c r="AD31" i="3"/>
  <c r="M21" i="3"/>
  <c r="R21" i="3"/>
  <c r="U21" i="3"/>
  <c r="T21" i="3" s="1"/>
  <c r="V21" i="3"/>
  <c r="X21" i="3"/>
  <c r="M10" i="3"/>
  <c r="U10" i="3"/>
  <c r="AD33" i="3" s="1"/>
  <c r="V10" i="3"/>
  <c r="X10" i="3"/>
  <c r="M38" i="3"/>
  <c r="U38" i="3"/>
  <c r="AC38" i="3" s="1"/>
  <c r="V38" i="3"/>
  <c r="X38" i="3"/>
  <c r="M27" i="3"/>
  <c r="R27" i="3"/>
  <c r="S27" i="3"/>
  <c r="U27" i="3"/>
  <c r="AC27" i="3" s="1"/>
  <c r="V27" i="3"/>
  <c r="X27" i="3"/>
  <c r="M15" i="3"/>
  <c r="U15" i="3"/>
  <c r="T15" i="3" s="1"/>
  <c r="V15" i="3"/>
  <c r="X15" i="3"/>
  <c r="M34" i="3"/>
  <c r="S34" i="3"/>
  <c r="U34" i="3"/>
  <c r="V34" i="3"/>
  <c r="X34" i="3"/>
  <c r="M14" i="3"/>
  <c r="U14" i="3"/>
  <c r="AC14" i="3" s="1"/>
  <c r="V14" i="3"/>
  <c r="X14" i="3"/>
  <c r="M11" i="3"/>
  <c r="R11" i="3"/>
  <c r="S11" i="3"/>
  <c r="U11" i="3"/>
  <c r="AC11" i="3" s="1"/>
  <c r="V11" i="3"/>
  <c r="X11" i="3"/>
  <c r="M22" i="3"/>
  <c r="U22" i="3"/>
  <c r="T22" i="3" s="1"/>
  <c r="V22" i="3"/>
  <c r="X22" i="3"/>
  <c r="AD40" i="3"/>
  <c r="M12" i="3"/>
  <c r="R12" i="3"/>
  <c r="S12" i="3"/>
  <c r="U12" i="3"/>
  <c r="AC12" i="3" s="1"/>
  <c r="V12" i="3"/>
  <c r="X12" i="3"/>
  <c r="M41" i="3"/>
  <c r="U41" i="3"/>
  <c r="AC41" i="3" s="1"/>
  <c r="V41" i="3"/>
  <c r="X41" i="3"/>
  <c r="M16" i="3"/>
  <c r="R16" i="3"/>
  <c r="S16" i="3"/>
  <c r="U16" i="3"/>
  <c r="AC16" i="3" s="1"/>
  <c r="V16" i="3"/>
  <c r="X16" i="3"/>
  <c r="M28" i="3"/>
  <c r="U28" i="3"/>
  <c r="T28" i="3" s="1"/>
  <c r="V28" i="3"/>
  <c r="X28" i="3"/>
  <c r="AD44" i="3"/>
  <c r="M30" i="3"/>
  <c r="R30" i="3"/>
  <c r="U30" i="3"/>
  <c r="AD45" i="3" s="1"/>
  <c r="V30" i="3"/>
  <c r="X30" i="3"/>
  <c r="M39" i="3"/>
  <c r="R39" i="3"/>
  <c r="S39" i="3"/>
  <c r="U39" i="3"/>
  <c r="AC39" i="3" s="1"/>
  <c r="V39" i="3"/>
  <c r="X39" i="3"/>
  <c r="AG204" i="1"/>
  <c r="AG157" i="1"/>
  <c r="AG147" i="1"/>
  <c r="AG146" i="1"/>
  <c r="AG131" i="1"/>
  <c r="AG130" i="1"/>
  <c r="AG120" i="1"/>
  <c r="AG106" i="1"/>
  <c r="AG103" i="1"/>
  <c r="AG102" i="1"/>
  <c r="AG92" i="1"/>
  <c r="AG51" i="1"/>
  <c r="AG44" i="1"/>
  <c r="AG14" i="1"/>
  <c r="AG65" i="1"/>
  <c r="AG39" i="1"/>
  <c r="AG76" i="1"/>
  <c r="AG115" i="1"/>
  <c r="AG110" i="1"/>
  <c r="AG116" i="1"/>
  <c r="AG140" i="1"/>
  <c r="AG136" i="1"/>
  <c r="AG165" i="1"/>
  <c r="AG126" i="1"/>
  <c r="AG171" i="1"/>
  <c r="AG178" i="1"/>
  <c r="AG197" i="1"/>
  <c r="AG172" i="1"/>
  <c r="AG16" i="1"/>
  <c r="AG32" i="1"/>
  <c r="AG48" i="1"/>
  <c r="AG27" i="1"/>
  <c r="AG25" i="1"/>
  <c r="AG30" i="1"/>
  <c r="AG26" i="1"/>
  <c r="AG53" i="1"/>
  <c r="AG69" i="1"/>
  <c r="AG83" i="1"/>
  <c r="AG78" i="1"/>
  <c r="AG97" i="1"/>
  <c r="AG138" i="1"/>
  <c r="AG133" i="1"/>
  <c r="AG121" i="1"/>
  <c r="AG71" i="1"/>
  <c r="AG142" i="1"/>
  <c r="AG24" i="1"/>
  <c r="AG40" i="1"/>
  <c r="AG19" i="1"/>
  <c r="AG17" i="1"/>
  <c r="AG33" i="1"/>
  <c r="AG46" i="1"/>
  <c r="AG62" i="1"/>
  <c r="AG42" i="1"/>
  <c r="AG61" i="1"/>
  <c r="AG34" i="1"/>
  <c r="AG75" i="1"/>
  <c r="AG37" i="1"/>
  <c r="AG64" i="1"/>
  <c r="AG86" i="1"/>
  <c r="AG68" i="1"/>
  <c r="AG88" i="1"/>
  <c r="AG50" i="1"/>
  <c r="AG111" i="1"/>
  <c r="AG128" i="1"/>
  <c r="AG67" i="1"/>
  <c r="AG105" i="1"/>
  <c r="AG123" i="1"/>
  <c r="AG141" i="1"/>
  <c r="AG95" i="1"/>
  <c r="AG112" i="1"/>
  <c r="AG129" i="1"/>
  <c r="AG149" i="1"/>
  <c r="AG215" i="1"/>
  <c r="AG122" i="1"/>
  <c r="AG152" i="1"/>
  <c r="AG231" i="1"/>
  <c r="AG166" i="1"/>
  <c r="AG109" i="1"/>
  <c r="AG145" i="1"/>
  <c r="AG214" i="1"/>
  <c r="AG161" i="1"/>
  <c r="AG177" i="1"/>
  <c r="AG35" i="1"/>
  <c r="AG117" i="1"/>
  <c r="AG156" i="1"/>
  <c r="AG232" i="1"/>
  <c r="AG167" i="1"/>
  <c r="AG183" i="1"/>
  <c r="AG199" i="1"/>
  <c r="AG174" i="1"/>
  <c r="AG190" i="1"/>
  <c r="AG219" i="1"/>
  <c r="AG193" i="1"/>
  <c r="AG222" i="1"/>
  <c r="AG229" i="1"/>
  <c r="AG168" i="1"/>
  <c r="AG188" i="1"/>
  <c r="AG184" i="1"/>
  <c r="AG28" i="1"/>
  <c r="AG23" i="1"/>
  <c r="AG21" i="1"/>
  <c r="AG47" i="1"/>
  <c r="AG66" i="1"/>
  <c r="AG43" i="1"/>
  <c r="AG52" i="1"/>
  <c r="AG79" i="1"/>
  <c r="AG74" i="1"/>
  <c r="AG90" i="1"/>
  <c r="AG93" i="1"/>
  <c r="AG85" i="1"/>
  <c r="AG134" i="1"/>
  <c r="AG70" i="1"/>
  <c r="AG127" i="1"/>
  <c r="AG77" i="1"/>
  <c r="AG96" i="1"/>
  <c r="AG135" i="1"/>
  <c r="AG153" i="1"/>
  <c r="AG225" i="1"/>
  <c r="AG216" i="1"/>
  <c r="AG235" i="1"/>
  <c r="AG170" i="1"/>
  <c r="AG148" i="1"/>
  <c r="AG230" i="1"/>
  <c r="AG181" i="1"/>
  <c r="AG72" i="1"/>
  <c r="AG226" i="1"/>
  <c r="AG236" i="1"/>
  <c r="AG187" i="1"/>
  <c r="AG203" i="1"/>
  <c r="AG194" i="1"/>
  <c r="AG223" i="1"/>
  <c r="AG113" i="1"/>
  <c r="AG233" i="1"/>
  <c r="AG196" i="1"/>
  <c r="AG200" i="1"/>
  <c r="AG54" i="1"/>
  <c r="AG55" i="1"/>
  <c r="AG49" i="1"/>
  <c r="AG38" i="1"/>
  <c r="AG80" i="1"/>
  <c r="AG100" i="1"/>
  <c r="AG119" i="1"/>
  <c r="AG91" i="1"/>
  <c r="AG114" i="1"/>
  <c r="AG89" i="1"/>
  <c r="AG101" i="1"/>
  <c r="AG139" i="1"/>
  <c r="AG207" i="1"/>
  <c r="AG150" i="1"/>
  <c r="AG217" i="1"/>
  <c r="AG164" i="1"/>
  <c r="AG212" i="1"/>
  <c r="AG198" i="1"/>
  <c r="AG15" i="1"/>
  <c r="AG58" i="1"/>
  <c r="AG63" i="1"/>
  <c r="AG60" i="1"/>
  <c r="AG124" i="1"/>
  <c r="AG143" i="1"/>
  <c r="AG218" i="1"/>
  <c r="AG144" i="1"/>
  <c r="AG169" i="1"/>
  <c r="AG227" i="1"/>
  <c r="AG175" i="1"/>
  <c r="AG201" i="1"/>
  <c r="AG31" i="1"/>
  <c r="AG41" i="1"/>
  <c r="AG18" i="1"/>
  <c r="AG84" i="1"/>
  <c r="AG59" i="1"/>
  <c r="AG94" i="1"/>
  <c r="AG211" i="1"/>
  <c r="AG158" i="1"/>
  <c r="AG213" i="1"/>
  <c r="AG173" i="1"/>
  <c r="AG98" i="1"/>
  <c r="AG228" i="1"/>
  <c r="AG179" i="1"/>
  <c r="AG224" i="1"/>
  <c r="AG202" i="1"/>
  <c r="AG206" i="1"/>
  <c r="AG160" i="1"/>
  <c r="AG176" i="1"/>
  <c r="AG20" i="1"/>
  <c r="AG29" i="1"/>
  <c r="AG57" i="1"/>
  <c r="AG56" i="1"/>
  <c r="AG22" i="1"/>
  <c r="AG99" i="1"/>
  <c r="AG108" i="1"/>
  <c r="AG81" i="1"/>
  <c r="AG162" i="1"/>
  <c r="AG234" i="1"/>
  <c r="AG209" i="1"/>
  <c r="AG154" i="1"/>
  <c r="AG159" i="1"/>
  <c r="AG191" i="1"/>
  <c r="AG182" i="1"/>
  <c r="AG185" i="1"/>
  <c r="AG132" i="1"/>
  <c r="AG192" i="1"/>
  <c r="AG221" i="1"/>
  <c r="AG36" i="1"/>
  <c r="AG45" i="1"/>
  <c r="AG73" i="1"/>
  <c r="AG82" i="1"/>
  <c r="AG107" i="1"/>
  <c r="AG118" i="1"/>
  <c r="AG125" i="1"/>
  <c r="AG151" i="1"/>
  <c r="AG104" i="1"/>
  <c r="AG238" i="1"/>
  <c r="AG210" i="1"/>
  <c r="AG155" i="1"/>
  <c r="AG163" i="1"/>
  <c r="AG195" i="1"/>
  <c r="AG186" i="1"/>
  <c r="AG189" i="1"/>
  <c r="AG208" i="1"/>
  <c r="AG180" i="1"/>
  <c r="AG137" i="1"/>
  <c r="AG87" i="1"/>
  <c r="AG220" i="1"/>
  <c r="AG237" i="1"/>
  <c r="AG205" i="1"/>
  <c r="W24" i="3"/>
  <c r="W34" i="3"/>
  <c r="W21" i="3"/>
  <c r="W37" i="3"/>
  <c r="W38" i="3"/>
  <c r="W32" i="3"/>
  <c r="W22" i="3"/>
  <c r="W13" i="3"/>
  <c r="W36" i="3"/>
  <c r="W9" i="3"/>
  <c r="W8" i="3"/>
  <c r="W12" i="3"/>
  <c r="W28" i="3"/>
  <c r="W7" i="3"/>
  <c r="W14" i="3"/>
  <c r="W25" i="3"/>
  <c r="W19" i="3"/>
  <c r="W27" i="3"/>
  <c r="W46" i="3"/>
  <c r="W31" i="3"/>
  <c r="W10" i="3"/>
  <c r="W11" i="3"/>
  <c r="W40" i="3"/>
  <c r="W44" i="3"/>
  <c r="W39" i="3"/>
  <c r="W45" i="3"/>
  <c r="W23" i="3"/>
  <c r="W29" i="3"/>
  <c r="W15" i="3"/>
  <c r="W18" i="3"/>
  <c r="W43" i="3"/>
  <c r="W30" i="3"/>
  <c r="W33" i="3"/>
  <c r="W26" i="3"/>
  <c r="W41" i="3"/>
  <c r="W16" i="3"/>
  <c r="W20" i="3"/>
  <c r="W35" i="3"/>
  <c r="W17" i="3"/>
  <c r="AI204" i="1" l="1"/>
  <c r="U204" i="1"/>
  <c r="S204" i="1" s="1"/>
  <c r="W204" i="1"/>
  <c r="AI157" i="1"/>
  <c r="U157" i="1"/>
  <c r="S157" i="1" s="1"/>
  <c r="W157" i="1"/>
  <c r="AI146" i="1"/>
  <c r="U146" i="1"/>
  <c r="S146" i="1" s="1"/>
  <c r="U147" i="1"/>
  <c r="S147" i="1" s="1"/>
  <c r="AI147" i="1"/>
  <c r="W147" i="1"/>
  <c r="W146" i="1"/>
  <c r="X146" i="1"/>
  <c r="T32" i="3"/>
  <c r="AC46" i="3"/>
  <c r="T20" i="3"/>
  <c r="AD29" i="3"/>
  <c r="AC29" i="3"/>
  <c r="AC17" i="3"/>
  <c r="AI130" i="1"/>
  <c r="U130" i="1"/>
  <c r="S130" i="1" s="1"/>
  <c r="U131" i="1"/>
  <c r="S131" i="1" s="1"/>
  <c r="AI131" i="1"/>
  <c r="W131" i="1"/>
  <c r="W130" i="1"/>
  <c r="X130" i="1"/>
  <c r="AI120" i="1"/>
  <c r="U120" i="1"/>
  <c r="S120" i="1" s="1"/>
  <c r="W120" i="1"/>
  <c r="AD36" i="3"/>
  <c r="AE35" i="3"/>
  <c r="AC24" i="3"/>
  <c r="AD37" i="3"/>
  <c r="AD19" i="3"/>
  <c r="AC35" i="3"/>
  <c r="AI106" i="1"/>
  <c r="U106" i="1"/>
  <c r="S106" i="1" s="1"/>
  <c r="W106" i="1"/>
  <c r="X106" i="1"/>
  <c r="T103" i="1"/>
  <c r="U103" i="1" s="1"/>
  <c r="S103" i="1" s="1"/>
  <c r="AI102" i="1"/>
  <c r="U102" i="1"/>
  <c r="S102" i="1" s="1"/>
  <c r="AI103" i="1"/>
  <c r="W103" i="1"/>
  <c r="W102" i="1"/>
  <c r="AI92" i="1"/>
  <c r="U92" i="1"/>
  <c r="S92" i="1" s="1"/>
  <c r="W92" i="1"/>
  <c r="U51" i="1"/>
  <c r="S51" i="1" s="1"/>
  <c r="AI51" i="1"/>
  <c r="W51" i="1"/>
  <c r="AE43" i="3"/>
  <c r="AE19" i="3"/>
  <c r="AD43" i="3"/>
  <c r="AC34" i="3"/>
  <c r="AD32" i="3"/>
  <c r="AC43" i="3"/>
  <c r="T13" i="3"/>
  <c r="AC9" i="3"/>
  <c r="AD35" i="3"/>
  <c r="T27" i="3"/>
  <c r="AC10" i="3"/>
  <c r="AE31" i="3"/>
  <c r="AE23" i="3"/>
  <c r="AA223" i="1"/>
  <c r="AA205" i="1"/>
  <c r="AA201" i="1"/>
  <c r="X200" i="1"/>
  <c r="AA191" i="1"/>
  <c r="X187" i="1"/>
  <c r="AA178" i="1"/>
  <c r="AA172" i="1"/>
  <c r="AA169" i="1"/>
  <c r="X168" i="1"/>
  <c r="AA159" i="1"/>
  <c r="X236" i="1"/>
  <c r="X232" i="1"/>
  <c r="X225" i="1"/>
  <c r="AA54" i="1"/>
  <c r="AA48" i="1"/>
  <c r="AA40" i="1"/>
  <c r="X33" i="1"/>
  <c r="T25" i="1"/>
  <c r="AA20" i="1"/>
  <c r="T180" i="1"/>
  <c r="AA137" i="1"/>
  <c r="AA129" i="1"/>
  <c r="AA128" i="1"/>
  <c r="AA125" i="1"/>
  <c r="T125" i="1"/>
  <c r="AA124" i="1"/>
  <c r="AA117" i="1"/>
  <c r="AA115" i="1"/>
  <c r="AA85" i="1"/>
  <c r="AA82" i="1"/>
  <c r="AA79" i="1"/>
  <c r="T73" i="1"/>
  <c r="AA62" i="1"/>
  <c r="T58" i="1"/>
  <c r="AA52" i="1"/>
  <c r="AA23" i="1"/>
  <c r="AA220" i="1"/>
  <c r="X203" i="1"/>
  <c r="T200" i="1"/>
  <c r="AA194" i="1"/>
  <c r="AA188" i="1"/>
  <c r="AA185" i="1"/>
  <c r="X184" i="1"/>
  <c r="AA175" i="1"/>
  <c r="X171" i="1"/>
  <c r="T168" i="1"/>
  <c r="AA162" i="1"/>
  <c r="AA237" i="1"/>
  <c r="AA234" i="1"/>
  <c r="T232" i="1"/>
  <c r="AA231" i="1"/>
  <c r="T225" i="1"/>
  <c r="AA218" i="1"/>
  <c r="X215" i="1"/>
  <c r="AA154" i="1"/>
  <c r="X151" i="1"/>
  <c r="T93" i="1"/>
  <c r="T66" i="1"/>
  <c r="AA58" i="1"/>
  <c r="AA53" i="1"/>
  <c r="AA46" i="1"/>
  <c r="X41" i="1"/>
  <c r="T33" i="1"/>
  <c r="AA30" i="1"/>
  <c r="AA28" i="1"/>
  <c r="AA150" i="1"/>
  <c r="AA127" i="1"/>
  <c r="AA123" i="1"/>
  <c r="AA114" i="1"/>
  <c r="AA96" i="1"/>
  <c r="X95" i="1"/>
  <c r="AA93" i="1"/>
  <c r="AA87" i="1"/>
  <c r="AA66" i="1"/>
  <c r="X136" i="1"/>
  <c r="X135" i="1"/>
  <c r="T135" i="1"/>
  <c r="X67" i="1"/>
  <c r="T67" i="1"/>
  <c r="X179" i="1"/>
  <c r="T205" i="1"/>
  <c r="U205" i="1" s="1"/>
  <c r="S205" i="1" s="1"/>
  <c r="T203" i="1"/>
  <c r="X188" i="1"/>
  <c r="T188" i="1"/>
  <c r="T187" i="1"/>
  <c r="X172" i="1"/>
  <c r="T172" i="1"/>
  <c r="T171" i="1"/>
  <c r="U171" i="1" s="1"/>
  <c r="S171" i="1" s="1"/>
  <c r="S37" i="3"/>
  <c r="S31" i="3"/>
  <c r="X237" i="1"/>
  <c r="T237" i="1"/>
  <c r="U237" i="1" s="1"/>
  <c r="S237" i="1" s="1"/>
  <c r="T236" i="1"/>
  <c r="T117" i="1"/>
  <c r="X117" i="1"/>
  <c r="X112" i="1"/>
  <c r="T112" i="1"/>
  <c r="T107" i="1"/>
  <c r="X108" i="1"/>
  <c r="X226" i="1"/>
  <c r="T226" i="1"/>
  <c r="T149" i="1"/>
  <c r="T37" i="1"/>
  <c r="U37" i="1" s="1"/>
  <c r="S37" i="1" s="1"/>
  <c r="X38" i="1"/>
  <c r="X29" i="1"/>
  <c r="T29" i="1"/>
  <c r="T79" i="1"/>
  <c r="U79" i="1" s="1"/>
  <c r="S79" i="1" s="1"/>
  <c r="X80" i="1"/>
  <c r="X224" i="1"/>
  <c r="X195" i="1"/>
  <c r="X163" i="1"/>
  <c r="X154" i="1"/>
  <c r="X153" i="1"/>
  <c r="T153" i="1"/>
  <c r="X143" i="1"/>
  <c r="T143" i="1"/>
  <c r="T138" i="1"/>
  <c r="X139" i="1"/>
  <c r="X116" i="1"/>
  <c r="AA200" i="1"/>
  <c r="T199" i="1"/>
  <c r="T183" i="1"/>
  <c r="AA196" i="1"/>
  <c r="AA180" i="1"/>
  <c r="AA164" i="1"/>
  <c r="AA222" i="1"/>
  <c r="AA221" i="1"/>
  <c r="W221" i="1" s="1"/>
  <c r="AA193" i="1"/>
  <c r="AA192" i="1"/>
  <c r="AA177" i="1"/>
  <c r="AA176" i="1"/>
  <c r="W176" i="1" s="1"/>
  <c r="X167" i="1"/>
  <c r="AA161" i="1"/>
  <c r="AA160" i="1"/>
  <c r="AA153" i="1"/>
  <c r="AA151" i="1"/>
  <c r="AA149" i="1"/>
  <c r="AA148" i="1"/>
  <c r="W148" i="1" s="1"/>
  <c r="AA143" i="1"/>
  <c r="AA138" i="1"/>
  <c r="AA135" i="1"/>
  <c r="AA133" i="1"/>
  <c r="W133" i="1" s="1"/>
  <c r="AA112" i="1"/>
  <c r="AA110" i="1"/>
  <c r="X109" i="1"/>
  <c r="AA107" i="1"/>
  <c r="X101" i="1"/>
  <c r="T71" i="1"/>
  <c r="X71" i="1"/>
  <c r="X59" i="1"/>
  <c r="T59" i="1"/>
  <c r="AA184" i="1"/>
  <c r="AA168" i="1"/>
  <c r="W168" i="1" s="1"/>
  <c r="X233" i="1"/>
  <c r="AA233" i="1"/>
  <c r="AA212" i="1"/>
  <c r="AA136" i="1"/>
  <c r="W136" i="1" s="1"/>
  <c r="X126" i="1"/>
  <c r="AA121" i="1"/>
  <c r="AA118" i="1"/>
  <c r="AA99" i="1"/>
  <c r="W99" i="1" s="1"/>
  <c r="X213" i="1"/>
  <c r="X141" i="1"/>
  <c r="X113" i="1"/>
  <c r="X21" i="1"/>
  <c r="T21" i="1"/>
  <c r="AA230" i="1"/>
  <c r="AA229" i="1"/>
  <c r="X217" i="1"/>
  <c r="AA208" i="1"/>
  <c r="AA144" i="1"/>
  <c r="AA141" i="1"/>
  <c r="X140" i="1"/>
  <c r="AA105" i="1"/>
  <c r="AA98" i="1"/>
  <c r="AA94" i="1"/>
  <c r="W94" i="1" s="1"/>
  <c r="X91" i="1"/>
  <c r="AA89" i="1"/>
  <c r="X87" i="1"/>
  <c r="X84" i="1"/>
  <c r="AA78" i="1"/>
  <c r="AA77" i="1"/>
  <c r="AA71" i="1"/>
  <c r="W71" i="1" s="1"/>
  <c r="AA55" i="1"/>
  <c r="X46" i="1"/>
  <c r="X45" i="1"/>
  <c r="X34" i="1"/>
  <c r="AA81" i="1"/>
  <c r="AA72" i="1"/>
  <c r="X50" i="1"/>
  <c r="AA33" i="1"/>
  <c r="W33" i="1" s="1"/>
  <c r="AA25" i="1"/>
  <c r="AA17" i="1"/>
  <c r="AA15" i="1"/>
  <c r="AI235" i="1"/>
  <c r="U221" i="1"/>
  <c r="S221" i="1" s="1"/>
  <c r="AI227" i="1"/>
  <c r="U200" i="1"/>
  <c r="S200" i="1" s="1"/>
  <c r="AI211" i="1"/>
  <c r="U184" i="1"/>
  <c r="S184" i="1" s="1"/>
  <c r="AI202" i="1"/>
  <c r="U176" i="1"/>
  <c r="S176" i="1" s="1"/>
  <c r="AI231" i="1"/>
  <c r="AI223" i="1"/>
  <c r="U196" i="1"/>
  <c r="S196" i="1" s="1"/>
  <c r="AI215" i="1"/>
  <c r="U188" i="1"/>
  <c r="S188" i="1" s="1"/>
  <c r="AI207" i="1"/>
  <c r="U180" i="1"/>
  <c r="S180" i="1" s="1"/>
  <c r="AI219" i="1"/>
  <c r="U192" i="1"/>
  <c r="S192" i="1" s="1"/>
  <c r="AI198" i="1"/>
  <c r="U172" i="1"/>
  <c r="S172" i="1" s="1"/>
  <c r="AI194" i="1"/>
  <c r="U168" i="1"/>
  <c r="S168" i="1" s="1"/>
  <c r="AI186" i="1"/>
  <c r="U160" i="1"/>
  <c r="S160" i="1" s="1"/>
  <c r="AI182" i="1"/>
  <c r="AI178" i="1"/>
  <c r="U233" i="1"/>
  <c r="S233" i="1" s="1"/>
  <c r="AI174" i="1"/>
  <c r="U229" i="1"/>
  <c r="S229" i="1" s="1"/>
  <c r="AI159" i="1"/>
  <c r="U208" i="1"/>
  <c r="S208" i="1" s="1"/>
  <c r="AI132" i="1"/>
  <c r="U132" i="1"/>
  <c r="S132" i="1" s="1"/>
  <c r="AI113" i="1"/>
  <c r="U113" i="1"/>
  <c r="S113" i="1" s="1"/>
  <c r="AI236" i="1"/>
  <c r="AI232" i="1"/>
  <c r="AI228" i="1"/>
  <c r="AI224" i="1"/>
  <c r="AI220" i="1"/>
  <c r="AI216" i="1"/>
  <c r="AI212" i="1"/>
  <c r="U223" i="1"/>
  <c r="S223" i="1" s="1"/>
  <c r="AI237" i="1"/>
  <c r="U219" i="1"/>
  <c r="S219" i="1" s="1"/>
  <c r="AI233" i="1"/>
  <c r="U202" i="1"/>
  <c r="S202" i="1"/>
  <c r="AI229" i="1"/>
  <c r="U198" i="1"/>
  <c r="S198" i="1" s="1"/>
  <c r="AI225" i="1"/>
  <c r="U194" i="1"/>
  <c r="S194" i="1" s="1"/>
  <c r="AI221" i="1"/>
  <c r="U190" i="1"/>
  <c r="S190" i="1" s="1"/>
  <c r="AI217" i="1"/>
  <c r="U186" i="1"/>
  <c r="S186" i="1" s="1"/>
  <c r="AI213" i="1"/>
  <c r="U182" i="1"/>
  <c r="S182" i="1" s="1"/>
  <c r="AI209" i="1"/>
  <c r="U178" i="1"/>
  <c r="S178" i="1" s="1"/>
  <c r="AI205" i="1"/>
  <c r="U174" i="1"/>
  <c r="S174" i="1" s="1"/>
  <c r="AI200" i="1"/>
  <c r="U224" i="1"/>
  <c r="S224" i="1" s="1"/>
  <c r="AI238" i="1"/>
  <c r="U220" i="1"/>
  <c r="S220" i="1" s="1"/>
  <c r="AI234" i="1"/>
  <c r="AI230" i="1"/>
  <c r="U203" i="1"/>
  <c r="S203" i="1" s="1"/>
  <c r="AI226" i="1"/>
  <c r="U199" i="1"/>
  <c r="S199" i="1" s="1"/>
  <c r="AI222" i="1"/>
  <c r="U195" i="1"/>
  <c r="S195" i="1" s="1"/>
  <c r="AI218" i="1"/>
  <c r="U191" i="1"/>
  <c r="S191" i="1" s="1"/>
  <c r="AI214" i="1"/>
  <c r="U187" i="1"/>
  <c r="S187" i="1" s="1"/>
  <c r="U183" i="1"/>
  <c r="S183" i="1" s="1"/>
  <c r="AI210" i="1"/>
  <c r="AI206" i="1"/>
  <c r="U179" i="1"/>
  <c r="S179" i="1" s="1"/>
  <c r="AI201" i="1"/>
  <c r="U175" i="1"/>
  <c r="S175" i="1" s="1"/>
  <c r="AI197" i="1"/>
  <c r="AI193" i="1"/>
  <c r="U167" i="1"/>
  <c r="S167" i="1" s="1"/>
  <c r="AI189" i="1"/>
  <c r="U163" i="1"/>
  <c r="S163" i="1" s="1"/>
  <c r="AI185" i="1"/>
  <c r="U159" i="1"/>
  <c r="S159" i="1" s="1"/>
  <c r="AI181" i="1"/>
  <c r="U236" i="1"/>
  <c r="S236" i="1" s="1"/>
  <c r="AI177" i="1"/>
  <c r="U232" i="1"/>
  <c r="S232" i="1" s="1"/>
  <c r="W228" i="1"/>
  <c r="AI173" i="1"/>
  <c r="AI172" i="1"/>
  <c r="U227" i="1"/>
  <c r="S227" i="1" s="1"/>
  <c r="AI171" i="1"/>
  <c r="U226" i="1"/>
  <c r="S226" i="1" s="1"/>
  <c r="W156" i="1"/>
  <c r="AI156" i="1"/>
  <c r="AI155" i="1"/>
  <c r="U155" i="1"/>
  <c r="S155" i="1" s="1"/>
  <c r="AI154" i="1"/>
  <c r="U154" i="1"/>
  <c r="S154" i="1" s="1"/>
  <c r="AI126" i="1"/>
  <c r="U126" i="1"/>
  <c r="S126" i="1" s="1"/>
  <c r="AI117" i="1"/>
  <c r="U117" i="1"/>
  <c r="S117" i="1" s="1"/>
  <c r="AI98" i="1"/>
  <c r="U98" i="1"/>
  <c r="S98" i="1" s="1"/>
  <c r="AI87" i="1"/>
  <c r="U87" i="1"/>
  <c r="S87" i="1" s="1"/>
  <c r="AI72" i="1"/>
  <c r="AI35" i="1"/>
  <c r="AI161" i="1"/>
  <c r="AI160" i="1"/>
  <c r="U209" i="1"/>
  <c r="S209" i="1" s="1"/>
  <c r="AI208" i="1"/>
  <c r="AI203" i="1"/>
  <c r="AI199" i="1"/>
  <c r="AI195" i="1"/>
  <c r="U165" i="1"/>
  <c r="S165" i="1" s="1"/>
  <c r="AI191" i="1"/>
  <c r="U161" i="1"/>
  <c r="S161" i="1" s="1"/>
  <c r="AI187" i="1"/>
  <c r="U238" i="1"/>
  <c r="S238" i="1" s="1"/>
  <c r="AI183" i="1"/>
  <c r="U234" i="1"/>
  <c r="S234" i="1" s="1"/>
  <c r="AI179" i="1"/>
  <c r="U230" i="1"/>
  <c r="S230" i="1" s="1"/>
  <c r="AI175" i="1"/>
  <c r="AI165" i="1"/>
  <c r="AI164" i="1"/>
  <c r="U212" i="1"/>
  <c r="S212" i="1" s="1"/>
  <c r="AI163" i="1"/>
  <c r="AI148" i="1"/>
  <c r="AI145" i="1"/>
  <c r="U144" i="1"/>
  <c r="S144" i="1" s="1"/>
  <c r="AI144" i="1"/>
  <c r="U142" i="1"/>
  <c r="S142" i="1" s="1"/>
  <c r="AI142" i="1"/>
  <c r="AI136" i="1"/>
  <c r="U136" i="1"/>
  <c r="S136" i="1" s="1"/>
  <c r="AI109" i="1"/>
  <c r="U109" i="1"/>
  <c r="S109" i="1" s="1"/>
  <c r="AI104" i="1"/>
  <c r="U104" i="1"/>
  <c r="S104" i="1" s="1"/>
  <c r="AI190" i="1"/>
  <c r="U164" i="1"/>
  <c r="S164" i="1" s="1"/>
  <c r="U170" i="1"/>
  <c r="S170" i="1" s="1"/>
  <c r="AI196" i="1"/>
  <c r="U166" i="1"/>
  <c r="S166" i="1" s="1"/>
  <c r="AI192" i="1"/>
  <c r="U162" i="1"/>
  <c r="S162" i="1" s="1"/>
  <c r="AI188" i="1"/>
  <c r="U158" i="1"/>
  <c r="S158" i="1" s="1"/>
  <c r="AI184" i="1"/>
  <c r="U235" i="1"/>
  <c r="S235" i="1" s="1"/>
  <c r="AI180" i="1"/>
  <c r="U231" i="1"/>
  <c r="S231" i="1" s="1"/>
  <c r="AI176" i="1"/>
  <c r="AI169" i="1"/>
  <c r="AI168" i="1"/>
  <c r="U216" i="1"/>
  <c r="S216" i="1" s="1"/>
  <c r="AI167" i="1"/>
  <c r="AI152" i="1"/>
  <c r="AI151" i="1"/>
  <c r="U150" i="1"/>
  <c r="S150" i="1" s="1"/>
  <c r="AI150" i="1"/>
  <c r="AI140" i="1"/>
  <c r="U140" i="1"/>
  <c r="S140" i="1" s="1"/>
  <c r="AI122" i="1"/>
  <c r="U122" i="1"/>
  <c r="S122" i="1" s="1"/>
  <c r="AI81" i="1"/>
  <c r="U81" i="1"/>
  <c r="S81" i="1" s="1"/>
  <c r="AI71" i="1"/>
  <c r="U71" i="1"/>
  <c r="S71" i="1" s="1"/>
  <c r="U225" i="1"/>
  <c r="S225" i="1" s="1"/>
  <c r="AI170" i="1"/>
  <c r="U215" i="1"/>
  <c r="S215" i="1" s="1"/>
  <c r="AI166" i="1"/>
  <c r="U211" i="1"/>
  <c r="S211" i="1" s="1"/>
  <c r="AI162" i="1"/>
  <c r="AI158" i="1"/>
  <c r="U153" i="1"/>
  <c r="S153" i="1" s="1"/>
  <c r="AI153" i="1"/>
  <c r="U149" i="1"/>
  <c r="S149" i="1" s="1"/>
  <c r="AI149" i="1"/>
  <c r="U143" i="1"/>
  <c r="S143" i="1" s="1"/>
  <c r="AI143" i="1"/>
  <c r="AI139" i="1"/>
  <c r="U139" i="1"/>
  <c r="S139" i="1" s="1"/>
  <c r="AI135" i="1"/>
  <c r="U135" i="1"/>
  <c r="S135" i="1" s="1"/>
  <c r="AI129" i="1"/>
  <c r="U129" i="1"/>
  <c r="S129" i="1" s="1"/>
  <c r="AI125" i="1"/>
  <c r="U125" i="1"/>
  <c r="S125" i="1" s="1"/>
  <c r="AI121" i="1"/>
  <c r="U121" i="1"/>
  <c r="S121" i="1" s="1"/>
  <c r="AI116" i="1"/>
  <c r="U116" i="1"/>
  <c r="S116" i="1" s="1"/>
  <c r="AI112" i="1"/>
  <c r="U112" i="1"/>
  <c r="S112" i="1" s="1"/>
  <c r="AI108" i="1"/>
  <c r="U108" i="1"/>
  <c r="S108" i="1" s="1"/>
  <c r="AI101" i="1"/>
  <c r="U101" i="1"/>
  <c r="S101" i="1" s="1"/>
  <c r="AI96" i="1"/>
  <c r="AI95" i="1"/>
  <c r="U95" i="1"/>
  <c r="S95" i="1" s="1"/>
  <c r="U94" i="1"/>
  <c r="S94" i="1" s="1"/>
  <c r="AI94" i="1"/>
  <c r="U89" i="1"/>
  <c r="S89" i="1" s="1"/>
  <c r="AI89" i="1"/>
  <c r="W89" i="1"/>
  <c r="AI77" i="1"/>
  <c r="U77" i="1"/>
  <c r="S77" i="1" s="1"/>
  <c r="U141" i="1"/>
  <c r="S141" i="1" s="1"/>
  <c r="AI141" i="1"/>
  <c r="AI137" i="1"/>
  <c r="AI133" i="1"/>
  <c r="AI127" i="1"/>
  <c r="AI123" i="1"/>
  <c r="AI118" i="1"/>
  <c r="AI114" i="1"/>
  <c r="AI110" i="1"/>
  <c r="AI105" i="1"/>
  <c r="AI99" i="1"/>
  <c r="AI91" i="1"/>
  <c r="U91" i="1"/>
  <c r="S91" i="1" s="1"/>
  <c r="AI70" i="1"/>
  <c r="U70" i="1"/>
  <c r="S70" i="1" s="1"/>
  <c r="AI67" i="1"/>
  <c r="U67" i="1"/>
  <c r="S67" i="1" s="1"/>
  <c r="AI59" i="1"/>
  <c r="U59" i="1"/>
  <c r="S59" i="1" s="1"/>
  <c r="U138" i="1"/>
  <c r="S138" i="1" s="1"/>
  <c r="W138" i="1"/>
  <c r="AI138" i="1"/>
  <c r="U134" i="1"/>
  <c r="S134" i="1" s="1"/>
  <c r="AI134" i="1"/>
  <c r="W134" i="1"/>
  <c r="U128" i="1"/>
  <c r="S128" i="1" s="1"/>
  <c r="AI128" i="1"/>
  <c r="U124" i="1"/>
  <c r="S124" i="1" s="1"/>
  <c r="W124" i="1"/>
  <c r="AI124" i="1"/>
  <c r="U119" i="1"/>
  <c r="S119" i="1" s="1"/>
  <c r="AI119" i="1"/>
  <c r="U115" i="1"/>
  <c r="S115" i="1" s="1"/>
  <c r="AI115" i="1"/>
  <c r="W115" i="1"/>
  <c r="U111" i="1"/>
  <c r="S111" i="1" s="1"/>
  <c r="W111" i="1"/>
  <c r="AI111" i="1"/>
  <c r="U107" i="1"/>
  <c r="S107" i="1" s="1"/>
  <c r="AI107" i="1"/>
  <c r="W107" i="1"/>
  <c r="U100" i="1"/>
  <c r="S100" i="1" s="1"/>
  <c r="AI100" i="1"/>
  <c r="U85" i="1"/>
  <c r="S85" i="1" s="1"/>
  <c r="AI85" i="1"/>
  <c r="AI50" i="1"/>
  <c r="U50" i="1"/>
  <c r="AI22" i="1"/>
  <c r="U22" i="1"/>
  <c r="S22" i="1" s="1"/>
  <c r="AI97" i="1"/>
  <c r="AI93" i="1"/>
  <c r="U93" i="1"/>
  <c r="S93" i="1" s="1"/>
  <c r="AI88" i="1"/>
  <c r="AI84" i="1"/>
  <c r="U84" i="1"/>
  <c r="S84" i="1" s="1"/>
  <c r="AI80" i="1"/>
  <c r="U80" i="1"/>
  <c r="S80" i="1" s="1"/>
  <c r="AI76" i="1"/>
  <c r="U76" i="1"/>
  <c r="S76" i="1" s="1"/>
  <c r="AI68" i="1"/>
  <c r="AI60" i="1"/>
  <c r="AI38" i="1"/>
  <c r="U38" i="1"/>
  <c r="S38" i="1" s="1"/>
  <c r="AI90" i="1"/>
  <c r="AI86" i="1"/>
  <c r="AI82" i="1"/>
  <c r="AI78" i="1"/>
  <c r="AI74" i="1"/>
  <c r="AI64" i="1"/>
  <c r="AI56" i="1"/>
  <c r="AI49" i="1"/>
  <c r="U49" i="1"/>
  <c r="AI39" i="1"/>
  <c r="AI37" i="1"/>
  <c r="AI18" i="1"/>
  <c r="U18" i="1"/>
  <c r="S18" i="1" s="1"/>
  <c r="U83" i="1"/>
  <c r="S83" i="1" s="1"/>
  <c r="AI83" i="1"/>
  <c r="AI79" i="1"/>
  <c r="U75" i="1"/>
  <c r="S75" i="1" s="1"/>
  <c r="AI75" i="1"/>
  <c r="AI63" i="1"/>
  <c r="U63" i="1"/>
  <c r="S63" i="1" s="1"/>
  <c r="AI55" i="1"/>
  <c r="U55" i="1"/>
  <c r="S55" i="1" s="1"/>
  <c r="AI52" i="1"/>
  <c r="AI34" i="1"/>
  <c r="U34" i="1"/>
  <c r="S34" i="1" s="1"/>
  <c r="U73" i="1"/>
  <c r="S73" i="1" s="1"/>
  <c r="AI73" i="1"/>
  <c r="AI69" i="1"/>
  <c r="AI65" i="1"/>
  <c r="AI61" i="1"/>
  <c r="AI57" i="1"/>
  <c r="AI53" i="1"/>
  <c r="AI43" i="1"/>
  <c r="AI42" i="1"/>
  <c r="U41" i="1"/>
  <c r="S41" i="1" s="1"/>
  <c r="AI41" i="1"/>
  <c r="AI26" i="1"/>
  <c r="U26" i="1"/>
  <c r="S26" i="1" s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7" i="1"/>
  <c r="AI46" i="1"/>
  <c r="U46" i="1"/>
  <c r="S46" i="1" s="1"/>
  <c r="U45" i="1"/>
  <c r="S45" i="1" s="1"/>
  <c r="AI45" i="1"/>
  <c r="AI30" i="1"/>
  <c r="U30" i="1"/>
  <c r="S30" i="1" s="1"/>
  <c r="AI14" i="1"/>
  <c r="U14" i="1"/>
  <c r="S14" i="1" s="1"/>
  <c r="U33" i="1"/>
  <c r="S33" i="1" s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1" i="1"/>
  <c r="AI27" i="1"/>
  <c r="AI23" i="1"/>
  <c r="AI19" i="1"/>
  <c r="AI15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W32" i="1"/>
  <c r="U28" i="1"/>
  <c r="S28" i="1" s="1"/>
  <c r="AI28" i="1"/>
  <c r="W28" i="1"/>
  <c r="U24" i="1"/>
  <c r="S24" i="1" s="1"/>
  <c r="AI24" i="1"/>
  <c r="U20" i="1"/>
  <c r="S20" i="1" s="1"/>
  <c r="AI20" i="1"/>
  <c r="U16" i="1"/>
  <c r="S16" i="1" s="1"/>
  <c r="AI16" i="1"/>
  <c r="W16" i="1"/>
  <c r="W223" i="1"/>
  <c r="W202" i="1"/>
  <c r="W198" i="1"/>
  <c r="W182" i="1"/>
  <c r="W194" i="1"/>
  <c r="W178" i="1"/>
  <c r="W219" i="1"/>
  <c r="W190" i="1"/>
  <c r="W174" i="1"/>
  <c r="W186" i="1"/>
  <c r="W170" i="1"/>
  <c r="S43" i="3"/>
  <c r="S44" i="3"/>
  <c r="W173" i="1"/>
  <c r="W222" i="1"/>
  <c r="W201" i="1"/>
  <c r="W193" i="1"/>
  <c r="W185" i="1"/>
  <c r="W177" i="1"/>
  <c r="T222" i="1"/>
  <c r="U222" i="1" s="1"/>
  <c r="S222" i="1" s="1"/>
  <c r="X222" i="1"/>
  <c r="W220" i="1"/>
  <c r="T201" i="1"/>
  <c r="U201" i="1" s="1"/>
  <c r="S201" i="1" s="1"/>
  <c r="X201" i="1"/>
  <c r="W200" i="1"/>
  <c r="W199" i="1"/>
  <c r="T193" i="1"/>
  <c r="U193" i="1" s="1"/>
  <c r="S193" i="1" s="1"/>
  <c r="X193" i="1"/>
  <c r="W192" i="1"/>
  <c r="W191" i="1"/>
  <c r="T185" i="1"/>
  <c r="U185" i="1" s="1"/>
  <c r="S185" i="1" s="1"/>
  <c r="X185" i="1"/>
  <c r="W184" i="1"/>
  <c r="W183" i="1"/>
  <c r="T177" i="1"/>
  <c r="U177" i="1" s="1"/>
  <c r="S177" i="1" s="1"/>
  <c r="X177" i="1"/>
  <c r="W175" i="1"/>
  <c r="T169" i="1"/>
  <c r="U169" i="1" s="1"/>
  <c r="S169" i="1" s="1"/>
  <c r="X169" i="1"/>
  <c r="W166" i="1"/>
  <c r="W165" i="1"/>
  <c r="W164" i="1"/>
  <c r="W159" i="1"/>
  <c r="W231" i="1"/>
  <c r="W230" i="1"/>
  <c r="W229" i="1"/>
  <c r="W218" i="1"/>
  <c r="W211" i="1"/>
  <c r="W208" i="1"/>
  <c r="W153" i="1"/>
  <c r="W150" i="1"/>
  <c r="W149" i="1"/>
  <c r="W144" i="1"/>
  <c r="W128" i="1"/>
  <c r="W197" i="1"/>
  <c r="W189" i="1"/>
  <c r="R31" i="3"/>
  <c r="R37" i="3"/>
  <c r="W162" i="1"/>
  <c r="W161" i="1"/>
  <c r="W160" i="1"/>
  <c r="W236" i="1"/>
  <c r="W226" i="1"/>
  <c r="W210" i="1"/>
  <c r="W100" i="1"/>
  <c r="W96" i="1"/>
  <c r="W45" i="1"/>
  <c r="W224" i="1"/>
  <c r="T206" i="1"/>
  <c r="U206" i="1" s="1"/>
  <c r="S206" i="1" s="1"/>
  <c r="W205" i="1"/>
  <c r="W203" i="1"/>
  <c r="T197" i="1"/>
  <c r="U197" i="1" s="1"/>
  <c r="S197" i="1" s="1"/>
  <c r="X197" i="1"/>
  <c r="W196" i="1"/>
  <c r="W195" i="1"/>
  <c r="T189" i="1"/>
  <c r="U189" i="1" s="1"/>
  <c r="S189" i="1" s="1"/>
  <c r="X189" i="1"/>
  <c r="W188" i="1"/>
  <c r="W187" i="1"/>
  <c r="T181" i="1"/>
  <c r="U181" i="1" s="1"/>
  <c r="S181" i="1" s="1"/>
  <c r="X181" i="1"/>
  <c r="W180" i="1"/>
  <c r="W179" i="1"/>
  <c r="T173" i="1"/>
  <c r="U173" i="1" s="1"/>
  <c r="S173" i="1" s="1"/>
  <c r="X173" i="1"/>
  <c r="W172" i="1"/>
  <c r="W171" i="1"/>
  <c r="W167" i="1"/>
  <c r="W158" i="1"/>
  <c r="W238" i="1"/>
  <c r="W237" i="1"/>
  <c r="W232" i="1"/>
  <c r="W225" i="1"/>
  <c r="W216" i="1"/>
  <c r="W215" i="1"/>
  <c r="W212" i="1"/>
  <c r="W207" i="1"/>
  <c r="W152" i="1"/>
  <c r="W119" i="1"/>
  <c r="W206" i="1"/>
  <c r="W181" i="1"/>
  <c r="W169" i="1"/>
  <c r="W163" i="1"/>
  <c r="W235" i="1"/>
  <c r="W234" i="1"/>
  <c r="W233" i="1"/>
  <c r="W214" i="1"/>
  <c r="W154" i="1"/>
  <c r="W142" i="1"/>
  <c r="W217" i="1"/>
  <c r="T145" i="1"/>
  <c r="U145" i="1" s="1"/>
  <c r="S145" i="1" s="1"/>
  <c r="W143" i="1"/>
  <c r="W123" i="1"/>
  <c r="T110" i="1"/>
  <c r="U110" i="1" s="1"/>
  <c r="S110" i="1" s="1"/>
  <c r="X110" i="1"/>
  <c r="T105" i="1"/>
  <c r="U105" i="1" s="1"/>
  <c r="S105" i="1" s="1"/>
  <c r="X105" i="1"/>
  <c r="W93" i="1"/>
  <c r="W83" i="1"/>
  <c r="W79" i="1"/>
  <c r="W74" i="1"/>
  <c r="W66" i="1"/>
  <c r="W58" i="1"/>
  <c r="X223" i="1"/>
  <c r="X219" i="1"/>
  <c r="X202" i="1"/>
  <c r="X198" i="1"/>
  <c r="X194" i="1"/>
  <c r="X190" i="1"/>
  <c r="X186" i="1"/>
  <c r="X182" i="1"/>
  <c r="X178" i="1"/>
  <c r="X174" i="1"/>
  <c r="X170" i="1"/>
  <c r="X166" i="1"/>
  <c r="X162" i="1"/>
  <c r="X235" i="1"/>
  <c r="X231" i="1"/>
  <c r="X227" i="1"/>
  <c r="X216" i="1"/>
  <c r="AA213" i="1"/>
  <c r="W213" i="1" s="1"/>
  <c r="X211" i="1"/>
  <c r="T210" i="1"/>
  <c r="U210" i="1" s="1"/>
  <c r="S210" i="1" s="1"/>
  <c r="X210" i="1"/>
  <c r="X155" i="1"/>
  <c r="X150" i="1"/>
  <c r="AA145" i="1"/>
  <c r="W145" i="1" s="1"/>
  <c r="W137" i="1"/>
  <c r="W135" i="1"/>
  <c r="T133" i="1"/>
  <c r="U133" i="1" s="1"/>
  <c r="S133" i="1" s="1"/>
  <c r="W132" i="1"/>
  <c r="T114" i="1"/>
  <c r="U114" i="1" s="1"/>
  <c r="S114" i="1" s="1"/>
  <c r="X114" i="1"/>
  <c r="W113" i="1"/>
  <c r="W112" i="1"/>
  <c r="W110" i="1"/>
  <c r="AA109" i="1"/>
  <c r="W109" i="1" s="1"/>
  <c r="W105" i="1"/>
  <c r="AA104" i="1"/>
  <c r="W104" i="1" s="1"/>
  <c r="W75" i="1"/>
  <c r="W69" i="1"/>
  <c r="W62" i="1"/>
  <c r="W61" i="1"/>
  <c r="W54" i="1"/>
  <c r="W53" i="1"/>
  <c r="W41" i="1"/>
  <c r="T214" i="1"/>
  <c r="U214" i="1" s="1"/>
  <c r="S214" i="1" s="1"/>
  <c r="X214" i="1"/>
  <c r="T213" i="1"/>
  <c r="U213" i="1" s="1"/>
  <c r="S213" i="1" s="1"/>
  <c r="T148" i="1"/>
  <c r="U148" i="1" s="1"/>
  <c r="S148" i="1" s="1"/>
  <c r="W227" i="1"/>
  <c r="T218" i="1"/>
  <c r="U218" i="1" s="1"/>
  <c r="S218" i="1" s="1"/>
  <c r="X218" i="1"/>
  <c r="T217" i="1"/>
  <c r="U217" i="1" s="1"/>
  <c r="S217" i="1" s="1"/>
  <c r="X208" i="1"/>
  <c r="T207" i="1"/>
  <c r="U207" i="1" s="1"/>
  <c r="S207" i="1" s="1"/>
  <c r="W155" i="1"/>
  <c r="T152" i="1"/>
  <c r="U152" i="1" s="1"/>
  <c r="S152" i="1" s="1"/>
  <c r="X152" i="1"/>
  <c r="T151" i="1"/>
  <c r="U151" i="1" s="1"/>
  <c r="S151" i="1" s="1"/>
  <c r="W141" i="1"/>
  <c r="W140" i="1"/>
  <c r="W127" i="1"/>
  <c r="W125" i="1"/>
  <c r="T123" i="1"/>
  <c r="U123" i="1" s="1"/>
  <c r="S123" i="1" s="1"/>
  <c r="X123" i="1"/>
  <c r="W122" i="1"/>
  <c r="W121" i="1"/>
  <c r="W118" i="1"/>
  <c r="W108" i="1"/>
  <c r="W98" i="1"/>
  <c r="W97" i="1"/>
  <c r="W91" i="1"/>
  <c r="W85" i="1"/>
  <c r="W70" i="1"/>
  <c r="W49" i="1"/>
  <c r="W151" i="1"/>
  <c r="W139" i="1"/>
  <c r="T137" i="1"/>
  <c r="U137" i="1" s="1"/>
  <c r="S137" i="1" s="1"/>
  <c r="X137" i="1"/>
  <c r="X165" i="1"/>
  <c r="X238" i="1"/>
  <c r="X234" i="1"/>
  <c r="X230" i="1"/>
  <c r="T228" i="1"/>
  <c r="U228" i="1" s="1"/>
  <c r="S228" i="1" s="1"/>
  <c r="X228" i="1"/>
  <c r="X212" i="1"/>
  <c r="W209" i="1"/>
  <c r="T156" i="1"/>
  <c r="U156" i="1" s="1"/>
  <c r="S156" i="1" s="1"/>
  <c r="X156" i="1"/>
  <c r="X144" i="1"/>
  <c r="W129" i="1"/>
  <c r="T127" i="1"/>
  <c r="U127" i="1" s="1"/>
  <c r="S127" i="1" s="1"/>
  <c r="X127" i="1"/>
  <c r="W126" i="1"/>
  <c r="T118" i="1"/>
  <c r="U118" i="1" s="1"/>
  <c r="S118" i="1" s="1"/>
  <c r="X118" i="1"/>
  <c r="W117" i="1"/>
  <c r="W116" i="1"/>
  <c r="W114" i="1"/>
  <c r="W101" i="1"/>
  <c r="T99" i="1"/>
  <c r="U99" i="1" s="1"/>
  <c r="S99" i="1" s="1"/>
  <c r="X99" i="1"/>
  <c r="X100" i="1"/>
  <c r="X97" i="1"/>
  <c r="T97" i="1"/>
  <c r="U97" i="1" s="1"/>
  <c r="S97" i="1" s="1"/>
  <c r="X88" i="1"/>
  <c r="T88" i="1"/>
  <c r="U88" i="1" s="1"/>
  <c r="S88" i="1" s="1"/>
  <c r="W87" i="1"/>
  <c r="W76" i="1"/>
  <c r="W73" i="1"/>
  <c r="X142" i="1"/>
  <c r="X138" i="1"/>
  <c r="X128" i="1"/>
  <c r="X124" i="1"/>
  <c r="X119" i="1"/>
  <c r="X115" i="1"/>
  <c r="X111" i="1"/>
  <c r="W88" i="1"/>
  <c r="T82" i="1"/>
  <c r="U82" i="1" s="1"/>
  <c r="S82" i="1" s="1"/>
  <c r="X82" i="1"/>
  <c r="X83" i="1"/>
  <c r="W81" i="1"/>
  <c r="W72" i="1"/>
  <c r="W63" i="1"/>
  <c r="W52" i="1"/>
  <c r="W43" i="1"/>
  <c r="T39" i="1"/>
  <c r="U39" i="1" s="1"/>
  <c r="S39" i="1" s="1"/>
  <c r="X39" i="1"/>
  <c r="X40" i="1"/>
  <c r="W37" i="1"/>
  <c r="T27" i="1"/>
  <c r="U27" i="1" s="1"/>
  <c r="S27" i="1" s="1"/>
  <c r="X27" i="1"/>
  <c r="X28" i="1"/>
  <c r="X98" i="1"/>
  <c r="AA95" i="1"/>
  <c r="W95" i="1" s="1"/>
  <c r="W86" i="1"/>
  <c r="T86" i="1"/>
  <c r="U86" i="1" s="1"/>
  <c r="S86" i="1" s="1"/>
  <c r="W80" i="1"/>
  <c r="W78" i="1"/>
  <c r="T74" i="1"/>
  <c r="U74" i="1" s="1"/>
  <c r="S74" i="1" s="1"/>
  <c r="X74" i="1"/>
  <c r="X75" i="1"/>
  <c r="X69" i="1"/>
  <c r="T69" i="1"/>
  <c r="U69" i="1" s="1"/>
  <c r="S69" i="1" s="1"/>
  <c r="X70" i="1"/>
  <c r="W65" i="1"/>
  <c r="W57" i="1"/>
  <c r="W40" i="1"/>
  <c r="W36" i="1"/>
  <c r="W14" i="1"/>
  <c r="T96" i="1"/>
  <c r="U96" i="1" s="1"/>
  <c r="S96" i="1" s="1"/>
  <c r="X96" i="1"/>
  <c r="W90" i="1"/>
  <c r="T90" i="1"/>
  <c r="U90" i="1" s="1"/>
  <c r="S90" i="1" s="1"/>
  <c r="W84" i="1"/>
  <c r="W82" i="1"/>
  <c r="T78" i="1"/>
  <c r="U78" i="1" s="1"/>
  <c r="S78" i="1" s="1"/>
  <c r="X78" i="1"/>
  <c r="X79" i="1"/>
  <c r="W77" i="1"/>
  <c r="T64" i="1"/>
  <c r="U64" i="1" s="1"/>
  <c r="S64" i="1" s="1"/>
  <c r="X64" i="1"/>
  <c r="T56" i="1"/>
  <c r="U56" i="1" s="1"/>
  <c r="S56" i="1" s="1"/>
  <c r="X56" i="1"/>
  <c r="W47" i="1"/>
  <c r="T72" i="1"/>
  <c r="U72" i="1" s="1"/>
  <c r="S72" i="1" s="1"/>
  <c r="X72" i="1"/>
  <c r="AA64" i="1"/>
  <c r="W64" i="1" s="1"/>
  <c r="T61" i="1"/>
  <c r="U61" i="1" s="1"/>
  <c r="S61" i="1" s="1"/>
  <c r="X61" i="1"/>
  <c r="AA56" i="1"/>
  <c r="W56" i="1" s="1"/>
  <c r="X53" i="1"/>
  <c r="T53" i="1"/>
  <c r="U53" i="1" s="1"/>
  <c r="S53" i="1" s="1"/>
  <c r="W46" i="1"/>
  <c r="W44" i="1"/>
  <c r="T43" i="1"/>
  <c r="U43" i="1" s="1"/>
  <c r="S43" i="1" s="1"/>
  <c r="X43" i="1"/>
  <c r="AA39" i="1"/>
  <c r="W39" i="1" s="1"/>
  <c r="W31" i="1"/>
  <c r="W27" i="1"/>
  <c r="T23" i="1"/>
  <c r="U23" i="1" s="1"/>
  <c r="S23" i="1" s="1"/>
  <c r="X23" i="1"/>
  <c r="X24" i="1"/>
  <c r="X89" i="1"/>
  <c r="X85" i="1"/>
  <c r="X81" i="1"/>
  <c r="X77" i="1"/>
  <c r="AA68" i="1"/>
  <c r="W68" i="1" s="1"/>
  <c r="T65" i="1"/>
  <c r="U65" i="1" s="1"/>
  <c r="S65" i="1" s="1"/>
  <c r="X65" i="1"/>
  <c r="X62" i="1"/>
  <c r="AA60" i="1"/>
  <c r="W60" i="1" s="1"/>
  <c r="T57" i="1"/>
  <c r="U57" i="1" s="1"/>
  <c r="S57" i="1" s="1"/>
  <c r="X57" i="1"/>
  <c r="W55" i="1"/>
  <c r="X54" i="1"/>
  <c r="X49" i="1"/>
  <c r="W48" i="1"/>
  <c r="X44" i="1"/>
  <c r="X36" i="1"/>
  <c r="T36" i="1"/>
  <c r="U36" i="1" s="1"/>
  <c r="S36" i="1" s="1"/>
  <c r="X37" i="1"/>
  <c r="W25" i="1"/>
  <c r="W24" i="1"/>
  <c r="W20" i="1"/>
  <c r="W15" i="1"/>
  <c r="T68" i="1"/>
  <c r="U68" i="1" s="1"/>
  <c r="S68" i="1" s="1"/>
  <c r="X68" i="1"/>
  <c r="AA67" i="1"/>
  <c r="W67" i="1" s="1"/>
  <c r="T60" i="1"/>
  <c r="U60" i="1" s="1"/>
  <c r="S60" i="1" s="1"/>
  <c r="X60" i="1"/>
  <c r="AA59" i="1"/>
  <c r="W59" i="1" s="1"/>
  <c r="AA42" i="1"/>
  <c r="W42" i="1" s="1"/>
  <c r="T42" i="1"/>
  <c r="U42" i="1" s="1"/>
  <c r="S42" i="1" s="1"/>
  <c r="AA35" i="1"/>
  <c r="W35" i="1" s="1"/>
  <c r="W30" i="1"/>
  <c r="W29" i="1"/>
  <c r="AA26" i="1"/>
  <c r="W26" i="1" s="1"/>
  <c r="AA50" i="1"/>
  <c r="W50" i="1" s="1"/>
  <c r="T47" i="1"/>
  <c r="U47" i="1" s="1"/>
  <c r="S47" i="1" s="1"/>
  <c r="X47" i="1"/>
  <c r="AA34" i="1"/>
  <c r="W34" i="1" s="1"/>
  <c r="T31" i="1"/>
  <c r="U31" i="1" s="1"/>
  <c r="S31" i="1" s="1"/>
  <c r="X31" i="1"/>
  <c r="X32" i="1"/>
  <c r="W19" i="1"/>
  <c r="AA18" i="1"/>
  <c r="W18" i="1" s="1"/>
  <c r="W17" i="1"/>
  <c r="T15" i="1"/>
  <c r="U15" i="1" s="1"/>
  <c r="S15" i="1" s="1"/>
  <c r="X15" i="1"/>
  <c r="X16" i="1"/>
  <c r="T52" i="1"/>
  <c r="U52" i="1" s="1"/>
  <c r="S52" i="1" s="1"/>
  <c r="AA38" i="1"/>
  <c r="W38" i="1" s="1"/>
  <c r="T35" i="1"/>
  <c r="U35" i="1" s="1"/>
  <c r="S35" i="1" s="1"/>
  <c r="X35" i="1"/>
  <c r="W23" i="1"/>
  <c r="AA22" i="1"/>
  <c r="W22" i="1" s="1"/>
  <c r="W21" i="1"/>
  <c r="T19" i="1"/>
  <c r="U19" i="1" s="1"/>
  <c r="S19" i="1" s="1"/>
  <c r="X19" i="1"/>
  <c r="X20" i="1"/>
  <c r="X30" i="1"/>
  <c r="X26" i="1"/>
  <c r="X22" i="1"/>
  <c r="X18" i="1"/>
  <c r="AC30" i="3"/>
  <c r="AE39" i="3"/>
  <c r="AD17" i="3"/>
  <c r="AD13" i="3"/>
  <c r="AE27" i="3"/>
  <c r="T23" i="3"/>
  <c r="AC31" i="3"/>
  <c r="AD16" i="3"/>
  <c r="AD15" i="3"/>
  <c r="AD12" i="3"/>
  <c r="AD39" i="3"/>
  <c r="T11" i="3"/>
  <c r="AD28" i="3"/>
  <c r="AD25" i="3"/>
  <c r="AD21" i="3"/>
  <c r="AE11" i="3"/>
  <c r="AD41" i="3"/>
  <c r="T16" i="3"/>
  <c r="AD27" i="3"/>
  <c r="AE15" i="3"/>
  <c r="AD11" i="3"/>
  <c r="T19" i="3"/>
  <c r="AD8" i="3"/>
  <c r="AC22" i="3"/>
  <c r="AC21" i="3"/>
  <c r="AC45" i="3"/>
  <c r="AC36" i="3"/>
  <c r="AC28" i="3"/>
  <c r="AC15" i="3"/>
  <c r="Y15" i="3"/>
  <c r="Y17" i="3"/>
  <c r="Y46" i="3"/>
  <c r="Y36" i="3"/>
  <c r="Y29" i="3"/>
  <c r="Y35" i="3"/>
  <c r="Y27" i="3"/>
  <c r="Y13" i="3"/>
  <c r="Y23" i="3"/>
  <c r="Y20" i="3"/>
  <c r="Y19" i="3"/>
  <c r="Y22" i="3"/>
  <c r="Y45" i="3"/>
  <c r="Y16" i="3"/>
  <c r="Y25" i="3"/>
  <c r="Y32" i="3"/>
  <c r="Y39" i="3"/>
  <c r="Y41" i="3"/>
  <c r="Y14" i="3"/>
  <c r="Y38" i="3"/>
  <c r="Y44" i="3"/>
  <c r="Y26" i="3"/>
  <c r="Y7" i="3"/>
  <c r="Y37" i="3"/>
  <c r="Y40" i="3"/>
  <c r="Y33" i="3"/>
  <c r="Y28" i="3"/>
  <c r="Y21" i="3"/>
  <c r="Y11" i="3"/>
  <c r="Y30" i="3"/>
  <c r="Y12" i="3"/>
  <c r="Y34" i="3"/>
  <c r="Y10" i="3"/>
  <c r="Y43" i="3"/>
  <c r="Y8" i="3"/>
  <c r="Y24" i="3"/>
  <c r="Y31" i="3"/>
  <c r="Y18" i="3"/>
  <c r="Y9" i="3"/>
  <c r="T39" i="3"/>
  <c r="T41" i="3"/>
  <c r="AE18" i="3"/>
  <c r="T37" i="3"/>
  <c r="AE14" i="3"/>
  <c r="T40" i="3"/>
  <c r="AE10" i="3"/>
  <c r="T33" i="3"/>
  <c r="AE38" i="3"/>
  <c r="T14" i="3"/>
  <c r="T7" i="3"/>
  <c r="AD46" i="3"/>
  <c r="AE45" i="3"/>
  <c r="T30" i="3"/>
  <c r="AE41" i="3"/>
  <c r="T12" i="3"/>
  <c r="AD38" i="3"/>
  <c r="AE37" i="3"/>
  <c r="T34" i="3"/>
  <c r="AD34" i="3"/>
  <c r="AE33" i="3"/>
  <c r="T10" i="3"/>
  <c r="AD30" i="3"/>
  <c r="AE29" i="3"/>
  <c r="T43" i="3"/>
  <c r="AD26" i="3"/>
  <c r="AE25" i="3"/>
  <c r="T8" i="3"/>
  <c r="AD22" i="3"/>
  <c r="AE21" i="3"/>
  <c r="T24" i="3"/>
  <c r="AD18" i="3"/>
  <c r="AE17" i="3"/>
  <c r="T31" i="3"/>
  <c r="AD14" i="3"/>
  <c r="AE13" i="3"/>
  <c r="T18" i="3"/>
  <c r="AD10" i="3"/>
  <c r="AE9" i="3"/>
  <c r="T9" i="3"/>
  <c r="AE46" i="3"/>
  <c r="AE34" i="3"/>
  <c r="T38" i="3"/>
  <c r="AE30" i="3"/>
  <c r="T44" i="3"/>
  <c r="AE26" i="3"/>
  <c r="T26" i="3"/>
  <c r="AE22" i="3"/>
  <c r="AE44" i="3"/>
  <c r="AE40" i="3"/>
  <c r="AE36" i="3"/>
  <c r="AE32" i="3"/>
  <c r="AE28" i="3"/>
  <c r="AE24" i="3"/>
  <c r="AE20" i="3"/>
  <c r="AE16" i="3"/>
  <c r="AE12" i="3"/>
  <c r="AE8" i="3"/>
  <c r="S49" i="1" l="1"/>
  <c r="S42" i="3"/>
  <c r="M42" i="3"/>
  <c r="R42" i="3"/>
  <c r="U42" i="3"/>
  <c r="V42" i="3"/>
  <c r="X42" i="3"/>
  <c r="W42" i="3"/>
  <c r="AE42" i="3" l="1"/>
  <c r="AD42" i="3"/>
  <c r="AC42" i="3"/>
  <c r="Y42" i="3"/>
  <c r="T42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N30" i="3" s="1"/>
  <c r="G229" i="4"/>
  <c r="G230" i="4"/>
  <c r="G231" i="4"/>
  <c r="N39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5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9" i="3" s="1"/>
  <c r="G50" i="4"/>
  <c r="G51" i="4"/>
  <c r="G52" i="4"/>
  <c r="G53" i="4"/>
  <c r="G54" i="4"/>
  <c r="N33" i="3" s="1"/>
  <c r="G55" i="4"/>
  <c r="G56" i="4"/>
  <c r="N18" i="3" s="1"/>
  <c r="G57" i="4"/>
  <c r="N19" i="3" s="1"/>
  <c r="G58" i="4"/>
  <c r="N29" i="3" s="1"/>
  <c r="G59" i="4"/>
  <c r="G60" i="4"/>
  <c r="G61" i="4"/>
  <c r="G62" i="4"/>
  <c r="G63" i="4"/>
  <c r="G64" i="4"/>
  <c r="G65" i="4"/>
  <c r="G66" i="4"/>
  <c r="G67" i="4"/>
  <c r="N40" i="3" s="1"/>
  <c r="G68" i="4"/>
  <c r="N36" i="3" s="1"/>
  <c r="G69" i="4"/>
  <c r="G70" i="4"/>
  <c r="N20" i="3" s="1"/>
  <c r="G71" i="4"/>
  <c r="G72" i="4"/>
  <c r="G73" i="4"/>
  <c r="N23" i="3" s="1"/>
  <c r="G74" i="4"/>
  <c r="G75" i="4"/>
  <c r="G76" i="4"/>
  <c r="G77" i="4"/>
  <c r="G78" i="4"/>
  <c r="G79" i="4"/>
  <c r="G80" i="4"/>
  <c r="G81" i="4"/>
  <c r="G82" i="4"/>
  <c r="G83" i="4"/>
  <c r="G84" i="4"/>
  <c r="N46" i="3" s="1"/>
  <c r="G85" i="4"/>
  <c r="N24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7" i="3" s="1"/>
  <c r="G99" i="4"/>
  <c r="G100" i="4"/>
  <c r="G101" i="4"/>
  <c r="G102" i="4"/>
  <c r="G103" i="4"/>
  <c r="G104" i="4"/>
  <c r="G105" i="4"/>
  <c r="G106" i="4"/>
  <c r="G107" i="4"/>
  <c r="G108" i="4"/>
  <c r="G109" i="4"/>
  <c r="N32" i="3" s="1"/>
  <c r="G110" i="4"/>
  <c r="G111" i="4"/>
  <c r="N45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3" i="3" s="1"/>
  <c r="G144" i="4"/>
  <c r="G145" i="4"/>
  <c r="G146" i="4"/>
  <c r="G147" i="4"/>
  <c r="G148" i="4"/>
  <c r="N17" i="3" s="1"/>
  <c r="G149" i="4"/>
  <c r="G150" i="4"/>
  <c r="G151" i="4"/>
  <c r="G152" i="4"/>
  <c r="G153" i="4"/>
  <c r="G154" i="4"/>
  <c r="G155" i="4"/>
  <c r="G156" i="4"/>
  <c r="G157" i="4"/>
  <c r="G158" i="4"/>
  <c r="N25" i="3" s="1"/>
  <c r="G159" i="4"/>
  <c r="G160" i="4"/>
  <c r="G161" i="4"/>
  <c r="G162" i="4"/>
  <c r="G163" i="4"/>
  <c r="N10" i="3" s="1"/>
  <c r="G164" i="4"/>
  <c r="N21" i="3" s="1"/>
  <c r="G165" i="4"/>
  <c r="G166" i="4"/>
  <c r="N27" i="3" s="1"/>
  <c r="G167" i="4"/>
  <c r="N38" i="3" s="1"/>
  <c r="G168" i="4"/>
  <c r="G169" i="4"/>
  <c r="G170" i="4"/>
  <c r="G171" i="4"/>
  <c r="G172" i="4"/>
  <c r="G173" i="4"/>
  <c r="G174" i="4"/>
  <c r="G175" i="4"/>
  <c r="G176" i="4"/>
  <c r="G177" i="4"/>
  <c r="N15" i="3" s="1"/>
  <c r="G178" i="4"/>
  <c r="N11" i="3" s="1"/>
  <c r="G179" i="4"/>
  <c r="G180" i="4"/>
  <c r="G181" i="4"/>
  <c r="G182" i="4"/>
  <c r="N34" i="3" s="1"/>
  <c r="G183" i="4"/>
  <c r="N14" i="3" s="1"/>
  <c r="G184" i="4"/>
  <c r="G185" i="4"/>
  <c r="G186" i="4"/>
  <c r="G187" i="4"/>
  <c r="G188" i="4"/>
  <c r="N41" i="3" s="1"/>
  <c r="G189" i="4"/>
  <c r="G190" i="4"/>
  <c r="G191" i="4"/>
  <c r="G192" i="4"/>
  <c r="G193" i="4"/>
  <c r="G194" i="4"/>
  <c r="G195" i="4"/>
  <c r="G196" i="4"/>
  <c r="G197" i="4"/>
  <c r="N16" i="3" s="1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28" i="3" s="1"/>
  <c r="G223" i="4"/>
  <c r="G2" i="4"/>
  <c r="N37" i="3" l="1"/>
  <c r="N31" i="3"/>
  <c r="N22" i="3"/>
  <c r="N12" i="3"/>
  <c r="N8" i="3"/>
  <c r="N26" i="3"/>
  <c r="N43" i="3"/>
  <c r="N44" i="3"/>
  <c r="N4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<sst xmlns="http://schemas.openxmlformats.org/spreadsheetml/2006/main" count="2705" uniqueCount="1007">
  <si>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</si>
  <si>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</si>
  <si>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</si>
  <si>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</si>
  <si>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</si>
  <si>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</si>
  <si>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</si>
  <si>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</si>
  <si>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</si>
  <si>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</si>
  <si>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</si>
  <si>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</si>
  <si>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</si>
  <si>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</si>
  <si>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</si>
  <si>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</si>
  <si>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</si>
  <si>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</si>
  <si>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</si>
  <si>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</si>
  <si>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</si>
  <si>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</si>
  <si>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</si>
  <si>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</si>
  <si>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</si>
  <si>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</si>
  <si>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</si>
  <si>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</si>
  <si>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</si>
  <si>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</si>
  <si>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</si>
  <si>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</si>
  <si>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</si>
  <si>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</si>
  <si>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</si>
  <si>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</si>
  <si>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</si>
  <si>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</si>
  <si>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</si>
  <si>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</si>
  <si>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</si>
  <si>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</si>
  <si>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</si>
  <si>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</si>
  <si>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</si>
  <si>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</si>
  <si>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</si>
  <si>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</si>
  <si>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</si>
  <si>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</si>
  <si>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</si>
  <si>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</si>
  <si>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</si>
  <si>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</si>
  <si>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</si>
  <si>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</si>
  <si>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</si>
  <si>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</si>
  <si>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</si>
  <si>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</si>
  <si>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</si>
  <si>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</si>
  <si>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</si>
  <si>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</si>
  <si>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</si>
  <si>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</si>
  <si>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</si>
  <si>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</si>
  <si>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</si>
  <si>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</si>
  <si>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</si>
  <si>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</si>
  <si>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</si>
  <si>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</si>
  <si>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</si>
  <si>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</si>
  <si>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</si>
  <si>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</si>
  <si>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</si>
  <si>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</si>
  <si>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</si>
  <si>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</si>
  <si>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</si>
  <si>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</si>
  <si>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</si>
  <si>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</si>
  <si>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</si>
  <si>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</si>
  <si>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</si>
  <si>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</si>
  <si>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</si>
  <si>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</si>
  <si>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</si>
  <si>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</si>
  <si>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</si>
  <si>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</si>
  <si>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</si>
  <si>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</si>
  <si>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</si>
  <si>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</si>
  <si>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</si>
  <si>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</si>
  <si>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</si>
  <si>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</si>
  <si>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</si>
  <si>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</si>
  <si>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</si>
  <si>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</si>
  <si>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</si>
  <si>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</si>
  <si>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</si>
  <si>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</si>
  <si>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</si>
  <si>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</si>
  <si>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</si>
  <si>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</si>
  <si>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</si>
  <si>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</si>
  <si>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</si>
  <si>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</si>
  <si>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</si>
  <si>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</si>
  <si>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</si>
  <si>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</si>
  <si>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</si>
  <si>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</si>
  <si>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</si>
  <si>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</si>
  <si>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</si>
  <si>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</si>
  <si>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</si>
  <si>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</si>
  <si>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</si>
  <si>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</si>
  <si>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</si>
  <si>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</si>
  <si>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</si>
  <si>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</si>
  <si>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</si>
  <si>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</si>
  <si>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</si>
  <si>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</si>
  <si>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</si>
  <si>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</si>
  <si>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</si>
  <si>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</si>
  <si>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</si>
  <si>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</si>
  <si>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</si>
  <si>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</si>
  <si>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</si>
  <si>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</si>
  <si>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</si>
  <si>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</si>
  <si>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</si>
  <si>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</si>
  <si>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</si>
  <si>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</si>
  <si>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</si>
  <si>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</si>
  <si>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</si>
  <si>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</si>
  <si>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</si>
  <si>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</si>
  <si>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</si>
  <si>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</si>
  <si>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</si>
  <si>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</si>
  <si>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</si>
  <si>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</si>
  <si>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</si>
  <si>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</si>
  <si>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</si>
  <si>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</si>
  <si>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</si>
  <si>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</si>
  <si>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</si>
  <si>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</si>
  <si>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</si>
  <si>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</si>
  <si>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</si>
  <si>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</si>
  <si>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</si>
  <si>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</si>
  <si>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</si>
  <si>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</si>
  <si>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</si>
  <si>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</si>
  <si>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</si>
  <si>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</si>
  <si>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</si>
  <si>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</si>
  <si>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</si>
  <si>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</si>
  <si>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</si>
  <si>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</si>
  <si>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</si>
  <si>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</si>
  <si>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</si>
  <si>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</si>
  <si>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</si>
  <si>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</si>
  <si>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</si>
  <si>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</si>
  <si>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</si>
  <si>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</si>
  <si>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</si>
  <si>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</si>
  <si>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</si>
  <si>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</si>
  <si>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</si>
  <si>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</si>
  <si>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</si>
  <si>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</si>
  <si>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</si>
  <si>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</si>
  <si>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</si>
  <si>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</si>
  <si>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</si>
  <si>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</si>
  <si>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</si>
  <si>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</si>
  <si>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</si>
  <si>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</si>
  <si>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</si>
  <si>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</si>
  <si>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</si>
  <si>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</si>
  <si>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</si>
  <si>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</si>
  <si>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</si>
  <si>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</si>
  <si>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</si>
  <si>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</si>
  <si>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</si>
  <si>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</si>
  <si>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</si>
  <si>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</si>
  <si>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</si>
  <si>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</si>
  <si>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</si>
  <si>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</si>
  <si>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</si>
  <si>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</si>
  <si>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</si>
  <si>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</si>
  <si>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</si>
  <si>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</si>
  <si>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</si>
  <si>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</si>
  <si>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</si>
  <si>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</si>
  <si>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</si>
  <si>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</si>
  <si>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</si>
  <si>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</si>
  <si>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</si>
  <si>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</si>
  <si>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</si>
  <si>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</si>
  <si>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</si>
  <si>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</si>
  <si>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</si>
  <si>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</si>
  <si>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</si>
  <si>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</si>
  <si>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</si>
  <si>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</si>
  <si>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</si>
  <si>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</si>
  <si>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</si>
  <si>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</si>
  <si>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</si>
  <si>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</si>
  <si>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</si>
  <si>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</si>
  <si>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</si>
  <si>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</si>
  <si>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</si>
  <si>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</si>
  <si>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</si>
  <si>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</si>
  <si>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</si>
  <si>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</si>
  <si>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</si>
  <si>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</si>
  <si>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</si>
  <si>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</si>
  <si>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</si>
  <si>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</si>
  <si>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</si>
  <si>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</si>
  <si>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</si>
  <si>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</si>
  <si>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</si>
  <si>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</si>
  <si>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</si>
  <si>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</si>
  <si>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</si>
  <si>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</si>
  <si>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</si>
  <si>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</si>
  <si>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</si>
  <si>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</si>
  <si>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</si>
  <si>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</si>
  <si>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</si>
  <si>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</si>
  <si>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</si>
  <si>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</si>
  <si>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</si>
  <si>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</si>
  <si>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</si>
  <si>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</si>
  <si>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</si>
  <si>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</si>
  <si>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</si>
  <si>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</si>
  <si>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</si>
  <si>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</si>
  <si>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</si>
  <si>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</si>
  <si>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</si>
  <si>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</si>
  <si>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</si>
  <si>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</si>
  <si>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</si>
  <si>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</si>
  <si>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</si>
  <si>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</si>
  <si>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</si>
  <si>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</si>
  <si>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</si>
  <si>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</si>
  <si>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</si>
  <si>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</si>
  <si>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</si>
  <si>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</si>
  <si>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</si>
  <si>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</si>
  <si>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</si>
  <si>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</si>
  <si>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</si>
  <si>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</si>
  <si>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</si>
  <si>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</si>
  <si>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</si>
  <si>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</si>
  <si>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</si>
  <si>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</si>
  <si>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</si>
  <si>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</si>
  <si>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</si>
  <si>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</si>
  <si>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</si>
  <si>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</si>
  <si>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</si>
  <si>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</si>
  <si>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</si>
  <si>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</si>
  <si>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</si>
  <si>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</si>
  <si>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</si>
  <si>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</si>
  <si>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</si>
  <si>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</si>
  <si>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</si>
  <si>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</si>
  <si>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</si>
  <si>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</si>
  <si>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</si>
  <si>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</si>
  <si>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</si>
  <si>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</si>
  <si>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</si>
  <si>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</si>
  <si>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</si>
  <si>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</si>
  <si>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</si>
  <si>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Early Arrival</t>
  </si>
  <si>
    <t>204:156</t>
  </si>
  <si>
    <t>204:467</t>
  </si>
  <si>
    <t>rtdc.l.rtdc.4027:itc</t>
  </si>
  <si>
    <t>rtdc.l.rtdc.4028:itc</t>
  </si>
  <si>
    <t>rtdc.l.rtdc.4042:itc</t>
  </si>
  <si>
    <t>LOZA</t>
  </si>
  <si>
    <t>FIDEL</t>
  </si>
  <si>
    <t>WEST</t>
  </si>
  <si>
    <t>BRYAN</t>
  </si>
  <si>
    <t>204:232977</t>
  </si>
  <si>
    <t>204:232980</t>
  </si>
  <si>
    <t>rtdc.l.rtdc.4030:itc</t>
  </si>
  <si>
    <t>rtdc.l.rtdc.4029:itc</t>
  </si>
  <si>
    <t>FORTUNATO</t>
  </si>
  <si>
    <t>FRANK</t>
  </si>
  <si>
    <t>204:233306</t>
  </si>
  <si>
    <t>204:469</t>
  </si>
  <si>
    <t>204:161</t>
  </si>
  <si>
    <t>204:233297</t>
  </si>
  <si>
    <t>204:233295</t>
  </si>
  <si>
    <t>rtdc.l.rtdc.4041:itc</t>
  </si>
  <si>
    <t>rtdc.l.rtdc.4014:itc</t>
  </si>
  <si>
    <t>RESPASS</t>
  </si>
  <si>
    <t>AARON</t>
  </si>
  <si>
    <t>LAMAR</t>
  </si>
  <si>
    <t>NEKESHA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</si>
  <si>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</si>
  <si>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</si>
  <si>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</si>
  <si>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</si>
  <si>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</si>
  <si>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</si>
  <si>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</si>
  <si>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</si>
  <si>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</si>
  <si>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</si>
  <si>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WILLIAMS</t>
  </si>
  <si>
    <t>DONTE</t>
  </si>
  <si>
    <t>204:232992</t>
  </si>
  <si>
    <t>204:477</t>
  </si>
  <si>
    <t>204:233305</t>
  </si>
  <si>
    <t>204:438</t>
  </si>
  <si>
    <t>204:167</t>
  </si>
  <si>
    <t>204:232982</t>
  </si>
  <si>
    <t>204:233291</t>
  </si>
  <si>
    <t>204:437</t>
  </si>
  <si>
    <t>SPECTOR</t>
  </si>
  <si>
    <t>BONDS</t>
  </si>
  <si>
    <t>REYNALDO</t>
  </si>
  <si>
    <t>YORK</t>
  </si>
  <si>
    <t>EDGAR</t>
  </si>
  <si>
    <t>LEVIN</t>
  </si>
  <si>
    <t>SCOTT</t>
  </si>
  <si>
    <t>GUNTHIER</t>
  </si>
  <si>
    <t>ERIC</t>
  </si>
  <si>
    <t>204:442</t>
  </si>
  <si>
    <t>204:132</t>
  </si>
  <si>
    <t>204:232965</t>
  </si>
  <si>
    <t>300:58623</t>
  </si>
  <si>
    <t>300:58626</t>
  </si>
  <si>
    <t>300:58617</t>
  </si>
  <si>
    <t>JAMES</t>
  </si>
  <si>
    <t>204:160</t>
  </si>
  <si>
    <t>204:233278</t>
  </si>
  <si>
    <t>204:460</t>
  </si>
  <si>
    <t>204:233013</t>
  </si>
  <si>
    <t>300:23301</t>
  </si>
  <si>
    <t>300:58943</t>
  </si>
  <si>
    <t>204:976</t>
  </si>
  <si>
    <t>rtdc.l.rtdc.4012:itc</t>
  </si>
  <si>
    <t>rtdc.l.rtdc.4011:itc</t>
  </si>
  <si>
    <t>rtdc.l.rtdc.4017:itc</t>
  </si>
  <si>
    <t>rtdc.l.rtdc.4040:itc</t>
  </si>
  <si>
    <t>partly-cloudy-day</t>
  </si>
  <si>
    <t>Partly Cloudy</t>
  </si>
  <si>
    <t>partly-cloudy-night</t>
  </si>
  <si>
    <t>204:158</t>
  </si>
  <si>
    <t>204:232984</t>
  </si>
  <si>
    <t>204:232978</t>
  </si>
  <si>
    <t>204:233364</t>
  </si>
  <si>
    <t>204:478</t>
  </si>
  <si>
    <t>204:974</t>
  </si>
  <si>
    <t>300:58961</t>
  </si>
  <si>
    <t>204:964</t>
  </si>
  <si>
    <t>204:698</t>
  </si>
  <si>
    <t>rtdc.l.rtdc.4026:itc</t>
  </si>
  <si>
    <t>rtdc.l.rtdc.4039:itc</t>
  </si>
  <si>
    <t>rtdc.l.rtdc.4025:itc</t>
  </si>
  <si>
    <t>MACDONALD</t>
  </si>
  <si>
    <t>THOMAS</t>
  </si>
  <si>
    <t>LALONDE</t>
  </si>
  <si>
    <t>GREGORY</t>
  </si>
  <si>
    <t>SAFIEF</t>
  </si>
  <si>
    <t>AEIMEN</t>
  </si>
  <si>
    <t>LEVERE</t>
  </si>
  <si>
    <t>CRAIG</t>
  </si>
  <si>
    <t>rtdc.l.rtdc.4032:itc</t>
  </si>
  <si>
    <t>ELBAUM</t>
  </si>
  <si>
    <t>MIKE</t>
  </si>
  <si>
    <t>204:233312</t>
  </si>
  <si>
    <t>204:232986</t>
  </si>
  <si>
    <t>204:233307</t>
  </si>
  <si>
    <t>204:232994</t>
  </si>
  <si>
    <t>204:232975</t>
  </si>
  <si>
    <t>204:233302</t>
  </si>
  <si>
    <t>204:232979</t>
  </si>
  <si>
    <t>204:233314</t>
  </si>
  <si>
    <t>204:233347</t>
  </si>
  <si>
    <t>204:233332</t>
  </si>
  <si>
    <t>204:232971</t>
  </si>
  <si>
    <t>204:233008</t>
  </si>
  <si>
    <t>204:232990</t>
  </si>
  <si>
    <t>204:233286</t>
  </si>
  <si>
    <t>204:170</t>
  </si>
  <si>
    <t>300:23346</t>
  </si>
  <si>
    <t>300:58655</t>
  </si>
  <si>
    <t>204:668</t>
  </si>
  <si>
    <t>204:687</t>
  </si>
  <si>
    <t>204:979</t>
  </si>
  <si>
    <t>204:983</t>
  </si>
  <si>
    <t>300:58935</t>
  </si>
  <si>
    <t>rtdc.l.rtdc.4018:itc</t>
  </si>
  <si>
    <t>rtdc.l.rtdc.4009:itc</t>
  </si>
  <si>
    <t>rtdc.l.rtdc.4033:itc</t>
  </si>
  <si>
    <t>rtdc.l.rtdc.4034:itc</t>
  </si>
  <si>
    <t>rtdc.l.rtdc.4051:itc</t>
  </si>
  <si>
    <t>rtdc.l.rtdc.4010:itc</t>
  </si>
  <si>
    <t>rtdc.l.rtdc.4021:itc</t>
  </si>
  <si>
    <t>rtdc.l.rtdc.4007:itc</t>
  </si>
  <si>
    <t>DUNCAN</t>
  </si>
  <si>
    <t>SHEILA</t>
  </si>
  <si>
    <t>rtdc.l.rtdc.4008:itc</t>
  </si>
  <si>
    <t>rtdc.l.rtdc.4061:itc</t>
  </si>
  <si>
    <t>SWANSON</t>
  </si>
  <si>
    <t>BRYCE</t>
  </si>
  <si>
    <t>GUZMAN</t>
  </si>
  <si>
    <t>DANNY</t>
  </si>
  <si>
    <t>SMITH</t>
  </si>
  <si>
    <t>BERLING</t>
  </si>
  <si>
    <t>GARY</t>
  </si>
  <si>
    <t>ANDERS</t>
  </si>
  <si>
    <t>STEVEN</t>
  </si>
  <si>
    <t>309-04</t>
  </si>
  <si>
    <t>244-04</t>
  </si>
  <si>
    <t>311-04</t>
  </si>
  <si>
    <t>313-04</t>
  </si>
  <si>
    <t>300-05</t>
  </si>
  <si>
    <t>Mostly Cloudy</t>
  </si>
  <si>
    <t>cloudy</t>
  </si>
  <si>
    <t>Overcast</t>
  </si>
  <si>
    <t>204:233342</t>
  </si>
  <si>
    <t>204:233327</t>
  </si>
  <si>
    <t>204:233010</t>
  </si>
  <si>
    <t>204:233308</t>
  </si>
  <si>
    <t>204:233289</t>
  </si>
  <si>
    <t>204:233001</t>
  </si>
  <si>
    <t>204:233015</t>
  </si>
  <si>
    <t>204:233023</t>
  </si>
  <si>
    <t>204:127</t>
  </si>
  <si>
    <t>204:232972</t>
  </si>
  <si>
    <t>204:233301</t>
  </si>
  <si>
    <t>204:233025</t>
  </si>
  <si>
    <t>204:165</t>
  </si>
  <si>
    <t>204:232998</t>
  </si>
  <si>
    <t>204:233341</t>
  </si>
  <si>
    <t>204:429</t>
  </si>
  <si>
    <t>204:233019</t>
  </si>
  <si>
    <t>204:232963</t>
  </si>
  <si>
    <t>204:233322</t>
  </si>
  <si>
    <t>204:134</t>
  </si>
  <si>
    <t>300:23308</t>
  </si>
  <si>
    <t>204:740</t>
  </si>
  <si>
    <t>204:981</t>
  </si>
  <si>
    <t>204:691</t>
  </si>
  <si>
    <t>204:1009</t>
  </si>
  <si>
    <t>204:705</t>
  </si>
  <si>
    <t>300:58973</t>
  </si>
  <si>
    <t>204:988</t>
  </si>
  <si>
    <t>204:972</t>
  </si>
  <si>
    <t>300:58941</t>
  </si>
  <si>
    <t>204:965</t>
  </si>
  <si>
    <t>300:58958</t>
  </si>
  <si>
    <t>300:58632</t>
  </si>
  <si>
    <t>204:957</t>
  </si>
  <si>
    <t>204:699</t>
  </si>
  <si>
    <t>start /low /b %USERPROFILE%\Documents\GitHub\eaglep3\Utilities\DownloadLogsFromS3.py --loco 4010 --day 2017-09-05</t>
  </si>
  <si>
    <t>204:232976</t>
  </si>
  <si>
    <t>204:677</t>
  </si>
  <si>
    <t>Wi-MAX data drop</t>
  </si>
  <si>
    <t>rtdc.l.rtdc.4020:itc</t>
  </si>
  <si>
    <t>901-05</t>
  </si>
  <si>
    <t>SWITCH ALIGNMENT</t>
  </si>
  <si>
    <t>Track device (7)</t>
  </si>
  <si>
    <t>rtdc.l.rtdc.4019:itc</t>
  </si>
  <si>
    <t>800-05</t>
  </si>
  <si>
    <t>rtdc.l.rtdc.4066:itc</t>
  </si>
  <si>
    <t>125-05</t>
  </si>
  <si>
    <t>rtdc.l.rtdc.4064:itc</t>
  </si>
  <si>
    <t>807-05</t>
  </si>
  <si>
    <t>rtdc.l.rtdc.4044:itc</t>
  </si>
  <si>
    <t>131-05</t>
  </si>
  <si>
    <t>rtdc.l.rtdc.4063:itc</t>
  </si>
  <si>
    <t>808-05</t>
  </si>
  <si>
    <t>129-05</t>
  </si>
  <si>
    <t>811-05</t>
  </si>
  <si>
    <t>137-05</t>
  </si>
  <si>
    <t>810-05</t>
  </si>
  <si>
    <t>812-05</t>
  </si>
  <si>
    <t>rtdc.l.rtdc.4043:itc</t>
  </si>
  <si>
    <t>132-05</t>
  </si>
  <si>
    <t>50-05</t>
  </si>
  <si>
    <t>SWITCH UNKNOWN</t>
  </si>
  <si>
    <t>138-05</t>
  </si>
  <si>
    <t>148-05</t>
  </si>
  <si>
    <t>818-05</t>
  </si>
  <si>
    <t>57-05</t>
  </si>
  <si>
    <t>176-05</t>
  </si>
  <si>
    <t>180-05</t>
  </si>
  <si>
    <t>rtdc.l.rtdc.4022:itc</t>
  </si>
  <si>
    <t>189-05</t>
  </si>
  <si>
    <t>904-05</t>
  </si>
  <si>
    <t>186-05</t>
  </si>
  <si>
    <t>rtdc.l.rtdc.4024:itc</t>
  </si>
  <si>
    <t>197-05</t>
  </si>
  <si>
    <t>190-05</t>
  </si>
  <si>
    <t>828-05</t>
  </si>
  <si>
    <t>199-05</t>
  </si>
  <si>
    <t>205-05</t>
  </si>
  <si>
    <t>833-05</t>
  </si>
  <si>
    <t>209-05</t>
  </si>
  <si>
    <t>202-05</t>
  </si>
  <si>
    <t>211-05</t>
  </si>
  <si>
    <t>835-05</t>
  </si>
  <si>
    <t>217-05</t>
  </si>
  <si>
    <t>845-05</t>
  </si>
  <si>
    <t>847-05</t>
  </si>
  <si>
    <t>846-05</t>
  </si>
  <si>
    <t>101-05</t>
  </si>
  <si>
    <t>61-05</t>
  </si>
  <si>
    <t>302-05</t>
  </si>
  <si>
    <t>STARKS</t>
  </si>
  <si>
    <t>ANGELINA</t>
  </si>
  <si>
    <t>62-05</t>
  </si>
  <si>
    <t>103-05</t>
  </si>
  <si>
    <t>304-05</t>
  </si>
  <si>
    <t>THOMPSON</t>
  </si>
  <si>
    <t>LESTER</t>
  </si>
  <si>
    <t>rtdc.l.rtdc.4065:itc</t>
  </si>
  <si>
    <t>102-05</t>
  </si>
  <si>
    <t>306-05</t>
  </si>
  <si>
    <t>105-05</t>
  </si>
  <si>
    <t>107-05</t>
  </si>
  <si>
    <t>308-05</t>
  </si>
  <si>
    <t>104-05</t>
  </si>
  <si>
    <t>109-05</t>
  </si>
  <si>
    <t>rtdc.l.rtdc.4023:itc</t>
  </si>
  <si>
    <t>310-05</t>
  </si>
  <si>
    <t>111-05</t>
  </si>
  <si>
    <t>113-05</t>
  </si>
  <si>
    <t>BARRON</t>
  </si>
  <si>
    <t>PERLA</t>
  </si>
  <si>
    <t>106-05</t>
  </si>
  <si>
    <t>108-05</t>
  </si>
  <si>
    <t>312-05</t>
  </si>
  <si>
    <t>115-05</t>
  </si>
  <si>
    <t>112-05</t>
  </si>
  <si>
    <t>110-05</t>
  </si>
  <si>
    <t>801-05</t>
  </si>
  <si>
    <t>117-05</t>
  </si>
  <si>
    <t>902-05</t>
  </si>
  <si>
    <t>114-05</t>
  </si>
  <si>
    <t>803-05</t>
  </si>
  <si>
    <t>119-05</t>
  </si>
  <si>
    <t>BIRENBAUM</t>
  </si>
  <si>
    <t>802-05</t>
  </si>
  <si>
    <t>121-05</t>
  </si>
  <si>
    <t>116-05</t>
  </si>
  <si>
    <t>123-05</t>
  </si>
  <si>
    <t>804-05</t>
  </si>
  <si>
    <t>805-05</t>
  </si>
  <si>
    <t>118-05</t>
  </si>
  <si>
    <t>122-05</t>
  </si>
  <si>
    <t>127-05</t>
  </si>
  <si>
    <t>120-05</t>
  </si>
  <si>
    <t>806-05</t>
  </si>
  <si>
    <t>809-05</t>
  </si>
  <si>
    <t>124-05</t>
  </si>
  <si>
    <t>133-05</t>
  </si>
  <si>
    <t>126-05</t>
  </si>
  <si>
    <t>128-05</t>
  </si>
  <si>
    <t>135-05</t>
  </si>
  <si>
    <t>130-05</t>
  </si>
  <si>
    <t>139-05</t>
  </si>
  <si>
    <t>903-05</t>
  </si>
  <si>
    <t>136-05</t>
  </si>
  <si>
    <t>134-05</t>
  </si>
  <si>
    <t>141-05</t>
  </si>
  <si>
    <t>143-05</t>
  </si>
  <si>
    <t>813-05</t>
  </si>
  <si>
    <t>140-05</t>
  </si>
  <si>
    <t>145-05</t>
  </si>
  <si>
    <t>814-05</t>
  </si>
  <si>
    <t>147-05</t>
  </si>
  <si>
    <t>142-05</t>
  </si>
  <si>
    <t>149-05</t>
  </si>
  <si>
    <t>144-05</t>
  </si>
  <si>
    <t>815-05</t>
  </si>
  <si>
    <t>151-05</t>
  </si>
  <si>
    <t>146-05</t>
  </si>
  <si>
    <t>153-05</t>
  </si>
  <si>
    <t>150-05</t>
  </si>
  <si>
    <t>155-05</t>
  </si>
  <si>
    <t>816-05</t>
  </si>
  <si>
    <t>56-05</t>
  </si>
  <si>
    <t>ROBINSON</t>
  </si>
  <si>
    <t>KADDIBA</t>
  </si>
  <si>
    <t>157-05</t>
  </si>
  <si>
    <t>152-05</t>
  </si>
  <si>
    <t>159-05</t>
  </si>
  <si>
    <t>817-05</t>
  </si>
  <si>
    <t>154-05</t>
  </si>
  <si>
    <t>161-05</t>
  </si>
  <si>
    <t>BRUDER</t>
  </si>
  <si>
    <t>RICHARD</t>
  </si>
  <si>
    <t>156-05</t>
  </si>
  <si>
    <t>163-05</t>
  </si>
  <si>
    <t>165-05</t>
  </si>
  <si>
    <t>158-05</t>
  </si>
  <si>
    <t>160-05</t>
  </si>
  <si>
    <t>167-05</t>
  </si>
  <si>
    <t>819-05</t>
  </si>
  <si>
    <t>162-05</t>
  </si>
  <si>
    <t>169-05</t>
  </si>
  <si>
    <t>164-05</t>
  </si>
  <si>
    <t>820-05</t>
  </si>
  <si>
    <t>171-05</t>
  </si>
  <si>
    <t>166-05</t>
  </si>
  <si>
    <t>173-05</t>
  </si>
  <si>
    <t>168-05</t>
  </si>
  <si>
    <t>175-05</t>
  </si>
  <si>
    <t>NEWELL</t>
  </si>
  <si>
    <t>170-05</t>
  </si>
  <si>
    <t>821-05</t>
  </si>
  <si>
    <t>177-05</t>
  </si>
  <si>
    <t>822-05</t>
  </si>
  <si>
    <t>172-05</t>
  </si>
  <si>
    <t>179-05</t>
  </si>
  <si>
    <t>174-05</t>
  </si>
  <si>
    <t>181-05</t>
  </si>
  <si>
    <t>183-05</t>
  </si>
  <si>
    <t>823-05</t>
  </si>
  <si>
    <t>178-05</t>
  </si>
  <si>
    <t>185-05</t>
  </si>
  <si>
    <t>187-05</t>
  </si>
  <si>
    <t>824-05</t>
  </si>
  <si>
    <t>182-05</t>
  </si>
  <si>
    <t>184-05</t>
  </si>
  <si>
    <t>63-05</t>
  </si>
  <si>
    <t>191-05</t>
  </si>
  <si>
    <t>MOSES</t>
  </si>
  <si>
    <t>BRADLEY</t>
  </si>
  <si>
    <t>825-05</t>
  </si>
  <si>
    <t>NELSON</t>
  </si>
  <si>
    <t>ARIANE</t>
  </si>
  <si>
    <t>193-05</t>
  </si>
  <si>
    <t>188-05</t>
  </si>
  <si>
    <t>195-05</t>
  </si>
  <si>
    <t>827-05</t>
  </si>
  <si>
    <t>826-05</t>
  </si>
  <si>
    <t>192-05</t>
  </si>
  <si>
    <t>194-05</t>
  </si>
  <si>
    <t>829-05</t>
  </si>
  <si>
    <t>201-05</t>
  </si>
  <si>
    <t>196-05</t>
  </si>
  <si>
    <t>65-05</t>
  </si>
  <si>
    <t>203-05</t>
  </si>
  <si>
    <t>830-05</t>
  </si>
  <si>
    <t>198-05</t>
  </si>
  <si>
    <t>831-05</t>
  </si>
  <si>
    <t>207-05</t>
  </si>
  <si>
    <t>200-05</t>
  </si>
  <si>
    <t>832-05</t>
  </si>
  <si>
    <t>204-05</t>
  </si>
  <si>
    <t>ZEWDU</t>
  </si>
  <si>
    <t>DEREJE</t>
  </si>
  <si>
    <t>67-05</t>
  </si>
  <si>
    <t>834-05</t>
  </si>
  <si>
    <t>206-05</t>
  </si>
  <si>
    <t>68-05</t>
  </si>
  <si>
    <t>208-05</t>
  </si>
  <si>
    <t>213-05</t>
  </si>
  <si>
    <t>215-05</t>
  </si>
  <si>
    <t>836-05</t>
  </si>
  <si>
    <t>837-05</t>
  </si>
  <si>
    <t>210-05</t>
  </si>
  <si>
    <t>PERKINS</t>
  </si>
  <si>
    <t>DARREN</t>
  </si>
  <si>
    <t>212-05</t>
  </si>
  <si>
    <t>219-05</t>
  </si>
  <si>
    <t>HART</t>
  </si>
  <si>
    <t>KEVIN</t>
  </si>
  <si>
    <t>838-05</t>
  </si>
  <si>
    <t>839-05</t>
  </si>
  <si>
    <t>214-05</t>
  </si>
  <si>
    <t>301-05</t>
  </si>
  <si>
    <t>216-05</t>
  </si>
  <si>
    <t>218-05</t>
  </si>
  <si>
    <t>221-05</t>
  </si>
  <si>
    <t>906-05</t>
  </si>
  <si>
    <t>841-05</t>
  </si>
  <si>
    <t>303-05</t>
  </si>
  <si>
    <t>220-05</t>
  </si>
  <si>
    <t>223-05</t>
  </si>
  <si>
    <t>BIRKHOLZ</t>
  </si>
  <si>
    <t>NADINE</t>
  </si>
  <si>
    <t>840-05</t>
  </si>
  <si>
    <t>305-05</t>
  </si>
  <si>
    <t>222-05</t>
  </si>
  <si>
    <t>225-05</t>
  </si>
  <si>
    <t>843-05</t>
  </si>
  <si>
    <t>224-05</t>
  </si>
  <si>
    <t>227-05</t>
  </si>
  <si>
    <t>229-05</t>
  </si>
  <si>
    <t>842-05</t>
  </si>
  <si>
    <t>226-05</t>
  </si>
  <si>
    <t>231-05</t>
  </si>
  <si>
    <t>228-05</t>
  </si>
  <si>
    <t>844-05</t>
  </si>
  <si>
    <t>233-05</t>
  </si>
  <si>
    <t>230-05</t>
  </si>
  <si>
    <t>235-05</t>
  </si>
  <si>
    <t>232-05</t>
  </si>
  <si>
    <t>237-05</t>
  </si>
  <si>
    <t>234-05</t>
  </si>
  <si>
    <t>849-05</t>
  </si>
  <si>
    <t>239-05</t>
  </si>
  <si>
    <t>236-05</t>
  </si>
  <si>
    <t>908-05</t>
  </si>
  <si>
    <t>238-05</t>
  </si>
  <si>
    <t>241-05</t>
  </si>
  <si>
    <t>240-05</t>
  </si>
  <si>
    <t>243-05</t>
  </si>
  <si>
    <t>242-05</t>
  </si>
  <si>
    <t>307-05</t>
  </si>
  <si>
    <t>309-05</t>
  </si>
  <si>
    <t>244-05</t>
  </si>
  <si>
    <t>311-05</t>
  </si>
  <si>
    <t>313-05</t>
  </si>
  <si>
    <t>300-06</t>
  </si>
  <si>
    <t>204:730</t>
  </si>
  <si>
    <t>204:233293</t>
  </si>
  <si>
    <t>204:233351</t>
  </si>
  <si>
    <t>204:232974</t>
  </si>
  <si>
    <t>204:233276</t>
  </si>
  <si>
    <t>204:232985</t>
  </si>
  <si>
    <t>204:232988</t>
  </si>
  <si>
    <t>204:172</t>
  </si>
  <si>
    <t>204:233317</t>
  </si>
  <si>
    <t>204:232989</t>
  </si>
  <si>
    <t>204:440</t>
  </si>
  <si>
    <t>204:233009</t>
  </si>
  <si>
    <t>204:28923</t>
  </si>
  <si>
    <t>204:233281</t>
  </si>
  <si>
    <t>204:232946</t>
  </si>
  <si>
    <t>204:151</t>
  </si>
  <si>
    <t>204:233274</t>
  </si>
  <si>
    <t>204:233285</t>
  </si>
  <si>
    <t>204:233334</t>
  </si>
  <si>
    <t>204:36982</t>
  </si>
  <si>
    <t>204:37183</t>
  </si>
  <si>
    <t>204:232964</t>
  </si>
  <si>
    <t>204:473</t>
  </si>
  <si>
    <t>204:233303</t>
  </si>
  <si>
    <t>204:233288</t>
  </si>
  <si>
    <t>204:232973</t>
  </si>
  <si>
    <t>204:233304</t>
  </si>
  <si>
    <t>204:233004</t>
  </si>
  <si>
    <t>204:233311</t>
  </si>
  <si>
    <t>204:233282</t>
  </si>
  <si>
    <t>204:233268</t>
  </si>
  <si>
    <t>204:232966</t>
  </si>
  <si>
    <t>204:426</t>
  </si>
  <si>
    <t>204:233300</t>
  </si>
  <si>
    <t>204:233387</t>
  </si>
  <si>
    <t>204:233028</t>
  </si>
  <si>
    <t>204:122970</t>
  </si>
  <si>
    <t>204:233000</t>
  </si>
  <si>
    <t>204:233027</t>
  </si>
  <si>
    <t>204:911</t>
  </si>
  <si>
    <t>204:433</t>
  </si>
  <si>
    <t>204:130</t>
  </si>
  <si>
    <t>204:233319</t>
  </si>
  <si>
    <t>204:233044</t>
  </si>
  <si>
    <t>204:198</t>
  </si>
  <si>
    <t>204:233002</t>
  </si>
  <si>
    <t>204:488</t>
  </si>
  <si>
    <t>204:233017</t>
  </si>
  <si>
    <t>204:139</t>
  </si>
  <si>
    <t>204:196</t>
  </si>
  <si>
    <t>204:233310</t>
  </si>
  <si>
    <t>204:233038</t>
  </si>
  <si>
    <t>204:482</t>
  </si>
  <si>
    <t>300:25777</t>
  </si>
  <si>
    <t>204:498</t>
  </si>
  <si>
    <t>300:23357</t>
  </si>
  <si>
    <t>300:22802</t>
  </si>
  <si>
    <t>300:23421</t>
  </si>
  <si>
    <t>300:22804</t>
  </si>
  <si>
    <t>300:23316</t>
  </si>
  <si>
    <t>300:23396</t>
  </si>
  <si>
    <t>300:25770</t>
  </si>
  <si>
    <t>300:23297</t>
  </si>
  <si>
    <t>300:22546</t>
  </si>
  <si>
    <t>204:1808</t>
  </si>
  <si>
    <t>300:23321</t>
  </si>
  <si>
    <t>204:878</t>
  </si>
  <si>
    <t>204:1190</t>
  </si>
  <si>
    <t>300:24269</t>
  </si>
  <si>
    <t>204:1469</t>
  </si>
  <si>
    <t>204:1797</t>
  </si>
  <si>
    <t>204:484</t>
  </si>
  <si>
    <t>204:3590</t>
  </si>
  <si>
    <t>204:1483</t>
  </si>
  <si>
    <t>204:3564</t>
  </si>
  <si>
    <t>204:3229</t>
  </si>
  <si>
    <t>204:1158</t>
  </si>
  <si>
    <t>204:3465</t>
  </si>
  <si>
    <t>204:3137</t>
  </si>
  <si>
    <t>204:3261</t>
  </si>
  <si>
    <t>204:1165</t>
  </si>
  <si>
    <t>204:1145</t>
  </si>
  <si>
    <t>300:5661</t>
  </si>
  <si>
    <t>300:5137</t>
  </si>
  <si>
    <t>204:1137</t>
  </si>
  <si>
    <t>300:23072</t>
  </si>
  <si>
    <t>204:1115</t>
  </si>
  <si>
    <t>300:58668</t>
  </si>
  <si>
    <t>204:750</t>
  </si>
  <si>
    <t>300:58621</t>
  </si>
  <si>
    <t>300:58645</t>
  </si>
  <si>
    <t>300:58931</t>
  </si>
  <si>
    <t>204:680</t>
  </si>
  <si>
    <t>204:955</t>
  </si>
  <si>
    <t>300:58982</t>
  </si>
  <si>
    <t>300:58675</t>
  </si>
  <si>
    <t>300:58658</t>
  </si>
  <si>
    <t>204:969</t>
  </si>
  <si>
    <t>300:58950</t>
  </si>
  <si>
    <t>204:769</t>
  </si>
  <si>
    <t>204:1058</t>
  </si>
  <si>
    <t>300:58965</t>
  </si>
  <si>
    <t>300:58647</t>
  </si>
  <si>
    <t>204:685</t>
  </si>
  <si>
    <t>204:995</t>
  </si>
  <si>
    <t>300:58986</t>
  </si>
  <si>
    <t>204:694</t>
  </si>
  <si>
    <t>204:971</t>
  </si>
  <si>
    <t>300:58976</t>
  </si>
  <si>
    <t>300:58681</t>
  </si>
  <si>
    <t>204:692</t>
  </si>
  <si>
    <t>204:992</t>
  </si>
  <si>
    <t>300:58926</t>
  </si>
  <si>
    <t>300:58613</t>
  </si>
  <si>
    <t>204:670</t>
  </si>
  <si>
    <t>300:58920</t>
  </si>
  <si>
    <t>300:58604</t>
  </si>
  <si>
    <t>204:703</t>
  </si>
  <si>
    <t>300:58638</t>
  </si>
  <si>
    <t>204:1121</t>
  </si>
  <si>
    <t>300:58980</t>
  </si>
  <si>
    <t>300:58624</t>
  </si>
  <si>
    <t>204:1020</t>
  </si>
  <si>
    <t>204:657</t>
  </si>
  <si>
    <t>300:58933</t>
  </si>
  <si>
    <t>204:689</t>
  </si>
  <si>
    <t>300:58978</t>
  </si>
  <si>
    <t>300:58656</t>
  </si>
  <si>
    <t>204:997</t>
  </si>
  <si>
    <t>204:682</t>
  </si>
  <si>
    <t>204:986</t>
  </si>
  <si>
    <t>300:58952</t>
  </si>
  <si>
    <t>204:706</t>
  </si>
  <si>
    <t>300:58929</t>
  </si>
  <si>
    <t>204:712</t>
  </si>
  <si>
    <t>300:58643</t>
  </si>
  <si>
    <t>204:892</t>
  </si>
  <si>
    <t>300:29170</t>
  </si>
  <si>
    <t>300:29640</t>
  </si>
  <si>
    <t>300:23720</t>
  </si>
  <si>
    <t>300:24216</t>
  </si>
  <si>
    <t>300:23523</t>
  </si>
  <si>
    <t>204:841</t>
  </si>
  <si>
    <t>300:28765</t>
  </si>
  <si>
    <t>300:28791</t>
  </si>
  <si>
    <t>start /low /b %USERPROFILE%\Documents\GitHub\eaglep3\Utilities\DownloadLogsFromS3.py --loco 4012 --day 2017-09-05</t>
  </si>
  <si>
    <t>start /low /b %USERPROFILE%\Documents\GitHub\eaglep3\Utilities\DownloadLogsFromS3.py --loco 4026 --day 2017-09-05</t>
  </si>
  <si>
    <t>start /low /b %USERPROFILE%\Documents\GitHub\eaglep3\Utilities\DownloadLogsFromS3.py --loco 4025 --day 2017-09-05</t>
  </si>
  <si>
    <t>start /low /b %USERPROFILE%\Documents\GitHub\eaglep3\Utilities\DownloadLogsFromS3.py --loco 4064 --day 2017-09-05</t>
  </si>
  <si>
    <t>start /low /b %USERPROFILE%\Documents\GitHub\eaglep3\Utilities\DownloadLogsFromS3.py --loco 4007 --day 2017-09-05</t>
  </si>
  <si>
    <t>start /low /b %USERPROFILE%\Documents\GitHub\eaglep3\Utilities\DownloadLogsFromS3.py --loco 4066 --day 2017-09-05</t>
  </si>
  <si>
    <t>start /low /b %USERPROFILE%\Documents\GitHub\eaglep3\Utilities\DownloadLogsFromS3.py --loco 4021 --day 2017-09-05</t>
  </si>
  <si>
    <t>start /low /b %USERPROFILE%\Documents\GitHub\eaglep3\Utilities\DownloadLogsFromS3.py --loco 4043 --day 2017-09-05</t>
  </si>
  <si>
    <t>start /low /b %USERPROFILE%\Documents\GitHub\eaglep3\Utilities\DownloadLogsFromS3.py --loco 4024 --day 2017-09-05</t>
  </si>
  <si>
    <t>start /low /b %USERPROFILE%\Documents\GitHub\eaglep3\Utilities\DownloadLogsFromS3.py --loco 4029 --day 2017-09-05</t>
  </si>
  <si>
    <t>start /low /b %USERPROFILE%\Documents\GitHub\eaglep3\Utilities\DownloadLogsFromS3.py --loco 4022 --day 2017-09-06</t>
  </si>
  <si>
    <t>start /low /b %USERPROFILE%\Documents\GitHub\eaglep3\Utilities\DownloadLogsFromS3.py --loco 4022 --day 2017-09-05</t>
  </si>
  <si>
    <t>start /low /b %USERPROFILE%\Documents\GitHub\eaglep3\Utilities\DownloadLogsFromS3.py --loco 4040 --day 2017-09-05</t>
  </si>
  <si>
    <t>start /low /b %USERPROFILE%\Documents\GitHub\eaglep3\Utilities\DownloadLogsFromS3.py --loco 4044 --day 2017-09-05</t>
  </si>
  <si>
    <t>start /low /b %USERPROFILE%\Documents\GitHub\eaglep3\Utilities\DownloadLogsFromS3.py --loco 4039 --day 2017-09-05</t>
  </si>
  <si>
    <t>start /low /b %USERPROFILE%\Documents\GitHub\eaglep3\Utilities\DownloadLogsFromS3.py --loco 4064 --day 2017-09-06</t>
  </si>
  <si>
    <t>start /low /b %USERPROFILE%\Documents\GitHub\eaglep3\Utilities\DownloadLogsFromS3.py --loco 4063 --day 2017-09-05</t>
  </si>
  <si>
    <t>start /low /b %USERPROFILE%\Documents\GitHub\eaglep3\Utilities\DownloadLogsFromS3.py --loco 4019 --day 2017-09-05</t>
  </si>
  <si>
    <t>start /low /b %USERPROFILE%\Documents\GitHub\eaglep3\Utilities\DownloadLogsFromS3.py --loco 4063 --day 2017-09-06</t>
  </si>
  <si>
    <t>start /low /b %USERPROFILE%\Documents\GitHub\eaglep3\Utilities\DownloadLogsFromS3.py --loco 4020 --day 2017-09-05</t>
  </si>
  <si>
    <t>Locomotive mechanical failure</t>
  </si>
  <si>
    <t>Selected wrong track at first</t>
  </si>
  <si>
    <t>Premature downgrade at EC0365RH 27-1T 1N</t>
  </si>
  <si>
    <t>Onboard in-route failure</t>
  </si>
  <si>
    <t>204:233355</t>
  </si>
  <si>
    <t>Selected wrong track</t>
  </si>
  <si>
    <t>Restricting aspect</t>
  </si>
  <si>
    <t>Westminster 2N STOP, cleared after</t>
  </si>
  <si>
    <t>Went active past switch</t>
  </si>
  <si>
    <t>Unhealthy @ Chambers due to train stop</t>
  </si>
  <si>
    <t>Unhealthy @ Quebec due to Wi-MAX data drop</t>
  </si>
  <si>
    <t>08:24:10 - signal dropped from 270 to 0, do logs tell us anything?</t>
  </si>
  <si>
    <t>Early Arrival caused by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</si>
</sst>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42983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42983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COUNTIFS($N$13:$N$9310,"&gt;0",$AG$13:$AG$9310,I1)</f>
        <v>141</v>
      </c>
      <c r="K5" s="39"/>
      <c r="L5" s="184"/>
      <c r="M5" s="40">
        <f>AVERAGEIFS($N$13:$N$9310,$AG$13:$AG$9310,I1)</f>
        <v>37.68995271760356</v>
      </c>
      <c r="N5" s="38">
        <f t="array" ref="N5">MIN(IF($AG$13:$AG$9310=I1,IF(ISNUMBER($N$13:$N$9310),IF($N$13:$N$9310&gt;0,$N$13:$N$9310))))</f>
        <v>34.250000001629815</v>
      </c>
      <c r="O5" s="3">
        <f t="array" ref="O5">MAX(IF($AG$13:$AG$9310=I1,IF(ISNUMBER($N$13:$N$9310),IF($N$13:$N$9310&gt;0,$N$13:$N$9310))))</f>
        <v>49.350000000558794</v>
      </c>
      <c r="P5" s="2"/>
      <c r="R5" s="163" t="s">
        <v>17</v>
      </c>
      <c r="S5" s="183">
        <f>COUNTIFS($N$13:$N$9310,"&gt;0",$AG$13:$AG$9310,R1)</f>
        <v>48</v>
      </c>
      <c r="T5" s="184"/>
      <c r="U5" s="184"/>
      <c r="V5" s="180">
        <f>AVERAGEIFS($N$13:$N$9310,$AG$13:$AG$9310,R1)</f>
        <v>16.217361109302146</v>
      </c>
      <c r="W5" s="181">
        <f t="array" ref="W5">MIN(IF($AG$13:$AG$9310=R1,IF(ISNUMBER($N$13:$N$9310),IF($N$13:$N$9310&gt;0,$N$13:$N$9310))))</f>
        <v>12.716666663764045</v>
      </c>
      <c r="X5" s="182">
        <f t="array" ref="X5">MAX(IF($AG$13:$AG$9310=R1,IF(ISNUMBER($N$13:$N$9310),IF($N$13:$N$9310&gt;0,$N$13:$N$9310))))</f>
        <v>23.883333331905305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COUNT($O$13:$O$135)</f>
        <v>0</v>
      </c>
      <c r="K6" s="39"/>
      <c r="L6" s="184"/>
      <c r="M6" s="40">
        <f>IFERROR(AVERAGE($O$13:$O$135),0)</f>
        <v>0</v>
      </c>
      <c r="N6" s="38">
        <f>MIN($O$13:$O$135)</f>
        <v>0</v>
      </c>
      <c r="O6" s="3">
        <f>MAX($O$13:$O$135)</f>
        <v>0</v>
      </c>
      <c r="P6" s="2"/>
      <c r="R6" s="164" t="s">
        <v>43</v>
      </c>
      <c r="S6" s="183">
        <f>COUNT($O$13:$O$135)</f>
        <v>0</v>
      </c>
      <c r="T6" s="184"/>
      <c r="U6" s="184"/>
      <c r="V6" s="180">
        <f>IFERROR(AVERAGE($O$13:$O$135),0)</f>
        <v>0</v>
      </c>
      <c r="W6" s="181">
        <f>MIN($O$13:$O$135)</f>
        <v>0</v>
      </c>
      <c r="X6" s="182">
        <f>MAX($O$13:$O$135)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COUNTIFS($P$13:$P$9310,"&gt;0",$AG$13:$AG$9310,I1)</f>
        <v>3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COUNTIFS($P$13:$P$9310,"&gt;0",$AG$13:$AG$9310,R1)</f>
        <v>1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84"/>
      <c r="M8" s="40">
        <f>M5</f>
        <v>37.68995271760356</v>
      </c>
      <c r="N8" s="38">
        <f>N5</f>
        <v>34.250000001629815</v>
      </c>
      <c r="O8" s="3">
        <f>O5</f>
        <v>49.350000000558794</v>
      </c>
      <c r="P8" s="2"/>
      <c r="R8" s="163" t="s">
        <v>16</v>
      </c>
      <c r="S8" s="183">
        <f>S5</f>
        <v>48</v>
      </c>
      <c r="T8" s="184"/>
      <c r="U8" s="184"/>
      <c r="V8" s="180">
        <f>V5</f>
        <v>16.217361109302146</v>
      </c>
      <c r="W8" s="181">
        <f>W5</f>
        <v>12.716666663764045</v>
      </c>
      <c r="X8" s="182">
        <f>X5</f>
        <v>23.883333331905305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0.97959183673469385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- 2017-09-05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AVERAGE(S13:S105)</f>
        <v>0.97916666666666663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617</v>
      </c>
      <c r="B13" s="7">
        <v>4066</v>
      </c>
      <c r="C13" s="21" t="s">
        <v>197</v>
      </c>
      <c r="D13" s="21" t="s">
        <v>829</v>
      </c>
      <c r="E13" s="13">
        <v>42983.120393518519</v>
      </c>
      <c r="F13" s="13">
        <v>42983.135601851849</v>
      </c>
      <c r="G13" s="7">
        <v>52</v>
      </c>
      <c r="H13" s="21" t="s">
        <v>830</v>
      </c>
      <c r="I13" s="13">
        <v>42983.159421296295</v>
      </c>
      <c r="J13" s="7">
        <v>0</v>
      </c>
      <c r="K13" s="89" t="str">
        <f t="shared" ref="K13:K44" si="0">IF(ISEVEN(B13),(B13-1)&amp;"/"&amp;B13,B13&amp;"/"&amp;(B13+1))</f>
        <v>4065/4066</v>
      </c>
      <c r="L13" s="214" t="str">
        <f>VLOOKUP(A13,'Trips&amp;Operators'!$C$1:$G$99911,5,FALSE)</f>
        <v>YORK EDGAR</v>
      </c>
      <c r="M13" s="6">
        <f t="shared" ref="M13:M44" si="1">I13-F13</f>
        <v>2.3819444446417037E-2</v>
      </c>
      <c r="N13" s="7">
        <f t="shared" ref="N13:N34" si="2">24*60*SUM($M13:$M13)</f>
        <v>34.300000002840534</v>
      </c>
      <c r="O13" s="7"/>
      <c r="P13" s="7"/>
      <c r="Q13" s="22"/>
      <c r="R13" s="167"/>
      <c r="S13" s="210">
        <f t="shared" ref="S13:S48" si="3">1/IF(AG13="EC",12,1)*SUM(U13:U13)</f>
        <v>1</v>
      </c>
      <c r="T13" s="192" t="str">
        <f t="shared" ref="T13:T44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-05T01:53:22-0600',mode:absolute,to:'2017-09-05T04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50" si="7">RIGHT(D13,LEN(D13)-4)/10000</f>
        <v>7.2999999999999995E-2</v>
      </c>
      <c r="Z13" s="194">
        <f t="shared" ref="Z13:Z50" si="8">RIGHT(H13,LEN(H13)-4)/10000</f>
        <v>23.3293</v>
      </c>
      <c r="AA13" s="194">
        <f t="shared" ref="AA13:AA44" si="9">ABS(Z13-Y13)</f>
        <v>23.2563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/stypes="app*4066*20170905*" /stext=" 09:.+((SYSTEM_STATE.+slice.+state.+changed )|(ment ac)|(multiple cpu faults)|(system.+state.+changed )|(\[timeout)|(PRM\|1\|D)|(kpr)|(kdp)|(train st.+moving)|(\|lc)|(penalty))"</v>
      </c>
      <c r="AG13" s="206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4066 --swversion DE.1.0.9.0 --startMP 204:730 --initTime 2017-09-05T02:53:22 --startdatetime 2017-09-05T03:15:16 --delay 52 --endMP 204:233293 --enddatetime 2017-09-05T03:49:34 --enforcementcount 0 &gt;&gt;C:\Users\stu\Documents\GitHub\eaglep3-reporting\EC\2017-09-05-refined-times.txt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{"issue":{"subject":"","project_id":79,"tracker_id":40,"status_id":1,"priority_id":2,"assigned_to_id":338,"start_date":"2017-09-05","description":"","custom_fields":[{"id":1,"name":"Subdivision","value":"EC"},{"id":4,"name":"Milepost","value":"23.3293"},{"id":17,"name":"Train ID","value":"101-05"},{"id":16,"name":"Locomotive ID","value":"4066"},{"id":130,"name":"Impact","value":""},{"id":150,"name":"Time of Event (Mountain Time)","value":"03:49:34"},{"id":151,"name":"Denver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4066 --day 2017-09-05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09:49:34"},{"id":29,"name":"Sharepoint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628</v>
      </c>
      <c r="B14" s="7">
        <v>4065</v>
      </c>
      <c r="C14" s="21" t="s">
        <v>197</v>
      </c>
      <c r="D14" s="21" t="s">
        <v>547</v>
      </c>
      <c r="E14" s="13">
        <v>42983.160243055558</v>
      </c>
      <c r="F14" s="13">
        <v>42983.175173611111</v>
      </c>
      <c r="G14" s="7">
        <v>50</v>
      </c>
      <c r="H14" s="21" t="s">
        <v>456</v>
      </c>
      <c r="I14" s="13">
        <v>42983.200231481482</v>
      </c>
      <c r="J14" s="7">
        <v>0</v>
      </c>
      <c r="K14" s="89" t="str">
        <f t="shared" si="0"/>
        <v>4065/4066</v>
      </c>
      <c r="L14" s="214" t="str">
        <f>VLOOKUP(A14,'Trips&amp;Operators'!$C$1:$G$99911,5,FALSE)</f>
        <v>YORK EDGAR</v>
      </c>
      <c r="M14" s="6">
        <f t="shared" si="1"/>
        <v>2.5057870370801538E-2</v>
      </c>
      <c r="N14" s="7">
        <f t="shared" si="2"/>
        <v>36.083333333954215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-05T02:50:45-0600',mode:absolute,to:'2017-09-05T05:48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23.296299999999999</v>
      </c>
      <c r="Z14" s="194">
        <f t="shared" si="8"/>
        <v>1.5800000000000002E-2</v>
      </c>
      <c r="AA14" s="194">
        <f t="shared" si="9"/>
        <v>23.2805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4" s="74" t="str">
        <f t="shared" si="12"/>
        <v>"C:\Program Files (x86)\AstroGrep\AstroGrep.exe" /e /r /s /spath="%USERPROFILE%\AppData\Local\Temp\OnboardLogs" /stypes="app*4065*20170905*"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4065 --swversion DE.1.0.9.0 --startMP 204:232963 --initTime 2017-09-05T03:50:45 --startdatetime 2017-09-05T04:12:15 --delay 50 --endMP 204:158 --enddatetime 2017-09-05T04:48:20 --enforcementcount 0 &gt;&gt;C:\Users\stu\Documents\GitHub\eaglep3-reporting\EC\2017-09-05-refined-times.txt</v>
      </c>
      <c r="AI14" s="96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ID","value":"102-05"},{"id":16,"name":"Locomotive ID","value":"4065"},{"id":130,"name":"Impact","value":""},{"id":150,"name":"Time of Event (Mountain Time)","value":"04:48:20"},{"id":151,"name":"Denver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0">"start /low /b "&amp;dls3logs&amp;" --loco "&amp;B14&amp;" --day "&amp;TEXT(F14,"YYYY-MM-DD")</f>
        <v>start /low /b %USERPROFILE%\Documents\GitHub\eaglep3\Utilities\DownloadLogsFromS3.py --loco 4065 --day 2017-09-05</v>
      </c>
      <c r="AN14" s="15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623</v>
      </c>
      <c r="B15" s="7">
        <v>4040</v>
      </c>
      <c r="C15" s="21" t="s">
        <v>197</v>
      </c>
      <c r="D15" s="21" t="s">
        <v>444</v>
      </c>
      <c r="E15" s="13">
        <v>42983.150555555556</v>
      </c>
      <c r="F15" s="13">
        <v>42983.156412037039</v>
      </c>
      <c r="G15" s="7">
        <v>60</v>
      </c>
      <c r="H15" s="21" t="s">
        <v>395</v>
      </c>
      <c r="I15" s="13">
        <v>42983.181331018517</v>
      </c>
      <c r="J15" s="7">
        <v>0</v>
      </c>
      <c r="K15" s="89" t="str">
        <f t="shared" si="0"/>
        <v>4039/4040</v>
      </c>
      <c r="L15" s="214" t="str">
        <f>VLOOKUP(A15,'Trips&amp;Operators'!$C$1:$G$99911,5,FALSE)</f>
        <v>STARKS ANGELINA</v>
      </c>
      <c r="M15" s="6">
        <f t="shared" si="1"/>
        <v>2.491898147854954E-2</v>
      </c>
      <c r="N15" s="7">
        <f t="shared" si="2"/>
        <v>35.883333329111338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-05T02:36:48-0600',mode:absolute,to:'2017-09-05T05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4.5999999999999999E-2</v>
      </c>
      <c r="Z15" s="194">
        <f t="shared" si="8"/>
        <v>23.3306</v>
      </c>
      <c r="AA15" s="194">
        <f t="shared" si="9"/>
        <v>23.284600000000001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5" s="74" t="str">
        <f t="shared" si="12"/>
        <v>"C:\Program Files (x86)\AstroGrep\AstroGrep.exe" /e /r /s /spath="%USERPROFILE%\AppData\Local\Temp\OnboardLogs" /stypes="app*4040*20170905*"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103-05 --locoid 4040 --swversion DE.1.0.9.0 --startMP 204:460 --initTime 2017-09-05T03:36:48 --startdatetime 2017-09-05T03:45:14 --delay 60 --endMP 204:233306 --enddatetime 2017-09-05T04:21:07 --enforcementcount 0 &gt;&gt;C:\Users\stu\Documents\GitHub\eaglep3-reporting\EC\2017-09-05-refined-times.txt</v>
      </c>
      <c r="AI1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{"issue":{"subject":"","project_id":79,"tracker_id":40,"status_id":1,"priority_id":2,"assigned_to_id":338,"start_date":"2017-09-05","description":"","custom_fields":[{"id":1,"name":"Subdivision","value":"EC"},{"id":4,"name":"Milepost","value":"23.3306"},{"id":17,"name":"Train ID","value":"103-05"},{"id":16,"name":"Locomotive ID","value":"4040"},{"id":130,"name":"Impact","value":""},{"id":150,"name":"Time of Event (Mountain Time)","value":"04:21:07"},{"id":151,"name":"Denver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4040 --day 2017-09-05</v>
      </c>
      <c r="AN1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4039</v>
      </c>
      <c r="C16" s="21" t="s">
        <v>197</v>
      </c>
      <c r="D16" s="21" t="s">
        <v>415</v>
      </c>
      <c r="E16" s="13">
        <v>42983.193252314813</v>
      </c>
      <c r="F16" s="13">
        <v>42983.196064814816</v>
      </c>
      <c r="G16" s="7">
        <v>73</v>
      </c>
      <c r="H16" s="21" t="s">
        <v>371</v>
      </c>
      <c r="I16" s="13">
        <v>42983.223564814813</v>
      </c>
      <c r="J16" s="7">
        <v>0</v>
      </c>
      <c r="K16" s="89" t="str">
        <f t="shared" si="0"/>
        <v>4039/4040</v>
      </c>
      <c r="L16" s="214" t="str">
        <f>VLOOKUP(A16,'Trips&amp;Operators'!$C$1:$G$99911,5,FALSE)</f>
        <v>STARKS ANGELINA</v>
      </c>
      <c r="M16" s="6">
        <f t="shared" si="1"/>
        <v>2.749999999650754E-2</v>
      </c>
      <c r="N16" s="7">
        <f t="shared" si="2"/>
        <v>39.599999994970858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-05T03:38:17-0600',mode:absolute,to:'2017-09-05T06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23.298300000000001</v>
      </c>
      <c r="Z16" s="194">
        <f t="shared" si="8"/>
        <v>1.4500000000000001E-2</v>
      </c>
      <c r="AA16" s="194">
        <f t="shared" si="9"/>
        <v>23.283799999999999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16" s="74" t="str">
        <f t="shared" si="12"/>
        <v>"C:\Program Files (x86)\AstroGrep\AstroGrep.exe" /e /r /s /spath="%USERPROFILE%\AppData\Local\Temp\OnboardLogs" /stypes="app*4039*20170905*"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104-05 --locoid 4039 --swversion DE.1.0.9.0 --startMP 204:232983 --initTime 2017-09-05T04:38:17 --startdatetime 2017-09-05T04:42:20 --delay 73 --endMP 204:145 --enddatetime 2017-09-05T05:21:56 --enforcementcount 0 &gt;&gt;C:\Users\stu\Documents\GitHub\eaglep3-reporting\EC\2017-09-05-refined-times.txt</v>
      </c>
      <c r="AI1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{"issue":{"subject":"","project_id":79,"tracker_id":40,"status_id":1,"priority_id":2,"assigned_to_id":338,"start_date":"2017-09-05","description":"","custom_fields":[{"id":1,"name":"Subdivision","value":"EC"},{"id":4,"name":"Milepost","value":"0.0145"},{"id":17,"name":"Train ID","value":"104-05"},{"id":16,"name":"Locomotive ID","value":"4039"},{"id":130,"name":"Impact","value":""},{"id":150,"name":"Time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4039 --day 2017-09-05</v>
      </c>
      <c r="AN1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630</v>
      </c>
      <c r="B17" s="7">
        <v>4008</v>
      </c>
      <c r="C17" s="21" t="s">
        <v>197</v>
      </c>
      <c r="D17" s="21" t="s">
        <v>381</v>
      </c>
      <c r="E17" s="13">
        <v>42983.166712962964</v>
      </c>
      <c r="F17" s="13">
        <v>42983.177430555559</v>
      </c>
      <c r="G17" s="7">
        <v>75</v>
      </c>
      <c r="H17" s="21" t="s">
        <v>548</v>
      </c>
      <c r="I17" s="13">
        <v>42983.204583333332</v>
      </c>
      <c r="J17" s="7">
        <v>0</v>
      </c>
      <c r="K17" s="89" t="str">
        <f t="shared" si="0"/>
        <v>4007/4008</v>
      </c>
      <c r="L17" s="214" t="str">
        <f>VLOOKUP(A17,'Trips&amp;Operators'!$C$1:$G$99911,5,FALSE)</f>
        <v>THOMPSON LESTER</v>
      </c>
      <c r="M17" s="6">
        <f t="shared" si="1"/>
        <v>2.7152777773153502E-2</v>
      </c>
      <c r="N17" s="7">
        <f t="shared" si="2"/>
        <v>39.099999993341044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-05T03:00:04-0600',mode:absolute,to:'2017-09-05T05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4.6699999999999998E-2</v>
      </c>
      <c r="Z17" s="194">
        <f t="shared" si="8"/>
        <v>23.3322</v>
      </c>
      <c r="AA17" s="194">
        <f t="shared" si="9"/>
        <v>23.285499999999999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17" s="74" t="str">
        <f t="shared" si="12"/>
        <v>"C:\Program Files (x86)\AstroGrep\AstroGrep.exe" /e /r /s /spath="%USERPROFILE%\AppData\Local\Temp\OnboardLogs" /stypes="app*4008*20170905*"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105-05 --locoid 4008 --swversion DE.1.0.9.0 --startMP 204:467 --initTime 2017-09-05T04:00:04 --startdatetime 2017-09-05T04:15:30 --delay 75 --endMP 204:233322 --enddatetime 2017-09-05T04:54:36 --enforcementcount 0 &gt;&gt;C:\Users\stu\Documents\GitHub\eaglep3-reporting\EC\2017-09-05-refined-times.txt</v>
      </c>
      <c r="AI1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{"issue":{"subject":"","project_id":79,"tracker_id":40,"status_id":1,"priority_id":2,"assigned_to_id":338,"start_date":"2017-09-05","description":"","custom_fields":[{"id":1,"name":"Subdivision","value":"EC"},{"id":4,"name":"Milepost","value":"23.3322"},{"id":17,"name":"Train ID","value":"105-05"},{"id":16,"name":"Locomotive ID","value":"4008"},{"id":130,"name":"Impact","value":""},{"id":150,"name":"Time of Event (Mountain Time)","value":"04:54:36"},{"id":151,"name":"Denver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4008 --day 2017-09-05</v>
      </c>
      <c r="AN1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641</v>
      </c>
      <c r="B18" s="7">
        <v>4007</v>
      </c>
      <c r="C18" s="21" t="s">
        <v>197</v>
      </c>
      <c r="D18" s="21" t="s">
        <v>543</v>
      </c>
      <c r="E18" s="13">
        <v>42983.213113425925</v>
      </c>
      <c r="F18" s="13">
        <v>42983.216840277775</v>
      </c>
      <c r="G18" s="7">
        <v>61</v>
      </c>
      <c r="H18" s="21" t="s">
        <v>345</v>
      </c>
      <c r="I18" s="13">
        <v>42983.245636574073</v>
      </c>
      <c r="J18" s="7">
        <v>0</v>
      </c>
      <c r="K18" s="89" t="str">
        <f t="shared" si="0"/>
        <v>4007/4008</v>
      </c>
      <c r="L18" s="214" t="str">
        <f>VLOOKUP(A18,'Trips&amp;Operators'!$C$1:$G$99911,5,FALSE)</f>
        <v>THOMPSON LESTER</v>
      </c>
      <c r="M18" s="6">
        <f t="shared" si="1"/>
        <v>2.8796296297514345E-2</v>
      </c>
      <c r="N18" s="7">
        <f t="shared" si="2"/>
        <v>41.466666668420658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-05T04:06:53-0600',mode:absolute,to:'2017-09-05T06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23.299800000000001</v>
      </c>
      <c r="Z18" s="194">
        <f t="shared" si="8"/>
        <v>1.47E-2</v>
      </c>
      <c r="AA18" s="194">
        <f t="shared" si="9"/>
        <v>23.2851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18" s="74" t="str">
        <f t="shared" si="12"/>
        <v>"C:\Program Files (x86)\AstroGrep\AstroGrep.exe" /e /r /s /spath="%USERPROFILE%\AppData\Local\Temp\OnboardLogs" /stypes="app*4007*20170905*"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106-05 --locoid 4007 --swversion DE.1.0.9.0 --startMP 204:232998 --initTime 2017-09-05T05:06:53 --startdatetime 2017-09-05T05:12:15 --delay 61 --endMP 204:147 --enddatetime 2017-09-05T05:53:43 --enforcementcount 0 &gt;&gt;C:\Users\stu\Documents\GitHub\eaglep3-reporting\EC\2017-09-05-refined-times.txt</v>
      </c>
      <c r="AI1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ID","value":"106-05"},{"id":16,"name":"Locomotive ID","value":"4007"},{"id":130,"name":"Impact","value":""},{"id":150,"name":"Time of Event (Mountain Time)","value":"05:53:43"},{"id":151,"name":"Denver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4007 --day 2017-09-05</v>
      </c>
      <c r="AN1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631</v>
      </c>
      <c r="B19" s="7">
        <v>4010</v>
      </c>
      <c r="C19" s="21" t="s">
        <v>197</v>
      </c>
      <c r="D19" s="21" t="s">
        <v>363</v>
      </c>
      <c r="E19" s="13">
        <v>42983.174722222226</v>
      </c>
      <c r="F19" s="13">
        <v>42983.187696759262</v>
      </c>
      <c r="G19" s="7">
        <v>64</v>
      </c>
      <c r="H19" s="21" t="s">
        <v>831</v>
      </c>
      <c r="I19" s="13">
        <v>42983.212083333332</v>
      </c>
      <c r="J19" s="7">
        <v>0</v>
      </c>
      <c r="K19" s="89" t="str">
        <f t="shared" si="0"/>
        <v>4009/4010</v>
      </c>
      <c r="L19" s="214" t="str">
        <f>VLOOKUP(A19,'Trips&amp;Operators'!$C$1:$G$99911,5,FALSE)</f>
        <v>LALONDE GREGORY</v>
      </c>
      <c r="M19" s="6">
        <f t="shared" si="1"/>
        <v>2.438657407037681E-2</v>
      </c>
      <c r="N19" s="7">
        <f t="shared" si="2"/>
        <v>35.116666661342606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-05T03:11:36-0600',mode:absolute,to:'2017-09-05T06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4.58E-2</v>
      </c>
      <c r="Z19" s="194">
        <f t="shared" si="8"/>
        <v>23.335100000000001</v>
      </c>
      <c r="AA19" s="194">
        <f t="shared" si="9"/>
        <v>23.289300000000001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9" s="74" t="str">
        <f t="shared" si="12"/>
        <v>"C:\Program Files (x86)\AstroGrep\AstroGrep.exe" /e /r /s /spath="%USERPROFILE%\AppData\Local\Temp\OnboardLogs" /stypes="app*4010*20170905*"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107-05 --locoid 4010 --swversion DE.1.0.9.0 --startMP 204:458 --initTime 2017-09-05T04:11:36 --startdatetime 2017-09-05T04:30:17 --delay 64 --endMP 204:233351 --enddatetime 2017-09-05T05:05:24 --enforcementcount 0 &gt;&gt;C:\Users\stu\Documents\GitHub\eaglep3-reporting\EC\2017-09-05-refined-times.txt</v>
      </c>
      <c r="AI19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{"issue":{"subject":"","project_id":79,"tracker_id":40,"status_id":1,"priority_id":2,"assigned_to_id":338,"start_date":"2017-09-05","description":"","custom_fields":[{"id":1,"name":"Subdivision","value":"EC"},{"id":4,"name":"Milepost","value":"23.3351"},{"id":17,"name":"Train ID","value":"107-05"},{"id":16,"name":"Locomotive ID","value":"4010"},{"id":130,"name":"Impact","value":""},{"id":150,"name":"Time of Event (Mountain Time)","value":"05:05:24"},{"id":151,"name":"Denver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4010 --day 2017-09-05</v>
      </c>
      <c r="AN19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642</v>
      </c>
      <c r="B20" s="7">
        <v>4009</v>
      </c>
      <c r="C20" s="21" t="s">
        <v>197</v>
      </c>
      <c r="D20" s="21" t="s">
        <v>537</v>
      </c>
      <c r="E20" s="13">
        <v>42983.213807870372</v>
      </c>
      <c r="F20" s="13">
        <v>42983.227395833332</v>
      </c>
      <c r="G20" s="7">
        <v>53</v>
      </c>
      <c r="H20" s="21" t="s">
        <v>340</v>
      </c>
      <c r="I20" s="13">
        <v>42983.252280092594</v>
      </c>
      <c r="J20" s="7">
        <v>0</v>
      </c>
      <c r="K20" s="89" t="str">
        <f t="shared" si="0"/>
        <v>4009/4010</v>
      </c>
      <c r="L20" s="214" t="str">
        <f>VLOOKUP(A20,'Trips&amp;Operators'!$C$1:$G$99911,5,FALSE)</f>
        <v>LALONDE GREGORY</v>
      </c>
      <c r="M20" s="6">
        <f t="shared" si="1"/>
        <v>2.4884259262762498E-2</v>
      </c>
      <c r="N20" s="7">
        <f t="shared" si="2"/>
        <v>35.833333338377997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-05T04:07:53-0600',mode:absolute,to:'2017-09-05T07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23.302299999999999</v>
      </c>
      <c r="Z20" s="194">
        <f t="shared" si="8"/>
        <v>1.43E-2</v>
      </c>
      <c r="AA20" s="194">
        <f t="shared" si="9"/>
        <v>23.288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20" s="74" t="str">
        <f t="shared" si="12"/>
        <v>"C:\Program Files (x86)\AstroGrep\AstroGrep.exe" /e /r /s /spath="%USERPROFILE%\AppData\Local\Temp\OnboardLogs" /stypes="app*4009*20170905*"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108-05 --locoid 4009 --swversion DE.1.0.9.0 --startMP 204:233023 --initTime 2017-09-05T05:07:53 --startdatetime 2017-09-05T05:27:27 --delay 53 --endMP 204:143 --enddatetime 2017-09-05T06:03:17 --enforcementcount 0 &gt;&gt;C:\Users\stu\Documents\GitHub\eaglep3-reporting\EC\2017-09-05-refined-times.txt</v>
      </c>
      <c r="AI2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{"issue":{"subject":"","project_id":79,"tracker_id":40,"status_id":1,"priority_id":2,"assigned_to_id":338,"start_date":"2017-09-05","description":"","custom_fields":[{"id":1,"name":"Subdivision","value":"EC"},{"id":4,"name":"Milepost","value":"0.0143"},{"id":17,"name":"Train ID","value":"108-05"},{"id":16,"name":"Locomotive ID","value":"4009"},{"id":130,"name":"Impact","value":""},{"id":150,"name":"Time of Event (Mountain Time)","value":"06:03:17"},{"id":151,"name":"Denver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4009 --day 2017-09-05</v>
      </c>
      <c r="AN2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634</v>
      </c>
      <c r="B21" s="7">
        <v>4012</v>
      </c>
      <c r="C21" s="21" t="s">
        <v>197</v>
      </c>
      <c r="D21" s="21" t="s">
        <v>369</v>
      </c>
      <c r="E21" s="13">
        <v>42983.194386574076</v>
      </c>
      <c r="F21" s="13">
        <v>42983.198159722226</v>
      </c>
      <c r="G21" s="7">
        <v>93</v>
      </c>
      <c r="H21" s="21" t="s">
        <v>492</v>
      </c>
      <c r="I21" s="13">
        <v>42983.223344907405</v>
      </c>
      <c r="J21" s="7">
        <v>0</v>
      </c>
      <c r="K21" s="89" t="str">
        <f t="shared" si="0"/>
        <v>4011/4012</v>
      </c>
      <c r="L21" s="214" t="str">
        <f>VLOOKUP(A21,'Trips&amp;Operators'!$C$1:$G$99911,5,FALSE)</f>
        <v>LAMAR NEKESHA</v>
      </c>
      <c r="M21" s="6">
        <f t="shared" si="1"/>
        <v>2.5185185178997926E-2</v>
      </c>
      <c r="N21" s="7">
        <f t="shared" si="2"/>
        <v>36.266666657757014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-05T03:39:55-0600',mode:absolute,to:'2017-09-05T06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4.6399999999999997E-2</v>
      </c>
      <c r="Z21" s="194">
        <f t="shared" si="8"/>
        <v>23.328600000000002</v>
      </c>
      <c r="AA21" s="194">
        <f t="shared" si="9"/>
        <v>23.282200000000003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s3://rtdc.mdm.uploadarchive.raw/RTDC4012/ "%USERPROFILE%\AppData\Local\Temp\OnboardLogs"\RTDC4012\2017-09-05 --exclude "*" --recursive --include "*20170905*" &amp; "%USERPROFILE%\Documents\GitHub\mrs-test-scripts\Headless Mode &amp; Sideloading\WalkAndUnGZ.bat" "%USERPROFILE%\AppData\Local\Temp\OnboardLogs"\RTDC4012\2017-09-05 &amp; aws s3 cp s3://rtdc.mdm.uploadarchive.raw/RTDC4012/ "%USERPROFILE%\AppData\Local\Temp\OnboardLogs"\RTDC4012\2017-09-06 --exclude "*" --recursive --include "*20170906*" &amp; "%USERPROFILE%\Documents\GitHub\mrs-test-scripts\Headless Mode &amp; Sideloading\WalkAndUnGZ.bat" "%USERPROFILE%\AppData\Local\Temp\OnboardLogs"\RTDC4012\2017-09-06</v>
      </c>
      <c r="AF21" s="74" t="str">
        <f t="shared" si="12"/>
        <v>"C:\Program Files (x86)\AstroGrep\AstroGrep.exe" /e /r /s /spath="%USERPROFILE%\AppData\Local\Temp\OnboardLogs" /stypes="app*4012*20170905*"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109-05 --locoid 4012 --swversion DE.1.0.9.0 --startMP 204:464 --initTime 2017-09-05T04:39:55 --startdatetime 2017-09-05T04:45:21 --delay 93 --endMP 204:233286 --enddatetime 2017-09-05T05:21:37 --enforcementcount 0 &gt;&gt;C:\Users\stu\Documents\GitHub\eaglep3-reporting\EC\2017-09-05-refined-times.txt</v>
      </c>
      <c r="AI21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{"issue":{"subject":"","project_id":79,"tracker_id":40,"status_id":1,"priority_id":2,"assigned_to_id":338,"start_date":"2017-09-05","description":"","custom_fields":[{"id":1,"name":"Subdivision","value":"EC"},{"id":4,"name":"Milepost","value":"23.3286"},{"id":17,"name":"Train ID","value":"109-05"},{"id":16,"name":"Locomotive ID","value":"4012"},{"id":130,"name":"Impact","value":""},{"id":150,"name":"Time of Event (Mountain Time)","value":"05:21:37"},{"id":151,"name":"Denver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4012 --day 2017-09-05</v>
      </c>
      <c r="AN21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4011</v>
      </c>
      <c r="C22" s="21" t="s">
        <v>197</v>
      </c>
      <c r="D22" s="21" t="s">
        <v>458</v>
      </c>
      <c r="E22" s="13">
        <v>42983.234490740739</v>
      </c>
      <c r="F22" s="13">
        <v>42983.237662037034</v>
      </c>
      <c r="G22" s="7">
        <v>52</v>
      </c>
      <c r="H22" s="21" t="s">
        <v>442</v>
      </c>
      <c r="I22" s="13">
        <v>42983.263506944444</v>
      </c>
      <c r="J22" s="7">
        <v>0</v>
      </c>
      <c r="K22" s="89" t="str">
        <f t="shared" si="0"/>
        <v>4011/4012</v>
      </c>
      <c r="L22" s="214" t="str">
        <f>VLOOKUP(A22,'Trips&amp;Operators'!$C$1:$G$99911,5,FALSE)</f>
        <v>LAMAR NEKESHA</v>
      </c>
      <c r="M22" s="6">
        <f t="shared" si="1"/>
        <v>2.584490740991896E-2</v>
      </c>
      <c r="N22" s="7">
        <f t="shared" si="2"/>
        <v>37.216666670283303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-05T04:37:40-0600',mode:absolute,to:'2017-09-05T07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23.297799999999999</v>
      </c>
      <c r="Z22" s="194">
        <f t="shared" si="8"/>
        <v>1.6E-2</v>
      </c>
      <c r="AA22" s="194">
        <f t="shared" si="9"/>
        <v>23.2818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s3://rtdc.mdm.uploadarchive.raw/RTDC4011/ "%USERPROFILE%\AppData\Local\Temp\OnboardLogs"\RTDC4011\2017-09-05 --exclude "*" --recursive --include "*20170905*" &amp; "%USERPROFILE%\Documents\GitHub\mrs-test-scripts\Headless Mode &amp; Sideloading\WalkAndUnGZ.bat" "%USERPROFILE%\AppData\Local\Temp\OnboardLogs"\RTDC4011\2017-09-05 &amp; aws s3 cp s3://rtdc.mdm.uploadarchive.raw/RTDC4011/ "%USERPROFILE%\AppData\Local\Temp\OnboardLogs"\RTDC4011\2017-09-06 --exclude "*" --recursive --include "*20170906*" &amp; "%USERPROFILE%\Documents\GitHub\mrs-test-scripts\Headless Mode &amp; Sideloading\WalkAndUnGZ.bat" "%USERPROFILE%\AppData\Local\Temp\OnboardLogs"\RTDC4011\2017-09-06</v>
      </c>
      <c r="AF22" s="74" t="str">
        <f t="shared" si="12"/>
        <v>"C:\Program Files (x86)\AstroGrep\AstroGrep.exe" /e /r /s /spath="%USERPROFILE%\AppData\Local\Temp\OnboardLogs" /stypes="app*4011*20170905*"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110-05 --locoid 4011 --swversion DE.1.0.9.0 --startMP 204:232978 --initTime 2017-09-05T05:37:40 --startdatetime 2017-09-05T05:42:14 --delay 52 --endMP 204:160 --enddatetime 2017-09-05T06:19:27 --enforcementcount 0 &gt;&gt;C:\Users\stu\Documents\GitHub\eaglep3-reporting\EC\2017-09-05-refined-times.txt</v>
      </c>
      <c r="AI2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{"issue":{"subject":"","project_id":79,"tracker_id":40,"status_id":1,"priority_id":2,"assigned_to_id":338,"start_date":"2017-09-05","description":"","custom_fields":[{"id":1,"name":"Subdivision","value":"EC"},{"id":4,"name":"Milepost","value":"0.016"},{"id":17,"name":"Train ID","value":"110-05"},{"id":16,"name":"Locomotive ID","value":"4011"},{"id":130,"name":"Impact","value":""},{"id":150,"name":"Time of Event (Mountain Time)","value":"06:19:27"},{"id":151,"name":"Denver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4011 --day 2017-09-05</v>
      </c>
      <c r="AN2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637</v>
      </c>
      <c r="B23" s="7">
        <v>4066</v>
      </c>
      <c r="C23" s="21" t="s">
        <v>197</v>
      </c>
      <c r="D23" s="21" t="s">
        <v>444</v>
      </c>
      <c r="E23" s="13">
        <v>42983.201562499999</v>
      </c>
      <c r="F23" s="13">
        <v>42983.20853009259</v>
      </c>
      <c r="G23" s="7">
        <v>43</v>
      </c>
      <c r="H23" s="21" t="s">
        <v>443</v>
      </c>
      <c r="I23" s="13">
        <v>42983.232916666668</v>
      </c>
      <c r="J23" s="7">
        <v>0</v>
      </c>
      <c r="K23" s="89" t="str">
        <f t="shared" si="0"/>
        <v>4065/4066</v>
      </c>
      <c r="L23" s="214" t="str">
        <f>VLOOKUP(A23,'Trips&amp;Operators'!$C$1:$G$99911,5,FALSE)</f>
        <v>YORK EDGAR</v>
      </c>
      <c r="M23" s="6">
        <f t="shared" si="1"/>
        <v>2.4386574077652767E-2</v>
      </c>
      <c r="N23" s="7">
        <f t="shared" si="2"/>
        <v>35.116666671819985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-05T03:50:15-0600',mode:absolute,to:'2017-09-05T06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4.5999999999999999E-2</v>
      </c>
      <c r="Z23" s="194">
        <f t="shared" si="8"/>
        <v>23.3278</v>
      </c>
      <c r="AA23" s="194">
        <f t="shared" si="9"/>
        <v>23.2818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23" s="74" t="str">
        <f t="shared" si="12"/>
        <v>"C:\Program Files (x86)\AstroGrep\AstroGrep.exe" /e /r /s /spath="%USERPROFILE%\AppData\Local\Temp\OnboardLogs" /stypes="app*4066*20170905*"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111-05 --locoid 4066 --swversion DE.1.0.9.0 --startMP 204:460 --initTime 2017-09-05T04:50:15 --startdatetime 2017-09-05T05:00:17 --delay 43 --endMP 204:233278 --enddatetime 2017-09-05T05:35:24 --enforcementcount 0 &gt;&gt;C:\Users\stu\Documents\GitHub\eaglep3-reporting\EC\2017-09-05-refined-times.txt</v>
      </c>
      <c r="AI23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{"issue":{"subject":"","project_id":79,"tracker_id":40,"status_id":1,"priority_id":2,"assigned_to_id":338,"start_date":"2017-09-05","description":"","custom_fields":[{"id":1,"name":"Subdivision","value":"EC"},{"id":4,"name":"Milepost","value":"23.3278"},{"id":17,"name":"Train ID","value":"111-05"},{"id":16,"name":"Locomotive ID","value":"4066"},{"id":130,"name":"Impact","value":""},{"id":150,"name":"Time of Event (Mountain Time)","value":"05:35:24"},{"id":151,"name":"Denver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4066 --day 2017-09-05</v>
      </c>
      <c r="AN23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645</v>
      </c>
      <c r="B24" s="7">
        <v>4065</v>
      </c>
      <c r="C24" s="21" t="s">
        <v>197</v>
      </c>
      <c r="D24" s="21" t="s">
        <v>832</v>
      </c>
      <c r="E24" s="13">
        <v>42983.233784722222</v>
      </c>
      <c r="F24" s="13">
        <v>42983.248159722221</v>
      </c>
      <c r="G24" s="7">
        <v>42</v>
      </c>
      <c r="H24" s="21" t="s">
        <v>338</v>
      </c>
      <c r="I24" s="13">
        <v>42983.273738425924</v>
      </c>
      <c r="J24" s="7">
        <v>0</v>
      </c>
      <c r="K24" s="89" t="str">
        <f t="shared" si="0"/>
        <v>4065/4066</v>
      </c>
      <c r="L24" s="214" t="str">
        <f>VLOOKUP(A24,'Trips&amp;Operators'!$C$1:$G$99911,5,FALSE)</f>
        <v>YORK EDGAR</v>
      </c>
      <c r="M24" s="6">
        <f t="shared" si="1"/>
        <v>2.5578703702194616E-2</v>
      </c>
      <c r="N24" s="7">
        <f t="shared" si="2"/>
        <v>36.833333331160247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-05T04:36:39-0600',mode:absolute,to:'2017-09-05T07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23.2974</v>
      </c>
      <c r="Z24" s="194">
        <f t="shared" si="8"/>
        <v>1.4999999999999999E-2</v>
      </c>
      <c r="AA24" s="194">
        <f t="shared" si="9"/>
        <v>23.282399999999999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24" s="74" t="str">
        <f t="shared" si="12"/>
        <v>"C:\Program Files (x86)\AstroGrep\AstroGrep.exe" /e /r /s /spath="%USERPROFILE%\AppData\Local\Temp\OnboardLogs" /stypes="app*4065*20170905*"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112-05 --locoid 4065 --swversion DE.1.0.9.0 --startMP 204:232974 --initTime 2017-09-05T05:36:39 --startdatetime 2017-09-05T05:57:21 --delay 42 --endMP 204:150 --enddatetime 2017-09-05T06:34:11 --enforcementcount 0 &gt;&gt;C:\Users\stu\Documents\GitHub\eaglep3-reporting\EC\2017-09-05-refined-times.txt</v>
      </c>
      <c r="AI2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{"issue":{"subject":"","project_id":79,"tracker_id":40,"status_id":1,"priority_id":2,"assigned_to_id":338,"start_date":"2017-09-05","description":"","custom_fields":[{"id":1,"name":"Subdivision","value":"EC"},{"id":4,"name":"Milepost","value":"0.015"},{"id":17,"name":"Train ID","value":"112-05"},{"id":16,"name":"Locomotive ID","value":"4065"},{"id":130,"name":"Impact","value":""},{"id":150,"name":"Time of Event (Mountain Time)","value":"06:34:11"},{"id":151,"name":"Denver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4065 --day 2017-09-05</v>
      </c>
      <c r="AN2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638</v>
      </c>
      <c r="B25" s="7">
        <v>4024</v>
      </c>
      <c r="C25" s="21" t="s">
        <v>197</v>
      </c>
      <c r="D25" s="21" t="s">
        <v>365</v>
      </c>
      <c r="E25" s="13">
        <v>42983.205775462964</v>
      </c>
      <c r="F25" s="13">
        <v>42983.218981481485</v>
      </c>
      <c r="G25" s="7">
        <v>111</v>
      </c>
      <c r="H25" s="21" t="s">
        <v>833</v>
      </c>
      <c r="I25" s="13">
        <v>42983.243171296293</v>
      </c>
      <c r="J25" s="7">
        <v>0</v>
      </c>
      <c r="K25" s="89" t="str">
        <f t="shared" si="0"/>
        <v>4023/4024</v>
      </c>
      <c r="L25" s="214" t="str">
        <f>VLOOKUP(A25,'Trips&amp;Operators'!$C$1:$G$99911,5,FALSE)</f>
        <v>GUNTHIER ERIC</v>
      </c>
      <c r="M25" s="6">
        <f t="shared" si="1"/>
        <v>2.4189814808778465E-2</v>
      </c>
      <c r="N25" s="7">
        <f t="shared" si="2"/>
        <v>34.833333324640989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-05T03:56:19-0600',mode:absolute,to:'2017-09-05T06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4.4900000000000002E-2</v>
      </c>
      <c r="Z25" s="194">
        <f t="shared" si="8"/>
        <v>23.3276</v>
      </c>
      <c r="AA25" s="194">
        <f t="shared" si="9"/>
        <v>23.282700000000002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25" s="74" t="str">
        <f t="shared" si="12"/>
        <v>"C:\Program Files (x86)\AstroGrep\AstroGrep.exe" /e /r /s /spath="%USERPROFILE%\AppData\Local\Temp\OnboardLogs" /stypes="app*4024*20170905*"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113-05 --locoid 4024 --swversion DE.1.0.9.0 --startMP 204:449 --initTime 2017-09-05T04:56:19 --startdatetime 2017-09-05T05:15:20 --delay 111 --endMP 204:233276 --enddatetime 2017-09-05T05:50:10 --enforcementcount 0 &gt;&gt;C:\Users\stu\Documents\GitHub\eaglep3-reporting\EC\2017-09-05-refined-times.txt</v>
      </c>
      <c r="AI2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{"issue":{"subject":"","project_id":79,"tracker_id":40,"status_id":1,"priority_id":2,"assigned_to_id":338,"start_date":"2017-09-05","description":"","custom_fields":[{"id":1,"name":"Subdivision","value":"EC"},{"id":4,"name":"Milepost","value":"23.3276"},{"id":17,"name":"Train ID","value":"113-05"},{"id":16,"name":"Locomotive ID","value":"4024"},{"id":130,"name":"Impact","value":""},{"id":150,"name":"Time of Event (Mountain Time)","value":"05:50:10"},{"id":151,"name":"Denver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4024 --day 2017-09-05</v>
      </c>
      <c r="AN2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650</v>
      </c>
      <c r="B26" s="7">
        <v>4023</v>
      </c>
      <c r="C26" s="21" t="s">
        <v>197</v>
      </c>
      <c r="D26" s="21" t="s">
        <v>489</v>
      </c>
      <c r="E26" s="13">
        <v>42983.244328703702</v>
      </c>
      <c r="F26" s="13">
        <v>42983.258506944447</v>
      </c>
      <c r="G26" s="7">
        <v>48</v>
      </c>
      <c r="H26" s="21" t="s">
        <v>340</v>
      </c>
      <c r="I26" s="13">
        <v>42983.284814814811</v>
      </c>
      <c r="J26" s="7">
        <v>0</v>
      </c>
      <c r="K26" s="89" t="str">
        <f t="shared" si="0"/>
        <v>4023/4024</v>
      </c>
      <c r="L26" s="214" t="str">
        <f>VLOOKUP(A26,'Trips&amp;Operators'!$C$1:$G$99911,5,FALSE)</f>
        <v>GUNTHIER ERIC</v>
      </c>
      <c r="M26" s="6">
        <f t="shared" si="1"/>
        <v>2.6307870364689734E-2</v>
      </c>
      <c r="N26" s="7">
        <f t="shared" si="2"/>
        <v>37.883333325153217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-05T04:51:50-0600',mode:absolute,to:'2017-09-05T07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23.2971</v>
      </c>
      <c r="Z26" s="194">
        <f t="shared" si="8"/>
        <v>1.43E-2</v>
      </c>
      <c r="AA26" s="194">
        <f t="shared" si="9"/>
        <v>23.282800000000002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26" s="74" t="str">
        <f t="shared" si="12"/>
        <v>"C:\Program Files (x86)\AstroGrep\AstroGrep.exe" /e /r /s /spath="%USERPROFILE%\AppData\Local\Temp\OnboardLogs" /stypes="app*4023*20170905*"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114-05 --locoid 4023 --swversion DE.1.0.9.0 --startMP 204:232971 --initTime 2017-09-05T05:51:50 --startdatetime 2017-09-05T06:12:15 --delay 48 --endMP 204:143 --enddatetime 2017-09-05T06:50:08 --enforcementcount 0 &gt;&gt;C:\Users\stu\Documents\GitHub\eaglep3-reporting\EC\2017-09-05-refined-times.txt</v>
      </c>
      <c r="AI2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{"issue":{"subject":"","project_id":79,"tracker_id":40,"status_id":1,"priority_id":2,"assigned_to_id":338,"start_date":"2017-09-05","description":"","custom_fields":[{"id":1,"name":"Subdivision","value":"EC"},{"id":4,"name":"Milepost","value":"0.0143"},{"id":17,"name":"Train ID","value":"114-05"},{"id":16,"name":"Locomotive ID","value":"4023"},{"id":130,"name":"Impact","value":""},{"id":150,"name":"Time of Event (Mountain Time)","value":"06:50:08"},{"id":151,"name":"Denver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4023 --day 2017-09-05</v>
      </c>
      <c r="AN2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4040</v>
      </c>
      <c r="C27" s="21" t="s">
        <v>197</v>
      </c>
      <c r="D27" s="21" t="s">
        <v>376</v>
      </c>
      <c r="E27" s="13">
        <v>42983.226655092592</v>
      </c>
      <c r="F27" s="13">
        <v>42983.229363425926</v>
      </c>
      <c r="G27" s="7">
        <v>51</v>
      </c>
      <c r="H27" s="21" t="s">
        <v>398</v>
      </c>
      <c r="I27" s="13">
        <v>42983.254733796297</v>
      </c>
      <c r="J27" s="7">
        <v>0</v>
      </c>
      <c r="K27" s="89" t="str">
        <f t="shared" si="0"/>
        <v>4039/4040</v>
      </c>
      <c r="L27" s="214" t="str">
        <f>VLOOKUP(A27,'Trips&amp;Operators'!$C$1:$G$99911,5,FALSE)</f>
        <v>STARKS ANGELINA</v>
      </c>
      <c r="M27" s="6">
        <f t="shared" si="1"/>
        <v>2.5370370371092577E-2</v>
      </c>
      <c r="N27" s="7">
        <f t="shared" si="2"/>
        <v>36.53333333437331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-05T04:26:23-0600',mode:absolute,to:'2017-09-05T07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4.4400000000000002E-2</v>
      </c>
      <c r="Z27" s="194">
        <f t="shared" si="8"/>
        <v>23.329699999999999</v>
      </c>
      <c r="AA27" s="194">
        <f t="shared" si="9"/>
        <v>23.285299999999999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27" s="74" t="str">
        <f t="shared" si="12"/>
        <v>"C:\Program Files (x86)\AstroGrep\AstroGrep.exe" /e /r /s /spath="%USERPROFILE%\AppData\Local\Temp\OnboardLogs" /stypes="app*4040*20170905*"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115-05 --locoid 4040 --swversion DE.1.0.9.0 --startMP 204:444 --initTime 2017-09-05T05:26:23 --startdatetime 2017-09-05T05:30:17 --delay 51 --endMP 204:233297 --enddatetime 2017-09-05T06:06:49 --enforcementcount 0 &gt;&gt;C:\Users\stu\Documents\GitHub\eaglep3-reporting\EC\2017-09-05-refined-times.txt</v>
      </c>
      <c r="AI2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{"issue":{"subject":"","project_id":79,"tracker_id":40,"status_id":1,"priority_id":2,"assigned_to_id":338,"start_date":"2017-09-05","description":"","custom_fields":[{"id":1,"name":"Subdivision","value":"EC"},{"id":4,"name":"Milepost","value":"23.3297"},{"id":17,"name":"Train ID","value":"115-05"},{"id":16,"name":"Locomotive ID","value":"4040"},{"id":130,"name":"Impact","value":""},{"id":150,"name":"Time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4040 --day 2017-09-05</v>
      </c>
      <c r="AN2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656</v>
      </c>
      <c r="B28" s="7">
        <v>4039</v>
      </c>
      <c r="C28" s="21" t="s">
        <v>197</v>
      </c>
      <c r="D28" s="21" t="s">
        <v>834</v>
      </c>
      <c r="E28" s="13">
        <v>42983.262453703705</v>
      </c>
      <c r="F28" s="13">
        <v>42983.268935185188</v>
      </c>
      <c r="G28" s="7">
        <v>71</v>
      </c>
      <c r="H28" s="21" t="s">
        <v>364</v>
      </c>
      <c r="I28" s="13">
        <v>42983.296331018515</v>
      </c>
      <c r="J28" s="7">
        <v>0</v>
      </c>
      <c r="K28" s="89" t="str">
        <f t="shared" si="0"/>
        <v>4039/4040</v>
      </c>
      <c r="L28" s="214" t="str">
        <f>VLOOKUP(A28,'Trips&amp;Operators'!$C$1:$G$99911,5,FALSE)</f>
        <v>STARKS ANGELINA</v>
      </c>
      <c r="M28" s="6">
        <f t="shared" si="1"/>
        <v>2.7395833327318542E-2</v>
      </c>
      <c r="N28" s="7">
        <f t="shared" si="2"/>
        <v>39.4499999913387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-05T05:17:56-0600',mode:absolute,to:'2017-09-05T08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23.298500000000001</v>
      </c>
      <c r="Z28" s="194">
        <f t="shared" si="8"/>
        <v>1.52E-2</v>
      </c>
      <c r="AA28" s="194">
        <f t="shared" si="9"/>
        <v>23.283300000000001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28" s="74" t="str">
        <f t="shared" si="12"/>
        <v>"C:\Program Files (x86)\AstroGrep\AstroGrep.exe" /e /r /s /spath="%USERPROFILE%\AppData\Local\Temp\OnboardLogs" /stypes="app*4039*20170905*"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116-05 --locoid 4039 --swversion DE.1.0.9.0 --startMP 204:232985 --initTime 2017-09-05T06:17:56 --startdatetime 2017-09-05T06:27:16 --delay 71 --endMP 204:152 --enddatetime 2017-09-05T07:06:43 --enforcementcount 0 &gt;&gt;C:\Users\stu\Documents\GitHub\eaglep3-reporting\EC\2017-09-05-refined-times.txt</v>
      </c>
      <c r="AI2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{"issue":{"subject":"","project_id":79,"tracker_id":40,"status_id":1,"priority_id":2,"assigned_to_id":338,"start_date":"2017-09-05","description":"","custom_fields":[{"id":1,"name":"Subdivision","value":"EC"},{"id":4,"name":"Milepost","value":"0.0152"},{"id":17,"name":"Train ID","value":"116-05"},{"id":16,"name":"Locomotive ID","value":"4039"},{"id":130,"name":"Impact","value":""},{"id":150,"name":"Time of Event (Mountain Time)","value":"07:06:43"},{"id":151,"name":"Denver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4039 --day 2017-09-05</v>
      </c>
      <c r="AN2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648</v>
      </c>
      <c r="B29" s="7">
        <v>4044</v>
      </c>
      <c r="C29" s="21" t="s">
        <v>197</v>
      </c>
      <c r="D29" s="21" t="s">
        <v>366</v>
      </c>
      <c r="E29" s="13">
        <v>42983.234849537039</v>
      </c>
      <c r="F29" s="13">
        <v>42983.239745370367</v>
      </c>
      <c r="G29" s="7">
        <v>74</v>
      </c>
      <c r="H29" s="21" t="s">
        <v>486</v>
      </c>
      <c r="I29" s="13">
        <v>42983.265300925923</v>
      </c>
      <c r="J29" s="7">
        <v>0</v>
      </c>
      <c r="K29" s="89" t="str">
        <f t="shared" si="0"/>
        <v>4043/4044</v>
      </c>
      <c r="L29" s="214" t="str">
        <f>VLOOKUP(A29,'Trips&amp;Operators'!$C$1:$G$99911,5,FALSE)</f>
        <v>MACDONALD THOMAS</v>
      </c>
      <c r="M29" s="6">
        <f t="shared" si="1"/>
        <v>2.5555555555911269E-2</v>
      </c>
      <c r="N29" s="7">
        <f t="shared" si="2"/>
        <v>36.800000000512227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-05T04:38:11-0600',mode:absolute,to:'2017-09-05T07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4.5699999999999998E-2</v>
      </c>
      <c r="Z29" s="194">
        <f t="shared" si="8"/>
        <v>23.331399999999999</v>
      </c>
      <c r="AA29" s="194">
        <f t="shared" si="9"/>
        <v>23.285699999999999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29" s="74" t="str">
        <f t="shared" si="12"/>
        <v>"C:\Program Files (x86)\AstroGrep\AstroGrep.exe" /e /r /s /spath="%USERPROFILE%\AppData\Local\Temp\OnboardLogs" /stypes="app*4044*20170905*"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117-05 --locoid 4044 --swversion DE.1.0.9.0 --startMP 204:457 --initTime 2017-09-05T05:38:11 --startdatetime 2017-09-05T05:45:14 --delay 74 --endMP 204:233314 --enddatetime 2017-09-05T06:22:02 --enforcementcount 0 &gt;&gt;C:\Users\stu\Documents\GitHub\eaglep3-reporting\EC\2017-09-05-refined-times.txt</v>
      </c>
      <c r="AI29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{"issue":{"subject":"","project_id":79,"tracker_id":40,"status_id":1,"priority_id":2,"assigned_to_id":338,"start_date":"2017-09-05","description":"","custom_fields":[{"id":1,"name":"Subdivision","value":"EC"},{"id":4,"name":"Milepost","value":"23.3314"},{"id":17,"name":"Train ID","value":"117-05"},{"id":16,"name":"Locomotive ID","value":"4044"},{"id":130,"name":"Impact","value":""},{"id":150,"name":"Time of Event (Mountain Time)","value":"06:22:02"},{"id":151,"name":"Denver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4044 --day 2017-09-05</v>
      </c>
      <c r="AN29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660</v>
      </c>
      <c r="B30" s="7">
        <v>4043</v>
      </c>
      <c r="C30" s="21" t="s">
        <v>197</v>
      </c>
      <c r="D30" s="21" t="s">
        <v>835</v>
      </c>
      <c r="E30" s="13">
        <v>42983.277268518519</v>
      </c>
      <c r="F30" s="13">
        <v>42983.279537037037</v>
      </c>
      <c r="G30" s="7">
        <v>46</v>
      </c>
      <c r="H30" s="21" t="s">
        <v>836</v>
      </c>
      <c r="I30" s="13">
        <v>42983.306469907409</v>
      </c>
      <c r="J30" s="7">
        <v>0</v>
      </c>
      <c r="K30" s="89" t="str">
        <f t="shared" si="0"/>
        <v>4043/4044</v>
      </c>
      <c r="L30" s="214" t="str">
        <f>VLOOKUP(A30,'Trips&amp;Operators'!$C$1:$G$99911,5,FALSE)</f>
        <v>MACDONALD THOMAS</v>
      </c>
      <c r="M30" s="6">
        <f t="shared" si="1"/>
        <v>2.6932870372547768E-2</v>
      </c>
      <c r="N30" s="7">
        <f t="shared" si="2"/>
        <v>38.783333336468786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-05T05:39:16-0600',mode:absolute,to:'2017-09-05T08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23.2988</v>
      </c>
      <c r="Z30" s="194">
        <f t="shared" si="8"/>
        <v>1.72E-2</v>
      </c>
      <c r="AA30" s="194">
        <f t="shared" si="9"/>
        <v>23.281600000000001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30" s="74" t="str">
        <f t="shared" si="12"/>
        <v>"C:\Program Files (x86)\AstroGrep\AstroGrep.exe" /e /r /s /spath="%USERPROFILE%\AppData\Local\Temp\OnboardLogs" /stypes="app*4043*20170905*"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118-05 --locoid 4043 --swversion DE.1.0.9.0 --startMP 204:232988 --initTime 2017-09-05T06:39:16 --startdatetime 2017-09-05T06:42:32 --delay 46 --endMP 204:172 --enddatetime 2017-09-05T07:21:19 --enforcementcount 0 &gt;&gt;C:\Users\stu\Documents\GitHub\eaglep3-reporting\EC\2017-09-05-refined-times.txt</v>
      </c>
      <c r="AI3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{"issue":{"subject":"","project_id":79,"tracker_id":40,"status_id":1,"priority_id":2,"assigned_to_id":338,"start_date":"2017-09-05","description":"","custom_fields":[{"id":1,"name":"Subdivision","value":"EC"},{"id":4,"name":"Milepost","value":"0.0172"},{"id":17,"name":"Train ID","value":"118-05"},{"id":16,"name":"Locomotive ID","value":"4043"},{"id":130,"name":"Impact","value":""},{"id":150,"name":"Time of Event (Mountain Time)","value":"07:21:19"},{"id":151,"name":"Denver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4043 --day 2017-09-05</v>
      </c>
      <c r="AN3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652</v>
      </c>
      <c r="B31" s="7">
        <v>4008</v>
      </c>
      <c r="C31" s="21" t="s">
        <v>197</v>
      </c>
      <c r="D31" s="21" t="s">
        <v>366</v>
      </c>
      <c r="E31" s="13">
        <v>42983.248553240737</v>
      </c>
      <c r="F31" s="13">
        <v>42983.250138888892</v>
      </c>
      <c r="G31" s="7">
        <v>61</v>
      </c>
      <c r="H31" s="21" t="s">
        <v>837</v>
      </c>
      <c r="I31" s="13">
        <v>42983.274467592593</v>
      </c>
      <c r="J31" s="7">
        <v>0</v>
      </c>
      <c r="K31" s="89" t="str">
        <f t="shared" si="0"/>
        <v>4007/4008</v>
      </c>
      <c r="L31" s="214" t="str">
        <f>VLOOKUP(A31,'Trips&amp;Operators'!$C$1:$G$99911,5,FALSE)</f>
        <v>BIRENBAUM THOMAS</v>
      </c>
      <c r="M31" s="6">
        <f t="shared" si="1"/>
        <v>2.4328703701030463E-2</v>
      </c>
      <c r="N31" s="7">
        <f t="shared" si="2"/>
        <v>35.033333329483867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-05T04:57:55-0600',mode:absolute,to:'2017-09-05T07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4.5699999999999998E-2</v>
      </c>
      <c r="Z31" s="194">
        <f t="shared" si="8"/>
        <v>23.331700000000001</v>
      </c>
      <c r="AA31" s="194">
        <f t="shared" si="9"/>
        <v>23.286000000000001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31" s="74" t="str">
        <f t="shared" si="12"/>
        <v>"C:\Program Files (x86)\AstroGrep\AstroGrep.exe" /e /r /s /spath="%USERPROFILE%\AppData\Local\Temp\OnboardLogs" /stypes="app*4008*20170905*"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119-05 --locoid 4008 --swversion DE.1.0.9.0 --startMP 204:457 --initTime 2017-09-05T05:57:55 --startdatetime 2017-09-05T06:00:12 --delay 61 --endMP 204:233317 --enddatetime 2017-09-05T06:35:14 --enforcementcount 0 &gt;&gt;C:\Users\stu\Documents\GitHub\eaglep3-reporting\EC\2017-09-05-refined-times.txt</v>
      </c>
      <c r="AI31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{"issue":{"subject":"","project_id":79,"tracker_id":40,"status_id":1,"priority_id":2,"assigned_to_id":338,"start_date":"2017-09-05","description":"","custom_fields":[{"id":1,"name":"Subdivision","value":"EC"},{"id":4,"name":"Milepost","value":"23.3317"},{"id":17,"name":"Train ID","value":"119-05"},{"id":16,"name":"Locomotive ID","value":"4008"},{"id":130,"name":"Impact","value":""},{"id":150,"name":"Time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4008 --day 2017-09-05</v>
      </c>
      <c r="AN31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663</v>
      </c>
      <c r="B32" s="7">
        <v>4007</v>
      </c>
      <c r="C32" s="21" t="s">
        <v>197</v>
      </c>
      <c r="D32" s="21" t="s">
        <v>838</v>
      </c>
      <c r="E32" s="13">
        <v>42983.286840277775</v>
      </c>
      <c r="F32" s="13">
        <v>42983.289722222224</v>
      </c>
      <c r="G32" s="7">
        <v>107</v>
      </c>
      <c r="H32" s="21" t="s">
        <v>345</v>
      </c>
      <c r="I32" s="13">
        <v>42983.317233796297</v>
      </c>
      <c r="J32" s="7">
        <v>0</v>
      </c>
      <c r="K32" s="89" t="str">
        <f t="shared" si="0"/>
        <v>4007/4008</v>
      </c>
      <c r="L32" s="214" t="str">
        <f>VLOOKUP(A32,'Trips&amp;Operators'!$C$1:$G$99911,5,FALSE)</f>
        <v>BIRENBAUM THOMAS</v>
      </c>
      <c r="M32" s="6">
        <f t="shared" si="1"/>
        <v>2.7511574073287193E-2</v>
      </c>
      <c r="N32" s="7">
        <f t="shared" si="2"/>
        <v>39.616666665533558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-05T05:53:03-0600',mode:absolute,to:'2017-09-05T08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23.2989</v>
      </c>
      <c r="Z32" s="194">
        <f t="shared" si="8"/>
        <v>1.47E-2</v>
      </c>
      <c r="AA32" s="194">
        <f t="shared" si="9"/>
        <v>23.284199999999998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32" s="74" t="str">
        <f t="shared" si="12"/>
        <v>"C:\Program Files (x86)\AstroGrep\AstroGrep.exe" /e /r /s /spath="%USERPROFILE%\AppData\Local\Temp\OnboardLogs" /stypes="app*4007*20170905*"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120-05 --locoid 4007 --swversion DE.1.0.9.0 --startMP 204:232989 --initTime 2017-09-05T06:53:03 --startdatetime 2017-09-05T06:57:12 --delay 107 --endMP 204:147 --enddatetime 2017-09-05T07:36:49 --enforcementcount 0 &gt;&gt;C:\Users\stu\Documents\GitHub\eaglep3-reporting\EC\2017-09-05-refined-times.txt</v>
      </c>
      <c r="AI3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ID","value":"120-05"},{"id":16,"name":"Locomotive ID","value":"4007"},{"id":130,"name":"Impact","value":""},{"id":150,"name":"Time of Event (Mountain Time)","value":"07:36:49"},{"id":151,"name":"Denver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4007 --day 2017-09-05</v>
      </c>
      <c r="AN3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655</v>
      </c>
      <c r="B33" s="7">
        <v>4010</v>
      </c>
      <c r="C33" s="21" t="s">
        <v>197</v>
      </c>
      <c r="D33" s="21" t="s">
        <v>839</v>
      </c>
      <c r="E33" s="13">
        <v>42983.256851851853</v>
      </c>
      <c r="F33" s="13">
        <v>42983.260729166665</v>
      </c>
      <c r="G33" s="7">
        <v>70</v>
      </c>
      <c r="H33" s="21" t="s">
        <v>548</v>
      </c>
      <c r="I33" s="13">
        <v>42983.284537037034</v>
      </c>
      <c r="J33" s="7">
        <v>0</v>
      </c>
      <c r="K33" s="89" t="str">
        <f t="shared" si="0"/>
        <v>4009/4010</v>
      </c>
      <c r="L33" s="214" t="str">
        <f>VLOOKUP(A33,'Trips&amp;Operators'!$C$1:$G$99911,5,FALSE)</f>
        <v>LALONDE GREGORY</v>
      </c>
      <c r="M33" s="6">
        <f t="shared" si="1"/>
        <v>2.3807870369637385E-2</v>
      </c>
      <c r="N33" s="7">
        <f t="shared" si="2"/>
        <v>34.283333332277834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-05T05:09:52-0600',mode:absolute,to:'2017-09-05T07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4.3999999999999997E-2</v>
      </c>
      <c r="Z33" s="194">
        <f t="shared" si="8"/>
        <v>23.3322</v>
      </c>
      <c r="AA33" s="194">
        <f t="shared" si="9"/>
        <v>23.2882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33" s="74" t="str">
        <f t="shared" si="12"/>
        <v>"C:\Program Files (x86)\AstroGrep\AstroGrep.exe" /e /r /s /spath="%USERPROFILE%\AppData\Local\Temp\OnboardLogs" /stypes="app*4010*20170905*"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121-05 --locoid 4010 --swversion DE.1.0.9.0 --startMP 204:440 --initTime 2017-09-05T06:09:52 --startdatetime 2017-09-05T06:15:27 --delay 70 --endMP 204:233322 --enddatetime 2017-09-05T06:49:44 --enforcementcount 0 &gt;&gt;C:\Users\stu\Documents\GitHub\eaglep3-reporting\EC\2017-09-05-refined-times.txt</v>
      </c>
      <c r="AI33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{"issue":{"subject":"","project_id":79,"tracker_id":40,"status_id":1,"priority_id":2,"assigned_to_id":338,"start_date":"2017-09-05","description":"","custom_fields":[{"id":1,"name":"Subdivision","value":"EC"},{"id":4,"name":"Milepost","value":"23.3322"},{"id":17,"name":"Train ID","value":"121-05"},{"id":16,"name":"Locomotive ID","value":"4010"},{"id":130,"name":"Impact","value":""},{"id":150,"name":"Time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4010 --day 2017-09-05</v>
      </c>
      <c r="AN33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661</v>
      </c>
      <c r="B34" s="7">
        <v>4009</v>
      </c>
      <c r="C34" s="21" t="s">
        <v>197</v>
      </c>
      <c r="D34" s="21" t="s">
        <v>840</v>
      </c>
      <c r="E34" s="13">
        <v>42983.286145833335</v>
      </c>
      <c r="F34" s="13">
        <v>42983.300254629627</v>
      </c>
      <c r="G34" s="7">
        <v>56</v>
      </c>
      <c r="H34" s="21" t="s">
        <v>345</v>
      </c>
      <c r="I34" s="13">
        <v>42983.326342592591</v>
      </c>
      <c r="J34" s="7">
        <v>0</v>
      </c>
      <c r="K34" s="89" t="str">
        <f t="shared" si="0"/>
        <v>4009/4010</v>
      </c>
      <c r="L34" s="214" t="str">
        <f>VLOOKUP(A34,'Trips&amp;Operators'!$C$1:$G$99911,5,FALSE)</f>
        <v>LALONDE GREGORY</v>
      </c>
      <c r="M34" s="6">
        <f t="shared" si="1"/>
        <v>2.6087962964083999E-2</v>
      </c>
      <c r="N34" s="7">
        <f t="shared" si="2"/>
        <v>37.566666668280959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-05T05:52:03-0600',mode:absolute,to:'2017-09-05T08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23.300899999999999</v>
      </c>
      <c r="Z34" s="194">
        <f t="shared" si="8"/>
        <v>1.47E-2</v>
      </c>
      <c r="AA34" s="194">
        <f t="shared" si="9"/>
        <v>23.286199999999997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34" s="74" t="str">
        <f t="shared" si="12"/>
        <v>"C:\Program Files (x86)\AstroGrep\AstroGrep.exe" /e /r /s /spath="%USERPROFILE%\AppData\Local\Temp\OnboardLogs" /stypes="app*4009*20170905*"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122-05 --locoid 4009 --swversion DE.1.0.9.0 --startMP 204:233009 --initTime 2017-09-05T06:52:03 --startdatetime 2017-09-05T07:12:22 --delay 56 --endMP 204:147 --enddatetime 2017-09-05T07:49:56 --enforcementcount 0 &gt;&gt;C:\Users\stu\Documents\GitHub\eaglep3-reporting\EC\2017-09-05-refined-times.txt</v>
      </c>
      <c r="AI3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ID","value":"122-05"},{"id":16,"name":"Locomotive ID","value":"4009"},{"id":130,"name":"Impact","value":""},{"id":150,"name":"Time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4009 --day 2017-09-05</v>
      </c>
      <c r="AN3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657</v>
      </c>
      <c r="B35" s="7">
        <v>4012</v>
      </c>
      <c r="C35" s="21" t="s">
        <v>197</v>
      </c>
      <c r="D35" s="21" t="s">
        <v>377</v>
      </c>
      <c r="E35" s="13">
        <v>42983.268067129633</v>
      </c>
      <c r="F35" s="13">
        <v>42983.27103009259</v>
      </c>
      <c r="G35" s="7">
        <v>52</v>
      </c>
      <c r="H35" s="21" t="s">
        <v>841</v>
      </c>
      <c r="I35" s="13">
        <v>42983.27925925926</v>
      </c>
      <c r="J35" s="7">
        <v>0</v>
      </c>
      <c r="K35" s="89" t="str">
        <f t="shared" si="0"/>
        <v>4011/4012</v>
      </c>
      <c r="L35" s="214" t="str">
        <f>VLOOKUP(A35,'Trips&amp;Operators'!$C$1:$G$99911,5,FALSE)</f>
        <v>LAMAR NEKESHA</v>
      </c>
      <c r="M35" s="6">
        <f t="shared" si="1"/>
        <v>8.2291666694800369E-3</v>
      </c>
      <c r="N35" s="7"/>
      <c r="O35" s="7"/>
      <c r="P35" s="7">
        <f>24*60*SUM($M35:$M35)</f>
        <v>11.850000004051253</v>
      </c>
      <c r="Q35" s="22"/>
      <c r="R35" s="167" t="s">
        <v>994</v>
      </c>
      <c r="S35" s="210">
        <f t="shared" si="3"/>
        <v>8.3333333333333329E-2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-05T05:26:01-0600',mode:absolute,to:'2017-09-05T07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94" t="str">
        <f>IF(AA35&lt;VLOOKUP(AG35,Variables!$AC$3:$AD$8,2,FALSE),"Y","N")</f>
        <v>Y</v>
      </c>
      <c r="X35" s="194">
        <f t="shared" si="6"/>
        <v>1</v>
      </c>
      <c r="Y35" s="194">
        <f t="shared" si="7"/>
        <v>4.7100000000000003E-2</v>
      </c>
      <c r="Z35" s="194">
        <f t="shared" si="8"/>
        <v>2.8923000000000001</v>
      </c>
      <c r="AA35" s="194">
        <f t="shared" si="9"/>
        <v>2.8452000000000002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s3://rtdc.mdm.uploadarchive.raw/RTDC4012/ "%USERPROFILE%\AppData\Local\Temp\OnboardLogs"\RTDC4012\2017-09-05 --exclude "*" --recursive --include "*20170905*" &amp; "%USERPROFILE%\Documents\GitHub\mrs-test-scripts\Headless Mode &amp; Sideloading\WalkAndUnGZ.bat" "%USERPROFILE%\AppData\Local\Temp\OnboardLogs"\RTDC4012\2017-09-05 &amp; aws s3 cp s3://rtdc.mdm.uploadarchive.raw/RTDC4012/ "%USERPROFILE%\AppData\Local\Temp\OnboardLogs"\RTDC4012\2017-09-06 --exclude "*" --recursive --include "*20170906*" &amp; "%USERPROFILE%\Documents\GitHub\mrs-test-scripts\Headless Mode &amp; Sideloading\WalkAndUnGZ.bat" "%USERPROFILE%\AppData\Local\Temp\OnboardLogs"\RTDC4012\2017-09-06</v>
      </c>
      <c r="AF35" s="74" t="str">
        <f t="shared" si="12"/>
        <v>"C:\Program Files (x86)\AstroGrep\AstroGrep.exe" /e /r /s /spath="%USERPROFILE%\AppData\Local\Temp\OnboardLogs" /stypes="app*4012*20170905*" /stext=" 12:.+((SYSTEM_STATE.+slice.+state.+changed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123-05 --locoid 4012 --swversion DE.1.0.9.0 --startMP 204:471 --initTime 2017-09-05T06:26:01 --startdatetime 2017-09-05T06:30:17 --delay 52 --endMP 204:28923 --enddatetime 2017-09-05T06:42:08 --enforcementcount 0 &gt;&gt;C:\Users\stu\Documents\GitHub\eaglep3-reporting\EC\2017-09-05-refined-times.txt</v>
      </c>
      <c r="AI35" s="96" t="str">
        <f t="shared" si="19"/>
        <v>echo {"issue":{"subject":"Locomotive mechanical failure","project_id":79,"tracker_id":40,"status_id":1,"priority_id":2,"assigned_to_id":338,"start_date":"2017-09-05","description":"","custom_fields":[{"id":1,"name":"Subdivision","value":"EC"},{"id":4,"name":"Milepost","value":"2.8923"},{"id":17,"name":"Train ID","value":"123-05"},{"id":16,"name":"Locomotive ID","value":"4012"},{"id":130,"name":"Impact","value":""},{"id":150,"name":"Time of Event (Mountain Time)","value":"06:42:08"},{"id":151,"name":"Denver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4012 --day 2017-09-05</v>
      </c>
      <c r="AN35" s="151" t="str">
        <f t="shared" si="21"/>
        <v>echo {"issue":{"subject":"Locomotive mechanical failure","project_id":30,"tracker_id":4,"status_id":1,"priority_id":1,"assigned_to_id":10,"start_date":"2017-09-05","description":"","custom_fields":[{"id":30,"name":"Category","value":"Issue"},{"id":3,"name":"Functional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666</v>
      </c>
      <c r="B36" s="7">
        <v>4065</v>
      </c>
      <c r="C36" s="21" t="s">
        <v>197</v>
      </c>
      <c r="D36" s="21" t="s">
        <v>566</v>
      </c>
      <c r="E36" s="13">
        <v>42983.316412037035</v>
      </c>
      <c r="F36" s="13">
        <v>42983.317708333336</v>
      </c>
      <c r="G36" s="7">
        <v>43</v>
      </c>
      <c r="H36" s="21" t="s">
        <v>456</v>
      </c>
      <c r="I36" s="13">
        <v>42983.344201388885</v>
      </c>
      <c r="J36" s="7">
        <v>0</v>
      </c>
      <c r="K36" s="89" t="str">
        <f t="shared" si="0"/>
        <v>4065/4066</v>
      </c>
      <c r="L36" s="214" t="str">
        <f>VLOOKUP(A36,'Trips&amp;Operators'!$C$1:$G$99911,5,FALSE)</f>
        <v>YORK EDGAR</v>
      </c>
      <c r="M36" s="6">
        <f t="shared" si="1"/>
        <v>2.6493055549508426E-2</v>
      </c>
      <c r="N36" s="7">
        <f t="shared" ref="N36:N48" si="22">24*60*SUM($M36:$M36)</f>
        <v>38.149999991292134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-05T06:35:38-0600',mode:absolute,to:'2017-09-05T09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23.297599999999999</v>
      </c>
      <c r="Z36" s="194">
        <f t="shared" si="8"/>
        <v>1.5800000000000002E-2</v>
      </c>
      <c r="AA36" s="194">
        <f t="shared" si="9"/>
        <v>23.2818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36" s="74" t="str">
        <f t="shared" si="12"/>
        <v>"C:\Program Files (x86)\AstroGrep\AstroGrep.exe" /e /r /s /spath="%USERPROFILE%\AppData\Local\Temp\OnboardLogs" /stypes="app*4065*20170905*"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124-05 --locoid 4065 --swversion DE.1.0.9.0 --startMP 204:232976 --initTime 2017-09-05T07:35:38 --startdatetime 2017-09-05T07:37:30 --delay 43 --endMP 204:158 --enddatetime 2017-09-05T08:15:39 --enforcementcount 0 &gt;&gt;C:\Users\stu\Documents\GitHub\eaglep3-reporting\EC\2017-09-05-refined-times.txt</v>
      </c>
      <c r="AI3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ID","value":"124-05"},{"id":16,"name":"Locomotive ID","value":"4065"},{"id":130,"name":"Impact","value":""},{"id":150,"name":"Time of Event (Mountain Time)","value":"08:15:39"},{"id":151,"name":"Denver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4065 --day 2017-09-05</v>
      </c>
      <c r="AN3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14:15:39"},{"id":29,"name":"Sharepoint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576</v>
      </c>
      <c r="B37" s="7">
        <v>4066</v>
      </c>
      <c r="C37" s="21" t="s">
        <v>197</v>
      </c>
      <c r="D37" s="21" t="s">
        <v>342</v>
      </c>
      <c r="E37" s="13">
        <v>42983.274722222224</v>
      </c>
      <c r="F37" s="13">
        <v>42983.281469907408</v>
      </c>
      <c r="G37" s="7">
        <v>48</v>
      </c>
      <c r="H37" s="21" t="s">
        <v>842</v>
      </c>
      <c r="I37" s="13">
        <v>42983.315740740742</v>
      </c>
      <c r="J37" s="7">
        <v>0</v>
      </c>
      <c r="K37" s="89" t="str">
        <f t="shared" si="0"/>
        <v>4065/4066</v>
      </c>
      <c r="L37" s="214" t="str">
        <f>VLOOKUP(A37,'Trips&amp;Operators'!$C$1:$G$99911,5,FALSE)</f>
        <v>YORK EDGAR</v>
      </c>
      <c r="M37" s="6">
        <f t="shared" si="1"/>
        <v>3.4270833333721384E-2</v>
      </c>
      <c r="N37" s="7">
        <f t="shared" si="22"/>
        <v>49.350000000558794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-05T05:35:36-0600',mode:absolute,to:'2017-09-05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4.53E-2</v>
      </c>
      <c r="Z37" s="194">
        <f t="shared" si="8"/>
        <v>23.328099999999999</v>
      </c>
      <c r="AA37" s="194">
        <f t="shared" si="9"/>
        <v>23.282799999999998</v>
      </c>
      <c r="AB37" s="54" t="str">
        <f>VLOOKUP(A37,Enforcements!$C$7:$K$11,8,0)</f>
        <v>Bulletin (2)</v>
      </c>
      <c r="AC37" s="51" t="str">
        <f>VLOOKUP(A37,Enforcements!$C$7:$E$11,3,0)</f>
        <v>GRADE CROSSING</v>
      </c>
      <c r="AD37" s="203">
        <f t="shared" si="10"/>
        <v>125</v>
      </c>
      <c r="AE37" s="77" t="str">
        <f t="shared" si="11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37" s="74" t="str">
        <f t="shared" si="12"/>
        <v>"C:\Program Files (x86)\AstroGrep\AstroGrep.exe" /e /r /s /spath="%USERPROFILE%\AppData\Local\Temp\OnboardLogs" /stypes="app*4066*20170905*"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125-05 --locoid 4066 --swversion DE.1.0.9.0 --startMP 204:453 --initTime 2017-09-05T06:35:36 --startdatetime 2017-09-05T06:45:19 --delay 48 --endMP 204:233281 --enddatetime 2017-09-05T07:34:40 --enforcementcount 0 &gt;&gt;C:\Users\stu\Documents\GitHub\eaglep3-reporting\EC\2017-09-05-refined-times.txt</v>
      </c>
      <c r="AI3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{"issue":{"subject":"","project_id":79,"tracker_id":40,"status_id":1,"priority_id":2,"assigned_to_id":338,"start_date":"2017-09-05","description":"","custom_fields":[{"id":1,"name":"Subdivision","value":"EC"},{"id":4,"name":"Milepost","value":"23.3281"},{"id":17,"name":"Train ID","value":"125-05"},{"id":16,"name":"Locomotive ID","value":"4066"},{"id":130,"name":"Impact","value":""},{"id":150,"name":"Time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4066 --day 2017-09-05</v>
      </c>
      <c r="AN3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668</v>
      </c>
      <c r="B38" s="7">
        <v>4011</v>
      </c>
      <c r="C38" s="21" t="s">
        <v>197</v>
      </c>
      <c r="D38" s="21" t="s">
        <v>843</v>
      </c>
      <c r="E38" s="13">
        <v>42983.31759259259</v>
      </c>
      <c r="F38" s="13">
        <v>42983.322627314818</v>
      </c>
      <c r="G38" s="7">
        <v>302</v>
      </c>
      <c r="H38" s="21" t="s">
        <v>844</v>
      </c>
      <c r="I38" s="13">
        <v>42983.355300925927</v>
      </c>
      <c r="J38" s="7">
        <v>0</v>
      </c>
      <c r="K38" s="89" t="str">
        <f t="shared" si="0"/>
        <v>4011/4012</v>
      </c>
      <c r="L38" s="214" t="str">
        <f>VLOOKUP(A38,'Trips&amp;Operators'!$C$1:$G$99911,5,FALSE)</f>
        <v>LAMAR NEKESHA</v>
      </c>
      <c r="M38" s="6">
        <f t="shared" si="1"/>
        <v>3.2673611109203193E-2</v>
      </c>
      <c r="N38" s="7">
        <f t="shared" si="22"/>
        <v>47.049999997252598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-05T06:37:20-0600',mode:absolute,to:'2017-09-05T09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23.294599999999999</v>
      </c>
      <c r="Z38" s="194">
        <f t="shared" si="8"/>
        <v>1.5100000000000001E-2</v>
      </c>
      <c r="AA38" s="194">
        <f t="shared" si="9"/>
        <v>23.279499999999999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s3://rtdc.mdm.uploadarchive.raw/RTDC4011/ "%USERPROFILE%\AppData\Local\Temp\OnboardLogs"\RTDC4011\2017-09-05 --exclude "*" --recursive --include "*20170905*" &amp; "%USERPROFILE%\Documents\GitHub\mrs-test-scripts\Headless Mode &amp; Sideloading\WalkAndUnGZ.bat" "%USERPROFILE%\AppData\Local\Temp\OnboardLogs"\RTDC4011\2017-09-05 &amp; aws s3 cp s3://rtdc.mdm.uploadarchive.raw/RTDC4011/ "%USERPROFILE%\AppData\Local\Temp\OnboardLogs"\RTDC4011\2017-09-06 --exclude "*" --recursive --include "*20170906*" &amp; "%USERPROFILE%\Documents\GitHub\mrs-test-scripts\Headless Mode &amp; Sideloading\WalkAndUnGZ.bat" "%USERPROFILE%\AppData\Local\Temp\OnboardLogs"\RTDC4011\2017-09-06</v>
      </c>
      <c r="AF38" s="74" t="str">
        <f t="shared" si="12"/>
        <v>"C:\Program Files (x86)\AstroGrep\AstroGrep.exe" /e /r /s /spath="%USERPROFILE%\AppData\Local\Temp\OnboardLogs" /stypes="app*4011*20170905*"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126-05 --locoid 4011 --swversion DE.1.0.9.0 --startMP 204:232946 --initTime 2017-09-05T07:37:20 --startdatetime 2017-09-05T07:44:35 --delay 302 --endMP 204:151 --enddatetime 2017-09-05T08:31:38 --enforcementcount 0 &gt;&gt;C:\Users\stu\Documents\GitHub\eaglep3-reporting\EC\2017-09-05-refined-times.txt</v>
      </c>
      <c r="AI3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{"issue":{"subject":"","project_id":79,"tracker_id":40,"status_id":1,"priority_id":2,"assigned_to_id":338,"start_date":"2017-09-05","description":"","custom_fields":[{"id":1,"name":"Subdivision","value":"EC"},{"id":4,"name":"Milepost","value":"0.0151"},{"id":17,"name":"Train ID","value":"126-05"},{"id":16,"name":"Locomotive ID","value":"4011"},{"id":130,"name":"Impact","value":""},{"id":150,"name":"Time of Event (Mountain Time)","value":"08:31:38"},{"id":151,"name":"Denver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4011 --day 2017-09-05</v>
      </c>
      <c r="AN3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4024</v>
      </c>
      <c r="C39" s="21" t="s">
        <v>197</v>
      </c>
      <c r="D39" s="21" t="s">
        <v>369</v>
      </c>
      <c r="E39" s="13">
        <v>42983.286168981482</v>
      </c>
      <c r="F39" s="13">
        <v>42983.291944444441</v>
      </c>
      <c r="G39" s="7">
        <v>73</v>
      </c>
      <c r="H39" s="21" t="s">
        <v>845</v>
      </c>
      <c r="I39" s="13">
        <v>42983.320740740739</v>
      </c>
      <c r="J39" s="7">
        <v>0</v>
      </c>
      <c r="K39" s="89" t="str">
        <f t="shared" si="0"/>
        <v>4023/4024</v>
      </c>
      <c r="L39" s="214" t="str">
        <f>VLOOKUP(A39,'Trips&amp;Operators'!$C$1:$G$99911,5,FALSE)</f>
        <v>GUNTHIER ERIC</v>
      </c>
      <c r="M39" s="6">
        <f t="shared" si="1"/>
        <v>2.8796296297514345E-2</v>
      </c>
      <c r="N39" s="7">
        <f t="shared" si="22"/>
        <v>41.466666668420658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-05T05:52:05-0600',mode:absolute,to:'2017-09-05T08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4.6399999999999997E-2</v>
      </c>
      <c r="Z39" s="194">
        <f t="shared" si="8"/>
        <v>23.327400000000001</v>
      </c>
      <c r="AA39" s="194">
        <f t="shared" si="9"/>
        <v>23.281000000000002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39" s="74" t="str">
        <f t="shared" si="12"/>
        <v>"C:\Program Files (x86)\AstroGrep\AstroGrep.exe" /e /r /s /spath="%USERPROFILE%\AppData\Local\Temp\OnboardLogs" /stypes="app*4024*20170905*"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127-05 --locoid 4024 --swversion DE.1.0.9.0 --startMP 204:464 --initTime 2017-09-05T06:52:05 --startdatetime 2017-09-05T07:00:24 --delay 73 --endMP 204:233274 --enddatetime 2017-09-05T07:41:52 --enforcementcount 0 &gt;&gt;C:\Users\stu\Documents\GitHub\eaglep3-reporting\EC\2017-09-05-refined-times.txt</v>
      </c>
      <c r="AI39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{"issue":{"subject":"","project_id":79,"tracker_id":40,"status_id":1,"priority_id":2,"assigned_to_id":338,"start_date":"2017-09-05","description":"","custom_fields":[{"id":1,"name":"Subdivision","value":"EC"},{"id":4,"name":"Milepost","value":"23.3274"},{"id":17,"name":"Train ID","value":"127-05"},{"id":16,"name":"Locomotive ID","value":"4024"},{"id":130,"name":"Impact","value":""},{"id":150,"name":"Time of Event (Mountain Time)","value":"07:41:52"},{"id":151,"name":"Denver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4024 --day 2017-09-05</v>
      </c>
      <c r="AN39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13:41:52"},{"id":29,"name":"Sharepoint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669</v>
      </c>
      <c r="B40" s="7">
        <v>4023</v>
      </c>
      <c r="C40" s="21" t="s">
        <v>197</v>
      </c>
      <c r="D40" s="21" t="s">
        <v>539</v>
      </c>
      <c r="E40" s="13">
        <v>42983.322696759256</v>
      </c>
      <c r="F40" s="13">
        <v>42983.331423611111</v>
      </c>
      <c r="G40" s="7">
        <v>68</v>
      </c>
      <c r="H40" s="21" t="s">
        <v>493</v>
      </c>
      <c r="I40" s="13">
        <v>42983.361354166664</v>
      </c>
      <c r="J40" s="7">
        <v>0</v>
      </c>
      <c r="K40" s="89" t="str">
        <f t="shared" si="0"/>
        <v>4023/4024</v>
      </c>
      <c r="L40" s="214" t="str">
        <f>VLOOKUP(A40,'Trips&amp;Operators'!$C$1:$G$99911,5,FALSE)</f>
        <v>GUNTHIER ERIC</v>
      </c>
      <c r="M40" s="6">
        <f t="shared" si="1"/>
        <v>2.9930555552709848E-2</v>
      </c>
      <c r="N40" s="7">
        <f t="shared" si="22"/>
        <v>43.099999995902181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-05T06:44:41-0600',mode:absolute,to:'2017-09-05T09:40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23.2972</v>
      </c>
      <c r="Z40" s="194">
        <f t="shared" si="8"/>
        <v>1.7000000000000001E-2</v>
      </c>
      <c r="AA40" s="194">
        <f t="shared" si="9"/>
        <v>23.280200000000001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40" s="74" t="str">
        <f t="shared" si="12"/>
        <v>"C:\Program Files (x86)\AstroGrep\AstroGrep.exe" /e /r /s /spath="%USERPROFILE%\AppData\Local\Temp\OnboardLogs" /stypes="app*4023*20170905*"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128-05 --locoid 4023 --swversion DE.1.0.9.0 --startMP 204:232972 --initTime 2017-09-05T07:44:41 --startdatetime 2017-09-05T07:57:15 --delay 68 --endMP 204:170 --enddatetime 2017-09-05T08:40:21 --enforcementcount 0 &gt;&gt;C:\Users\stu\Documents\GitHub\eaglep3-reporting\EC\2017-09-05-refined-times.txt</v>
      </c>
      <c r="AI4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{"issue":{"subject":"","project_id":79,"tracker_id":40,"status_id":1,"priority_id":2,"assigned_to_id":338,"start_date":"2017-09-05","description":"","custom_fields":[{"id":1,"name":"Subdivision","value":"EC"},{"id":4,"name":"Milepost","value":"0.017"},{"id":17,"name":"Train ID","value":"128-05"},{"id":16,"name":"Locomotive ID","value":"4023"},{"id":130,"name":"Impact","value":""},{"id":150,"name":"Time of Event (Mountain Time)","value":"08:40:21"},{"id":151,"name":"Denver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4023 --day 2017-09-05</v>
      </c>
      <c r="AN4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14:40:21"},{"id":29,"name":"Sharepoint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583</v>
      </c>
      <c r="B41" s="7">
        <v>4040</v>
      </c>
      <c r="C41" s="21" t="s">
        <v>197</v>
      </c>
      <c r="D41" s="21" t="s">
        <v>460</v>
      </c>
      <c r="E41" s="13">
        <v>42983.300173611111</v>
      </c>
      <c r="F41" s="13">
        <v>42983.302245370367</v>
      </c>
      <c r="G41" s="7">
        <v>53</v>
      </c>
      <c r="H41" s="21" t="s">
        <v>540</v>
      </c>
      <c r="I41" s="13">
        <v>42983.331180555557</v>
      </c>
      <c r="J41" s="7">
        <v>0</v>
      </c>
      <c r="K41" s="89" t="str">
        <f t="shared" si="0"/>
        <v>4039/4040</v>
      </c>
      <c r="L41" s="214" t="str">
        <f>VLOOKUP(A41,'Trips&amp;Operators'!$C$1:$G$99911,5,FALSE)</f>
        <v>STARKS ANGELINA</v>
      </c>
      <c r="M41" s="6">
        <f t="shared" si="1"/>
        <v>2.8935185189766344E-2</v>
      </c>
      <c r="N41" s="7">
        <f t="shared" si="22"/>
        <v>41.666666673263535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-05T06:12:15-0600',mode:absolute,to:'2017-09-05T08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4.7800000000000002E-2</v>
      </c>
      <c r="Z41" s="194">
        <f t="shared" si="8"/>
        <v>23.330100000000002</v>
      </c>
      <c r="AA41" s="194">
        <f t="shared" si="9"/>
        <v>23.282300000000003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41" s="74" t="str">
        <f t="shared" si="12"/>
        <v>"C:\Program Files (x86)\AstroGrep\AstroGrep.exe" /e /r /s /spath="%USERPROFILE%\AppData\Local\Temp\OnboardLogs" /stypes="app*4040*20170905*"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129-05 --locoid 4040 --swversion DE.1.0.9.0 --startMP 204:478 --initTime 2017-09-05T07:12:15 --startdatetime 2017-09-05T07:15:14 --delay 53 --endMP 204:233301 --enddatetime 2017-09-05T07:56:54 --enforcementcount 0 &gt;&gt;C:\Users\stu\Documents\GitHub\eaglep3-reporting\EC\2017-09-05-refined-times.txt</v>
      </c>
      <c r="AI41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{"issue":{"subject":"","project_id":79,"tracker_id":40,"status_id":1,"priority_id":2,"assigned_to_id":338,"start_date":"2017-09-05","description":"","custom_fields":[{"id":1,"name":"Subdivision","value":"EC"},{"id":4,"name":"Milepost","value":"23.3301"},{"id":17,"name":"Train ID","value":"129-05"},{"id":16,"name":"Locomotive ID","value":"4040"},{"id":130,"name":"Impact","value":""},{"id":150,"name":"Time of Event (Mountain Time)","value":"07:56:54"},{"id":151,"name":"Denver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4040 --day 2017-09-05</v>
      </c>
      <c r="AN41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13:56:54"},{"id":29,"name":"Sharepoint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671</v>
      </c>
      <c r="B42" s="7">
        <v>4039</v>
      </c>
      <c r="C42" s="21" t="s">
        <v>197</v>
      </c>
      <c r="D42" s="21" t="s">
        <v>489</v>
      </c>
      <c r="E42" s="13">
        <v>42983.332395833335</v>
      </c>
      <c r="F42" s="13">
        <v>42983.341840277775</v>
      </c>
      <c r="G42" s="7">
        <v>49</v>
      </c>
      <c r="H42" s="21" t="s">
        <v>340</v>
      </c>
      <c r="I42" s="13">
        <v>42983.368761574071</v>
      </c>
      <c r="J42" s="7">
        <v>0</v>
      </c>
      <c r="K42" s="89" t="str">
        <f t="shared" si="0"/>
        <v>4039/4040</v>
      </c>
      <c r="L42" s="214" t="str">
        <f>VLOOKUP(A42,'Trips&amp;Operators'!$C$1:$G$99911,5,FALSE)</f>
        <v>STARKS ANGELINA</v>
      </c>
      <c r="M42" s="6">
        <f t="shared" si="1"/>
        <v>2.6921296295768116E-2</v>
      </c>
      <c r="N42" s="7">
        <f t="shared" si="22"/>
        <v>38.766666665906087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-05T06:58:39-0600',mode:absolute,to:'2017-09-05T09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23.2971</v>
      </c>
      <c r="Z42" s="194">
        <f t="shared" si="8"/>
        <v>1.43E-2</v>
      </c>
      <c r="AA42" s="194">
        <f t="shared" si="9"/>
        <v>23.282800000000002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42" s="74" t="str">
        <f t="shared" si="12"/>
        <v>"C:\Program Files (x86)\AstroGrep\AstroGrep.exe" /e /r /s /spath="%USERPROFILE%\AppData\Local\Temp\OnboardLogs" /stypes="app*4039*20170905*"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130-05 --locoid 4039 --swversion DE.1.0.9.0 --startMP 204:232971 --initTime 2017-09-05T07:58:39 --startdatetime 2017-09-05T08:12:15 --delay 49 --endMP 204:143 --enddatetime 2017-09-05T08:51:01 --enforcementcount 0 &gt;&gt;C:\Users\stu\Documents\GitHub\eaglep3-reporting\EC\2017-09-05-refined-times.txt</v>
      </c>
      <c r="AI4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{"issue":{"subject":"","project_id":79,"tracker_id":40,"status_id":1,"priority_id":2,"assigned_to_id":338,"start_date":"2017-09-05","description":"","custom_fields":[{"id":1,"name":"Subdivision","value":"EC"},{"id":4,"name":"Milepost","value":"0.0143"},{"id":17,"name":"Train ID","value":"130-05"},{"id":16,"name":"Locomotive ID","value":"4039"},{"id":130,"name":"Impact","value":""},{"id":150,"name":"Time of Event (Mountain Time)","value":"08:51:01"},{"id":151,"name":"Denver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4039 --day 2017-09-05</v>
      </c>
      <c r="AN4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580</v>
      </c>
      <c r="B43" s="7">
        <v>4044</v>
      </c>
      <c r="C43" s="21" t="s">
        <v>197</v>
      </c>
      <c r="D43" s="21" t="s">
        <v>419</v>
      </c>
      <c r="E43" s="13">
        <v>42983.308564814812</v>
      </c>
      <c r="F43" s="13">
        <v>42983.312650462962</v>
      </c>
      <c r="G43" s="7">
        <v>67</v>
      </c>
      <c r="H43" s="21" t="s">
        <v>846</v>
      </c>
      <c r="I43" s="13">
        <v>42983.341724537036</v>
      </c>
      <c r="J43" s="7">
        <v>0</v>
      </c>
      <c r="K43" s="89" t="str">
        <f t="shared" si="0"/>
        <v>4043/4044</v>
      </c>
      <c r="L43" s="214" t="str">
        <f>VLOOKUP(A43,'Trips&amp;Operators'!$C$1:$G$99911,5,FALSE)</f>
        <v>MACDONALD THOMAS</v>
      </c>
      <c r="M43" s="6">
        <f t="shared" si="1"/>
        <v>2.9074074074742384E-2</v>
      </c>
      <c r="N43" s="7">
        <f t="shared" si="22"/>
        <v>41.866666667629033</v>
      </c>
      <c r="O43" s="7"/>
      <c r="P43" s="7"/>
      <c r="Q43" s="22"/>
      <c r="R43" s="167" t="s">
        <v>995</v>
      </c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-05T06:24:20-0600',mode:absolute,to:'2017-09-05T09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4.7699999999999999E-2</v>
      </c>
      <c r="Z43" s="194">
        <f t="shared" si="8"/>
        <v>23.328499999999998</v>
      </c>
      <c r="AA43" s="194">
        <f t="shared" si="9"/>
        <v>23.280799999999999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43" s="74" t="str">
        <f t="shared" si="12"/>
        <v>"C:\Program Files (x86)\AstroGrep\AstroGrep.exe" /e /r /s /spath="%USERPROFILE%\AppData\Local\Temp\OnboardLogs" /stypes="app*4044*20170905*"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131-05 --locoid 4044 --swversion DE.1.0.9.0 --startMP 204:477 --initTime 2017-09-05T07:24:20 --startdatetime 2017-09-05T07:30:13 --delay 67 --endMP 204:233285 --enddatetime 2017-09-05T08:12:05 --enforcementcount 0 &gt;&gt;C:\Users\stu\Documents\GitHub\eaglep3-reporting\EC\2017-09-05-refined-times.txt</v>
      </c>
      <c r="AI43" s="96" t="str">
        <f t="shared" si="19"/>
        <v>echo {"issue":{"subject":"Selected wrong track at first","project_id":79,"tracker_id":40,"status_id":1,"priority_id":2,"assigned_to_id":338,"start_date":"2017-09-05","description":"","custom_fields":[{"id":1,"name":"Subdivision","value":"EC"},{"id":4,"name":"Milepost","value":"23.3285"},{"id":17,"name":"Train ID","value":"131-05"},{"id":16,"name":"Locomotive ID","value":"4044"},{"id":130,"name":"Impact","value":""},{"id":150,"name":"Time of Event (Mountain Time)","value":"08:12:05"},{"id":151,"name":"Denver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4044 --day 2017-09-05</v>
      </c>
      <c r="AN43" s="151" t="str">
        <f t="shared" si="21"/>
        <v>echo {"issue":{"subject":"Selected wrong track at first","project_id":30,"tracker_id":4,"status_id":1,"priority_id":1,"assigned_to_id":10,"start_date":"2017-09-05","description":"","custom_fields":[{"id":30,"name":"Category","value":"Issue"},{"id":3,"name":"Functional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14:12:05"},{"id":29,"name":"Sharepoint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589</v>
      </c>
      <c r="B44" s="7">
        <v>4043</v>
      </c>
      <c r="C44" s="21" t="s">
        <v>197</v>
      </c>
      <c r="D44" s="21" t="s">
        <v>389</v>
      </c>
      <c r="E44" s="13">
        <v>42983.350416666668</v>
      </c>
      <c r="F44" s="13">
        <v>42983.352743055555</v>
      </c>
      <c r="G44" s="7">
        <v>91</v>
      </c>
      <c r="H44" s="21" t="s">
        <v>836</v>
      </c>
      <c r="I44" s="13">
        <v>42983.380277777775</v>
      </c>
      <c r="J44" s="7">
        <v>0</v>
      </c>
      <c r="K44" s="89" t="str">
        <f t="shared" si="0"/>
        <v>4043/4044</v>
      </c>
      <c r="L44" s="214" t="str">
        <f>VLOOKUP(A44,'Trips&amp;Operators'!$C$1:$G$99911,5,FALSE)</f>
        <v>MACDONALD THOMAS</v>
      </c>
      <c r="M44" s="6">
        <f t="shared" si="1"/>
        <v>2.753472221957054E-2</v>
      </c>
      <c r="N44" s="7">
        <f t="shared" si="22"/>
        <v>39.649999996181577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-05T07:24:36-0600',mode:absolute,to:'2017-09-05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23.297699999999999</v>
      </c>
      <c r="Z44" s="194">
        <f t="shared" si="8"/>
        <v>1.72E-2</v>
      </c>
      <c r="AA44" s="194">
        <f t="shared" si="9"/>
        <v>23.2805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44" s="74" t="str">
        <f t="shared" si="12"/>
        <v>"C:\Program Files (x86)\AstroGrep\AstroGrep.exe" /e /r /s /spath="%USERPROFILE%\AppData\Local\Temp\OnboardLogs" /stypes="app*4043*20170905*"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132-05 --locoid 4043 --swversion DE.1.0.9.0 --startMP 204:232977 --initTime 2017-09-05T08:24:36 --startdatetime 2017-09-05T08:27:57 --delay 91 --endMP 204:172 --enddatetime 2017-09-05T09:07:36 --enforcementcount 0 &gt;&gt;C:\Users\stu\Documents\GitHub\eaglep3-reporting\EC\2017-09-05-refined-times.txt</v>
      </c>
      <c r="AI4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{"issue":{"subject":"","project_id":79,"tracker_id":40,"status_id":1,"priority_id":2,"assigned_to_id":338,"start_date":"2017-09-05","description":"","custom_fields":[{"id":1,"name":"Subdivision","value":"EC"},{"id":4,"name":"Milepost","value":"0.0172"},{"id":17,"name":"Train ID","value":"132-05"},{"id":16,"name":"Locomotive ID","value":"4043"},{"id":130,"name":"Impact","value":""},{"id":150,"name":"Time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4043 --day 2017-09-05</v>
      </c>
      <c r="AN4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667</v>
      </c>
      <c r="B45" s="7">
        <v>4008</v>
      </c>
      <c r="C45" s="21" t="s">
        <v>197</v>
      </c>
      <c r="D45" s="21" t="s">
        <v>365</v>
      </c>
      <c r="E45" s="13">
        <v>42983.319432870368</v>
      </c>
      <c r="F45" s="13">
        <v>42983.323159722226</v>
      </c>
      <c r="G45" s="7">
        <v>122</v>
      </c>
      <c r="H45" s="21" t="s">
        <v>399</v>
      </c>
      <c r="I45" s="13">
        <v>42983.349062499998</v>
      </c>
      <c r="J45" s="7">
        <v>0</v>
      </c>
      <c r="K45" s="89" t="str">
        <f t="shared" ref="K45:K76" si="23">IF(ISEVEN(B45),(B45-1)&amp;"/"&amp;B45,B45&amp;"/"&amp;(B45+1))</f>
        <v>4007/4008</v>
      </c>
      <c r="L45" s="214" t="str">
        <f>VLOOKUP(A45,'Trips&amp;Operators'!$C$1:$G$99911,5,FALSE)</f>
        <v>THOMPSON LESTER</v>
      </c>
      <c r="M45" s="6">
        <f t="shared" ref="M45:M76" si="24">I45-F45</f>
        <v>2.5902777771989349E-2</v>
      </c>
      <c r="N45" s="7">
        <f t="shared" si="22"/>
        <v>37.299999991664663</v>
      </c>
      <c r="O45" s="7"/>
      <c r="P45" s="7"/>
      <c r="Q45" s="22"/>
      <c r="R45" s="167"/>
      <c r="S45" s="210">
        <f t="shared" si="3"/>
        <v>1</v>
      </c>
      <c r="T45" s="192" t="str">
        <f t="shared" ref="T45:T76" si="25">IF(ISEVEN(LEFT(AD45,4)),"Southbound","NorthBound")</f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-05T06:39:59-0600',mode:absolute,to:'2017-09-05T09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4" t="str">
        <f>IF(AA45&lt;VLOOKUP(AG45,Variables!$AC$3:$AD$8,2,FALSE),"Y","N")</f>
        <v>N</v>
      </c>
      <c r="X45" s="194">
        <f t="shared" ref="X45:X76" si="26">VALUE(LEFT(AD45,4))-VALUE(LEFT(AD44,4))</f>
        <v>1</v>
      </c>
      <c r="Y45" s="194">
        <f t="shared" si="7"/>
        <v>4.4900000000000002E-2</v>
      </c>
      <c r="Z45" s="194">
        <f t="shared" si="8"/>
        <v>23.329499999999999</v>
      </c>
      <c r="AA45" s="194">
        <f t="shared" ref="AA45:AA76" si="27">ABS(Z45-Y45)</f>
        <v>23.284600000000001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ref="AD45:AD76" si="28">VALUE(LEFT(A45,LEN(A45)-3))</f>
        <v>133</v>
      </c>
      <c r="AE45" s="77" t="str">
        <f t="shared" si="11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45" s="74" t="str">
        <f t="shared" si="12"/>
        <v>"C:\Program Files (x86)\AstroGrep\AstroGrep.exe" /e /r /s /spath="%USERPROFILE%\AppData\Local\Temp\OnboardLogs" /stypes="app*4008*20170905*" /stext=" 14:.+((SYSTEM_STATE.+slice.+state.+changed )|(ment ac)|(multiple cpu faults)|(system.+state.+changed )|(\[timeout)|(PRM\|1\|D)|(kpr)|(kdp)|(train st.+moving)|(\|lc)|(penalty))"</v>
      </c>
      <c r="AG45" s="206" t="str">
        <f t="shared" ref="AG45:AG76" si="29">DetSubdiv(A45)</f>
        <v>EC</v>
      </c>
      <c r="AH45" s="78" t="str">
        <f t="shared" si="18"/>
        <v>"%USERPROFILE%\Documents\GitHub\eaglep3\Utilities\RefineRTDCRunTimes.py" --tripid 133-05 --locoid 4008 --swversion DE.1.0.9.0 --startMP 204:449 --initTime 2017-09-05T07:39:59 --startdatetime 2017-09-05T07:45:21 --delay 122 --endMP 204:233295 --enddatetime 2017-09-05T08:22:39 --enforcementcount 0 &gt;&gt;C:\Users\stu\Documents\GitHub\eaglep3-reporting\EC\2017-09-05-refined-times.txt</v>
      </c>
      <c r="AI4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{"issue":{"subject":"","project_id":79,"tracker_id":40,"status_id":1,"priority_id":2,"assigned_to_id":338,"start_date":"2017-09-05","description":"","custom_fields":[{"id":1,"name":"Subdivision","value":"EC"},{"id":4,"name":"Milepost","value":"23.3295"},{"id":17,"name":"Train ID","value":"133-05"},{"id":16,"name":"Locomotive ID","value":"4008"},{"id":130,"name":"Impact","value":""},{"id":150,"name":"Time of Event (Mountain Time)","value":"08:22:39"},{"id":151,"name":"Denver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4008 --day 2017-09-05</v>
      </c>
      <c r="AN4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675</v>
      </c>
      <c r="B46" s="7">
        <v>4007</v>
      </c>
      <c r="C46" s="21" t="s">
        <v>197</v>
      </c>
      <c r="D46" s="21" t="s">
        <v>423</v>
      </c>
      <c r="E46" s="13">
        <v>42983.360810185186</v>
      </c>
      <c r="F46" s="13">
        <v>42983.36278935185</v>
      </c>
      <c r="G46" s="7">
        <v>75</v>
      </c>
      <c r="H46" s="21" t="s">
        <v>344</v>
      </c>
      <c r="I46" s="13">
        <v>42983.392754629633</v>
      </c>
      <c r="J46" s="7">
        <v>0</v>
      </c>
      <c r="K46" s="89" t="str">
        <f t="shared" si="23"/>
        <v>4007/4008</v>
      </c>
      <c r="L46" s="214" t="str">
        <f>VLOOKUP(A46,'Trips&amp;Operators'!$C$1:$G$99911,5,FALSE)</f>
        <v>THOMPSON LESTER</v>
      </c>
      <c r="M46" s="6">
        <f t="shared" si="24"/>
        <v>2.9965277783048805E-2</v>
      </c>
      <c r="N46" s="7">
        <f t="shared" si="22"/>
        <v>43.150000007590279</v>
      </c>
      <c r="O46" s="7"/>
      <c r="P46" s="7"/>
      <c r="Q46" s="22"/>
      <c r="R46" s="167"/>
      <c r="S46" s="210">
        <f t="shared" si="3"/>
        <v>1</v>
      </c>
      <c r="T46" s="192" t="str">
        <f t="shared" si="25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-05T07:39:34-0600',mode:absolute,to:'2017-09-05T10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94" t="str">
        <f>IF(AA46&lt;VLOOKUP(AG46,Variables!$AC$3:$AD$8,2,FALSE),"Y","N")</f>
        <v>N</v>
      </c>
      <c r="X46" s="194">
        <f t="shared" si="26"/>
        <v>1</v>
      </c>
      <c r="Y46" s="194">
        <f t="shared" si="7"/>
        <v>23.298200000000001</v>
      </c>
      <c r="Z46" s="194">
        <f t="shared" si="8"/>
        <v>1.41E-2</v>
      </c>
      <c r="AA46" s="194">
        <f t="shared" si="27"/>
        <v>23.284100000000002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28"/>
        <v>134</v>
      </c>
      <c r="AE46" s="77" t="str">
        <f t="shared" si="11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46" s="74" t="str">
        <f t="shared" si="12"/>
        <v>"C:\Program Files (x86)\AstroGrep\AstroGrep.exe" /e /r /s /spath="%USERPROFILE%\AppData\Local\Temp\OnboardLogs" /stypes="app*4007*20170905*" /stext=" 15:.+((SYSTEM_STATE.+slice.+state.+changed )|(ment ac)|(multiple cpu faults)|(system.+state.+changed )|(\[timeout)|(PRM\|1\|D)|(kpr)|(kdp)|(train st.+moving)|(\|lc)|(penalty))"</v>
      </c>
      <c r="AG46" s="206" t="str">
        <f t="shared" si="29"/>
        <v>EC</v>
      </c>
      <c r="AH46" s="78" t="str">
        <f t="shared" si="18"/>
        <v>"%USERPROFILE%\Documents\GitHub\eaglep3\Utilities\RefineRTDCRunTimes.py" --tripid 134-05 --locoid 4007 --swversion DE.1.0.9.0 --startMP 204:232982 --initTime 2017-09-05T08:39:34 --startdatetime 2017-09-05T08:42:25 --delay 75 --endMP 204:141 --enddatetime 2017-09-05T09:25:34 --enforcementcount 0 &gt;&gt;C:\Users\stu\Documents\GitHub\eaglep3-reporting\EC\2017-09-05-refined-times.txt</v>
      </c>
      <c r="AI4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{"issue":{"subject":"","project_id":79,"tracker_id":40,"status_id":1,"priority_id":2,"assigned_to_id":338,"start_date":"2017-09-05","description":"","custom_fields":[{"id":1,"name":"Subdivision","value":"EC"},{"id":4,"name":"Milepost","value":"0.0141"},{"id":17,"name":"Train ID","value":"134-05"},{"id":16,"name":"Locomotive ID","value":"4007"},{"id":130,"name":"Impact","value":""},{"id":150,"name":"Time of Event (Mountain Time)","value":"09:25:34"},{"id":151,"name":"Denver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4007 --day 2017-09-05</v>
      </c>
      <c r="AN4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670</v>
      </c>
      <c r="B47" s="7">
        <v>4010</v>
      </c>
      <c r="C47" s="21" t="s">
        <v>197</v>
      </c>
      <c r="D47" s="21" t="s">
        <v>363</v>
      </c>
      <c r="E47" s="13">
        <v>42983.330983796295</v>
      </c>
      <c r="F47" s="13">
        <v>42983.333506944444</v>
      </c>
      <c r="G47" s="7">
        <v>59</v>
      </c>
      <c r="H47" s="21" t="s">
        <v>847</v>
      </c>
      <c r="I47" s="13">
        <v>42983.358738425923</v>
      </c>
      <c r="J47" s="7">
        <v>0</v>
      </c>
      <c r="K47" s="89" t="str">
        <f t="shared" si="23"/>
        <v>4009/4010</v>
      </c>
      <c r="L47" s="214" t="str">
        <f>VLOOKUP(A47,'Trips&amp;Operators'!$C$1:$G$99911,5,FALSE)</f>
        <v>LALONDE GREGORY</v>
      </c>
      <c r="M47" s="6">
        <f t="shared" si="24"/>
        <v>2.5231481478840578E-2</v>
      </c>
      <c r="N47" s="7">
        <f t="shared" si="22"/>
        <v>36.333333329530433</v>
      </c>
      <c r="O47" s="7"/>
      <c r="P47" s="7"/>
      <c r="Q47" s="22"/>
      <c r="R47" s="167"/>
      <c r="S47" s="210">
        <f t="shared" si="3"/>
        <v>1</v>
      </c>
      <c r="T47" s="192" t="str">
        <f t="shared" si="25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-05T06:56:37-0600',mode:absolute,to:'2017-09-05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94" t="str">
        <f>IF(AA47&lt;VLOOKUP(AG47,Variables!$AC$3:$AD$8,2,FALSE),"Y","N")</f>
        <v>N</v>
      </c>
      <c r="X47" s="194">
        <f t="shared" si="26"/>
        <v>1</v>
      </c>
      <c r="Y47" s="194">
        <f t="shared" si="7"/>
        <v>4.58E-2</v>
      </c>
      <c r="Z47" s="194">
        <f t="shared" si="8"/>
        <v>23.333400000000001</v>
      </c>
      <c r="AA47" s="194">
        <f t="shared" si="27"/>
        <v>23.287600000000001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28"/>
        <v>135</v>
      </c>
      <c r="AE47" s="77" t="str">
        <f t="shared" si="11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47" s="74" t="str">
        <f t="shared" si="12"/>
        <v>"C:\Program Files (x86)\AstroGrep\AstroGrep.exe" /e /r /s /spath="%USERPROFILE%\AppData\Local\Temp\OnboardLogs" /stypes="app*4010*20170905*" /stext=" 14:.+((SYSTEM_STATE.+slice.+state.+changed )|(ment ac)|(multiple cpu faults)|(system.+state.+changed )|(\[timeout)|(PRM\|1\|D)|(kpr)|(kdp)|(train st.+moving)|(\|lc)|(penalty))"</v>
      </c>
      <c r="AG47" s="206" t="str">
        <f t="shared" si="29"/>
        <v>EC</v>
      </c>
      <c r="AH47" s="78" t="str">
        <f t="shared" si="18"/>
        <v>"%USERPROFILE%\Documents\GitHub\eaglep3\Utilities\RefineRTDCRunTimes.py" --tripid 135-05 --locoid 4010 --swversion DE.1.0.9.0 --startMP 204:458 --initTime 2017-09-05T07:56:37 --startdatetime 2017-09-05T08:00:15 --delay 59 --endMP 204:233334 --enddatetime 2017-09-05T08:36:35 --enforcementcount 0 &gt;&gt;C:\Users\stu\Documents\GitHub\eaglep3-reporting\EC\2017-09-05-refined-times.txt</v>
      </c>
      <c r="AI4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{"issue":{"subject":"","project_id":79,"tracker_id":40,"status_id":1,"priority_id":2,"assigned_to_id":338,"start_date":"2017-09-05","description":"","custom_fields":[{"id":1,"name":"Subdivision","value":"EC"},{"id":4,"name":"Milepost","value":"23.3334"},{"id":17,"name":"Train ID","value":"135-05"},{"id":16,"name":"Locomotive ID","value":"4010"},{"id":130,"name":"Impact","value":""},{"id":150,"name":"Time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4010 --day 2017-09-05</v>
      </c>
      <c r="AN4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674</v>
      </c>
      <c r="B48" s="7">
        <v>4009</v>
      </c>
      <c r="C48" s="21" t="s">
        <v>197</v>
      </c>
      <c r="D48" s="21" t="s">
        <v>546</v>
      </c>
      <c r="E48" s="13">
        <v>42983.360254629632</v>
      </c>
      <c r="F48" s="13">
        <v>42983.373101851852</v>
      </c>
      <c r="G48" s="7">
        <v>71</v>
      </c>
      <c r="H48" s="21" t="s">
        <v>364</v>
      </c>
      <c r="I48" s="13">
        <v>42983.398958333331</v>
      </c>
      <c r="J48" s="7">
        <v>0</v>
      </c>
      <c r="K48" s="89" t="str">
        <f t="shared" si="23"/>
        <v>4009/4010</v>
      </c>
      <c r="L48" s="214" t="str">
        <f>VLOOKUP(A48,'Trips&amp;Operators'!$C$1:$G$99911,5,FALSE)</f>
        <v>LALONDE GREGORY</v>
      </c>
      <c r="M48" s="6">
        <f t="shared" si="24"/>
        <v>2.5856481479422655E-2</v>
      </c>
      <c r="N48" s="7">
        <f t="shared" si="22"/>
        <v>37.233333330368623</v>
      </c>
      <c r="O48" s="7"/>
      <c r="P48" s="7"/>
      <c r="Q48" s="22"/>
      <c r="R48" s="167"/>
      <c r="S48" s="210">
        <f t="shared" si="3"/>
        <v>1</v>
      </c>
      <c r="T48" s="192" t="str">
        <f t="shared" si="25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-05T07:38:46-0600',mode:absolute,to:'2017-09-05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94" t="str">
        <f>IF(AA48&lt;VLOOKUP(AG48,Variables!$AC$3:$AD$8,2,FALSE),"Y","N")</f>
        <v>N</v>
      </c>
      <c r="X48" s="194">
        <f t="shared" si="26"/>
        <v>1</v>
      </c>
      <c r="Y48" s="194">
        <f t="shared" si="7"/>
        <v>23.3019</v>
      </c>
      <c r="Z48" s="194">
        <f t="shared" si="8"/>
        <v>1.52E-2</v>
      </c>
      <c r="AA48" s="194">
        <f t="shared" si="27"/>
        <v>23.2867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28"/>
        <v>136</v>
      </c>
      <c r="AE48" s="77" t="str">
        <f t="shared" si="11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48" s="74" t="str">
        <f t="shared" si="12"/>
        <v>"C:\Program Files (x86)\AstroGrep\AstroGrep.exe" /e /r /s /spath="%USERPROFILE%\AppData\Local\Temp\OnboardLogs" /stypes="app*4009*20170905*" /stext=" 15:.+((SYSTEM_STATE.+slice.+state.+changed )|(ment ac)|(multiple cpu faults)|(system.+state.+changed )|(\[timeout)|(PRM\|1\|D)|(kpr)|(kdp)|(train st.+moving)|(\|lc)|(penalty))"</v>
      </c>
      <c r="AG48" s="206" t="str">
        <f t="shared" si="29"/>
        <v>EC</v>
      </c>
      <c r="AH48" s="78" t="str">
        <f t="shared" si="18"/>
        <v>"%USERPROFILE%\Documents\GitHub\eaglep3\Utilities\RefineRTDCRunTimes.py" --tripid 136-05 --locoid 4009 --swversion DE.1.0.9.0 --startMP 204:233019 --initTime 2017-09-05T08:38:46 --startdatetime 2017-09-05T08:57:16 --delay 71 --endMP 204:152 --enddatetime 2017-09-05T09:34:30 --enforcementcount 0 &gt;&gt;C:\Users\stu\Documents\GitHub\eaglep3-reporting\EC\2017-09-05-refined-times.txt</v>
      </c>
      <c r="AI4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{"issue":{"subject":"","project_id":79,"tracker_id":40,"status_id":1,"priority_id":2,"assigned_to_id":338,"start_date":"2017-09-05","description":"","custom_fields":[{"id":1,"name":"Subdivision","value":"EC"},{"id":4,"name":"Milepost","value":"0.0152"},{"id":17,"name":"Train ID","value":"136-05"},{"id":16,"name":"Locomotive ID","value":"4009"},{"id":130,"name":"Impact","value":""},{"id":150,"name":"Time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4009 --day 2017-09-05</v>
      </c>
      <c r="AN4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585</v>
      </c>
      <c r="B49" s="7">
        <v>4026</v>
      </c>
      <c r="C49" s="21" t="s">
        <v>197</v>
      </c>
      <c r="D49" s="21" t="s">
        <v>444</v>
      </c>
      <c r="E49" s="13">
        <v>42983.334074074075</v>
      </c>
      <c r="F49" s="13">
        <v>42983.353449074071</v>
      </c>
      <c r="G49" s="7">
        <v>72</v>
      </c>
      <c r="H49" s="21" t="s">
        <v>848</v>
      </c>
      <c r="I49" s="13">
        <v>42983.371736111112</v>
      </c>
      <c r="J49" s="7">
        <v>0</v>
      </c>
      <c r="K49" s="89" t="str">
        <f t="shared" si="23"/>
        <v>4025/4026</v>
      </c>
      <c r="L49" s="214" t="str">
        <f>VLOOKUP(A49,'Trips&amp;Operators'!$C$1:$G$99911,5,FALSE)</f>
        <v>SPECTOR MICHAEL</v>
      </c>
      <c r="M49" s="6">
        <f t="shared" si="24"/>
        <v>1.8287037040863652E-2</v>
      </c>
      <c r="N49" s="7"/>
      <c r="O49" s="7"/>
      <c r="P49" s="7">
        <f>24*60*SUM($M49:$M49)</f>
        <v>26.333333338843659</v>
      </c>
      <c r="Q49" s="22"/>
      <c r="R49" s="167" t="s">
        <v>996</v>
      </c>
      <c r="S49" s="210">
        <f>1/IF(AG49="EC",12,1)*SUM(U49:U50)</f>
        <v>1</v>
      </c>
      <c r="T49" s="192" t="str">
        <f t="shared" si="25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3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-05T07:01:04-0600',mode:absolute,to:'2017-09-05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4" t="str">
        <f>IF(AA49&lt;VLOOKUP(AG49,Variables!$AC$3:$AD$8,2,FALSE),"Y","N")</f>
        <v>Y</v>
      </c>
      <c r="X49" s="194">
        <f t="shared" si="26"/>
        <v>1</v>
      </c>
      <c r="Y49" s="194">
        <f t="shared" si="7"/>
        <v>4.5999999999999999E-2</v>
      </c>
      <c r="Z49" s="194">
        <f t="shared" si="8"/>
        <v>3.6981999999999999</v>
      </c>
      <c r="AA49" s="194">
        <f t="shared" si="27"/>
        <v>3.6522000000000001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28"/>
        <v>137</v>
      </c>
      <c r="AE49" s="77" t="str">
        <f t="shared" si="11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49" s="74" t="str">
        <f t="shared" si="12"/>
        <v>"C:\Program Files (x86)\AstroGrep\AstroGrep.exe" /e /r /s /spath="%USERPROFILE%\AppData\Local\Temp\OnboardLogs" /stypes="app*4026*20170905*" /stext=" 14:.+((SYSTEM_STATE.+slice.+state.+changed )|(ment ac)|(multiple cpu faults)|(system.+state.+changed )|(\[timeout)|(PRM\|1\|D)|(kpr)|(kdp)|(train st.+moving)|(\|lc)|(penalty))"</v>
      </c>
      <c r="AG49" s="206" t="str">
        <f t="shared" si="29"/>
        <v>EC</v>
      </c>
      <c r="AH49" s="78" t="str">
        <f t="shared" si="18"/>
        <v>"%USERPROFILE%\Documents\GitHub\eaglep3\Utilities\RefineRTDCRunTimes.py" --tripid 137-05 --locoid 4026 --swversion DE.1.0.9.0 --startMP 204:460 --initTime 2017-09-05T08:01:04 --startdatetime 2017-09-05T08:28:58 --delay 72 --endMP 204:36982 --enddatetime 2017-09-05T08:55:18 --enforcementcount 0 &gt;&gt;C:\Users\stu\Documents\GitHub\eaglep3-reporting\EC\2017-09-05-refined-times.txt</v>
      </c>
      <c r="AI49" s="96" t="str">
        <f t="shared" si="19"/>
        <v>echo {"issue":{"subject":"Premature downgrade at EC0365RH 27-1T 1N","project_id":79,"tracker_id":40,"status_id":1,"priority_id":2,"assigned_to_id":338,"start_date":"2017-09-05","description":"","custom_fields":[{"id":1,"name":"Subdivision","value":"EC"},{"id":4,"name":"Milepost","value":"3.6982"},{"id":17,"name":"Train ID","value":"137-05"},{"id":16,"name":"Locomotive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4026 --day 2017-09-05</v>
      </c>
      <c r="AN49" s="151" t="str">
        <f t="shared" si="21"/>
        <v>echo {"issue":{"subject":"Premature downgrade at EC0365RH 27-1T 1N","project_id":30,"tracker_id":4,"status_id":1,"priority_id":1,"assigned_to_id":10,"start_date":"2017-09-05","description":"","custom_fields":[{"id":30,"name":"Category","value":"Issue"},{"id":3,"name":"Functional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585</v>
      </c>
      <c r="B50" s="7">
        <v>4026</v>
      </c>
      <c r="C50" s="21" t="s">
        <v>197</v>
      </c>
      <c r="D50" s="21" t="s">
        <v>849</v>
      </c>
      <c r="E50" s="13">
        <v>42983.352453703701</v>
      </c>
      <c r="F50" s="13">
        <v>42983.353449074071</v>
      </c>
      <c r="G50" s="7">
        <v>38</v>
      </c>
      <c r="H50" s="21" t="s">
        <v>488</v>
      </c>
      <c r="I50" s="13">
        <v>42983.371736111112</v>
      </c>
      <c r="J50" s="7">
        <v>0</v>
      </c>
      <c r="K50" s="89" t="str">
        <f t="shared" si="23"/>
        <v>4025/4026</v>
      </c>
      <c r="L50" s="214" t="str">
        <f>VLOOKUP(A50,'Trips&amp;Operators'!$C$1:$G$99911,5,FALSE)</f>
        <v>SPECTOR MICHAEL</v>
      </c>
      <c r="M50" s="6">
        <f t="shared" si="24"/>
        <v>1.8287037040863652E-2</v>
      </c>
      <c r="N50" s="7"/>
      <c r="O50" s="7"/>
      <c r="P50" s="7"/>
      <c r="Q50" s="22"/>
      <c r="R50" s="167"/>
      <c r="S50" s="210"/>
      <c r="T50" s="192" t="str">
        <f t="shared" si="25"/>
        <v>NorthBound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9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-05T07:27:32-0600',mode:absolute,to:'2017-09-05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94" t="str">
        <f>IF(AA50&lt;VLOOKUP(AG50,Variables!$AC$3:$AD$8,2,FALSE),"Y","N")</f>
        <v>Y</v>
      </c>
      <c r="X50" s="194">
        <f t="shared" si="26"/>
        <v>0</v>
      </c>
      <c r="Y50" s="194">
        <f t="shared" si="7"/>
        <v>3.7183000000000002</v>
      </c>
      <c r="Z50" s="194">
        <f t="shared" si="8"/>
        <v>23.333200000000001</v>
      </c>
      <c r="AA50" s="194">
        <f t="shared" si="27"/>
        <v>19.614900000000002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28"/>
        <v>137</v>
      </c>
      <c r="AE50" s="77" t="str">
        <f t="shared" si="11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50" s="74" t="str">
        <f t="shared" si="12"/>
        <v>"C:\Program Files (x86)\AstroGrep\AstroGrep.exe" /e /r /s /spath="%USERPROFILE%\AppData\Local\Temp\OnboardLogs" /stypes="app*4026*20170905*" /stext=" 14:.+((SYSTEM_STATE.+slice.+state.+changed )|(ment ac)|(multiple cpu faults)|(system.+state.+changed )|(\[timeout)|(PRM\|1\|D)|(kpr)|(kdp)|(train st.+moving)|(\|lc)|(penalty))"</v>
      </c>
      <c r="AG50" s="206" t="str">
        <f t="shared" si="29"/>
        <v>EC</v>
      </c>
      <c r="AH50" s="78" t="str">
        <f t="shared" si="18"/>
        <v>"%USERPROFILE%\Documents\GitHub\eaglep3\Utilities\RefineRTDCRunTimes.py" --tripid 137-05 --locoid 4026 --swversion DE.1.0.9.0 --startMP 204:37183 --initTime 2017-09-05T08:27:32 --startdatetime 2017-09-05T08:28:58 --delay 38 --endMP 204:233332 --enddatetime 2017-09-05T08:55:18 --enforcementcount 0 &gt;&gt;C:\Users\stu\Documents\GitHub\eaglep3-reporting\EC\2017-09-05-refined-times.txt</v>
      </c>
      <c r="AI5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{"issue":{"subject":"","project_id":79,"tracker_id":40,"status_id":1,"priority_id":2,"assigned_to_id":338,"start_date":"2017-09-05","description":"","custom_fields":[{"id":1,"name":"Subdivision","value":"EC"},{"id":4,"name":"Milepost","value":"23.3332"},{"id":17,"name":"Train ID","value":"137-05"},{"id":16,"name":"Locomotive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4026 --day 2017-09-05</v>
      </c>
      <c r="AN5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592</v>
      </c>
      <c r="B51" s="7">
        <v>4025</v>
      </c>
      <c r="C51" s="21" t="s">
        <v>197</v>
      </c>
      <c r="D51" s="21" t="s">
        <v>849</v>
      </c>
      <c r="E51" s="13">
        <v>42983.352453703701</v>
      </c>
      <c r="F51" s="13">
        <v>42983.383518518516</v>
      </c>
      <c r="G51" s="7">
        <v>38</v>
      </c>
      <c r="H51" s="21" t="s">
        <v>488</v>
      </c>
      <c r="I51" s="13">
        <v>42983.411863425928</v>
      </c>
      <c r="J51" s="7">
        <v>0</v>
      </c>
      <c r="K51" s="89" t="str">
        <f t="shared" si="23"/>
        <v>4025/4026</v>
      </c>
      <c r="L51" s="214" t="str">
        <f>VLOOKUP(A51,'Trips&amp;Operators'!$C$1:$G$99911,5,FALSE)</f>
        <v>SPECTOR MICHAEL</v>
      </c>
      <c r="M51" s="6">
        <f t="shared" si="24"/>
        <v>2.8344907412247267E-2</v>
      </c>
      <c r="N51" s="7">
        <f t="shared" ref="N51:N78" si="30">24*60*SUM($M51:$M51)</f>
        <v>40.816666673636064</v>
      </c>
      <c r="O51" s="7"/>
      <c r="P51" s="7"/>
      <c r="Q51" s="22"/>
      <c r="R51" s="167"/>
      <c r="S51" s="210">
        <f t="shared" ref="S51:S82" si="31">1/IF(AG51="EC",12,1)*SUM(U51:U51)</f>
        <v>1</v>
      </c>
      <c r="T51" s="192" t="str">
        <f t="shared" si="25"/>
        <v>Southbound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-05T07:27:32-0600',mode:absolute,to:'2017-09-05T10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194" t="str">
        <f>IF(AA51&lt;VLOOKUP(AG51,Variables!$AC$3:$AD$8,2,FALSE),"Y","N")</f>
        <v>N</v>
      </c>
      <c r="X51" s="194">
        <f t="shared" si="26"/>
        <v>1</v>
      </c>
      <c r="Y51" s="194">
        <v>23.3019</v>
      </c>
      <c r="Z51" s="194">
        <v>1.52E-2</v>
      </c>
      <c r="AA51" s="194">
        <f t="shared" si="27"/>
        <v>23.2867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28"/>
        <v>138</v>
      </c>
      <c r="AE51" s="77" t="str">
        <f t="shared" si="11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51" s="74" t="str">
        <f t="shared" si="12"/>
        <v>"C:\Program Files (x86)\AstroGrep\AstroGrep.exe" /e /r /s /spath="%USERPROFILE%\AppData\Local\Temp\OnboardLogs" /stypes="app*4025*20170905*" /stext=" 15:.+((SYSTEM_STATE.+slice.+state.+changed )|(ment ac)|(multiple cpu faults)|(system.+state.+changed )|(\[timeout)|(PRM\|1\|D)|(kpr)|(kdp)|(train st.+moving)|(\|lc)|(penalty))"</v>
      </c>
      <c r="AG51" s="206" t="str">
        <f t="shared" si="29"/>
        <v>EC</v>
      </c>
      <c r="AH51" s="78" t="str">
        <f t="shared" ref="AH51" si="32"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138-05 --locoid 4025 --swversion DE.1.0.9.0 --startMP 204:37183 --initTime 2017-09-05T08:27:32 --startdatetime 2017-09-05T09:12:16 --delay 38 --endMP 204:233332 --enddatetime 2017-09-05T09:53:05 --enforcementcount 0 &gt;&gt;C:\Users\stu\Documents\GitHub\eaglep3-reporting\EC\2017-09-05-refined-times.txt</v>
      </c>
      <c r="AI51" s="96" t="str">
        <f t="shared" ref="AI51" si="33"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{"issue":{"subject":"","project_id":79,"tracker_id":40,"status_id":1,"priority_id":2,"assigned_to_id":338,"start_date":"2017-09-05","description":"","custom_fields":[{"id":1,"name":"Subdivision","value":"EC"},{"id":4,"name":"Milepost","value":"0.0152"},{"id":17,"name":"Train ID","value":"138-05"},{"id":16,"name":"Locomotive ID","value":"4025"},{"id":130,"name":"Impact","value":""},{"id":150,"name":"Time of Event (Mountain Time)","value":"09:53:05"},{"id":151,"name":"Denver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ref="AM51" si="34">"start /low /b "&amp;dls3logs&amp;" --loco "&amp;B51&amp;" --day "&amp;TEXT(F51,"YYYY-MM-DD")</f>
        <v>start /low /b %USERPROFILE%\Documents\GitHub\eaglep3\Utilities\DownloadLogsFromS3.py --loco 4025 --day 2017-09-05</v>
      </c>
      <c r="AN51" s="151" t="str">
        <f t="shared" ref="AN51" si="35"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</row>
    <row r="52" spans="1:91" s="1" customFormat="1" x14ac:dyDescent="0.25">
      <c r="A52" s="32" t="s">
        <v>672</v>
      </c>
      <c r="B52" s="7">
        <v>4066</v>
      </c>
      <c r="C52" s="21" t="s">
        <v>197</v>
      </c>
      <c r="D52" s="21" t="s">
        <v>369</v>
      </c>
      <c r="E52" s="13">
        <v>42983.346643518518</v>
      </c>
      <c r="F52" s="13">
        <v>42983.354525462964</v>
      </c>
      <c r="G52" s="7">
        <v>47</v>
      </c>
      <c r="H52" s="21" t="s">
        <v>534</v>
      </c>
      <c r="I52" s="13">
        <v>42983.37903935185</v>
      </c>
      <c r="J52" s="7">
        <v>0</v>
      </c>
      <c r="K52" s="89" t="str">
        <f t="shared" si="23"/>
        <v>4065/4066</v>
      </c>
      <c r="L52" s="214" t="str">
        <f>VLOOKUP(A52,'Trips&amp;Operators'!$C$1:$G$99911,5,FALSE)</f>
        <v>YORK EDGAR</v>
      </c>
      <c r="M52" s="6">
        <f t="shared" si="24"/>
        <v>2.4513888885849155E-2</v>
      </c>
      <c r="N52" s="7">
        <f t="shared" si="30"/>
        <v>35.299999995622784</v>
      </c>
      <c r="O52" s="7"/>
      <c r="P52" s="7"/>
      <c r="Q52" s="22"/>
      <c r="R52" s="167"/>
      <c r="S52" s="210">
        <f t="shared" si="31"/>
        <v>1</v>
      </c>
      <c r="T52" s="192" t="str">
        <f t="shared" si="25"/>
        <v>NorthBound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-05T07:19:10-0600',mode:absolute,to:'2017-09-05T10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2" s="194" t="str">
        <f>IF(AA52&lt;VLOOKUP(AG52,Variables!$AC$3:$AD$8,2,FALSE),"Y","N")</f>
        <v>N</v>
      </c>
      <c r="X52" s="194">
        <f t="shared" si="26"/>
        <v>1</v>
      </c>
      <c r="Y52" s="194">
        <f t="shared" ref="Y52:Y83" si="36">RIGHT(D52,LEN(D52)-4)/10000</f>
        <v>4.6399999999999997E-2</v>
      </c>
      <c r="Z52" s="194">
        <f t="shared" ref="Z52:Z83" si="37">RIGHT(H52,LEN(H52)-4)/10000</f>
        <v>23.328900000000001</v>
      </c>
      <c r="AA52" s="194">
        <f t="shared" si="27"/>
        <v>23.282500000000002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28"/>
        <v>139</v>
      </c>
      <c r="AE52" s="77" t="str">
        <f t="shared" si="11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52" s="74" t="str">
        <f t="shared" si="12"/>
        <v>"C:\Program Files (x86)\AstroGrep\AstroGrep.exe" /e /r /s /spath="%USERPROFILE%\AppData\Local\Temp\OnboardLogs" /stypes="app*4066*20170905*" /stext=" 15:.+((SYSTEM_STATE.+slice.+state.+changed )|(ment ac)|(multiple cpu faults)|(system.+state.+changed )|(\[timeout)|(PRM\|1\|D)|(kpr)|(kdp)|(train st.+moving)|(\|lc)|(penalty))"</v>
      </c>
      <c r="AG52" s="206" t="str">
        <f t="shared" si="29"/>
        <v>EC</v>
      </c>
      <c r="AH52" s="78" t="str">
        <f t="shared" si="18"/>
        <v>"%USERPROFILE%\Documents\GitHub\eaglep3\Utilities\RefineRTDCRunTimes.py" --tripid 139-05 --locoid 4066 --swversion DE.1.0.9.0 --startMP 204:464 --initTime 2017-09-05T08:19:10 --startdatetime 2017-09-05T08:30:31 --delay 47 --endMP 204:233289 --enddatetime 2017-09-05T09:05:49 --enforcementcount 0 &gt;&gt;C:\Users\stu\Documents\GitHub\eaglep3-reporting\EC\2017-09-05-refined-times.txt</v>
      </c>
      <c r="AI5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{"issue":{"subject":"","project_id":79,"tracker_id":40,"status_id":1,"priority_id":2,"assigned_to_id":338,"start_date":"2017-09-05","description":"","custom_fields":[{"id":1,"name":"Subdivision","value":"EC"},{"id":4,"name":"Milepost","value":"23.3289"},{"id":17,"name":"Train ID","value":"139-05"},{"id":16,"name":"Locomotive ID","value":"4066"},{"id":130,"name":"Impact","value":""},{"id":150,"name":"Time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4066 --day 2017-09-05</v>
      </c>
      <c r="AN5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679</v>
      </c>
      <c r="B53" s="7">
        <v>4065</v>
      </c>
      <c r="C53" s="21" t="s">
        <v>197</v>
      </c>
      <c r="D53" s="21" t="s">
        <v>850</v>
      </c>
      <c r="E53" s="13">
        <v>42983.380671296298</v>
      </c>
      <c r="F53" s="13">
        <v>42983.393900462965</v>
      </c>
      <c r="G53" s="7">
        <v>61</v>
      </c>
      <c r="H53" s="21" t="s">
        <v>456</v>
      </c>
      <c r="I53" s="13">
        <v>42983.420868055553</v>
      </c>
      <c r="J53" s="7">
        <v>0</v>
      </c>
      <c r="K53" s="89" t="str">
        <f t="shared" si="23"/>
        <v>4065/4066</v>
      </c>
      <c r="L53" s="214" t="str">
        <f>VLOOKUP(A53,'Trips&amp;Operators'!$C$1:$G$99911,5,FALSE)</f>
        <v>YORK EDGAR</v>
      </c>
      <c r="M53" s="6">
        <f t="shared" si="24"/>
        <v>2.696759258833481E-2</v>
      </c>
      <c r="N53" s="7">
        <f t="shared" si="30"/>
        <v>38.833333327202126</v>
      </c>
      <c r="O53" s="7"/>
      <c r="P53" s="7"/>
      <c r="Q53" s="22"/>
      <c r="R53" s="167"/>
      <c r="S53" s="210">
        <f t="shared" si="31"/>
        <v>1</v>
      </c>
      <c r="T53" s="192" t="str">
        <f t="shared" si="25"/>
        <v>Southbound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-05T08:08:10-0600',mode:absolute,to:'2017-09-05T11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3" s="194" t="str">
        <f>IF(AA53&lt;VLOOKUP(AG53,Variables!$AC$3:$AD$8,2,FALSE),"Y","N")</f>
        <v>N</v>
      </c>
      <c r="X53" s="194">
        <f t="shared" si="26"/>
        <v>1</v>
      </c>
      <c r="Y53" s="194">
        <f t="shared" si="36"/>
        <v>23.296399999999998</v>
      </c>
      <c r="Z53" s="194">
        <f t="shared" si="37"/>
        <v>1.5800000000000002E-2</v>
      </c>
      <c r="AA53" s="194">
        <f t="shared" si="27"/>
        <v>23.2806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28"/>
        <v>140</v>
      </c>
      <c r="AE53" s="77" t="str">
        <f t="shared" si="11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53" s="74" t="str">
        <f t="shared" si="12"/>
        <v>"C:\Program Files (x86)\AstroGrep\AstroGrep.exe" /e /r /s /spath="%USERPROFILE%\AppData\Local\Temp\OnboardLogs" /stypes="app*4065*20170905*" /stext=" 16:.+((SYSTEM_STATE.+slice.+state.+changed )|(ment ac)|(multiple cpu faults)|(system.+state.+changed )|(\[timeout)|(PRM\|1\|D)|(kpr)|(kdp)|(train st.+moving)|(\|lc)|(penalty))"</v>
      </c>
      <c r="AG53" s="206" t="str">
        <f t="shared" si="29"/>
        <v>EC</v>
      </c>
      <c r="AH53" s="78" t="str">
        <f t="shared" si="18"/>
        <v>"%USERPROFILE%\Documents\GitHub\eaglep3\Utilities\RefineRTDCRunTimes.py" --tripid 140-05 --locoid 4065 --swversion DE.1.0.9.0 --startMP 204:232964 --initTime 2017-09-05T09:08:10 --startdatetime 2017-09-05T09:27:13 --delay 61 --endMP 204:158 --enddatetime 2017-09-05T10:06:03 --enforcementcount 0 &gt;&gt;C:\Users\stu\Documents\GitHub\eaglep3-reporting\EC\2017-09-05-refined-times.txt</v>
      </c>
      <c r="AI53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ID","value":"140-05"},{"id":16,"name":"Locomotive ID","value":"4065"},{"id":130,"name":"Impact","value":""},{"id":150,"name":"Time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4065 --day 2017-09-05</v>
      </c>
      <c r="AN53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676</v>
      </c>
      <c r="B54" s="7">
        <v>4024</v>
      </c>
      <c r="C54" s="21" t="s">
        <v>197</v>
      </c>
      <c r="D54" s="21" t="s">
        <v>851</v>
      </c>
      <c r="E54" s="13">
        <v>42983.364803240744</v>
      </c>
      <c r="F54" s="13">
        <v>42983.366157407407</v>
      </c>
      <c r="G54" s="7">
        <v>49</v>
      </c>
      <c r="H54" s="21" t="s">
        <v>852</v>
      </c>
      <c r="I54" s="13">
        <v>42983.390185185184</v>
      </c>
      <c r="J54" s="7">
        <v>0</v>
      </c>
      <c r="K54" s="89" t="str">
        <f t="shared" si="23"/>
        <v>4023/4024</v>
      </c>
      <c r="L54" s="214" t="str">
        <f>VLOOKUP(A54,'Trips&amp;Operators'!$C$1:$G$99911,5,FALSE)</f>
        <v>GUNTHIER ERIC</v>
      </c>
      <c r="M54" s="6">
        <f t="shared" si="24"/>
        <v>2.4027777777519077E-2</v>
      </c>
      <c r="N54" s="7">
        <f t="shared" si="30"/>
        <v>34.599999999627471</v>
      </c>
      <c r="O54" s="7"/>
      <c r="P54" s="7"/>
      <c r="Q54" s="22"/>
      <c r="R54" s="167"/>
      <c r="S54" s="210">
        <f t="shared" si="31"/>
        <v>1</v>
      </c>
      <c r="T54" s="192" t="str">
        <f t="shared" si="25"/>
        <v>NorthBound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-05T07:45:19-0600',mode:absolute,to:'2017-09-05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94" t="str">
        <f>IF(AA54&lt;VLOOKUP(AG54,Variables!$AC$3:$AD$8,2,FALSE),"Y","N")</f>
        <v>N</v>
      </c>
      <c r="X54" s="194">
        <f t="shared" si="26"/>
        <v>1</v>
      </c>
      <c r="Y54" s="194">
        <f t="shared" si="36"/>
        <v>4.7300000000000002E-2</v>
      </c>
      <c r="Z54" s="194">
        <f t="shared" si="37"/>
        <v>23.330300000000001</v>
      </c>
      <c r="AA54" s="194">
        <f t="shared" si="27"/>
        <v>23.283000000000001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28"/>
        <v>141</v>
      </c>
      <c r="AE54" s="77" t="str">
        <f t="shared" si="11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54" s="74" t="str">
        <f t="shared" si="12"/>
        <v>"C:\Program Files (x86)\AstroGrep\AstroGrep.exe" /e /r /s /spath="%USERPROFILE%\AppData\Local\Temp\OnboardLogs" /stypes="app*4024*20170905*" /stext=" 15:.+((SYSTEM_STATE.+slice.+state.+changed )|(ment ac)|(multiple cpu faults)|(system.+state.+changed )|(\[timeout)|(PRM\|1\|D)|(kpr)|(kdp)|(train st.+moving)|(\|lc)|(penalty))"</v>
      </c>
      <c r="AG54" s="206" t="str">
        <f t="shared" si="29"/>
        <v>EC</v>
      </c>
      <c r="AH54" s="78" t="str">
        <f t="shared" si="18"/>
        <v>"%USERPROFILE%\Documents\GitHub\eaglep3\Utilities\RefineRTDCRunTimes.py" --tripid 141-05 --locoid 4024 --swversion DE.1.0.9.0 --startMP 204:473 --initTime 2017-09-05T08:45:19 --startdatetime 2017-09-05T08:47:16 --delay 49 --endMP 204:233303 --enddatetime 2017-09-05T09:21:52 --enforcementcount 0 &gt;&gt;C:\Users\stu\Documents\GitHub\eaglep3-reporting\EC\2017-09-05-refined-times.txt</v>
      </c>
      <c r="AI5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{"issue":{"subject":"","project_id":79,"tracker_id":40,"status_id":1,"priority_id":2,"assigned_to_id":338,"start_date":"2017-09-05","description":"","custom_fields":[{"id":1,"name":"Subdivision","value":"EC"},{"id":4,"name":"Milepost","value":"23.3303"},{"id":17,"name":"Train ID","value":"141-05"},{"id":16,"name":"Locomotive ID","value":"4024"},{"id":130,"name":"Impact","value":""},{"id":150,"name":"Time of Event (Mountain Time)","value":"09:21:52"},{"id":151,"name":"Denver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2017-09-05</v>
      </c>
      <c r="AN5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683</v>
      </c>
      <c r="B55" s="7">
        <v>4023</v>
      </c>
      <c r="C55" s="21" t="s">
        <v>197</v>
      </c>
      <c r="D55" s="21" t="s">
        <v>535</v>
      </c>
      <c r="E55" s="13">
        <v>42983.395671296297</v>
      </c>
      <c r="F55" s="13">
        <v>42983.404432870368</v>
      </c>
      <c r="G55" s="7">
        <v>59</v>
      </c>
      <c r="H55" s="21" t="s">
        <v>397</v>
      </c>
      <c r="I55" s="13">
        <v>42983.430706018517</v>
      </c>
      <c r="J55" s="7">
        <v>0</v>
      </c>
      <c r="K55" s="89" t="str">
        <f t="shared" si="23"/>
        <v>4023/4024</v>
      </c>
      <c r="L55" s="214" t="str">
        <f>VLOOKUP(A55,'Trips&amp;Operators'!$C$1:$G$99911,5,FALSE)</f>
        <v>GUNTHIER ERIC</v>
      </c>
      <c r="M55" s="6">
        <f t="shared" si="24"/>
        <v>2.6273148148902692E-2</v>
      </c>
      <c r="N55" s="7">
        <f t="shared" si="30"/>
        <v>37.833333334419876</v>
      </c>
      <c r="O55" s="7"/>
      <c r="P55" s="7"/>
      <c r="Q55" s="22"/>
      <c r="R55" s="167"/>
      <c r="S55" s="210">
        <f t="shared" si="31"/>
        <v>1</v>
      </c>
      <c r="T55" s="192" t="str">
        <f t="shared" si="25"/>
        <v>Southbound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-05T08:29:46-0600',mode:absolute,to:'2017-09-05T11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94" t="str">
        <f>IF(AA55&lt;VLOOKUP(AG55,Variables!$AC$3:$AD$8,2,FALSE),"Y","N")</f>
        <v>N</v>
      </c>
      <c r="X55" s="194">
        <f t="shared" si="26"/>
        <v>1</v>
      </c>
      <c r="Y55" s="194">
        <f t="shared" si="36"/>
        <v>23.3001</v>
      </c>
      <c r="Z55" s="194">
        <f t="shared" si="37"/>
        <v>1.61E-2</v>
      </c>
      <c r="AA55" s="194">
        <f t="shared" si="27"/>
        <v>23.283999999999999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28"/>
        <v>142</v>
      </c>
      <c r="AE55" s="77" t="str">
        <f t="shared" si="11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55" s="74" t="str">
        <f t="shared" si="12"/>
        <v>"C:\Program Files (x86)\AstroGrep\AstroGrep.exe" /e /r /s /spath="%USERPROFILE%\AppData\Local\Temp\OnboardLogs" /stypes="app*4023*20170905*" /stext=" 16:.+((SYSTEM_STATE.+slice.+state.+changed )|(ment ac)|(multiple cpu faults)|(system.+state.+changed )|(\[timeout)|(PRM\|1\|D)|(kpr)|(kdp)|(train st.+moving)|(\|lc)|(penalty))"</v>
      </c>
      <c r="AG55" s="206" t="str">
        <f t="shared" si="29"/>
        <v>EC</v>
      </c>
      <c r="AH55" s="78" t="str">
        <f t="shared" si="18"/>
        <v>"%USERPROFILE%\Documents\GitHub\eaglep3\Utilities\RefineRTDCRunTimes.py" --tripid 142-05 --locoid 4023 --swversion DE.1.0.9.0 --startMP 204:233001 --initTime 2017-09-05T09:29:46 --startdatetime 2017-09-05T09:42:23 --delay 59 --endMP 204:161 --enddatetime 2017-09-05T10:20:13 --enforcementcount 0 &gt;&gt;C:\Users\stu\Documents\GitHub\eaglep3-reporting\EC\2017-09-05-refined-times.txt</v>
      </c>
      <c r="AI5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{"issue":{"subject":"","project_id":79,"tracker_id":40,"status_id":1,"priority_id":2,"assigned_to_id":338,"start_date":"2017-09-05","description":"","custom_fields":[{"id":1,"name":"Subdivision","value":"EC"},{"id":4,"name":"Milepost","value":"0.0161"},{"id":17,"name":"Train ID","value":"142-05"},{"id":16,"name":"Locomotive ID","value":"4023"},{"id":130,"name":"Impact","value":""},{"id":150,"name":"Time of Event (Mountain Time)","value":"10:20:13"},{"id":151,"name":"Denver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2017-09-05</v>
      </c>
      <c r="AN5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677</v>
      </c>
      <c r="B56" s="7">
        <v>4040</v>
      </c>
      <c r="C56" s="21" t="s">
        <v>197</v>
      </c>
      <c r="D56" s="21" t="s">
        <v>365</v>
      </c>
      <c r="E56" s="13">
        <v>42983.37127314815</v>
      </c>
      <c r="F56" s="13">
        <v>42983.375798611109</v>
      </c>
      <c r="G56" s="7">
        <v>58</v>
      </c>
      <c r="H56" s="21" t="s">
        <v>484</v>
      </c>
      <c r="I56" s="13">
        <v>42983.403287037036</v>
      </c>
      <c r="J56" s="7">
        <v>0</v>
      </c>
      <c r="K56" s="89" t="str">
        <f t="shared" si="23"/>
        <v>4039/4040</v>
      </c>
      <c r="L56" s="214" t="str">
        <f>VLOOKUP(A56,'Trips&amp;Operators'!$C$1:$G$99911,5,FALSE)</f>
        <v>STARKS ANGELINA</v>
      </c>
      <c r="M56" s="6">
        <f t="shared" si="24"/>
        <v>2.7488425927003846E-2</v>
      </c>
      <c r="N56" s="7">
        <f t="shared" si="30"/>
        <v>39.583333334885538</v>
      </c>
      <c r="O56" s="7"/>
      <c r="P56" s="7"/>
      <c r="Q56" s="22"/>
      <c r="R56" s="167"/>
      <c r="S56" s="210">
        <f t="shared" si="31"/>
        <v>1</v>
      </c>
      <c r="T56" s="192" t="str">
        <f t="shared" si="25"/>
        <v>NorthBound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-05T07:54:38-0600',mode:absolute,to:'2017-09-05T10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194" t="str">
        <f>IF(AA56&lt;VLOOKUP(AG56,Variables!$AC$3:$AD$8,2,FALSE),"Y","N")</f>
        <v>N</v>
      </c>
      <c r="X56" s="194">
        <f t="shared" si="26"/>
        <v>1</v>
      </c>
      <c r="Y56" s="194">
        <f t="shared" si="36"/>
        <v>4.4900000000000002E-2</v>
      </c>
      <c r="Z56" s="194">
        <f t="shared" si="37"/>
        <v>23.330200000000001</v>
      </c>
      <c r="AA56" s="194">
        <f t="shared" si="27"/>
        <v>23.285300000000003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28"/>
        <v>143</v>
      </c>
      <c r="AE56" s="77" t="str">
        <f t="shared" si="11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56" s="74" t="str">
        <f t="shared" si="12"/>
        <v>"C:\Program Files (x86)\AstroGrep\AstroGrep.exe" /e /r /s /spath="%USERPROFILE%\AppData\Local\Temp\OnboardLogs" /stypes="app*4040*20170905*" /stext=" 15:.+((SYSTEM_STATE.+slice.+state.+changed )|(ment ac)|(multiple cpu faults)|(system.+state.+changed )|(\[timeout)|(PRM\|1\|D)|(kpr)|(kdp)|(train st.+moving)|(\|lc)|(penalty))"</v>
      </c>
      <c r="AG56" s="206" t="str">
        <f t="shared" si="29"/>
        <v>EC</v>
      </c>
      <c r="AH56" s="78" t="str">
        <f t="shared" si="18"/>
        <v>"%USERPROFILE%\Documents\GitHub\eaglep3\Utilities\RefineRTDCRunTimes.py" --tripid 143-05 --locoid 4040 --swversion DE.1.0.9.0 --startMP 204:449 --initTime 2017-09-05T08:54:38 --startdatetime 2017-09-05T09:01:09 --delay 58 --endMP 204:233302 --enddatetime 2017-09-05T09:40:44 --enforcementcount 0 &gt;&gt;C:\Users\stu\Documents\GitHub\eaglep3-reporting\EC\2017-09-05-refined-times.txt</v>
      </c>
      <c r="AI5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{"issue":{"subject":"","project_id":79,"tracker_id":40,"status_id":1,"priority_id":2,"assigned_to_id":338,"start_date":"2017-09-05","description":"","custom_fields":[{"id":1,"name":"Subdivision","value":"EC"},{"id":4,"name":"Milepost","value":"23.3302"},{"id":17,"name":"Train ID","value":"143-05"},{"id":16,"name":"Locomotive ID","value":"4040"},{"id":130,"name":"Impact","value":""},{"id":150,"name":"Time of Event (Mountain Time)","value":"09:40:44"},{"id":151,"name":"Denver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4040 --day 2017-09-05</v>
      </c>
      <c r="AN5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685</v>
      </c>
      <c r="B57" s="7">
        <v>4039</v>
      </c>
      <c r="C57" s="21" t="s">
        <v>197</v>
      </c>
      <c r="D57" s="21" t="s">
        <v>834</v>
      </c>
      <c r="E57" s="13">
        <v>42983.41269675926</v>
      </c>
      <c r="F57" s="13">
        <v>42983.414756944447</v>
      </c>
      <c r="G57" s="7">
        <v>66</v>
      </c>
      <c r="H57" s="21" t="s">
        <v>549</v>
      </c>
      <c r="I57" s="13">
        <v>42983.440821759257</v>
      </c>
      <c r="J57" s="7">
        <v>0</v>
      </c>
      <c r="K57" s="89" t="str">
        <f t="shared" si="23"/>
        <v>4039/4040</v>
      </c>
      <c r="L57" s="214" t="str">
        <f>VLOOKUP(A57,'Trips&amp;Operators'!$C$1:$G$99911,5,FALSE)</f>
        <v>STARKS ANGELINA</v>
      </c>
      <c r="M57" s="6">
        <f t="shared" si="24"/>
        <v>2.6064814810524695E-2</v>
      </c>
      <c r="N57" s="7">
        <f t="shared" si="30"/>
        <v>37.53333332715556</v>
      </c>
      <c r="O57" s="7"/>
      <c r="P57" s="7"/>
      <c r="Q57" s="22"/>
      <c r="R57" s="167"/>
      <c r="S57" s="210">
        <f t="shared" si="31"/>
        <v>1</v>
      </c>
      <c r="T57" s="192" t="str">
        <f t="shared" si="25"/>
        <v>Southbound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-05T08:54:17-0600',mode:absolute,to:'2017-09-05T11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194" t="str">
        <f>IF(AA57&lt;VLOOKUP(AG57,Variables!$AC$3:$AD$8,2,FALSE),"Y","N")</f>
        <v>N</v>
      </c>
      <c r="X57" s="194">
        <f t="shared" si="26"/>
        <v>1</v>
      </c>
      <c r="Y57" s="194">
        <f t="shared" si="36"/>
        <v>23.298500000000001</v>
      </c>
      <c r="Z57" s="194">
        <f t="shared" si="37"/>
        <v>1.34E-2</v>
      </c>
      <c r="AA57" s="194">
        <f t="shared" si="27"/>
        <v>23.2851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28"/>
        <v>144</v>
      </c>
      <c r="AE57" s="77" t="str">
        <f t="shared" si="11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57" s="74" t="str">
        <f t="shared" si="12"/>
        <v>"C:\Program Files (x86)\AstroGrep\AstroGrep.exe" /e /r /s /spath="%USERPROFILE%\AppData\Local\Temp\OnboardLogs" /stypes="app*4039*20170905*" /stext=" 16:.+((SYSTEM_STATE.+slice.+state.+changed )|(ment ac)|(multiple cpu faults)|(system.+state.+changed )|(\[timeout)|(PRM\|1\|D)|(kpr)|(kdp)|(train st.+moving)|(\|lc)|(penalty))"</v>
      </c>
      <c r="AG57" s="206" t="str">
        <f t="shared" si="29"/>
        <v>EC</v>
      </c>
      <c r="AH57" s="78" t="str">
        <f t="shared" si="18"/>
        <v>"%USERPROFILE%\Documents\GitHub\eaglep3\Utilities\RefineRTDCRunTimes.py" --tripid 144-05 --locoid 4039 --swversion DE.1.0.9.0 --startMP 204:232985 --initTime 2017-09-05T09:54:17 --startdatetime 2017-09-05T09:57:15 --delay 66 --endMP 204:134 --enddatetime 2017-09-05T10:34:47 --enforcementcount 0 &gt;&gt;C:\Users\stu\Documents\GitHub\eaglep3-reporting\EC\2017-09-05-refined-times.txt</v>
      </c>
      <c r="AI5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{"issue":{"subject":"","project_id":79,"tracker_id":40,"status_id":1,"priority_id":2,"assigned_to_id":338,"start_date":"2017-09-05","description":"","custom_fields":[{"id":1,"name":"Subdivision","value":"EC"},{"id":4,"name":"Milepost","value":"0.0134"},{"id":17,"name":"Train ID","value":"144-05"},{"id":16,"name":"Locomotive ID","value":"4039"},{"id":130,"name":"Impact","value":""},{"id":150,"name":"Time of Event (Mountain Time)","value":"10:34:47"},{"id":151,"name":"Denver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4039 --day 2017-09-05</v>
      </c>
      <c r="AN5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680</v>
      </c>
      <c r="B58" s="7">
        <v>4044</v>
      </c>
      <c r="C58" s="21" t="s">
        <v>197</v>
      </c>
      <c r="D58" s="21" t="s">
        <v>851</v>
      </c>
      <c r="E58" s="13">
        <v>42983.384398148148</v>
      </c>
      <c r="F58" s="13">
        <v>42983.385763888888</v>
      </c>
      <c r="G58" s="7">
        <v>49</v>
      </c>
      <c r="H58" s="21" t="s">
        <v>853</v>
      </c>
      <c r="I58" s="13">
        <v>42983.409918981481</v>
      </c>
      <c r="J58" s="7">
        <v>0</v>
      </c>
      <c r="K58" s="89" t="str">
        <f t="shared" si="23"/>
        <v>4043/4044</v>
      </c>
      <c r="L58" s="214" t="str">
        <f>VLOOKUP(A58,'Trips&amp;Operators'!$C$1:$G$99911,5,FALSE)</f>
        <v>MACDONALD THOMAS</v>
      </c>
      <c r="M58" s="6">
        <f t="shared" si="24"/>
        <v>2.4155092592991423E-2</v>
      </c>
      <c r="N58" s="7">
        <f t="shared" si="30"/>
        <v>34.783333333907649</v>
      </c>
      <c r="O58" s="7"/>
      <c r="P58" s="7"/>
      <c r="Q58" s="22"/>
      <c r="R58" s="167"/>
      <c r="S58" s="210">
        <f t="shared" si="31"/>
        <v>1</v>
      </c>
      <c r="T58" s="192" t="str">
        <f t="shared" si="25"/>
        <v>NorthBound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-05T08:13:32-0600',mode:absolute,to:'2017-09-05T10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194" t="str">
        <f>IF(AA58&lt;VLOOKUP(AG58,Variables!$AC$3:$AD$8,2,FALSE),"Y","N")</f>
        <v>N</v>
      </c>
      <c r="X58" s="194">
        <f t="shared" si="26"/>
        <v>1</v>
      </c>
      <c r="Y58" s="194">
        <f t="shared" si="36"/>
        <v>4.7300000000000002E-2</v>
      </c>
      <c r="Z58" s="194">
        <f t="shared" si="37"/>
        <v>23.328800000000001</v>
      </c>
      <c r="AA58" s="194">
        <f t="shared" si="27"/>
        <v>23.281500000000001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28"/>
        <v>145</v>
      </c>
      <c r="AE58" s="77" t="str">
        <f t="shared" si="11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58" s="74" t="str">
        <f t="shared" si="12"/>
        <v>"C:\Program Files (x86)\AstroGrep\AstroGrep.exe" /e /r /s /spath="%USERPROFILE%\AppData\Local\Temp\OnboardLogs" /stypes="app*4044*20170905*" /stext=" 15:.+((SYSTEM_STATE.+slice.+state.+changed )|(ment ac)|(multiple cpu faults)|(system.+state.+changed )|(\[timeout)|(PRM\|1\|D)|(kpr)|(kdp)|(train st.+moving)|(\|lc)|(penalty))"</v>
      </c>
      <c r="AG58" s="206" t="str">
        <f t="shared" si="29"/>
        <v>EC</v>
      </c>
      <c r="AH58" s="78" t="str">
        <f t="shared" si="18"/>
        <v>"%USERPROFILE%\Documents\GitHub\eaglep3\Utilities\RefineRTDCRunTimes.py" --tripid 145-05 --locoid 4044 --swversion DE.1.0.9.0 --startMP 204:473 --initTime 2017-09-05T09:13:32 --startdatetime 2017-09-05T09:15:30 --delay 49 --endMP 204:233288 --enddatetime 2017-09-05T09:50:17 --enforcementcount 0 &gt;&gt;C:\Users\stu\Documents\GitHub\eaglep3-reporting\EC\2017-09-05-refined-times.txt</v>
      </c>
      <c r="AI5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{"issue":{"subject":"","project_id":79,"tracker_id":40,"status_id":1,"priority_id":2,"assigned_to_id":338,"start_date":"2017-09-05","description":"","custom_fields":[{"id":1,"name":"Subdivision","value":"EC"},{"id":4,"name":"Milepost","value":"23.3288"},{"id":17,"name":"Train ID","value":"145-05"},{"id":16,"name":"Locomotive ID","value":"4044"},{"id":130,"name":"Impact","value":""},{"id":150,"name":"Time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4044 --day 2017-09-05</v>
      </c>
      <c r="AN5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688</v>
      </c>
      <c r="B59" s="7">
        <v>4043</v>
      </c>
      <c r="C59" s="21" t="s">
        <v>197</v>
      </c>
      <c r="D59" s="21" t="s">
        <v>854</v>
      </c>
      <c r="E59" s="13">
        <v>42983.422939814816</v>
      </c>
      <c r="F59" s="13">
        <v>42983.425300925926</v>
      </c>
      <c r="G59" s="7">
        <v>86</v>
      </c>
      <c r="H59" s="21" t="s">
        <v>380</v>
      </c>
      <c r="I59" s="13">
        <v>42983.451643518521</v>
      </c>
      <c r="J59" s="7">
        <v>0</v>
      </c>
      <c r="K59" s="89" t="str">
        <f t="shared" si="23"/>
        <v>4043/4044</v>
      </c>
      <c r="L59" s="214" t="str">
        <f>VLOOKUP(A59,'Trips&amp;Operators'!$C$1:$G$99911,5,FALSE)</f>
        <v>MACDONALD THOMAS</v>
      </c>
      <c r="M59" s="6">
        <f t="shared" si="24"/>
        <v>2.6342592595028691E-2</v>
      </c>
      <c r="N59" s="7">
        <f t="shared" si="30"/>
        <v>37.933333336841315</v>
      </c>
      <c r="O59" s="7"/>
      <c r="P59" s="7"/>
      <c r="Q59" s="22"/>
      <c r="R59" s="167"/>
      <c r="S59" s="210">
        <f t="shared" si="31"/>
        <v>1</v>
      </c>
      <c r="T59" s="192" t="str">
        <f t="shared" si="25"/>
        <v>Southbound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-05T09:09:02-0600',mode:absolute,to:'2017-09-05T11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194" t="str">
        <f>IF(AA59&lt;VLOOKUP(AG59,Variables!$AC$3:$AD$8,2,FALSE),"Y","N")</f>
        <v>N</v>
      </c>
      <c r="X59" s="194">
        <f t="shared" si="26"/>
        <v>1</v>
      </c>
      <c r="Y59" s="194">
        <f t="shared" si="36"/>
        <v>23.2973</v>
      </c>
      <c r="Z59" s="194">
        <f t="shared" si="37"/>
        <v>1.5599999999999999E-2</v>
      </c>
      <c r="AA59" s="194">
        <f t="shared" si="27"/>
        <v>23.281700000000001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28"/>
        <v>146</v>
      </c>
      <c r="AE59" s="77" t="str">
        <f t="shared" si="11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59" s="74" t="str">
        <f t="shared" si="12"/>
        <v>"C:\Program Files (x86)\AstroGrep\AstroGrep.exe" /e /r /s /spath="%USERPROFILE%\AppData\Local\Temp\OnboardLogs" /stypes="app*4043*20170905*" /stext=" 16:.+((SYSTEM_STATE.+slice.+state.+changed )|(ment ac)|(multiple cpu faults)|(system.+state.+changed )|(\[timeout)|(PRM\|1\|D)|(kpr)|(kdp)|(train st.+moving)|(\|lc)|(penalty))"</v>
      </c>
      <c r="AG59" s="206" t="str">
        <f t="shared" si="29"/>
        <v>EC</v>
      </c>
      <c r="AH59" s="78" t="str">
        <f t="shared" si="18"/>
        <v>"%USERPROFILE%\Documents\GitHub\eaglep3\Utilities\RefineRTDCRunTimes.py" --tripid 146-05 --locoid 4043 --swversion DE.1.0.9.0 --startMP 204:232973 --initTime 2017-09-05T10:09:02 --startdatetime 2017-09-05T10:12:26 --delay 86 --endMP 204:156 --enddatetime 2017-09-05T10:50:22 --enforcementcount 0 &gt;&gt;C:\Users\stu\Documents\GitHub\eaglep3-reporting\EC\2017-09-05-refined-times.txt</v>
      </c>
      <c r="AI59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{"issue":{"subject":"","project_id":79,"tracker_id":40,"status_id":1,"priority_id":2,"assigned_to_id":338,"start_date":"2017-09-05","description":"","custom_fields":[{"id":1,"name":"Subdivision","value":"EC"},{"id":4,"name":"Milepost","value":"0.0156"},{"id":17,"name":"Train ID","value":"146-05"},{"id":16,"name":"Locomotive ID","value":"4043"},{"id":130,"name":"Impact","value":""},{"id":150,"name":"Time of Event (Mountain Time)","value":"10:50:22"},{"id":151,"name":"Denver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4043 --day 2017-09-05</v>
      </c>
      <c r="AN59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682</v>
      </c>
      <c r="B60" s="7">
        <v>4008</v>
      </c>
      <c r="C60" s="21" t="s">
        <v>197</v>
      </c>
      <c r="D60" s="21" t="s">
        <v>342</v>
      </c>
      <c r="E60" s="13">
        <v>42983.394201388888</v>
      </c>
      <c r="F60" s="13">
        <v>42983.396458333336</v>
      </c>
      <c r="G60" s="7">
        <v>60</v>
      </c>
      <c r="H60" s="21" t="s">
        <v>855</v>
      </c>
      <c r="I60" s="13">
        <v>42983.421851851854</v>
      </c>
      <c r="J60" s="7">
        <v>0</v>
      </c>
      <c r="K60" s="89" t="str">
        <f t="shared" si="23"/>
        <v>4007/4008</v>
      </c>
      <c r="L60" s="214" t="str">
        <f>VLOOKUP(A60,'Trips&amp;Operators'!$C$1:$G$99911,5,FALSE)</f>
        <v>THOMPSON LESTER</v>
      </c>
      <c r="M60" s="6">
        <f t="shared" si="24"/>
        <v>2.5393518517375924E-2</v>
      </c>
      <c r="N60" s="7">
        <f t="shared" si="30"/>
        <v>36.56666666502133</v>
      </c>
      <c r="O60" s="7"/>
      <c r="P60" s="7"/>
      <c r="Q60" s="22"/>
      <c r="R60" s="167"/>
      <c r="S60" s="210">
        <f t="shared" si="31"/>
        <v>1</v>
      </c>
      <c r="T60" s="192" t="str">
        <f t="shared" si="25"/>
        <v>NorthBound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-05T08:27:39-0600',mode:absolute,to:'2017-09-05T11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94" t="str">
        <f>IF(AA60&lt;VLOOKUP(AG60,Variables!$AC$3:$AD$8,2,FALSE),"Y","N")</f>
        <v>N</v>
      </c>
      <c r="X60" s="194">
        <f t="shared" si="26"/>
        <v>1</v>
      </c>
      <c r="Y60" s="194">
        <f t="shared" si="36"/>
        <v>4.53E-2</v>
      </c>
      <c r="Z60" s="194">
        <f t="shared" si="37"/>
        <v>23.330400000000001</v>
      </c>
      <c r="AA60" s="194">
        <f t="shared" si="27"/>
        <v>23.2851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28"/>
        <v>147</v>
      </c>
      <c r="AE60" s="77" t="str">
        <f t="shared" si="11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60" s="74" t="str">
        <f t="shared" si="12"/>
        <v>"C:\Program Files (x86)\AstroGrep\AstroGrep.exe" /e /r /s /spath="%USERPROFILE%\AppData\Local\Temp\OnboardLogs" /stypes="app*4008*20170905*" /stext=" 16:.+((SYSTEM_STATE.+slice.+state.+changed )|(ment ac)|(multiple cpu faults)|(system.+state.+changed )|(\[timeout)|(PRM\|1\|D)|(kpr)|(kdp)|(train st.+moving)|(\|lc)|(penalty))"</v>
      </c>
      <c r="AG60" s="206" t="str">
        <f t="shared" si="29"/>
        <v>EC</v>
      </c>
      <c r="AH60" s="78" t="str">
        <f t="shared" si="18"/>
        <v>"%USERPROFILE%\Documents\GitHub\eaglep3\Utilities\RefineRTDCRunTimes.py" --tripid 147-05 --locoid 4008 --swversion DE.1.0.9.0 --startMP 204:453 --initTime 2017-09-05T09:27:39 --startdatetime 2017-09-05T09:30:54 --delay 60 --endMP 204:233304 --enddatetime 2017-09-05T10:07:28 --enforcementcount 0 &gt;&gt;C:\Users\stu\Documents\GitHub\eaglep3-reporting\EC\2017-09-05-refined-times.txt</v>
      </c>
      <c r="AI6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{"issue":{"subject":"","project_id":79,"tracker_id":40,"status_id":1,"priority_id":2,"assigned_to_id":338,"start_date":"2017-09-05","description":"","custom_fields":[{"id":1,"name":"Subdivision","value":"EC"},{"id":4,"name":"Milepost","value":"23.3304"},{"id":17,"name":"Train ID","value":"147-05"},{"id":16,"name":"Locomotive ID","value":"4008"},{"id":130,"name":"Impact","value":""},{"id":150,"name":"Time of Event (Mountain Time)","value":"10:07:28"},{"id":151,"name":"Denver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4008 --day 2017-09-05</v>
      </c>
      <c r="AN6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593</v>
      </c>
      <c r="B61" s="7">
        <v>4007</v>
      </c>
      <c r="C61" s="21" t="s">
        <v>197</v>
      </c>
      <c r="D61" s="21" t="s">
        <v>856</v>
      </c>
      <c r="E61" s="13">
        <v>42983.432905092595</v>
      </c>
      <c r="F61" s="13">
        <v>42983.435787037037</v>
      </c>
      <c r="G61" s="7">
        <v>66</v>
      </c>
      <c r="H61" s="21" t="s">
        <v>345</v>
      </c>
      <c r="I61" s="13">
        <v>42983.463055555556</v>
      </c>
      <c r="J61" s="7">
        <v>0</v>
      </c>
      <c r="K61" s="89" t="str">
        <f t="shared" si="23"/>
        <v>4007/4008</v>
      </c>
      <c r="L61" s="214" t="str">
        <f>VLOOKUP(A61,'Trips&amp;Operators'!$C$1:$G$99911,5,FALSE)</f>
        <v>THOMPSON LESTER</v>
      </c>
      <c r="M61" s="6">
        <f t="shared" si="24"/>
        <v>2.7268518519122154E-2</v>
      </c>
      <c r="N61" s="7">
        <f t="shared" si="30"/>
        <v>39.266666667535901</v>
      </c>
      <c r="O61" s="7"/>
      <c r="P61" s="7"/>
      <c r="Q61" s="22"/>
      <c r="R61" s="167"/>
      <c r="S61" s="210">
        <f t="shared" si="31"/>
        <v>1</v>
      </c>
      <c r="T61" s="192" t="str">
        <f t="shared" si="25"/>
        <v>Southbound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-05T09:23:23-0600',mode:absolute,to:'2017-09-05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94" t="str">
        <f>IF(AA61&lt;VLOOKUP(AG61,Variables!$AC$3:$AD$8,2,FALSE),"Y","N")</f>
        <v>N</v>
      </c>
      <c r="X61" s="194">
        <f t="shared" si="26"/>
        <v>1</v>
      </c>
      <c r="Y61" s="194">
        <f t="shared" si="36"/>
        <v>23.3004</v>
      </c>
      <c r="Z61" s="194">
        <f t="shared" si="37"/>
        <v>1.47E-2</v>
      </c>
      <c r="AA61" s="194">
        <f t="shared" si="27"/>
        <v>23.285699999999999</v>
      </c>
      <c r="AB61" s="54" t="str">
        <f>VLOOKUP(A61,Enforcements!$C$7:$K$11,8,0)</f>
        <v>Bulletin (2)</v>
      </c>
      <c r="AC61" s="51" t="str">
        <f>VLOOKUP(A61,Enforcements!$C$7:$E$11,3,0)</f>
        <v>GRADE CROSSING</v>
      </c>
      <c r="AD61" s="203">
        <f t="shared" si="28"/>
        <v>148</v>
      </c>
      <c r="AE61" s="77" t="str">
        <f t="shared" si="11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61" s="74" t="str">
        <f t="shared" si="12"/>
        <v>"C:\Program Files (x86)\AstroGrep\AstroGrep.exe" /e /r /s /spath="%USERPROFILE%\AppData\Local\Temp\OnboardLogs" /stypes="app*4007*20170905*" /stext=" 17:.+((SYSTEM_STATE.+slice.+state.+changed )|(ment ac)|(multiple cpu faults)|(system.+state.+changed )|(\[timeout)|(PRM\|1\|D)|(kpr)|(kdp)|(train st.+moving)|(\|lc)|(penalty))"</v>
      </c>
      <c r="AG61" s="206" t="str">
        <f t="shared" si="29"/>
        <v>EC</v>
      </c>
      <c r="AH61" s="78" t="str">
        <f t="shared" si="18"/>
        <v>"%USERPROFILE%\Documents\GitHub\eaglep3\Utilities\RefineRTDCRunTimes.py" --tripid 148-05 --locoid 4007 --swversion DE.1.0.9.0 --startMP 204:233004 --initTime 2017-09-05T10:23:23 --startdatetime 2017-09-05T10:27:32 --delay 66 --endMP 204:147 --enddatetime 2017-09-05T11:06:48 --enforcementcount 0 &gt;&gt;C:\Users\stu\Documents\GitHub\eaglep3-reporting\EC\2017-09-05-refined-times.txt</v>
      </c>
      <c r="AI61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ID","value":"148-05"},{"id":16,"name":"Locomotive ID","value":"4007"},{"id":130,"name":"Impact","value":""},{"id":150,"name":"Time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4007 --day 2017-09-05</v>
      </c>
      <c r="AN61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684</v>
      </c>
      <c r="B62" s="7">
        <v>4010</v>
      </c>
      <c r="C62" s="21" t="s">
        <v>197</v>
      </c>
      <c r="D62" s="21" t="s">
        <v>839</v>
      </c>
      <c r="E62" s="13">
        <v>42983.402638888889</v>
      </c>
      <c r="F62" s="13">
        <v>42983.406423611108</v>
      </c>
      <c r="G62" s="7">
        <v>52</v>
      </c>
      <c r="H62" s="21" t="s">
        <v>857</v>
      </c>
      <c r="I62" s="13">
        <v>42983.430208333331</v>
      </c>
      <c r="J62" s="7">
        <v>0</v>
      </c>
      <c r="K62" s="89" t="str">
        <f t="shared" si="23"/>
        <v>4009/4010</v>
      </c>
      <c r="L62" s="214" t="str">
        <f>VLOOKUP(A62,'Trips&amp;Operators'!$C$1:$G$99911,5,FALSE)</f>
        <v>LALONDE GREGORY</v>
      </c>
      <c r="M62" s="6">
        <f t="shared" si="24"/>
        <v>2.3784722223354038E-2</v>
      </c>
      <c r="N62" s="7">
        <f t="shared" si="30"/>
        <v>34.250000001629815</v>
      </c>
      <c r="O62" s="7"/>
      <c r="P62" s="7"/>
      <c r="Q62" s="22"/>
      <c r="R62" s="167"/>
      <c r="S62" s="210">
        <f t="shared" si="31"/>
        <v>1</v>
      </c>
      <c r="T62" s="192" t="str">
        <f t="shared" si="25"/>
        <v>NorthBound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-05T08:39:48-0600',mode:absolute,to:'2017-09-05T11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194" t="str">
        <f>IF(AA62&lt;VLOOKUP(AG62,Variables!$AC$3:$AD$8,2,FALSE),"Y","N")</f>
        <v>N</v>
      </c>
      <c r="X62" s="194">
        <f t="shared" si="26"/>
        <v>1</v>
      </c>
      <c r="Y62" s="194">
        <f t="shared" si="36"/>
        <v>4.3999999999999997E-2</v>
      </c>
      <c r="Z62" s="194">
        <f t="shared" si="37"/>
        <v>23.331099999999999</v>
      </c>
      <c r="AA62" s="194">
        <f t="shared" si="27"/>
        <v>23.287099999999999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28"/>
        <v>149</v>
      </c>
      <c r="AE62" s="77" t="str">
        <f t="shared" si="11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62" s="74" t="str">
        <f t="shared" si="12"/>
        <v>"C:\Program Files (x86)\AstroGrep\AstroGrep.exe" /e /r /s /spath="%USERPROFILE%\AppData\Local\Temp\OnboardLogs" /stypes="app*4010*20170905*" /stext=" 16:.+((SYSTEM_STATE.+slice.+state.+changed )|(ment ac)|(multiple cpu faults)|(system.+state.+changed )|(\[timeout)|(PRM\|1\|D)|(kpr)|(kdp)|(train st.+moving)|(\|lc)|(penalty))"</v>
      </c>
      <c r="AG62" s="206" t="str">
        <f t="shared" si="29"/>
        <v>EC</v>
      </c>
      <c r="AH62" s="78" t="str">
        <f t="shared" si="18"/>
        <v>"%USERPROFILE%\Documents\GitHub\eaglep3\Utilities\RefineRTDCRunTimes.py" --tripid 149-05 --locoid 4010 --swversion DE.1.0.9.0 --startMP 204:440 --initTime 2017-09-05T09:39:48 --startdatetime 2017-09-05T09:45:15 --delay 52 --endMP 204:233311 --enddatetime 2017-09-05T10:19:30 --enforcementcount 0 &gt;&gt;C:\Users\stu\Documents\GitHub\eaglep3-reporting\EC\2017-09-05-refined-times.txt</v>
      </c>
      <c r="AI6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{"issue":{"subject":"","project_id":79,"tracker_id":40,"status_id":1,"priority_id":2,"assigned_to_id":338,"start_date":"2017-09-05","description":"","custom_fields":[{"id":1,"name":"Subdivision","value":"EC"},{"id":4,"name":"Milepost","value":"23.3311"},{"id":17,"name":"Train ID","value":"149-05"},{"id":16,"name":"Locomotive ID","value":"4010"},{"id":130,"name":"Impact","value":""},{"id":150,"name":"Time of Event (Mountain Time)","value":"10:19:30"},{"id":151,"name":"Denver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4010 --day 2017-09-05</v>
      </c>
      <c r="AN6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690</v>
      </c>
      <c r="B63" s="7">
        <v>4009</v>
      </c>
      <c r="C63" s="21" t="s">
        <v>197</v>
      </c>
      <c r="D63" s="21" t="s">
        <v>543</v>
      </c>
      <c r="E63" s="13">
        <v>42983.432060185187</v>
      </c>
      <c r="F63" s="13">
        <v>42983.44599537037</v>
      </c>
      <c r="G63" s="7">
        <v>71</v>
      </c>
      <c r="H63" s="21" t="s">
        <v>339</v>
      </c>
      <c r="I63" s="13">
        <v>42983.471145833333</v>
      </c>
      <c r="J63" s="7">
        <v>0</v>
      </c>
      <c r="K63" s="89" t="str">
        <f t="shared" si="23"/>
        <v>4009/4010</v>
      </c>
      <c r="L63" s="214" t="str">
        <f>VLOOKUP(A63,'Trips&amp;Operators'!$C$1:$G$99911,5,FALSE)</f>
        <v>LALONDE GREGORY</v>
      </c>
      <c r="M63" s="6">
        <f t="shared" si="24"/>
        <v>2.5150462963210884E-2</v>
      </c>
      <c r="N63" s="7">
        <f t="shared" si="30"/>
        <v>36.216666667023674</v>
      </c>
      <c r="O63" s="7"/>
      <c r="P63" s="7"/>
      <c r="Q63" s="22"/>
      <c r="R63" s="167"/>
      <c r="S63" s="210">
        <f t="shared" si="31"/>
        <v>1</v>
      </c>
      <c r="T63" s="192" t="str">
        <f t="shared" si="25"/>
        <v>Southbound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-05T09:22:10-0600',mode:absolute,to:'2017-09-05T12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194" t="str">
        <f>IF(AA63&lt;VLOOKUP(AG63,Variables!$AC$3:$AD$8,2,FALSE),"Y","N")</f>
        <v>N</v>
      </c>
      <c r="X63" s="194">
        <f t="shared" si="26"/>
        <v>1</v>
      </c>
      <c r="Y63" s="194">
        <f t="shared" si="36"/>
        <v>23.299800000000001</v>
      </c>
      <c r="Z63" s="194">
        <f t="shared" si="37"/>
        <v>1.49E-2</v>
      </c>
      <c r="AA63" s="194">
        <f t="shared" si="27"/>
        <v>23.2849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28"/>
        <v>150</v>
      </c>
      <c r="AE63" s="77" t="str">
        <f t="shared" si="11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63" s="74" t="str">
        <f t="shared" si="12"/>
        <v>"C:\Program Files (x86)\AstroGrep\AstroGrep.exe" /e /r /s /spath="%USERPROFILE%\AppData\Local\Temp\OnboardLogs" /stypes="app*4009*20170905*" /stext=" 17:.+((SYSTEM_STATE.+slice.+state.+changed )|(ment ac)|(multiple cpu faults)|(system.+state.+changed )|(\[timeout)|(PRM\|1\|D)|(kpr)|(kdp)|(train st.+moving)|(\|lc)|(penalty))"</v>
      </c>
      <c r="AG63" s="206" t="str">
        <f t="shared" si="29"/>
        <v>EC</v>
      </c>
      <c r="AH63" s="78" t="str">
        <f t="shared" si="18"/>
        <v>"%USERPROFILE%\Documents\GitHub\eaglep3\Utilities\RefineRTDCRunTimes.py" --tripid 150-05 --locoid 4009 --swversion DE.1.0.9.0 --startMP 204:232998 --initTime 2017-09-05T10:22:10 --startdatetime 2017-09-05T10:42:14 --delay 71 --endMP 204:149 --enddatetime 2017-09-05T11:18:27 --enforcementcount 0 &gt;&gt;C:\Users\stu\Documents\GitHub\eaglep3-reporting\EC\2017-09-05-refined-times.txt</v>
      </c>
      <c r="AI63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{"issue":{"subject":"","project_id":79,"tracker_id":40,"status_id":1,"priority_id":2,"assigned_to_id":338,"start_date":"2017-09-05","description":"","custom_fields":[{"id":1,"name":"Subdivision","value":"EC"},{"id":4,"name":"Milepost","value":"0.0149"},{"id":17,"name":"Train ID","value":"150-05"},{"id":16,"name":"Locomotive ID","value":"4009"},{"id":130,"name":"Impact","value":""},{"id":150,"name":"Time of Event (Mountain Time)","value":"11:18:27"},{"id":151,"name":"Denver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4009 --day 2017-09-05</v>
      </c>
      <c r="AN63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687</v>
      </c>
      <c r="B64" s="7">
        <v>4026</v>
      </c>
      <c r="C64" s="21" t="s">
        <v>197</v>
      </c>
      <c r="D64" s="21" t="s">
        <v>839</v>
      </c>
      <c r="E64" s="13">
        <v>42983.414490740739</v>
      </c>
      <c r="F64" s="13">
        <v>42983.416909722226</v>
      </c>
      <c r="G64" s="7">
        <v>68</v>
      </c>
      <c r="H64" s="21" t="s">
        <v>533</v>
      </c>
      <c r="I64" s="13">
        <v>42983.441759259258</v>
      </c>
      <c r="J64" s="7">
        <v>0</v>
      </c>
      <c r="K64" s="89" t="str">
        <f t="shared" si="23"/>
        <v>4025/4026</v>
      </c>
      <c r="L64" s="214" t="str">
        <f>VLOOKUP(A64,'Trips&amp;Operators'!$C$1:$G$99911,5,FALSE)</f>
        <v>LAMAR NEKESHA</v>
      </c>
      <c r="M64" s="6">
        <f t="shared" si="24"/>
        <v>2.4849537032423541E-2</v>
      </c>
      <c r="N64" s="7">
        <f t="shared" si="30"/>
        <v>35.783333326689899</v>
      </c>
      <c r="O64" s="7"/>
      <c r="P64" s="7"/>
      <c r="Q64" s="22"/>
      <c r="R64" s="167"/>
      <c r="S64" s="210">
        <f t="shared" si="31"/>
        <v>1</v>
      </c>
      <c r="T64" s="192" t="str">
        <f t="shared" si="25"/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-05T08:56:52-0600',mode:absolute,to:'2017-09-05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94" t="str">
        <f>IF(AA64&lt;VLOOKUP(AG64,Variables!$AC$3:$AD$8,2,FALSE),"Y","N")</f>
        <v>N</v>
      </c>
      <c r="X64" s="194">
        <f t="shared" si="26"/>
        <v>1</v>
      </c>
      <c r="Y64" s="194">
        <f t="shared" si="36"/>
        <v>4.3999999999999997E-2</v>
      </c>
      <c r="Z64" s="194">
        <f t="shared" si="37"/>
        <v>23.3308</v>
      </c>
      <c r="AA64" s="194">
        <f t="shared" si="27"/>
        <v>23.286799999999999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28"/>
        <v>151</v>
      </c>
      <c r="AE64" s="77" t="str">
        <f t="shared" si="11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64" s="74" t="str">
        <f t="shared" si="12"/>
        <v>"C:\Program Files (x86)\AstroGrep\AstroGrep.exe" /e /r /s /spath="%USERPROFILE%\AppData\Local\Temp\OnboardLogs" /stypes="app*4026*20170905*" /stext=" 16:.+((SYSTEM_STATE.+slice.+state.+changed )|(ment ac)|(multiple cpu faults)|(system.+state.+changed )|(\[timeout)|(PRM\|1\|D)|(kpr)|(kdp)|(train st.+moving)|(\|lc)|(penalty))"</v>
      </c>
      <c r="AG64" s="206" t="str">
        <f t="shared" si="29"/>
        <v>EC</v>
      </c>
      <c r="AH64" s="78" t="str">
        <f t="shared" si="18"/>
        <v>"%USERPROFILE%\Documents\GitHub\eaglep3\Utilities\RefineRTDCRunTimes.py" --tripid 151-05 --locoid 4026 --swversion DE.1.0.9.0 --startMP 204:440 --initTime 2017-09-05T09:56:52 --startdatetime 2017-09-05T10:00:21 --delay 68 --endMP 204:233308 --enddatetime 2017-09-05T10:36:08 --enforcementcount 0 &gt;&gt;C:\Users\stu\Documents\GitHub\eaglep3-reporting\EC\2017-09-05-refined-times.txt</v>
      </c>
      <c r="AI6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{"issue":{"subject":"","project_id":79,"tracker_id":40,"status_id":1,"priority_id":2,"assigned_to_id":338,"start_date":"2017-09-05","description":"","custom_fields":[{"id":1,"name":"Subdivision","value":"EC"},{"id":4,"name":"Milepost","value":"23.3308"},{"id":17,"name":"Train ID","value":"151-05"},{"id":16,"name":"Locomotive ID","value":"4026"},{"id":130,"name":"Impact","value":""},{"id":150,"name":"Time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4026 --day 2017-09-05</v>
      </c>
      <c r="AN6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697</v>
      </c>
      <c r="B65" s="7">
        <v>4025</v>
      </c>
      <c r="C65" s="21" t="s">
        <v>197</v>
      </c>
      <c r="D65" s="21" t="s">
        <v>485</v>
      </c>
      <c r="E65" s="13">
        <v>42983.45412037037</v>
      </c>
      <c r="F65" s="13">
        <v>42983.456423611111</v>
      </c>
      <c r="G65" s="7">
        <v>59</v>
      </c>
      <c r="H65" s="21" t="s">
        <v>442</v>
      </c>
      <c r="I65" s="13">
        <v>42983.48232638889</v>
      </c>
      <c r="J65" s="7">
        <v>0</v>
      </c>
      <c r="K65" s="89" t="str">
        <f t="shared" si="23"/>
        <v>4025/4026</v>
      </c>
      <c r="L65" s="214" t="str">
        <f>VLOOKUP(A65,'Trips&amp;Operators'!$C$1:$G$99911,5,FALSE)</f>
        <v>LAMAR NEKESHA</v>
      </c>
      <c r="M65" s="6">
        <f t="shared" si="24"/>
        <v>2.5902777779265307E-2</v>
      </c>
      <c r="N65" s="7">
        <f t="shared" si="30"/>
        <v>37.300000002142042</v>
      </c>
      <c r="O65" s="7"/>
      <c r="P65" s="7"/>
      <c r="Q65" s="22"/>
      <c r="R65" s="167"/>
      <c r="S65" s="210">
        <f t="shared" si="31"/>
        <v>1</v>
      </c>
      <c r="T65" s="192" t="str">
        <f t="shared" si="25"/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-05T09:53:56-0600',mode:absolute,to:'2017-09-05T12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194" t="str">
        <f>IF(AA65&lt;VLOOKUP(AG65,Variables!$AC$3:$AD$8,2,FALSE),"Y","N")</f>
        <v>N</v>
      </c>
      <c r="X65" s="194">
        <f t="shared" si="26"/>
        <v>1</v>
      </c>
      <c r="Y65" s="194">
        <f t="shared" si="36"/>
        <v>23.297899999999998</v>
      </c>
      <c r="Z65" s="194">
        <f t="shared" si="37"/>
        <v>1.6E-2</v>
      </c>
      <c r="AA65" s="194">
        <f t="shared" si="27"/>
        <v>23.2819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28"/>
        <v>152</v>
      </c>
      <c r="AE65" s="77" t="str">
        <f t="shared" si="11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65" s="74" t="str">
        <f t="shared" si="12"/>
        <v>"C:\Program Files (x86)\AstroGrep\AstroGrep.exe" /e /r /s /spath="%USERPROFILE%\AppData\Local\Temp\OnboardLogs" /stypes="app*4025*20170905*" /stext=" 17:.+((SYSTEM_STATE.+slice.+state.+changed )|(ment ac)|(multiple cpu faults)|(system.+state.+changed )|(\[timeout)|(PRM\|1\|D)|(kpr)|(kdp)|(train st.+moving)|(\|lc)|(penalty))"</v>
      </c>
      <c r="AG65" s="206" t="str">
        <f t="shared" si="29"/>
        <v>EC</v>
      </c>
      <c r="AH65" s="78" t="str">
        <f t="shared" si="18"/>
        <v>"%USERPROFILE%\Documents\GitHub\eaglep3\Utilities\RefineRTDCRunTimes.py" --tripid 152-05 --locoid 4025 --swversion DE.1.0.9.0 --startMP 204:232979 --initTime 2017-09-05T10:53:56 --startdatetime 2017-09-05T10:57:15 --delay 59 --endMP 204:160 --enddatetime 2017-09-05T11:34:33 --enforcementcount 0 &gt;&gt;C:\Users\stu\Documents\GitHub\eaglep3-reporting\EC\2017-09-05-refined-times.txt</v>
      </c>
      <c r="AI6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{"issue":{"subject":"","project_id":79,"tracker_id":40,"status_id":1,"priority_id":2,"assigned_to_id":338,"start_date":"2017-09-05","description":"","custom_fields":[{"id":1,"name":"Subdivision","value":"EC"},{"id":4,"name":"Milepost","value":"0.016"},{"id":17,"name":"Train ID","value":"152-05"},{"id":16,"name":"Locomotive ID","value":"4025"},{"id":130,"name":"Impact","value":""},{"id":150,"name":"Time of Event (Mountain Time)","value":"11:34:33"},{"id":151,"name":"Denver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4025 --day 2017-09-05</v>
      </c>
      <c r="AN6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4066</v>
      </c>
      <c r="C66" s="21" t="s">
        <v>197</v>
      </c>
      <c r="D66" s="21" t="s">
        <v>377</v>
      </c>
      <c r="E66" s="13">
        <v>42983.423993055556</v>
      </c>
      <c r="F66" s="13">
        <v>42983.427303240744</v>
      </c>
      <c r="G66" s="7">
        <v>86</v>
      </c>
      <c r="H66" s="21" t="s">
        <v>858</v>
      </c>
      <c r="I66" s="13">
        <v>42983.4528125</v>
      </c>
      <c r="J66" s="7">
        <v>0</v>
      </c>
      <c r="K66" s="89" t="str">
        <f t="shared" si="23"/>
        <v>4065/4066</v>
      </c>
      <c r="L66" s="214" t="str">
        <f>VLOOKUP(A66,'Trips&amp;Operators'!$C$1:$G$99911,5,FALSE)</f>
        <v>BARRON PERLA</v>
      </c>
      <c r="M66" s="6">
        <f t="shared" si="24"/>
        <v>2.5509259256068617E-2</v>
      </c>
      <c r="N66" s="7">
        <f t="shared" si="30"/>
        <v>36.733333328738809</v>
      </c>
      <c r="O66" s="7"/>
      <c r="P66" s="7"/>
      <c r="Q66" s="22"/>
      <c r="R66" s="167"/>
      <c r="S66" s="210">
        <f t="shared" si="31"/>
        <v>1</v>
      </c>
      <c r="T66" s="192" t="str">
        <f t="shared" si="25"/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-05T09:10:33-0600',mode:absolute,to:'2017-09-05T11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6" s="194" t="str">
        <f>IF(AA66&lt;VLOOKUP(AG66,Variables!$AC$3:$AD$8,2,FALSE),"Y","N")</f>
        <v>N</v>
      </c>
      <c r="X66" s="194">
        <f t="shared" si="26"/>
        <v>1</v>
      </c>
      <c r="Y66" s="194">
        <f t="shared" si="36"/>
        <v>4.7100000000000003E-2</v>
      </c>
      <c r="Z66" s="194">
        <f t="shared" si="37"/>
        <v>23.328199999999999</v>
      </c>
      <c r="AA66" s="194">
        <f t="shared" si="27"/>
        <v>23.281099999999999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28"/>
        <v>153</v>
      </c>
      <c r="AE66" s="77" t="str">
        <f t="shared" si="11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66" s="74" t="str">
        <f t="shared" si="12"/>
        <v>"C:\Program Files (x86)\AstroGrep\AstroGrep.exe" /e /r /s /spath="%USERPROFILE%\AppData\Local\Temp\OnboardLogs" /stypes="app*4066*20170905*" /stext=" 16:.+((SYSTEM_STATE.+slice.+state.+changed )|(ment ac)|(multiple cpu faults)|(system.+state.+changed )|(\[timeout)|(PRM\|1\|D)|(kpr)|(kdp)|(train st.+moving)|(\|lc)|(penalty))"</v>
      </c>
      <c r="AG66" s="206" t="str">
        <f t="shared" si="29"/>
        <v>EC</v>
      </c>
      <c r="AH66" s="78" t="str">
        <f t="shared" si="18"/>
        <v>"%USERPROFILE%\Documents\GitHub\eaglep3\Utilities\RefineRTDCRunTimes.py" --tripid 153-05 --locoid 4066 --swversion DE.1.0.9.0 --startMP 204:471 --initTime 2017-09-05T10:10:33 --startdatetime 2017-09-05T10:15:19 --delay 86 --endMP 204:233282 --enddatetime 2017-09-05T10:52:03 --enforcementcount 0 &gt;&gt;C:\Users\stu\Documents\GitHub\eaglep3-reporting\EC\2017-09-05-refined-times.txt</v>
      </c>
      <c r="AI6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{"issue":{"subject":"","project_id":79,"tracker_id":40,"status_id":1,"priority_id":2,"assigned_to_id":338,"start_date":"2017-09-05","description":"","custom_fields":[{"id":1,"name":"Subdivision","value":"EC"},{"id":4,"name":"Milepost","value":"23.3282"},{"id":17,"name":"Train ID","value":"153-05"},{"id":16,"name":"Locomotive ID","value":"4066"},{"id":130,"name":"Impact","value":""},{"id":150,"name":"Time of Event (Mountain Time)","value":"10:52:03"},{"id":151,"name":"Denver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4066 --day 2017-09-05</v>
      </c>
      <c r="AN6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700</v>
      </c>
      <c r="B67" s="7">
        <v>4065</v>
      </c>
      <c r="C67" s="21" t="s">
        <v>197</v>
      </c>
      <c r="D67" s="21" t="s">
        <v>390</v>
      </c>
      <c r="E67" s="13">
        <v>42983.462025462963</v>
      </c>
      <c r="F67" s="13">
        <v>42983.467129629629</v>
      </c>
      <c r="G67" s="7">
        <v>157</v>
      </c>
      <c r="H67" s="21" t="s">
        <v>542</v>
      </c>
      <c r="I67" s="13">
        <v>42983.494884259257</v>
      </c>
      <c r="J67" s="7">
        <v>0</v>
      </c>
      <c r="K67" s="89" t="str">
        <f t="shared" si="23"/>
        <v>4065/4066</v>
      </c>
      <c r="L67" s="214" t="str">
        <f>VLOOKUP(A67,'Trips&amp;Operators'!$C$1:$G$99911,5,FALSE)</f>
        <v>BARRON PERLA</v>
      </c>
      <c r="M67" s="6">
        <f t="shared" si="24"/>
        <v>2.7754629627452232E-2</v>
      </c>
      <c r="N67" s="7">
        <f t="shared" si="30"/>
        <v>39.966666663531214</v>
      </c>
      <c r="O67" s="7"/>
      <c r="P67" s="7"/>
      <c r="Q67" s="22"/>
      <c r="R67" s="167"/>
      <c r="S67" s="210">
        <f t="shared" si="31"/>
        <v>1</v>
      </c>
      <c r="T67" s="192" t="str">
        <f t="shared" si="25"/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-05T10:05:19-0600',mode:absolute,to:'2017-09-05T12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7" s="194" t="str">
        <f>IF(AA67&lt;VLOOKUP(AG67,Variables!$AC$3:$AD$8,2,FALSE),"Y","N")</f>
        <v>N</v>
      </c>
      <c r="X67" s="194">
        <f t="shared" si="26"/>
        <v>1</v>
      </c>
      <c r="Y67" s="194">
        <f t="shared" si="36"/>
        <v>23.297999999999998</v>
      </c>
      <c r="Z67" s="194">
        <f t="shared" si="37"/>
        <v>1.6500000000000001E-2</v>
      </c>
      <c r="AA67" s="194">
        <f t="shared" si="27"/>
        <v>23.281499999999998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28"/>
        <v>154</v>
      </c>
      <c r="AE67" s="77" t="str">
        <f t="shared" si="11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67" s="74" t="str">
        <f t="shared" si="12"/>
        <v>"C:\Program Files (x86)\AstroGrep\AstroGrep.exe" /e /r /s /spath="%USERPROFILE%\AppData\Local\Temp\OnboardLogs" /stypes="app*4065*20170905*" /stext=" 17:.+((SYSTEM_STATE.+slice.+state.+changed )|(ment ac)|(multiple cpu faults)|(system.+state.+changed )|(\[timeout)|(PRM\|1\|D)|(kpr)|(kdp)|(train st.+moving)|(\|lc)|(penalty))"</v>
      </c>
      <c r="AG67" s="206" t="str">
        <f t="shared" si="29"/>
        <v>EC</v>
      </c>
      <c r="AH67" s="78" t="str">
        <f t="shared" si="18"/>
        <v>"%USERPROFILE%\Documents\GitHub\eaglep3\Utilities\RefineRTDCRunTimes.py" --tripid 154-05 --locoid 4065 --swversion DE.1.0.9.0 --startMP 204:232980 --initTime 2017-09-05T11:05:19 --startdatetime 2017-09-05T11:12:40 --delay 157 --endMP 204:165 --enddatetime 2017-09-05T11:52:38 --enforcementcount 0 &gt;&gt;C:\Users\stu\Documents\GitHub\eaglep3-reporting\EC\2017-09-05-refined-times.txt</v>
      </c>
      <c r="AI6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{"issue":{"subject":"","project_id":79,"tracker_id":40,"status_id":1,"priority_id":2,"assigned_to_id":338,"start_date":"2017-09-05","description":"","custom_fields":[{"id":1,"name":"Subdivision","value":"EC"},{"id":4,"name":"Milepost","value":"0.0165"},{"id":17,"name":"Train ID","value":"154-05"},{"id":16,"name":"Locomotive ID","value":"4065"},{"id":130,"name":"Impact","value":""},{"id":150,"name":"Time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4065 --day 2017-09-05</v>
      </c>
      <c r="AN6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691</v>
      </c>
      <c r="B68" s="7">
        <v>4024</v>
      </c>
      <c r="C68" s="21" t="s">
        <v>197</v>
      </c>
      <c r="D68" s="21" t="s">
        <v>341</v>
      </c>
      <c r="E68" s="13">
        <v>42983.433055555557</v>
      </c>
      <c r="F68" s="13">
        <v>42983.437685185185</v>
      </c>
      <c r="G68" s="7">
        <v>60</v>
      </c>
      <c r="H68" s="21" t="s">
        <v>855</v>
      </c>
      <c r="I68" s="13">
        <v>42983.462673611109</v>
      </c>
      <c r="J68" s="7">
        <v>0</v>
      </c>
      <c r="K68" s="89" t="str">
        <f t="shared" si="23"/>
        <v>4023/4024</v>
      </c>
      <c r="L68" s="214" t="str">
        <f>VLOOKUP(A68,'Trips&amp;Operators'!$C$1:$G$99911,5,FALSE)</f>
        <v>GUNTHIER ERIC</v>
      </c>
      <c r="M68" s="6">
        <f t="shared" si="24"/>
        <v>2.4988425924675539E-2</v>
      </c>
      <c r="N68" s="7">
        <f t="shared" si="30"/>
        <v>35.983333331532776</v>
      </c>
      <c r="O68" s="7"/>
      <c r="P68" s="7"/>
      <c r="Q68" s="22"/>
      <c r="R68" s="167"/>
      <c r="S68" s="210">
        <f t="shared" si="31"/>
        <v>1</v>
      </c>
      <c r="T68" s="192" t="str">
        <f t="shared" si="25"/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-05T09:23:36-0600',mode:absolute,to:'2017-09-05T12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94" t="str">
        <f>IF(AA68&lt;VLOOKUP(AG68,Variables!$AC$3:$AD$8,2,FALSE),"Y","N")</f>
        <v>N</v>
      </c>
      <c r="X68" s="194">
        <f t="shared" si="26"/>
        <v>1</v>
      </c>
      <c r="Y68" s="194">
        <f t="shared" si="36"/>
        <v>4.5100000000000001E-2</v>
      </c>
      <c r="Z68" s="194">
        <f t="shared" si="37"/>
        <v>23.330400000000001</v>
      </c>
      <c r="AA68" s="194">
        <f t="shared" si="27"/>
        <v>23.285299999999999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28"/>
        <v>155</v>
      </c>
      <c r="AE68" s="77" t="str">
        <f t="shared" si="11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68" s="74" t="str">
        <f t="shared" si="12"/>
        <v>"C:\Program Files (x86)\AstroGrep\AstroGrep.exe" /e /r /s /spath="%USERPROFILE%\AppData\Local\Temp\OnboardLogs" /stypes="app*4024*20170905*" /stext=" 17:.+((SYSTEM_STATE.+slice.+state.+changed )|(ment ac)|(multiple cpu faults)|(system.+state.+changed )|(\[timeout)|(PRM\|1\|D)|(kpr)|(kdp)|(train st.+moving)|(\|lc)|(penalty))"</v>
      </c>
      <c r="AG68" s="206" t="str">
        <f t="shared" si="29"/>
        <v>EC</v>
      </c>
      <c r="AH68" s="78" t="str">
        <f t="shared" si="18"/>
        <v>"%USERPROFILE%\Documents\GitHub\eaglep3\Utilities\RefineRTDCRunTimes.py" --tripid 155-05 --locoid 4024 --swversion DE.1.0.9.0 --startMP 204:451 --initTime 2017-09-05T10:23:36 --startdatetime 2017-09-05T10:30:16 --delay 60 --endMP 204:233304 --enddatetime 2017-09-05T11:06:15 --enforcementcount 0 &gt;&gt;C:\Users\stu\Documents\GitHub\eaglep3-reporting\EC\2017-09-05-refined-times.txt</v>
      </c>
      <c r="AI6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{"issue":{"subject":"","project_id":79,"tracker_id":40,"status_id":1,"priority_id":2,"assigned_to_id":338,"start_date":"2017-09-05","description":"","custom_fields":[{"id":1,"name":"Subdivision","value":"EC"},{"id":4,"name":"Milepost","value":"23.3304"},{"id":17,"name":"Train ID","value":"155-05"},{"id":16,"name":"Locomotive ID","value":"4024"},{"id":130,"name":"Impact","value":""},{"id":150,"name":"Time of Event (Mountain Time)","value":"11:06:15"},{"id":151,"name":"Denver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4024 --day 2017-09-05</v>
      </c>
      <c r="AN6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704</v>
      </c>
      <c r="B69" s="7">
        <v>4023</v>
      </c>
      <c r="C69" s="21" t="s">
        <v>197</v>
      </c>
      <c r="D69" s="21" t="s">
        <v>482</v>
      </c>
      <c r="E69" s="13">
        <v>42983.466574074075</v>
      </c>
      <c r="F69" s="13">
        <v>42983.47729166667</v>
      </c>
      <c r="G69" s="7">
        <v>70</v>
      </c>
      <c r="H69" s="21" t="s">
        <v>340</v>
      </c>
      <c r="I69" s="13">
        <v>42983.504212962966</v>
      </c>
      <c r="J69" s="7">
        <v>0</v>
      </c>
      <c r="K69" s="89" t="str">
        <f t="shared" si="23"/>
        <v>4023/4024</v>
      </c>
      <c r="L69" s="214" t="str">
        <f>VLOOKUP(A69,'Trips&amp;Operators'!$C$1:$G$99911,5,FALSE)</f>
        <v>GUNTHIER ERIC</v>
      </c>
      <c r="M69" s="6">
        <f t="shared" si="24"/>
        <v>2.6921296295768116E-2</v>
      </c>
      <c r="N69" s="7">
        <f t="shared" si="30"/>
        <v>38.766666665906087</v>
      </c>
      <c r="O69" s="7"/>
      <c r="P69" s="7"/>
      <c r="Q69" s="22"/>
      <c r="R69" s="167"/>
      <c r="S69" s="210">
        <f t="shared" si="31"/>
        <v>1</v>
      </c>
      <c r="T69" s="192" t="str">
        <f t="shared" si="25"/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-05T10:11:52-0600',mode:absolute,to:'2017-09-05T13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94" t="str">
        <f>IF(AA69&lt;VLOOKUP(AG69,Variables!$AC$3:$AD$8,2,FALSE),"Y","N")</f>
        <v>N</v>
      </c>
      <c r="X69" s="194">
        <f t="shared" si="26"/>
        <v>1</v>
      </c>
      <c r="Y69" s="194">
        <f t="shared" si="36"/>
        <v>23.299399999999999</v>
      </c>
      <c r="Z69" s="194">
        <f t="shared" si="37"/>
        <v>1.43E-2</v>
      </c>
      <c r="AA69" s="194">
        <f t="shared" si="27"/>
        <v>23.2851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28"/>
        <v>156</v>
      </c>
      <c r="AE69" s="77" t="str">
        <f t="shared" si="11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69" s="74" t="str">
        <f t="shared" si="12"/>
        <v>"C:\Program Files (x86)\AstroGrep\AstroGrep.exe" /e /r /s /spath="%USERPROFILE%\AppData\Local\Temp\OnboardLogs" /stypes="app*4023*20170905*" /stext=" 18:.+((SYSTEM_STATE.+slice.+state.+changed )|(ment ac)|(multiple cpu faults)|(system.+state.+changed )|(\[timeout)|(PRM\|1\|D)|(kpr)|(kdp)|(train st.+moving)|(\|lc)|(penalty))"</v>
      </c>
      <c r="AG69" s="206" t="str">
        <f t="shared" si="29"/>
        <v>EC</v>
      </c>
      <c r="AH69" s="78" t="str">
        <f t="shared" si="18"/>
        <v>"%USERPROFILE%\Documents\GitHub\eaglep3\Utilities\RefineRTDCRunTimes.py" --tripid 156-05 --locoid 4023 --swversion DE.1.0.9.0 --startMP 204:232994 --initTime 2017-09-05T11:11:52 --startdatetime 2017-09-05T11:27:18 --delay 70 --endMP 204:143 --enddatetime 2017-09-05T12:06:04 --enforcementcount 0 &gt;&gt;C:\Users\stu\Documents\GitHub\eaglep3-reporting\EC\2017-09-05-refined-times.txt</v>
      </c>
      <c r="AI69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{"issue":{"subject":"","project_id":79,"tracker_id":40,"status_id":1,"priority_id":2,"assigned_to_id":338,"start_date":"2017-09-05","description":"","custom_fields":[{"id":1,"name":"Subdivision","value":"EC"},{"id":4,"name":"Milepost","value":"0.0143"},{"id":17,"name":"Train ID","value":"156-05"},{"id":16,"name":"Locomotive ID","value":"4023"},{"id":130,"name":"Impact","value":""},{"id":150,"name":"Time of Event (Mountain Time)","value":"12:06:04"},{"id":151,"name":"Denver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4023 --day 2017-09-05</v>
      </c>
      <c r="AN69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696</v>
      </c>
      <c r="B70" s="7">
        <v>4040</v>
      </c>
      <c r="C70" s="21" t="s">
        <v>197</v>
      </c>
      <c r="D70" s="21" t="s">
        <v>366</v>
      </c>
      <c r="E70" s="13">
        <v>42983.444826388892</v>
      </c>
      <c r="F70" s="13">
        <v>42983.448252314818</v>
      </c>
      <c r="G70" s="7">
        <v>146</v>
      </c>
      <c r="H70" s="21" t="s">
        <v>544</v>
      </c>
      <c r="I70" s="13">
        <v>42983.473368055558</v>
      </c>
      <c r="J70" s="7">
        <v>0</v>
      </c>
      <c r="K70" s="89" t="str">
        <f t="shared" si="23"/>
        <v>4039/4040</v>
      </c>
      <c r="L70" s="214" t="str">
        <f>VLOOKUP(A70,'Trips&amp;Operators'!$C$1:$G$99911,5,FALSE)</f>
        <v>DAVIS MICHAEL</v>
      </c>
      <c r="M70" s="6">
        <f t="shared" si="24"/>
        <v>2.5115740740147885E-2</v>
      </c>
      <c r="N70" s="7">
        <f t="shared" si="30"/>
        <v>36.166666665812954</v>
      </c>
      <c r="O70" s="7"/>
      <c r="P70" s="7"/>
      <c r="Q70" s="22"/>
      <c r="R70" s="167"/>
      <c r="S70" s="210">
        <f t="shared" si="31"/>
        <v>1</v>
      </c>
      <c r="T70" s="192" t="str">
        <f t="shared" si="25"/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-05T09:40:33-0600',mode:absolute,to:'2017-09-05T12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94" t="str">
        <f>IF(AA70&lt;VLOOKUP(AG70,Variables!$AC$3:$AD$8,2,FALSE),"Y","N")</f>
        <v>N</v>
      </c>
      <c r="X70" s="194">
        <f t="shared" si="26"/>
        <v>1</v>
      </c>
      <c r="Y70" s="194">
        <f t="shared" si="36"/>
        <v>4.5699999999999998E-2</v>
      </c>
      <c r="Z70" s="194">
        <f t="shared" si="37"/>
        <v>23.334099999999999</v>
      </c>
      <c r="AA70" s="194">
        <f t="shared" si="27"/>
        <v>23.288399999999999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28"/>
        <v>157</v>
      </c>
      <c r="AE70" s="77" t="str">
        <f t="shared" si="11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70" s="74" t="str">
        <f t="shared" si="12"/>
        <v>"C:\Program Files (x86)\AstroGrep\AstroGrep.exe" /e /r /s /spath="%USERPROFILE%\AppData\Local\Temp\OnboardLogs" /stypes="app*4040*20170905*" /stext=" 17:.+((SYSTEM_STATE.+slice.+state.+changed )|(ment ac)|(multiple cpu faults)|(system.+state.+changed )|(\[timeout)|(PRM\|1\|D)|(kpr)|(kdp)|(train st.+moving)|(\|lc)|(penalty))"</v>
      </c>
      <c r="AG70" s="206" t="str">
        <f t="shared" si="29"/>
        <v>EC</v>
      </c>
      <c r="AH70" s="78" t="str">
        <f t="shared" si="18"/>
        <v>"%USERPROFILE%\Documents\GitHub\eaglep3\Utilities\RefineRTDCRunTimes.py" --tripid 157-05 --locoid 4040 --swversion DE.1.0.9.0 --startMP 204:457 --initTime 2017-09-05T10:40:33 --startdatetime 2017-09-05T10:45:29 --delay 146 --endMP 204:233341 --enddatetime 2017-09-05T11:21:39 --enforcementcount 0 &gt;&gt;C:\Users\stu\Documents\GitHub\eaglep3-reporting\EC\2017-09-05-refined-times.txt</v>
      </c>
      <c r="AI70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{"issue":{"subject":"","project_id":79,"tracker_id":40,"status_id":1,"priority_id":2,"assigned_to_id":338,"start_date":"2017-09-05","description":"","custom_fields":[{"id":1,"name":"Subdivision","value":"EC"},{"id":4,"name":"Milepost","value":"23.3341"},{"id":17,"name":"Train ID","value":"157-05"},{"id":16,"name":"Locomotive ID","value":"4040"},{"id":130,"name":"Impact","value":""},{"id":150,"name":"Time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4040 --day 2017-09-05</v>
      </c>
      <c r="AN70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4039</v>
      </c>
      <c r="C71" s="21" t="s">
        <v>197</v>
      </c>
      <c r="D71" s="21" t="s">
        <v>535</v>
      </c>
      <c r="E71" s="13">
        <v>42983.48541666667</v>
      </c>
      <c r="F71" s="13">
        <v>42983.487835648149</v>
      </c>
      <c r="G71" s="7">
        <v>102</v>
      </c>
      <c r="H71" s="21" t="s">
        <v>549</v>
      </c>
      <c r="I71" s="13">
        <v>42983.515636574077</v>
      </c>
      <c r="J71" s="7">
        <v>0</v>
      </c>
      <c r="K71" s="89" t="str">
        <f t="shared" si="23"/>
        <v>4039/4040</v>
      </c>
      <c r="L71" s="214" t="str">
        <f>VLOOKUP(A71,'Trips&amp;Operators'!$C$1:$G$99911,5,FALSE)</f>
        <v>DAVIS MICHAEL</v>
      </c>
      <c r="M71" s="6">
        <f t="shared" si="24"/>
        <v>2.7800925927294884E-2</v>
      </c>
      <c r="N71" s="7">
        <f t="shared" si="30"/>
        <v>40.033333335304633</v>
      </c>
      <c r="O71" s="7"/>
      <c r="P71" s="7"/>
      <c r="Q71" s="22"/>
      <c r="R71" s="167" t="s">
        <v>1003</v>
      </c>
      <c r="S71" s="210">
        <f t="shared" si="31"/>
        <v>1</v>
      </c>
      <c r="T71" s="192" t="str">
        <f t="shared" si="25"/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-05T10:39:00-0600',mode:absolute,to:'2017-09-05T13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94" t="str">
        <f>IF(AA71&lt;VLOOKUP(AG71,Variables!$AC$3:$AD$8,2,FALSE),"Y","N")</f>
        <v>N</v>
      </c>
      <c r="X71" s="194">
        <f t="shared" si="26"/>
        <v>1</v>
      </c>
      <c r="Y71" s="194">
        <f t="shared" si="36"/>
        <v>23.3001</v>
      </c>
      <c r="Z71" s="194">
        <f t="shared" si="37"/>
        <v>1.34E-2</v>
      </c>
      <c r="AA71" s="194">
        <f t="shared" si="27"/>
        <v>23.2867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28"/>
        <v>158</v>
      </c>
      <c r="AE71" s="77" t="str">
        <f t="shared" si="11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71" s="74" t="str">
        <f t="shared" si="12"/>
        <v>"C:\Program Files (x86)\AstroGrep\AstroGrep.exe" /e /r /s /spath="%USERPROFILE%\AppData\Local\Temp\OnboardLogs" /stypes="app*4039*20170905*" /stext=" 18:.+((SYSTEM_STATE.+slice.+state.+changed )|(ment ac)|(multiple cpu faults)|(system.+state.+changed )|(\[timeout)|(PRM\|1\|D)|(kpr)|(kdp)|(train st.+moving)|(\|lc)|(penalty))"</v>
      </c>
      <c r="AG71" s="206" t="str">
        <f t="shared" si="29"/>
        <v>EC</v>
      </c>
      <c r="AH71" s="78" t="str">
        <f t="shared" si="18"/>
        <v>"%USERPROFILE%\Documents\GitHub\eaglep3\Utilities\RefineRTDCRunTimes.py" --tripid 158-05 --locoid 4039 --swversion DE.1.0.9.0 --startMP 204:233001 --initTime 2017-09-05T11:39:00 --startdatetime 2017-09-05T11:42:29 --delay 102 --endMP 204:134 --enddatetime 2017-09-05T12:22:31 --enforcementcount 0 &gt;&gt;C:\Users\stu\Documents\GitHub\eaglep3-reporting\EC\2017-09-05-refined-times.txt</v>
      </c>
      <c r="AI71" s="96" t="str">
        <f t="shared" si="19"/>
        <v>echo {"issue":{"subject":"Unhealthy @ Chambers due to train stop","project_id":79,"tracker_id":40,"status_id":1,"priority_id":2,"assigned_to_id":338,"start_date":"2017-09-05","description":"","custom_fields":[{"id":1,"name":"Subdivision","value":"EC"},{"id":4,"name":"Milepost","value":"0.0134"},{"id":17,"name":"Train ID","value":"158-05"},{"id":16,"name":"Locomotive ID","value":"4039"},{"id":130,"name":"Impact","value":""},{"id":150,"name":"Time of Event (Mountain Time)","value":"12:22:31"},{"id":151,"name":"Denver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4039 --day 2017-09-05</v>
      </c>
      <c r="AN71" s="151" t="str">
        <f t="shared" si="21"/>
        <v>echo {"issue":{"subject":"Unhealthy @ Chambers due to train stop","project_id":30,"tracker_id":4,"status_id":1,"priority_id":1,"assigned_to_id":10,"start_date":"2017-09-05","description":"","custom_fields":[{"id":30,"name":"Category","value":"Issue"},{"id":3,"name":"Functional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4044</v>
      </c>
      <c r="C72" s="21" t="s">
        <v>197</v>
      </c>
      <c r="D72" s="21" t="s">
        <v>376</v>
      </c>
      <c r="E72" s="13">
        <v>42983.45621527778</v>
      </c>
      <c r="F72" s="13">
        <v>42983.458668981482</v>
      </c>
      <c r="G72" s="7">
        <v>52</v>
      </c>
      <c r="H72" s="21" t="s">
        <v>859</v>
      </c>
      <c r="I72" s="13">
        <v>42983.483449074076</v>
      </c>
      <c r="J72" s="7">
        <v>0</v>
      </c>
      <c r="K72" s="89" t="str">
        <f t="shared" si="23"/>
        <v>4043/4044</v>
      </c>
      <c r="L72" s="214" t="str">
        <f>VLOOKUP(A72,'Trips&amp;Operators'!$C$1:$G$99911,5,FALSE)</f>
        <v>MACDONALD THOMAS</v>
      </c>
      <c r="M72" s="6">
        <f t="shared" si="24"/>
        <v>2.4780092593573499E-2</v>
      </c>
      <c r="N72" s="7">
        <f t="shared" si="30"/>
        <v>35.683333334745839</v>
      </c>
      <c r="O72" s="7"/>
      <c r="P72" s="7"/>
      <c r="Q72" s="22"/>
      <c r="R72" s="167"/>
      <c r="S72" s="210">
        <f t="shared" si="31"/>
        <v>1</v>
      </c>
      <c r="T72" s="192" t="str">
        <f t="shared" si="25"/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-05T09:56:57-0600',mode:absolute,to:'2017-09-05T12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194" t="str">
        <f>IF(AA72&lt;VLOOKUP(AG72,Variables!$AC$3:$AD$8,2,FALSE),"Y","N")</f>
        <v>N</v>
      </c>
      <c r="X72" s="194">
        <f t="shared" si="26"/>
        <v>1</v>
      </c>
      <c r="Y72" s="194">
        <f t="shared" si="36"/>
        <v>4.4400000000000002E-2</v>
      </c>
      <c r="Z72" s="194">
        <f t="shared" si="37"/>
        <v>23.326799999999999</v>
      </c>
      <c r="AA72" s="194">
        <f t="shared" si="27"/>
        <v>23.282399999999999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28"/>
        <v>159</v>
      </c>
      <c r="AE72" s="77" t="str">
        <f t="shared" si="11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72" s="74" t="str">
        <f t="shared" si="12"/>
        <v>"C:\Program Files (x86)\AstroGrep\AstroGrep.exe" /e /r /s /spath="%USERPROFILE%\AppData\Local\Temp\OnboardLogs" /stypes="app*4044*20170905*" /stext=" 17:.+((SYSTEM_STATE.+slice.+state.+changed )|(ment ac)|(multiple cpu faults)|(system.+state.+changed )|(\[timeout)|(PRM\|1\|D)|(kpr)|(kdp)|(train st.+moving)|(\|lc)|(penalty))"</v>
      </c>
      <c r="AG72" s="206" t="str">
        <f t="shared" si="29"/>
        <v>EC</v>
      </c>
      <c r="AH72" s="78" t="str">
        <f t="shared" si="18"/>
        <v>"%USERPROFILE%\Documents\GitHub\eaglep3\Utilities\RefineRTDCRunTimes.py" --tripid 159-05 --locoid 4044 --swversion DE.1.0.9.0 --startMP 204:444 --initTime 2017-09-05T10:56:57 --startdatetime 2017-09-05T11:00:29 --delay 52 --endMP 204:233268 --enddatetime 2017-09-05T11:36:10 --enforcementcount 0 &gt;&gt;C:\Users\stu\Documents\GitHub\eaglep3-reporting\EC\2017-09-05-refined-times.txt</v>
      </c>
      <c r="AI72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{"issue":{"subject":"","project_id":79,"tracker_id":40,"status_id":1,"priority_id":2,"assigned_to_id":338,"start_date":"2017-09-05","description":"","custom_fields":[{"id":1,"name":"Subdivision","value":"EC"},{"id":4,"name":"Milepost","value":"23.3268"},{"id":17,"name":"Train ID","value":"159-05"},{"id":16,"name":"Locomotive ID","value":"4044"},{"id":130,"name":"Impact","value":""},{"id":150,"name":"Time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4044 --day 2017-09-05</v>
      </c>
      <c r="AN72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708</v>
      </c>
      <c r="B73" s="7">
        <v>4043</v>
      </c>
      <c r="C73" s="21" t="s">
        <v>197</v>
      </c>
      <c r="D73" s="21" t="s">
        <v>860</v>
      </c>
      <c r="E73" s="13">
        <v>42983.495370370372</v>
      </c>
      <c r="F73" s="13">
        <v>42983.498298611114</v>
      </c>
      <c r="G73" s="7">
        <v>55</v>
      </c>
      <c r="H73" s="21" t="s">
        <v>347</v>
      </c>
      <c r="I73" s="13">
        <v>42983.525763888887</v>
      </c>
      <c r="J73" s="7">
        <v>0</v>
      </c>
      <c r="K73" s="89" t="str">
        <f t="shared" si="23"/>
        <v>4043/4044</v>
      </c>
      <c r="L73" s="214" t="str">
        <f>VLOOKUP(A73,'Trips&amp;Operators'!$C$1:$G$99911,5,FALSE)</f>
        <v>MACDONALD THOMAS</v>
      </c>
      <c r="M73" s="6">
        <f t="shared" si="24"/>
        <v>2.7465277773444541E-2</v>
      </c>
      <c r="N73" s="7">
        <f t="shared" si="30"/>
        <v>39.549999993760139</v>
      </c>
      <c r="O73" s="7"/>
      <c r="P73" s="7"/>
      <c r="Q73" s="22"/>
      <c r="R73" s="167"/>
      <c r="S73" s="210">
        <f t="shared" si="31"/>
        <v>1</v>
      </c>
      <c r="T73" s="192" t="str">
        <f t="shared" si="25"/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-05T10:53:20-0600',mode:absolute,to:'2017-09-05T13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194" t="str">
        <f>IF(AA73&lt;VLOOKUP(AG73,Variables!$AC$3:$AD$8,2,FALSE),"Y","N")</f>
        <v>N</v>
      </c>
      <c r="X73" s="194">
        <f t="shared" si="26"/>
        <v>1</v>
      </c>
      <c r="Y73" s="194">
        <f t="shared" si="36"/>
        <v>23.296600000000002</v>
      </c>
      <c r="Z73" s="194">
        <f t="shared" si="37"/>
        <v>1.54E-2</v>
      </c>
      <c r="AA73" s="194">
        <f t="shared" si="27"/>
        <v>23.281200000000002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28"/>
        <v>160</v>
      </c>
      <c r="AE73" s="77" t="str">
        <f t="shared" si="11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73" s="74" t="str">
        <f t="shared" si="12"/>
        <v>"C:\Program Files (x86)\AstroGrep\AstroGrep.exe" /e /r /s /spath="%USERPROFILE%\AppData\Local\Temp\OnboardLogs" /stypes="app*4043*20170905*" /stext=" 18:.+((SYSTEM_STATE.+slice.+state.+changed )|(ment ac)|(multiple cpu faults)|(system.+state.+changed )|(\[timeout)|(PRM\|1\|D)|(kpr)|(kdp)|(train st.+moving)|(\|lc)|(penalty))"</v>
      </c>
      <c r="AG73" s="206" t="str">
        <f t="shared" si="29"/>
        <v>EC</v>
      </c>
      <c r="AH73" s="78" t="str">
        <f t="shared" si="18"/>
        <v>"%USERPROFILE%\Documents\GitHub\eaglep3\Utilities\RefineRTDCRunTimes.py" --tripid 160-05 --locoid 4043 --swversion DE.1.0.9.0 --startMP 204:232966 --initTime 2017-09-05T11:53:20 --startdatetime 2017-09-05T11:57:33 --delay 55 --endMP 204:154 --enddatetime 2017-09-05T12:37:06 --enforcementcount 0 &gt;&gt;C:\Users\stu\Documents\GitHub\eaglep3-reporting\EC\2017-09-05-refined-times.txt</v>
      </c>
      <c r="AI73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{"issue":{"subject":"","project_id":79,"tracker_id":40,"status_id":1,"priority_id":2,"assigned_to_id":338,"start_date":"2017-09-05","description":"","custom_fields":[{"id":1,"name":"Subdivision","value":"EC"},{"id":4,"name":"Milepost","value":"0.0154"},{"id":17,"name":"Train ID","value":"160-05"},{"id":16,"name":"Locomotive ID","value":"4043"},{"id":130,"name":"Impact","value":""},{"id":150,"name":"Time of Event (Mountain Time)","value":"12:37:06"},{"id":151,"name":"Denver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4043 --day 2017-09-05</v>
      </c>
      <c r="AN73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701</v>
      </c>
      <c r="B74" s="7">
        <v>4008</v>
      </c>
      <c r="C74" s="21" t="s">
        <v>197</v>
      </c>
      <c r="D74" s="21" t="s">
        <v>861</v>
      </c>
      <c r="E74" s="13">
        <v>42983.465787037036</v>
      </c>
      <c r="F74" s="13">
        <v>42983.468912037039</v>
      </c>
      <c r="G74" s="7">
        <v>107</v>
      </c>
      <c r="H74" s="21" t="s">
        <v>398</v>
      </c>
      <c r="I74" s="13">
        <v>42983.493043981478</v>
      </c>
      <c r="J74" s="7">
        <v>0</v>
      </c>
      <c r="K74" s="89" t="str">
        <f t="shared" si="23"/>
        <v>4007/4008</v>
      </c>
      <c r="L74" s="214" t="str">
        <f>VLOOKUP(A74,'Trips&amp;Operators'!$C$1:$G$99911,5,FALSE)</f>
        <v>BRUDER RICHARD</v>
      </c>
      <c r="M74" s="6">
        <f t="shared" si="24"/>
        <v>2.4131944439432118E-2</v>
      </c>
      <c r="N74" s="7">
        <f t="shared" si="30"/>
        <v>34.74999999278225</v>
      </c>
      <c r="O74" s="7"/>
      <c r="P74" s="7"/>
      <c r="Q74" s="22"/>
      <c r="R74" s="167"/>
      <c r="S74" s="210">
        <f t="shared" si="31"/>
        <v>1</v>
      </c>
      <c r="T74" s="192" t="str">
        <f t="shared" si="25"/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-05T10:10:44-0600',mode:absolute,to:'2017-09-05T12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4" t="str">
        <f>IF(AA74&lt;VLOOKUP(AG74,Variables!$AC$3:$AD$8,2,FALSE),"Y","N")</f>
        <v>N</v>
      </c>
      <c r="X74" s="194">
        <f t="shared" si="26"/>
        <v>1</v>
      </c>
      <c r="Y74" s="194">
        <f t="shared" si="36"/>
        <v>4.2599999999999999E-2</v>
      </c>
      <c r="Z74" s="194">
        <f t="shared" si="37"/>
        <v>23.329699999999999</v>
      </c>
      <c r="AA74" s="194">
        <f t="shared" si="27"/>
        <v>23.287099999999999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28"/>
        <v>161</v>
      </c>
      <c r="AE74" s="77" t="str">
        <f t="shared" si="11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74" s="74" t="str">
        <f t="shared" si="12"/>
        <v>"C:\Program Files (x86)\AstroGrep\AstroGrep.exe" /e /r /s /spath="%USERPROFILE%\AppData\Local\Temp\OnboardLogs" /stypes="app*4008*20170905*" /stext=" 17:.+((SYSTEM_STATE.+slice.+state.+changed )|(ment ac)|(multiple cpu faults)|(system.+state.+changed )|(\[timeout)|(PRM\|1\|D)|(kpr)|(kdp)|(train st.+moving)|(\|lc)|(penalty))"</v>
      </c>
      <c r="AG74" s="206" t="str">
        <f t="shared" si="29"/>
        <v>EC</v>
      </c>
      <c r="AH74" s="78" t="str">
        <f t="shared" si="18"/>
        <v>"%USERPROFILE%\Documents\GitHub\eaglep3\Utilities\RefineRTDCRunTimes.py" --tripid 161-05 --locoid 4008 --swversion DE.1.0.9.0 --startMP 204:426 --initTime 2017-09-05T11:10:44 --startdatetime 2017-09-05T11:15:14 --delay 107 --endMP 204:233297 --enddatetime 2017-09-05T11:49:59 --enforcementcount 0 &gt;&gt;C:\Users\stu\Documents\GitHub\eaglep3-reporting\EC\2017-09-05-refined-times.txt</v>
      </c>
      <c r="AI74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{"issue":{"subject":"","project_id":79,"tracker_id":40,"status_id":1,"priority_id":2,"assigned_to_id":338,"start_date":"2017-09-05","description":"","custom_fields":[{"id":1,"name":"Subdivision","value":"EC"},{"id":4,"name":"Milepost","value":"23.3297"},{"id":17,"name":"Train ID","value":"161-05"},{"id":16,"name":"Locomotive ID","value":"4008"},{"id":130,"name":"Impact","value":""},{"id":150,"name":"Time of Event (Mountain Time)","value":"11:49:59"},{"id":151,"name":"Denver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4008 --day 2017-09-05</v>
      </c>
      <c r="AN74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711</v>
      </c>
      <c r="B75" s="7">
        <v>4007</v>
      </c>
      <c r="C75" s="21" t="s">
        <v>197</v>
      </c>
      <c r="D75" s="21" t="s">
        <v>457</v>
      </c>
      <c r="E75" s="13">
        <v>42983.505243055559</v>
      </c>
      <c r="F75" s="13">
        <v>42983.50849537037</v>
      </c>
      <c r="G75" s="7">
        <v>106</v>
      </c>
      <c r="H75" s="21" t="s">
        <v>371</v>
      </c>
      <c r="I75" s="13">
        <v>42983.534571759257</v>
      </c>
      <c r="J75" s="7">
        <v>0</v>
      </c>
      <c r="K75" s="89" t="str">
        <f t="shared" si="23"/>
        <v>4007/4008</v>
      </c>
      <c r="L75" s="214" t="str">
        <f>VLOOKUP(A75,'Trips&amp;Operators'!$C$1:$G$99911,5,FALSE)</f>
        <v>BRUDER RICHARD</v>
      </c>
      <c r="M75" s="6">
        <f t="shared" si="24"/>
        <v>2.6076388887304347E-2</v>
      </c>
      <c r="N75" s="7">
        <f t="shared" si="30"/>
        <v>37.54999999771826</v>
      </c>
      <c r="O75" s="7"/>
      <c r="P75" s="7"/>
      <c r="Q75" s="22"/>
      <c r="R75" s="167"/>
      <c r="S75" s="210">
        <f t="shared" si="31"/>
        <v>1</v>
      </c>
      <c r="T75" s="192" t="str">
        <f t="shared" si="25"/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-05T11:07:33-0600',mode:absolute,to:'2017-09-05T13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4" t="str">
        <f>IF(AA75&lt;VLOOKUP(AG75,Variables!$AC$3:$AD$8,2,FALSE),"Y","N")</f>
        <v>N</v>
      </c>
      <c r="X75" s="194">
        <f t="shared" si="26"/>
        <v>1</v>
      </c>
      <c r="Y75" s="194">
        <f t="shared" si="36"/>
        <v>23.298400000000001</v>
      </c>
      <c r="Z75" s="194">
        <f t="shared" si="37"/>
        <v>1.4500000000000001E-2</v>
      </c>
      <c r="AA75" s="194">
        <f t="shared" si="27"/>
        <v>23.283899999999999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28"/>
        <v>162</v>
      </c>
      <c r="AE75" s="77" t="str">
        <f t="shared" si="11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75" s="74" t="str">
        <f t="shared" si="12"/>
        <v>"C:\Program Files (x86)\AstroGrep\AstroGrep.exe" /e /r /s /spath="%USERPROFILE%\AppData\Local\Temp\OnboardLogs" /stypes="app*4007*20170905*" /stext=" 18:.+((SYSTEM_STATE.+slice.+state.+changed )|(ment ac)|(multiple cpu faults)|(system.+state.+changed )|(\[timeout)|(PRM\|1\|D)|(kpr)|(kdp)|(train st.+moving)|(\|lc)|(penalty))"</v>
      </c>
      <c r="AG75" s="206" t="str">
        <f t="shared" si="29"/>
        <v>EC</v>
      </c>
      <c r="AH75" s="78" t="str">
        <f t="shared" si="18"/>
        <v>"%USERPROFILE%\Documents\GitHub\eaglep3\Utilities\RefineRTDCRunTimes.py" --tripid 162-05 --locoid 4007 --swversion DE.1.0.9.0 --startMP 204:232984 --initTime 2017-09-05T12:07:33 --startdatetime 2017-09-05T12:12:14 --delay 106 --endMP 204:145 --enddatetime 2017-09-05T12:49:47 --enforcementcount 0 &gt;&gt;C:\Users\stu\Documents\GitHub\eaglep3-reporting\EC\2017-09-05-refined-times.txt</v>
      </c>
      <c r="AI75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{"issue":{"subject":"","project_id":79,"tracker_id":40,"status_id":1,"priority_id":2,"assigned_to_id":338,"start_date":"2017-09-05","description":"","custom_fields":[{"id":1,"name":"Subdivision","value":"EC"},{"id":4,"name":"Milepost","value":"0.0145"},{"id":17,"name":"Train ID","value":"162-05"},{"id":16,"name":"Locomotive ID","value":"4007"},{"id":130,"name":"Impact","value":""},{"id":150,"name":"Time of Event (Mountain Time)","value":"12:49:47"},{"id":151,"name":"Denver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4007 --day 2017-09-05</v>
      </c>
      <c r="AN75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705</v>
      </c>
      <c r="B76" s="7">
        <v>4010</v>
      </c>
      <c r="C76" s="21" t="s">
        <v>197</v>
      </c>
      <c r="D76" s="21" t="s">
        <v>378</v>
      </c>
      <c r="E76" s="13">
        <v>42983.474502314813</v>
      </c>
      <c r="F76" s="13">
        <v>42983.479328703703</v>
      </c>
      <c r="G76" s="7">
        <v>160</v>
      </c>
      <c r="H76" s="21" t="s">
        <v>862</v>
      </c>
      <c r="I76" s="13">
        <v>42983.504548611112</v>
      </c>
      <c r="J76" s="7">
        <v>0</v>
      </c>
      <c r="K76" s="89" t="str">
        <f t="shared" si="23"/>
        <v>4009/4010</v>
      </c>
      <c r="L76" s="214" t="str">
        <f>VLOOKUP(A76,'Trips&amp;Operators'!$C$1:$G$99911,5,FALSE)</f>
        <v>ROBINSON KADDIBA</v>
      </c>
      <c r="M76" s="6">
        <f t="shared" si="24"/>
        <v>2.5219907409336884E-2</v>
      </c>
      <c r="N76" s="7">
        <f t="shared" si="30"/>
        <v>36.316666669445112</v>
      </c>
      <c r="O76" s="7"/>
      <c r="P76" s="7"/>
      <c r="Q76" s="22"/>
      <c r="R76" s="167"/>
      <c r="S76" s="210">
        <f t="shared" si="31"/>
        <v>1</v>
      </c>
      <c r="T76" s="192" t="str">
        <f t="shared" si="25"/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-05T10:23:17-0600',mode:absolute,to:'2017-09-05T13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194" t="str">
        <f>IF(AA76&lt;VLOOKUP(AG76,Variables!$AC$3:$AD$8,2,FALSE),"Y","N")</f>
        <v>N</v>
      </c>
      <c r="X76" s="194">
        <f t="shared" si="26"/>
        <v>1</v>
      </c>
      <c r="Y76" s="194">
        <f t="shared" si="36"/>
        <v>4.6600000000000003E-2</v>
      </c>
      <c r="Z76" s="194">
        <f t="shared" si="37"/>
        <v>23.33</v>
      </c>
      <c r="AA76" s="194">
        <f t="shared" si="27"/>
        <v>23.283399999999997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28"/>
        <v>163</v>
      </c>
      <c r="AE76" s="77" t="str">
        <f t="shared" si="11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76" s="74" t="str">
        <f t="shared" si="12"/>
        <v>"C:\Program Files (x86)\AstroGrep\AstroGrep.exe" /e /r /s /spath="%USERPROFILE%\AppData\Local\Temp\OnboardLogs" /stypes="app*4010*20170905*" /stext=" 18:.+((SYSTEM_STATE.+slice.+state.+changed )|(ment ac)|(multiple cpu faults)|(system.+state.+changed )|(\[timeout)|(PRM\|1\|D)|(kpr)|(kdp)|(train st.+moving)|(\|lc)|(penalty))"</v>
      </c>
      <c r="AG76" s="206" t="str">
        <f t="shared" si="29"/>
        <v>EC</v>
      </c>
      <c r="AH76" s="78" t="str">
        <f t="shared" si="18"/>
        <v>"%USERPROFILE%\Documents\GitHub\eaglep3\Utilities\RefineRTDCRunTimes.py" --tripid 163-05 --locoid 4010 --swversion DE.1.0.9.0 --startMP 204:466 --initTime 2017-09-05T11:23:17 --startdatetime 2017-09-05T11:30:14 --delay 160 --endMP 204:233300 --enddatetime 2017-09-05T12:06:33 --enforcementcount 0 &gt;&gt;C:\Users\stu\Documents\GitHub\eaglep3-reporting\EC\2017-09-05-refined-times.txt</v>
      </c>
      <c r="AI76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{"issue":{"subject":"","project_id":79,"tracker_id":40,"status_id":1,"priority_id":2,"assigned_to_id":338,"start_date":"2017-09-05","description":"","custom_fields":[{"id":1,"name":"Subdivision","value":"EC"},{"id":4,"name":"Milepost","value":"23.33"},{"id":17,"name":"Train ID","value":"163-05"},{"id":16,"name":"Locomotive ID","value":"4010"},{"id":130,"name":"Impact","value":""},{"id":150,"name":"Time of Event (Mountain Time)","value":"12:06:33"},{"id":151,"name":"Denver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4010 --day 2017-09-05</v>
      </c>
      <c r="AN76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713</v>
      </c>
      <c r="B77" s="7">
        <v>4009</v>
      </c>
      <c r="C77" s="21" t="s">
        <v>197</v>
      </c>
      <c r="D77" s="21" t="s">
        <v>485</v>
      </c>
      <c r="E77" s="13">
        <v>42983.515474537038</v>
      </c>
      <c r="F77" s="13">
        <v>42983.518969907411</v>
      </c>
      <c r="G77" s="7">
        <v>102</v>
      </c>
      <c r="H77" s="21" t="s">
        <v>339</v>
      </c>
      <c r="I77" s="13">
        <v>42983.545497685183</v>
      </c>
      <c r="J77" s="7">
        <v>0</v>
      </c>
      <c r="K77" s="89" t="str">
        <f t="shared" ref="K77:K101" si="38">IF(ISEVEN(B77),(B77-1)&amp;"/"&amp;B77,B77&amp;"/"&amp;(B77+1))</f>
        <v>4009/4010</v>
      </c>
      <c r="L77" s="214" t="str">
        <f>VLOOKUP(A77,'Trips&amp;Operators'!$C$1:$G$99911,5,FALSE)</f>
        <v>ROBINSON KADDIBA</v>
      </c>
      <c r="M77" s="6">
        <f t="shared" ref="M77:M101" si="39">I77-F77</f>
        <v>2.6527777772571426E-2</v>
      </c>
      <c r="N77" s="7">
        <f t="shared" si="30"/>
        <v>38.199999992502853</v>
      </c>
      <c r="O77" s="7"/>
      <c r="P77" s="7"/>
      <c r="Q77" s="22"/>
      <c r="R77" s="167"/>
      <c r="S77" s="210">
        <f t="shared" si="31"/>
        <v>1</v>
      </c>
      <c r="T77" s="192" t="str">
        <f t="shared" ref="T77:T101" si="40">IF(ISEVEN(LEFT(AD77,4)),"Southbound","NorthBound")</f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4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-05T11:22:17-0600',mode:absolute,to:'2017-09-05T14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194" t="str">
        <f>IF(AA77&lt;VLOOKUP(AG77,Variables!$AC$3:$AD$8,2,FALSE),"Y","N")</f>
        <v>N</v>
      </c>
      <c r="X77" s="194">
        <f t="shared" ref="X77:X91" si="42">VALUE(LEFT(AD77,4))-VALUE(LEFT(AD76,4))</f>
        <v>1</v>
      </c>
      <c r="Y77" s="194">
        <f t="shared" si="36"/>
        <v>23.297899999999998</v>
      </c>
      <c r="Z77" s="194">
        <f t="shared" si="37"/>
        <v>1.49E-2</v>
      </c>
      <c r="AA77" s="194">
        <f t="shared" ref="AA77:AA108" si="43">ABS(Z77-Y77)</f>
        <v>23.282999999999998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01" si="44">VALUE(LEFT(A77,LEN(A77)-3))</f>
        <v>164</v>
      </c>
      <c r="AE77" s="77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77" s="74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/stypes="app*4009*20170905*" /stext=" 19:.+((SYSTEM_STATE.+slice.+state.+changed )|(ment ac)|(multiple cpu faults)|(system.+state.+changed )|(\[timeout)|(PRM\|1\|D)|(kpr)|(kdp)|(train st.+moving)|(\|lc)|(penalty))"</v>
      </c>
      <c r="AG77" s="206" t="str">
        <f t="shared" ref="AG77:AG101" si="47">DetSubdiv(A77)</f>
        <v>EC</v>
      </c>
      <c r="AH77" s="78" t="str">
        <f t="shared" si="18"/>
        <v>"%USERPROFILE%\Documents\GitHub\eaglep3\Utilities\RefineRTDCRunTimes.py" --tripid 164-05 --locoid 4009 --swversion DE.1.0.9.0 --startMP 204:232979 --initTime 2017-09-05T12:22:17 --startdatetime 2017-09-05T12:27:19 --delay 102 --endMP 204:149 --enddatetime 2017-09-05T13:05:31 --enforcementcount 0 &gt;&gt;C:\Users\stu\Documents\GitHub\eaglep3-reporting\EC\2017-09-05-refined-times.txt</v>
      </c>
      <c r="AI77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{"issue":{"subject":"","project_id":79,"tracker_id":40,"status_id":1,"priority_id":2,"assigned_to_id":338,"start_date":"2017-09-05","description":"","custom_fields":[{"id":1,"name":"Subdivision","value":"EC"},{"id":4,"name":"Milepost","value":"0.0149"},{"id":17,"name":"Train ID","value":"164-05"},{"id":16,"name":"Locomotive ID","value":"4009"},{"id":130,"name":"Impact","value":""},{"id":150,"name":"Time of Event (Mountain Time)","value":"13:05:31"},{"id":151,"name":"Denver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4009 --day 2017-09-05</v>
      </c>
      <c r="AN77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706</v>
      </c>
      <c r="B78" s="7">
        <v>4026</v>
      </c>
      <c r="C78" s="21" t="s">
        <v>197</v>
      </c>
      <c r="D78" s="21" t="s">
        <v>460</v>
      </c>
      <c r="E78" s="13">
        <v>42983.485405092593</v>
      </c>
      <c r="F78" s="13">
        <v>42983.489884259259</v>
      </c>
      <c r="G78" s="7">
        <v>93</v>
      </c>
      <c r="H78" s="21" t="s">
        <v>863</v>
      </c>
      <c r="I78" s="13">
        <v>42983.513993055552</v>
      </c>
      <c r="J78" s="7">
        <v>0</v>
      </c>
      <c r="K78" s="89" t="str">
        <f t="shared" si="38"/>
        <v>4025/4026</v>
      </c>
      <c r="L78" s="214" t="str">
        <f>VLOOKUP(A78,'Trips&amp;Operators'!$C$1:$G$99911,5,FALSE)</f>
        <v>LEVIN SCOTT</v>
      </c>
      <c r="M78" s="6">
        <f t="shared" si="39"/>
        <v>2.4108796293148771E-2</v>
      </c>
      <c r="N78" s="7">
        <f t="shared" si="30"/>
        <v>34.71666666213423</v>
      </c>
      <c r="O78" s="7"/>
      <c r="P78" s="7"/>
      <c r="Q78" s="22"/>
      <c r="R78" s="167"/>
      <c r="S78" s="210">
        <f t="shared" si="31"/>
        <v>1</v>
      </c>
      <c r="T78" s="192" t="str">
        <f t="shared" si="40"/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41"/>
        <v>https://d0f6bd738d7f1b3e5a7ca70fe4ff75f0.us-east-1.aws.found.io/app/kibana#/discover/Steve-Slow-Train-Analysis-(2080s-and-2083s)?_g=(refreshInterval:(display:Off,pause:!f,section:0,value:0),time:(from:'2017-09-05T10:38:59-0600',mode:absolute,to:'2017-09-05T13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94" t="str">
        <f>IF(AA78&lt;VLOOKUP(AG78,Variables!$AC$3:$AD$8,2,FALSE),"Y","N")</f>
        <v>N</v>
      </c>
      <c r="X78" s="194">
        <f t="shared" si="42"/>
        <v>1</v>
      </c>
      <c r="Y78" s="194">
        <f t="shared" si="36"/>
        <v>4.7800000000000002E-2</v>
      </c>
      <c r="Z78" s="194">
        <f t="shared" si="37"/>
        <v>23.338699999999999</v>
      </c>
      <c r="AA78" s="194">
        <f t="shared" si="43"/>
        <v>23.290900000000001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44"/>
        <v>165</v>
      </c>
      <c r="AE78" s="77" t="str">
        <f t="shared" si="45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78" s="74" t="str">
        <f t="shared" si="46"/>
        <v>"C:\Program Files (x86)\AstroGrep\AstroGrep.exe" /e /r /s /spath="%USERPROFILE%\AppData\Local\Temp\OnboardLogs" /stypes="app*4026*20170905*" /stext=" 18:.+((SYSTEM_STATE.+slice.+state.+changed )|(ment ac)|(multiple cpu faults)|(system.+state.+changed )|(\[timeout)|(PRM\|1\|D)|(kpr)|(kdp)|(train st.+moving)|(\|lc)|(penalty))"</v>
      </c>
      <c r="AG78" s="206" t="str">
        <f t="shared" si="47"/>
        <v>EC</v>
      </c>
      <c r="AH78" s="78" t="str">
        <f t="shared" si="18"/>
        <v>"%USERPROFILE%\Documents\GitHub\eaglep3\Utilities\RefineRTDCRunTimes.py" --tripid 165-05 --locoid 4026 --swversion DE.1.0.9.0 --startMP 204:478 --initTime 2017-09-05T11:38:59 --startdatetime 2017-09-05T11:45:26 --delay 93 --endMP 204:233387 --enddatetime 2017-09-05T12:20:09 --enforcementcount 0 &gt;&gt;C:\Users\stu\Documents\GitHub\eaglep3-reporting\EC\2017-09-05-refined-times.txt</v>
      </c>
      <c r="AI78" s="96" t="str">
        <f t="shared" si="19"/>
        <v>echo {"issue":{"subject":"","project_id":79,"tracker_id":40,"status_id":1,"priority_id":2,"assigned_to_id":338,"start_date":"2017-09-05","description":"","custom_fields":[{"id":1,"name":"Subdivision","value":"EC"},{"id":4,"name":"Milepost","value":"23.3387"},{"id":17,"name":"Train ID","value":"165-05"},{"id":16,"name":"Locomotive ID","value":"4026"},{"id":130,"name":"Impact","value":""},{"id":150,"name":"Time of Event (Mountain Time)","value":"12:20:09"},{"id":151,"name":"Denver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4026 --day 2017-09-05</v>
      </c>
      <c r="AN78" s="151" t="str">
        <f t="shared" si="2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716</v>
      </c>
      <c r="B79" s="7">
        <v>4025</v>
      </c>
      <c r="C79" s="21" t="s">
        <v>197</v>
      </c>
      <c r="D79" s="21" t="s">
        <v>864</v>
      </c>
      <c r="E79" s="13">
        <v>42983.523923611108</v>
      </c>
      <c r="F79" s="13">
        <v>42983.529583333337</v>
      </c>
      <c r="G79" s="7">
        <v>71</v>
      </c>
      <c r="H79" s="21" t="s">
        <v>865</v>
      </c>
      <c r="I79" s="13">
        <v>42983.540335648147</v>
      </c>
      <c r="J79" s="7">
        <v>0</v>
      </c>
      <c r="K79" s="89" t="str">
        <f t="shared" si="38"/>
        <v>4025/4026</v>
      </c>
      <c r="L79" s="214" t="str">
        <f>VLOOKUP(A79,'Trips&amp;Operators'!$C$1:$G$99911,5,FALSE)</f>
        <v>LEVIN SCOTT</v>
      </c>
      <c r="M79" s="6">
        <f t="shared" si="39"/>
        <v>1.0752314810815733E-2</v>
      </c>
      <c r="N79" s="7"/>
      <c r="O79" s="7"/>
      <c r="P79" s="7">
        <f>24*60*SUM($M79:$M79)</f>
        <v>15.483333327574655</v>
      </c>
      <c r="Q79" s="22"/>
      <c r="R79" s="167" t="s">
        <v>997</v>
      </c>
      <c r="S79" s="210">
        <f t="shared" si="31"/>
        <v>0</v>
      </c>
      <c r="T79" s="192" t="str">
        <f t="shared" si="40"/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93" t="str">
        <f t="shared" si="41"/>
        <v>https://d0f6bd738d7f1b3e5a7ca70fe4ff75f0.us-east-1.aws.found.io/app/kibana#/discover/Steve-Slow-Train-Analysis-(2080s-and-2083s)?_g=(refreshInterval:(display:Off,pause:!f,section:0,value:0),time:(from:'2017-09-05T11:34:27-0600',mode:absolute,to:'2017-09-05T13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194" t="str">
        <f>IF(AA79&lt;VLOOKUP(AG79,Variables!$AC$3:$AD$8,2,FALSE),"Y","N")</f>
        <v>Y</v>
      </c>
      <c r="X79" s="194">
        <f t="shared" si="42"/>
        <v>1</v>
      </c>
      <c r="Y79" s="194">
        <f t="shared" si="36"/>
        <v>23.302800000000001</v>
      </c>
      <c r="Z79" s="194">
        <f t="shared" si="37"/>
        <v>12.297000000000001</v>
      </c>
      <c r="AA79" s="194">
        <f t="shared" si="43"/>
        <v>11.005800000000001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44"/>
        <v>166</v>
      </c>
      <c r="AE79" s="77" t="str">
        <f t="shared" si="45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79" s="74" t="str">
        <f t="shared" si="46"/>
        <v>"C:\Program Files (x86)\AstroGrep\AstroGrep.exe" /e /r /s /spath="%USERPROFILE%\AppData\Local\Temp\OnboardLogs" /stypes="app*4025*20170905*" /stext=" 18:.+((SYSTEM_STATE.+slice.+state.+changed )|(ment ac)|(multiple cpu faults)|(system.+state.+changed )|(\[timeout)|(PRM\|1\|D)|(kpr)|(kdp)|(train st.+moving)|(\|lc)|(penalty))"</v>
      </c>
      <c r="AG79" s="206" t="str">
        <f t="shared" si="47"/>
        <v>EC</v>
      </c>
      <c r="AH79" s="78" t="str">
        <f t="shared" ref="AH79:AH151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166-05 --locoid 4025 --swversion DE.1.0.9.0 --startMP 204:233028 --initTime 2017-09-05T12:34:27 --startdatetime 2017-09-05T12:42:36 --delay 71 --endMP 204:122970 --enddatetime 2017-09-05T12:58:05 --enforcementcount 0 &gt;&gt;C:\Users\stu\Documents\GitHub\eaglep3-reporting\EC\2017-09-05-refined-times.txt</v>
      </c>
      <c r="AI79" s="96" t="str">
        <f t="shared" ref="AI79:AI151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failure","project_id":79,"tracker_id":40,"status_id":1,"priority_id":2,"assigned_to_id":338,"start_date":"2017-09-05","description":"","custom_fields":[{"id":1,"name":"Subdivision","value":"EC"},{"id":4,"name":"Milepost","value":"12.297"},{"id":17,"name":"Train ID","value":"166-05"},{"id":16,"name":"Locomotive ID","value":"4025"},{"id":130,"name":"Impact","value":""},{"id":150,"name":"Time of Event (Mountain Time)","value":"12:58:05"},{"id":151,"name":"Denver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51" si="50">"start /low /b "&amp;dls3logs&amp;" --loco "&amp;B79&amp;" --day "&amp;TEXT(F79,"YYYY-MM-DD")</f>
        <v>start /low /b %USERPROFILE%\Documents\GitHub\eaglep3\Utilities\DownloadLogsFromS3.py --loco 4025 --day 2017-09-05</v>
      </c>
      <c r="AN79" s="151" t="str">
        <f t="shared" ref="AN79:AN151" si="5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4066</v>
      </c>
      <c r="C80" s="21" t="s">
        <v>197</v>
      </c>
      <c r="D80" s="21" t="s">
        <v>444</v>
      </c>
      <c r="E80" s="13">
        <v>42983.497291666667</v>
      </c>
      <c r="F80" s="13">
        <v>42983.500393518516</v>
      </c>
      <c r="G80" s="7">
        <v>71</v>
      </c>
      <c r="H80" s="21" t="s">
        <v>531</v>
      </c>
      <c r="I80" s="13">
        <v>42983.525937500002</v>
      </c>
      <c r="J80" s="7">
        <v>0</v>
      </c>
      <c r="K80" s="89" t="str">
        <f t="shared" si="38"/>
        <v>4065/4066</v>
      </c>
      <c r="L80" s="214" t="str">
        <f>VLOOKUP(A80,'Trips&amp;Operators'!$C$1:$G$99911,5,FALSE)</f>
        <v>LEVERE CRAIG</v>
      </c>
      <c r="M80" s="6">
        <f t="shared" si="39"/>
        <v>2.5543981486407574E-2</v>
      </c>
      <c r="N80" s="7">
        <f t="shared" ref="N80:N101" si="52">24*60*SUM($M80:$M80)</f>
        <v>36.783333340426907</v>
      </c>
      <c r="O80" s="7"/>
      <c r="P80" s="7"/>
      <c r="Q80" s="22"/>
      <c r="R80" s="167"/>
      <c r="S80" s="210">
        <f t="shared" si="31"/>
        <v>1</v>
      </c>
      <c r="T80" s="192" t="str">
        <f t="shared" si="40"/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41"/>
        <v>https://d0f6bd738d7f1b3e5a7ca70fe4ff75f0.us-east-1.aws.found.io/app/kibana#/discover/Steve-Slow-Train-Analysis-(2080s-and-2083s)?_g=(refreshInterval:(display:Off,pause:!f,section:0,value:0),time:(from:'2017-09-05T10:56:06-0600',mode:absolute,to:'2017-09-05T13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0" s="194" t="str">
        <f>IF(AA80&lt;VLOOKUP(AG80,Variables!$AC$3:$AD$8,2,FALSE),"Y","N")</f>
        <v>N</v>
      </c>
      <c r="X80" s="194">
        <f t="shared" si="42"/>
        <v>1</v>
      </c>
      <c r="Y80" s="194">
        <f t="shared" si="36"/>
        <v>4.5999999999999999E-2</v>
      </c>
      <c r="Z80" s="194">
        <f t="shared" si="37"/>
        <v>23.332699999999999</v>
      </c>
      <c r="AA80" s="194">
        <f t="shared" si="43"/>
        <v>23.2867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44"/>
        <v>167</v>
      </c>
      <c r="AE80" s="77" t="str">
        <f t="shared" si="4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80" s="74" t="str">
        <f t="shared" si="46"/>
        <v>"C:\Program Files (x86)\AstroGrep\AstroGrep.exe" /e /r /s /spath="%USERPROFILE%\AppData\Local\Temp\OnboardLogs" /stypes="app*4066*20170905*" /stext=" 18:.+((SYSTEM_STATE.+slice.+state.+changed )|(ment ac)|(multiple cpu faults)|(system.+state.+changed )|(\[timeout)|(PRM\|1\|D)|(kpr)|(kdp)|(train st.+moving)|(\|lc)|(penalty))"</v>
      </c>
      <c r="AG80" s="206" t="str">
        <f t="shared" si="47"/>
        <v>EC</v>
      </c>
      <c r="AH80" s="78" t="str">
        <f t="shared" si="48"/>
        <v>"%USERPROFILE%\Documents\GitHub\eaglep3\Utilities\RefineRTDCRunTimes.py" --tripid 167-05 --locoid 4066 --swversion DE.1.0.9.0 --startMP 204:460 --initTime 2017-09-05T11:56:06 --startdatetime 2017-09-05T12:00:34 --delay 71 --endMP 204:233327 --enddatetime 2017-09-05T12:37:21 --enforcementcount 0 &gt;&gt;C:\Users\stu\Documents\GitHub\eaglep3-reporting\EC\2017-09-05-refined-times.txt</v>
      </c>
      <c r="AI8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{"issue":{"subject":"","project_id":79,"tracker_id":40,"status_id":1,"priority_id":2,"assigned_to_id":338,"start_date":"2017-09-05","description":"","custom_fields":[{"id":1,"name":"Subdivision","value":"EC"},{"id":4,"name":"Milepost","value":"23.3327"},{"id":17,"name":"Train ID","value":"167-05"},{"id":16,"name":"Locomotive ID","value":"4066"},{"id":130,"name":"Impact","value":""},{"id":150,"name":"Time of Event (Mountain Time)","value":"12:37:21"},{"id":151,"name":"Denver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0"/>
        <v>start /low /b %USERPROFILE%\Documents\GitHub\eaglep3\Utilities\DownloadLogsFromS3.py --loco 4066 --day 2017-09-05</v>
      </c>
      <c r="AN80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718</v>
      </c>
      <c r="B81" s="7">
        <v>4065</v>
      </c>
      <c r="C81" s="21" t="s">
        <v>197</v>
      </c>
      <c r="D81" s="21" t="s">
        <v>445</v>
      </c>
      <c r="E81" s="13">
        <v>42983.535208333335</v>
      </c>
      <c r="F81" s="13">
        <v>42983.539814814816</v>
      </c>
      <c r="G81" s="7">
        <v>70</v>
      </c>
      <c r="H81" s="21" t="s">
        <v>456</v>
      </c>
      <c r="I81" s="13">
        <v>42983.568009259259</v>
      </c>
      <c r="J81" s="7">
        <v>0</v>
      </c>
      <c r="K81" s="89" t="str">
        <f t="shared" si="38"/>
        <v>4065/4066</v>
      </c>
      <c r="L81" s="214" t="str">
        <f>VLOOKUP(A81,'Trips&amp;Operators'!$C$1:$G$99911,5,FALSE)</f>
        <v>LEVERE CRAIG</v>
      </c>
      <c r="M81" s="6">
        <f t="shared" si="39"/>
        <v>2.8194444443215616E-2</v>
      </c>
      <c r="N81" s="7">
        <f t="shared" si="52"/>
        <v>40.599999998230487</v>
      </c>
      <c r="O81" s="7"/>
      <c r="P81" s="7"/>
      <c r="Q81" s="22"/>
      <c r="R81" s="167"/>
      <c r="S81" s="210">
        <f t="shared" si="31"/>
        <v>1</v>
      </c>
      <c r="T81" s="192" t="str">
        <f t="shared" si="40"/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41"/>
        <v>https://d0f6bd738d7f1b3e5a7ca70fe4ff75f0.us-east-1.aws.found.io/app/kibana#/discover/Steve-Slow-Train-Analysis-(2080s-and-2083s)?_g=(refreshInterval:(display:Off,pause:!f,section:0,value:0),time:(from:'2017-09-05T11:50:42-0600',mode:absolute,to:'2017-09-05T14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1" s="194" t="str">
        <f>IF(AA81&lt;VLOOKUP(AG81,Variables!$AC$3:$AD$8,2,FALSE),"Y","N")</f>
        <v>N</v>
      </c>
      <c r="X81" s="194">
        <f t="shared" si="42"/>
        <v>1</v>
      </c>
      <c r="Y81" s="194">
        <f t="shared" si="36"/>
        <v>23.301300000000001</v>
      </c>
      <c r="Z81" s="194">
        <f t="shared" si="37"/>
        <v>1.5800000000000002E-2</v>
      </c>
      <c r="AA81" s="194">
        <f t="shared" si="43"/>
        <v>23.285500000000003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44"/>
        <v>168</v>
      </c>
      <c r="AE81" s="77" t="str">
        <f t="shared" si="4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81" s="74" t="str">
        <f t="shared" si="46"/>
        <v>"C:\Program Files (x86)\AstroGrep\AstroGrep.exe" /e /r /s /spath="%USERPROFILE%\AppData\Local\Temp\OnboardLogs" /stypes="app*4065*20170905*" /stext=" 19:.+((SYSTEM_STATE.+slice.+state.+changed )|(ment ac)|(multiple cpu faults)|(system.+state.+changed )|(\[timeout)|(PRM\|1\|D)|(kpr)|(kdp)|(train st.+moving)|(\|lc)|(penalty))"</v>
      </c>
      <c r="AG81" s="206" t="str">
        <f t="shared" si="47"/>
        <v>EC</v>
      </c>
      <c r="AH81" s="78" t="str">
        <f t="shared" si="48"/>
        <v>"%USERPROFILE%\Documents\GitHub\eaglep3\Utilities\RefineRTDCRunTimes.py" --tripid 168-05 --locoid 4065 --swversion DE.1.0.9.0 --startMP 204:233013 --initTime 2017-09-05T12:50:42 --startdatetime 2017-09-05T12:57:20 --delay 70 --endMP 204:158 --enddatetime 2017-09-05T13:37:56 --enforcementcount 0 &gt;&gt;C:\Users\stu\Documents\GitHub\eaglep3-reporting\EC\2017-09-05-refined-times.txt</v>
      </c>
      <c r="AI8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ID","value":"168-05"},{"id":16,"name":"Locomotive ID","value":"4065"},{"id":130,"name":"Impact","value":""},{"id":150,"name":"Time of Event (Mountain Time)","value":"13:37:56"},{"id":151,"name":"Denver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0"/>
        <v>start /low /b %USERPROFILE%\Documents\GitHub\eaglep3\Utilities\DownloadLogsFromS3.py --loco 4065 --day 2017-09-05</v>
      </c>
      <c r="AN81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712</v>
      </c>
      <c r="B82" s="7">
        <v>4024</v>
      </c>
      <c r="C82" s="21" t="s">
        <v>197</v>
      </c>
      <c r="D82" s="21" t="s">
        <v>337</v>
      </c>
      <c r="E82" s="13">
        <v>42983.506261574075</v>
      </c>
      <c r="F82" s="13">
        <v>42983.510671296295</v>
      </c>
      <c r="G82" s="7">
        <v>184</v>
      </c>
      <c r="H82" s="21" t="s">
        <v>488</v>
      </c>
      <c r="I82" s="13">
        <v>42983.534756944442</v>
      </c>
      <c r="J82" s="7">
        <v>0</v>
      </c>
      <c r="K82" s="89" t="str">
        <f t="shared" si="38"/>
        <v>4023/4024</v>
      </c>
      <c r="L82" s="214" t="str">
        <f>VLOOKUP(A82,'Trips&amp;Operators'!$C$1:$G$99911,5,FALSE)</f>
        <v>SAFIEF AEIMEN</v>
      </c>
      <c r="M82" s="6">
        <f t="shared" si="39"/>
        <v>2.4085648146865424E-2</v>
      </c>
      <c r="N82" s="7">
        <f t="shared" si="52"/>
        <v>34.68333333148621</v>
      </c>
      <c r="O82" s="7"/>
      <c r="P82" s="7"/>
      <c r="Q82" s="22"/>
      <c r="R82" s="167"/>
      <c r="S82" s="210">
        <f t="shared" si="31"/>
        <v>1</v>
      </c>
      <c r="T82" s="192" t="str">
        <f t="shared" si="40"/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41"/>
        <v>https://d0f6bd738d7f1b3e5a7ca70fe4ff75f0.us-east-1.aws.found.io/app/kibana#/discover/Steve-Slow-Train-Analysis-(2080s-and-2083s)?_g=(refreshInterval:(display:Off,pause:!f,section:0,value:0),time:(from:'2017-09-05T11:09:01-0600',mode:absolute,to:'2017-09-05T13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94" t="str">
        <f>IF(AA82&lt;VLOOKUP(AG82,Variables!$AC$3:$AD$8,2,FALSE),"Y","N")</f>
        <v>N</v>
      </c>
      <c r="X82" s="194">
        <f t="shared" si="42"/>
        <v>1</v>
      </c>
      <c r="Y82" s="194">
        <f t="shared" si="36"/>
        <v>4.4600000000000001E-2</v>
      </c>
      <c r="Z82" s="194">
        <f t="shared" si="37"/>
        <v>23.333200000000001</v>
      </c>
      <c r="AA82" s="194">
        <f t="shared" si="43"/>
        <v>23.288600000000002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44"/>
        <v>169</v>
      </c>
      <c r="AE82" s="77" t="str">
        <f t="shared" si="45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82" s="74" t="str">
        <f t="shared" si="46"/>
        <v>"C:\Program Files (x86)\AstroGrep\AstroGrep.exe" /e /r /s /spath="%USERPROFILE%\AppData\Local\Temp\OnboardLogs" /stypes="app*4024*20170905*" /stext=" 18:.+((SYSTEM_STATE.+slice.+state.+changed )|(ment ac)|(multiple cpu faults)|(system.+state.+changed )|(\[timeout)|(PRM\|1\|D)|(kpr)|(kdp)|(train st.+moving)|(\|lc)|(penalty))"</v>
      </c>
      <c r="AG82" s="206" t="str">
        <f t="shared" si="47"/>
        <v>EC</v>
      </c>
      <c r="AH82" s="78" t="str">
        <f t="shared" si="48"/>
        <v>"%USERPROFILE%\Documents\GitHub\eaglep3\Utilities\RefineRTDCRunTimes.py" --tripid 169-05 --locoid 4024 --swversion DE.1.0.9.0 --startMP 204:446 --initTime 2017-09-05T12:09:01 --startdatetime 2017-09-05T12:15:22 --delay 184 --endMP 204:233332 --enddatetime 2017-09-05T12:50:03 --enforcementcount 0 &gt;&gt;C:\Users\stu\Documents\GitHub\eaglep3-reporting\EC\2017-09-05-refined-times.txt</v>
      </c>
      <c r="AI82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{"issue":{"subject":"","project_id":79,"tracker_id":40,"status_id":1,"priority_id":2,"assigned_to_id":338,"start_date":"2017-09-05","description":"","custom_fields":[{"id":1,"name":"Subdivision","value":"EC"},{"id":4,"name":"Milepost","value":"23.3332"},{"id":17,"name":"Train ID","value":"169-05"},{"id":16,"name":"Locomotive ID","value":"4024"},{"id":130,"name":"Impact","value":""},{"id":150,"name":"Time of Event (Mountain Time)","value":"12:50:03"},{"id":151,"name":"Denver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0"/>
        <v>start /low /b %USERPROFILE%\Documents\GitHub\eaglep3\Utilities\DownloadLogsFromS3.py --loco 4024 --day 2017-09-05</v>
      </c>
      <c r="AN82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721</v>
      </c>
      <c r="B83" s="7">
        <v>4023</v>
      </c>
      <c r="C83" s="21" t="s">
        <v>197</v>
      </c>
      <c r="D83" s="21" t="s">
        <v>866</v>
      </c>
      <c r="E83" s="13">
        <v>42983.537928240738</v>
      </c>
      <c r="F83" s="13">
        <v>42983.550173611111</v>
      </c>
      <c r="G83" s="7">
        <v>100</v>
      </c>
      <c r="H83" s="21" t="s">
        <v>372</v>
      </c>
      <c r="I83" s="13">
        <v>42983.579201388886</v>
      </c>
      <c r="J83" s="7">
        <v>0</v>
      </c>
      <c r="K83" s="89" t="str">
        <f t="shared" si="38"/>
        <v>4023/4024</v>
      </c>
      <c r="L83" s="214" t="str">
        <f>VLOOKUP(A83,'Trips&amp;Operators'!$C$1:$G$99911,5,FALSE)</f>
        <v>SAFIEF AEIMEN</v>
      </c>
      <c r="M83" s="6">
        <f t="shared" si="39"/>
        <v>2.9027777774899732E-2</v>
      </c>
      <c r="N83" s="7">
        <f t="shared" si="52"/>
        <v>41.799999995855615</v>
      </c>
      <c r="O83" s="7"/>
      <c r="P83" s="7"/>
      <c r="Q83" s="22"/>
      <c r="R83" s="167"/>
      <c r="S83" s="210">
        <f t="shared" ref="S83:S101" si="53">1/IF(AG83="EC",12,1)*SUM(U83:U83)</f>
        <v>1</v>
      </c>
      <c r="T83" s="192" t="str">
        <f t="shared" si="40"/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41"/>
        <v>https://d0f6bd738d7f1b3e5a7ca70fe4ff75f0.us-east-1.aws.found.io/app/kibana#/discover/Steve-Slow-Train-Analysis-(2080s-and-2083s)?_g=(refreshInterval:(display:Off,pause:!f,section:0,value:0),time:(from:'2017-09-05T11:54:37-0600',mode:absolute,to:'2017-09-05T14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94" t="str">
        <f>IF(AA83&lt;VLOOKUP(AG83,Variables!$AC$3:$AD$8,2,FALSE),"Y","N")</f>
        <v>N</v>
      </c>
      <c r="X83" s="194">
        <f t="shared" si="42"/>
        <v>1</v>
      </c>
      <c r="Y83" s="194">
        <f t="shared" si="36"/>
        <v>23.3</v>
      </c>
      <c r="Z83" s="194">
        <f t="shared" si="37"/>
        <v>1.38E-2</v>
      </c>
      <c r="AA83" s="194">
        <f t="shared" si="43"/>
        <v>23.286200000000001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44"/>
        <v>170</v>
      </c>
      <c r="AE83" s="77" t="str">
        <f t="shared" si="45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83" s="74" t="str">
        <f t="shared" si="46"/>
        <v>"C:\Program Files (x86)\AstroGrep\AstroGrep.exe" /e /r /s /spath="%USERPROFILE%\AppData\Local\Temp\OnboardLogs" /stypes="app*4023*20170905*" /stext=" 19:.+((SYSTEM_STATE.+slice.+state.+changed )|(ment ac)|(multiple cpu faults)|(system.+state.+changed )|(\[timeout)|(PRM\|1\|D)|(kpr)|(kdp)|(train st.+moving)|(\|lc)|(penalty))"</v>
      </c>
      <c r="AG83" s="206" t="str">
        <f t="shared" si="47"/>
        <v>EC</v>
      </c>
      <c r="AH83" s="78" t="str">
        <f t="shared" si="48"/>
        <v>"%USERPROFILE%\Documents\GitHub\eaglep3\Utilities\RefineRTDCRunTimes.py" --tripid 170-05 --locoid 4023 --swversion DE.1.0.9.0 --startMP 204:233000 --initTime 2017-09-05T12:54:37 --startdatetime 2017-09-05T13:12:15 --delay 100 --endMP 204:138 --enddatetime 2017-09-05T13:54:03 --enforcementcount 0 &gt;&gt;C:\Users\stu\Documents\GitHub\eaglep3-reporting\EC\2017-09-05-refined-times.txt</v>
      </c>
      <c r="AI8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{"issue":{"subject":"","project_id":79,"tracker_id":40,"status_id":1,"priority_id":2,"assigned_to_id":338,"start_date":"2017-09-05","description":"","custom_fields":[{"id":1,"name":"Subdivision","value":"EC"},{"id":4,"name":"Milepost","value":"0.0138"},{"id":17,"name":"Train ID","value":"170-05"},{"id":16,"name":"Locomotive ID","value":"4023"},{"id":130,"name":"Impact","value":""},{"id":150,"name":"Time of Event (Mountain Time)","value":"13:54:03"},{"id":151,"name":"Denver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0"/>
        <v>start /low /b %USERPROFILE%\Documents\GitHub\eaglep3\Utilities\DownloadLogsFromS3.py --loco 4023 --day 2017-09-05</v>
      </c>
      <c r="AN83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715</v>
      </c>
      <c r="B84" s="7">
        <v>4040</v>
      </c>
      <c r="C84" s="21" t="s">
        <v>197</v>
      </c>
      <c r="D84" s="21" t="s">
        <v>444</v>
      </c>
      <c r="E84" s="13">
        <v>42983.518587962964</v>
      </c>
      <c r="F84" s="13">
        <v>42983.521192129629</v>
      </c>
      <c r="G84" s="7">
        <v>58</v>
      </c>
      <c r="H84" s="21" t="s">
        <v>530</v>
      </c>
      <c r="I84" s="13">
        <v>42983.547719907408</v>
      </c>
      <c r="J84" s="7">
        <v>0</v>
      </c>
      <c r="K84" s="89" t="str">
        <f t="shared" si="38"/>
        <v>4039/4040</v>
      </c>
      <c r="L84" s="214" t="str">
        <f>VLOOKUP(A84,'Trips&amp;Operators'!$C$1:$G$99911,5,FALSE)</f>
        <v>DAVIS MICHAEL</v>
      </c>
      <c r="M84" s="6">
        <f t="shared" si="39"/>
        <v>2.6527777779847383E-2</v>
      </c>
      <c r="N84" s="7">
        <f t="shared" si="52"/>
        <v>38.200000002980232</v>
      </c>
      <c r="O84" s="7"/>
      <c r="P84" s="7"/>
      <c r="Q84" s="22"/>
      <c r="R84" s="167"/>
      <c r="S84" s="210">
        <f t="shared" si="53"/>
        <v>1</v>
      </c>
      <c r="T84" s="192" t="str">
        <f t="shared" si="40"/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41"/>
        <v>https://d0f6bd738d7f1b3e5a7ca70fe4ff75f0.us-east-1.aws.found.io/app/kibana#/discover/Steve-Slow-Train-Analysis-(2080s-and-2083s)?_g=(refreshInterval:(display:Off,pause:!f,section:0,value:0),time:(from:'2017-09-05T11:26:46-0600',mode:absolute,to:'2017-09-05T14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94" t="str">
        <f>IF(AA84&lt;VLOOKUP(AG84,Variables!$AC$3:$AD$8,2,FALSE),"Y","N")</f>
        <v>N</v>
      </c>
      <c r="X84" s="194">
        <f t="shared" si="42"/>
        <v>1</v>
      </c>
      <c r="Y84" s="194">
        <f t="shared" ref="Y84:Y101" si="54">RIGHT(D84,LEN(D84)-4)/10000</f>
        <v>4.5999999999999999E-2</v>
      </c>
      <c r="Z84" s="194">
        <f t="shared" ref="Z84:Z101" si="55">RIGHT(H84,LEN(H84)-4)/10000</f>
        <v>23.334199999999999</v>
      </c>
      <c r="AA84" s="194">
        <f t="shared" si="43"/>
        <v>23.2882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44"/>
        <v>171</v>
      </c>
      <c r="AE84" s="77" t="str">
        <f t="shared" si="4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84" s="74" t="str">
        <f t="shared" si="46"/>
        <v>"C:\Program Files (x86)\AstroGrep\AstroGrep.exe" /e /r /s /spath="%USERPROFILE%\AppData\Local\Temp\OnboardLogs" /stypes="app*4040*20170905*" /stext=" 19:.+((SYSTEM_STATE.+slice.+state.+changed )|(ment ac)|(multiple cpu faults)|(system.+state.+changed )|(\[timeout)|(PRM\|1\|D)|(kpr)|(kdp)|(train st.+moving)|(\|lc)|(penalty))"</v>
      </c>
      <c r="AG84" s="206" t="str">
        <f t="shared" si="47"/>
        <v>EC</v>
      </c>
      <c r="AH84" s="78" t="str">
        <f t="shared" si="48"/>
        <v>"%USERPROFILE%\Documents\GitHub\eaglep3\Utilities\RefineRTDCRunTimes.py" --tripid 171-05 --locoid 4040 --swversion DE.1.0.9.0 --startMP 204:460 --initTime 2017-09-05T12:26:46 --startdatetime 2017-09-05T12:30:31 --delay 58 --endMP 204:233342 --enddatetime 2017-09-05T13:08:43 --enforcementcount 0 &gt;&gt;C:\Users\stu\Documents\GitHub\eaglep3-reporting\EC\2017-09-05-refined-times.txt</v>
      </c>
      <c r="AI8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{"issue":{"subject":"","project_id":79,"tracker_id":40,"status_id":1,"priority_id":2,"assigned_to_id":338,"start_date":"2017-09-05","description":"","custom_fields":[{"id":1,"name":"Subdivision","value":"EC"},{"id":4,"name":"Milepost","value":"23.3342"},{"id":17,"name":"Train ID","value":"171-05"},{"id":16,"name":"Locomotive ID","value":"4040"},{"id":130,"name":"Impact","value":""},{"id":150,"name":"Time of Event (Mountain Time)","value":"13:08:43"},{"id":151,"name":"Denver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0"/>
        <v>start /low /b %USERPROFILE%\Documents\GitHub\eaglep3\Utilities\DownloadLogsFromS3.py --loco 4040 --day 2017-09-05</v>
      </c>
      <c r="AN84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4039</v>
      </c>
      <c r="C85" s="21" t="s">
        <v>197</v>
      </c>
      <c r="D85" s="21" t="s">
        <v>867</v>
      </c>
      <c r="E85" s="13">
        <v>42983.55872685185</v>
      </c>
      <c r="F85" s="13">
        <v>42983.561018518521</v>
      </c>
      <c r="G85" s="7">
        <v>57</v>
      </c>
      <c r="H85" s="21" t="s">
        <v>345</v>
      </c>
      <c r="I85" s="13">
        <v>42983.588622685187</v>
      </c>
      <c r="J85" s="7">
        <v>0</v>
      </c>
      <c r="K85" s="89" t="str">
        <f t="shared" si="38"/>
        <v>4039/4040</v>
      </c>
      <c r="L85" s="214" t="str">
        <f>VLOOKUP(A85,'Trips&amp;Operators'!$C$1:$G$99911,5,FALSE)</f>
        <v>DAVIS MICHAEL</v>
      </c>
      <c r="M85" s="6">
        <f t="shared" si="39"/>
        <v>2.7604166665696539E-2</v>
      </c>
      <c r="N85" s="7">
        <f t="shared" si="52"/>
        <v>39.749999998603016</v>
      </c>
      <c r="O85" s="7"/>
      <c r="P85" s="7"/>
      <c r="Q85" s="22"/>
      <c r="R85" s="167"/>
      <c r="S85" s="210">
        <f t="shared" si="53"/>
        <v>1</v>
      </c>
      <c r="T85" s="192" t="str">
        <f t="shared" si="40"/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41"/>
        <v>https://d0f6bd738d7f1b3e5a7ca70fe4ff75f0.us-east-1.aws.found.io/app/kibana#/discover/Steve-Slow-Train-Analysis-(2080s-and-2083s)?_g=(refreshInterval:(display:Off,pause:!f,section:0,value:0),time:(from:'2017-09-05T12:24:34-0600',mode:absolute,to:'2017-09-05T15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94" t="str">
        <f>IF(AA85&lt;VLOOKUP(AG85,Variables!$AC$3:$AD$8,2,FALSE),"Y","N")</f>
        <v>N</v>
      </c>
      <c r="X85" s="194">
        <f t="shared" si="42"/>
        <v>1</v>
      </c>
      <c r="Y85" s="194">
        <f t="shared" si="54"/>
        <v>23.302700000000002</v>
      </c>
      <c r="Z85" s="194">
        <f t="shared" si="55"/>
        <v>1.47E-2</v>
      </c>
      <c r="AA85" s="194">
        <f t="shared" si="43"/>
        <v>23.288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44"/>
        <v>172</v>
      </c>
      <c r="AE85" s="77" t="str">
        <f t="shared" si="4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85" s="74" t="str">
        <f t="shared" si="46"/>
        <v>"C:\Program Files (x86)\AstroGrep\AstroGrep.exe" /e /r /s /spath="%USERPROFILE%\AppData\Local\Temp\OnboardLogs" /stypes="app*4039*20170905*" /stext=" 20:.+((SYSTEM_STATE.+slice.+state.+changed )|(ment ac)|(multiple cpu faults)|(system.+state.+changed )|(\[timeout)|(PRM\|1\|D)|(kpr)|(kdp)|(train st.+moving)|(\|lc)|(penalty))"</v>
      </c>
      <c r="AG85" s="206" t="str">
        <f t="shared" si="47"/>
        <v>EC</v>
      </c>
      <c r="AH85" s="78" t="str">
        <f t="shared" si="48"/>
        <v>"%USERPROFILE%\Documents\GitHub\eaglep3\Utilities\RefineRTDCRunTimes.py" --tripid 172-05 --locoid 4039 --swversion DE.1.0.9.0 --startMP 204:233027 --initTime 2017-09-05T13:24:34 --startdatetime 2017-09-05T13:27:52 --delay 57 --endMP 204:147 --enddatetime 2017-09-05T14:07:37 --enforcementcount 0 &gt;&gt;C:\Users\stu\Documents\GitHub\eaglep3-reporting\EC\2017-09-05-refined-times.txt</v>
      </c>
      <c r="AI8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ID","value":"172-05"},{"id":16,"name":"Locomotive ID","value":"4039"},{"id":130,"name":"Impact","value":""},{"id":150,"name":"Time of Event (Mountain Time)","value":"14:07:37"},{"id":151,"name":"Denver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0"/>
        <v>start /low /b %USERPROFILE%\Documents\GitHub\eaglep3\Utilities\DownloadLogsFromS3.py --loco 4039 --day 2017-09-05</v>
      </c>
      <c r="AN85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717</v>
      </c>
      <c r="B86" s="7">
        <v>4044</v>
      </c>
      <c r="C86" s="21" t="s">
        <v>197</v>
      </c>
      <c r="D86" s="21" t="s">
        <v>369</v>
      </c>
      <c r="E86" s="13">
        <v>42983.528252314813</v>
      </c>
      <c r="F86" s="13">
        <v>42983.534780092596</v>
      </c>
      <c r="G86" s="7">
        <v>75</v>
      </c>
      <c r="H86" s="21" t="s">
        <v>830</v>
      </c>
      <c r="I86" s="13">
        <v>42983.560057870367</v>
      </c>
      <c r="J86" s="7">
        <v>0</v>
      </c>
      <c r="K86" s="89" t="str">
        <f t="shared" si="38"/>
        <v>4043/4044</v>
      </c>
      <c r="L86" s="214" t="str">
        <f>VLOOKUP(A86,'Trips&amp;Operators'!$C$1:$G$99911,5,FALSE)</f>
        <v>SMITH MICHAEL</v>
      </c>
      <c r="M86" s="6">
        <f t="shared" si="39"/>
        <v>2.5277777771407273E-2</v>
      </c>
      <c r="N86" s="7">
        <f t="shared" si="52"/>
        <v>36.399999990826473</v>
      </c>
      <c r="O86" s="7"/>
      <c r="P86" s="7"/>
      <c r="Q86" s="22"/>
      <c r="R86" s="167"/>
      <c r="S86" s="210">
        <f t="shared" si="53"/>
        <v>1</v>
      </c>
      <c r="T86" s="192" t="str">
        <f t="shared" si="40"/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41"/>
        <v>https://d0f6bd738d7f1b3e5a7ca70fe4ff75f0.us-east-1.aws.found.io/app/kibana#/discover/Steve-Slow-Train-Analysis-(2080s-and-2083s)?_g=(refreshInterval:(display:Off,pause:!f,section:0,value:0),time:(from:'2017-09-05T11:40:41-0600',mode:absolute,to:'2017-09-05T14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194" t="str">
        <f>IF(AA86&lt;VLOOKUP(AG86,Variables!$AC$3:$AD$8,2,FALSE),"Y","N")</f>
        <v>N</v>
      </c>
      <c r="X86" s="194">
        <f t="shared" si="42"/>
        <v>1</v>
      </c>
      <c r="Y86" s="194">
        <f t="shared" si="54"/>
        <v>4.6399999999999997E-2</v>
      </c>
      <c r="Z86" s="194">
        <f t="shared" si="55"/>
        <v>23.3293</v>
      </c>
      <c r="AA86" s="194">
        <f t="shared" si="43"/>
        <v>23.282900000000001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44"/>
        <v>173</v>
      </c>
      <c r="AE86" s="77" t="str">
        <f t="shared" si="45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86" s="74" t="str">
        <f t="shared" si="46"/>
        <v>"C:\Program Files (x86)\AstroGrep\AstroGrep.exe" /e /r /s /spath="%USERPROFILE%\AppData\Local\Temp\OnboardLogs" /stypes="app*4044*20170905*" /stext=" 19:.+((SYSTEM_STATE.+slice.+state.+changed )|(ment ac)|(multiple cpu faults)|(system.+state.+changed )|(\[timeout)|(PRM\|1\|D)|(kpr)|(kdp)|(train st.+moving)|(\|lc)|(penalty))"</v>
      </c>
      <c r="AG86" s="206" t="str">
        <f t="shared" si="47"/>
        <v>EC</v>
      </c>
      <c r="AH86" s="78" t="str">
        <f t="shared" si="48"/>
        <v>"%USERPROFILE%\Documents\GitHub\eaglep3\Utilities\RefineRTDCRunTimes.py" --tripid 173-05 --locoid 4044 --swversion DE.1.0.9.0 --startMP 204:464 --initTime 2017-09-05T12:40:41 --startdatetime 2017-09-05T12:50:05 --delay 75 --endMP 204:233293 --enddatetime 2017-09-05T13:26:29 --enforcementcount 0 &gt;&gt;C:\Users\stu\Documents\GitHub\eaglep3-reporting\EC\2017-09-05-refined-times.txt</v>
      </c>
      <c r="AI86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{"issue":{"subject":"","project_id":79,"tracker_id":40,"status_id":1,"priority_id":2,"assigned_to_id":338,"start_date":"2017-09-05","description":"","custom_fields":[{"id":1,"name":"Subdivision","value":"EC"},{"id":4,"name":"Milepost","value":"23.3293"},{"id":17,"name":"Train ID","value":"173-05"},{"id":16,"name":"Locomotive ID","value":"4044"},{"id":130,"name":"Impact","value":""},{"id":150,"name":"Time of Event (Mountain Time)","value":"13:26:29"},{"id":151,"name":"Denver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0"/>
        <v>start /low /b %USERPROFILE%\Documents\GitHub\eaglep3\Utilities\DownloadLogsFromS3.py --loco 4044 --day 2017-09-05</v>
      </c>
      <c r="AN86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727</v>
      </c>
      <c r="B87" s="7">
        <v>4043</v>
      </c>
      <c r="C87" s="21" t="s">
        <v>197</v>
      </c>
      <c r="D87" s="21" t="s">
        <v>351</v>
      </c>
      <c r="E87" s="13">
        <v>42983.564699074072</v>
      </c>
      <c r="F87" s="13">
        <v>42983.571111111109</v>
      </c>
      <c r="G87" s="7">
        <v>77</v>
      </c>
      <c r="H87" s="21" t="s">
        <v>372</v>
      </c>
      <c r="I87" s="13">
        <v>42983.597268518519</v>
      </c>
      <c r="J87" s="7">
        <v>0</v>
      </c>
      <c r="K87" s="89" t="str">
        <f t="shared" si="38"/>
        <v>4043/4044</v>
      </c>
      <c r="L87" s="214" t="str">
        <f>VLOOKUP(A87,'Trips&amp;Operators'!$C$1:$G$99911,5,FALSE)</f>
        <v>SMITH MICHAEL</v>
      </c>
      <c r="M87" s="6">
        <f t="shared" si="39"/>
        <v>2.6157407410209998E-2</v>
      </c>
      <c r="N87" s="7">
        <f t="shared" si="52"/>
        <v>37.666666670702398</v>
      </c>
      <c r="O87" s="7"/>
      <c r="P87" s="7"/>
      <c r="Q87" s="22"/>
      <c r="R87" s="167"/>
      <c r="S87" s="210">
        <f t="shared" si="53"/>
        <v>1</v>
      </c>
      <c r="T87" s="192" t="str">
        <f t="shared" si="40"/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41"/>
        <v>https://d0f6bd738d7f1b3e5a7ca70fe4ff75f0.us-east-1.aws.found.io/app/kibana#/discover/Steve-Slow-Train-Analysis-(2080s-and-2083s)?_g=(refreshInterval:(display:Off,pause:!f,section:0,value:0),time:(from:'2017-09-05T12:33:10-0600',mode:absolute,to:'2017-09-05T15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194" t="str">
        <f>IF(AA87&lt;VLOOKUP(AG87,Variables!$AC$3:$AD$8,2,FALSE),"Y","N")</f>
        <v>N</v>
      </c>
      <c r="X87" s="194">
        <f t="shared" si="42"/>
        <v>1</v>
      </c>
      <c r="Y87" s="194">
        <f t="shared" si="54"/>
        <v>23.299600000000002</v>
      </c>
      <c r="Z87" s="194">
        <f t="shared" si="55"/>
        <v>1.38E-2</v>
      </c>
      <c r="AA87" s="194">
        <f t="shared" si="43"/>
        <v>23.285800000000002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44"/>
        <v>174</v>
      </c>
      <c r="AE87" s="77" t="str">
        <f t="shared" si="45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87" s="74" t="str">
        <f t="shared" si="46"/>
        <v>"C:\Program Files (x86)\AstroGrep\AstroGrep.exe" /e /r /s /spath="%USERPROFILE%\AppData\Local\Temp\OnboardLogs" /stypes="app*4043*20170905*" /stext=" 20:.+((SYSTEM_STATE.+slice.+state.+changed )|(ment ac)|(multiple cpu faults)|(system.+state.+changed )|(\[timeout)|(PRM\|1\|D)|(kpr)|(kdp)|(train st.+moving)|(\|lc)|(penalty))"</v>
      </c>
      <c r="AG87" s="206" t="str">
        <f t="shared" si="47"/>
        <v>EC</v>
      </c>
      <c r="AH87" s="78" t="str">
        <f t="shared" si="48"/>
        <v>"%USERPROFILE%\Documents\GitHub\eaglep3\Utilities\RefineRTDCRunTimes.py" --tripid 174-05 --locoid 4043 --swversion DE.1.0.9.0 --startMP 204:232996 --initTime 2017-09-05T13:33:10 --startdatetime 2017-09-05T13:42:24 --delay 77 --endMP 204:138 --enddatetime 2017-09-05T14:20:04 --enforcementcount 0 &gt;&gt;C:\Users\stu\Documents\GitHub\eaglep3-reporting\EC\2017-09-05-refined-times.txt</v>
      </c>
      <c r="AI8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{"issue":{"subject":"","project_id":79,"tracker_id":40,"status_id":1,"priority_id":2,"assigned_to_id":338,"start_date":"2017-09-05","description":"","custom_fields":[{"id":1,"name":"Subdivision","value":"EC"},{"id":4,"name":"Milepost","value":"0.0138"},{"id":17,"name":"Train ID","value":"174-05"},{"id":16,"name":"Locomotive ID","value":"4043"},{"id":130,"name":"Impact","value":""},{"id":150,"name":"Time of Event (Mountain Time)","value":"14:20:04"},{"id":151,"name":"Denver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0"/>
        <v>start /low /b %USERPROFILE%\Documents\GitHub\eaglep3\Utilities\DownloadLogsFromS3.py --loco 4043 --day 2017-09-05</v>
      </c>
      <c r="AN87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719</v>
      </c>
      <c r="B88" s="7">
        <v>4008</v>
      </c>
      <c r="C88" s="21" t="s">
        <v>197</v>
      </c>
      <c r="D88" s="21" t="s">
        <v>363</v>
      </c>
      <c r="E88" s="13">
        <v>42983.535752314812</v>
      </c>
      <c r="F88" s="13">
        <v>42983.541805555556</v>
      </c>
      <c r="G88" s="7">
        <v>82</v>
      </c>
      <c r="H88" s="21" t="s">
        <v>486</v>
      </c>
      <c r="I88" s="13">
        <v>42983.566840277781</v>
      </c>
      <c r="J88" s="7">
        <v>0</v>
      </c>
      <c r="K88" s="89" t="str">
        <f t="shared" si="38"/>
        <v>4007/4008</v>
      </c>
      <c r="L88" s="214" t="str">
        <f>VLOOKUP(A88,'Trips&amp;Operators'!$C$1:$G$99911,5,FALSE)</f>
        <v>NEWELL JAMES</v>
      </c>
      <c r="M88" s="6">
        <f t="shared" si="39"/>
        <v>2.5034722224518191E-2</v>
      </c>
      <c r="N88" s="7">
        <f t="shared" si="52"/>
        <v>36.050000003306195</v>
      </c>
      <c r="O88" s="7"/>
      <c r="P88" s="7"/>
      <c r="Q88" s="22"/>
      <c r="R88" s="167"/>
      <c r="S88" s="210">
        <f t="shared" si="53"/>
        <v>1</v>
      </c>
      <c r="T88" s="192" t="str">
        <f t="shared" si="40"/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41"/>
        <v>https://d0f6bd738d7f1b3e5a7ca70fe4ff75f0.us-east-1.aws.found.io/app/kibana#/discover/Steve-Slow-Train-Analysis-(2080s-and-2083s)?_g=(refreshInterval:(display:Off,pause:!f,section:0,value:0),time:(from:'2017-09-05T11:51:29-0600',mode:absolute,to:'2017-09-05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194" t="str">
        <f>IF(AA88&lt;VLOOKUP(AG88,Variables!$AC$3:$AD$8,2,FALSE),"Y","N")</f>
        <v>N</v>
      </c>
      <c r="X88" s="194">
        <f t="shared" si="42"/>
        <v>1</v>
      </c>
      <c r="Y88" s="194">
        <f t="shared" si="54"/>
        <v>4.58E-2</v>
      </c>
      <c r="Z88" s="194">
        <f t="shared" si="55"/>
        <v>23.331399999999999</v>
      </c>
      <c r="AA88" s="194">
        <f t="shared" si="43"/>
        <v>23.285599999999999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44"/>
        <v>175</v>
      </c>
      <c r="AE88" s="77" t="str">
        <f t="shared" si="45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88" s="74" t="str">
        <f t="shared" si="46"/>
        <v>"C:\Program Files (x86)\AstroGrep\AstroGrep.exe" /e /r /s /spath="%USERPROFILE%\AppData\Local\Temp\OnboardLogs" /stypes="app*4008*20170905*" /stext=" 19:.+((SYSTEM_STATE.+slice.+state.+changed )|(ment ac)|(multiple cpu faults)|(system.+state.+changed )|(\[timeout)|(PRM\|1\|D)|(kpr)|(kdp)|(train st.+moving)|(\|lc)|(penalty))"</v>
      </c>
      <c r="AG88" s="206" t="str">
        <f t="shared" si="47"/>
        <v>EC</v>
      </c>
      <c r="AH88" s="78" t="str">
        <f t="shared" si="48"/>
        <v>"%USERPROFILE%\Documents\GitHub\eaglep3\Utilities\RefineRTDCRunTimes.py" --tripid 175-05 --locoid 4008 --swversion DE.1.0.9.0 --startMP 204:458 --initTime 2017-09-05T12:51:29 --startdatetime 2017-09-05T13:00:12 --delay 82 --endMP 204:233314 --enddatetime 2017-09-05T13:36:15 --enforcementcount 0 &gt;&gt;C:\Users\stu\Documents\GitHub\eaglep3-reporting\EC\2017-09-05-refined-times.txt</v>
      </c>
      <c r="AI8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{"issue":{"subject":"","project_id":79,"tracker_id":40,"status_id":1,"priority_id":2,"assigned_to_id":338,"start_date":"2017-09-05","description":"","custom_fields":[{"id":1,"name":"Subdivision","value":"EC"},{"id":4,"name":"Milepost","value":"23.3314"},{"id":17,"name":"Train ID","value":"175-05"},{"id":16,"name":"Locomotive ID","value":"4008"},{"id":130,"name":"Impact","value":""},{"id":150,"name":"Time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0"/>
        <v>start /low /b %USERPROFILE%\Documents\GitHub\eaglep3\Utilities\DownloadLogsFromS3.py --loco 4008 --day 2017-09-05</v>
      </c>
      <c r="AN88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596</v>
      </c>
      <c r="B89" s="7">
        <v>4007</v>
      </c>
      <c r="C89" s="21" t="s">
        <v>197</v>
      </c>
      <c r="D89" s="21" t="s">
        <v>389</v>
      </c>
      <c r="E89" s="13">
        <v>42983.569039351853</v>
      </c>
      <c r="F89" s="13">
        <v>42983.581400462965</v>
      </c>
      <c r="G89" s="7">
        <v>55</v>
      </c>
      <c r="H89" s="21" t="s">
        <v>868</v>
      </c>
      <c r="I89" s="13">
        <v>42983.608055555553</v>
      </c>
      <c r="J89" s="7">
        <v>0</v>
      </c>
      <c r="K89" s="89" t="str">
        <f t="shared" si="38"/>
        <v>4007/4008</v>
      </c>
      <c r="L89" s="214" t="str">
        <f>VLOOKUP(A89,'Trips&amp;Operators'!$C$1:$G$99911,5,FALSE)</f>
        <v>NEWELL JAMES</v>
      </c>
      <c r="M89" s="6">
        <f t="shared" si="39"/>
        <v>2.6655092588043772E-2</v>
      </c>
      <c r="N89" s="7">
        <f t="shared" si="52"/>
        <v>38.383333326783031</v>
      </c>
      <c r="O89" s="7"/>
      <c r="P89" s="7"/>
      <c r="Q89" s="22"/>
      <c r="R89" s="167"/>
      <c r="S89" s="210">
        <f t="shared" si="53"/>
        <v>1</v>
      </c>
      <c r="T89" s="192" t="str">
        <f t="shared" si="40"/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41"/>
        <v>https://d0f6bd738d7f1b3e5a7ca70fe4ff75f0.us-east-1.aws.found.io/app/kibana#/discover/Steve-Slow-Train-Analysis-(2080s-and-2083s)?_g=(refreshInterval:(display:Off,pause:!f,section:0,value:0),time:(from:'2017-09-05T12:39:25-0600',mode:absolute,to:'2017-09-05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9" s="194" t="str">
        <f>IF(AA89&lt;VLOOKUP(AG89,Variables!$AC$3:$AD$8,2,FALSE),"Y","N")</f>
        <v>N</v>
      </c>
      <c r="X89" s="194">
        <f t="shared" si="42"/>
        <v>1</v>
      </c>
      <c r="Y89" s="194">
        <f t="shared" si="54"/>
        <v>23.297699999999999</v>
      </c>
      <c r="Z89" s="194">
        <f t="shared" si="55"/>
        <v>9.11E-2</v>
      </c>
      <c r="AA89" s="194">
        <f t="shared" si="43"/>
        <v>23.206599999999998</v>
      </c>
      <c r="AB89" s="54" t="str">
        <f>VLOOKUP(A89,Enforcements!$C$7:$K$11,8,0)</f>
        <v>Bulletin (2)</v>
      </c>
      <c r="AC89" s="51" t="str">
        <f>VLOOKUP(A89,Enforcements!$C$7:$E$11,3,0)</f>
        <v>GRADE CROSSING</v>
      </c>
      <c r="AD89" s="203">
        <f t="shared" si="44"/>
        <v>176</v>
      </c>
      <c r="AE89" s="77" t="str">
        <f t="shared" si="45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89" s="74" t="str">
        <f t="shared" si="46"/>
        <v>"C:\Program Files (x86)\AstroGrep\AstroGrep.exe" /e /r /s /spath="%USERPROFILE%\AppData\Local\Temp\OnboardLogs" /stypes="app*4007*20170905*" /stext=" 20:.+((SYSTEM_STATE.+slice.+state.+changed )|(ment ac)|(multiple cpu faults)|(system.+state.+changed )|(\[timeout)|(PRM\|1\|D)|(kpr)|(kdp)|(train st.+moving)|(\|lc)|(penalty))"</v>
      </c>
      <c r="AG89" s="206" t="str">
        <f t="shared" si="47"/>
        <v>EC</v>
      </c>
      <c r="AH89" s="78" t="str">
        <f t="shared" si="48"/>
        <v>"%USERPROFILE%\Documents\GitHub\eaglep3\Utilities\RefineRTDCRunTimes.py" --tripid 176-05 --locoid 4007 --swversion DE.1.0.9.0 --startMP 204:232977 --initTime 2017-09-05T13:39:25 --startdatetime 2017-09-05T13:57:13 --delay 55 --endMP 204:911 --enddatetime 2017-09-05T14:35:36 --enforcementcount 0 &gt;&gt;C:\Users\stu\Documents\GitHub\eaglep3-reporting\EC\2017-09-05-refined-times.txt</v>
      </c>
      <c r="AI89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{"issue":{"subject":"","project_id":79,"tracker_id":40,"status_id":1,"priority_id":2,"assigned_to_id":338,"start_date":"2017-09-05","description":"","custom_fields":[{"id":1,"name":"Subdivision","value":"EC"},{"id":4,"name":"Milepost","value":"0.0911"},{"id":17,"name":"Train ID","value":"176-05"},{"id":16,"name":"Locomotive ID","value":"4007"},{"id":130,"name":"Impact","value":""},{"id":150,"name":"Time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0"/>
        <v>start /low /b %USERPROFILE%\Documents\GitHub\eaglep3\Utilities\DownloadLogsFromS3.py --loco 4007 --day 2017-09-05</v>
      </c>
      <c r="AN89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723</v>
      </c>
      <c r="B90" s="7">
        <v>4010</v>
      </c>
      <c r="C90" s="21" t="s">
        <v>197</v>
      </c>
      <c r="D90" s="21" t="s">
        <v>869</v>
      </c>
      <c r="E90" s="13">
        <v>42983.547164351854</v>
      </c>
      <c r="F90" s="13">
        <v>42983.552256944444</v>
      </c>
      <c r="G90" s="7">
        <v>51</v>
      </c>
      <c r="H90" s="21" t="s">
        <v>399</v>
      </c>
      <c r="I90" s="13">
        <v>42983.577060185184</v>
      </c>
      <c r="J90" s="7">
        <v>0</v>
      </c>
      <c r="K90" s="89" t="str">
        <f t="shared" si="38"/>
        <v>4009/4010</v>
      </c>
      <c r="L90" s="214" t="str">
        <f>VLOOKUP(A90,'Trips&amp;Operators'!$C$1:$G$99911,5,FALSE)</f>
        <v>ROBINSON KADDIBA</v>
      </c>
      <c r="M90" s="6">
        <f t="shared" si="39"/>
        <v>2.4803240739856847E-2</v>
      </c>
      <c r="N90" s="7">
        <f t="shared" si="52"/>
        <v>35.716666665393859</v>
      </c>
      <c r="O90" s="7"/>
      <c r="P90" s="7"/>
      <c r="Q90" s="22"/>
      <c r="R90" s="167"/>
      <c r="S90" s="210">
        <f t="shared" si="53"/>
        <v>1</v>
      </c>
      <c r="T90" s="192" t="str">
        <f t="shared" si="40"/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41"/>
        <v>https://d0f6bd738d7f1b3e5a7ca70fe4ff75f0.us-east-1.aws.found.io/app/kibana#/discover/Steve-Slow-Train-Analysis-(2080s-and-2083s)?_g=(refreshInterval:(display:Off,pause:!f,section:0,value:0),time:(from:'2017-09-05T12:07:55-0600',mode:absolute,to:'2017-09-05T14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0" s="194" t="str">
        <f>IF(AA90&lt;VLOOKUP(AG90,Variables!$AC$3:$AD$8,2,FALSE),"Y","N")</f>
        <v>N</v>
      </c>
      <c r="X90" s="194">
        <f t="shared" si="42"/>
        <v>1</v>
      </c>
      <c r="Y90" s="194">
        <f t="shared" si="54"/>
        <v>4.3299999999999998E-2</v>
      </c>
      <c r="Z90" s="194">
        <f t="shared" si="55"/>
        <v>23.329499999999999</v>
      </c>
      <c r="AA90" s="194">
        <f t="shared" si="43"/>
        <v>23.286200000000001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44"/>
        <v>177</v>
      </c>
      <c r="AE90" s="77" t="str">
        <f t="shared" si="4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90" s="74" t="str">
        <f t="shared" si="46"/>
        <v>"C:\Program Files (x86)\AstroGrep\AstroGrep.exe" /e /r /s /spath="%USERPROFILE%\AppData\Local\Temp\OnboardLogs" /stypes="app*4010*20170905*" /stext=" 19:.+((SYSTEM_STATE.+slice.+state.+changed )|(ment ac)|(multiple cpu faults)|(system.+state.+changed )|(\[timeout)|(PRM\|1\|D)|(kpr)|(kdp)|(train st.+moving)|(\|lc)|(penalty))"</v>
      </c>
      <c r="AG90" s="206" t="str">
        <f t="shared" si="47"/>
        <v>EC</v>
      </c>
      <c r="AH90" s="78" t="str">
        <f t="shared" si="48"/>
        <v>"%USERPROFILE%\Documents\GitHub\eaglep3\Utilities\RefineRTDCRunTimes.py" --tripid 177-05 --locoid 4010 --swversion DE.1.0.9.0 --startMP 204:433 --initTime 2017-09-05T13:07:55 --startdatetime 2017-09-05T13:15:15 --delay 51 --endMP 204:233295 --enddatetime 2017-09-05T13:50:58 --enforcementcount 0 &gt;&gt;C:\Users\stu\Documents\GitHub\eaglep3-reporting\EC\2017-09-05-refined-times.txt</v>
      </c>
      <c r="AI9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{"issue":{"subject":"","project_id":79,"tracker_id":40,"status_id":1,"priority_id":2,"assigned_to_id":338,"start_date":"2017-09-05","description":"","custom_fields":[{"id":1,"name":"Subdivision","value":"EC"},{"id":4,"name":"Milepost","value":"23.3295"},{"id":17,"name":"Train ID","value":"177-05"},{"id":16,"name":"Locomotive ID","value":"4010"},{"id":130,"name":"Impact","value":""},{"id":150,"name":"Time of Event (Mountain Time)","value":"13:50:58"},{"id":151,"name":"Denver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0"/>
        <v>start /low /b %USERPROFILE%\Documents\GitHub\eaglep3\Utilities\DownloadLogsFromS3.py --loco 4010 --day 2017-09-05</v>
      </c>
      <c r="AN90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731</v>
      </c>
      <c r="B91" s="7">
        <v>4009</v>
      </c>
      <c r="C91" s="21" t="s">
        <v>197</v>
      </c>
      <c r="D91" s="21" t="s">
        <v>483</v>
      </c>
      <c r="E91" s="13">
        <v>42983.586851851855</v>
      </c>
      <c r="F91" s="13">
        <v>42983.591851851852</v>
      </c>
      <c r="G91" s="7">
        <v>57</v>
      </c>
      <c r="H91" s="21" t="s">
        <v>870</v>
      </c>
      <c r="I91" s="13">
        <v>42983.61886574074</v>
      </c>
      <c r="J91" s="7">
        <v>0</v>
      </c>
      <c r="K91" s="89" t="str">
        <f t="shared" si="38"/>
        <v>4009/4010</v>
      </c>
      <c r="L91" s="214" t="str">
        <f>VLOOKUP(A91,'Trips&amp;Operators'!$C$1:$G$99911,5,FALSE)</f>
        <v>ROBINSON KADDIBA</v>
      </c>
      <c r="M91" s="6">
        <f t="shared" si="39"/>
        <v>2.7013888888177462E-2</v>
      </c>
      <c r="N91" s="7">
        <f t="shared" si="52"/>
        <v>38.899999998975545</v>
      </c>
      <c r="O91" s="7"/>
      <c r="P91" s="7"/>
      <c r="Q91" s="22"/>
      <c r="R91" s="167"/>
      <c r="S91" s="210">
        <f t="shared" si="53"/>
        <v>1</v>
      </c>
      <c r="T91" s="192" t="str">
        <f t="shared" si="40"/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41"/>
        <v>https://d0f6bd738d7f1b3e5a7ca70fe4ff75f0.us-east-1.aws.found.io/app/kibana#/discover/Steve-Slow-Train-Analysis-(2080s-and-2083s)?_g=(refreshInterval:(display:Off,pause:!f,section:0,value:0),time:(from:'2017-09-05T13:05:04-0600',mode:absolute,to:'2017-09-05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94" t="str">
        <f>IF(AA91&lt;VLOOKUP(AG91,Variables!$AC$3:$AD$8,2,FALSE),"Y","N")</f>
        <v>N</v>
      </c>
      <c r="X91" s="194">
        <f t="shared" si="42"/>
        <v>1</v>
      </c>
      <c r="Y91" s="194">
        <f t="shared" si="54"/>
        <v>23.297499999999999</v>
      </c>
      <c r="Z91" s="194">
        <f t="shared" si="55"/>
        <v>1.2999999999999999E-2</v>
      </c>
      <c r="AA91" s="194">
        <f t="shared" si="43"/>
        <v>23.284499999999998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44"/>
        <v>178</v>
      </c>
      <c r="AE91" s="77" t="str">
        <f t="shared" si="45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91" s="74" t="str">
        <f t="shared" si="46"/>
        <v>"C:\Program Files (x86)\AstroGrep\AstroGrep.exe" /e /r /s /spath="%USERPROFILE%\AppData\Local\Temp\OnboardLogs" /stypes="app*4009*20170905*" /stext=" 20:.+((SYSTEM_STATE.+slice.+state.+changed )|(ment ac)|(multiple cpu faults)|(system.+state.+changed )|(\[timeout)|(PRM\|1\|D)|(kpr)|(kdp)|(train st.+moving)|(\|lc)|(penalty))"</v>
      </c>
      <c r="AG91" s="206" t="str">
        <f t="shared" si="47"/>
        <v>EC</v>
      </c>
      <c r="AH91" s="78" t="str">
        <f t="shared" si="48"/>
        <v>"%USERPROFILE%\Documents\GitHub\eaglep3\Utilities\RefineRTDCRunTimes.py" --tripid 178-05 --locoid 4009 --swversion DE.1.0.9.0 --startMP 204:232975 --initTime 2017-09-05T14:05:04 --startdatetime 2017-09-05T14:12:16 --delay 57 --endMP 204:130 --enddatetime 2017-09-05T14:51:10 --enforcementcount 0 &gt;&gt;C:\Users\stu\Documents\GitHub\eaglep3-reporting\EC\2017-09-05-refined-times.txt</v>
      </c>
      <c r="AI9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{"issue":{"subject":"","project_id":79,"tracker_id":40,"status_id":1,"priority_id":2,"assigned_to_id":338,"start_date":"2017-09-05","description":"","custom_fields":[{"id":1,"name":"Subdivision","value":"EC"},{"id":4,"name":"Milepost","value":"0.013"},{"id":17,"name":"Train ID","value":"178-05"},{"id":16,"name":"Locomotive ID","value":"4009"},{"id":130,"name":"Impact","value":""},{"id":150,"name":"Time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0"/>
        <v>start /low /b %USERPROFILE%\Documents\GitHub\eaglep3\Utilities\DownloadLogsFromS3.py --loco 4009 --day 2017-09-05</v>
      </c>
      <c r="AN91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726</v>
      </c>
      <c r="B92" s="7">
        <v>4030</v>
      </c>
      <c r="C92" s="21" t="s">
        <v>197</v>
      </c>
      <c r="D92" s="21" t="s">
        <v>839</v>
      </c>
      <c r="E92" s="13">
        <v>42983.553541666668</v>
      </c>
      <c r="F92" s="13">
        <v>42983.562511574077</v>
      </c>
      <c r="G92" s="7">
        <v>748</v>
      </c>
      <c r="H92" s="21" t="s">
        <v>530</v>
      </c>
      <c r="I92" s="13">
        <v>42983.587893518517</v>
      </c>
      <c r="J92" s="7">
        <v>0</v>
      </c>
      <c r="K92" s="89" t="str">
        <f t="shared" si="38"/>
        <v>4029/4030</v>
      </c>
      <c r="L92" s="214" t="str">
        <f>VLOOKUP(A92,'Trips&amp;Operators'!$C$1:$G$99911,5,FALSE)</f>
        <v>LEVIN SCOTT</v>
      </c>
      <c r="M92" s="6">
        <f t="shared" si="39"/>
        <v>2.5381944440596271E-2</v>
      </c>
      <c r="N92" s="7">
        <f t="shared" si="52"/>
        <v>36.549999994458631</v>
      </c>
      <c r="O92" s="7"/>
      <c r="P92" s="7"/>
      <c r="Q92" s="22"/>
      <c r="R92" s="167"/>
      <c r="S92" s="210">
        <f t="shared" si="53"/>
        <v>1</v>
      </c>
      <c r="T92" s="192" t="str">
        <f t="shared" si="40"/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41"/>
        <v>https://d0f6bd738d7f1b3e5a7ca70fe4ff75f0.us-east-1.aws.found.io/app/kibana#/discover/Steve-Slow-Train-Analysis-(2080s-and-2083s)?_g=(refreshInterval:(display:Off,pause:!f,section:0,value:0),time:(from:'2017-09-05T12:17:06-0600',mode:absolute,to:'2017-09-05T15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2" s="194" t="str">
        <f>IF(AA92&lt;VLOOKUP(AG92,Variables!$AC$3:$AD$8,2,FALSE),"Y","N")</f>
        <v>N</v>
      </c>
      <c r="X92" s="194">
        <f t="shared" ref="X92:X94" si="56">VALUE(LEFT(AD92,4))-VALUE(LEFT(AD91,4))</f>
        <v>1</v>
      </c>
      <c r="Y92" s="194">
        <f t="shared" si="54"/>
        <v>4.3999999999999997E-2</v>
      </c>
      <c r="Z92" s="194">
        <f t="shared" si="55"/>
        <v>23.334199999999999</v>
      </c>
      <c r="AA92" s="194">
        <f t="shared" si="43"/>
        <v>23.290199999999999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44"/>
        <v>179</v>
      </c>
      <c r="AE92" s="77" t="str">
        <f t="shared" si="45"/>
        <v>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 &amp; 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</v>
      </c>
      <c r="AF92" s="74" t="str">
        <f t="shared" si="46"/>
        <v>"C:\Program Files (x86)\AstroGrep\AstroGrep.exe" /e /r /s /spath="%USERPROFILE%\AppData\Local\Temp\OnboardLogs" /stypes="app*4030*20170905*" /stext=" 20:.+((SYSTEM_STATE.+slice.+state.+changed )|(ment ac)|(multiple cpu faults)|(system.+state.+changed )|(\[timeout)|(PRM\|1\|D)|(kpr)|(kdp)|(train st.+moving)|(\|lc)|(penalty))"</v>
      </c>
      <c r="AG92" s="206" t="str">
        <f t="shared" si="47"/>
        <v>EC</v>
      </c>
      <c r="AH92" s="78" t="str">
        <f t="shared" ref="AH92" si="57"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179-05 --locoid 4030 --swversion DE.1.0.9.0 --startMP 204:440 --initTime 2017-09-05T13:17:06 --startdatetime 2017-09-05T13:30:01 --delay 748 --endMP 204:233342 --enddatetime 2017-09-05T14:06:34 --enforcementcount 0 &gt;&gt;C:\Users\stu\Documents\GitHub\eaglep3-reporting\EC\2017-09-05-refined-times.txt</v>
      </c>
      <c r="AI92" s="96" t="str">
        <f t="shared" ref="AI92" si="58"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{"issue":{"subject":"","project_id":79,"tracker_id":40,"status_id":1,"priority_id":2,"assigned_to_id":338,"start_date":"2017-09-05","description":"","custom_fields":[{"id":1,"name":"Subdivision","value":"EC"},{"id":4,"name":"Milepost","value":"23.3342"},{"id":17,"name":"Train ID","value":"179-05"},{"id":16,"name":"Locomotive ID","value":"4030"},{"id":130,"name":"Impact","value":""},{"id":150,"name":"Time of Event (Mountain Time)","value":"14:06:34"},{"id":151,"name":"Denver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ref="AM92" si="59">"start /low /b "&amp;dls3logs&amp;" --loco "&amp;B92&amp;" --day "&amp;TEXT(F92,"YYYY-MM-DD")</f>
        <v>start /low /b %USERPROFILE%\Documents\GitHub\eaglep3\Utilities\DownloadLogsFromS3.py --loco 4030 --day 2017-09-05</v>
      </c>
      <c r="AN92" s="151" t="str">
        <f t="shared" ref="AN92" si="60"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</row>
    <row r="93" spans="1:91" s="1" customFormat="1" x14ac:dyDescent="0.25">
      <c r="A93" s="32" t="s">
        <v>597</v>
      </c>
      <c r="B93" s="7">
        <v>4029</v>
      </c>
      <c r="C93" s="21" t="s">
        <v>197</v>
      </c>
      <c r="D93" s="21" t="s">
        <v>864</v>
      </c>
      <c r="E93" s="13">
        <v>42983.592256944445</v>
      </c>
      <c r="F93" s="13">
        <v>42983.602326388886</v>
      </c>
      <c r="G93" s="7">
        <v>93</v>
      </c>
      <c r="H93" s="21" t="s">
        <v>347</v>
      </c>
      <c r="I93" s="13">
        <v>42983.628668981481</v>
      </c>
      <c r="J93" s="7">
        <v>0</v>
      </c>
      <c r="K93" s="89" t="str">
        <f t="shared" si="38"/>
        <v>4029/4030</v>
      </c>
      <c r="L93" s="214" t="str">
        <f>VLOOKUP(A93,'Trips&amp;Operators'!$C$1:$G$99911,5,FALSE)</f>
        <v>LEVIN SCOTT</v>
      </c>
      <c r="M93" s="6">
        <f t="shared" si="39"/>
        <v>2.6342592595028691E-2</v>
      </c>
      <c r="N93" s="7">
        <f t="shared" si="52"/>
        <v>37.933333336841315</v>
      </c>
      <c r="O93" s="7"/>
      <c r="P93" s="7"/>
      <c r="Q93" s="22"/>
      <c r="R93" s="167"/>
      <c r="S93" s="210">
        <f t="shared" si="53"/>
        <v>1</v>
      </c>
      <c r="T93" s="192" t="str">
        <f t="shared" si="40"/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41"/>
        <v>https://d0f6bd738d7f1b3e5a7ca70fe4ff75f0.us-east-1.aws.found.io/app/kibana#/discover/Steve-Slow-Train-Analysis-(2080s-and-2083s)?_g=(refreshInterval:(display:Off,pause:!f,section:0,value:0),time:(from:'2017-09-05T13:12:51-0600',mode:absolute,to:'2017-09-05T16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3" s="194" t="str">
        <f>IF(AA93&lt;VLOOKUP(AG93,Variables!$AC$3:$AD$8,2,FALSE),"Y","N")</f>
        <v>N</v>
      </c>
      <c r="X93" s="194">
        <f t="shared" si="56"/>
        <v>1</v>
      </c>
      <c r="Y93" s="194">
        <f t="shared" si="54"/>
        <v>23.302800000000001</v>
      </c>
      <c r="Z93" s="194">
        <f t="shared" si="55"/>
        <v>1.54E-2</v>
      </c>
      <c r="AA93" s="194">
        <f t="shared" si="43"/>
        <v>23.287400000000002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44"/>
        <v>180</v>
      </c>
      <c r="AE93" s="77" t="str">
        <f t="shared" si="45"/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AF93" s="74" t="str">
        <f t="shared" si="46"/>
        <v>"C:\Program Files (x86)\AstroGrep\AstroGrep.exe" /e /r /s /spath="%USERPROFILE%\AppData\Local\Temp\OnboardLogs" /stypes="app*4029*20170905*" /stext=" 21:.+((SYSTEM_STATE.+slice.+state.+changed )|(ment ac)|(multiple cpu faults)|(system.+state.+changed )|(\[timeout)|(PRM\|1\|D)|(kpr)|(kdp)|(train st.+moving)|(\|lc)|(penalty))"</v>
      </c>
      <c r="AG93" s="206" t="str">
        <f t="shared" si="47"/>
        <v>EC</v>
      </c>
      <c r="AH93" s="78" t="str">
        <f t="shared" si="48"/>
        <v>"%USERPROFILE%\Documents\GitHub\eaglep3\Utilities\RefineRTDCRunTimes.py" --tripid 180-05 --locoid 4029 --swversion DE.1.0.9.0 --startMP 204:233028 --initTime 2017-09-05T14:12:51 --startdatetime 2017-09-05T14:27:21 --delay 93 --endMP 204:154 --enddatetime 2017-09-05T15:05:17 --enforcementcount 0 &gt;&gt;C:\Users\stu\Documents\GitHub\eaglep3-reporting\EC\2017-09-05-refined-times.txt</v>
      </c>
      <c r="AI9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{"issue":{"subject":"","project_id":79,"tracker_id":40,"status_id":1,"priority_id":2,"assigned_to_id":338,"start_date":"2017-09-05","description":"","custom_fields":[{"id":1,"name":"Subdivision","value":"EC"},{"id":4,"name":"Milepost","value":"0.0154"},{"id":17,"name":"Train ID","value":"180-05"},{"id":16,"name":"Locomotive ID","value":"4029"},{"id":130,"name":"Impact","value":""},{"id":150,"name":"Time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0"/>
        <v>start /low /b %USERPROFILE%\Documents\GitHub\eaglep3\Utilities\DownloadLogsFromS3.py --loco 4029 --day 2017-09-05</v>
      </c>
      <c r="AN93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728</v>
      </c>
      <c r="B94" s="7">
        <v>4066</v>
      </c>
      <c r="C94" s="21" t="s">
        <v>197</v>
      </c>
      <c r="D94" s="21" t="s">
        <v>341</v>
      </c>
      <c r="E94" s="13">
        <v>42983.56931712963</v>
      </c>
      <c r="F94" s="13">
        <v>42983.57309027778</v>
      </c>
      <c r="G94" s="7">
        <v>62</v>
      </c>
      <c r="H94" s="21" t="s">
        <v>420</v>
      </c>
      <c r="I94" s="13">
        <v>42983.597962962966</v>
      </c>
      <c r="J94" s="7">
        <v>0</v>
      </c>
      <c r="K94" s="89" t="str">
        <f t="shared" si="38"/>
        <v>4065/4066</v>
      </c>
      <c r="L94" s="214" t="str">
        <f>VLOOKUP(A94,'Trips&amp;Operators'!$C$1:$G$99911,5,FALSE)</f>
        <v>LEVERE CRAIG</v>
      </c>
      <c r="M94" s="6">
        <f t="shared" si="39"/>
        <v>2.4872685185982846E-2</v>
      </c>
      <c r="N94" s="7">
        <f t="shared" si="52"/>
        <v>35.816666667815298</v>
      </c>
      <c r="O94" s="7"/>
      <c r="P94" s="7"/>
      <c r="Q94" s="22"/>
      <c r="R94" s="167"/>
      <c r="S94" s="210">
        <f t="shared" si="53"/>
        <v>1</v>
      </c>
      <c r="T94" s="192" t="str">
        <f t="shared" si="40"/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41"/>
        <v>https://d0f6bd738d7f1b3e5a7ca70fe4ff75f0.us-east-1.aws.found.io/app/kibana#/discover/Steve-Slow-Train-Analysis-(2080s-and-2083s)?_g=(refreshInterval:(display:Off,pause:!f,section:0,value:0),time:(from:'2017-09-05T12:39:49-0600',mode:absolute,to:'2017-09-05T15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4" s="194" t="str">
        <f>IF(AA94&lt;VLOOKUP(AG94,Variables!$AC$3:$AD$8,2,FALSE),"Y","N")</f>
        <v>N</v>
      </c>
      <c r="X94" s="194">
        <f t="shared" si="56"/>
        <v>1</v>
      </c>
      <c r="Y94" s="194">
        <f t="shared" si="54"/>
        <v>4.5100000000000001E-2</v>
      </c>
      <c r="Z94" s="194">
        <f t="shared" si="55"/>
        <v>23.330500000000001</v>
      </c>
      <c r="AA94" s="194">
        <f t="shared" si="43"/>
        <v>23.285399999999999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44"/>
        <v>181</v>
      </c>
      <c r="AE94" s="77" t="str">
        <f t="shared" si="4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94" s="74" t="str">
        <f t="shared" si="46"/>
        <v>"C:\Program Files (x86)\AstroGrep\AstroGrep.exe" /e /r /s /spath="%USERPROFILE%\AppData\Local\Temp\OnboardLogs" /stypes="app*4066*20170905*" /stext=" 20:.+((SYSTEM_STATE.+slice.+state.+changed )|(ment ac)|(multiple cpu faults)|(system.+state.+changed )|(\[timeout)|(PRM\|1\|D)|(kpr)|(kdp)|(train st.+moving)|(\|lc)|(penalty))"</v>
      </c>
      <c r="AG94" s="206" t="str">
        <f t="shared" si="47"/>
        <v>EC</v>
      </c>
      <c r="AH94" s="78" t="str">
        <f t="shared" si="48"/>
        <v>"%USERPROFILE%\Documents\GitHub\eaglep3\Utilities\RefineRTDCRunTimes.py" --tripid 181-05 --locoid 4066 --swversion DE.1.0.9.0 --startMP 204:451 --initTime 2017-09-05T13:39:49 --startdatetime 2017-09-05T13:45:15 --delay 62 --endMP 204:233305 --enddatetime 2017-09-05T14:21:04 --enforcementcount 0 &gt;&gt;C:\Users\stu\Documents\GitHub\eaglep3-reporting\EC\2017-09-05-refined-times.txt</v>
      </c>
      <c r="AI9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{"issue":{"subject":"","project_id":79,"tracker_id":40,"status_id":1,"priority_id":2,"assigned_to_id":338,"start_date":"2017-09-05","description":"","custom_fields":[{"id":1,"name":"Subdivision","value":"EC"},{"id":4,"name":"Milepost","value":"23.3305"},{"id":17,"name":"Train ID","value":"181-05"},{"id":16,"name":"Locomotive ID","value":"4066"},{"id":130,"name":"Impact","value":""},{"id":150,"name":"Time of Event (Mountain Time)","value":"14:21:04"},{"id":151,"name":"Denver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0"/>
        <v>start /low /b %USERPROFILE%\Documents\GitHub\eaglep3\Utilities\DownloadLogsFromS3.py --loco 4066 --day 2017-09-05</v>
      </c>
      <c r="AN94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735</v>
      </c>
      <c r="B95" s="7">
        <v>4065</v>
      </c>
      <c r="C95" s="21" t="s">
        <v>197</v>
      </c>
      <c r="D95" s="21" t="s">
        <v>480</v>
      </c>
      <c r="E95" s="13">
        <v>42983.605439814812</v>
      </c>
      <c r="F95" s="13">
        <v>42983.612673611111</v>
      </c>
      <c r="G95" s="7">
        <v>57</v>
      </c>
      <c r="H95" s="21" t="s">
        <v>338</v>
      </c>
      <c r="I95" s="13">
        <v>42983.640613425923</v>
      </c>
      <c r="J95" s="7">
        <v>0</v>
      </c>
      <c r="K95" s="89" t="str">
        <f t="shared" si="38"/>
        <v>4065/4066</v>
      </c>
      <c r="L95" s="214" t="str">
        <f>VLOOKUP(A95,'Trips&amp;Operators'!$C$1:$G$99911,5,FALSE)</f>
        <v>LEVERE CRAIG</v>
      </c>
      <c r="M95" s="6">
        <f t="shared" si="39"/>
        <v>2.7939814812270924E-2</v>
      </c>
      <c r="N95" s="7">
        <f t="shared" si="52"/>
        <v>40.233333329670131</v>
      </c>
      <c r="O95" s="7"/>
      <c r="P95" s="7"/>
      <c r="Q95" s="22"/>
      <c r="R95" s="167"/>
      <c r="S95" s="210">
        <f t="shared" si="53"/>
        <v>1</v>
      </c>
      <c r="T95" s="192" t="str">
        <f t="shared" si="40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41"/>
        <v>https://d0f6bd738d7f1b3e5a7ca70fe4ff75f0.us-east-1.aws.found.io/app/kibana#/discover/Steve-Slow-Train-Analysis-(2080s-and-2083s)?_g=(refreshInterval:(display:Off,pause:!f,section:0,value:0),time:(from:'2017-09-05T13:31:50-0600',mode:absolute,to:'2017-09-05T16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5" s="194" t="str">
        <f>IF(AA95&lt;VLOOKUP(AG95,Variables!$AC$3:$AD$8,2,FALSE),"Y","N")</f>
        <v>N</v>
      </c>
      <c r="X95" s="194">
        <f t="shared" ref="X95:X101" si="61">VALUE(LEFT(AD95,4))-VALUE(LEFT(AD94,4))</f>
        <v>1</v>
      </c>
      <c r="Y95" s="194">
        <f t="shared" si="54"/>
        <v>23.2986</v>
      </c>
      <c r="Z95" s="194">
        <f t="shared" si="55"/>
        <v>1.4999999999999999E-2</v>
      </c>
      <c r="AA95" s="194">
        <f t="shared" si="43"/>
        <v>23.2836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44"/>
        <v>182</v>
      </c>
      <c r="AE95" s="77" t="str">
        <f t="shared" si="4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95" s="74" t="str">
        <f t="shared" si="46"/>
        <v>"C:\Program Files (x86)\AstroGrep\AstroGrep.exe" /e /r /s /spath="%USERPROFILE%\AppData\Local\Temp\OnboardLogs" /stypes="app*4065*20170905*" /stext=" 21:.+((SYSTEM_STATE.+slice.+state.+changed )|(ment ac)|(multiple cpu faults)|(system.+state.+changed )|(\[timeout)|(PRM\|1\|D)|(kpr)|(kdp)|(train st.+moving)|(\|lc)|(penalty))"</v>
      </c>
      <c r="AG95" s="206" t="str">
        <f t="shared" si="47"/>
        <v>EC</v>
      </c>
      <c r="AH95" s="78" t="str">
        <f t="shared" si="48"/>
        <v>"%USERPROFILE%\Documents\GitHub\eaglep3\Utilities\RefineRTDCRunTimes.py" --tripid 182-05 --locoid 4065 --swversion DE.1.0.9.0 --startMP 204:232986 --initTime 2017-09-05T14:31:50 --startdatetime 2017-09-05T14:42:15 --delay 57 --endMP 204:150 --enddatetime 2017-09-05T15:22:29 --enforcementcount 0 &gt;&gt;C:\Users\stu\Documents\GitHub\eaglep3-reporting\EC\2017-09-05-refined-times.txt</v>
      </c>
      <c r="AI9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{"issue":{"subject":"","project_id":79,"tracker_id":40,"status_id":1,"priority_id":2,"assigned_to_id":338,"start_date":"2017-09-05","description":"","custom_fields":[{"id":1,"name":"Subdivision","value":"EC"},{"id":4,"name":"Milepost","value":"0.015"},{"id":17,"name":"Train ID","value":"182-05"},{"id":16,"name":"Locomotive ID","value":"4065"},{"id":130,"name":"Impact","value":""},{"id":150,"name":"Time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0"/>
        <v>start /low /b %USERPROFILE%\Documents\GitHub\eaglep3\Utilities\DownloadLogsFromS3.py --loco 4065 --day 2017-09-05</v>
      </c>
      <c r="AN95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729</v>
      </c>
      <c r="B96" s="7">
        <v>4024</v>
      </c>
      <c r="C96" s="21" t="s">
        <v>197</v>
      </c>
      <c r="D96" s="21" t="s">
        <v>369</v>
      </c>
      <c r="E96" s="13">
        <v>42983.581388888888</v>
      </c>
      <c r="F96" s="13">
        <v>42983.583587962959</v>
      </c>
      <c r="G96" s="7">
        <v>81</v>
      </c>
      <c r="H96" s="21" t="s">
        <v>871</v>
      </c>
      <c r="I96" s="13">
        <v>42983.608217592591</v>
      </c>
      <c r="J96" s="7">
        <v>0</v>
      </c>
      <c r="K96" s="89" t="str">
        <f t="shared" si="38"/>
        <v>4023/4024</v>
      </c>
      <c r="L96" s="214" t="str">
        <f>VLOOKUP(A96,'Trips&amp;Operators'!$C$1:$G$99911,5,FALSE)</f>
        <v>SAFIEF AEIMEN</v>
      </c>
      <c r="M96" s="6">
        <f t="shared" si="39"/>
        <v>2.4629629631817807E-2</v>
      </c>
      <c r="N96" s="7">
        <f t="shared" si="52"/>
        <v>35.466666669817641</v>
      </c>
      <c r="O96" s="7"/>
      <c r="P96" s="7"/>
      <c r="Q96" s="22"/>
      <c r="R96" s="167"/>
      <c r="S96" s="210">
        <f t="shared" si="53"/>
        <v>1</v>
      </c>
      <c r="T96" s="192" t="str">
        <f t="shared" si="40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41"/>
        <v>https://d0f6bd738d7f1b3e5a7ca70fe4ff75f0.us-east-1.aws.found.io/app/kibana#/discover/Steve-Slow-Train-Analysis-(2080s-and-2083s)?_g=(refreshInterval:(display:Off,pause:!f,section:0,value:0),time:(from:'2017-09-05T12:57:12-0600',mode:absolute,to:'2017-09-05T15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4" t="str">
        <f>IF(AA96&lt;VLOOKUP(AG96,Variables!$AC$3:$AD$8,2,FALSE),"Y","N")</f>
        <v>N</v>
      </c>
      <c r="X96" s="194">
        <f t="shared" si="61"/>
        <v>1</v>
      </c>
      <c r="Y96" s="194">
        <f t="shared" si="54"/>
        <v>4.6399999999999997E-2</v>
      </c>
      <c r="Z96" s="194">
        <f t="shared" si="55"/>
        <v>23.331900000000001</v>
      </c>
      <c r="AA96" s="194">
        <f t="shared" si="43"/>
        <v>23.285500000000003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44"/>
        <v>183</v>
      </c>
      <c r="AE96" s="77" t="str">
        <f t="shared" si="45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96" s="74" t="str">
        <f t="shared" si="46"/>
        <v>"C:\Program Files (x86)\AstroGrep\AstroGrep.exe" /e /r /s /spath="%USERPROFILE%\AppData\Local\Temp\OnboardLogs" /stypes="app*4024*20170905*" /stext=" 20:.+((SYSTEM_STATE.+slice.+state.+changed )|(ment ac)|(multiple cpu faults)|(system.+state.+changed )|(\[timeout)|(PRM\|1\|D)|(kpr)|(kdp)|(train st.+moving)|(\|lc)|(penalty))"</v>
      </c>
      <c r="AG96" s="206" t="str">
        <f t="shared" si="47"/>
        <v>EC</v>
      </c>
      <c r="AH96" s="78" t="str">
        <f t="shared" si="48"/>
        <v>"%USERPROFILE%\Documents\GitHub\eaglep3\Utilities\RefineRTDCRunTimes.py" --tripid 183-05 --locoid 4024 --swversion DE.1.0.9.0 --startMP 204:464 --initTime 2017-09-05T13:57:12 --startdatetime 2017-09-05T14:00:22 --delay 81 --endMP 204:233319 --enddatetime 2017-09-05T14:35:50 --enforcementcount 0 &gt;&gt;C:\Users\stu\Documents\GitHub\eaglep3-reporting\EC\2017-09-05-refined-times.txt</v>
      </c>
      <c r="AI96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{"issue":{"subject":"","project_id":79,"tracker_id":40,"status_id":1,"priority_id":2,"assigned_to_id":338,"start_date":"2017-09-05","description":"","custom_fields":[{"id":1,"name":"Subdivision","value":"EC"},{"id":4,"name":"Milepost","value":"23.3319"},{"id":17,"name":"Train ID","value":"183-05"},{"id":16,"name":"Locomotive ID","value":"4024"},{"id":130,"name":"Impact","value":""},{"id":150,"name":"Time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0"/>
        <v>start /low /b %USERPROFILE%\Documents\GitHub\eaglep3\Utilities\DownloadLogsFromS3.py --loco 4024 --day 2017-09-05</v>
      </c>
      <c r="AN96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736</v>
      </c>
      <c r="B97" s="7">
        <v>4023</v>
      </c>
      <c r="C97" s="21" t="s">
        <v>197</v>
      </c>
      <c r="D97" s="21" t="s">
        <v>856</v>
      </c>
      <c r="E97" s="13">
        <v>42983.611631944441</v>
      </c>
      <c r="F97" s="13">
        <v>42983.623194444444</v>
      </c>
      <c r="G97" s="7">
        <v>95</v>
      </c>
      <c r="H97" s="21" t="s">
        <v>344</v>
      </c>
      <c r="I97" s="13">
        <v>42983.649236111109</v>
      </c>
      <c r="J97" s="7">
        <v>0</v>
      </c>
      <c r="K97" s="89" t="str">
        <f t="shared" si="38"/>
        <v>4023/4024</v>
      </c>
      <c r="L97" s="214" t="str">
        <f>VLOOKUP(A97,'Trips&amp;Operators'!$C$1:$G$99911,5,FALSE)</f>
        <v>SAFIEF AEIMEN</v>
      </c>
      <c r="M97" s="6">
        <f t="shared" si="39"/>
        <v>2.6041666664241347E-2</v>
      </c>
      <c r="N97" s="7">
        <f t="shared" si="52"/>
        <v>37.49999999650754</v>
      </c>
      <c r="O97" s="7"/>
      <c r="P97" s="7"/>
      <c r="Q97" s="22"/>
      <c r="R97" s="167"/>
      <c r="S97" s="210">
        <f t="shared" si="53"/>
        <v>1</v>
      </c>
      <c r="T97" s="192" t="str">
        <f t="shared" si="40"/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41"/>
        <v>https://d0f6bd738d7f1b3e5a7ca70fe4ff75f0.us-east-1.aws.found.io/app/kibana#/discover/Steve-Slow-Train-Analysis-(2080s-and-2083s)?_g=(refreshInterval:(display:Off,pause:!f,section:0,value:0),time:(from:'2017-09-05T13:40:45-0600',mode:absolute,to:'2017-09-05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4" t="str">
        <f>IF(AA97&lt;VLOOKUP(AG97,Variables!$AC$3:$AD$8,2,FALSE),"Y","N")</f>
        <v>N</v>
      </c>
      <c r="X97" s="194">
        <f t="shared" si="61"/>
        <v>1</v>
      </c>
      <c r="Y97" s="194">
        <f t="shared" si="54"/>
        <v>23.3004</v>
      </c>
      <c r="Z97" s="194">
        <f t="shared" si="55"/>
        <v>1.41E-2</v>
      </c>
      <c r="AA97" s="194">
        <f t="shared" si="43"/>
        <v>23.286300000000001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44"/>
        <v>184</v>
      </c>
      <c r="AE97" s="77" t="str">
        <f t="shared" si="45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97" s="74" t="str">
        <f t="shared" si="46"/>
        <v>"C:\Program Files (x86)\AstroGrep\AstroGrep.exe" /e /r /s /spath="%USERPROFILE%\AppData\Local\Temp\OnboardLogs" /stypes="app*4023*20170905*" /stext=" 21:.+((SYSTEM_STATE.+slice.+state.+changed )|(ment ac)|(multiple cpu faults)|(system.+state.+changed )|(\[timeout)|(PRM\|1\|D)|(kpr)|(kdp)|(train st.+moving)|(\|lc)|(penalty))"</v>
      </c>
      <c r="AG97" s="206" t="str">
        <f t="shared" si="47"/>
        <v>EC</v>
      </c>
      <c r="AH97" s="78" t="str">
        <f t="shared" si="48"/>
        <v>"%USERPROFILE%\Documents\GitHub\eaglep3\Utilities\RefineRTDCRunTimes.py" --tripid 184-05 --locoid 4023 --swversion DE.1.0.9.0 --startMP 204:233004 --initTime 2017-09-05T14:40:45 --startdatetime 2017-09-05T14:57:24 --delay 95 --endMP 204:141 --enddatetime 2017-09-05T15:34:54 --enforcementcount 0 &gt;&gt;C:\Users\stu\Documents\GitHub\eaglep3-reporting\EC\2017-09-05-refined-times.txt</v>
      </c>
      <c r="AI9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{"issue":{"subject":"","project_id":79,"tracker_id":40,"status_id":1,"priority_id":2,"assigned_to_id":338,"start_date":"2017-09-05","description":"","custom_fields":[{"id":1,"name":"Subdivision","value":"EC"},{"id":4,"name":"Milepost","value":"0.0141"},{"id":17,"name":"Train ID","value":"184-05"},{"id":16,"name":"Locomotive ID","value":"4023"},{"id":130,"name":"Impact","value":""},{"id":150,"name":"Time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0"/>
        <v>start /low /b %USERPROFILE%\Documents\GitHub\eaglep3\Utilities\DownloadLogsFromS3.py --loco 4023 --day 2017-09-05</v>
      </c>
      <c r="AN97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732</v>
      </c>
      <c r="B98" s="7">
        <v>4040</v>
      </c>
      <c r="C98" s="21" t="s">
        <v>197</v>
      </c>
      <c r="D98" s="21" t="s">
        <v>421</v>
      </c>
      <c r="E98" s="13">
        <v>42983.591817129629</v>
      </c>
      <c r="F98" s="13">
        <v>42983.594386574077</v>
      </c>
      <c r="G98" s="7">
        <v>67</v>
      </c>
      <c r="H98" s="21" t="s">
        <v>830</v>
      </c>
      <c r="I98" s="13">
        <v>42983.619745370372</v>
      </c>
      <c r="J98" s="7">
        <v>0</v>
      </c>
      <c r="K98" s="89" t="str">
        <f t="shared" si="38"/>
        <v>4039/4040</v>
      </c>
      <c r="L98" s="214" t="str">
        <f>VLOOKUP(A98,'Trips&amp;Operators'!$C$1:$G$99911,5,FALSE)</f>
        <v>DAVIS MICHAEL</v>
      </c>
      <c r="M98" s="6">
        <f t="shared" si="39"/>
        <v>2.5358796294312924E-2</v>
      </c>
      <c r="N98" s="7">
        <f t="shared" si="52"/>
        <v>36.516666663810611</v>
      </c>
      <c r="O98" s="7"/>
      <c r="P98" s="7"/>
      <c r="Q98" s="22"/>
      <c r="R98" s="167"/>
      <c r="S98" s="210">
        <f t="shared" si="53"/>
        <v>1</v>
      </c>
      <c r="T98" s="192" t="str">
        <f t="shared" si="40"/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41"/>
        <v>https://d0f6bd738d7f1b3e5a7ca70fe4ff75f0.us-east-1.aws.found.io/app/kibana#/discover/Steve-Slow-Train-Analysis-(2080s-and-2083s)?_g=(refreshInterval:(display:Off,pause:!f,section:0,value:0),time:(from:'2017-09-05T13:12:13-0600',mode:absolute,to:'2017-09-05T15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94" t="str">
        <f>IF(AA98&lt;VLOOKUP(AG98,Variables!$AC$3:$AD$8,2,FALSE),"Y","N")</f>
        <v>N</v>
      </c>
      <c r="X98" s="194">
        <f t="shared" si="61"/>
        <v>1</v>
      </c>
      <c r="Y98" s="194">
        <f t="shared" si="54"/>
        <v>4.3799999999999999E-2</v>
      </c>
      <c r="Z98" s="194">
        <f t="shared" si="55"/>
        <v>23.3293</v>
      </c>
      <c r="AA98" s="194">
        <f t="shared" si="43"/>
        <v>23.285499999999999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44"/>
        <v>185</v>
      </c>
      <c r="AE98" s="77" t="str">
        <f t="shared" si="4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98" s="74" t="str">
        <f t="shared" si="46"/>
        <v>"C:\Program Files (x86)\AstroGrep\AstroGrep.exe" /e /r /s /spath="%USERPROFILE%\AppData\Local\Temp\OnboardLogs" /stypes="app*4040*20170905*" /stext=" 20:.+((SYSTEM_STATE.+slice.+state.+changed )|(ment ac)|(multiple cpu faults)|(system.+state.+changed )|(\[timeout)|(PRM\|1\|D)|(kpr)|(kdp)|(train st.+moving)|(\|lc)|(penalty))"</v>
      </c>
      <c r="AG98" s="206" t="str">
        <f t="shared" si="47"/>
        <v>EC</v>
      </c>
      <c r="AH98" s="78" t="str">
        <f t="shared" si="48"/>
        <v>"%USERPROFILE%\Documents\GitHub\eaglep3\Utilities\RefineRTDCRunTimes.py" --tripid 185-05 --locoid 4040 --swversion DE.1.0.9.0 --startMP 204:438 --initTime 2017-09-05T14:12:13 --startdatetime 2017-09-05T14:15:55 --delay 67 --endMP 204:233293 --enddatetime 2017-09-05T14:52:26 --enforcementcount 0 &gt;&gt;C:\Users\stu\Documents\GitHub\eaglep3-reporting\EC\2017-09-05-refined-times.txt</v>
      </c>
      <c r="AI9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{"issue":{"subject":"","project_id":79,"tracker_id":40,"status_id":1,"priority_id":2,"assigned_to_id":338,"start_date":"2017-09-05","description":"","custom_fields":[{"id":1,"name":"Subdivision","value":"EC"},{"id":4,"name":"Milepost","value":"23.3293"},{"id":17,"name":"Train ID","value":"185-05"},{"id":16,"name":"Locomotive ID","value":"4040"},{"id":130,"name":"Impact","value":""},{"id":150,"name":"Time of Event (Mountain Time)","value":"14:52:26"},{"id":151,"name":"Denver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0"/>
        <v>start /low /b %USERPROFILE%\Documents\GitHub\eaglep3\Utilities\DownloadLogsFromS3.py --loco 4040 --day 2017-09-05</v>
      </c>
      <c r="AN98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601</v>
      </c>
      <c r="B99" s="7">
        <v>4039</v>
      </c>
      <c r="C99" s="21" t="s">
        <v>197</v>
      </c>
      <c r="D99" s="21" t="s">
        <v>872</v>
      </c>
      <c r="E99" s="13">
        <v>42983.631643518522</v>
      </c>
      <c r="F99" s="13">
        <v>42983.633877314816</v>
      </c>
      <c r="G99" s="7">
        <v>56</v>
      </c>
      <c r="H99" s="21" t="s">
        <v>873</v>
      </c>
      <c r="I99" s="13">
        <v>42983.662141203706</v>
      </c>
      <c r="J99" s="7">
        <v>0</v>
      </c>
      <c r="K99" s="89" t="str">
        <f t="shared" si="38"/>
        <v>4039/4040</v>
      </c>
      <c r="L99" s="214" t="str">
        <f>VLOOKUP(A99,'Trips&amp;Operators'!$C$1:$G$99911,5,FALSE)</f>
        <v>DAVIS MICHAEL</v>
      </c>
      <c r="M99" s="6">
        <f t="shared" si="39"/>
        <v>2.8263888889341615E-2</v>
      </c>
      <c r="N99" s="7">
        <f t="shared" si="52"/>
        <v>40.700000000651926</v>
      </c>
      <c r="O99" s="7"/>
      <c r="P99" s="7"/>
      <c r="Q99" s="22"/>
      <c r="R99" s="167"/>
      <c r="S99" s="210">
        <f t="shared" si="53"/>
        <v>1</v>
      </c>
      <c r="T99" s="192" t="str">
        <f t="shared" si="40"/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41"/>
        <v>https://d0f6bd738d7f1b3e5a7ca70fe4ff75f0.us-east-1.aws.found.io/app/kibana#/discover/Steve-Slow-Train-Analysis-(2080s-and-2083s)?_g=(refreshInterval:(display:Off,pause:!f,section:0,value:0),time:(from:'2017-09-05T14:09:34-0600',mode:absolute,to:'2017-09-05T16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94" t="str">
        <f>IF(AA99&lt;VLOOKUP(AG99,Variables!$AC$3:$AD$8,2,FALSE),"Y","N")</f>
        <v>N</v>
      </c>
      <c r="X99" s="194">
        <f t="shared" si="61"/>
        <v>1</v>
      </c>
      <c r="Y99" s="194">
        <f t="shared" si="54"/>
        <v>23.304400000000001</v>
      </c>
      <c r="Z99" s="194">
        <f t="shared" si="55"/>
        <v>1.9800000000000002E-2</v>
      </c>
      <c r="AA99" s="194">
        <f t="shared" si="43"/>
        <v>23.284600000000001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44"/>
        <v>186</v>
      </c>
      <c r="AE99" s="77" t="str">
        <f t="shared" si="4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99" s="74" t="str">
        <f t="shared" si="46"/>
        <v>"C:\Program Files (x86)\AstroGrep\AstroGrep.exe" /e /r /s /spath="%USERPROFILE%\AppData\Local\Temp\OnboardLogs" /stypes="app*4039*20170905*" /stext=" 21:.+((SYSTEM_STATE.+slice.+state.+changed )|(ment ac)|(multiple cpu faults)|(system.+state.+changed )|(\[timeout)|(PRM\|1\|D)|(kpr)|(kdp)|(train st.+moving)|(\|lc)|(penalty))"</v>
      </c>
      <c r="AG99" s="206" t="str">
        <f t="shared" si="47"/>
        <v>EC</v>
      </c>
      <c r="AH99" s="78" t="str">
        <f t="shared" si="48"/>
        <v>"%USERPROFILE%\Documents\GitHub\eaglep3\Utilities\RefineRTDCRunTimes.py" --tripid 186-05 --locoid 4039 --swversion DE.1.0.9.0 --startMP 204:233044 --initTime 2017-09-05T15:09:34 --startdatetime 2017-09-05T15:12:47 --delay 56 --endMP 204:198 --enddatetime 2017-09-05T15:53:29 --enforcementcount 0 &gt;&gt;C:\Users\stu\Documents\GitHub\eaglep3-reporting\EC\2017-09-05-refined-times.txt</v>
      </c>
      <c r="AI99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{"issue":{"subject":"","project_id":79,"tracker_id":40,"status_id":1,"priority_id":2,"assigned_to_id":338,"start_date":"2017-09-05","description":"","custom_fields":[{"id":1,"name":"Subdivision","value":"EC"},{"id":4,"name":"Milepost","value":"0.0198"},{"id":17,"name":"Train ID","value":"186-05"},{"id":16,"name":"Locomotive ID","value":"4039"},{"id":130,"name":"Impact","value":""},{"id":150,"name":"Time of Event (Mountain Time)","value":"15:53:29"},{"id":151,"name":"Denver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50"/>
        <v>start /low /b %USERPROFILE%\Documents\GitHub\eaglep3\Utilities\DownloadLogsFromS3.py --loco 4039 --day 2017-09-05</v>
      </c>
      <c r="AN99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733</v>
      </c>
      <c r="B100" s="7">
        <v>4044</v>
      </c>
      <c r="C100" s="21" t="s">
        <v>197</v>
      </c>
      <c r="D100" s="21" t="s">
        <v>343</v>
      </c>
      <c r="E100" s="13">
        <v>42983.599768518521</v>
      </c>
      <c r="F100" s="13">
        <v>42983.604351851849</v>
      </c>
      <c r="G100" s="7">
        <v>58</v>
      </c>
      <c r="H100" s="21" t="s">
        <v>837</v>
      </c>
      <c r="I100" s="13">
        <v>42983.62908564815</v>
      </c>
      <c r="J100" s="7">
        <v>0</v>
      </c>
      <c r="K100" s="89" t="str">
        <f t="shared" si="38"/>
        <v>4043/4044</v>
      </c>
      <c r="L100" s="214" t="str">
        <f>VLOOKUP(A100,'Trips&amp;Operators'!$C$1:$G$99911,5,FALSE)</f>
        <v>SMITH MICHAEL</v>
      </c>
      <c r="M100" s="6">
        <f t="shared" si="39"/>
        <v>2.4733796301006805E-2</v>
      </c>
      <c r="N100" s="7">
        <f t="shared" si="52"/>
        <v>35.616666673449799</v>
      </c>
      <c r="O100" s="7"/>
      <c r="P100" s="7"/>
      <c r="Q100" s="22"/>
      <c r="R100" s="167"/>
      <c r="S100" s="210">
        <f t="shared" si="53"/>
        <v>1</v>
      </c>
      <c r="T100" s="192" t="str">
        <f t="shared" si="40"/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41"/>
        <v>https://d0f6bd738d7f1b3e5a7ca70fe4ff75f0.us-east-1.aws.found.io/app/kibana#/discover/Steve-Slow-Train-Analysis-(2080s-and-2083s)?_g=(refreshInterval:(display:Off,pause:!f,section:0,value:0),time:(from:'2017-09-05T13:23:40-0600',mode:absolute,to:'2017-09-05T16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94" t="str">
        <f>IF(AA100&lt;VLOOKUP(AG100,Variables!$AC$3:$AD$8,2,FALSE),"Y","N")</f>
        <v>N</v>
      </c>
      <c r="X100" s="194">
        <f t="shared" si="61"/>
        <v>1</v>
      </c>
      <c r="Y100" s="194">
        <f t="shared" si="54"/>
        <v>4.4699999999999997E-2</v>
      </c>
      <c r="Z100" s="194">
        <f t="shared" si="55"/>
        <v>23.331700000000001</v>
      </c>
      <c r="AA100" s="194">
        <f t="shared" si="43"/>
        <v>23.287000000000003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44"/>
        <v>187</v>
      </c>
      <c r="AE100" s="77" t="str">
        <f t="shared" si="45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100" s="74" t="str">
        <f t="shared" si="46"/>
        <v>"C:\Program Files (x86)\AstroGrep\AstroGrep.exe" /e /r /s /spath="%USERPROFILE%\AppData\Local\Temp\OnboardLogs" /stypes="app*4044*20170905*" /stext=" 21:.+((SYSTEM_STATE.+slice.+state.+changed )|(ment ac)|(multiple cpu faults)|(system.+state.+changed )|(\[timeout)|(PRM\|1\|D)|(kpr)|(kdp)|(train st.+moving)|(\|lc)|(penalty))"</v>
      </c>
      <c r="AG100" s="206" t="str">
        <f t="shared" si="47"/>
        <v>EC</v>
      </c>
      <c r="AH100" s="78" t="str">
        <f t="shared" si="48"/>
        <v>"%USERPROFILE%\Documents\GitHub\eaglep3\Utilities\RefineRTDCRunTimes.py" --tripid 187-05 --locoid 4044 --swversion DE.1.0.9.0 --startMP 204:447 --initTime 2017-09-05T14:23:40 --startdatetime 2017-09-05T14:30:16 --delay 58 --endMP 204:233317 --enddatetime 2017-09-05T15:05:53 --enforcementcount 0 &gt;&gt;C:\Users\stu\Documents\GitHub\eaglep3-reporting\EC\2017-09-05-refined-times.txt</v>
      </c>
      <c r="AI10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{"issue":{"subject":"","project_id":79,"tracker_id":40,"status_id":1,"priority_id":2,"assigned_to_id":338,"start_date":"2017-09-05","description":"","custom_fields":[{"id":1,"name":"Subdivision","value":"EC"},{"id":4,"name":"Milepost","value":"23.3317"},{"id":17,"name":"Train ID","value":"187-05"},{"id":16,"name":"Locomotive ID","value":"4044"},{"id":130,"name":"Impact","value":""},{"id":150,"name":"Time of Event (Mountain Time)","value":"15:05:53"},{"id":151,"name":"Denver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0"/>
        <v>start /low /b %USERPROFILE%\Documents\GitHub\eaglep3\Utilities\DownloadLogsFromS3.py --loco 4044 --day 2017-09-05</v>
      </c>
      <c r="AN100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745</v>
      </c>
      <c r="B101" s="7">
        <v>4043</v>
      </c>
      <c r="C101" s="21" t="s">
        <v>197</v>
      </c>
      <c r="D101" s="21" t="s">
        <v>532</v>
      </c>
      <c r="E101" s="13">
        <v>42983.630752314813</v>
      </c>
      <c r="F101" s="13">
        <v>42983.643935185188</v>
      </c>
      <c r="G101" s="7">
        <v>64</v>
      </c>
      <c r="H101" s="21" t="s">
        <v>380</v>
      </c>
      <c r="I101" s="13">
        <v>42983.669629629629</v>
      </c>
      <c r="J101" s="7">
        <v>0</v>
      </c>
      <c r="K101" s="89" t="str">
        <f t="shared" si="38"/>
        <v>4043/4044</v>
      </c>
      <c r="L101" s="214" t="str">
        <f>VLOOKUP(A101,'Trips&amp;Operators'!$C$1:$G$99911,5,FALSE)</f>
        <v>SMITH MICHAEL</v>
      </c>
      <c r="M101" s="6">
        <f t="shared" si="39"/>
        <v>2.569444444088731E-2</v>
      </c>
      <c r="N101" s="7">
        <f t="shared" si="52"/>
        <v>36.999999994877726</v>
      </c>
      <c r="O101" s="7"/>
      <c r="P101" s="7"/>
      <c r="Q101" s="22"/>
      <c r="R101" s="167"/>
      <c r="S101" s="210">
        <f t="shared" si="53"/>
        <v>1</v>
      </c>
      <c r="T101" s="192" t="str">
        <f t="shared" si="40"/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41"/>
        <v>https://d0f6bd738d7f1b3e5a7ca70fe4ff75f0.us-east-1.aws.found.io/app/kibana#/discover/Steve-Slow-Train-Analysis-(2080s-and-2083s)?_g=(refreshInterval:(display:Off,pause:!f,section:0,value:0),time:(from:'2017-09-05T14:08:17-0600',mode:absolute,to:'2017-09-05T17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94" t="str">
        <f>IF(AA101&lt;VLOOKUP(AG101,Variables!$AC$3:$AD$8,2,FALSE),"Y","N")</f>
        <v>N</v>
      </c>
      <c r="X101" s="194">
        <f t="shared" si="61"/>
        <v>1</v>
      </c>
      <c r="Y101" s="194">
        <f t="shared" si="54"/>
        <v>23.300999999999998</v>
      </c>
      <c r="Z101" s="194">
        <f t="shared" si="55"/>
        <v>1.5599999999999999E-2</v>
      </c>
      <c r="AA101" s="194">
        <f t="shared" si="43"/>
        <v>23.285399999999999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44"/>
        <v>188</v>
      </c>
      <c r="AE101" s="77" t="str">
        <f t="shared" si="45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101" s="74" t="str">
        <f t="shared" si="46"/>
        <v>"C:\Program Files (x86)\AstroGrep\AstroGrep.exe" /e /r /s /spath="%USERPROFILE%\AppData\Local\Temp\OnboardLogs" /stypes="app*4043*20170905*" /stext=" 22:.+((SYSTEM_STATE.+slice.+state.+changed )|(ment ac)|(multiple cpu faults)|(system.+state.+changed )|(\[timeout)|(PRM\|1\|D)|(kpr)|(kdp)|(train st.+moving)|(\|lc)|(penalty))"</v>
      </c>
      <c r="AG101" s="206" t="str">
        <f t="shared" si="47"/>
        <v>EC</v>
      </c>
      <c r="AH101" s="78" t="str">
        <f t="shared" si="48"/>
        <v>"%USERPROFILE%\Documents\GitHub\eaglep3\Utilities\RefineRTDCRunTimes.py" --tripid 188-05 --locoid 4043 --swversion DE.1.0.9.0 --startMP 204:233010 --initTime 2017-09-05T15:08:17 --startdatetime 2017-09-05T15:27:16 --delay 64 --endMP 204:156 --enddatetime 2017-09-05T16:04:16 --enforcementcount 0 &gt;&gt;C:\Users\stu\Documents\GitHub\eaglep3-reporting\EC\2017-09-05-refined-times.txt</v>
      </c>
      <c r="AI10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{"issue":{"subject":"","project_id":79,"tracker_id":40,"status_id":1,"priority_id":2,"assigned_to_id":338,"start_date":"2017-09-05","description":"","custom_fields":[{"id":1,"name":"Subdivision","value":"EC"},{"id":4,"name":"Milepost","value":"0.0156"},{"id":17,"name":"Train ID","value":"188-05"},{"id":16,"name":"Locomotive ID","value":"4043"},{"id":130,"name":"Impact","value":""},{"id":150,"name":"Time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0"/>
        <v>start /low /b %USERPROFILE%\Documents\GitHub\eaglep3\Utilities\DownloadLogsFromS3.py --loco 4043 --day 2017-09-05</v>
      </c>
      <c r="AN101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599</v>
      </c>
      <c r="B102" s="7">
        <v>4022</v>
      </c>
      <c r="C102" s="21" t="s">
        <v>197</v>
      </c>
      <c r="D102" s="21" t="s">
        <v>342</v>
      </c>
      <c r="E102" s="13">
        <v>42983.603877314818</v>
      </c>
      <c r="F102" s="13">
        <v>42983.612453703703</v>
      </c>
      <c r="G102" s="7">
        <v>735</v>
      </c>
      <c r="H102" s="21" t="s">
        <v>540</v>
      </c>
      <c r="I102" s="13">
        <v>42983.638935185183</v>
      </c>
      <c r="J102" s="7">
        <v>0</v>
      </c>
      <c r="K102" s="89" t="str">
        <f t="shared" ref="K102:K103" si="62">IF(ISEVEN(B102),(B102-1)&amp;"/"&amp;B102,B102&amp;"/"&amp;(B102+1))</f>
        <v>4021/4022</v>
      </c>
      <c r="L102" s="214" t="str">
        <f>VLOOKUP(A102,'Trips&amp;Operators'!$C$1:$G$99911,5,FALSE)</f>
        <v>BRUDER RICHARD</v>
      </c>
      <c r="M102" s="6">
        <f t="shared" ref="M102:M103" si="63">I102-F102</f>
        <v>2.6481481480004732E-2</v>
      </c>
      <c r="N102" s="7">
        <f t="shared" ref="N102:N103" si="64">24*60*SUM($M102:$M102)</f>
        <v>38.133333331206813</v>
      </c>
      <c r="O102" s="7"/>
      <c r="P102" s="7"/>
      <c r="Q102" s="22"/>
      <c r="R102" s="167"/>
      <c r="S102" s="210">
        <f t="shared" ref="S102:S103" si="65">1/IF(AG102="EC",12,1)*SUM(U102:U102)</f>
        <v>1</v>
      </c>
      <c r="T102" s="192" t="str">
        <f t="shared" ref="T102:T103" si="66">IF(ISEVEN(LEFT(AD102,4)),"Southbound","NorthBound")</f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41"/>
        <v>https://d0f6bd738d7f1b3e5a7ca70fe4ff75f0.us-east-1.aws.found.io/app/kibana#/discover/Steve-Slow-Train-Analysis-(2080s-and-2083s)?_g=(refreshInterval:(display:Off,pause:!f,section:0,value:0),time:(from:'2017-09-05T13:29:35-0600',mode:absolute,to:'2017-09-05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194" t="str">
        <f>IF(AA102&lt;VLOOKUP(AG102,Variables!$AC$3:$AD$8,2,FALSE),"Y","N")</f>
        <v>N</v>
      </c>
      <c r="X102" s="194">
        <f t="shared" ref="X102:X104" si="67">VALUE(LEFT(AD102,4))-VALUE(LEFT(AD101,4))</f>
        <v>1</v>
      </c>
      <c r="Y102" s="194">
        <f t="shared" ref="Y102:Y103" si="68">RIGHT(D102,LEN(D102)-4)/10000</f>
        <v>4.53E-2</v>
      </c>
      <c r="Z102" s="194">
        <f t="shared" ref="Z102:Z103" si="69">RIGHT(H102,LEN(H102)-4)/10000</f>
        <v>23.330100000000002</v>
      </c>
      <c r="AA102" s="194">
        <f t="shared" ref="AA102:AA103" si="70">ABS(Z102-Y102)</f>
        <v>23.284800000000001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ref="AD102:AD103" si="71">VALUE(LEFT(A102,LEN(A102)-3))</f>
        <v>189</v>
      </c>
      <c r="AE102" s="77" t="str">
        <f t="shared" si="45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102" s="74" t="str">
        <f t="shared" si="46"/>
        <v>"C:\Program Files (x86)\AstroGrep\AstroGrep.exe" /e /r /s /spath="%USERPROFILE%\AppData\Local\Temp\OnboardLogs" /stypes="app*4022*20170905*" /stext=" 21:.+((SYSTEM_STATE.+slice.+state.+changed )|(ment ac)|(multiple cpu faults)|(system.+state.+changed )|(\[timeout)|(PRM\|1\|D)|(kpr)|(kdp)|(train st.+moving)|(\|lc)|(penalty))"</v>
      </c>
      <c r="AG102" s="206" t="str">
        <f t="shared" ref="AG102:AG103" si="72">DetSubdiv(A102)</f>
        <v>EC</v>
      </c>
      <c r="AH102" s="78" t="str">
        <f t="shared" ref="AH102:AH103" si="73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189-05 --locoid 4022 --swversion DE.1.0.9.0 --startMP 204:453 --initTime 2017-09-05T14:29:35 --startdatetime 2017-09-05T14:41:56 --delay 735 --endMP 204:233301 --enddatetime 2017-09-05T15:20:04 --enforcementcount 0 &gt;&gt;C:\Users\stu\Documents\GitHub\eaglep3-reporting\EC\2017-09-05-refined-times.txt</v>
      </c>
      <c r="AI102" s="96" t="str">
        <f t="shared" ref="AI102:AI103" si="74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{"issue":{"subject":"","project_id":79,"tracker_id":40,"status_id":1,"priority_id":2,"assigned_to_id":338,"start_date":"2017-09-05","description":"","custom_fields":[{"id":1,"name":"Subdivision","value":"EC"},{"id":4,"name":"Milepost","value":"23.3301"},{"id":17,"name":"Train ID","value":"189-05"},{"id":16,"name":"Locomotive ID","value":"4022"},{"id":130,"name":"Impact","value":""},{"id":150,"name":"Time of Event (Mountain Time)","value":"15:20:04"},{"id":151,"name":"Denver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ref="AM102:AM103" si="75">"start /low /b "&amp;dls3logs&amp;" --loco "&amp;B102&amp;" --day "&amp;TEXT(F102,"YYYY-MM-DD")</f>
        <v>start /low /b %USERPROFILE%\Documents\GitHub\eaglep3\Utilities\DownloadLogsFromS3.py --loco 4022 --day 2017-09-05</v>
      </c>
      <c r="AN102" s="151" t="str">
        <f t="shared" ref="AN102:AN103" si="76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604</v>
      </c>
      <c r="B103" s="7">
        <v>4021</v>
      </c>
      <c r="C103" s="21" t="s">
        <v>197</v>
      </c>
      <c r="D103" s="21" t="s">
        <v>390</v>
      </c>
      <c r="E103" s="13">
        <v>42983.650381944448</v>
      </c>
      <c r="F103" s="13">
        <v>42983.652280092596</v>
      </c>
      <c r="G103" s="7">
        <v>142</v>
      </c>
      <c r="H103" s="21" t="s">
        <v>345</v>
      </c>
      <c r="I103" s="13">
        <v>42983.680173611108</v>
      </c>
      <c r="J103" s="7">
        <v>0</v>
      </c>
      <c r="K103" s="89" t="str">
        <f t="shared" si="62"/>
        <v>4021/4022</v>
      </c>
      <c r="L103" s="214" t="str">
        <f>VLOOKUP(A103,'Trips&amp;Operators'!$C$1:$G$99911,5,FALSE)</f>
        <v>BRUDER RICHARD</v>
      </c>
      <c r="M103" s="6">
        <f t="shared" si="63"/>
        <v>2.7893518512428273E-2</v>
      </c>
      <c r="N103" s="7">
        <f t="shared" si="64"/>
        <v>40.166666657896712</v>
      </c>
      <c r="O103" s="7"/>
      <c r="P103" s="7"/>
      <c r="Q103" s="22"/>
      <c r="R103" s="167"/>
      <c r="S103" s="210">
        <f t="shared" si="65"/>
        <v>1</v>
      </c>
      <c r="T103" s="192" t="str">
        <f t="shared" si="66"/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41"/>
        <v>https://d0f6bd738d7f1b3e5a7ca70fe4ff75f0.us-east-1.aws.found.io/app/kibana#/discover/Steve-Slow-Train-Analysis-(2080s-and-2083s)?_g=(refreshInterval:(display:Off,pause:!f,section:0,value:0),time:(from:'2017-09-05T14:36:33-0600',mode:absolute,to:'2017-09-05T17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194" t="str">
        <f>IF(AA103&lt;VLOOKUP(AG103,Variables!$AC$3:$AD$8,2,FALSE),"Y","N")</f>
        <v>N</v>
      </c>
      <c r="X103" s="194">
        <f t="shared" si="67"/>
        <v>1</v>
      </c>
      <c r="Y103" s="194">
        <f t="shared" si="68"/>
        <v>23.297999999999998</v>
      </c>
      <c r="Z103" s="194">
        <f t="shared" si="69"/>
        <v>1.47E-2</v>
      </c>
      <c r="AA103" s="194">
        <f t="shared" si="70"/>
        <v>23.283299999999997</v>
      </c>
      <c r="AB103" s="54" t="str">
        <f>VLOOKUP(A103,Enforcements!$C$7:$K$11,8,0)</f>
        <v>Bulletin (2)</v>
      </c>
      <c r="AC103" s="51" t="str">
        <f>VLOOKUP(A103,Enforcements!$C$7:$E$11,3,0)</f>
        <v>GRADE CROSSING</v>
      </c>
      <c r="AD103" s="203">
        <f t="shared" si="71"/>
        <v>190</v>
      </c>
      <c r="AE103" s="77" t="str">
        <f t="shared" si="45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103" s="74" t="str">
        <f t="shared" si="46"/>
        <v>"C:\Program Files (x86)\AstroGrep\AstroGrep.exe" /e /r /s /spath="%USERPROFILE%\AppData\Local\Temp\OnboardLogs" /stypes="app*4021*20170905*" /stext=" 22:.+((SYSTEM_STATE.+slice.+state.+changed )|(ment ac)|(multiple cpu faults)|(system.+state.+changed )|(\[timeout)|(PRM\|1\|D)|(kpr)|(kdp)|(train st.+moving)|(\|lc)|(penalty))"</v>
      </c>
      <c r="AG103" s="206" t="str">
        <f t="shared" si="72"/>
        <v>EC</v>
      </c>
      <c r="AH103" s="78" t="str">
        <f t="shared" si="73"/>
        <v>"%USERPROFILE%\Documents\GitHub\eaglep3\Utilities\RefineRTDCRunTimes.py" --tripid 190-05 --locoid 4021 --swversion DE.1.0.9.0 --startMP 204:232980 --initTime 2017-09-05T15:36:33 --startdatetime 2017-09-05T15:39:17 --delay 142 --endMP 204:147 --enddatetime 2017-09-05T16:19:27 --enforcementcount 0 &gt;&gt;C:\Users\stu\Documents\GitHub\eaglep3-reporting\EC\2017-09-05-refined-times.txt</v>
      </c>
      <c r="AI103" s="96" t="str">
        <f t="shared" si="74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ID","value":"190-05"},{"id":16,"name":"Locomotive ID","value":"4021"},{"id":130,"name":"Impact","value":""},{"id":150,"name":"Time of Event (Mountain Time)","value":"16:19:27"},{"id":151,"name":"Denver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75"/>
        <v>start /low /b %USERPROFILE%\Documents\GitHub\eaglep3\Utilities\DownloadLogsFromS3.py --loco 4021 --day 2017-09-05</v>
      </c>
      <c r="AN103" s="151" t="str">
        <f t="shared" si="7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4" spans="1:91" s="20" customFormat="1" x14ac:dyDescent="0.25">
      <c r="A104" s="32" t="s">
        <v>738</v>
      </c>
      <c r="B104" s="7">
        <v>4010</v>
      </c>
      <c r="C104" s="21" t="s">
        <v>197</v>
      </c>
      <c r="D104" s="21" t="s">
        <v>545</v>
      </c>
      <c r="E104" s="13">
        <v>42983.620613425926</v>
      </c>
      <c r="F104" s="13">
        <v>42983.625208333331</v>
      </c>
      <c r="G104" s="7">
        <v>75</v>
      </c>
      <c r="H104" s="21" t="s">
        <v>488</v>
      </c>
      <c r="I104" s="13">
        <v>42983.65042824074</v>
      </c>
      <c r="J104" s="7">
        <v>0</v>
      </c>
      <c r="K104" s="89" t="str">
        <f t="shared" ref="K104:K129" si="77">IF(ISEVEN(B104),(B104-1)&amp;"/"&amp;B104,B104&amp;"/"&amp;(B104+1))</f>
        <v>4009/4010</v>
      </c>
      <c r="L104" s="214" t="str">
        <f>VLOOKUP(A104,'Trips&amp;Operators'!$C$1:$G$99911,5,FALSE)</f>
        <v>MOSES BRADLEY</v>
      </c>
      <c r="M104" s="6">
        <f t="shared" ref="M104:M129" si="78">I104-F104</f>
        <v>2.5219907409336884E-2</v>
      </c>
      <c r="N104" s="7">
        <f t="shared" ref="N104:N129" si="79">24*60*SUM($M104:$M104)</f>
        <v>36.316666669445112</v>
      </c>
      <c r="O104" s="7"/>
      <c r="P104" s="7"/>
      <c r="Q104" s="22"/>
      <c r="R104" s="167"/>
      <c r="S104" s="210">
        <f t="shared" ref="S104:S129" si="80">1/IF(AG104="EC",12,1)*SUM(U104:U104)</f>
        <v>1</v>
      </c>
      <c r="T104" s="192" t="str">
        <f t="shared" ref="T104:T129" si="81">IF(ISEVEN(LEFT(AD104,4)),"Southbound","NorthBound")</f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41"/>
        <v>https://d0f6bd738d7f1b3e5a7ca70fe4ff75f0.us-east-1.aws.found.io/app/kibana#/discover/Steve-Slow-Train-Analysis-(2080s-and-2083s)?_g=(refreshInterval:(display:Off,pause:!f,section:0,value:0),time:(from:'2017-09-05T13:53:41-0600',mode:absolute,to:'2017-09-05T16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4" s="194" t="str">
        <f>IF(AA104&lt;VLOOKUP(AG104,Variables!$AC$3:$AD$8,2,FALSE),"Y","N")</f>
        <v>N</v>
      </c>
      <c r="X104" s="194">
        <f t="shared" si="67"/>
        <v>1</v>
      </c>
      <c r="Y104" s="194">
        <f t="shared" ref="Y104:Y129" si="82">RIGHT(D104,LEN(D104)-4)/10000</f>
        <v>4.2900000000000001E-2</v>
      </c>
      <c r="Z104" s="194">
        <f t="shared" ref="Z104:Z129" si="83">RIGHT(H104,LEN(H104)-4)/10000</f>
        <v>23.333200000000001</v>
      </c>
      <c r="AA104" s="194">
        <f t="shared" ref="AA104:AA129" si="84">ABS(Z104-Y104)</f>
        <v>23.290300000000002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ref="AD104:AD129" si="85">VALUE(LEFT(A104,LEN(A104)-3))</f>
        <v>191</v>
      </c>
      <c r="AE104" s="77" t="str">
        <f t="shared" si="4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04" s="74" t="str">
        <f t="shared" si="46"/>
        <v>"C:\Program Files (x86)\AstroGrep\AstroGrep.exe" /e /r /s /spath="%USERPROFILE%\AppData\Local\Temp\OnboardLogs" /stypes="app*4010*20170905*" /stext=" 21:.+((SYSTEM_STATE.+slice.+state.+changed )|(ment ac)|(multiple cpu faults)|(system.+state.+changed )|(\[timeout)|(PRM\|1\|D)|(kpr)|(kdp)|(train st.+moving)|(\|lc)|(penalty))"</v>
      </c>
      <c r="AG104" s="206" t="str">
        <f t="shared" ref="AG104:AG129" si="86">DetSubdiv(A104)</f>
        <v>EC</v>
      </c>
      <c r="AH104" s="78" t="str">
        <f t="shared" si="48"/>
        <v>"%USERPROFILE%\Documents\GitHub\eaglep3\Utilities\RefineRTDCRunTimes.py" --tripid 191-05 --locoid 4010 --swversion DE.1.0.9.0 --startMP 204:429 --initTime 2017-09-05T14:53:41 --startdatetime 2017-09-05T15:00:18 --delay 75 --endMP 204:233332 --enddatetime 2017-09-05T15:36:37 --enforcementcount 0 &gt;&gt;C:\Users\stu\Documents\GitHub\eaglep3-reporting\EC\2017-09-05-refined-times.txt</v>
      </c>
      <c r="AI10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{"issue":{"subject":"","project_id":79,"tracker_id":40,"status_id":1,"priority_id":2,"assigned_to_id":338,"start_date":"2017-09-05","description":"","custom_fields":[{"id":1,"name":"Subdivision","value":"EC"},{"id":4,"name":"Milepost","value":"23.3332"},{"id":17,"name":"Train ID","value":"191-05"},{"id":16,"name":"Locomotive ID","value":"4010"},{"id":130,"name":"Impact","value":""},{"id":150,"name":"Time of Event (Mountain Time)","value":"15:36:37"},{"id":151,"name":"Denver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0"/>
        <v>start /low /b %USERPROFILE%\Documents\GitHub\eaglep3\Utilities\DownloadLogsFromS3.py --loco 4010 --day 2017-09-05</v>
      </c>
      <c r="AN104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749</v>
      </c>
      <c r="B105" s="7">
        <v>4009</v>
      </c>
      <c r="C105" s="21" t="s">
        <v>197</v>
      </c>
      <c r="D105" s="21" t="s">
        <v>541</v>
      </c>
      <c r="E105" s="13">
        <v>42983.658321759256</v>
      </c>
      <c r="F105" s="13">
        <v>42983.664814814816</v>
      </c>
      <c r="G105" s="7">
        <v>186</v>
      </c>
      <c r="H105" s="21" t="s">
        <v>347</v>
      </c>
      <c r="I105" s="13">
        <v>42983.69085648148</v>
      </c>
      <c r="J105" s="7">
        <v>0</v>
      </c>
      <c r="K105" s="89" t="str">
        <f t="shared" si="77"/>
        <v>4009/4010</v>
      </c>
      <c r="L105" s="214" t="str">
        <f>VLOOKUP(A105,'Trips&amp;Operators'!$C$1:$G$99911,5,FALSE)</f>
        <v>MOSES BRADLEY</v>
      </c>
      <c r="M105" s="6">
        <f t="shared" si="78"/>
        <v>2.6041666664241347E-2</v>
      </c>
      <c r="N105" s="7">
        <f t="shared" si="79"/>
        <v>37.49999999650754</v>
      </c>
      <c r="O105" s="7"/>
      <c r="P105" s="7"/>
      <c r="Q105" s="22"/>
      <c r="R105" s="167"/>
      <c r="S105" s="210">
        <f t="shared" si="80"/>
        <v>1</v>
      </c>
      <c r="T105" s="192" t="str">
        <f t="shared" si="81"/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41"/>
        <v>https://d0f6bd738d7f1b3e5a7ca70fe4ff75f0.us-east-1.aws.found.io/app/kibana#/discover/Steve-Slow-Train-Analysis-(2080s-and-2083s)?_g=(refreshInterval:(display:Off,pause:!f,section:0,value:0),time:(from:'2017-09-05T14:47:59-0600',mode:absolute,to:'2017-09-05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5" s="194" t="str">
        <f>IF(AA105&lt;VLOOKUP(AG105,Variables!$AC$3:$AD$8,2,FALSE),"Y","N")</f>
        <v>N</v>
      </c>
      <c r="X105" s="194">
        <f t="shared" ref="X105:X120" si="87">VALUE(LEFT(AD105,4))-VALUE(LEFT(AD104,4))</f>
        <v>1</v>
      </c>
      <c r="Y105" s="194">
        <f t="shared" si="82"/>
        <v>23.302499999999998</v>
      </c>
      <c r="Z105" s="194">
        <f t="shared" si="83"/>
        <v>1.54E-2</v>
      </c>
      <c r="AA105" s="194">
        <f t="shared" si="84"/>
        <v>23.287099999999999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85"/>
        <v>192</v>
      </c>
      <c r="AE105" s="77" t="str">
        <f t="shared" si="45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105" s="74" t="str">
        <f t="shared" si="46"/>
        <v>"C:\Program Files (x86)\AstroGrep\AstroGrep.exe" /e /r /s /spath="%USERPROFILE%\AppData\Local\Temp\OnboardLogs" /stypes="app*4009*20170905*" /stext=" 22:.+((SYSTEM_STATE.+slice.+state.+changed )|(ment ac)|(multiple cpu faults)|(system.+state.+changed )|(\[timeout)|(PRM\|1\|D)|(kpr)|(kdp)|(train st.+moving)|(\|lc)|(penalty))"</v>
      </c>
      <c r="AG105" s="206" t="str">
        <f t="shared" si="86"/>
        <v>EC</v>
      </c>
      <c r="AH105" s="78" t="str">
        <f t="shared" si="48"/>
        <v>"%USERPROFILE%\Documents\GitHub\eaglep3\Utilities\RefineRTDCRunTimes.py" --tripid 192-05 --locoid 4009 --swversion DE.1.0.9.0 --startMP 204:233025 --initTime 2017-09-05T15:47:59 --startdatetime 2017-09-05T15:57:20 --delay 186 --endMP 204:154 --enddatetime 2017-09-05T16:34:50 --enforcementcount 0 &gt;&gt;C:\Users\stu\Documents\GitHub\eaglep3-reporting\EC\2017-09-05-refined-times.txt</v>
      </c>
      <c r="AI10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{"issue":{"subject":"","project_id":79,"tracker_id":40,"status_id":1,"priority_id":2,"assigned_to_id":338,"start_date":"2017-09-05","description":"","custom_fields":[{"id":1,"name":"Subdivision","value":"EC"},{"id":4,"name":"Milepost","value":"0.0154"},{"id":17,"name":"Train ID","value":"192-05"},{"id":16,"name":"Locomotive ID","value":"4009"},{"id":130,"name":"Impact","value":""},{"id":150,"name":"Time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0"/>
        <v>start /low /b %USERPROFILE%\Documents\GitHub\eaglep3\Utilities\DownloadLogsFromS3.py --loco 4009 --day 2017-09-05</v>
      </c>
      <c r="AN105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744</v>
      </c>
      <c r="B106" s="7">
        <v>4030</v>
      </c>
      <c r="C106" s="21" t="s">
        <v>197</v>
      </c>
      <c r="D106" s="21" t="s">
        <v>541</v>
      </c>
      <c r="E106" s="13">
        <v>42983.658321759256</v>
      </c>
      <c r="F106" s="13">
        <v>42983.635625000003</v>
      </c>
      <c r="G106" s="7">
        <v>186</v>
      </c>
      <c r="H106" s="21" t="s">
        <v>347</v>
      </c>
      <c r="I106" s="13">
        <v>42983.661354166667</v>
      </c>
      <c r="J106" s="7">
        <v>0</v>
      </c>
      <c r="K106" s="89" t="str">
        <f t="shared" si="77"/>
        <v>4029/4030</v>
      </c>
      <c r="L106" s="214" t="str">
        <f>VLOOKUP(A106,'Trips&amp;Operators'!$C$1:$G$99911,5,FALSE)</f>
        <v>SWANSON BRYCE</v>
      </c>
      <c r="M106" s="6">
        <f t="shared" si="78"/>
        <v>2.5729166663950309E-2</v>
      </c>
      <c r="N106" s="7">
        <f t="shared" si="79"/>
        <v>37.049999996088445</v>
      </c>
      <c r="O106" s="7"/>
      <c r="P106" s="7"/>
      <c r="Q106" s="22"/>
      <c r="R106" s="167"/>
      <c r="S106" s="210">
        <f t="shared" si="80"/>
        <v>0</v>
      </c>
      <c r="T106" s="192" t="str">
        <f t="shared" si="81"/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193" t="str">
        <f t="shared" si="41"/>
        <v>https://d0f6bd738d7f1b3e5a7ca70fe4ff75f0.us-east-1.aws.found.io/app/kibana#/discover/Steve-Slow-Train-Analysis-(2080s-and-2083s)?_g=(refreshInterval:(display:Off,pause:!f,section:0,value:0),time:(from:'2017-09-05T14:47:59-0600',mode:absolute,to:'2017-09-05T16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194" t="str">
        <f>IF(AA106&lt;VLOOKUP(AG106,Variables!$AC$3:$AD$8,2,FALSE),"Y","N")</f>
        <v>N</v>
      </c>
      <c r="X106" s="194">
        <f t="shared" si="87"/>
        <v>1</v>
      </c>
      <c r="Y106" s="194">
        <f t="shared" si="82"/>
        <v>23.302499999999998</v>
      </c>
      <c r="Z106" s="194">
        <f t="shared" si="83"/>
        <v>1.54E-2</v>
      </c>
      <c r="AA106" s="194">
        <f t="shared" si="84"/>
        <v>23.287099999999999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85"/>
        <v>193</v>
      </c>
      <c r="AE106" s="77" t="str">
        <f t="shared" si="45"/>
        <v>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 &amp; 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</v>
      </c>
      <c r="AF106" s="74" t="str">
        <f t="shared" si="46"/>
        <v>"C:\Program Files (x86)\AstroGrep\AstroGrep.exe" /e /r /s /spath="%USERPROFILE%\AppData\Local\Temp\OnboardLogs" /stypes="app*4030*20170905*" /stext=" 21:.+((SYSTEM_STATE.+slice.+state.+changed )|(ment ac)|(multiple cpu faults)|(system.+state.+changed )|(\[timeout)|(PRM\|1\|D)|(kpr)|(kdp)|(train st.+moving)|(\|lc)|(penalty))"</v>
      </c>
      <c r="AG106" s="206" t="str">
        <f t="shared" si="86"/>
        <v>EC</v>
      </c>
      <c r="AH106" s="78" t="str">
        <f t="shared" ref="AH106" si="88"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193-05 --locoid 4030 --swversion DE.1.0.9.0 --startMP 204:233025 --initTime 2017-09-05T15:47:59 --startdatetime 2017-09-05T15:15:18 --delay 186 --endMP 204:154 --enddatetime 2017-09-05T15:52:21 --enforcementcount 0 &gt;&gt;C:\Users\stu\Documents\GitHub\eaglep3-reporting\EC\2017-09-05-refined-times.txt</v>
      </c>
      <c r="AI106" s="96" t="str">
        <f t="shared" ref="AI106" si="89"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{"issue":{"subject":"","project_id":79,"tracker_id":40,"status_id":1,"priority_id":2,"assigned_to_id":338,"start_date":"2017-09-05","description":"","custom_fields":[{"id":1,"name":"Subdivision","value":"EC"},{"id":4,"name":"Milepost","value":"0.0154"},{"id":17,"name":"Train ID","value":"193-05"},{"id":16,"name":"Locomotive ID","value":"4030"},{"id":130,"name":"Impact","value":""},{"id":150,"name":"Time of Event (Mountain Time)","value":"15:52:21"},{"id":151,"name":"Denver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ref="AM106" si="90">"start /low /b "&amp;dls3logs&amp;" --loco "&amp;B106&amp;" --day "&amp;TEXT(F106,"YYYY-MM-DD")</f>
        <v>start /low /b %USERPROFILE%\Documents\GitHub\eaglep3\Utilities\DownloadLogsFromS3.py --loco 4030 --day 2017-09-05</v>
      </c>
      <c r="AN106" s="151" t="str">
        <f t="shared" ref="AN106" si="91"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750</v>
      </c>
      <c r="B107" s="7">
        <v>4029</v>
      </c>
      <c r="C107" s="21" t="s">
        <v>197</v>
      </c>
      <c r="D107" s="21" t="s">
        <v>390</v>
      </c>
      <c r="E107" s="13">
        <v>42983.665798611109</v>
      </c>
      <c r="F107" s="13">
        <v>42983.675312500003</v>
      </c>
      <c r="G107" s="7">
        <v>68</v>
      </c>
      <c r="H107" s="21" t="s">
        <v>397</v>
      </c>
      <c r="I107" s="13">
        <v>42983.702465277776</v>
      </c>
      <c r="J107" s="7">
        <v>0</v>
      </c>
      <c r="K107" s="89" t="str">
        <f t="shared" si="77"/>
        <v>4029/4030</v>
      </c>
      <c r="L107" s="214" t="str">
        <f>VLOOKUP(A107,'Trips&amp;Operators'!$C$1:$G$99911,5,FALSE)</f>
        <v>SWANSON BRYCE</v>
      </c>
      <c r="M107" s="6">
        <f t="shared" si="78"/>
        <v>2.7152777773153502E-2</v>
      </c>
      <c r="N107" s="7">
        <f t="shared" si="79"/>
        <v>39.099999993341044</v>
      </c>
      <c r="O107" s="7"/>
      <c r="P107" s="7"/>
      <c r="Q107" s="22"/>
      <c r="R107" s="167"/>
      <c r="S107" s="210">
        <f t="shared" si="80"/>
        <v>1</v>
      </c>
      <c r="T107" s="192" t="str">
        <f t="shared" si="81"/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41"/>
        <v>https://d0f6bd738d7f1b3e5a7ca70fe4ff75f0.us-east-1.aws.found.io/app/kibana#/discover/Steve-Slow-Train-Analysis-(2080s-and-2083s)?_g=(refreshInterval:(display:Off,pause:!f,section:0,value:0),time:(from:'2017-09-05T14:58:45-0600',mode:absolute,to:'2017-09-05T17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194" t="str">
        <f>IF(AA107&lt;VLOOKUP(AG107,Variables!$AC$3:$AD$8,2,FALSE),"Y","N")</f>
        <v>N</v>
      </c>
      <c r="X107" s="194">
        <f t="shared" si="87"/>
        <v>1</v>
      </c>
      <c r="Y107" s="194">
        <f t="shared" si="82"/>
        <v>23.297999999999998</v>
      </c>
      <c r="Z107" s="194">
        <f t="shared" si="83"/>
        <v>1.61E-2</v>
      </c>
      <c r="AA107" s="194">
        <f t="shared" si="84"/>
        <v>23.281899999999997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85"/>
        <v>194</v>
      </c>
      <c r="AE107" s="77" t="str">
        <f t="shared" si="45"/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AF107" s="74" t="str">
        <f t="shared" si="46"/>
        <v>"C:\Program Files (x86)\AstroGrep\AstroGrep.exe" /e /r /s /spath="%USERPROFILE%\AppData\Local\Temp\OnboardLogs" /stypes="app*4029*20170905*" /stext=" 22:.+((SYSTEM_STATE.+slice.+state.+changed )|(ment ac)|(multiple cpu faults)|(system.+state.+changed )|(\[timeout)|(PRM\|1\|D)|(kpr)|(kdp)|(train st.+moving)|(\|lc)|(penalty))"</v>
      </c>
      <c r="AG107" s="206" t="str">
        <f t="shared" si="86"/>
        <v>EC</v>
      </c>
      <c r="AH107" s="78" t="str">
        <f t="shared" si="48"/>
        <v>"%USERPROFILE%\Documents\GitHub\eaglep3\Utilities\RefineRTDCRunTimes.py" --tripid 194-05 --locoid 4029 --swversion DE.1.0.9.0 --startMP 204:232980 --initTime 2017-09-05T15:58:45 --startdatetime 2017-09-05T16:12:27 --delay 68 --endMP 204:161 --enddatetime 2017-09-05T16:51:33 --enforcementcount 0 &gt;&gt;C:\Users\stu\Documents\GitHub\eaglep3-reporting\EC\2017-09-05-refined-times.txt</v>
      </c>
      <c r="AI10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{"issue":{"subject":"","project_id":79,"tracker_id":40,"status_id":1,"priority_id":2,"assigned_to_id":338,"start_date":"2017-09-05","description":"","custom_fields":[{"id":1,"name":"Subdivision","value":"EC"},{"id":4,"name":"Milepost","value":"0.0161"},{"id":17,"name":"Train ID","value":"194-05"},{"id":16,"name":"Locomotive ID","value":"4029"},{"id":130,"name":"Impact","value":""},{"id":150,"name":"Time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0"/>
        <v>start /low /b %USERPROFILE%\Documents\GitHub\eaglep3\Utilities\DownloadLogsFromS3.py --loco 4029 --day 2017-09-05</v>
      </c>
      <c r="AN107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746</v>
      </c>
      <c r="B108" s="7">
        <v>4066</v>
      </c>
      <c r="C108" s="21" t="s">
        <v>197</v>
      </c>
      <c r="D108" s="21" t="s">
        <v>343</v>
      </c>
      <c r="E108" s="13">
        <v>42983.642789351848</v>
      </c>
      <c r="F108" s="13">
        <v>42983.646168981482</v>
      </c>
      <c r="G108" s="7">
        <v>59</v>
      </c>
      <c r="H108" s="21" t="s">
        <v>486</v>
      </c>
      <c r="I108" s="13">
        <v>42983.671331018515</v>
      </c>
      <c r="J108" s="7">
        <v>0</v>
      </c>
      <c r="K108" s="89" t="str">
        <f t="shared" si="77"/>
        <v>4065/4066</v>
      </c>
      <c r="L108" s="214" t="str">
        <f>VLOOKUP(A108,'Trips&amp;Operators'!$C$1:$G$99911,5,FALSE)</f>
        <v>LEVERE CRAIG</v>
      </c>
      <c r="M108" s="6">
        <f t="shared" si="78"/>
        <v>2.5162037032714579E-2</v>
      </c>
      <c r="N108" s="7">
        <f t="shared" si="79"/>
        <v>36.233333327108994</v>
      </c>
      <c r="O108" s="7"/>
      <c r="P108" s="7"/>
      <c r="Q108" s="22"/>
      <c r="R108" s="167"/>
      <c r="S108" s="210">
        <f t="shared" si="80"/>
        <v>1</v>
      </c>
      <c r="T108" s="192" t="str">
        <f t="shared" si="81"/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41"/>
        <v>https://d0f6bd738d7f1b3e5a7ca70fe4ff75f0.us-east-1.aws.found.io/app/kibana#/discover/Steve-Slow-Train-Analysis-(2080s-and-2083s)?_g=(refreshInterval:(display:Off,pause:!f,section:0,value:0),time:(from:'2017-09-05T14:25:37-0600',mode:absolute,to:'2017-09-05T17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8" s="194" t="str">
        <f>IF(AA108&lt;VLOOKUP(AG108,Variables!$AC$3:$AD$8,2,FALSE),"Y","N")</f>
        <v>N</v>
      </c>
      <c r="X108" s="194">
        <f t="shared" si="87"/>
        <v>1</v>
      </c>
      <c r="Y108" s="194">
        <f t="shared" si="82"/>
        <v>4.4699999999999997E-2</v>
      </c>
      <c r="Z108" s="194">
        <f t="shared" si="83"/>
        <v>23.331399999999999</v>
      </c>
      <c r="AA108" s="194">
        <f t="shared" si="84"/>
        <v>23.2867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85"/>
        <v>195</v>
      </c>
      <c r="AE108" s="77" t="str">
        <f t="shared" si="4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08" s="74" t="str">
        <f t="shared" si="46"/>
        <v>"C:\Program Files (x86)\AstroGrep\AstroGrep.exe" /e /r /s /spath="%USERPROFILE%\AppData\Local\Temp\OnboardLogs" /stypes="app*4066*20170905*" /stext=" 22:.+((SYSTEM_STATE.+slice.+state.+changed )|(ment ac)|(multiple cpu faults)|(system.+state.+changed )|(\[timeout)|(PRM\|1\|D)|(kpr)|(kdp)|(train st.+moving)|(\|lc)|(penalty))"</v>
      </c>
      <c r="AG108" s="206" t="str">
        <f t="shared" si="86"/>
        <v>EC</v>
      </c>
      <c r="AH108" s="78" t="str">
        <f t="shared" si="48"/>
        <v>"%USERPROFILE%\Documents\GitHub\eaglep3\Utilities\RefineRTDCRunTimes.py" --tripid 195-05 --locoid 4066 --swversion DE.1.0.9.0 --startMP 204:447 --initTime 2017-09-05T15:25:37 --startdatetime 2017-09-05T15:30:29 --delay 59 --endMP 204:233314 --enddatetime 2017-09-05T16:06:43 --enforcementcount 0 &gt;&gt;C:\Users\stu\Documents\GitHub\eaglep3-reporting\EC\2017-09-05-refined-times.txt</v>
      </c>
      <c r="AI10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{"issue":{"subject":"","project_id":79,"tracker_id":40,"status_id":1,"priority_id":2,"assigned_to_id":338,"start_date":"2017-09-05","description":"","custom_fields":[{"id":1,"name":"Subdivision","value":"EC"},{"id":4,"name":"Milepost","value":"23.3314"},{"id":17,"name":"Train ID","value":"195-05"},{"id":16,"name":"Locomotive ID","value":"4066"},{"id":130,"name":"Impact","value":""},{"id":150,"name":"Time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0"/>
        <v>start /low /b %USERPROFILE%\Documents\GitHub\eaglep3\Utilities\DownloadLogsFromS3.py --loco 4066 --day 2017-09-05</v>
      </c>
      <c r="AN108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753</v>
      </c>
      <c r="B109" s="7">
        <v>4065</v>
      </c>
      <c r="C109" s="21" t="s">
        <v>197</v>
      </c>
      <c r="D109" s="21" t="s">
        <v>874</v>
      </c>
      <c r="E109" s="13">
        <v>42983.678090277775</v>
      </c>
      <c r="F109" s="13">
        <v>42983.685590277775</v>
      </c>
      <c r="G109" s="7">
        <v>57</v>
      </c>
      <c r="H109" s="21" t="s">
        <v>340</v>
      </c>
      <c r="I109" s="13">
        <v>42983.712199074071</v>
      </c>
      <c r="J109" s="7">
        <v>0</v>
      </c>
      <c r="K109" s="89" t="str">
        <f t="shared" si="77"/>
        <v>4065/4066</v>
      </c>
      <c r="L109" s="214" t="str">
        <f>VLOOKUP(A109,'Trips&amp;Operators'!$C$1:$G$99911,5,FALSE)</f>
        <v>LEVERE CRAIG</v>
      </c>
      <c r="M109" s="6">
        <f t="shared" si="78"/>
        <v>2.6608796295477077E-2</v>
      </c>
      <c r="N109" s="7">
        <f t="shared" si="79"/>
        <v>38.316666665486991</v>
      </c>
      <c r="O109" s="7"/>
      <c r="P109" s="7"/>
      <c r="Q109" s="22"/>
      <c r="R109" s="167" t="s">
        <v>1003</v>
      </c>
      <c r="S109" s="210">
        <f t="shared" si="80"/>
        <v>1</v>
      </c>
      <c r="T109" s="192" t="str">
        <f t="shared" si="81"/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41"/>
        <v>https://d0f6bd738d7f1b3e5a7ca70fe4ff75f0.us-east-1.aws.found.io/app/kibana#/discover/Steve-Slow-Train-Analysis-(2080s-and-2083s)?_g=(refreshInterval:(display:Off,pause:!f,section:0,value:0),time:(from:'2017-09-05T15:16:27-0600',mode:absolute,to:'2017-09-05T18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9" s="194" t="str">
        <f>IF(AA109&lt;VLOOKUP(AG109,Variables!$AC$3:$AD$8,2,FALSE),"Y","N")</f>
        <v>N</v>
      </c>
      <c r="X109" s="194">
        <f t="shared" si="87"/>
        <v>1</v>
      </c>
      <c r="Y109" s="194">
        <f t="shared" si="82"/>
        <v>23.3002</v>
      </c>
      <c r="Z109" s="194">
        <f t="shared" si="83"/>
        <v>1.43E-2</v>
      </c>
      <c r="AA109" s="194">
        <f t="shared" si="84"/>
        <v>23.285900000000002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85"/>
        <v>196</v>
      </c>
      <c r="AE109" s="77" t="str">
        <f t="shared" si="4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09" s="74" t="str">
        <f t="shared" si="46"/>
        <v>"C:\Program Files (x86)\AstroGrep\AstroGrep.exe" /e /r /s /spath="%USERPROFILE%\AppData\Local\Temp\OnboardLogs" /stypes="app*4065*20170905*" /stext=" 23:.+((SYSTEM_STATE.+slice.+state.+changed )|(ment ac)|(multiple cpu faults)|(system.+state.+changed )|(\[timeout)|(PRM\|1\|D)|(kpr)|(kdp)|(train st.+moving)|(\|lc)|(penalty))"</v>
      </c>
      <c r="AG109" s="206" t="str">
        <f t="shared" si="86"/>
        <v>EC</v>
      </c>
      <c r="AH109" s="78" t="str">
        <f t="shared" si="48"/>
        <v>"%USERPROFILE%\Documents\GitHub\eaglep3\Utilities\RefineRTDCRunTimes.py" --tripid 196-05 --locoid 4065 --swversion DE.1.0.9.0 --startMP 204:233002 --initTime 2017-09-05T16:16:27 --startdatetime 2017-09-05T16:27:15 --delay 57 --endMP 204:143 --enddatetime 2017-09-05T17:05:34 --enforcementcount 0 &gt;&gt;C:\Users\stu\Documents\GitHub\eaglep3-reporting\EC\2017-09-05-refined-times.txt</v>
      </c>
      <c r="AI109" s="96" t="str">
        <f t="shared" si="49"/>
        <v>echo {"issue":{"subject":"Unhealthy @ Chambers due to train stop","project_id":79,"tracker_id":40,"status_id":1,"priority_id":2,"assigned_to_id":338,"start_date":"2017-09-05","description":"","custom_fields":[{"id":1,"name":"Subdivision","value":"EC"},{"id":4,"name":"Milepost","value":"0.0143"},{"id":17,"name":"Train ID","value":"196-05"},{"id":16,"name":"Locomotive ID","value":"4065"},{"id":130,"name":"Impact","value":""},{"id":150,"name":"Time of Event (Mountain Time)","value":"17:05:34"},{"id":151,"name":"Denver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0"/>
        <v>start /low /b %USERPROFILE%\Documents\GitHub\eaglep3\Utilities\DownloadLogsFromS3.py --loco 4065 --day 2017-09-05</v>
      </c>
      <c r="AN109" s="151" t="str">
        <f t="shared" si="51"/>
        <v>echo {"issue":{"subject":"Unhealthy @ Chambers due to train stop","project_id":30,"tracker_id":4,"status_id":1,"priority_id":1,"assigned_to_id":10,"start_date":"2017-09-05","description":"","custom_fields":[{"id":30,"name":"Category","value":"Issue"},{"id":3,"name":"Functional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603</v>
      </c>
      <c r="B110" s="7">
        <v>4024</v>
      </c>
      <c r="C110" s="21" t="s">
        <v>197</v>
      </c>
      <c r="D110" s="21" t="s">
        <v>444</v>
      </c>
      <c r="E110" s="13">
        <v>42983.652581018519</v>
      </c>
      <c r="F110" s="13">
        <v>42983.656990740739</v>
      </c>
      <c r="G110" s="7">
        <v>63</v>
      </c>
      <c r="H110" s="21" t="s">
        <v>479</v>
      </c>
      <c r="I110" s="13">
        <v>42983.682835648149</v>
      </c>
      <c r="J110" s="7">
        <v>0</v>
      </c>
      <c r="K110" s="89" t="str">
        <f t="shared" si="77"/>
        <v>4023/4024</v>
      </c>
      <c r="L110" s="214" t="str">
        <f>VLOOKUP(A110,'Trips&amp;Operators'!$C$1:$G$99911,5,FALSE)</f>
        <v>SAFIEF AEIMEN</v>
      </c>
      <c r="M110" s="6">
        <f t="shared" si="78"/>
        <v>2.584490740991896E-2</v>
      </c>
      <c r="N110" s="7">
        <f t="shared" si="79"/>
        <v>37.216666670283303</v>
      </c>
      <c r="O110" s="7"/>
      <c r="P110" s="7"/>
      <c r="Q110" s="22"/>
      <c r="R110" s="167"/>
      <c r="S110" s="210">
        <f t="shared" si="80"/>
        <v>1</v>
      </c>
      <c r="T110" s="192" t="str">
        <f t="shared" si="81"/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41"/>
        <v>https://d0f6bd738d7f1b3e5a7ca70fe4ff75f0.us-east-1.aws.found.io/app/kibana#/discover/Steve-Slow-Train-Analysis-(2080s-and-2083s)?_g=(refreshInterval:(display:Off,pause:!f,section:0,value:0),time:(from:'2017-09-05T14:39:43-0600',mode:absolute,to:'2017-09-05T17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4" t="str">
        <f>IF(AA110&lt;VLOOKUP(AG110,Variables!$AC$3:$AD$8,2,FALSE),"Y","N")</f>
        <v>N</v>
      </c>
      <c r="X110" s="194">
        <f t="shared" si="87"/>
        <v>1</v>
      </c>
      <c r="Y110" s="194">
        <f t="shared" si="82"/>
        <v>4.5999999999999999E-2</v>
      </c>
      <c r="Z110" s="194">
        <f t="shared" si="83"/>
        <v>23.331199999999999</v>
      </c>
      <c r="AA110" s="194">
        <f t="shared" si="84"/>
        <v>23.2852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85"/>
        <v>197</v>
      </c>
      <c r="AE110" s="77" t="str">
        <f t="shared" si="45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110" s="74" t="str">
        <f t="shared" si="46"/>
        <v>"C:\Program Files (x86)\AstroGrep\AstroGrep.exe" /e /r /s /spath="%USERPROFILE%\AppData\Local\Temp\OnboardLogs" /stypes="app*4024*20170905*" /stext=" 22:.+((SYSTEM_STATE.+slice.+state.+changed )|(ment ac)|(multiple cpu faults)|(system.+state.+changed )|(\[timeout)|(PRM\|1\|D)|(kpr)|(kdp)|(train st.+moving)|(\|lc)|(penalty))"</v>
      </c>
      <c r="AG110" s="206" t="str">
        <f t="shared" si="86"/>
        <v>EC</v>
      </c>
      <c r="AH110" s="78" t="str">
        <f t="shared" si="48"/>
        <v>"%USERPROFILE%\Documents\GitHub\eaglep3\Utilities\RefineRTDCRunTimes.py" --tripid 197-05 --locoid 4024 --swversion DE.1.0.9.0 --startMP 204:460 --initTime 2017-09-05T15:39:43 --startdatetime 2017-09-05T15:46:04 --delay 63 --endMP 204:233312 --enddatetime 2017-09-05T16:23:17 --enforcementcount 0 &gt;&gt;C:\Users\stu\Documents\GitHub\eaglep3-reporting\EC\2017-09-05-refined-times.txt</v>
      </c>
      <c r="AI11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{"issue":{"subject":"","project_id":79,"tracker_id":40,"status_id":1,"priority_id":2,"assigned_to_id":338,"start_date":"2017-09-05","description":"","custom_fields":[{"id":1,"name":"Subdivision","value":"EC"},{"id":4,"name":"Milepost","value":"23.3312"},{"id":17,"name":"Train ID","value":"197-05"},{"id":16,"name":"Locomotive ID","value":"4024"},{"id":130,"name":"Impact","value":""},{"id":150,"name":"Time of Event (Mountain Time)","value":"16:23:17"},{"id":151,"name":"Denver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0"/>
        <v>start /low /b %USERPROFILE%\Documents\GitHub\eaglep3\Utilities\DownloadLogsFromS3.py --loco 4024 --day 2017-09-05</v>
      </c>
      <c r="AN110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757</v>
      </c>
      <c r="B111" s="7">
        <v>4023</v>
      </c>
      <c r="C111" s="21" t="s">
        <v>197</v>
      </c>
      <c r="D111" s="21" t="s">
        <v>351</v>
      </c>
      <c r="E111" s="13">
        <v>42983.688807870371</v>
      </c>
      <c r="F111" s="13">
        <v>42983.696226851855</v>
      </c>
      <c r="G111" s="7">
        <v>78</v>
      </c>
      <c r="H111" s="21" t="s">
        <v>345</v>
      </c>
      <c r="I111" s="13">
        <v>42983.722488425927</v>
      </c>
      <c r="J111" s="7">
        <v>0</v>
      </c>
      <c r="K111" s="89" t="str">
        <f t="shared" si="77"/>
        <v>4023/4024</v>
      </c>
      <c r="L111" s="214" t="str">
        <f>VLOOKUP(A111,'Trips&amp;Operators'!$C$1:$G$99911,5,FALSE)</f>
        <v>SAFIEF AEIMEN</v>
      </c>
      <c r="M111" s="6">
        <f t="shared" si="78"/>
        <v>2.626157407212304E-2</v>
      </c>
      <c r="N111" s="7">
        <f t="shared" si="79"/>
        <v>37.816666663857177</v>
      </c>
      <c r="O111" s="7"/>
      <c r="P111" s="7"/>
      <c r="Q111" s="22"/>
      <c r="R111" s="167"/>
      <c r="S111" s="210">
        <f t="shared" si="80"/>
        <v>1</v>
      </c>
      <c r="T111" s="192" t="str">
        <f t="shared" si="81"/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41"/>
        <v>https://d0f6bd738d7f1b3e5a7ca70fe4ff75f0.us-east-1.aws.found.io/app/kibana#/discover/Steve-Slow-Train-Analysis-(2080s-and-2083s)?_g=(refreshInterval:(display:Off,pause:!f,section:0,value:0),time:(from:'2017-09-05T15:31:53-0600',mode:absolute,to:'2017-09-05T18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4" t="str">
        <f>IF(AA111&lt;VLOOKUP(AG111,Variables!$AC$3:$AD$8,2,FALSE),"Y","N")</f>
        <v>N</v>
      </c>
      <c r="X111" s="194">
        <f t="shared" si="87"/>
        <v>1</v>
      </c>
      <c r="Y111" s="194">
        <f t="shared" si="82"/>
        <v>23.299600000000002</v>
      </c>
      <c r="Z111" s="194">
        <f t="shared" si="83"/>
        <v>1.47E-2</v>
      </c>
      <c r="AA111" s="194">
        <f t="shared" si="84"/>
        <v>23.2849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85"/>
        <v>198</v>
      </c>
      <c r="AE111" s="77" t="str">
        <f t="shared" si="45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111" s="74" t="str">
        <f t="shared" si="46"/>
        <v>"C:\Program Files (x86)\AstroGrep\AstroGrep.exe" /e /r /s /spath="%USERPROFILE%\AppData\Local\Temp\OnboardLogs" /stypes="app*4023*20170905*" /stext=" 23:.+((SYSTEM_STATE.+slice.+state.+changed )|(ment ac)|(multiple cpu faults)|(system.+state.+changed )|(\[timeout)|(PRM\|1\|D)|(kpr)|(kdp)|(train st.+moving)|(\|lc)|(penalty))"</v>
      </c>
      <c r="AG111" s="206" t="str">
        <f t="shared" si="86"/>
        <v>EC</v>
      </c>
      <c r="AH111" s="78" t="str">
        <f t="shared" si="48"/>
        <v>"%USERPROFILE%\Documents\GitHub\eaglep3\Utilities\RefineRTDCRunTimes.py" --tripid 198-05 --locoid 4023 --swversion DE.1.0.9.0 --startMP 204:232996 --initTime 2017-09-05T16:31:53 --startdatetime 2017-09-05T16:42:34 --delay 78 --endMP 204:147 --enddatetime 2017-09-05T17:20:23 --enforcementcount 0 &gt;&gt;C:\Users\stu\Documents\GitHub\eaglep3-reporting\EC\2017-09-05-refined-times.txt</v>
      </c>
      <c r="AI11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ID","value":"198-05"},{"id":16,"name":"Locomotive ID","value":"4023"},{"id":130,"name":"Impact","value":""},{"id":150,"name":"Time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0"/>
        <v>start /low /b %USERPROFILE%\Documents\GitHub\eaglep3\Utilities\DownloadLogsFromS3.py --loco 4023 --day 2017-09-05</v>
      </c>
      <c r="AN111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606</v>
      </c>
      <c r="B112" s="7">
        <v>4040</v>
      </c>
      <c r="C112" s="21" t="s">
        <v>197</v>
      </c>
      <c r="D112" s="21" t="s">
        <v>875</v>
      </c>
      <c r="E112" s="13">
        <v>42983.664201388892</v>
      </c>
      <c r="F112" s="13">
        <v>42983.667060185187</v>
      </c>
      <c r="G112" s="7">
        <v>78</v>
      </c>
      <c r="H112" s="21" t="s">
        <v>531</v>
      </c>
      <c r="I112" s="13">
        <v>42983.692546296297</v>
      </c>
      <c r="J112" s="7">
        <v>0</v>
      </c>
      <c r="K112" s="89" t="str">
        <f t="shared" si="77"/>
        <v>4039/4040</v>
      </c>
      <c r="L112" s="214" t="str">
        <f>VLOOKUP(A112,'Trips&amp;Operators'!$C$1:$G$99911,5,FALSE)</f>
        <v>DAVIS MICHAEL</v>
      </c>
      <c r="M112" s="6">
        <f t="shared" si="78"/>
        <v>2.548611110978527E-2</v>
      </c>
      <c r="N112" s="7">
        <f t="shared" si="79"/>
        <v>36.699999998090789</v>
      </c>
      <c r="O112" s="7"/>
      <c r="P112" s="7"/>
      <c r="Q112" s="22"/>
      <c r="R112" s="167"/>
      <c r="S112" s="210">
        <f t="shared" si="80"/>
        <v>1</v>
      </c>
      <c r="T112" s="192" t="str">
        <f t="shared" si="81"/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41"/>
        <v>https://d0f6bd738d7f1b3e5a7ca70fe4ff75f0.us-east-1.aws.found.io/app/kibana#/discover/Steve-Slow-Train-Analysis-(2080s-and-2083s)?_g=(refreshInterval:(display:Off,pause:!f,section:0,value:0),time:(from:'2017-09-05T14:56:27-0600',mode:absolute,to:'2017-09-05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4" t="str">
        <f>IF(AA112&lt;VLOOKUP(AG112,Variables!$AC$3:$AD$8,2,FALSE),"Y","N")</f>
        <v>N</v>
      </c>
      <c r="X112" s="194">
        <f t="shared" si="87"/>
        <v>1</v>
      </c>
      <c r="Y112" s="194">
        <f t="shared" si="82"/>
        <v>4.8800000000000003E-2</v>
      </c>
      <c r="Z112" s="194">
        <f t="shared" si="83"/>
        <v>23.332699999999999</v>
      </c>
      <c r="AA112" s="194">
        <f t="shared" si="84"/>
        <v>23.283899999999999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85"/>
        <v>199</v>
      </c>
      <c r="AE112" s="77" t="str">
        <f t="shared" si="4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12" s="74" t="str">
        <f t="shared" si="46"/>
        <v>"C:\Program Files (x86)\AstroGrep\AstroGrep.exe" /e /r /s /spath="%USERPROFILE%\AppData\Local\Temp\OnboardLogs" /stypes="app*4040*20170905*" /stext=" 22:.+((SYSTEM_STATE.+slice.+state.+changed )|(ment ac)|(multiple cpu faults)|(system.+state.+changed )|(\[timeout)|(PRM\|1\|D)|(kpr)|(kdp)|(train st.+moving)|(\|lc)|(penalty))"</v>
      </c>
      <c r="AG112" s="206" t="str">
        <f t="shared" si="86"/>
        <v>EC</v>
      </c>
      <c r="AH112" s="78" t="str">
        <f t="shared" si="48"/>
        <v>"%USERPROFILE%\Documents\GitHub\eaglep3\Utilities\RefineRTDCRunTimes.py" --tripid 199-05 --locoid 4040 --swversion DE.1.0.9.0 --startMP 204:488 --initTime 2017-09-05T15:56:27 --startdatetime 2017-09-05T16:00:34 --delay 78 --endMP 204:233327 --enddatetime 2017-09-05T16:37:16 --enforcementcount 0 &gt;&gt;C:\Users\stu\Documents\GitHub\eaglep3-reporting\EC\2017-09-05-refined-times.txt</v>
      </c>
      <c r="AI112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{"issue":{"subject":"","project_id":79,"tracker_id":40,"status_id":1,"priority_id":2,"assigned_to_id":338,"start_date":"2017-09-05","description":"","custom_fields":[{"id":1,"name":"Subdivision","value":"EC"},{"id":4,"name":"Milepost","value":"23.3327"},{"id":17,"name":"Train ID","value":"199-05"},{"id":16,"name":"Locomotive ID","value":"4040"},{"id":130,"name":"Impact","value":""},{"id":150,"name":"Time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0"/>
        <v>start /low /b %USERPROFILE%\Documents\GitHub\eaglep3\Utilities\DownloadLogsFromS3.py --loco 4040 --day 2017-09-05</v>
      </c>
      <c r="AN112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760</v>
      </c>
      <c r="B113" s="7">
        <v>4039</v>
      </c>
      <c r="C113" s="21" t="s">
        <v>197</v>
      </c>
      <c r="D113" s="21" t="s">
        <v>856</v>
      </c>
      <c r="E113" s="13">
        <v>42983.704745370371</v>
      </c>
      <c r="F113" s="13">
        <v>42983.706793981481</v>
      </c>
      <c r="G113" s="7">
        <v>60</v>
      </c>
      <c r="H113" s="21" t="s">
        <v>549</v>
      </c>
      <c r="I113" s="13">
        <v>42983.734456018516</v>
      </c>
      <c r="J113" s="7">
        <v>0</v>
      </c>
      <c r="K113" s="89" t="str">
        <f t="shared" si="77"/>
        <v>4039/4040</v>
      </c>
      <c r="L113" s="214" t="str">
        <f>VLOOKUP(A113,'Trips&amp;Operators'!$C$1:$G$99911,5,FALSE)</f>
        <v>DAVIS MICHAEL</v>
      </c>
      <c r="M113" s="6">
        <f t="shared" si="78"/>
        <v>2.7662037035042886E-2</v>
      </c>
      <c r="N113" s="7">
        <f t="shared" si="79"/>
        <v>39.833333330461755</v>
      </c>
      <c r="O113" s="7"/>
      <c r="P113" s="7"/>
      <c r="Q113" s="22"/>
      <c r="R113" s="167"/>
      <c r="S113" s="210">
        <f t="shared" si="80"/>
        <v>1</v>
      </c>
      <c r="T113" s="192" t="str">
        <f t="shared" si="81"/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41"/>
        <v>https://d0f6bd738d7f1b3e5a7ca70fe4ff75f0.us-east-1.aws.found.io/app/kibana#/discover/Steve-Slow-Train-Analysis-(2080s-and-2083s)?_g=(refreshInterval:(display:Off,pause:!f,section:0,value:0),time:(from:'2017-09-05T15:54:50-0600',mode:absolute,to:'2017-09-05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4" t="str">
        <f>IF(AA113&lt;VLOOKUP(AG113,Variables!$AC$3:$AD$8,2,FALSE),"Y","N")</f>
        <v>N</v>
      </c>
      <c r="X113" s="194">
        <f t="shared" si="87"/>
        <v>1</v>
      </c>
      <c r="Y113" s="194">
        <f t="shared" si="82"/>
        <v>23.3004</v>
      </c>
      <c r="Z113" s="194">
        <f t="shared" si="83"/>
        <v>1.34E-2</v>
      </c>
      <c r="AA113" s="194">
        <f t="shared" si="84"/>
        <v>23.286999999999999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85"/>
        <v>200</v>
      </c>
      <c r="AE113" s="77" t="str">
        <f t="shared" si="4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113" s="74" t="str">
        <f t="shared" si="46"/>
        <v>"C:\Program Files (x86)\AstroGrep\AstroGrep.exe" /e /r /s /spath="%USERPROFILE%\AppData\Local\Temp\OnboardLogs" /stypes="app*4039*20170905*" /stext=" 23:.+((SYSTEM_STATE.+slice.+state.+changed )|(ment ac)|(multiple cpu faults)|(system.+state.+changed )|(\[timeout)|(PRM\|1\|D)|(kpr)|(kdp)|(train st.+moving)|(\|lc)|(penalty))"</v>
      </c>
      <c r="AG113" s="206" t="str">
        <f t="shared" si="86"/>
        <v>EC</v>
      </c>
      <c r="AH113" s="78" t="str">
        <f t="shared" si="48"/>
        <v>"%USERPROFILE%\Documents\GitHub\eaglep3\Utilities\RefineRTDCRunTimes.py" --tripid 200-05 --locoid 4039 --swversion DE.1.0.9.0 --startMP 204:233004 --initTime 2017-09-05T16:54:50 --startdatetime 2017-09-05T16:57:47 --delay 60 --endMP 204:134 --enddatetime 2017-09-05T17:37:37 --enforcementcount 0 &gt;&gt;C:\Users\stu\Documents\GitHub\eaglep3-reporting\EC\2017-09-05-refined-times.txt</v>
      </c>
      <c r="AI11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{"issue":{"subject":"","project_id":79,"tracker_id":40,"status_id":1,"priority_id":2,"assigned_to_id":338,"start_date":"2017-09-05","description":"","custom_fields":[{"id":1,"name":"Subdivision","value":"EC"},{"id":4,"name":"Milepost","value":"0.0134"},{"id":17,"name":"Train ID","value":"200-05"},{"id":16,"name":"Locomotive ID","value":"4039"},{"id":130,"name":"Impact","value":""},{"id":150,"name":"Time of Event (Mountain Time)","value":"17:37:37"},{"id":151,"name":"Denver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0"/>
        <v>start /low /b %USERPROFILE%\Documents\GitHub\eaglep3\Utilities\DownloadLogsFromS3.py --loco 4039 --day 2017-09-05</v>
      </c>
      <c r="AN113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752</v>
      </c>
      <c r="B114" s="7">
        <v>4044</v>
      </c>
      <c r="C114" s="21" t="s">
        <v>197</v>
      </c>
      <c r="D114" s="21" t="s">
        <v>354</v>
      </c>
      <c r="E114" s="13">
        <v>42983.671851851854</v>
      </c>
      <c r="F114" s="13">
        <v>42983.677384259259</v>
      </c>
      <c r="G114" s="7">
        <v>73</v>
      </c>
      <c r="H114" s="21" t="s">
        <v>424</v>
      </c>
      <c r="I114" s="13">
        <v>42983.702731481484</v>
      </c>
      <c r="J114" s="7">
        <v>0</v>
      </c>
      <c r="K114" s="89" t="str">
        <f t="shared" si="77"/>
        <v>4043/4044</v>
      </c>
      <c r="L114" s="214" t="str">
        <f>VLOOKUP(A114,'Trips&amp;Operators'!$C$1:$G$99911,5,FALSE)</f>
        <v>SMITH MICHAEL</v>
      </c>
      <c r="M114" s="6">
        <f t="shared" si="78"/>
        <v>2.5347222224809229E-2</v>
      </c>
      <c r="N114" s="7">
        <f t="shared" si="79"/>
        <v>36.50000000372529</v>
      </c>
      <c r="O114" s="7"/>
      <c r="P114" s="7"/>
      <c r="Q114" s="22"/>
      <c r="R114" s="167"/>
      <c r="S114" s="210">
        <f t="shared" si="80"/>
        <v>1</v>
      </c>
      <c r="T114" s="192" t="str">
        <f t="shared" si="81"/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41"/>
        <v>https://d0f6bd738d7f1b3e5a7ca70fe4ff75f0.us-east-1.aws.found.io/app/kibana#/discover/Steve-Slow-Train-Analysis-(2080s-and-2083s)?_g=(refreshInterval:(display:Off,pause:!f,section:0,value:0),time:(from:'2017-09-05T15:07:28-0600',mode:absolute,to:'2017-09-05T17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194" t="str">
        <f>IF(AA114&lt;VLOOKUP(AG114,Variables!$AC$3:$AD$8,2,FALSE),"Y","N")</f>
        <v>N</v>
      </c>
      <c r="X114" s="194">
        <f t="shared" si="87"/>
        <v>1</v>
      </c>
      <c r="Y114" s="194">
        <f t="shared" si="82"/>
        <v>4.5499999999999999E-2</v>
      </c>
      <c r="Z114" s="194">
        <f t="shared" si="83"/>
        <v>23.3291</v>
      </c>
      <c r="AA114" s="194">
        <f t="shared" si="84"/>
        <v>23.2836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85"/>
        <v>201</v>
      </c>
      <c r="AE114" s="77" t="str">
        <f t="shared" si="45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114" s="74" t="str">
        <f t="shared" si="46"/>
        <v>"C:\Program Files (x86)\AstroGrep\AstroGrep.exe" /e /r /s /spath="%USERPROFILE%\AppData\Local\Temp\OnboardLogs" /stypes="app*4044*20170905*" /stext=" 22:.+((SYSTEM_STATE.+slice.+state.+changed )|(ment ac)|(multiple cpu faults)|(system.+state.+changed )|(\[timeout)|(PRM\|1\|D)|(kpr)|(kdp)|(train st.+moving)|(\|lc)|(penalty))"</v>
      </c>
      <c r="AG114" s="206" t="str">
        <f t="shared" si="86"/>
        <v>EC</v>
      </c>
      <c r="AH114" s="78" t="str">
        <f t="shared" si="48"/>
        <v>"%USERPROFILE%\Documents\GitHub\eaglep3\Utilities\RefineRTDCRunTimes.py" --tripid 201-05 --locoid 4044 --swversion DE.1.0.9.0 --startMP 204:455 --initTime 2017-09-05T16:07:28 --startdatetime 2017-09-05T16:15:26 --delay 73 --endMP 204:233291 --enddatetime 2017-09-05T16:51:56 --enforcementcount 0 &gt;&gt;C:\Users\stu\Documents\GitHub\eaglep3-reporting\EC\2017-09-05-refined-times.txt</v>
      </c>
      <c r="AI11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{"issue":{"subject":"","project_id":79,"tracker_id":40,"status_id":1,"priority_id":2,"assigned_to_id":338,"start_date":"2017-09-05","description":"","custom_fields":[{"id":1,"name":"Subdivision","value":"EC"},{"id":4,"name":"Milepost","value":"23.3291"},{"id":17,"name":"Train ID","value":"201-05"},{"id":16,"name":"Locomotive ID","value":"4044"},{"id":130,"name":"Impact","value":""},{"id":150,"name":"Time of Event (Mountain Time)","value":"16:51:56"},{"id":151,"name":"Denver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0"/>
        <v>start /low /b %USERPROFILE%\Documents\GitHub\eaglep3\Utilities\DownloadLogsFromS3.py --loco 4044 --day 2017-09-05</v>
      </c>
      <c r="AN114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610</v>
      </c>
      <c r="B115" s="7">
        <v>4043</v>
      </c>
      <c r="C115" s="21" t="s">
        <v>197</v>
      </c>
      <c r="D115" s="21" t="s">
        <v>483</v>
      </c>
      <c r="E115" s="13">
        <v>42983.703865740739</v>
      </c>
      <c r="F115" s="13">
        <v>42983.716840277775</v>
      </c>
      <c r="G115" s="7">
        <v>62</v>
      </c>
      <c r="H115" s="21" t="s">
        <v>345</v>
      </c>
      <c r="I115" s="13">
        <v>42983.744768518518</v>
      </c>
      <c r="J115" s="7">
        <v>0</v>
      </c>
      <c r="K115" s="89" t="str">
        <f t="shared" si="77"/>
        <v>4043/4044</v>
      </c>
      <c r="L115" s="214" t="str">
        <f>VLOOKUP(A115,'Trips&amp;Operators'!$C$1:$G$99911,5,FALSE)</f>
        <v>SMITH MICHAEL</v>
      </c>
      <c r="M115" s="6">
        <f t="shared" si="78"/>
        <v>2.792824074276723E-2</v>
      </c>
      <c r="N115" s="7">
        <f t="shared" si="79"/>
        <v>40.216666669584811</v>
      </c>
      <c r="O115" s="7"/>
      <c r="P115" s="7"/>
      <c r="Q115" s="22"/>
      <c r="R115" s="167"/>
      <c r="S115" s="210">
        <f t="shared" si="80"/>
        <v>1</v>
      </c>
      <c r="T115" s="192" t="str">
        <f t="shared" si="81"/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41"/>
        <v>https://d0f6bd738d7f1b3e5a7ca70fe4ff75f0.us-east-1.aws.found.io/app/kibana#/discover/Steve-Slow-Train-Analysis-(2080s-and-2083s)?_g=(refreshInterval:(display:Off,pause:!f,section:0,value:0),time:(from:'2017-09-05T15:53:34-0600',mode:absolute,to:'2017-09-05T18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194" t="str">
        <f>IF(AA115&lt;VLOOKUP(AG115,Variables!$AC$3:$AD$8,2,FALSE),"Y","N")</f>
        <v>N</v>
      </c>
      <c r="X115" s="194">
        <f t="shared" si="87"/>
        <v>1</v>
      </c>
      <c r="Y115" s="194">
        <f t="shared" si="82"/>
        <v>23.297499999999999</v>
      </c>
      <c r="Z115" s="194">
        <f t="shared" si="83"/>
        <v>1.47E-2</v>
      </c>
      <c r="AA115" s="194">
        <f t="shared" si="84"/>
        <v>23.282799999999998</v>
      </c>
      <c r="AB115" s="54" t="str">
        <f>VLOOKUP(A115,Enforcements!$C$7:$K$11,8,0)</f>
        <v>Bulletin (2)</v>
      </c>
      <c r="AC115" s="51" t="str">
        <f>VLOOKUP(A115,Enforcements!$C$7:$E$11,3,0)</f>
        <v>GRADE CROSSING</v>
      </c>
      <c r="AD115" s="203">
        <f t="shared" si="85"/>
        <v>202</v>
      </c>
      <c r="AE115" s="77" t="str">
        <f t="shared" si="45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115" s="74" t="str">
        <f t="shared" si="46"/>
        <v>"C:\Program Files (x86)\AstroGrep\AstroGrep.exe" /e /r /s /spath="%USERPROFILE%\AppData\Local\Temp\OnboardLogs" /stypes="app*4043*20170905*" /stext=" 23:.+((SYSTEM_STATE.+slice.+state.+changed )|(ment ac)|(multiple cpu faults)|(system.+state.+changed )|(\[timeout)|(PRM\|1\|D)|(kpr)|(kdp)|(train st.+moving)|(\|lc)|(penalty))"</v>
      </c>
      <c r="AG115" s="206" t="str">
        <f t="shared" si="86"/>
        <v>EC</v>
      </c>
      <c r="AH115" s="78" t="str">
        <f t="shared" si="48"/>
        <v>"%USERPROFILE%\Documents\GitHub\eaglep3\Utilities\RefineRTDCRunTimes.py" --tripid 202-05 --locoid 4043 --swversion DE.1.0.9.0 --startMP 204:232975 --initTime 2017-09-05T16:53:34 --startdatetime 2017-09-05T17:12:15 --delay 62 --endMP 204:147 --enddatetime 2017-09-05T17:52:28 --enforcementcount 0 &gt;&gt;C:\Users\stu\Documents\GitHub\eaglep3-reporting\EC\2017-09-05-refined-times.txt</v>
      </c>
      <c r="AI11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ID","value":"202-05"},{"id":16,"name":"Locomotive ID","value":"4043"},{"id":130,"name":"Impact","value":""},{"id":150,"name":"Time of Event (Mountain Time)","value":"17:52:28"},{"id":151,"name":"Denver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0"/>
        <v>start /low /b %USERPROFILE%\Documents\GitHub\eaglep3\Utilities\DownloadLogsFromS3.py --loco 4043 --day 2017-09-05</v>
      </c>
      <c r="AN115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755</v>
      </c>
      <c r="B116" s="7">
        <v>4022</v>
      </c>
      <c r="C116" s="21" t="s">
        <v>197</v>
      </c>
      <c r="D116" s="21" t="s">
        <v>354</v>
      </c>
      <c r="E116" s="13">
        <v>42983.682870370372</v>
      </c>
      <c r="F116" s="13">
        <v>42983.687662037039</v>
      </c>
      <c r="G116" s="7">
        <v>101</v>
      </c>
      <c r="H116" s="21" t="s">
        <v>484</v>
      </c>
      <c r="I116" s="13">
        <v>42983.712407407409</v>
      </c>
      <c r="J116" s="7">
        <v>0</v>
      </c>
      <c r="K116" s="89" t="str">
        <f t="shared" si="77"/>
        <v>4021/4022</v>
      </c>
      <c r="L116" s="214" t="str">
        <f>VLOOKUP(A116,'Trips&amp;Operators'!$C$1:$G$99911,5,FALSE)</f>
        <v>BRUDER RICHARD</v>
      </c>
      <c r="M116" s="6">
        <f t="shared" si="78"/>
        <v>2.47453703705105E-2</v>
      </c>
      <c r="N116" s="7">
        <f t="shared" si="79"/>
        <v>35.63333333353512</v>
      </c>
      <c r="O116" s="7"/>
      <c r="P116" s="7"/>
      <c r="Q116" s="22"/>
      <c r="R116" s="167"/>
      <c r="S116" s="210">
        <f t="shared" si="80"/>
        <v>1</v>
      </c>
      <c r="T116" s="192" t="str">
        <f t="shared" si="81"/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41"/>
        <v>https://d0f6bd738d7f1b3e5a7ca70fe4ff75f0.us-east-1.aws.found.io/app/kibana#/discover/Steve-Slow-Train-Analysis-(2080s-and-2083s)?_g=(refreshInterval:(display:Off,pause:!f,section:0,value:0),time:(from:'2017-09-05T15:23:20-0600',mode:absolute,to:'2017-09-05T18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194" t="str">
        <f>IF(AA116&lt;VLOOKUP(AG116,Variables!$AC$3:$AD$8,2,FALSE),"Y","N")</f>
        <v>N</v>
      </c>
      <c r="X116" s="194">
        <f t="shared" si="87"/>
        <v>1</v>
      </c>
      <c r="Y116" s="194">
        <f t="shared" si="82"/>
        <v>4.5499999999999999E-2</v>
      </c>
      <c r="Z116" s="194">
        <f t="shared" si="83"/>
        <v>23.330200000000001</v>
      </c>
      <c r="AA116" s="194">
        <f t="shared" si="84"/>
        <v>23.284700000000001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85"/>
        <v>203</v>
      </c>
      <c r="AE116" s="77" t="str">
        <f t="shared" si="45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116" s="74" t="str">
        <f t="shared" si="46"/>
        <v>"C:\Program Files (x86)\AstroGrep\AstroGrep.exe" /e /r /s /spath="%USERPROFILE%\AppData\Local\Temp\OnboardLogs" /stypes="app*4022*20170905*" /stext=" 23:.+((SYSTEM_STATE.+slice.+state.+changed )|(ment ac)|(multiple cpu faults)|(system.+state.+changed )|(\[timeout)|(PRM\|1\|D)|(kpr)|(kdp)|(train st.+moving)|(\|lc)|(penalty))"</v>
      </c>
      <c r="AG116" s="206" t="str">
        <f t="shared" si="86"/>
        <v>EC</v>
      </c>
      <c r="AH116" s="78" t="str">
        <f t="shared" si="48"/>
        <v>"%USERPROFILE%\Documents\GitHub\eaglep3\Utilities\RefineRTDCRunTimes.py" --tripid 203-05 --locoid 4022 --swversion DE.1.0.9.0 --startMP 204:455 --initTime 2017-09-05T16:23:20 --startdatetime 2017-09-05T16:30:14 --delay 101 --endMP 204:233302 --enddatetime 2017-09-05T17:05:52 --enforcementcount 0 &gt;&gt;C:\Users\stu\Documents\GitHub\eaglep3-reporting\EC\2017-09-05-refined-times.txt</v>
      </c>
      <c r="AI116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{"issue":{"subject":"","project_id":79,"tracker_id":40,"status_id":1,"priority_id":2,"assigned_to_id":338,"start_date":"2017-09-05","description":"","custom_fields":[{"id":1,"name":"Subdivision","value":"EC"},{"id":4,"name":"Milepost","value":"23.3302"},{"id":17,"name":"Train ID","value":"203-05"},{"id":16,"name":"Locomotive ID","value":"4022"},{"id":130,"name":"Impact","value":""},{"id":150,"name":"Time of Event (Mountain Time)","value":"17:05:52"},{"id":151,"name":"Denver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0"/>
        <v>start /low /b %USERPROFILE%\Documents\GitHub\eaglep3\Utilities\DownloadLogsFromS3.py --loco 4022 --day 2017-09-05</v>
      </c>
      <c r="AN116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762</v>
      </c>
      <c r="B117" s="7">
        <v>4021</v>
      </c>
      <c r="C117" s="21" t="s">
        <v>197</v>
      </c>
      <c r="D117" s="21" t="s">
        <v>482</v>
      </c>
      <c r="E117" s="13">
        <v>42983.723958333336</v>
      </c>
      <c r="F117" s="13">
        <v>42983.727268518516</v>
      </c>
      <c r="G117" s="7">
        <v>56</v>
      </c>
      <c r="H117" s="21" t="s">
        <v>456</v>
      </c>
      <c r="I117" s="13">
        <v>42983.754374999997</v>
      </c>
      <c r="J117" s="7">
        <v>0</v>
      </c>
      <c r="K117" s="89" t="str">
        <f t="shared" si="77"/>
        <v>4021/4022</v>
      </c>
      <c r="L117" s="214" t="str">
        <f>VLOOKUP(A117,'Trips&amp;Operators'!$C$1:$G$99911,5,FALSE)</f>
        <v>BRUDER RICHARD</v>
      </c>
      <c r="M117" s="6">
        <f t="shared" si="78"/>
        <v>2.7106481480586808E-2</v>
      </c>
      <c r="N117" s="7">
        <f t="shared" si="79"/>
        <v>39.033333332045004</v>
      </c>
      <c r="O117" s="7"/>
      <c r="P117" s="7"/>
      <c r="Q117" s="22"/>
      <c r="R117" s="167"/>
      <c r="S117" s="210">
        <f t="shared" si="80"/>
        <v>1</v>
      </c>
      <c r="T117" s="192" t="str">
        <f t="shared" si="81"/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41"/>
        <v>https://d0f6bd738d7f1b3e5a7ca70fe4ff75f0.us-east-1.aws.found.io/app/kibana#/discover/Steve-Slow-Train-Analysis-(2080s-and-2083s)?_g=(refreshInterval:(display:Off,pause:!f,section:0,value:0),time:(from:'2017-09-05T16:22:30-0600',mode:absolute,to:'2017-09-05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194" t="str">
        <f>IF(AA117&lt;VLOOKUP(AG117,Variables!$AC$3:$AD$8,2,FALSE),"Y","N")</f>
        <v>N</v>
      </c>
      <c r="X117" s="194">
        <f t="shared" si="87"/>
        <v>1</v>
      </c>
      <c r="Y117" s="194">
        <f t="shared" si="82"/>
        <v>23.299399999999999</v>
      </c>
      <c r="Z117" s="194">
        <f t="shared" si="83"/>
        <v>1.5800000000000002E-2</v>
      </c>
      <c r="AA117" s="194">
        <f t="shared" si="84"/>
        <v>23.2836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85"/>
        <v>204</v>
      </c>
      <c r="AE117" s="77" t="str">
        <f t="shared" si="45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117" s="74" t="str">
        <f t="shared" si="46"/>
        <v>"C:\Program Files (x86)\AstroGrep\AstroGrep.exe" /e /r /s /spath="%USERPROFILE%\AppData\Local\Temp\OnboardLogs" /stypes="app*4021*20170906*" /stext=" 00:.+((SYSTEM_STATE.+slice.+state.+changed )|(ment ac)|(multiple cpu faults)|(system.+state.+changed )|(\[timeout)|(PRM\|1\|D)|(kpr)|(kdp)|(train st.+moving)|(\|lc)|(penalty))"</v>
      </c>
      <c r="AG117" s="206" t="str">
        <f t="shared" si="86"/>
        <v>EC</v>
      </c>
      <c r="AH117" s="78" t="str">
        <f t="shared" si="48"/>
        <v>"%USERPROFILE%\Documents\GitHub\eaglep3\Utilities\RefineRTDCRunTimes.py" --tripid 204-05 --locoid 4021 --swversion DE.1.0.9.0 --startMP 204:232994 --initTime 2017-09-05T17:22:30 --startdatetime 2017-09-05T17:27:16 --delay 56 --endMP 204:158 --enddatetime 2017-09-05T18:06:18 --enforcementcount 0 &gt;&gt;C:\Users\stu\Documents\GitHub\eaglep3-reporting\EC\2017-09-05-refined-times.txt</v>
      </c>
      <c r="AI11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ID","value":"204-05"},{"id":16,"name":"Locomotive ID","value":"4021"},{"id":130,"name":"Impact","value":""},{"id":150,"name":"Time of Event (Mountain Time)","value":"18:06:18"},{"id":151,"name":"Denver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0"/>
        <v>start /low /b %USERPROFILE%\Documents\GitHub\eaglep3\Utilities\DownloadLogsFromS3.py --loco 4021 --day 2017-09-05</v>
      </c>
      <c r="AN117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607</v>
      </c>
      <c r="B118" s="7">
        <v>4010</v>
      </c>
      <c r="C118" s="21" t="s">
        <v>197</v>
      </c>
      <c r="D118" s="21" t="s">
        <v>378</v>
      </c>
      <c r="E118" s="13">
        <v>42983.690995370373</v>
      </c>
      <c r="F118" s="13">
        <v>42983.698078703703</v>
      </c>
      <c r="G118" s="7">
        <v>69</v>
      </c>
      <c r="H118" s="21" t="s">
        <v>481</v>
      </c>
      <c r="I118" s="13">
        <v>42983.72483796296</v>
      </c>
      <c r="J118" s="7">
        <v>0</v>
      </c>
      <c r="K118" s="89" t="str">
        <f t="shared" si="77"/>
        <v>4009/4010</v>
      </c>
      <c r="L118" s="214" t="str">
        <f>VLOOKUP(A118,'Trips&amp;Operators'!$C$1:$G$99911,5,FALSE)</f>
        <v>ROBINSON KADDIBA</v>
      </c>
      <c r="M118" s="6">
        <f t="shared" si="78"/>
        <v>2.675925925723277E-2</v>
      </c>
      <c r="N118" s="7">
        <f t="shared" si="79"/>
        <v>38.533333330415189</v>
      </c>
      <c r="O118" s="7"/>
      <c r="P118" s="7"/>
      <c r="Q118" s="22"/>
      <c r="R118" s="167"/>
      <c r="S118" s="210">
        <f t="shared" si="80"/>
        <v>1</v>
      </c>
      <c r="T118" s="192" t="str">
        <f t="shared" si="81"/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41"/>
        <v>https://d0f6bd738d7f1b3e5a7ca70fe4ff75f0.us-east-1.aws.found.io/app/kibana#/discover/Steve-Slow-Train-Analysis-(2080s-and-2083s)?_g=(refreshInterval:(display:Off,pause:!f,section:0,value:0),time:(from:'2017-09-05T15:35:02-0600',mode:absolute,to:'2017-09-05T18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8" s="194" t="str">
        <f>IF(AA118&lt;VLOOKUP(AG118,Variables!$AC$3:$AD$8,2,FALSE),"Y","N")</f>
        <v>N</v>
      </c>
      <c r="X118" s="194">
        <f t="shared" si="87"/>
        <v>1</v>
      </c>
      <c r="Y118" s="194">
        <f t="shared" si="82"/>
        <v>4.6600000000000003E-2</v>
      </c>
      <c r="Z118" s="194">
        <f t="shared" si="83"/>
        <v>23.3307</v>
      </c>
      <c r="AA118" s="194">
        <f t="shared" si="84"/>
        <v>23.284099999999999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85"/>
        <v>205</v>
      </c>
      <c r="AE118" s="77" t="str">
        <f t="shared" si="4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18" s="74" t="str">
        <f t="shared" si="46"/>
        <v>"C:\Program Files (x86)\AstroGrep\AstroGrep.exe" /e /r /s /spath="%USERPROFILE%\AppData\Local\Temp\OnboardLogs" /stypes="app*4010*20170905*" /stext=" 23:.+((SYSTEM_STATE.+slice.+state.+changed )|(ment ac)|(multiple cpu faults)|(system.+state.+changed )|(\[timeout)|(PRM\|1\|D)|(kpr)|(kdp)|(train st.+moving)|(\|lc)|(penalty))"</v>
      </c>
      <c r="AG118" s="206" t="str">
        <f t="shared" si="86"/>
        <v>EC</v>
      </c>
      <c r="AH118" s="78" t="str">
        <f t="shared" si="48"/>
        <v>"%USERPROFILE%\Documents\GitHub\eaglep3\Utilities\RefineRTDCRunTimes.py" --tripid 205-05 --locoid 4010 --swversion DE.1.0.9.0 --startMP 204:466 --initTime 2017-09-05T16:35:02 --startdatetime 2017-09-05T16:45:14 --delay 69 --endMP 204:233307 --enddatetime 2017-09-05T17:23:46 --enforcementcount 0 &gt;&gt;C:\Users\stu\Documents\GitHub\eaglep3-reporting\EC\2017-09-05-refined-times.txt</v>
      </c>
      <c r="AI11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{"issue":{"subject":"","project_id":79,"tracker_id":40,"status_id":1,"priority_id":2,"assigned_to_id":338,"start_date":"2017-09-05","description":"","custom_fields":[{"id":1,"name":"Subdivision","value":"EC"},{"id":4,"name":"Milepost","value":"23.3307"},{"id":17,"name":"Train ID","value":"205-05"},{"id":16,"name":"Locomotive ID","value":"4010"},{"id":130,"name":"Impact","value":""},{"id":150,"name":"Time of Event (Mountain Time)","value":"17:23:46"},{"id":151,"name":"Denver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0"/>
        <v>start /low /b %USERPROFILE%\Documents\GitHub\eaglep3\Utilities\DownloadLogsFromS3.py --loco 4010 --day 2017-09-05</v>
      </c>
      <c r="AN118" s="151" t="str">
        <f t="shared" si="51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767</v>
      </c>
      <c r="B119" s="7">
        <v>4009</v>
      </c>
      <c r="C119" s="21" t="s">
        <v>197</v>
      </c>
      <c r="D119" s="21" t="s">
        <v>491</v>
      </c>
      <c r="E119" s="13">
        <v>42983.733865740738</v>
      </c>
      <c r="F119" s="13">
        <v>42983.737673611111</v>
      </c>
      <c r="G119" s="7">
        <v>71</v>
      </c>
      <c r="H119" s="21" t="s">
        <v>371</v>
      </c>
      <c r="I119" s="13">
        <v>42983.765752314815</v>
      </c>
      <c r="J119" s="7">
        <v>0</v>
      </c>
      <c r="K119" s="89" t="str">
        <f t="shared" si="77"/>
        <v>4009/4010</v>
      </c>
      <c r="L119" s="214" t="str">
        <f>VLOOKUP(A119,'Trips&amp;Operators'!$C$1:$G$99911,5,FALSE)</f>
        <v>ROBINSON KADDIBA</v>
      </c>
      <c r="M119" s="6">
        <f t="shared" si="78"/>
        <v>2.8078703704522923E-2</v>
      </c>
      <c r="N119" s="7">
        <f t="shared" si="79"/>
        <v>40.433333334513009</v>
      </c>
      <c r="O119" s="7"/>
      <c r="P119" s="7"/>
      <c r="Q119" s="22"/>
      <c r="R119" s="167"/>
      <c r="S119" s="210">
        <f t="shared" si="80"/>
        <v>1</v>
      </c>
      <c r="T119" s="192" t="str">
        <f t="shared" si="81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41"/>
        <v>https://d0f6bd738d7f1b3e5a7ca70fe4ff75f0.us-east-1.aws.found.io/app/kibana#/discover/Steve-Slow-Train-Analysis-(2080s-and-2083s)?_g=(refreshInterval:(display:Off,pause:!f,section:0,value:0),time:(from:'2017-09-05T16:36:46-0600',mode:absolute,to:'2017-09-05T19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9" s="194" t="str">
        <f>IF(AA119&lt;VLOOKUP(AG119,Variables!$AC$3:$AD$8,2,FALSE),"Y","N")</f>
        <v>N</v>
      </c>
      <c r="X119" s="194">
        <f t="shared" si="87"/>
        <v>1</v>
      </c>
      <c r="Y119" s="194">
        <f t="shared" si="82"/>
        <v>23.298999999999999</v>
      </c>
      <c r="Z119" s="194">
        <f t="shared" si="83"/>
        <v>1.4500000000000001E-2</v>
      </c>
      <c r="AA119" s="194">
        <f t="shared" si="84"/>
        <v>23.284499999999998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85"/>
        <v>206</v>
      </c>
      <c r="AE119" s="77" t="str">
        <f t="shared" si="45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119" s="74" t="str">
        <f t="shared" si="46"/>
        <v>"C:\Program Files (x86)\AstroGrep\AstroGrep.exe" /e /r /s /spath="%USERPROFILE%\AppData\Local\Temp\OnboardLogs" /stypes="app*4009*20170906*" /stext=" 00:.+((SYSTEM_STATE.+slice.+state.+changed )|(ment ac)|(multiple cpu faults)|(system.+state.+changed )|(\[timeout)|(PRM\|1\|D)|(kpr)|(kdp)|(train st.+moving)|(\|lc)|(penalty))"</v>
      </c>
      <c r="AG119" s="206" t="str">
        <f t="shared" si="86"/>
        <v>EC</v>
      </c>
      <c r="AH119" s="78" t="str">
        <f t="shared" si="48"/>
        <v>"%USERPROFILE%\Documents\GitHub\eaglep3\Utilities\RefineRTDCRunTimes.py" --tripid 206-05 --locoid 4009 --swversion DE.1.0.9.0 --startMP 204:232990 --initTime 2017-09-05T17:36:46 --startdatetime 2017-09-05T17:42:15 --delay 71 --endMP 204:145 --enddatetime 2017-09-05T18:22:41 --enforcementcount 0 &gt;&gt;C:\Users\stu\Documents\GitHub\eaglep3-reporting\EC\2017-09-05-refined-times.txt</v>
      </c>
      <c r="AI119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{"issue":{"subject":"","project_id":79,"tracker_id":40,"status_id":1,"priority_id":2,"assigned_to_id":338,"start_date":"2017-09-05","description":"","custom_fields":[{"id":1,"name":"Subdivision","value":"EC"},{"id":4,"name":"Milepost","value":"0.0145"},{"id":17,"name":"Train ID","value":"206-05"},{"id":16,"name":"Locomotive ID","value":"4009"},{"id":130,"name":"Impact","value":""},{"id":150,"name":"Time of Event (Mountain Time)","value":"18:22:41"},{"id":151,"name":"Denver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0"/>
        <v>start /low /b %USERPROFILE%\Documents\GitHub\eaglep3\Utilities\DownloadLogsFromS3.py --loco 4009 --day 2017-09-05</v>
      </c>
      <c r="AN119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759</v>
      </c>
      <c r="B120" s="7">
        <v>4030</v>
      </c>
      <c r="C120" s="21" t="s">
        <v>197</v>
      </c>
      <c r="D120" s="21" t="s">
        <v>460</v>
      </c>
      <c r="E120" s="13">
        <v>42983.704456018517</v>
      </c>
      <c r="F120" s="13">
        <v>42983.705659722225</v>
      </c>
      <c r="G120" s="7">
        <v>77</v>
      </c>
      <c r="H120" s="21" t="s">
        <v>998</v>
      </c>
      <c r="I120" s="13">
        <v>42983.73332175926</v>
      </c>
      <c r="J120" s="7">
        <v>0</v>
      </c>
      <c r="K120" s="89" t="str">
        <f t="shared" si="77"/>
        <v>4029/4030</v>
      </c>
      <c r="L120" s="214" t="str">
        <f>VLOOKUP(A120,'Trips&amp;Operators'!$C$1:$G$99911,5,FALSE)</f>
        <v>LEVIN SCOTT</v>
      </c>
      <c r="M120" s="6">
        <f t="shared" si="78"/>
        <v>2.7662037035042886E-2</v>
      </c>
      <c r="N120" s="7">
        <f t="shared" si="79"/>
        <v>39.833333330461755</v>
      </c>
      <c r="O120" s="7"/>
      <c r="P120" s="7"/>
      <c r="Q120" s="22"/>
      <c r="R120" s="167"/>
      <c r="S120" s="210">
        <f t="shared" si="80"/>
        <v>1</v>
      </c>
      <c r="T120" s="192" t="str">
        <f t="shared" si="81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41"/>
        <v>https://d0f6bd738d7f1b3e5a7ca70fe4ff75f0.us-east-1.aws.found.io/app/kibana#/discover/Steve-Slow-Train-Analysis-(2080s-and-2083s)?_g=(refreshInterval:(display:Off,pause:!f,section:0,value:0),time:(from:'2017-09-05T15:54:25-0600',mode:absolute,to:'2017-09-05T18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194" t="str">
        <f>IF(AA120&lt;VLOOKUP(AG120,Variables!$AC$3:$AD$8,2,FALSE),"Y","N")</f>
        <v>N</v>
      </c>
      <c r="X120" s="194">
        <f t="shared" si="87"/>
        <v>1</v>
      </c>
      <c r="Y120" s="194">
        <f t="shared" si="82"/>
        <v>4.7800000000000002E-2</v>
      </c>
      <c r="Z120" s="194">
        <f t="shared" si="83"/>
        <v>23.3355</v>
      </c>
      <c r="AA120" s="194">
        <f t="shared" si="84"/>
        <v>23.287700000000001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85"/>
        <v>207</v>
      </c>
      <c r="AE120" s="77" t="str">
        <f t="shared" si="45"/>
        <v>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 &amp; 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</v>
      </c>
      <c r="AF120" s="74" t="str">
        <f t="shared" si="46"/>
        <v>"C:\Program Files (x86)\AstroGrep\AstroGrep.exe" /e /r /s /spath="%USERPROFILE%\AppData\Local\Temp\OnboardLogs" /stypes="app*4030*20170905*" /stext=" 23:.+((SYSTEM_STATE.+slice.+state.+changed )|(ment ac)|(multiple cpu faults)|(system.+state.+changed )|(\[timeout)|(PRM\|1\|D)|(kpr)|(kdp)|(train st.+moving)|(\|lc)|(penalty))"</v>
      </c>
      <c r="AG120" s="206" t="str">
        <f t="shared" si="86"/>
        <v>EC</v>
      </c>
      <c r="AH120" s="78" t="str">
        <f t="shared" ref="AH120" si="92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207-05 --locoid 4030 --swversion DE.1.0.9.0 --startMP 204:478 --initTime 2017-09-05T16:54:25 --startdatetime 2017-09-05T16:56:09 --delay 77 --endMP 204:233355 --enddatetime 2017-09-05T17:35:59 --enforcementcount 0 &gt;&gt;C:\Users\stu\Documents\GitHub\eaglep3-reporting\EC\2017-09-05-refined-times.txt</v>
      </c>
      <c r="AI120" s="96" t="str">
        <f t="shared" ref="AI120" si="93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{"issue":{"subject":"","project_id":79,"tracker_id":40,"status_id":1,"priority_id":2,"assigned_to_id":338,"start_date":"2017-09-05","description":"","custom_fields":[{"id":1,"name":"Subdivision","value":"EC"},{"id":4,"name":"Milepost","value":"23.3355"},{"id":17,"name":"Train ID","value":"207-05"},{"id":16,"name":"Locomotive ID","value":"4030"},{"id":130,"name":"Impact","value":""},{"id":150,"name":"Time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ref="AM120" si="94">"start /low /b "&amp;dls3logs&amp;" --loco "&amp;B120&amp;" --day "&amp;TEXT(F120,"YYYY-MM-DD")</f>
        <v>start /low /b %USERPROFILE%\Documents\GitHub\eaglep3\Utilities\DownloadLogsFromS3.py --loco 4030 --day 2017-09-05</v>
      </c>
      <c r="AN120" s="151" t="str">
        <f t="shared" ref="AN120" si="95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1" spans="1:91" s="20" customFormat="1" x14ac:dyDescent="0.25">
      <c r="A121" s="32" t="s">
        <v>769</v>
      </c>
      <c r="B121" s="7">
        <v>4029</v>
      </c>
      <c r="C121" s="21" t="s">
        <v>197</v>
      </c>
      <c r="D121" s="21" t="s">
        <v>876</v>
      </c>
      <c r="E121" s="13">
        <v>42983.737222222226</v>
      </c>
      <c r="F121" s="13">
        <v>42983.748101851852</v>
      </c>
      <c r="G121" s="7">
        <v>104</v>
      </c>
      <c r="H121" s="21" t="s">
        <v>877</v>
      </c>
      <c r="I121" s="13">
        <v>42983.774861111109</v>
      </c>
      <c r="J121" s="7">
        <v>0</v>
      </c>
      <c r="K121" s="89" t="str">
        <f t="shared" si="77"/>
        <v>4029/4030</v>
      </c>
      <c r="L121" s="214" t="str">
        <f>VLOOKUP(A121,'Trips&amp;Operators'!$C$1:$G$99911,5,FALSE)</f>
        <v>LEVIN SCOTT</v>
      </c>
      <c r="M121" s="6">
        <f t="shared" si="78"/>
        <v>2.675925925723277E-2</v>
      </c>
      <c r="N121" s="7">
        <f t="shared" si="79"/>
        <v>38.533333330415189</v>
      </c>
      <c r="O121" s="7"/>
      <c r="P121" s="7"/>
      <c r="Q121" s="22"/>
      <c r="R121" s="167"/>
      <c r="S121" s="210">
        <f t="shared" si="80"/>
        <v>1</v>
      </c>
      <c r="T121" s="192" t="str">
        <f t="shared" si="81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41"/>
        <v>https://d0f6bd738d7f1b3e5a7ca70fe4ff75f0.us-east-1.aws.found.io/app/kibana#/discover/Steve-Slow-Train-Analysis-(2080s-and-2083s)?_g=(refreshInterval:(display:Off,pause:!f,section:0,value:0),time:(from:'2017-09-05T16:41:36-0600',mode:absolute,to:'2017-09-05T19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194" t="str">
        <f>IF(AA121&lt;VLOOKUP(AG121,Variables!$AC$3:$AD$8,2,FALSE),"Y","N")</f>
        <v>N</v>
      </c>
      <c r="X121" s="194">
        <f t="shared" ref="X121:X122" si="96">VALUE(LEFT(AD121,4))-VALUE(LEFT(AD120,4))</f>
        <v>1</v>
      </c>
      <c r="Y121" s="194">
        <f t="shared" si="82"/>
        <v>23.3017</v>
      </c>
      <c r="Z121" s="194">
        <f t="shared" si="83"/>
        <v>1.3899999999999999E-2</v>
      </c>
      <c r="AA121" s="194">
        <f t="shared" si="84"/>
        <v>23.287800000000001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85"/>
        <v>208</v>
      </c>
      <c r="AE121" s="77" t="str">
        <f t="shared" si="45"/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AF121" s="74" t="str">
        <f t="shared" si="46"/>
        <v>"C:\Program Files (x86)\AstroGrep\AstroGrep.exe" /e /r /s /spath="%USERPROFILE%\AppData\Local\Temp\OnboardLogs" /stypes="app*4029*20170906*" /stext=" 00:.+((SYSTEM_STATE.+slice.+state.+changed )|(ment ac)|(multiple cpu faults)|(system.+state.+changed )|(\[timeout)|(PRM\|1\|D)|(kpr)|(kdp)|(train st.+moving)|(\|lc)|(penalty))"</v>
      </c>
      <c r="AG121" s="206" t="str">
        <f t="shared" si="86"/>
        <v>EC</v>
      </c>
      <c r="AH121" s="78" t="str">
        <f t="shared" si="48"/>
        <v>"%USERPROFILE%\Documents\GitHub\eaglep3\Utilities\RefineRTDCRunTimes.py" --tripid 208-05 --locoid 4029 --swversion DE.1.0.9.0 --startMP 204:233017 --initTime 2017-09-05T17:41:36 --startdatetime 2017-09-05T17:57:16 --delay 104 --endMP 204:139 --enddatetime 2017-09-05T18:35:48 --enforcementcount 0 &gt;&gt;C:\Users\stu\Documents\GitHub\eaglep3-reporting\EC\2017-09-05-refined-times.txt</v>
      </c>
      <c r="AI12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{"issue":{"subject":"","project_id":79,"tracker_id":40,"status_id":1,"priority_id":2,"assigned_to_id":338,"start_date":"2017-09-05","description":"","custom_fields":[{"id":1,"name":"Subdivision","value":"EC"},{"id":4,"name":"Milepost","value":"0.0139"},{"id":17,"name":"Train ID","value":"208-05"},{"id":16,"name":"Locomotive ID","value":"4029"},{"id":130,"name":"Impact","value":""},{"id":150,"name":"Time of Event (Mountain Time)","value":"18:35:48"},{"id":151,"name":"Denver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0"/>
        <v>start /low /b %USERPROFILE%\Documents\GitHub\eaglep3\Utilities\DownloadLogsFromS3.py --loco 4029 --day 2017-09-05</v>
      </c>
      <c r="AN121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609</v>
      </c>
      <c r="B122" s="7">
        <v>4066</v>
      </c>
      <c r="C122" s="21" t="s">
        <v>197</v>
      </c>
      <c r="D122" s="21" t="s">
        <v>425</v>
      </c>
      <c r="E122" s="13">
        <v>42983.71329861111</v>
      </c>
      <c r="F122" s="13">
        <v>42983.719085648147</v>
      </c>
      <c r="G122" s="7">
        <v>61</v>
      </c>
      <c r="H122" s="21" t="s">
        <v>420</v>
      </c>
      <c r="I122" s="13">
        <v>42983.746782407405</v>
      </c>
      <c r="J122" s="7">
        <v>0</v>
      </c>
      <c r="K122" s="89" t="str">
        <f t="shared" si="77"/>
        <v>4065/4066</v>
      </c>
      <c r="L122" s="214" t="str">
        <f>VLOOKUP(A122,'Trips&amp;Operators'!$C$1:$G$99911,5,FALSE)</f>
        <v>LEVERE CRAIG</v>
      </c>
      <c r="M122" s="6">
        <f t="shared" si="78"/>
        <v>2.7696759258105885E-2</v>
      </c>
      <c r="N122" s="7">
        <f t="shared" si="79"/>
        <v>39.883333331672475</v>
      </c>
      <c r="O122" s="7"/>
      <c r="P122" s="7"/>
      <c r="Q122" s="22"/>
      <c r="R122" s="167" t="s">
        <v>1004</v>
      </c>
      <c r="S122" s="210">
        <f t="shared" si="80"/>
        <v>1</v>
      </c>
      <c r="T122" s="192" t="str">
        <f t="shared" si="81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41"/>
        <v>https://d0f6bd738d7f1b3e5a7ca70fe4ff75f0.us-east-1.aws.found.io/app/kibana#/discover/Steve-Slow-Train-Analysis-(2080s-and-2083s)?_g=(refreshInterval:(display:Off,pause:!f,section:0,value:0),time:(from:'2017-09-05T16:07:09-0600',mode:absolute,to:'2017-09-05T18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2" s="194" t="str">
        <f>IF(AA122&lt;VLOOKUP(AG122,Variables!$AC$3:$AD$8,2,FALSE),"Y","N")</f>
        <v>N</v>
      </c>
      <c r="X122" s="194">
        <f t="shared" si="96"/>
        <v>1</v>
      </c>
      <c r="Y122" s="194">
        <f t="shared" si="82"/>
        <v>4.3700000000000003E-2</v>
      </c>
      <c r="Z122" s="194">
        <f t="shared" si="83"/>
        <v>23.330500000000001</v>
      </c>
      <c r="AA122" s="194">
        <f t="shared" si="84"/>
        <v>23.286799999999999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85"/>
        <v>209</v>
      </c>
      <c r="AE122" s="77" t="str">
        <f t="shared" si="4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22" s="74" t="str">
        <f t="shared" si="46"/>
        <v>"C:\Program Files (x86)\AstroGrep\AstroGrep.exe" /e /r /s /spath="%USERPROFILE%\AppData\Local\Temp\OnboardLogs" /stypes="app*4066*20170905*" /stext=" 23:.+((SYSTEM_STATE.+slice.+state.+changed )|(ment ac)|(multiple cpu faults)|(system.+state.+changed )|(\[timeout)|(PRM\|1\|D)|(kpr)|(kdp)|(train st.+moving)|(\|lc)|(penalty))"</v>
      </c>
      <c r="AG122" s="206" t="str">
        <f t="shared" si="86"/>
        <v>EC</v>
      </c>
      <c r="AH122" s="78" t="str">
        <f t="shared" si="48"/>
        <v>"%USERPROFILE%\Documents\GitHub\eaglep3\Utilities\RefineRTDCRunTimes.py" --tripid 209-05 --locoid 4066 --swversion DE.1.0.9.0 --startMP 204:437 --initTime 2017-09-05T17:07:09 --startdatetime 2017-09-05T17:15:29 --delay 61 --endMP 204:233305 --enddatetime 2017-09-05T17:55:22 --enforcementcount 0 &gt;&gt;C:\Users\stu\Documents\GitHub\eaglep3-reporting\EC\2017-09-05-refined-times.txt</v>
      </c>
      <c r="AI122" s="96" t="str">
        <f t="shared" si="49"/>
        <v>echo {"issue":{"subject":"Unhealthy @ Quebec due to Wi-MAX data drop","project_id":79,"tracker_id":40,"status_id":1,"priority_id":2,"assigned_to_id":338,"start_date":"2017-09-05","description":"","custom_fields":[{"id":1,"name":"Subdivision","value":"EC"},{"id":4,"name":"Milepost","value":"23.3305"},{"id":17,"name":"Train ID","value":"209-05"},{"id":16,"name":"Locomotive ID","value":"4066"},{"id":130,"name":"Impact","value":""},{"id":150,"name":"Time of Event (Mountain Time)","value":"17:55:22"},{"id":151,"name":"Denver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0"/>
        <v>start /low /b %USERPROFILE%\Documents\GitHub\eaglep3\Utilities\DownloadLogsFromS3.py --loco 4066 --day 2017-09-05</v>
      </c>
      <c r="AN122" s="151" t="str">
        <f t="shared" si="51"/>
        <v>echo {"issue":{"subject":"Unhealthy @ Quebec due to Wi-MAX data drop","project_id":30,"tracker_id":4,"status_id":1,"priority_id":1,"assigned_to_id":10,"start_date":"2017-09-05","description":"","custom_fields":[{"id":30,"name":"Category","value":"Issue"},{"id":3,"name":"Functional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774</v>
      </c>
      <c r="B123" s="7">
        <v>4065</v>
      </c>
      <c r="C123" s="21" t="s">
        <v>197</v>
      </c>
      <c r="D123" s="21" t="s">
        <v>491</v>
      </c>
      <c r="E123" s="13">
        <v>42983.752754629626</v>
      </c>
      <c r="F123" s="13">
        <v>42983.758587962962</v>
      </c>
      <c r="G123" s="7">
        <v>58</v>
      </c>
      <c r="H123" s="21" t="s">
        <v>456</v>
      </c>
      <c r="I123" s="13">
        <v>42983.785671296297</v>
      </c>
      <c r="J123" s="7">
        <v>0</v>
      </c>
      <c r="K123" s="89" t="str">
        <f t="shared" si="77"/>
        <v>4065/4066</v>
      </c>
      <c r="L123" s="214" t="str">
        <f>VLOOKUP(A123,'Trips&amp;Operators'!$C$1:$G$99911,5,FALSE)</f>
        <v>LEVERE CRAIG</v>
      </c>
      <c r="M123" s="6">
        <f t="shared" si="78"/>
        <v>2.7083333334303461E-2</v>
      </c>
      <c r="N123" s="7">
        <f t="shared" si="79"/>
        <v>39.000000001396984</v>
      </c>
      <c r="O123" s="7"/>
      <c r="P123" s="7"/>
      <c r="Q123" s="22"/>
      <c r="R123" s="167"/>
      <c r="S123" s="210">
        <f t="shared" si="80"/>
        <v>1</v>
      </c>
      <c r="T123" s="192" t="str">
        <f t="shared" si="81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41"/>
        <v>https://d0f6bd738d7f1b3e5a7ca70fe4ff75f0.us-east-1.aws.found.io/app/kibana#/discover/Steve-Slow-Train-Analysis-(2080s-and-2083s)?_g=(refreshInterval:(display:Off,pause:!f,section:0,value:0),time:(from:'2017-09-05T17:03:58-0600',mode:absolute,to:'2017-09-05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3" s="194" t="str">
        <f>IF(AA123&lt;VLOOKUP(AG123,Variables!$AC$3:$AD$8,2,FALSE),"Y","N")</f>
        <v>N</v>
      </c>
      <c r="X123" s="194">
        <f t="shared" ref="X123:X129" si="97">VALUE(LEFT(AD123,4))-VALUE(LEFT(AD122,4))</f>
        <v>1</v>
      </c>
      <c r="Y123" s="194">
        <f t="shared" si="82"/>
        <v>23.298999999999999</v>
      </c>
      <c r="Z123" s="194">
        <f t="shared" si="83"/>
        <v>1.5800000000000002E-2</v>
      </c>
      <c r="AA123" s="194">
        <f t="shared" si="84"/>
        <v>23.283200000000001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85"/>
        <v>210</v>
      </c>
      <c r="AE123" s="77" t="str">
        <f t="shared" si="4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23" s="74" t="str">
        <f t="shared" si="46"/>
        <v>"C:\Program Files (x86)\AstroGrep\AstroGrep.exe" /e /r /s /spath="%USERPROFILE%\AppData\Local\Temp\OnboardLogs" /stypes="app*4065*20170906*" /stext=" 00:.+((SYSTEM_STATE.+slice.+state.+changed )|(ment ac)|(multiple cpu faults)|(system.+state.+changed )|(\[timeout)|(PRM\|1\|D)|(kpr)|(kdp)|(train st.+moving)|(\|lc)|(penalty))"</v>
      </c>
      <c r="AG123" s="206" t="str">
        <f t="shared" si="86"/>
        <v>EC</v>
      </c>
      <c r="AH123" s="78" t="str">
        <f t="shared" si="48"/>
        <v>"%USERPROFILE%\Documents\GitHub\eaglep3\Utilities\RefineRTDCRunTimes.py" --tripid 210-05 --locoid 4065 --swversion DE.1.0.9.0 --startMP 204:232990 --initTime 2017-09-05T18:03:58 --startdatetime 2017-09-05T18:12:22 --delay 58 --endMP 204:158 --enddatetime 2017-09-05T18:51:22 --enforcementcount 0 &gt;&gt;C:\Users\stu\Documents\GitHub\eaglep3-reporting\EC\2017-09-05-refined-times.txt</v>
      </c>
      <c r="AI12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{"issue":{"subject":"","project_id":79,"tracker_id":40,"status_id":1,"priority_id":2,"assigned_to_id":338,"start_date":"2017-09-05","description":"","custom_fields":[{"id":1,"name":"Subdivision","value":"EC"},{"id":4,"name":"Milepost","value":"0.0158"},{"id":17,"name":"Train ID","value":"210-05"},{"id":16,"name":"Locomotive ID","value":"4065"},{"id":130,"name":"Impact","value":""},{"id":150,"name":"Time of Event (Mountain Time)","value":"18:51:22"},{"id":151,"name":"Denver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0"/>
        <v>start /low /b %USERPROFILE%\Documents\GitHub\eaglep3\Utilities\DownloadLogsFromS3.py --loco 4065 --day 2017-09-05</v>
      </c>
      <c r="AN123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611</v>
      </c>
      <c r="B124" s="7">
        <v>4024</v>
      </c>
      <c r="C124" s="21" t="s">
        <v>197</v>
      </c>
      <c r="D124" s="21" t="s">
        <v>460</v>
      </c>
      <c r="E124" s="13">
        <v>42983.724918981483</v>
      </c>
      <c r="F124" s="13">
        <v>42983.72934027778</v>
      </c>
      <c r="G124" s="7">
        <v>101</v>
      </c>
      <c r="H124" s="21" t="s">
        <v>484</v>
      </c>
      <c r="I124" s="13">
        <v>42983.756377314814</v>
      </c>
      <c r="J124" s="7">
        <v>0</v>
      </c>
      <c r="K124" s="89" t="str">
        <f t="shared" si="77"/>
        <v>4023/4024</v>
      </c>
      <c r="L124" s="214" t="str">
        <f>VLOOKUP(A124,'Trips&amp;Operators'!$C$1:$G$99911,5,FALSE)</f>
        <v>ZEWDU DEREJE</v>
      </c>
      <c r="M124" s="6">
        <f t="shared" si="78"/>
        <v>2.7037037034460809E-2</v>
      </c>
      <c r="N124" s="7">
        <f t="shared" si="79"/>
        <v>38.933333329623565</v>
      </c>
      <c r="O124" s="7"/>
      <c r="P124" s="7"/>
      <c r="Q124" s="22"/>
      <c r="R124" s="167"/>
      <c r="S124" s="210">
        <f t="shared" si="80"/>
        <v>1</v>
      </c>
      <c r="T124" s="192" t="str">
        <f t="shared" si="81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41"/>
        <v>https://d0f6bd738d7f1b3e5a7ca70fe4ff75f0.us-east-1.aws.found.io/app/kibana#/discover/Steve-Slow-Train-Analysis-(2080s-and-2083s)?_g=(refreshInterval:(display:Off,pause:!f,section:0,value:0),time:(from:'2017-09-05T16:23:53-0600',mode:absolute,to:'2017-09-05T19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4" t="str">
        <f>IF(AA124&lt;VLOOKUP(AG124,Variables!$AC$3:$AD$8,2,FALSE),"Y","N")</f>
        <v>N</v>
      </c>
      <c r="X124" s="194">
        <f t="shared" si="97"/>
        <v>1</v>
      </c>
      <c r="Y124" s="194">
        <f t="shared" si="82"/>
        <v>4.7800000000000002E-2</v>
      </c>
      <c r="Z124" s="194">
        <f t="shared" si="83"/>
        <v>23.330200000000001</v>
      </c>
      <c r="AA124" s="194">
        <f t="shared" si="84"/>
        <v>23.282400000000003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85"/>
        <v>211</v>
      </c>
      <c r="AE124" s="77" t="str">
        <f t="shared" si="45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124" s="74" t="str">
        <f t="shared" si="46"/>
        <v>"C:\Program Files (x86)\AstroGrep\AstroGrep.exe" /e /r /s /spath="%USERPROFILE%\AppData\Local\Temp\OnboardLogs" /stypes="app*4024*20170906*" /stext=" 00:.+((SYSTEM_STATE.+slice.+state.+changed )|(ment ac)|(multiple cpu faults)|(system.+state.+changed )|(\[timeout)|(PRM\|1\|D)|(kpr)|(kdp)|(train st.+moving)|(\|lc)|(penalty))"</v>
      </c>
      <c r="AG124" s="206" t="str">
        <f t="shared" si="86"/>
        <v>EC</v>
      </c>
      <c r="AH124" s="78" t="str">
        <f t="shared" si="48"/>
        <v>"%USERPROFILE%\Documents\GitHub\eaglep3\Utilities\RefineRTDCRunTimes.py" --tripid 211-05 --locoid 4024 --swversion DE.1.0.9.0 --startMP 204:478 --initTime 2017-09-05T17:23:53 --startdatetime 2017-09-05T17:30:15 --delay 101 --endMP 204:233302 --enddatetime 2017-09-05T18:09:11 --enforcementcount 0 &gt;&gt;C:\Users\stu\Documents\GitHub\eaglep3-reporting\EC\2017-09-05-refined-times.txt</v>
      </c>
      <c r="AI12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{"issue":{"subject":"","project_id":79,"tracker_id":40,"status_id":1,"priority_id":2,"assigned_to_id":338,"start_date":"2017-09-05","description":"","custom_fields":[{"id":1,"name":"Subdivision","value":"EC"},{"id":4,"name":"Milepost","value":"23.3302"},{"id":17,"name":"Train ID","value":"211-05"},{"id":16,"name":"Locomotive ID","value":"4024"},{"id":130,"name":"Impact","value":""},{"id":150,"name":"Time of Event (Mountain Time)","value":"18:09:11"},{"id":151,"name":"Denver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0"/>
        <v>start /low /b %USERPROFILE%\Documents\GitHub\eaglep3\Utilities\DownloadLogsFromS3.py --loco 4024 --day 2017-09-05</v>
      </c>
      <c r="AN124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777</v>
      </c>
      <c r="B125" s="7">
        <v>4023</v>
      </c>
      <c r="C125" s="21" t="s">
        <v>197</v>
      </c>
      <c r="D125" s="21" t="s">
        <v>838</v>
      </c>
      <c r="E125" s="13">
        <v>42983.764722222222</v>
      </c>
      <c r="F125" s="13">
        <v>42983.769074074073</v>
      </c>
      <c r="G125" s="7">
        <v>119</v>
      </c>
      <c r="H125" s="21" t="s">
        <v>878</v>
      </c>
      <c r="I125" s="13">
        <v>42983.7966087963</v>
      </c>
      <c r="J125" s="7">
        <v>0</v>
      </c>
      <c r="K125" s="89" t="str">
        <f t="shared" si="77"/>
        <v>4023/4024</v>
      </c>
      <c r="L125" s="214" t="str">
        <f>VLOOKUP(A125,'Trips&amp;Operators'!$C$1:$G$99911,5,FALSE)</f>
        <v>ZEWDU DEREJE</v>
      </c>
      <c r="M125" s="6">
        <f t="shared" si="78"/>
        <v>2.7534722226846498E-2</v>
      </c>
      <c r="N125" s="7">
        <f t="shared" si="79"/>
        <v>39.650000006658956</v>
      </c>
      <c r="O125" s="7"/>
      <c r="P125" s="7"/>
      <c r="Q125" s="22"/>
      <c r="R125" s="167"/>
      <c r="S125" s="210">
        <f t="shared" si="80"/>
        <v>1</v>
      </c>
      <c r="T125" s="192" t="str">
        <f t="shared" si="81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41"/>
        <v>https://d0f6bd738d7f1b3e5a7ca70fe4ff75f0.us-east-1.aws.found.io/app/kibana#/discover/Steve-Slow-Train-Analysis-(2080s-and-2083s)?_g=(refreshInterval:(display:Off,pause:!f,section:0,value:0),time:(from:'2017-09-05T17:21:12-0600',mode:absolute,to:'2017-09-05T20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4" t="str">
        <f>IF(AA125&lt;VLOOKUP(AG125,Variables!$AC$3:$AD$8,2,FALSE),"Y","N")</f>
        <v>N</v>
      </c>
      <c r="X125" s="194">
        <f t="shared" si="97"/>
        <v>1</v>
      </c>
      <c r="Y125" s="194">
        <f t="shared" si="82"/>
        <v>23.2989</v>
      </c>
      <c r="Z125" s="194">
        <f t="shared" si="83"/>
        <v>1.9599999999999999E-2</v>
      </c>
      <c r="AA125" s="194">
        <f t="shared" si="84"/>
        <v>23.279299999999999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85"/>
        <v>212</v>
      </c>
      <c r="AE125" s="77" t="str">
        <f t="shared" si="45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125" s="74" t="str">
        <f t="shared" si="46"/>
        <v>"C:\Program Files (x86)\AstroGrep\AstroGrep.exe" /e /r /s /spath="%USERPROFILE%\AppData\Local\Temp\OnboardLogs" /stypes="app*4023*20170906*" /stext=" 01:.+((SYSTEM_STATE.+slice.+state.+changed )|(ment ac)|(multiple cpu faults)|(system.+state.+changed )|(\[timeout)|(PRM\|1\|D)|(kpr)|(kdp)|(train st.+moving)|(\|lc)|(penalty))"</v>
      </c>
      <c r="AG125" s="206" t="str">
        <f t="shared" si="86"/>
        <v>EC</v>
      </c>
      <c r="AH125" s="78" t="str">
        <f t="shared" si="48"/>
        <v>"%USERPROFILE%\Documents\GitHub\eaglep3\Utilities\RefineRTDCRunTimes.py" --tripid 212-05 --locoid 4023 --swversion DE.1.0.9.0 --startMP 204:232989 --initTime 2017-09-05T18:21:12 --startdatetime 2017-09-05T18:27:28 --delay 119 --endMP 204:196 --enddatetime 2017-09-05T19:07:07 --enforcementcount 0 &gt;&gt;C:\Users\stu\Documents\GitHub\eaglep3-reporting\EC\2017-09-05-refined-times.txt</v>
      </c>
      <c r="AI12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{"issue":{"subject":"","project_id":79,"tracker_id":40,"status_id":1,"priority_id":2,"assigned_to_id":338,"start_date":"2017-09-05","description":"","custom_fields":[{"id":1,"name":"Subdivision","value":"EC"},{"id":4,"name":"Milepost","value":"0.0196"},{"id":17,"name":"Train ID","value":"212-05"},{"id":16,"name":"Locomotive ID","value":"4023"},{"id":130,"name":"Impact","value":""},{"id":150,"name":"Time of Event (Mountain Time)","value":"19:07:07"},{"id":151,"name":"Denver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0"/>
        <v>start /low /b %USERPROFILE%\Documents\GitHub\eaglep3\Utilities\DownloadLogsFromS3.py --loco 4023 --day 2017-09-05</v>
      </c>
      <c r="AN125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770</v>
      </c>
      <c r="B126" s="7">
        <v>4040</v>
      </c>
      <c r="C126" s="21" t="s">
        <v>197</v>
      </c>
      <c r="D126" s="21" t="s">
        <v>376</v>
      </c>
      <c r="E126" s="13">
        <v>42983.737245370372</v>
      </c>
      <c r="F126" s="13">
        <v>42983.740856481483</v>
      </c>
      <c r="G126" s="7">
        <v>242</v>
      </c>
      <c r="H126" s="21" t="s">
        <v>857</v>
      </c>
      <c r="I126" s="13">
        <v>42983.765497685185</v>
      </c>
      <c r="J126" s="7">
        <v>0</v>
      </c>
      <c r="K126" s="89" t="str">
        <f t="shared" si="77"/>
        <v>4039/4040</v>
      </c>
      <c r="L126" s="214" t="str">
        <f>VLOOKUP(A126,'Trips&amp;Operators'!$C$1:$G$99911,5,FALSE)</f>
        <v>LOZA FIDEL</v>
      </c>
      <c r="M126" s="6">
        <f t="shared" si="78"/>
        <v>2.4641203701321501E-2</v>
      </c>
      <c r="N126" s="7">
        <f t="shared" si="79"/>
        <v>35.483333329902962</v>
      </c>
      <c r="O126" s="7"/>
      <c r="P126" s="7"/>
      <c r="Q126" s="22"/>
      <c r="R126" s="167"/>
      <c r="S126" s="210">
        <f t="shared" si="80"/>
        <v>1</v>
      </c>
      <c r="T126" s="192" t="str">
        <f t="shared" si="81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41"/>
        <v>https://d0f6bd738d7f1b3e5a7ca70fe4ff75f0.us-east-1.aws.found.io/app/kibana#/discover/Steve-Slow-Train-Analysis-(2080s-and-2083s)?_g=(refreshInterval:(display:Off,pause:!f,section:0,value:0),time:(from:'2017-09-05T16:41:38-0600',mode:absolute,to:'2017-09-05T19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4" t="str">
        <f>IF(AA126&lt;VLOOKUP(AG126,Variables!$AC$3:$AD$8,2,FALSE),"Y","N")</f>
        <v>N</v>
      </c>
      <c r="X126" s="194">
        <f t="shared" si="97"/>
        <v>1</v>
      </c>
      <c r="Y126" s="194">
        <f t="shared" si="82"/>
        <v>4.4400000000000002E-2</v>
      </c>
      <c r="Z126" s="194">
        <f t="shared" si="83"/>
        <v>23.331099999999999</v>
      </c>
      <c r="AA126" s="194">
        <f t="shared" si="84"/>
        <v>23.2867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85"/>
        <v>213</v>
      </c>
      <c r="AE126" s="77" t="str">
        <f t="shared" si="4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26" s="74" t="str">
        <f t="shared" si="46"/>
        <v>"C:\Program Files (x86)\AstroGrep\AstroGrep.exe" /e /r /s /spath="%USERPROFILE%\AppData\Local\Temp\OnboardLogs" /stypes="app*4040*20170906*" /stext=" 00:.+((SYSTEM_STATE.+slice.+state.+changed )|(ment ac)|(multiple cpu faults)|(system.+state.+changed )|(\[timeout)|(PRM\|1\|D)|(kpr)|(kdp)|(train st.+moving)|(\|lc)|(penalty))"</v>
      </c>
      <c r="AG126" s="206" t="str">
        <f t="shared" si="86"/>
        <v>EC</v>
      </c>
      <c r="AH126" s="78" t="str">
        <f t="shared" si="48"/>
        <v>"%USERPROFILE%\Documents\GitHub\eaglep3\Utilities\RefineRTDCRunTimes.py" --tripid 213-05 --locoid 4040 --swversion DE.1.0.9.0 --startMP 204:444 --initTime 2017-09-05T17:41:38 --startdatetime 2017-09-05T17:46:50 --delay 242 --endMP 204:233311 --enddatetime 2017-09-05T18:22:19 --enforcementcount 0 &gt;&gt;C:\Users\stu\Documents\GitHub\eaglep3-reporting\EC\2017-09-05-refined-times.txt</v>
      </c>
      <c r="AI126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{"issue":{"subject":"","project_id":79,"tracker_id":40,"status_id":1,"priority_id":2,"assigned_to_id":338,"start_date":"2017-09-05","description":"","custom_fields":[{"id":1,"name":"Subdivision","value":"EC"},{"id":4,"name":"Milepost","value":"23.3311"},{"id":17,"name":"Train ID","value":"213-05"},{"id":16,"name":"Locomotive ID","value":"4040"},{"id":130,"name":"Impact","value":""},{"id":150,"name":"Time of Event (Mountain Time)","value":"18:22:19"},{"id":151,"name":"Denver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0"/>
        <v>start /low /b %USERPROFILE%\Documents\GitHub\eaglep3\Utilities\DownloadLogsFromS3.py --loco 4040 --day 2017-09-05</v>
      </c>
      <c r="AN126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783</v>
      </c>
      <c r="B127" s="7">
        <v>4039</v>
      </c>
      <c r="C127" s="21" t="s">
        <v>197</v>
      </c>
      <c r="D127" s="21" t="s">
        <v>389</v>
      </c>
      <c r="E127" s="13">
        <v>42983.77611111111</v>
      </c>
      <c r="F127" s="13">
        <v>42983.779456018521</v>
      </c>
      <c r="G127" s="7">
        <v>72</v>
      </c>
      <c r="H127" s="21" t="s">
        <v>347</v>
      </c>
      <c r="I127" s="13">
        <v>42983.804826388892</v>
      </c>
      <c r="J127" s="7">
        <v>0</v>
      </c>
      <c r="K127" s="89" t="str">
        <f t="shared" si="77"/>
        <v>4039/4040</v>
      </c>
      <c r="L127" s="214" t="str">
        <f>VLOOKUP(A127,'Trips&amp;Operators'!$C$1:$G$99911,5,FALSE)</f>
        <v>LOZA FIDEL</v>
      </c>
      <c r="M127" s="6">
        <f t="shared" si="78"/>
        <v>2.5370370371092577E-2</v>
      </c>
      <c r="N127" s="7">
        <f t="shared" si="79"/>
        <v>36.53333333437331</v>
      </c>
      <c r="O127" s="7"/>
      <c r="P127" s="7"/>
      <c r="Q127" s="22"/>
      <c r="R127" s="167"/>
      <c r="S127" s="210">
        <f t="shared" si="80"/>
        <v>1</v>
      </c>
      <c r="T127" s="192" t="str">
        <f t="shared" si="81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41"/>
        <v>https://d0f6bd738d7f1b3e5a7ca70fe4ff75f0.us-east-1.aws.found.io/app/kibana#/discover/Steve-Slow-Train-Analysis-(2080s-and-2083s)?_g=(refreshInterval:(display:Off,pause:!f,section:0,value:0),time:(from:'2017-09-05T17:37:36-0600',mode:absolute,to:'2017-09-05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4" t="str">
        <f>IF(AA127&lt;VLOOKUP(AG127,Variables!$AC$3:$AD$8,2,FALSE),"Y","N")</f>
        <v>N</v>
      </c>
      <c r="X127" s="194">
        <f t="shared" si="97"/>
        <v>1</v>
      </c>
      <c r="Y127" s="194">
        <f t="shared" si="82"/>
        <v>23.297699999999999</v>
      </c>
      <c r="Z127" s="194">
        <f t="shared" si="83"/>
        <v>1.54E-2</v>
      </c>
      <c r="AA127" s="194">
        <f t="shared" si="84"/>
        <v>23.282299999999999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85"/>
        <v>214</v>
      </c>
      <c r="AE127" s="77" t="str">
        <f t="shared" si="4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127" s="74" t="str">
        <f t="shared" si="46"/>
        <v>"C:\Program Files (x86)\AstroGrep\AstroGrep.exe" /e /r /s /spath="%USERPROFILE%\AppData\Local\Temp\OnboardLogs" /stypes="app*4039*20170906*" /stext=" 01:.+((SYSTEM_STATE.+slice.+state.+changed )|(ment ac)|(multiple cpu faults)|(system.+state.+changed )|(\[timeout)|(PRM\|1\|D)|(kpr)|(kdp)|(train st.+moving)|(\|lc)|(penalty))"</v>
      </c>
      <c r="AG127" s="206" t="str">
        <f t="shared" si="86"/>
        <v>EC</v>
      </c>
      <c r="AH127" s="78" t="str">
        <f t="shared" si="48"/>
        <v>"%USERPROFILE%\Documents\GitHub\eaglep3\Utilities\RefineRTDCRunTimes.py" --tripid 214-05 --locoid 4039 --swversion DE.1.0.9.0 --startMP 204:232977 --initTime 2017-09-05T18:37:36 --startdatetime 2017-09-05T18:42:25 --delay 72 --endMP 204:154 --enddatetime 2017-09-05T19:18:57 --enforcementcount 0 &gt;&gt;C:\Users\stu\Documents\GitHub\eaglep3-reporting\EC\2017-09-05-refined-times.txt</v>
      </c>
      <c r="AI12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{"issue":{"subject":"","project_id":79,"tracker_id":40,"status_id":1,"priority_id":2,"assigned_to_id":338,"start_date":"2017-09-05","description":"","custom_fields":[{"id":1,"name":"Subdivision","value":"EC"},{"id":4,"name":"Milepost","value":"0.0154"},{"id":17,"name":"Train ID","value":"214-05"},{"id":16,"name":"Locomotive ID","value":"4039"},{"id":130,"name":"Impact","value":""},{"id":150,"name":"Time of Event (Mountain Time)","value":"19:18:57"},{"id":151,"name":"Denver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0"/>
        <v>start /low /b %USERPROFILE%\Documents\GitHub\eaglep3\Utilities\DownloadLogsFromS3.py --loco 4039 --day 2017-09-05</v>
      </c>
      <c r="AN127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771</v>
      </c>
      <c r="B128" s="7">
        <v>4044</v>
      </c>
      <c r="C128" s="21" t="s">
        <v>197</v>
      </c>
      <c r="D128" s="21" t="s">
        <v>369</v>
      </c>
      <c r="E128" s="13">
        <v>42983.747002314813</v>
      </c>
      <c r="F128" s="13">
        <v>42983.750543981485</v>
      </c>
      <c r="G128" s="7">
        <v>72</v>
      </c>
      <c r="H128" s="21" t="s">
        <v>879</v>
      </c>
      <c r="I128" s="13">
        <v>42983.775254629632</v>
      </c>
      <c r="J128" s="7">
        <v>0</v>
      </c>
      <c r="K128" s="89" t="str">
        <f t="shared" si="77"/>
        <v>4043/4044</v>
      </c>
      <c r="L128" s="214" t="str">
        <f>VLOOKUP(A128,'Trips&amp;Operators'!$C$1:$G$99911,5,FALSE)</f>
        <v>SMITH MICHAEL</v>
      </c>
      <c r="M128" s="6">
        <f t="shared" si="78"/>
        <v>2.47106481474475E-2</v>
      </c>
      <c r="N128" s="7">
        <f t="shared" si="79"/>
        <v>35.583333332324401</v>
      </c>
      <c r="O128" s="7"/>
      <c r="P128" s="7"/>
      <c r="Q128" s="22"/>
      <c r="R128" s="167"/>
      <c r="S128" s="210">
        <f t="shared" si="80"/>
        <v>1</v>
      </c>
      <c r="T128" s="192" t="str">
        <f t="shared" si="81"/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41"/>
        <v>https://d0f6bd738d7f1b3e5a7ca70fe4ff75f0.us-east-1.aws.found.io/app/kibana#/discover/Steve-Slow-Train-Analysis-(2080s-and-2083s)?_g=(refreshInterval:(display:Off,pause:!f,section:0,value:0),time:(from:'2017-09-05T16:55:41-0600',mode:absolute,to:'2017-09-05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194" t="str">
        <f>IF(AA128&lt;VLOOKUP(AG128,Variables!$AC$3:$AD$8,2,FALSE),"Y","N")</f>
        <v>N</v>
      </c>
      <c r="X128" s="194">
        <f t="shared" si="97"/>
        <v>1</v>
      </c>
      <c r="Y128" s="194">
        <f t="shared" si="82"/>
        <v>4.6399999999999997E-2</v>
      </c>
      <c r="Z128" s="194">
        <f t="shared" si="83"/>
        <v>23.331</v>
      </c>
      <c r="AA128" s="194">
        <f t="shared" si="84"/>
        <v>23.284600000000001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85"/>
        <v>215</v>
      </c>
      <c r="AE128" s="77" t="str">
        <f t="shared" si="45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128" s="74" t="str">
        <f t="shared" si="46"/>
        <v>"C:\Program Files (x86)\AstroGrep\AstroGrep.exe" /e /r /s /spath="%USERPROFILE%\AppData\Local\Temp\OnboardLogs" /stypes="app*4044*20170906*" /stext=" 00:.+((SYSTEM_STATE.+slice.+state.+changed )|(ment ac)|(multiple cpu faults)|(system.+state.+changed )|(\[timeout)|(PRM\|1\|D)|(kpr)|(kdp)|(train st.+moving)|(\|lc)|(penalty))"</v>
      </c>
      <c r="AG128" s="206" t="str">
        <f t="shared" si="86"/>
        <v>EC</v>
      </c>
      <c r="AH128" s="78" t="str">
        <f t="shared" si="48"/>
        <v>"%USERPROFILE%\Documents\GitHub\eaglep3\Utilities\RefineRTDCRunTimes.py" --tripid 215-05 --locoid 4044 --swversion DE.1.0.9.0 --startMP 204:464 --initTime 2017-09-05T17:55:41 --startdatetime 2017-09-05T18:00:47 --delay 72 --endMP 204:233310 --enddatetime 2017-09-05T18:36:22 --enforcementcount 0 &gt;&gt;C:\Users\stu\Documents\GitHub\eaglep3-reporting\EC\2017-09-05-refined-times.txt</v>
      </c>
      <c r="AI12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{"issue":{"subject":"","project_id":79,"tracker_id":40,"status_id":1,"priority_id":2,"assigned_to_id":338,"start_date":"2017-09-05","description":"","custom_fields":[{"id":1,"name":"Subdivision","value":"EC"},{"id":4,"name":"Milepost","value":"23.331"},{"id":17,"name":"Train ID","value":"215-05"},{"id":16,"name":"Locomotive ID","value":"4044"},{"id":130,"name":"Impact","value":""},{"id":150,"name":"Time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0"/>
        <v>start /low /b %USERPROFILE%\Documents\GitHub\eaglep3\Utilities\DownloadLogsFromS3.py --loco 4044 --day 2017-09-05</v>
      </c>
      <c r="AN128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785</v>
      </c>
      <c r="B129" s="7">
        <v>4043</v>
      </c>
      <c r="C129" s="21" t="s">
        <v>197</v>
      </c>
      <c r="D129" s="21" t="s">
        <v>543</v>
      </c>
      <c r="E129" s="13">
        <v>42983.776828703703</v>
      </c>
      <c r="F129" s="13">
        <v>42983.789907407408</v>
      </c>
      <c r="G129" s="7">
        <v>63</v>
      </c>
      <c r="H129" s="21" t="s">
        <v>422</v>
      </c>
      <c r="I129" s="13">
        <v>42983.815266203703</v>
      </c>
      <c r="J129" s="7">
        <v>0</v>
      </c>
      <c r="K129" s="89" t="str">
        <f t="shared" si="77"/>
        <v>4043/4044</v>
      </c>
      <c r="L129" s="214" t="str">
        <f>VLOOKUP(A129,'Trips&amp;Operators'!$C$1:$G$99911,5,FALSE)</f>
        <v>SMITH MICHAEL</v>
      </c>
      <c r="M129" s="6">
        <f t="shared" si="78"/>
        <v>2.5358796294312924E-2</v>
      </c>
      <c r="N129" s="7">
        <f t="shared" si="79"/>
        <v>36.516666663810611</v>
      </c>
      <c r="O129" s="7"/>
      <c r="P129" s="7"/>
      <c r="Q129" s="22"/>
      <c r="R129" s="167"/>
      <c r="S129" s="210">
        <f t="shared" si="80"/>
        <v>1</v>
      </c>
      <c r="T129" s="192" t="str">
        <f t="shared" si="81"/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41"/>
        <v>https://d0f6bd738d7f1b3e5a7ca70fe4ff75f0.us-east-1.aws.found.io/app/kibana#/discover/Steve-Slow-Train-Analysis-(2080s-and-2083s)?_g=(refreshInterval:(display:Off,pause:!f,section:0,value:0),time:(from:'2017-09-05T17:38:38-0600',mode:absolute,to:'2017-09-05T20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194" t="str">
        <f>IF(AA129&lt;VLOOKUP(AG129,Variables!$AC$3:$AD$8,2,FALSE),"Y","N")</f>
        <v>N</v>
      </c>
      <c r="X129" s="194">
        <f t="shared" si="97"/>
        <v>1</v>
      </c>
      <c r="Y129" s="194">
        <f t="shared" si="82"/>
        <v>23.299800000000001</v>
      </c>
      <c r="Z129" s="194">
        <f t="shared" si="83"/>
        <v>1.67E-2</v>
      </c>
      <c r="AA129" s="194">
        <f t="shared" si="84"/>
        <v>23.283100000000001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85"/>
        <v>216</v>
      </c>
      <c r="AE129" s="77" t="str">
        <f t="shared" si="45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129" s="74" t="str">
        <f t="shared" si="46"/>
        <v>"C:\Program Files (x86)\AstroGrep\AstroGrep.exe" /e /r /s /spath="%USERPROFILE%\AppData\Local\Temp\OnboardLogs" /stypes="app*4043*20170906*" /stext=" 01:.+((SYSTEM_STATE.+slice.+state.+changed )|(ment ac)|(multiple cpu faults)|(system.+state.+changed )|(\[timeout)|(PRM\|1\|D)|(kpr)|(kdp)|(train st.+moving)|(\|lc)|(penalty))"</v>
      </c>
      <c r="AG129" s="206" t="str">
        <f t="shared" si="86"/>
        <v>EC</v>
      </c>
      <c r="AH129" s="78" t="str">
        <f t="shared" si="48"/>
        <v>"%USERPROFILE%\Documents\GitHub\eaglep3\Utilities\RefineRTDCRunTimes.py" --tripid 216-05 --locoid 4043 --swversion DE.1.0.9.0 --startMP 204:232998 --initTime 2017-09-05T18:38:38 --startdatetime 2017-09-05T18:57:28 --delay 63 --endMP 204:167 --enddatetime 2017-09-05T19:33:59 --enforcementcount 0 &gt;&gt;C:\Users\stu\Documents\GitHub\eaglep3-reporting\EC\2017-09-05-refined-times.txt</v>
      </c>
      <c r="AI129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{"issue":{"subject":"","project_id":79,"tracker_id":40,"status_id":1,"priority_id":2,"assigned_to_id":338,"start_date":"2017-09-05","description":"","custom_fields":[{"id":1,"name":"Subdivision","value":"EC"},{"id":4,"name":"Milepost","value":"0.0167"},{"id":17,"name":"Train ID","value":"216-05"},{"id":16,"name":"Locomotive ID","value":"4043"},{"id":130,"name":"Impact","value":""},{"id":150,"name":"Time of Event (Mountain Time)","value":"19:33:59"},{"id":151,"name":"Denver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0"/>
        <v>start /low /b %USERPROFILE%\Documents\GitHub\eaglep3\Utilities\DownloadLogsFromS3.py --loco 4043 --day 2017-09-05</v>
      </c>
      <c r="AN129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613</v>
      </c>
      <c r="B130" s="7">
        <v>4022</v>
      </c>
      <c r="C130" s="21" t="s">
        <v>197</v>
      </c>
      <c r="D130" s="21" t="s">
        <v>365</v>
      </c>
      <c r="E130" s="13">
        <v>42983.756851851853</v>
      </c>
      <c r="F130" s="13">
        <v>42983.757685185185</v>
      </c>
      <c r="G130" s="7">
        <v>65</v>
      </c>
      <c r="H130" s="21" t="s">
        <v>486</v>
      </c>
      <c r="I130" s="13">
        <v>42983.786481481482</v>
      </c>
      <c r="J130" s="7">
        <v>0</v>
      </c>
      <c r="K130" s="89" t="str">
        <f t="shared" ref="K130:K131" si="98">IF(ISEVEN(B130),(B130-1)&amp;"/"&amp;B130,B130&amp;"/"&amp;(B130+1))</f>
        <v>4021/4022</v>
      </c>
      <c r="L130" s="214" t="str">
        <f>VLOOKUP(A130,'Trips&amp;Operators'!$C$1:$G$99911,5,FALSE)</f>
        <v>PERKINS DARREN</v>
      </c>
      <c r="M130" s="6">
        <f t="shared" ref="M130:M131" si="99">I130-F130</f>
        <v>2.8796296297514345E-2</v>
      </c>
      <c r="N130" s="7">
        <f t="shared" ref="N130:N131" si="100">24*60*SUM($M130:$M130)</f>
        <v>41.466666668420658</v>
      </c>
      <c r="O130" s="7"/>
      <c r="P130" s="7"/>
      <c r="Q130" s="22"/>
      <c r="R130" s="167"/>
      <c r="S130" s="210">
        <f t="shared" ref="S130:S131" si="101">1/IF(AG130="EC",12,1)*SUM(U130:U130)</f>
        <v>1</v>
      </c>
      <c r="T130" s="192" t="str">
        <f t="shared" ref="T130:T131" si="102">IF(ISEVEN(LEFT(AD130,4)),"Southbound","NorthBound")</f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41"/>
        <v>https://d0f6bd738d7f1b3e5a7ca70fe4ff75f0.us-east-1.aws.found.io/app/kibana#/discover/Steve-Slow-Train-Analysis-(2080s-and-2083s)?_g=(refreshInterval:(display:Off,pause:!f,section:0,value:0),time:(from:'2017-09-05T17:09:52-0600',mode:absolute,to:'2017-09-05T19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0" s="194" t="str">
        <f>IF(AA130&lt;VLOOKUP(AG130,Variables!$AC$3:$AD$8,2,FALSE),"Y","N")</f>
        <v>N</v>
      </c>
      <c r="X130" s="194">
        <f t="shared" ref="X130:X134" si="103">VALUE(LEFT(AD130,4))-VALUE(LEFT(AD129,4))</f>
        <v>1</v>
      </c>
      <c r="Y130" s="194">
        <f t="shared" ref="Y130:Y131" si="104">RIGHT(D130,LEN(D130)-4)/10000</f>
        <v>4.4900000000000002E-2</v>
      </c>
      <c r="Z130" s="194">
        <f t="shared" ref="Z130:Z131" si="105">RIGHT(H130,LEN(H130)-4)/10000</f>
        <v>23.331399999999999</v>
      </c>
      <c r="AA130" s="194">
        <f t="shared" ref="AA130:AA131" si="106">ABS(Z130-Y130)</f>
        <v>23.2865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ref="AD130:AD131" si="107">VALUE(LEFT(A130,LEN(A130)-3))</f>
        <v>217</v>
      </c>
      <c r="AE130" s="77" t="str">
        <f t="shared" si="45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130" s="74" t="str">
        <f t="shared" si="46"/>
        <v>"C:\Program Files (x86)\AstroGrep\AstroGrep.exe" /e /r /s /spath="%USERPROFILE%\AppData\Local\Temp\OnboardLogs" /stypes="app*4022*20170906*" /stext=" 00:.+((SYSTEM_STATE.+slice.+state.+changed )|(ment ac)|(multiple cpu faults)|(system.+state.+changed )|(\[timeout)|(PRM\|1\|D)|(kpr)|(kdp)|(train st.+moving)|(\|lc)|(penalty))"</v>
      </c>
      <c r="AG130" s="206" t="str">
        <f t="shared" ref="AG130:AG131" si="108">DetSubdiv(A130)</f>
        <v>EC</v>
      </c>
      <c r="AH130" s="78" t="str">
        <f t="shared" ref="AH130:AH131" si="109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217-05 --locoid 4022 --swversion DE.1.0.9.0 --startMP 204:449 --initTime 2017-09-05T18:09:52 --startdatetime 2017-09-05T18:11:04 --delay 65 --endMP 204:233314 --enddatetime 2017-09-05T18:52:32 --enforcementcount 0 &gt;&gt;C:\Users\stu\Documents\GitHub\eaglep3-reporting\EC\2017-09-05-refined-times.txt</v>
      </c>
      <c r="AI130" s="96" t="str">
        <f t="shared" ref="AI130:AI131" si="110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{"issue":{"subject":"","project_id":79,"tracker_id":40,"status_id":1,"priority_id":2,"assigned_to_id":338,"start_date":"2017-09-05","description":"","custom_fields":[{"id":1,"name":"Subdivision","value":"EC"},{"id":4,"name":"Milepost","value":"23.3314"},{"id":17,"name":"Train ID","value":"217-05"},{"id":16,"name":"Locomotive ID","value":"4022"},{"id":130,"name":"Impact","value":""},{"id":150,"name":"Time of Event (Mountain Time)","value":"18:52:32"},{"id":151,"name":"Denver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ref="AM130:AM131" si="111">"start /low /b "&amp;dls3logs&amp;" --loco "&amp;B130&amp;" --day "&amp;TEXT(F130,"YYYY-MM-DD")</f>
        <v>start /low /b %USERPROFILE%\Documents\GitHub\eaglep3\Utilities\DownloadLogsFromS3.py --loco 4022 --day 2017-09-05</v>
      </c>
      <c r="AN130" s="151" t="str">
        <f t="shared" ref="AN130:AN131" si="112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1" spans="1:91" s="20" customFormat="1" x14ac:dyDescent="0.25">
      <c r="A131" s="32" t="s">
        <v>786</v>
      </c>
      <c r="B131" s="7">
        <v>4021</v>
      </c>
      <c r="C131" s="21" t="s">
        <v>197</v>
      </c>
      <c r="D131" s="21" t="s">
        <v>389</v>
      </c>
      <c r="E131" s="13">
        <v>42983.788275462961</v>
      </c>
      <c r="F131" s="13">
        <v>42983.800162037034</v>
      </c>
      <c r="G131" s="7">
        <v>72</v>
      </c>
      <c r="H131" s="21" t="s">
        <v>345</v>
      </c>
      <c r="I131" s="13">
        <v>42983.826736111114</v>
      </c>
      <c r="J131" s="7">
        <v>0</v>
      </c>
      <c r="K131" s="89" t="str">
        <f t="shared" si="98"/>
        <v>4021/4022</v>
      </c>
      <c r="L131" s="214" t="str">
        <f>VLOOKUP(A131,'Trips&amp;Operators'!$C$1:$G$99911,5,FALSE)</f>
        <v>PERKINS DARREN</v>
      </c>
      <c r="M131" s="6">
        <f t="shared" si="99"/>
        <v>2.6574074079690035E-2</v>
      </c>
      <c r="N131" s="7">
        <f t="shared" si="100"/>
        <v>38.266666674753651</v>
      </c>
      <c r="O131" s="7"/>
      <c r="P131" s="7"/>
      <c r="Q131" s="22"/>
      <c r="R131" s="167"/>
      <c r="S131" s="210">
        <f t="shared" si="101"/>
        <v>1</v>
      </c>
      <c r="T131" s="192" t="str">
        <f t="shared" si="102"/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41"/>
        <v>https://d0f6bd738d7f1b3e5a7ca70fe4ff75f0.us-east-1.aws.found.io/app/kibana#/discover/Steve-Slow-Train-Analysis-(2080s-and-2083s)?_g=(refreshInterval:(display:Off,pause:!f,section:0,value:0),time:(from:'2017-09-05T17:55:07-0600',mode:absolute,to:'2017-09-05T20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1" s="194" t="str">
        <f>IF(AA131&lt;VLOOKUP(AG131,Variables!$AC$3:$AD$8,2,FALSE),"Y","N")</f>
        <v>N</v>
      </c>
      <c r="X131" s="194">
        <f t="shared" si="103"/>
        <v>1</v>
      </c>
      <c r="Y131" s="194">
        <f t="shared" si="104"/>
        <v>23.297699999999999</v>
      </c>
      <c r="Z131" s="194">
        <f t="shared" si="105"/>
        <v>1.47E-2</v>
      </c>
      <c r="AA131" s="194">
        <f t="shared" si="106"/>
        <v>23.282999999999998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107"/>
        <v>218</v>
      </c>
      <c r="AE131" s="77" t="str">
        <f t="shared" si="45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131" s="74" t="str">
        <f t="shared" si="46"/>
        <v>"C:\Program Files (x86)\AstroGrep\AstroGrep.exe" /e /r /s /spath="%USERPROFILE%\AppData\Local\Temp\OnboardLogs" /stypes="app*4021*20170906*" /stext=" 01:.+((SYSTEM_STATE.+slice.+state.+changed )|(ment ac)|(multiple cpu faults)|(system.+state.+changed )|(\[timeout)|(PRM\|1\|D)|(kpr)|(kdp)|(train st.+moving)|(\|lc)|(penalty))"</v>
      </c>
      <c r="AG131" s="206" t="str">
        <f t="shared" si="108"/>
        <v>EC</v>
      </c>
      <c r="AH131" s="78" t="str">
        <f t="shared" si="109"/>
        <v>"%USERPROFILE%\Documents\GitHub\eaglep3\Utilities\RefineRTDCRunTimes.py" --tripid 218-05 --locoid 4021 --swversion DE.1.0.9.0 --startMP 204:232977 --initTime 2017-09-05T18:55:07 --startdatetime 2017-09-05T19:12:14 --delay 72 --endMP 204:147 --enddatetime 2017-09-05T19:50:30 --enforcementcount 0 &gt;&gt;C:\Users\stu\Documents\GitHub\eaglep3-reporting\EC\2017-09-05-refined-times.txt</v>
      </c>
      <c r="AI131" s="96" t="str">
        <f t="shared" si="110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ID","value":"218-05"},{"id":16,"name":"Locomotive ID","value":"4021"},{"id":130,"name":"Impact","value":""},{"id":150,"name":"Time of Event (Mountain Time)","value":"19:50:30"},{"id":151,"name":"Denver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1"/>
        <v>start /low /b %USERPROFILE%\Documents\GitHub\eaglep3\Utilities\DownloadLogsFromS3.py --loco 4021 --day 2017-09-05</v>
      </c>
      <c r="AN131" s="151" t="str">
        <f t="shared" si="112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2" spans="1:91" s="20" customFormat="1" x14ac:dyDescent="0.25">
      <c r="A132" s="32" t="s">
        <v>778</v>
      </c>
      <c r="B132" s="7">
        <v>4010</v>
      </c>
      <c r="C132" s="21" t="s">
        <v>197</v>
      </c>
      <c r="D132" s="21" t="s">
        <v>378</v>
      </c>
      <c r="E132" s="13">
        <v>42983.768425925926</v>
      </c>
      <c r="F132" s="13">
        <v>42983.771354166667</v>
      </c>
      <c r="G132" s="7">
        <v>79</v>
      </c>
      <c r="H132" s="21" t="s">
        <v>459</v>
      </c>
      <c r="I132" s="13">
        <v>42983.795578703706</v>
      </c>
      <c r="J132" s="7">
        <v>0</v>
      </c>
      <c r="K132" s="89" t="str">
        <f t="shared" ref="K132:K145" si="113">IF(ISEVEN(B132),(B132-1)&amp;"/"&amp;B132,B132&amp;"/"&amp;(B132+1))</f>
        <v>4009/4010</v>
      </c>
      <c r="L132" s="214" t="str">
        <f>VLOOKUP(A132,'Trips&amp;Operators'!$C$1:$G$99911,5,FALSE)</f>
        <v>HART KEVIN</v>
      </c>
      <c r="M132" s="6">
        <f t="shared" ref="M132:M145" si="114">I132-F132</f>
        <v>2.4224537039117422E-2</v>
      </c>
      <c r="N132" s="7">
        <f t="shared" ref="N132:N145" si="115">24*60*SUM($M132:$M132)</f>
        <v>34.883333336329088</v>
      </c>
      <c r="O132" s="7"/>
      <c r="P132" s="7"/>
      <c r="Q132" s="22"/>
      <c r="R132" s="167"/>
      <c r="S132" s="210">
        <f t="shared" ref="S132:S145" si="116">1/IF(AG132="EC",12,1)*SUM(U132:U132)</f>
        <v>1</v>
      </c>
      <c r="T132" s="192" t="str">
        <f t="shared" ref="T132:T145" si="117">IF(ISEVEN(LEFT(AD132,4)),"Southbound","NorthBound")</f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41"/>
        <v>https://d0f6bd738d7f1b3e5a7ca70fe4ff75f0.us-east-1.aws.found.io/app/kibana#/discover/Steve-Slow-Train-Analysis-(2080s-and-2083s)?_g=(refreshInterval:(display:Off,pause:!f,section:0,value:0),time:(from:'2017-09-05T17:26:32-0600',mode:absolute,to:'2017-09-05T20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2" s="194" t="str">
        <f>IF(AA132&lt;VLOOKUP(AG132,Variables!$AC$3:$AD$8,2,FALSE),"Y","N")</f>
        <v>N</v>
      </c>
      <c r="X132" s="194">
        <f t="shared" si="103"/>
        <v>1</v>
      </c>
      <c r="Y132" s="194">
        <f t="shared" ref="Y132:Y145" si="118">RIGHT(D132,LEN(D132)-4)/10000</f>
        <v>4.6600000000000003E-2</v>
      </c>
      <c r="Z132" s="194">
        <f t="shared" ref="Z132:Z145" si="119">RIGHT(H132,LEN(H132)-4)/10000</f>
        <v>23.336400000000001</v>
      </c>
      <c r="AA132" s="194">
        <f t="shared" ref="AA132:AA145" si="120">ABS(Z132-Y132)</f>
        <v>23.2898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ref="AD132:AD145" si="121">VALUE(LEFT(A132,LEN(A132)-3))</f>
        <v>219</v>
      </c>
      <c r="AE132" s="77" t="str">
        <f t="shared" si="4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32" s="74" t="str">
        <f t="shared" si="46"/>
        <v>"C:\Program Files (x86)\AstroGrep\AstroGrep.exe" /e /r /s /spath="%USERPROFILE%\AppData\Local\Temp\OnboardLogs" /stypes="app*4010*20170906*" /stext=" 01:.+((SYSTEM_STATE.+slice.+state.+changed )|(ment ac)|(multiple cpu faults)|(system.+state.+changed )|(\[timeout)|(PRM\|1\|D)|(kpr)|(kdp)|(train st.+moving)|(\|lc)|(penalty))"</v>
      </c>
      <c r="AG132" s="206" t="str">
        <f t="shared" ref="AG132:AG145" si="122">DetSubdiv(A132)</f>
        <v>EC</v>
      </c>
      <c r="AH132" s="78" t="str">
        <f t="shared" si="48"/>
        <v>"%USERPROFILE%\Documents\GitHub\eaglep3\Utilities\RefineRTDCRunTimes.py" --tripid 219-05 --locoid 4010 --swversion DE.1.0.9.0 --startMP 204:466 --initTime 2017-09-05T18:26:32 --startdatetime 2017-09-05T18:30:45 --delay 79 --endMP 204:233364 --enddatetime 2017-09-05T19:05:38 --enforcementcount 0 &gt;&gt;C:\Users\stu\Documents\GitHub\eaglep3-reporting\EC\2017-09-05-refined-times.txt</v>
      </c>
      <c r="AI132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{"issue":{"subject":"","project_id":79,"tracker_id":40,"status_id":1,"priority_id":2,"assigned_to_id":338,"start_date":"2017-09-05","description":"","custom_fields":[{"id":1,"name":"Subdivision","value":"EC"},{"id":4,"name":"Milepost","value":"23.3364"},{"id":17,"name":"Train ID","value":"219-05"},{"id":16,"name":"Locomotive ID","value":"4010"},{"id":130,"name":"Impact","value":""},{"id":150,"name":"Time of Event (Mountain Time)","value":"19:05:38"},{"id":151,"name":"Denver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0"/>
        <v>start /low /b %USERPROFILE%\Documents\GitHub\eaglep3\Utilities\DownloadLogsFromS3.py --loco 4010 --day 2017-09-05</v>
      </c>
      <c r="AN132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791</v>
      </c>
      <c r="B133" s="7">
        <v>4009</v>
      </c>
      <c r="C133" s="21" t="s">
        <v>197</v>
      </c>
      <c r="D133" s="21" t="s">
        <v>880</v>
      </c>
      <c r="E133" s="13">
        <v>42983.807037037041</v>
      </c>
      <c r="F133" s="13">
        <v>42983.810613425929</v>
      </c>
      <c r="G133" s="7">
        <v>75</v>
      </c>
      <c r="H133" s="21" t="s">
        <v>371</v>
      </c>
      <c r="I133" s="13">
        <v>42983.836215277777</v>
      </c>
      <c r="J133" s="7">
        <v>0</v>
      </c>
      <c r="K133" s="89" t="str">
        <f t="shared" si="113"/>
        <v>4009/4010</v>
      </c>
      <c r="L133" s="214" t="str">
        <f>VLOOKUP(A133,'Trips&amp;Operators'!$C$1:$G$99911,5,FALSE)</f>
        <v>HART KEVIN</v>
      </c>
      <c r="M133" s="6">
        <f t="shared" si="114"/>
        <v>2.5601851848477963E-2</v>
      </c>
      <c r="N133" s="7">
        <f t="shared" si="115"/>
        <v>36.866666661808267</v>
      </c>
      <c r="O133" s="7"/>
      <c r="P133" s="7"/>
      <c r="Q133" s="22"/>
      <c r="R133" s="167"/>
      <c r="S133" s="210">
        <f t="shared" si="116"/>
        <v>1</v>
      </c>
      <c r="T133" s="192" t="str">
        <f t="shared" si="117"/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41"/>
        <v>https://d0f6bd738d7f1b3e5a7ca70fe4ff75f0.us-east-1.aws.found.io/app/kibana#/discover/Steve-Slow-Train-Analysis-(2080s-and-2083s)?_g=(refreshInterval:(display:Off,pause:!f,section:0,value:0),time:(from:'2017-09-05T18:22:08-0600',mode:absolute,to:'2017-09-05T21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3" s="194" t="str">
        <f>IF(AA133&lt;VLOOKUP(AG133,Variables!$AC$3:$AD$8,2,FALSE),"Y","N")</f>
        <v>N</v>
      </c>
      <c r="X133" s="194">
        <f t="shared" si="103"/>
        <v>1</v>
      </c>
      <c r="Y133" s="194">
        <f t="shared" si="118"/>
        <v>23.303799999999999</v>
      </c>
      <c r="Z133" s="194">
        <f t="shared" si="119"/>
        <v>1.4500000000000001E-2</v>
      </c>
      <c r="AA133" s="194">
        <f t="shared" si="120"/>
        <v>23.289299999999997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121"/>
        <v>220</v>
      </c>
      <c r="AE133" s="77" t="str">
        <f t="shared" si="45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133" s="74" t="str">
        <f t="shared" si="46"/>
        <v>"C:\Program Files (x86)\AstroGrep\AstroGrep.exe" /e /r /s /spath="%USERPROFILE%\AppData\Local\Temp\OnboardLogs" /stypes="app*4009*20170906*" /stext=" 02:.+((SYSTEM_STATE.+slice.+state.+changed )|(ment ac)|(multiple cpu faults)|(system.+state.+changed )|(\[timeout)|(PRM\|1\|D)|(kpr)|(kdp)|(train st.+moving)|(\|lc)|(penalty))"</v>
      </c>
      <c r="AG133" s="206" t="str">
        <f t="shared" si="122"/>
        <v>EC</v>
      </c>
      <c r="AH133" s="78" t="str">
        <f t="shared" si="48"/>
        <v>"%USERPROFILE%\Documents\GitHub\eaglep3\Utilities\RefineRTDCRunTimes.py" --tripid 220-05 --locoid 4009 --swversion DE.1.0.9.0 --startMP 204:233038 --initTime 2017-09-05T19:22:08 --startdatetime 2017-09-05T19:27:17 --delay 75 --endMP 204:145 --enddatetime 2017-09-05T20:04:09 --enforcementcount 0 &gt;&gt;C:\Users\stu\Documents\GitHub\eaglep3-reporting\EC\2017-09-05-refined-times.txt</v>
      </c>
      <c r="AI13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{"issue":{"subject":"","project_id":79,"tracker_id":40,"status_id":1,"priority_id":2,"assigned_to_id":338,"start_date":"2017-09-05","description":"","custom_fields":[{"id":1,"name":"Subdivision","value":"EC"},{"id":4,"name":"Milepost","value":"0.0145"},{"id":17,"name":"Train ID","value":"220-05"},{"id":16,"name":"Locomotive ID","value":"4009"},{"id":130,"name":"Impact","value":""},{"id":150,"name":"Time of Event (Mountain Time)","value":"20:04:09"},{"id":151,"name":"Denver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0"/>
        <v>start /low /b %USERPROFILE%\Documents\GitHub\eaglep3\Utilities\DownloadLogsFromS3.py --loco 4009 --day 2017-09-05</v>
      </c>
      <c r="AN133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787</v>
      </c>
      <c r="B134" s="7">
        <v>4066</v>
      </c>
      <c r="C134" s="21" t="s">
        <v>197</v>
      </c>
      <c r="D134" s="21" t="s">
        <v>365</v>
      </c>
      <c r="E134" s="13">
        <v>42983.788032407407</v>
      </c>
      <c r="F134" s="13">
        <v>42983.792002314818</v>
      </c>
      <c r="G134" s="7">
        <v>115</v>
      </c>
      <c r="H134" s="21" t="s">
        <v>488</v>
      </c>
      <c r="I134" s="13">
        <v>42983.817442129628</v>
      </c>
      <c r="J134" s="7">
        <v>0</v>
      </c>
      <c r="K134" s="89" t="str">
        <f t="shared" si="113"/>
        <v>4065/4066</v>
      </c>
      <c r="L134" s="214" t="str">
        <f>VLOOKUP(A134,'Trips&amp;Operators'!$C$1:$G$99911,5,FALSE)</f>
        <v>DUNCAN SHEILA</v>
      </c>
      <c r="M134" s="6">
        <f t="shared" si="114"/>
        <v>2.5439814809942618E-2</v>
      </c>
      <c r="N134" s="7">
        <f t="shared" si="115"/>
        <v>36.63333332631737</v>
      </c>
      <c r="O134" s="7"/>
      <c r="P134" s="7"/>
      <c r="Q134" s="22"/>
      <c r="R134" s="167"/>
      <c r="S134" s="210">
        <f t="shared" si="116"/>
        <v>1</v>
      </c>
      <c r="T134" s="192" t="str">
        <f t="shared" si="117"/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41"/>
        <v>https://d0f6bd738d7f1b3e5a7ca70fe4ff75f0.us-east-1.aws.found.io/app/kibana#/discover/Steve-Slow-Train-Analysis-(2080s-and-2083s)?_g=(refreshInterval:(display:Off,pause:!f,section:0,value:0),time:(from:'2017-09-05T17:54:46-0600',mode:absolute,to:'2017-09-05T20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4" s="194" t="str">
        <f>IF(AA134&lt;VLOOKUP(AG134,Variables!$AC$3:$AD$8,2,FALSE),"Y","N")</f>
        <v>N</v>
      </c>
      <c r="X134" s="194">
        <f t="shared" si="103"/>
        <v>1</v>
      </c>
      <c r="Y134" s="194">
        <f t="shared" si="118"/>
        <v>4.4900000000000002E-2</v>
      </c>
      <c r="Z134" s="194">
        <f t="shared" si="119"/>
        <v>23.333200000000001</v>
      </c>
      <c r="AA134" s="194">
        <f t="shared" si="120"/>
        <v>23.288300000000003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121"/>
        <v>221</v>
      </c>
      <c r="AE134" s="77" t="str">
        <f t="shared" si="4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34" s="74" t="str">
        <f t="shared" si="46"/>
        <v>"C:\Program Files (x86)\AstroGrep\AstroGrep.exe" /e /r /s /spath="%USERPROFILE%\AppData\Local\Temp\OnboardLogs" /stypes="app*4066*20170906*" /stext=" 01:.+((SYSTEM_STATE.+slice.+state.+changed )|(ment ac)|(multiple cpu faults)|(system.+state.+changed )|(\[timeout)|(PRM\|1\|D)|(kpr)|(kdp)|(train st.+moving)|(\|lc)|(penalty))"</v>
      </c>
      <c r="AG134" s="206" t="str">
        <f t="shared" si="122"/>
        <v>EC</v>
      </c>
      <c r="AH134" s="78" t="str">
        <f t="shared" si="48"/>
        <v>"%USERPROFILE%\Documents\GitHub\eaglep3\Utilities\RefineRTDCRunTimes.py" --tripid 221-05 --locoid 4066 --swversion DE.1.0.9.0 --startMP 204:449 --initTime 2017-09-05T18:54:46 --startdatetime 2017-09-05T19:00:29 --delay 115 --endMP 204:233332 --enddatetime 2017-09-05T19:37:07 --enforcementcount 0 &gt;&gt;C:\Users\stu\Documents\GitHub\eaglep3-reporting\EC\2017-09-05-refined-times.txt</v>
      </c>
      <c r="AI13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{"issue":{"subject":"","project_id":79,"tracker_id":40,"status_id":1,"priority_id":2,"assigned_to_id":338,"start_date":"2017-09-05","description":"","custom_fields":[{"id":1,"name":"Subdivision","value":"EC"},{"id":4,"name":"Milepost","value":"23.3332"},{"id":17,"name":"Train ID","value":"221-05"},{"id":16,"name":"Locomotive ID","value":"4066"},{"id":130,"name":"Impact","value":""},{"id":150,"name":"Time of Event (Mountain Time)","value":"19:37:07"},{"id":151,"name":"Denver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0"/>
        <v>start /low /b %USERPROFILE%\Documents\GitHub\eaglep3\Utilities\DownloadLogsFromS3.py --loco 4066 --day 2017-09-05</v>
      </c>
      <c r="AN134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797</v>
      </c>
      <c r="B135" s="7">
        <v>4065</v>
      </c>
      <c r="C135" s="21" t="s">
        <v>197</v>
      </c>
      <c r="D135" s="21" t="s">
        <v>835</v>
      </c>
      <c r="E135" s="13">
        <v>42983.825243055559</v>
      </c>
      <c r="F135" s="13">
        <v>42983.831469907411</v>
      </c>
      <c r="G135" s="7">
        <v>67</v>
      </c>
      <c r="H135" s="21" t="s">
        <v>338</v>
      </c>
      <c r="I135" s="13">
        <v>42983.858159722222</v>
      </c>
      <c r="J135" s="7">
        <v>0</v>
      </c>
      <c r="K135" s="89" t="str">
        <f t="shared" si="113"/>
        <v>4065/4066</v>
      </c>
      <c r="L135" s="214" t="str">
        <f>VLOOKUP(A135,'Trips&amp;Operators'!$C$1:$G$99911,5,FALSE)</f>
        <v>DUNCAN SHEILA</v>
      </c>
      <c r="M135" s="6">
        <f t="shared" si="114"/>
        <v>2.6689814811106771E-2</v>
      </c>
      <c r="N135" s="7">
        <f t="shared" si="115"/>
        <v>38.433333327993751</v>
      </c>
      <c r="O135" s="7"/>
      <c r="P135" s="7"/>
      <c r="Q135" s="22"/>
      <c r="R135" s="167"/>
      <c r="S135" s="210">
        <f t="shared" si="116"/>
        <v>1</v>
      </c>
      <c r="T135" s="192" t="str">
        <f t="shared" si="117"/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41"/>
        <v>https://d0f6bd738d7f1b3e5a7ca70fe4ff75f0.us-east-1.aws.found.io/app/kibana#/discover/Steve-Slow-Train-Analysis-(2080s-and-2083s)?_g=(refreshInterval:(display:Off,pause:!f,section:0,value:0),time:(from:'2017-09-05T18:48:21-0600',mode:absolute,to:'2017-09-05T21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5" s="194" t="str">
        <f>IF(AA135&lt;VLOOKUP(AG135,Variables!$AC$3:$AD$8,2,FALSE),"Y","N")</f>
        <v>N</v>
      </c>
      <c r="X135" s="194">
        <f t="shared" ref="X135:X145" si="123">VALUE(LEFT(AD135,4))-VALUE(LEFT(AD134,4))</f>
        <v>1</v>
      </c>
      <c r="Y135" s="194">
        <f t="shared" si="118"/>
        <v>23.2988</v>
      </c>
      <c r="Z135" s="194">
        <f t="shared" si="119"/>
        <v>1.4999999999999999E-2</v>
      </c>
      <c r="AA135" s="194">
        <f t="shared" si="120"/>
        <v>23.283799999999999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121"/>
        <v>222</v>
      </c>
      <c r="AE135" s="77" t="str">
        <f t="shared" si="4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35" s="74" t="str">
        <f t="shared" si="46"/>
        <v>"C:\Program Files (x86)\AstroGrep\AstroGrep.exe" /e /r /s /spath="%USERPROFILE%\AppData\Local\Temp\OnboardLogs" /stypes="app*4065*20170906*" /stext=" 02:.+((SYSTEM_STATE.+slice.+state.+changed )|(ment ac)|(multiple cpu faults)|(system.+state.+changed )|(\[timeout)|(PRM\|1\|D)|(kpr)|(kdp)|(train st.+moving)|(\|lc)|(penalty))"</v>
      </c>
      <c r="AG135" s="206" t="str">
        <f t="shared" si="122"/>
        <v>EC</v>
      </c>
      <c r="AH135" s="78" t="str">
        <f t="shared" si="48"/>
        <v>"%USERPROFILE%\Documents\GitHub\eaglep3\Utilities\RefineRTDCRunTimes.py" --tripid 222-05 --locoid 4065 --swversion DE.1.0.9.0 --startMP 204:232988 --initTime 2017-09-05T19:48:21 --startdatetime 2017-09-05T19:57:19 --delay 67 --endMP 204:150 --enddatetime 2017-09-05T20:35:45 --enforcementcount 0 &gt;&gt;C:\Users\stu\Documents\GitHub\eaglep3-reporting\EC\2017-09-05-refined-times.txt</v>
      </c>
      <c r="AI13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{"issue":{"subject":"","project_id":79,"tracker_id":40,"status_id":1,"priority_id":2,"assigned_to_id":338,"start_date":"2017-09-05","description":"","custom_fields":[{"id":1,"name":"Subdivision","value":"EC"},{"id":4,"name":"Milepost","value":"0.015"},{"id":17,"name":"Train ID","value":"222-05"},{"id":16,"name":"Locomotive ID","value":"4065"},{"id":130,"name":"Impact","value":""},{"id":150,"name":"Time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0"/>
        <v>start /low /b %USERPROFILE%\Documents\GitHub\eaglep3\Utilities\DownloadLogsFromS3.py --loco 4065 --day 2017-09-05</v>
      </c>
      <c r="AN135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792</v>
      </c>
      <c r="B136" s="7">
        <v>4040</v>
      </c>
      <c r="C136" s="21" t="s">
        <v>197</v>
      </c>
      <c r="D136" s="21" t="s">
        <v>369</v>
      </c>
      <c r="E136" s="13">
        <v>42983.80667824074</v>
      </c>
      <c r="F136" s="13">
        <v>42983.812800925924</v>
      </c>
      <c r="G136" s="7">
        <v>161</v>
      </c>
      <c r="H136" s="21" t="s">
        <v>534</v>
      </c>
      <c r="I136" s="13">
        <v>42983.838831018518</v>
      </c>
      <c r="J136" s="7">
        <v>0</v>
      </c>
      <c r="K136" s="89" t="str">
        <f t="shared" si="113"/>
        <v>4039/4040</v>
      </c>
      <c r="L136" s="214" t="str">
        <f>VLOOKUP(A136,'Trips&amp;Operators'!$C$1:$G$99911,5,FALSE)</f>
        <v>BIRKHOLZ NADINE</v>
      </c>
      <c r="M136" s="6">
        <f t="shared" si="114"/>
        <v>2.6030092594737653E-2</v>
      </c>
      <c r="N136" s="7">
        <f t="shared" si="115"/>
        <v>37.48333333642222</v>
      </c>
      <c r="O136" s="7"/>
      <c r="P136" s="7"/>
      <c r="Q136" s="22"/>
      <c r="R136" s="167"/>
      <c r="S136" s="210">
        <f t="shared" si="116"/>
        <v>1</v>
      </c>
      <c r="T136" s="192" t="str">
        <f t="shared" si="117"/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41"/>
        <v>https://d0f6bd738d7f1b3e5a7ca70fe4ff75f0.us-east-1.aws.found.io/app/kibana#/discover/Steve-Slow-Train-Analysis-(2080s-and-2083s)?_g=(refreshInterval:(display:Off,pause:!f,section:0,value:0),time:(from:'2017-09-05T18:21:37-0600',mode:absolute,to:'2017-09-05T21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4" t="str">
        <f>IF(AA136&lt;VLOOKUP(AG136,Variables!$AC$3:$AD$8,2,FALSE),"Y","N")</f>
        <v>N</v>
      </c>
      <c r="X136" s="194">
        <f t="shared" si="123"/>
        <v>1</v>
      </c>
      <c r="Y136" s="194">
        <f t="shared" si="118"/>
        <v>4.6399999999999997E-2</v>
      </c>
      <c r="Z136" s="194">
        <f t="shared" si="119"/>
        <v>23.328900000000001</v>
      </c>
      <c r="AA136" s="194">
        <f t="shared" si="120"/>
        <v>23.282500000000002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121"/>
        <v>223</v>
      </c>
      <c r="AE136" s="77" t="str">
        <f t="shared" si="4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36" s="74" t="str">
        <f t="shared" si="46"/>
        <v>"C:\Program Files (x86)\AstroGrep\AstroGrep.exe" /e /r /s /spath="%USERPROFILE%\AppData\Local\Temp\OnboardLogs" /stypes="app*4040*20170906*" /stext=" 02:.+((SYSTEM_STATE.+slice.+state.+changed )|(ment ac)|(multiple cpu faults)|(system.+state.+changed )|(\[timeout)|(PRM\|1\|D)|(kpr)|(kdp)|(train st.+moving)|(\|lc)|(penalty))"</v>
      </c>
      <c r="AG136" s="206" t="str">
        <f t="shared" si="122"/>
        <v>EC</v>
      </c>
      <c r="AH136" s="78" t="str">
        <f t="shared" si="48"/>
        <v>"%USERPROFILE%\Documents\GitHub\eaglep3\Utilities\RefineRTDCRunTimes.py" --tripid 223-05 --locoid 4040 --swversion DE.1.0.9.0 --startMP 204:464 --initTime 2017-09-05T19:21:37 --startdatetime 2017-09-05T19:30:26 --delay 161 --endMP 204:233289 --enddatetime 2017-09-05T20:07:55 --enforcementcount 0 &gt;&gt;C:\Users\stu\Documents\GitHub\eaglep3-reporting\EC\2017-09-05-refined-times.txt</v>
      </c>
      <c r="AI136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{"issue":{"subject":"","project_id":79,"tracker_id":40,"status_id":1,"priority_id":2,"assigned_to_id":338,"start_date":"2017-09-05","description":"","custom_fields":[{"id":1,"name":"Subdivision","value":"EC"},{"id":4,"name":"Milepost","value":"23.3289"},{"id":17,"name":"Train ID","value":"223-05"},{"id":16,"name":"Locomotive ID","value":"4040"},{"id":130,"name":"Impact","value":""},{"id":150,"name":"Time of Event (Mountain Time)","value":"20:07:55"},{"id":151,"name":"Denver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0"/>
        <v>start /low /b %USERPROFILE%\Documents\GitHub\eaglep3\Utilities\DownloadLogsFromS3.py --loco 4040 --day 2017-09-05</v>
      </c>
      <c r="AN136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800</v>
      </c>
      <c r="B137" s="7">
        <v>4039</v>
      </c>
      <c r="C137" s="21" t="s">
        <v>197</v>
      </c>
      <c r="D137" s="21" t="s">
        <v>835</v>
      </c>
      <c r="E137" s="13">
        <v>42983.843587962961</v>
      </c>
      <c r="F137" s="13">
        <v>42983.852303240739</v>
      </c>
      <c r="G137" s="7">
        <v>72</v>
      </c>
      <c r="H137" s="21" t="s">
        <v>345</v>
      </c>
      <c r="I137" s="13">
        <v>42983.878252314818</v>
      </c>
      <c r="J137" s="7">
        <v>0</v>
      </c>
      <c r="K137" s="89" t="str">
        <f t="shared" si="113"/>
        <v>4039/4040</v>
      </c>
      <c r="L137" s="214" t="str">
        <f>VLOOKUP(A137,'Trips&amp;Operators'!$C$1:$G$99911,5,FALSE)</f>
        <v>BIRKHOLZ NADINE</v>
      </c>
      <c r="M137" s="6">
        <f t="shared" si="114"/>
        <v>2.5949074079107959E-2</v>
      </c>
      <c r="N137" s="7">
        <f t="shared" si="115"/>
        <v>37.366666673915461</v>
      </c>
      <c r="O137" s="7"/>
      <c r="P137" s="7"/>
      <c r="Q137" s="22"/>
      <c r="R137" s="167"/>
      <c r="S137" s="210">
        <f t="shared" si="116"/>
        <v>1</v>
      </c>
      <c r="T137" s="192" t="str">
        <f t="shared" si="117"/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41"/>
        <v>https://d0f6bd738d7f1b3e5a7ca70fe4ff75f0.us-east-1.aws.found.io/app/kibana#/discover/Steve-Slow-Train-Analysis-(2080s-and-2083s)?_g=(refreshInterval:(display:Off,pause:!f,section:0,value:0),time:(from:'2017-09-05T19:14:46-0600',mode:absolute,to:'2017-09-05T22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4" t="str">
        <f>IF(AA137&lt;VLOOKUP(AG137,Variables!$AC$3:$AD$8,2,FALSE),"Y","N")</f>
        <v>N</v>
      </c>
      <c r="X137" s="194">
        <f t="shared" si="123"/>
        <v>1</v>
      </c>
      <c r="Y137" s="194">
        <f t="shared" si="118"/>
        <v>23.2988</v>
      </c>
      <c r="Z137" s="194">
        <f t="shared" si="119"/>
        <v>1.47E-2</v>
      </c>
      <c r="AA137" s="194">
        <f t="shared" si="120"/>
        <v>23.284099999999999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121"/>
        <v>224</v>
      </c>
      <c r="AE137" s="77" t="str">
        <f t="shared" si="4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137" s="74" t="str">
        <f t="shared" si="46"/>
        <v>"C:\Program Files (x86)\AstroGrep\AstroGrep.exe" /e /r /s /spath="%USERPROFILE%\AppData\Local\Temp\OnboardLogs" /stypes="app*4039*20170906*" /stext=" 03:.+((SYSTEM_STATE.+slice.+state.+changed )|(ment ac)|(multiple cpu faults)|(system.+state.+changed )|(\[timeout)|(PRM\|1\|D)|(kpr)|(kdp)|(train st.+moving)|(\|lc)|(penalty))"</v>
      </c>
      <c r="AG137" s="206" t="str">
        <f t="shared" si="122"/>
        <v>EC</v>
      </c>
      <c r="AH137" s="78" t="str">
        <f t="shared" si="48"/>
        <v>"%USERPROFILE%\Documents\GitHub\eaglep3\Utilities\RefineRTDCRunTimes.py" --tripid 224-05 --locoid 4039 --swversion DE.1.0.9.0 --startMP 204:232988 --initTime 2017-09-05T20:14:46 --startdatetime 2017-09-05T20:27:19 --delay 72 --endMP 204:147 --enddatetime 2017-09-05T21:04:41 --enforcementcount 0 &gt;&gt;C:\Users\stu\Documents\GitHub\eaglep3-reporting\EC\2017-09-05-refined-times.txt</v>
      </c>
      <c r="AI137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ID","value":"224-05"},{"id":16,"name":"Locomotive ID","value":"4039"},{"id":130,"name":"Impact","value":""},{"id":150,"name":"Time of Event (Mountain Time)","value":"21:04:41"},{"id":151,"name":"Denver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0"/>
        <v>start /low /b %USERPROFILE%\Documents\GitHub\eaglep3\Utilities\DownloadLogsFromS3.py --loco 4039 --day 2017-09-05</v>
      </c>
      <c r="AN137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798</v>
      </c>
      <c r="B138" s="7">
        <v>4022</v>
      </c>
      <c r="C138" s="21" t="s">
        <v>197</v>
      </c>
      <c r="D138" s="21" t="s">
        <v>881</v>
      </c>
      <c r="E138" s="13">
        <v>42983.828657407408</v>
      </c>
      <c r="F138" s="13">
        <v>42983.833506944444</v>
      </c>
      <c r="G138" s="7">
        <v>52</v>
      </c>
      <c r="H138" s="21" t="s">
        <v>540</v>
      </c>
      <c r="I138" s="13">
        <v>42983.858530092592</v>
      </c>
      <c r="J138" s="7">
        <v>0</v>
      </c>
      <c r="K138" s="89" t="str">
        <f t="shared" si="113"/>
        <v>4021/4022</v>
      </c>
      <c r="L138" s="214" t="str">
        <f>VLOOKUP(A138,'Trips&amp;Operators'!$C$1:$G$99911,5,FALSE)</f>
        <v>PERKINS DARREN</v>
      </c>
      <c r="M138" s="6">
        <f t="shared" si="114"/>
        <v>2.5023148147738539E-2</v>
      </c>
      <c r="N138" s="7">
        <f t="shared" si="115"/>
        <v>36.033333332743496</v>
      </c>
      <c r="O138" s="7"/>
      <c r="P138" s="7"/>
      <c r="Q138" s="22"/>
      <c r="R138" s="167"/>
      <c r="S138" s="210">
        <f t="shared" si="116"/>
        <v>1</v>
      </c>
      <c r="T138" s="192" t="str">
        <f t="shared" si="117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41"/>
        <v>https://d0f6bd738d7f1b3e5a7ca70fe4ff75f0.us-east-1.aws.found.io/app/kibana#/discover/Steve-Slow-Train-Analysis-(2080s-and-2083s)?_g=(refreshInterval:(display:Off,pause:!f,section:0,value:0),time:(from:'2017-09-05T18:53:16-0600',mode:absolute,to:'2017-09-05T21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194" t="str">
        <f>IF(AA138&lt;VLOOKUP(AG138,Variables!$AC$3:$AD$8,2,FALSE),"Y","N")</f>
        <v>N</v>
      </c>
      <c r="X138" s="194">
        <f t="shared" si="123"/>
        <v>1</v>
      </c>
      <c r="Y138" s="194">
        <f t="shared" si="118"/>
        <v>4.82E-2</v>
      </c>
      <c r="Z138" s="194">
        <f t="shared" si="119"/>
        <v>23.330100000000002</v>
      </c>
      <c r="AA138" s="194">
        <f t="shared" si="120"/>
        <v>23.2819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121"/>
        <v>225</v>
      </c>
      <c r="AE138" s="77" t="str">
        <f t="shared" si="45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138" s="74" t="str">
        <f t="shared" si="46"/>
        <v>"C:\Program Files (x86)\AstroGrep\AstroGrep.exe" /e /r /s /spath="%USERPROFILE%\AppData\Local\Temp\OnboardLogs" /stypes="app*4022*20170906*" /stext=" 02:.+((SYSTEM_STATE.+slice.+state.+changed )|(ment ac)|(multiple cpu faults)|(system.+state.+changed )|(\[timeout)|(PRM\|1\|D)|(kpr)|(kdp)|(train st.+moving)|(\|lc)|(penalty))"</v>
      </c>
      <c r="AG138" s="206" t="str">
        <f t="shared" si="122"/>
        <v>EC</v>
      </c>
      <c r="AH138" s="78" t="str">
        <f t="shared" si="48"/>
        <v>"%USERPROFILE%\Documents\GitHub\eaglep3\Utilities\RefineRTDCRunTimes.py" --tripid 225-05 --locoid 4022 --swversion DE.1.0.9.0 --startMP 204:482 --initTime 2017-09-05T19:53:16 --startdatetime 2017-09-05T20:00:15 --delay 52 --endMP 204:233301 --enddatetime 2017-09-05T20:36:17 --enforcementcount 0 &gt;&gt;C:\Users\stu\Documents\GitHub\eaglep3-reporting\EC\2017-09-05-refined-times.txt</v>
      </c>
      <c r="AI13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{"issue":{"subject":"","project_id":79,"tracker_id":40,"status_id":1,"priority_id":2,"assigned_to_id":338,"start_date":"2017-09-05","description":"","custom_fields":[{"id":1,"name":"Subdivision","value":"EC"},{"id":4,"name":"Milepost","value":"23.3301"},{"id":17,"name":"Train ID","value":"225-05"},{"id":16,"name":"Locomotive ID","value":"4022"},{"id":130,"name":"Impact","value":""},{"id":150,"name":"Time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0"/>
        <v>start /low /b %USERPROFILE%\Documents\GitHub\eaglep3\Utilities\DownloadLogsFromS3.py --loco 4022 --day 2017-09-05</v>
      </c>
      <c r="AN138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804</v>
      </c>
      <c r="B139" s="7">
        <v>4021</v>
      </c>
      <c r="C139" s="21" t="s">
        <v>197</v>
      </c>
      <c r="D139" s="21" t="s">
        <v>437</v>
      </c>
      <c r="E139" s="13">
        <v>42983.861585648148</v>
      </c>
      <c r="F139" s="13">
        <v>42983.873055555552</v>
      </c>
      <c r="G139" s="7">
        <v>54</v>
      </c>
      <c r="H139" s="21" t="s">
        <v>538</v>
      </c>
      <c r="I139" s="13">
        <v>42983.898993055554</v>
      </c>
      <c r="J139" s="7">
        <v>0</v>
      </c>
      <c r="K139" s="89" t="str">
        <f t="shared" si="113"/>
        <v>4021/4022</v>
      </c>
      <c r="L139" s="214" t="str">
        <f>VLOOKUP(A139,'Trips&amp;Operators'!$C$1:$G$99911,5,FALSE)</f>
        <v>PERKINS DARREN</v>
      </c>
      <c r="M139" s="6">
        <f t="shared" si="114"/>
        <v>2.5937500002328306E-2</v>
      </c>
      <c r="N139" s="7">
        <f t="shared" si="115"/>
        <v>37.350000003352761</v>
      </c>
      <c r="O139" s="7"/>
      <c r="P139" s="7"/>
      <c r="Q139" s="22"/>
      <c r="R139" s="167"/>
      <c r="S139" s="210">
        <f t="shared" si="116"/>
        <v>1</v>
      </c>
      <c r="T139" s="192" t="str">
        <f t="shared" si="117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41"/>
        <v>https://d0f6bd738d7f1b3e5a7ca70fe4ff75f0.us-east-1.aws.found.io/app/kibana#/discover/Steve-Slow-Train-Analysis-(2080s-and-2083s)?_g=(refreshInterval:(display:Off,pause:!f,section:0,value:0),time:(from:'2017-09-05T19:40:41-0600',mode:absolute,to:'2017-09-05T22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194" t="str">
        <f>IF(AA139&lt;VLOOKUP(AG139,Variables!$AC$3:$AD$8,2,FALSE),"Y","N")</f>
        <v>N</v>
      </c>
      <c r="X139" s="194">
        <f t="shared" si="123"/>
        <v>1</v>
      </c>
      <c r="Y139" s="194">
        <f t="shared" si="118"/>
        <v>23.296500000000002</v>
      </c>
      <c r="Z139" s="194">
        <f t="shared" si="119"/>
        <v>1.2699999999999999E-2</v>
      </c>
      <c r="AA139" s="194">
        <f t="shared" si="120"/>
        <v>23.283800000000003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121"/>
        <v>226</v>
      </c>
      <c r="AE139" s="77" t="str">
        <f t="shared" si="45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139" s="74" t="str">
        <f t="shared" si="46"/>
        <v>"C:\Program Files (x86)\AstroGrep\AstroGrep.exe" /e /r /s /spath="%USERPROFILE%\AppData\Local\Temp\OnboardLogs" /stypes="app*4021*20170906*" /stext=" 03:.+((SYSTEM_STATE.+slice.+state.+changed )|(ment ac)|(multiple cpu faults)|(system.+state.+changed )|(\[timeout)|(PRM\|1\|D)|(kpr)|(kdp)|(train st.+moving)|(\|lc)|(penalty))"</v>
      </c>
      <c r="AG139" s="206" t="str">
        <f t="shared" si="122"/>
        <v>EC</v>
      </c>
      <c r="AH139" s="78" t="str">
        <f t="shared" si="48"/>
        <v>"%USERPROFILE%\Documents\GitHub\eaglep3\Utilities\RefineRTDCRunTimes.py" --tripid 226-05 --locoid 4021 --swversion DE.1.0.9.0 --startMP 204:232965 --initTime 2017-09-05T20:40:41 --startdatetime 2017-09-05T20:57:12 --delay 54 --endMP 204:127 --enddatetime 2017-09-05T21:34:33 --enforcementcount 0 &gt;&gt;C:\Users\stu\Documents\GitHub\eaglep3-reporting\EC\2017-09-05-refined-times.txt</v>
      </c>
      <c r="AI139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{"issue":{"subject":"","project_id":79,"tracker_id":40,"status_id":1,"priority_id":2,"assigned_to_id":338,"start_date":"2017-09-05","description":"","custom_fields":[{"id":1,"name":"Subdivision","value":"EC"},{"id":4,"name":"Milepost","value":"0.0127"},{"id":17,"name":"Train ID","value":"226-05"},{"id":16,"name":"Locomotive ID","value":"4021"},{"id":130,"name":"Impact","value":""},{"id":150,"name":"Time of Event (Mountain Time)","value":"21:34:33"},{"id":151,"name":"Denver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0"/>
        <v>start /low /b %USERPROFILE%\Documents\GitHub\eaglep3\Utilities\DownloadLogsFromS3.py --loco 4021 --day 2017-09-05</v>
      </c>
      <c r="AN139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801</v>
      </c>
      <c r="B140" s="7">
        <v>4010</v>
      </c>
      <c r="C140" s="21" t="s">
        <v>197</v>
      </c>
      <c r="D140" s="21" t="s">
        <v>354</v>
      </c>
      <c r="E140" s="13">
        <v>42983.850682870368</v>
      </c>
      <c r="F140" s="13">
        <v>42983.854351851849</v>
      </c>
      <c r="G140" s="7">
        <v>89</v>
      </c>
      <c r="H140" s="21" t="s">
        <v>544</v>
      </c>
      <c r="I140" s="13">
        <v>42983.879814814813</v>
      </c>
      <c r="J140" s="7">
        <v>0</v>
      </c>
      <c r="K140" s="89" t="str">
        <f t="shared" si="113"/>
        <v>4009/4010</v>
      </c>
      <c r="L140" s="214" t="str">
        <f>VLOOKUP(A140,'Trips&amp;Operators'!$C$1:$G$99911,5,FALSE)</f>
        <v>HART KEVIN</v>
      </c>
      <c r="M140" s="6">
        <f t="shared" si="114"/>
        <v>2.5462962963501923E-2</v>
      </c>
      <c r="N140" s="7">
        <f t="shared" si="115"/>
        <v>36.666666667442769</v>
      </c>
      <c r="O140" s="7"/>
      <c r="P140" s="7"/>
      <c r="Q140" s="22"/>
      <c r="R140" s="167"/>
      <c r="S140" s="210">
        <f t="shared" si="116"/>
        <v>1</v>
      </c>
      <c r="T140" s="192" t="str">
        <f t="shared" si="117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41"/>
        <v>https://d0f6bd738d7f1b3e5a7ca70fe4ff75f0.us-east-1.aws.found.io/app/kibana#/discover/Steve-Slow-Train-Analysis-(2080s-and-2083s)?_g=(refreshInterval:(display:Off,pause:!f,section:0,value:0),time:(from:'2017-09-05T19:24:59-0600',mode:absolute,to:'2017-09-05T22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0" s="194" t="str">
        <f>IF(AA140&lt;VLOOKUP(AG140,Variables!$AC$3:$AD$8,2,FALSE),"Y","N")</f>
        <v>N</v>
      </c>
      <c r="X140" s="194">
        <f t="shared" si="123"/>
        <v>1</v>
      </c>
      <c r="Y140" s="194">
        <f t="shared" si="118"/>
        <v>4.5499999999999999E-2</v>
      </c>
      <c r="Z140" s="194">
        <f t="shared" si="119"/>
        <v>23.334099999999999</v>
      </c>
      <c r="AA140" s="194">
        <f t="shared" si="120"/>
        <v>23.288599999999999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121"/>
        <v>227</v>
      </c>
      <c r="AE140" s="77" t="str">
        <f t="shared" si="4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40" s="74" t="str">
        <f t="shared" si="46"/>
        <v>"C:\Program Files (x86)\AstroGrep\AstroGrep.exe" /e /r /s /spath="%USERPROFILE%\AppData\Local\Temp\OnboardLogs" /stypes="app*4010*20170906*" /stext=" 03:.+((SYSTEM_STATE.+slice.+state.+changed )|(ment ac)|(multiple cpu faults)|(system.+state.+changed )|(\[timeout)|(PRM\|1\|D)|(kpr)|(kdp)|(train st.+moving)|(\|lc)|(penalty))"</v>
      </c>
      <c r="AG140" s="206" t="str">
        <f t="shared" si="122"/>
        <v>EC</v>
      </c>
      <c r="AH140" s="78" t="str">
        <f t="shared" si="48"/>
        <v>"%USERPROFILE%\Documents\GitHub\eaglep3\Utilities\RefineRTDCRunTimes.py" --tripid 227-05 --locoid 4010 --swversion DE.1.0.9.0 --startMP 204:455 --initTime 2017-09-05T20:24:59 --startdatetime 2017-09-05T20:30:16 --delay 89 --endMP 204:233341 --enddatetime 2017-09-05T21:06:56 --enforcementcount 0 &gt;&gt;C:\Users\stu\Documents\GitHub\eaglep3-reporting\EC\2017-09-05-refined-times.txt</v>
      </c>
      <c r="AI14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{"issue":{"subject":"","project_id":79,"tracker_id":40,"status_id":1,"priority_id":2,"assigned_to_id":338,"start_date":"2017-09-05","description":"","custom_fields":[{"id":1,"name":"Subdivision","value":"EC"},{"id":4,"name":"Milepost","value":"23.3341"},{"id":17,"name":"Train ID","value":"227-05"},{"id":16,"name":"Locomotive ID","value":"4010"},{"id":130,"name":"Impact","value":""},{"id":150,"name":"Time of Event (Mountain Time)","value":"21:06:56"},{"id":151,"name":"Denver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0"/>
        <v>start /low /b %USERPROFILE%\Documents\GitHub\eaglep3\Utilities\DownloadLogsFromS3.py --loco 4010 --day 2017-09-05</v>
      </c>
      <c r="AN140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806</v>
      </c>
      <c r="B141" s="7">
        <v>4009</v>
      </c>
      <c r="C141" s="21" t="s">
        <v>197</v>
      </c>
      <c r="D141" s="21" t="s">
        <v>536</v>
      </c>
      <c r="E141" s="13">
        <v>42983.8906712963</v>
      </c>
      <c r="F141" s="13">
        <v>42983.893946759257</v>
      </c>
      <c r="G141" s="7">
        <v>67</v>
      </c>
      <c r="H141" s="21" t="s">
        <v>549</v>
      </c>
      <c r="I141" s="13">
        <v>42983.919050925928</v>
      </c>
      <c r="J141" s="7">
        <v>0</v>
      </c>
      <c r="K141" s="89" t="str">
        <f t="shared" si="113"/>
        <v>4009/4010</v>
      </c>
      <c r="L141" s="214" t="str">
        <f>VLOOKUP(A141,'Trips&amp;Operators'!$C$1:$G$99911,5,FALSE)</f>
        <v>HART KEVIN</v>
      </c>
      <c r="M141" s="6">
        <f t="shared" si="114"/>
        <v>2.510416667064419E-2</v>
      </c>
      <c r="N141" s="7">
        <f t="shared" si="115"/>
        <v>36.150000005727634</v>
      </c>
      <c r="O141" s="7"/>
      <c r="P141" s="7"/>
      <c r="Q141" s="22"/>
      <c r="R141" s="167"/>
      <c r="S141" s="210">
        <f t="shared" si="116"/>
        <v>1</v>
      </c>
      <c r="T141" s="192" t="str">
        <f t="shared" si="117"/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12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-05T20:22:34-0600',mode:absolute,to:'2017-09-05T23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1" s="194" t="str">
        <f>IF(AA141&lt;VLOOKUP(AG141,Variables!$AC$3:$AD$8,2,FALSE),"Y","N")</f>
        <v>N</v>
      </c>
      <c r="X141" s="194">
        <f t="shared" si="123"/>
        <v>1</v>
      </c>
      <c r="Y141" s="194">
        <f t="shared" si="118"/>
        <v>23.301500000000001</v>
      </c>
      <c r="Z141" s="194">
        <f t="shared" si="119"/>
        <v>1.34E-2</v>
      </c>
      <c r="AA141" s="194">
        <f t="shared" si="120"/>
        <v>23.2881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si="121"/>
        <v>228</v>
      </c>
      <c r="AE141" s="77" t="str">
        <f t="shared" ref="AE141:AE204" si="12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141" s="74" t="str">
        <f t="shared" ref="AF141:AF204" si="12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/stypes="app*4009*20170906*" /stext=" 04:.+((SYSTEM_STATE.+slice.+state.+changed )|(ment ac)|(multiple cpu faults)|(system.+state.+changed )|(\[timeout)|(PRM\|1\|D)|(kpr)|(kdp)|(train st.+moving)|(\|lc)|(penalty))"</v>
      </c>
      <c r="AG141" s="206" t="str">
        <f t="shared" si="122"/>
        <v>EC</v>
      </c>
      <c r="AH141" s="78" t="str">
        <f t="shared" si="48"/>
        <v>"%USERPROFILE%\Documents\GitHub\eaglep3\Utilities\RefineRTDCRunTimes.py" --tripid 228-05 --locoid 4009 --swversion DE.1.0.9.0 --startMP 204:233015 --initTime 2017-09-05T21:22:34 --startdatetime 2017-09-05T21:27:17 --delay 67 --endMP 204:134 --enddatetime 2017-09-05T22:03:26 --enforcementcount 0 &gt;&gt;C:\Users\stu\Documents\GitHub\eaglep3-reporting\EC\2017-09-05-refined-times.txt</v>
      </c>
      <c r="AI141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{"issue":{"subject":"","project_id":79,"tracker_id":40,"status_id":1,"priority_id":2,"assigned_to_id":338,"start_date":"2017-09-05","description":"","custom_fields":[{"id":1,"name":"Subdivision","value":"EC"},{"id":4,"name":"Milepost","value":"0.0134"},{"id":17,"name":"Train ID","value":"228-05"},{"id":16,"name":"Locomotive ID","value":"4009"},{"id":130,"name":"Impact","value":""},{"id":150,"name":"Time of Event (Mountain Time)","value":"22:03:26"},{"id":151,"name":"Denver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0"/>
        <v>start /low /b %USERPROFILE%\Documents\GitHub\eaglep3\Utilities\DownloadLogsFromS3.py --loco 4009 --day 2017-09-05</v>
      </c>
      <c r="AN141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802</v>
      </c>
      <c r="B142" s="7">
        <v>4066</v>
      </c>
      <c r="C142" s="21" t="s">
        <v>197</v>
      </c>
      <c r="D142" s="21" t="s">
        <v>363</v>
      </c>
      <c r="E142" s="13">
        <v>42983.860069444447</v>
      </c>
      <c r="F142" s="13">
        <v>42983.875208333331</v>
      </c>
      <c r="G142" s="7">
        <v>73</v>
      </c>
      <c r="H142" s="21" t="s">
        <v>492</v>
      </c>
      <c r="I142" s="13">
        <v>42983.900196759256</v>
      </c>
      <c r="J142" s="7">
        <v>0</v>
      </c>
      <c r="K142" s="89" t="str">
        <f t="shared" si="113"/>
        <v>4065/4066</v>
      </c>
      <c r="L142" s="214" t="str">
        <f>VLOOKUP(A142,'Trips&amp;Operators'!$C$1:$G$99911,5,FALSE)</f>
        <v>ELBAUM MIKE</v>
      </c>
      <c r="M142" s="6">
        <f t="shared" si="114"/>
        <v>2.4988425924675539E-2</v>
      </c>
      <c r="N142" s="7">
        <f t="shared" si="115"/>
        <v>35.983333331532776</v>
      </c>
      <c r="O142" s="7"/>
      <c r="P142" s="7"/>
      <c r="Q142" s="22"/>
      <c r="R142" s="167"/>
      <c r="S142" s="210">
        <f t="shared" si="116"/>
        <v>1</v>
      </c>
      <c r="T142" s="192" t="str">
        <f t="shared" si="117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124"/>
        <v>https://d0f6bd738d7f1b3e5a7ca70fe4ff75f0.us-east-1.aws.found.io/app/kibana#/discover/Steve-Slow-Train-Analysis-(2080s-and-2083s)?_g=(refreshInterval:(display:Off,pause:!f,section:0,value:0),time:(from:'2017-09-05T19:38:30-0600',mode:absolute,to:'2017-09-05T22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2" s="194" t="str">
        <f>IF(AA142&lt;VLOOKUP(AG142,Variables!$AC$3:$AD$8,2,FALSE),"Y","N")</f>
        <v>N</v>
      </c>
      <c r="X142" s="194">
        <f t="shared" si="123"/>
        <v>1</v>
      </c>
      <c r="Y142" s="194">
        <f t="shared" si="118"/>
        <v>4.58E-2</v>
      </c>
      <c r="Z142" s="194">
        <f t="shared" si="119"/>
        <v>23.328600000000002</v>
      </c>
      <c r="AA142" s="194">
        <f t="shared" si="120"/>
        <v>23.282800000000002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121"/>
        <v>229</v>
      </c>
      <c r="AE142" s="77" t="str">
        <f t="shared" si="12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42" s="74" t="str">
        <f t="shared" si="126"/>
        <v>"C:\Program Files (x86)\AstroGrep\AstroGrep.exe" /e /r /s /spath="%USERPROFILE%\AppData\Local\Temp\OnboardLogs" /stypes="app*4066*20170906*" /stext=" 03:.+((SYSTEM_STATE.+slice.+state.+changed )|(ment ac)|(multiple cpu faults)|(system.+state.+changed )|(\[timeout)|(PRM\|1\|D)|(kpr)|(kdp)|(train st.+moving)|(\|lc)|(penalty))"</v>
      </c>
      <c r="AG142" s="206" t="str">
        <f t="shared" si="122"/>
        <v>EC</v>
      </c>
      <c r="AH142" s="78" t="str">
        <f t="shared" si="48"/>
        <v>"%USERPROFILE%\Documents\GitHub\eaglep3\Utilities\RefineRTDCRunTimes.py" --tripid 229-05 --locoid 4066 --swversion DE.1.0.9.0 --startMP 204:458 --initTime 2017-09-05T20:38:30 --startdatetime 2017-09-05T21:00:18 --delay 73 --endMP 204:233286 --enddatetime 2017-09-05T21:36:17 --enforcementcount 0 &gt;&gt;C:\Users\stu\Documents\GitHub\eaglep3-reporting\EC\2017-09-05-refined-times.txt</v>
      </c>
      <c r="AI142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{"issue":{"subject":"","project_id":79,"tracker_id":40,"status_id":1,"priority_id":2,"assigned_to_id":338,"start_date":"2017-09-05","description":"","custom_fields":[{"id":1,"name":"Subdivision","value":"EC"},{"id":4,"name":"Milepost","value":"23.3286"},{"id":17,"name":"Train ID","value":"229-05"},{"id":16,"name":"Locomotive ID","value":"4066"},{"id":130,"name":"Impact","value":""},{"id":150,"name":"Time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0"/>
        <v>start /low /b %USERPROFILE%\Documents\GitHub\eaglep3\Utilities\DownloadLogsFromS3.py --loco 4066 --day 2017-09-05</v>
      </c>
      <c r="AN142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809</v>
      </c>
      <c r="B143" s="7">
        <v>4065</v>
      </c>
      <c r="C143" s="21" t="s">
        <v>197</v>
      </c>
      <c r="D143" s="21" t="s">
        <v>854</v>
      </c>
      <c r="E143" s="13">
        <v>42983.902997685182</v>
      </c>
      <c r="F143" s="13">
        <v>42983.914907407408</v>
      </c>
      <c r="G143" s="7">
        <v>102</v>
      </c>
      <c r="H143" s="21" t="s">
        <v>345</v>
      </c>
      <c r="I143" s="13">
        <v>42983.940706018519</v>
      </c>
      <c r="J143" s="7">
        <v>0</v>
      </c>
      <c r="K143" s="89" t="str">
        <f t="shared" si="113"/>
        <v>4065/4066</v>
      </c>
      <c r="L143" s="214" t="str">
        <f>VLOOKUP(A143,'Trips&amp;Operators'!$C$1:$G$99911,5,FALSE)</f>
        <v>ELBAUM MIKE</v>
      </c>
      <c r="M143" s="6">
        <f t="shared" si="114"/>
        <v>2.5798611110076308E-2</v>
      </c>
      <c r="N143" s="7">
        <f t="shared" si="115"/>
        <v>37.149999998509884</v>
      </c>
      <c r="O143" s="7"/>
      <c r="P143" s="7"/>
      <c r="Q143" s="22"/>
      <c r="R143" s="167"/>
      <c r="S143" s="210">
        <f t="shared" si="116"/>
        <v>1</v>
      </c>
      <c r="T143" s="192" t="str">
        <f t="shared" si="117"/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124"/>
        <v>https://d0f6bd738d7f1b3e5a7ca70fe4ff75f0.us-east-1.aws.found.io/app/kibana#/discover/Steve-Slow-Train-Analysis-(2080s-and-2083s)?_g=(refreshInterval:(display:Off,pause:!f,section:0,value:0),time:(from:'2017-09-05T20:40:19-0600',mode:absolute,to:'2017-09-05T23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3" s="194" t="str">
        <f>IF(AA143&lt;VLOOKUP(AG143,Variables!$AC$3:$AD$8,2,FALSE),"Y","N")</f>
        <v>N</v>
      </c>
      <c r="X143" s="194">
        <f t="shared" si="123"/>
        <v>1</v>
      </c>
      <c r="Y143" s="194">
        <f t="shared" si="118"/>
        <v>23.2973</v>
      </c>
      <c r="Z143" s="194">
        <f t="shared" si="119"/>
        <v>1.47E-2</v>
      </c>
      <c r="AA143" s="194">
        <f t="shared" si="120"/>
        <v>23.282599999999999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121"/>
        <v>230</v>
      </c>
      <c r="AE143" s="77" t="str">
        <f t="shared" si="12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43" s="74" t="str">
        <f t="shared" si="126"/>
        <v>"C:\Program Files (x86)\AstroGrep\AstroGrep.exe" /e /r /s /spath="%USERPROFILE%\AppData\Local\Temp\OnboardLogs" /stypes="app*4065*20170906*" /stext=" 04:.+((SYSTEM_STATE.+slice.+state.+changed )|(ment ac)|(multiple cpu faults)|(system.+state.+changed )|(\[timeout)|(PRM\|1\|D)|(kpr)|(kdp)|(train st.+moving)|(\|lc)|(penalty))"</v>
      </c>
      <c r="AG143" s="206" t="str">
        <f t="shared" si="122"/>
        <v>EC</v>
      </c>
      <c r="AH143" s="78" t="str">
        <f t="shared" si="48"/>
        <v>"%USERPROFILE%\Documents\GitHub\eaglep3\Utilities\RefineRTDCRunTimes.py" --tripid 230-05 --locoid 4065 --swversion DE.1.0.9.0 --startMP 204:232973 --initTime 2017-09-05T21:40:19 --startdatetime 2017-09-05T21:57:28 --delay 102 --endMP 204:147 --enddatetime 2017-09-05T22:34:37 --enforcementcount 0 &gt;&gt;C:\Users\stu\Documents\GitHub\eaglep3-reporting\EC\2017-09-05-refined-times.txt</v>
      </c>
      <c r="AI143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ID","value":"230-05"},{"id":16,"name":"Locomotive ID","value":"4065"},{"id":130,"name":"Impact","value":""},{"id":150,"name":"Time of Event (Mountain Time)","value":"22:34:37"},{"id":151,"name":"Denver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0"/>
        <v>start /low /b %USERPROFILE%\Documents\GitHub\eaglep3\Utilities\DownloadLogsFromS3.py --loco 4065 --day 2017-09-05</v>
      </c>
      <c r="AN143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805</v>
      </c>
      <c r="B144" s="7">
        <v>4040</v>
      </c>
      <c r="C144" s="21" t="s">
        <v>197</v>
      </c>
      <c r="D144" s="21" t="s">
        <v>337</v>
      </c>
      <c r="E144" s="13">
        <v>42983.887256944443</v>
      </c>
      <c r="F144" s="13">
        <v>42983.896018518521</v>
      </c>
      <c r="G144" s="7">
        <v>89</v>
      </c>
      <c r="H144" s="21" t="s">
        <v>852</v>
      </c>
      <c r="I144" s="13">
        <v>42983.920972222222</v>
      </c>
      <c r="J144" s="7">
        <v>0</v>
      </c>
      <c r="K144" s="89" t="str">
        <f t="shared" si="113"/>
        <v>4039/4040</v>
      </c>
      <c r="L144" s="214" t="str">
        <f>VLOOKUP(A144,'Trips&amp;Operators'!$C$1:$G$99911,5,FALSE)</f>
        <v>LOZA FIDEL</v>
      </c>
      <c r="M144" s="6">
        <f t="shared" si="114"/>
        <v>2.495370370161254E-2</v>
      </c>
      <c r="N144" s="7">
        <f t="shared" si="115"/>
        <v>35.933333330322057</v>
      </c>
      <c r="O144" s="7"/>
      <c r="P144" s="7"/>
      <c r="Q144" s="22"/>
      <c r="R144" s="167"/>
      <c r="S144" s="210">
        <f t="shared" si="116"/>
        <v>1</v>
      </c>
      <c r="T144" s="192" t="str">
        <f t="shared" si="117"/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124"/>
        <v>https://d0f6bd738d7f1b3e5a7ca70fe4ff75f0.us-east-1.aws.found.io/app/kibana#/discover/Steve-Slow-Train-Analysis-(2080s-and-2083s)?_g=(refreshInterval:(display:Off,pause:!f,section:0,value:0),time:(from:'2017-09-05T20:17:39-0600',mode:absolute,to:'2017-09-05T23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4" t="str">
        <f>IF(AA144&lt;VLOOKUP(AG144,Variables!$AC$3:$AD$8,2,FALSE),"Y","N")</f>
        <v>N</v>
      </c>
      <c r="X144" s="194">
        <f t="shared" si="123"/>
        <v>1</v>
      </c>
      <c r="Y144" s="194">
        <f t="shared" si="118"/>
        <v>4.4600000000000001E-2</v>
      </c>
      <c r="Z144" s="194">
        <f t="shared" si="119"/>
        <v>23.330300000000001</v>
      </c>
      <c r="AA144" s="194">
        <f t="shared" si="120"/>
        <v>23.285700000000002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121"/>
        <v>231</v>
      </c>
      <c r="AE144" s="77" t="str">
        <f t="shared" si="12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44" s="74" t="str">
        <f t="shared" si="126"/>
        <v>"C:\Program Files (x86)\AstroGrep\AstroGrep.exe" /e /r /s /spath="%USERPROFILE%\AppData\Local\Temp\OnboardLogs" /stypes="app*4040*20170906*" /stext=" 04:.+((SYSTEM_STATE.+slice.+state.+changed )|(ment ac)|(multiple cpu faults)|(system.+state.+changed )|(\[timeout)|(PRM\|1\|D)|(kpr)|(kdp)|(train st.+moving)|(\|lc)|(penalty))"</v>
      </c>
      <c r="AG144" s="206" t="str">
        <f t="shared" si="122"/>
        <v>EC</v>
      </c>
      <c r="AH144" s="78" t="str">
        <f t="shared" si="48"/>
        <v>"%USERPROFILE%\Documents\GitHub\eaglep3\Utilities\RefineRTDCRunTimes.py" --tripid 231-05 --locoid 4040 --swversion DE.1.0.9.0 --startMP 204:446 --initTime 2017-09-05T21:17:39 --startdatetime 2017-09-05T21:30:16 --delay 89 --endMP 204:233303 --enddatetime 2017-09-05T22:06:12 --enforcementcount 0 &gt;&gt;C:\Users\stu\Documents\GitHub\eaglep3-reporting\EC\2017-09-05-refined-times.txt</v>
      </c>
      <c r="AI144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{"issue":{"subject":"","project_id":79,"tracker_id":40,"status_id":1,"priority_id":2,"assigned_to_id":338,"start_date":"2017-09-05","description":"","custom_fields":[{"id":1,"name":"Subdivision","value":"EC"},{"id":4,"name":"Milepost","value":"23.3303"},{"id":17,"name":"Train ID","value":"231-05"},{"id":16,"name":"Locomotive ID","value":"4040"},{"id":130,"name":"Impact","value":""},{"id":150,"name":"Time of Event (Mountain Time)","value":"22:06:12"},{"id":151,"name":"Denver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0"/>
        <v>start /low /b %USERPROFILE%\Documents\GitHub\eaglep3\Utilities\DownloadLogsFromS3.py --loco 4040 --day 2017-09-05</v>
      </c>
      <c r="AN144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811</v>
      </c>
      <c r="B145" s="7">
        <v>4039</v>
      </c>
      <c r="C145" s="21" t="s">
        <v>197</v>
      </c>
      <c r="D145" s="21" t="s">
        <v>390</v>
      </c>
      <c r="E145" s="13">
        <v>42983.933298611111</v>
      </c>
      <c r="F145" s="13">
        <v>42983.935613425929</v>
      </c>
      <c r="G145" s="7">
        <v>73</v>
      </c>
      <c r="H145" s="21" t="s">
        <v>344</v>
      </c>
      <c r="I145" s="13">
        <v>42983.961689814816</v>
      </c>
      <c r="J145" s="7">
        <v>0</v>
      </c>
      <c r="K145" s="89" t="str">
        <f t="shared" si="113"/>
        <v>4039/4040</v>
      </c>
      <c r="L145" s="214" t="str">
        <f>VLOOKUP(A145,'Trips&amp;Operators'!$C$1:$G$99911,5,FALSE)</f>
        <v>LOZA FIDEL</v>
      </c>
      <c r="M145" s="6">
        <f t="shared" si="114"/>
        <v>2.6076388887304347E-2</v>
      </c>
      <c r="N145" s="7">
        <f t="shared" si="115"/>
        <v>37.54999999771826</v>
      </c>
      <c r="O145" s="7"/>
      <c r="P145" s="7"/>
      <c r="Q145" s="22"/>
      <c r="R145" s="167"/>
      <c r="S145" s="210">
        <f t="shared" si="116"/>
        <v>1</v>
      </c>
      <c r="T145" s="192" t="str">
        <f t="shared" si="117"/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124"/>
        <v>https://d0f6bd738d7f1b3e5a7ca70fe4ff75f0.us-east-1.aws.found.io/app/kibana#/discover/Steve-Slow-Train-Analysis-(2080s-and-2083s)?_g=(refreshInterval:(display:Off,pause:!f,section:0,value:0),time:(from:'2017-09-05T21:23:57-0600',mode:absolute,to:'2017-09-06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4" t="str">
        <f>IF(AA145&lt;VLOOKUP(AG145,Variables!$AC$3:$AD$8,2,FALSE),"Y","N")</f>
        <v>N</v>
      </c>
      <c r="X145" s="194">
        <f t="shared" si="123"/>
        <v>1</v>
      </c>
      <c r="Y145" s="194">
        <f t="shared" si="118"/>
        <v>23.297999999999998</v>
      </c>
      <c r="Z145" s="194">
        <f t="shared" si="119"/>
        <v>1.41E-2</v>
      </c>
      <c r="AA145" s="194">
        <f t="shared" si="120"/>
        <v>23.283899999999999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121"/>
        <v>232</v>
      </c>
      <c r="AE145" s="77" t="str">
        <f t="shared" si="125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145" s="74" t="str">
        <f t="shared" si="126"/>
        <v>"C:\Program Files (x86)\AstroGrep\AstroGrep.exe" /e /r /s /spath="%USERPROFILE%\AppData\Local\Temp\OnboardLogs" /stypes="app*4039*20170906*" /stext=" 05:.+((SYSTEM_STATE.+slice.+state.+changed )|(ment ac)|(multiple cpu faults)|(system.+state.+changed )|(\[timeout)|(PRM\|1\|D)|(kpr)|(kdp)|(train st.+moving)|(\|lc)|(penalty))"</v>
      </c>
      <c r="AG145" s="206" t="str">
        <f t="shared" si="122"/>
        <v>EC</v>
      </c>
      <c r="AH145" s="78" t="str">
        <f t="shared" si="48"/>
        <v>"%USERPROFILE%\Documents\GitHub\eaglep3\Utilities\RefineRTDCRunTimes.py" --tripid 232-05 --locoid 4039 --swversion DE.1.0.9.0 --startMP 204:232980 --initTime 2017-09-05T22:23:57 --startdatetime 2017-09-05T22:27:17 --delay 73 --endMP 204:141 --enddatetime 2017-09-05T23:04:50 --enforcementcount 0 &gt;&gt;C:\Users\stu\Documents\GitHub\eaglep3-reporting\EC\2017-09-05-refined-times.txt</v>
      </c>
      <c r="AI145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{"issue":{"subject":"","project_id":79,"tracker_id":40,"status_id":1,"priority_id":2,"assigned_to_id":338,"start_date":"2017-09-05","description":"","custom_fields":[{"id":1,"name":"Subdivision","value":"EC"},{"id":4,"name":"Milepost","value":"0.0141"},{"id":17,"name":"Train ID","value":"232-05"},{"id":16,"name":"Locomotive ID","value":"4039"},{"id":130,"name":"Impact","value":""},{"id":150,"name":"Time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0"/>
        <v>start /low /b %USERPROFILE%\Documents\GitHub\eaglep3\Utilities\DownloadLogsFromS3.py --loco 4039 --day 2017-09-05</v>
      </c>
      <c r="AN145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808</v>
      </c>
      <c r="B146" s="7">
        <v>4022</v>
      </c>
      <c r="C146" s="21" t="s">
        <v>197</v>
      </c>
      <c r="D146" s="21" t="s">
        <v>425</v>
      </c>
      <c r="E146" s="13">
        <v>42983.903032407405</v>
      </c>
      <c r="F146" s="13">
        <v>42983.916921296295</v>
      </c>
      <c r="G146" s="7">
        <v>54</v>
      </c>
      <c r="H146" s="21" t="s">
        <v>862</v>
      </c>
      <c r="I146" s="13">
        <v>42983.941678240742</v>
      </c>
      <c r="J146" s="7">
        <v>0</v>
      </c>
      <c r="K146" s="89" t="str">
        <f t="shared" ref="K146:K147" si="127">IF(ISEVEN(B146),(B146-1)&amp;"/"&amp;B146,B146&amp;"/"&amp;(B146+1))</f>
        <v>4021/4022</v>
      </c>
      <c r="L146" s="214" t="str">
        <f>VLOOKUP(A146,'Trips&amp;Operators'!$C$1:$G$99911,5,FALSE)</f>
        <v>PERKINS DARREN</v>
      </c>
      <c r="M146" s="6">
        <f t="shared" ref="M146:M147" si="128">I146-F146</f>
        <v>2.4756944447290152E-2</v>
      </c>
      <c r="N146" s="7">
        <f t="shared" ref="N146:N147" si="129">24*60*SUM($M146:$M146)</f>
        <v>35.650000004097819</v>
      </c>
      <c r="O146" s="7"/>
      <c r="P146" s="7"/>
      <c r="Q146" s="22"/>
      <c r="R146" s="167"/>
      <c r="S146" s="210">
        <f t="shared" ref="S146:S147" si="130">1/IF(AG146="EC",12,1)*SUM(U146:U146)</f>
        <v>1</v>
      </c>
      <c r="T146" s="192" t="str">
        <f t="shared" ref="T146:T147" si="131">IF(ISEVEN(LEFT(AD146,4)),"Southbound","NorthBound")</f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124"/>
        <v>https://d0f6bd738d7f1b3e5a7ca70fe4ff75f0.us-east-1.aws.found.io/app/kibana#/discover/Steve-Slow-Train-Analysis-(2080s-and-2083s)?_g=(refreshInterval:(display:Off,pause:!f,section:0,value:0),time:(from:'2017-09-05T20:40:22-0600',mode:absolute,to:'2017-09-05T23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6" s="194" t="str">
        <f>IF(AA146&lt;VLOOKUP(AG146,Variables!$AC$3:$AD$8,2,FALSE),"Y","N")</f>
        <v>N</v>
      </c>
      <c r="X146" s="194">
        <f t="shared" ref="X146:X149" si="132">VALUE(LEFT(AD146,4))-VALUE(LEFT(AD145,4))</f>
        <v>1</v>
      </c>
      <c r="Y146" s="194">
        <f t="shared" ref="Y146:Y147" si="133">RIGHT(D146,LEN(D146)-4)/10000</f>
        <v>4.3700000000000003E-2</v>
      </c>
      <c r="Z146" s="194">
        <f t="shared" ref="Z146:Z147" si="134">RIGHT(H146,LEN(H146)-4)/10000</f>
        <v>23.33</v>
      </c>
      <c r="AA146" s="194">
        <f t="shared" ref="AA146:AA147" si="135">ABS(Z146-Y146)</f>
        <v>23.286299999999997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ref="AD146:AD147" si="136">VALUE(LEFT(A146,LEN(A146)-3))</f>
        <v>233</v>
      </c>
      <c r="AE146" s="77" t="str">
        <f t="shared" si="125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146" s="74" t="str">
        <f t="shared" si="126"/>
        <v>"C:\Program Files (x86)\AstroGrep\AstroGrep.exe" /e /r /s /spath="%USERPROFILE%\AppData\Local\Temp\OnboardLogs" /stypes="app*4022*20170906*" /stext=" 04:.+((SYSTEM_STATE.+slice.+state.+changed )|(ment ac)|(multiple cpu faults)|(system.+state.+changed )|(\[timeout)|(PRM\|1\|D)|(kpr)|(kdp)|(train st.+moving)|(\|lc)|(penalty))"</v>
      </c>
      <c r="AG146" s="206" t="str">
        <f t="shared" ref="AG146:AG147" si="137">DetSubdiv(A146)</f>
        <v>EC</v>
      </c>
      <c r="AH146" s="78" t="str">
        <f t="shared" ref="AH146:AH147" si="138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233-05 --locoid 4022 --swversion DE.1.0.9.0 --startMP 204:437 --initTime 2017-09-05T21:40:22 --startdatetime 2017-09-05T22:00:22 --delay 54 --endMP 204:233300 --enddatetime 2017-09-05T22:36:01 --enforcementcount 0 &gt;&gt;C:\Users\stu\Documents\GitHub\eaglep3-reporting\EC\2017-09-05-refined-times.txt</v>
      </c>
      <c r="AI146" s="96" t="str">
        <f t="shared" ref="AI146:AI147" si="139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{"issue":{"subject":"","project_id":79,"tracker_id":40,"status_id":1,"priority_id":2,"assigned_to_id":338,"start_date":"2017-09-05","description":"","custom_fields":[{"id":1,"name":"Subdivision","value":"EC"},{"id":4,"name":"Milepost","value":"23.33"},{"id":17,"name":"Train ID","value":"233-05"},{"id":16,"name":"Locomotive ID","value":"4022"},{"id":130,"name":"Impact","value":""},{"id":150,"name":"Time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:AM147" si="140">"start /low /b "&amp;dls3logs&amp;" --loco "&amp;B146&amp;" --day "&amp;TEXT(F146,"YYYY-MM-DD")</f>
        <v>start /low /b %USERPROFILE%\Documents\GitHub\eaglep3\Utilities\DownloadLogsFromS3.py --loco 4022 --day 2017-09-05</v>
      </c>
      <c r="AN146" s="151" t="str">
        <f t="shared" ref="AN146:AN147" si="141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813</v>
      </c>
      <c r="B147" s="7">
        <v>4021</v>
      </c>
      <c r="C147" s="21" t="s">
        <v>197</v>
      </c>
      <c r="D147" s="21" t="s">
        <v>834</v>
      </c>
      <c r="E147" s="13">
        <v>42983.943703703706</v>
      </c>
      <c r="F147" s="13">
        <v>42983.956423611111</v>
      </c>
      <c r="G147" s="7">
        <v>59</v>
      </c>
      <c r="H147" s="21" t="s">
        <v>870</v>
      </c>
      <c r="I147" s="13">
        <v>42983.983749999999</v>
      </c>
      <c r="J147" s="7">
        <v>0</v>
      </c>
      <c r="K147" s="89" t="str">
        <f t="shared" si="127"/>
        <v>4021/4022</v>
      </c>
      <c r="L147" s="214" t="str">
        <f>VLOOKUP(A147,'Trips&amp;Operators'!$C$1:$G$99911,5,FALSE)</f>
        <v>PERKINS DARREN</v>
      </c>
      <c r="M147" s="6">
        <f t="shared" si="128"/>
        <v>2.73263888884685E-2</v>
      </c>
      <c r="N147" s="7">
        <f t="shared" si="129"/>
        <v>39.34999999939464</v>
      </c>
      <c r="O147" s="7"/>
      <c r="P147" s="7"/>
      <c r="Q147" s="22"/>
      <c r="R147" s="167"/>
      <c r="S147" s="210">
        <f t="shared" si="130"/>
        <v>1</v>
      </c>
      <c r="T147" s="192" t="str">
        <f t="shared" si="131"/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124"/>
        <v>https://d0f6bd738d7f1b3e5a7ca70fe4ff75f0.us-east-1.aws.found.io/app/kibana#/discover/Steve-Slow-Train-Analysis-(2080s-and-2083s)?_g=(refreshInterval:(display:Off,pause:!f,section:0,value:0),time:(from:'2017-09-05T21:38:56-0600',mode:absolute,to:'2017-09-06T00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7" s="194" t="str">
        <f>IF(AA147&lt;VLOOKUP(AG147,Variables!$AC$3:$AD$8,2,FALSE),"Y","N")</f>
        <v>N</v>
      </c>
      <c r="X147" s="194">
        <f t="shared" si="132"/>
        <v>1</v>
      </c>
      <c r="Y147" s="194">
        <f t="shared" si="133"/>
        <v>23.298500000000001</v>
      </c>
      <c r="Z147" s="194">
        <f t="shared" si="134"/>
        <v>1.2999999999999999E-2</v>
      </c>
      <c r="AA147" s="194">
        <f t="shared" si="135"/>
        <v>23.285499999999999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136"/>
        <v>234</v>
      </c>
      <c r="AE147" s="77" t="str">
        <f t="shared" si="125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147" s="74" t="str">
        <f t="shared" si="126"/>
        <v>"C:\Program Files (x86)\AstroGrep\AstroGrep.exe" /e /r /s /spath="%USERPROFILE%\AppData\Local\Temp\OnboardLogs" /stypes="app*4021*20170906*" /stext=" 05:.+((SYSTEM_STATE.+slice.+state.+changed )|(ment ac)|(multiple cpu faults)|(system.+state.+changed )|(\[timeout)|(PRM\|1\|D)|(kpr)|(kdp)|(train st.+moving)|(\|lc)|(penalty))"</v>
      </c>
      <c r="AG147" s="206" t="str">
        <f t="shared" si="137"/>
        <v>EC</v>
      </c>
      <c r="AH147" s="78" t="str">
        <f t="shared" si="138"/>
        <v>"%USERPROFILE%\Documents\GitHub\eaglep3\Utilities\RefineRTDCRunTimes.py" --tripid 234-05 --locoid 4021 --swversion DE.1.0.9.0 --startMP 204:232985 --initTime 2017-09-05T22:38:56 --startdatetime 2017-09-05T22:57:15 --delay 59 --endMP 204:130 --enddatetime 2017-09-05T23:36:36 --enforcementcount 0 &gt;&gt;C:\Users\stu\Documents\GitHub\eaglep3-reporting\EC\2017-09-05-refined-times.txt</v>
      </c>
      <c r="AI147" s="96" t="str">
        <f t="shared" si="139"/>
        <v>echo {"issue":{"subject":"","project_id":79,"tracker_id":40,"status_id":1,"priority_id":2,"assigned_to_id":338,"start_date":"2017-09-05","description":"","custom_fields":[{"id":1,"name":"Subdivision","value":"EC"},{"id":4,"name":"Milepost","value":"0.013"},{"id":17,"name":"Train ID","value":"234-05"},{"id":16,"name":"Locomotive ID","value":"4021"},{"id":130,"name":"Impact","value":""},{"id":150,"name":"Time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0"/>
        <v>start /low /b %USERPROFILE%\Documents\GitHub\eaglep3\Utilities\DownloadLogsFromS3.py --loco 4021 --day 2017-09-05</v>
      </c>
      <c r="AN147" s="151" t="str">
        <f t="shared" si="14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810</v>
      </c>
      <c r="B148" s="7">
        <v>4010</v>
      </c>
      <c r="C148" s="21" t="s">
        <v>197</v>
      </c>
      <c r="D148" s="21" t="s">
        <v>363</v>
      </c>
      <c r="E148" s="13">
        <v>42983.932627314818</v>
      </c>
      <c r="F148" s="13">
        <v>42983.9377662037</v>
      </c>
      <c r="G148" s="7">
        <v>62</v>
      </c>
      <c r="H148" s="21" t="s">
        <v>398</v>
      </c>
      <c r="I148" s="13">
        <v>42983.962199074071</v>
      </c>
      <c r="J148" s="7">
        <v>0</v>
      </c>
      <c r="K148" s="89" t="str">
        <f t="shared" ref="K148:K179" si="142">IF(ISEVEN(B148),(B148-1)&amp;"/"&amp;B148,B148&amp;"/"&amp;(B148+1))</f>
        <v>4009/4010</v>
      </c>
      <c r="L148" s="214" t="str">
        <f>VLOOKUP(A148,'Trips&amp;Operators'!$C$1:$G$99911,5,FALSE)</f>
        <v>RESPASS AARON</v>
      </c>
      <c r="M148" s="6">
        <f t="shared" ref="M148:M179" si="143">I148-F148</f>
        <v>2.4432870370219462E-2</v>
      </c>
      <c r="N148" s="7">
        <f t="shared" ref="N148:N179" si="144">24*60*SUM($M148:$M148)</f>
        <v>35.183333333116025</v>
      </c>
      <c r="O148" s="7"/>
      <c r="P148" s="7"/>
      <c r="Q148" s="22"/>
      <c r="R148" s="167"/>
      <c r="S148" s="210">
        <f t="shared" ref="S148:S179" si="145">1/IF(AG148="EC",12,1)*SUM(U148:U148)</f>
        <v>1</v>
      </c>
      <c r="T148" s="192" t="str">
        <f t="shared" ref="T148:T179" si="146">IF(ISEVEN(LEFT(AD148,4)),"Southbound","NorthBound")</f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124"/>
        <v>https://d0f6bd738d7f1b3e5a7ca70fe4ff75f0.us-east-1.aws.found.io/app/kibana#/discover/Steve-Slow-Train-Analysis-(2080s-and-2083s)?_g=(refreshInterval:(display:Off,pause:!f,section:0,value:0),time:(from:'2017-09-05T21:22:59-0600',mode:absolute,to:'2017-09-06T00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8" s="194" t="str">
        <f>IF(AA148&lt;VLOOKUP(AG148,Variables!$AC$3:$AD$8,2,FALSE),"Y","N")</f>
        <v>N</v>
      </c>
      <c r="X148" s="194">
        <f t="shared" si="132"/>
        <v>1</v>
      </c>
      <c r="Y148" s="194">
        <f t="shared" ref="Y148:Y179" si="147">RIGHT(D148,LEN(D148)-4)/10000</f>
        <v>4.58E-2</v>
      </c>
      <c r="Z148" s="194">
        <f t="shared" ref="Z148:Z179" si="148">RIGHT(H148,LEN(H148)-4)/10000</f>
        <v>23.329699999999999</v>
      </c>
      <c r="AA148" s="194">
        <f t="shared" ref="AA148:AA179" si="149">ABS(Z148-Y148)</f>
        <v>23.283899999999999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ref="AD148:AD179" si="150">VALUE(LEFT(A148,LEN(A148)-3))</f>
        <v>235</v>
      </c>
      <c r="AE148" s="77" t="str">
        <f t="shared" si="125"/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AF148" s="74" t="str">
        <f t="shared" si="126"/>
        <v>"C:\Program Files (x86)\AstroGrep\AstroGrep.exe" /e /r /s /spath="%USERPROFILE%\AppData\Local\Temp\OnboardLogs" /stypes="app*4010*20170906*" /stext=" 05:.+((SYSTEM_STATE.+slice.+state.+changed )|(ment ac)|(multiple cpu faults)|(system.+state.+changed )|(\[timeout)|(PRM\|1\|D)|(kpr)|(kdp)|(train st.+moving)|(\|lc)|(penalty))"</v>
      </c>
      <c r="AG148" s="206" t="str">
        <f t="shared" ref="AG148:AG179" si="151">DetSubdiv(A148)</f>
        <v>EC</v>
      </c>
      <c r="AH148" s="78" t="str">
        <f t="shared" si="48"/>
        <v>"%USERPROFILE%\Documents\GitHub\eaglep3\Utilities\RefineRTDCRunTimes.py" --tripid 235-05 --locoid 4010 --swversion DE.1.0.9.0 --startMP 204:458 --initTime 2017-09-05T22:22:59 --startdatetime 2017-09-05T22:30:23 --delay 62 --endMP 204:233297 --enddatetime 2017-09-05T23:05:34 --enforcementcount 0 &gt;&gt;C:\Users\stu\Documents\GitHub\eaglep3-reporting\EC\2017-09-05-refined-times.txt</v>
      </c>
      <c r="AI148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{"issue":{"subject":"","project_id":79,"tracker_id":40,"status_id":1,"priority_id":2,"assigned_to_id":338,"start_date":"2017-09-05","description":"","custom_fields":[{"id":1,"name":"Subdivision","value":"EC"},{"id":4,"name":"Milepost","value":"23.3297"},{"id":17,"name":"Train ID","value":"235-05"},{"id":16,"name":"Locomotive ID","value":"4010"},{"id":130,"name":"Impact","value":""},{"id":150,"name":"Time of Event (Mountain Time)","value":"23:05:34"},{"id":151,"name":"Denver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0"/>
        <v>start /low /b %USERPROFILE%\Documents\GitHub\eaglep3\Utilities\DownloadLogsFromS3.py --loco 4010 --day 2017-09-05</v>
      </c>
      <c r="AN148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816</v>
      </c>
      <c r="B149" s="7">
        <v>4009</v>
      </c>
      <c r="C149" s="21" t="s">
        <v>197</v>
      </c>
      <c r="D149" s="21" t="s">
        <v>566</v>
      </c>
      <c r="E149" s="13">
        <v>42983.974062499998</v>
      </c>
      <c r="F149" s="13">
        <v>42983.97724537037</v>
      </c>
      <c r="G149" s="7">
        <v>67</v>
      </c>
      <c r="H149" s="21" t="s">
        <v>380</v>
      </c>
      <c r="I149" s="13">
        <v>42984.002881944441</v>
      </c>
      <c r="J149" s="7">
        <v>0</v>
      </c>
      <c r="K149" s="89" t="str">
        <f t="shared" si="142"/>
        <v>4009/4010</v>
      </c>
      <c r="L149" s="214" t="str">
        <f>VLOOKUP(A149,'Trips&amp;Operators'!$C$1:$G$99911,5,FALSE)</f>
        <v>RESPASS AARON</v>
      </c>
      <c r="M149" s="6">
        <f t="shared" si="143"/>
        <v>2.5636574071540963E-2</v>
      </c>
      <c r="N149" s="7">
        <f t="shared" si="144"/>
        <v>36.916666663018987</v>
      </c>
      <c r="O149" s="7"/>
      <c r="P149" s="7"/>
      <c r="Q149" s="22"/>
      <c r="R149" s="167"/>
      <c r="S149" s="210">
        <f t="shared" si="145"/>
        <v>1</v>
      </c>
      <c r="T149" s="192" t="str">
        <f t="shared" si="146"/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124"/>
        <v>https://d0f6bd738d7f1b3e5a7ca70fe4ff75f0.us-east-1.aws.found.io/app/kibana#/discover/Steve-Slow-Train-Analysis-(2080s-and-2083s)?_g=(refreshInterval:(display:Off,pause:!f,section:0,value:0),time:(from:'2017-09-05T22:22:39-0600',mode:absolute,to:'2017-09-06T01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9" s="194" t="str">
        <f>IF(AA149&lt;VLOOKUP(AG149,Variables!$AC$3:$AD$8,2,FALSE),"Y","N")</f>
        <v>N</v>
      </c>
      <c r="X149" s="194">
        <f t="shared" si="132"/>
        <v>1</v>
      </c>
      <c r="Y149" s="194">
        <f t="shared" si="147"/>
        <v>23.297599999999999</v>
      </c>
      <c r="Z149" s="194">
        <f t="shared" si="148"/>
        <v>1.5599999999999999E-2</v>
      </c>
      <c r="AA149" s="194">
        <f t="shared" si="149"/>
        <v>23.282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150"/>
        <v>236</v>
      </c>
      <c r="AE149" s="77" t="str">
        <f t="shared" si="125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149" s="74" t="str">
        <f t="shared" si="126"/>
        <v>"C:\Program Files (x86)\AstroGrep\AstroGrep.exe" /e /r /s /spath="%USERPROFILE%\AppData\Local\Temp\OnboardLogs" /stypes="app*4009*20170906*" /stext=" 06:.+((SYSTEM_STATE.+slice.+state.+changed )|(ment ac)|(multiple cpu faults)|(system.+state.+changed )|(\[timeout)|(PRM\|1\|D)|(kpr)|(kdp)|(train st.+moving)|(\|lc)|(penalty))"</v>
      </c>
      <c r="AG149" s="206" t="str">
        <f t="shared" si="151"/>
        <v>EC</v>
      </c>
      <c r="AH149" s="78" t="str">
        <f t="shared" si="48"/>
        <v>"%USERPROFILE%\Documents\GitHub\eaglep3\Utilities\RefineRTDCRunTimes.py" --tripid 236-05 --locoid 4009 --swversion DE.1.0.9.0 --startMP 204:232976 --initTime 2017-09-05T23:22:39 --startdatetime 2017-09-05T23:27:14 --delay 67 --endMP 204:156 --enddatetime 2017-09-06T00:04:09 --enforcementcount 0 &gt;&gt;C:\Users\stu\Documents\GitHub\eaglep3-reporting\EC\2017-09-05-refined-times.txt</v>
      </c>
      <c r="AI149" s="96" t="str">
        <f t="shared" si="49"/>
        <v>echo {"issue":{"subject":"","project_id":79,"tracker_id":40,"status_id":1,"priority_id":2,"assigned_to_id":338,"start_date":"2017-09-06","description":"","custom_fields":[{"id":1,"name":"Subdivision","value":"EC"},{"id":4,"name":"Milepost","value":"0.0156"},{"id":17,"name":"Train ID","value":"236-05"},{"id":16,"name":"Locomotive ID","value":"4009"},{"id":130,"name":"Impact","value":""},{"id":150,"name":"Time of Event (Mountain Time)","value":"00:04:09"},{"id":151,"name":"Denver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0"/>
        <v>start /low /b %USERPROFILE%\Documents\GitHub\eaglep3\Utilities\DownloadLogsFromS3.py --loco 4009 --day 2017-09-05</v>
      </c>
      <c r="AN149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06:04:09"},{"id":29,"name":"Sharepoint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812</v>
      </c>
      <c r="B150" s="7">
        <v>4066</v>
      </c>
      <c r="C150" s="21" t="s">
        <v>197</v>
      </c>
      <c r="D150" s="21" t="s">
        <v>435</v>
      </c>
      <c r="E150" s="13">
        <v>42983.941099537034</v>
      </c>
      <c r="F150" s="13">
        <v>42983.958495370367</v>
      </c>
      <c r="G150" s="7">
        <v>186</v>
      </c>
      <c r="H150" s="21" t="s">
        <v>488</v>
      </c>
      <c r="I150" s="13">
        <v>42983.983391203707</v>
      </c>
      <c r="J150" s="7">
        <v>0</v>
      </c>
      <c r="K150" s="89" t="str">
        <f t="shared" si="142"/>
        <v>4065/4066</v>
      </c>
      <c r="L150" s="214" t="str">
        <f>VLOOKUP(A150,'Trips&amp;Operators'!$C$1:$G$99911,5,FALSE)</f>
        <v>DUNCAN SHEILA</v>
      </c>
      <c r="M150" s="6">
        <f t="shared" si="143"/>
        <v>2.489583333954215E-2</v>
      </c>
      <c r="N150" s="7">
        <f t="shared" si="144"/>
        <v>35.850000008940697</v>
      </c>
      <c r="O150" s="7"/>
      <c r="P150" s="7"/>
      <c r="Q150" s="22"/>
      <c r="R150" s="167"/>
      <c r="S150" s="210">
        <f t="shared" si="145"/>
        <v>1</v>
      </c>
      <c r="T150" s="192" t="str">
        <f t="shared" si="146"/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124"/>
        <v>https://d0f6bd738d7f1b3e5a7ca70fe4ff75f0.us-east-1.aws.found.io/app/kibana#/discover/Steve-Slow-Train-Analysis-(2080s-and-2083s)?_g=(refreshInterval:(display:Off,pause:!f,section:0,value:0),time:(from:'2017-09-05T21:35:11-0600',mode:absolute,to:'2017-09-06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0" s="194" t="str">
        <f>IF(AA150&lt;VLOOKUP(AG150,Variables!$AC$3:$AD$8,2,FALSE),"Y","N")</f>
        <v>N</v>
      </c>
      <c r="X150" s="194">
        <f t="shared" ref="X150:X156" si="152">VALUE(LEFT(AD150,4))-VALUE(LEFT(AD149,4))</f>
        <v>1</v>
      </c>
      <c r="Y150" s="194">
        <f t="shared" si="147"/>
        <v>4.4200000000000003E-2</v>
      </c>
      <c r="Z150" s="194">
        <f t="shared" si="148"/>
        <v>23.333200000000001</v>
      </c>
      <c r="AA150" s="194">
        <f t="shared" si="149"/>
        <v>23.289000000000001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150"/>
        <v>237</v>
      </c>
      <c r="AE150" s="77" t="str">
        <f t="shared" si="125"/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AF150" s="74" t="str">
        <f t="shared" si="126"/>
        <v>"C:\Program Files (x86)\AstroGrep\AstroGrep.exe" /e /r /s /spath="%USERPROFILE%\AppData\Local\Temp\OnboardLogs" /stypes="app*4066*20170906*" /stext=" 05:.+((SYSTEM_STATE.+slice.+state.+changed )|(ment ac)|(multiple cpu faults)|(system.+state.+changed )|(\[timeout)|(PRM\|1\|D)|(kpr)|(kdp)|(train st.+moving)|(\|lc)|(penalty))"</v>
      </c>
      <c r="AG150" s="206" t="str">
        <f t="shared" si="151"/>
        <v>EC</v>
      </c>
      <c r="AH150" s="78" t="str">
        <f t="shared" si="48"/>
        <v>"%USERPROFILE%\Documents\GitHub\eaglep3\Utilities\RefineRTDCRunTimes.py" --tripid 237-05 --locoid 4066 --swversion DE.1.0.9.0 --startMP 204:442 --initTime 2017-09-05T22:35:11 --startdatetime 2017-09-05T23:00:14 --delay 186 --endMP 204:233332 --enddatetime 2017-09-05T23:36:05 --enforcementcount 0 &gt;&gt;C:\Users\stu\Documents\GitHub\eaglep3-reporting\EC\2017-09-05-refined-times.txt</v>
      </c>
      <c r="AI150" s="96" t="str">
        <f t="shared" si="49"/>
        <v>echo {"issue":{"subject":"","project_id":79,"tracker_id":40,"status_id":1,"priority_id":2,"assigned_to_id":338,"start_date":"2017-09-05","description":"","custom_fields":[{"id":1,"name":"Subdivision","value":"EC"},{"id":4,"name":"Milepost","value":"23.3332"},{"id":17,"name":"Train ID","value":"237-05"},{"id":16,"name":"Locomotive ID","value":"4066"},{"id":130,"name":"Impact","value":""},{"id":150,"name":"Time of Event (Mountain Time)","value":"23:36:05"},{"id":151,"name":"Denver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0"/>
        <v>start /low /b %USERPROFILE%\Documents\GitHub\eaglep3\Utilities\DownloadLogsFromS3.py --loco 4066 --day 2017-09-05</v>
      </c>
      <c r="AN150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818</v>
      </c>
      <c r="B151" s="7">
        <v>4065</v>
      </c>
      <c r="C151" s="21" t="s">
        <v>197</v>
      </c>
      <c r="D151" s="21" t="s">
        <v>541</v>
      </c>
      <c r="E151" s="13">
        <v>42983.984976851854</v>
      </c>
      <c r="F151" s="13">
        <v>42983.998171296298</v>
      </c>
      <c r="G151" s="7">
        <v>74</v>
      </c>
      <c r="H151" s="21" t="s">
        <v>339</v>
      </c>
      <c r="I151" s="13">
        <v>42984.02516203704</v>
      </c>
      <c r="J151" s="7">
        <v>0</v>
      </c>
      <c r="K151" s="89" t="str">
        <f t="shared" si="142"/>
        <v>4065/4066</v>
      </c>
      <c r="L151" s="214" t="str">
        <f>VLOOKUP(A151,'Trips&amp;Operators'!$C$1:$G$99911,5,FALSE)</f>
        <v>DUNCAN SHEILA</v>
      </c>
      <c r="M151" s="6">
        <f t="shared" si="143"/>
        <v>2.6990740741894115E-2</v>
      </c>
      <c r="N151" s="7">
        <f t="shared" si="144"/>
        <v>38.866666668327525</v>
      </c>
      <c r="O151" s="7"/>
      <c r="P151" s="7"/>
      <c r="Q151" s="22"/>
      <c r="R151" s="167"/>
      <c r="S151" s="210">
        <f t="shared" si="145"/>
        <v>1</v>
      </c>
      <c r="T151" s="192" t="str">
        <f t="shared" si="146"/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124"/>
        <v>https://d0f6bd738d7f1b3e5a7ca70fe4ff75f0.us-east-1.aws.found.io/app/kibana#/discover/Steve-Slow-Train-Analysis-(2080s-and-2083s)?_g=(refreshInterval:(display:Off,pause:!f,section:0,value:0),time:(from:'2017-09-05T22:38:22-0600',mode:absolute,to:'2017-09-06T01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1" s="194" t="str">
        <f>IF(AA151&lt;VLOOKUP(AG151,Variables!$AC$3:$AD$8,2,FALSE),"Y","N")</f>
        <v>N</v>
      </c>
      <c r="X151" s="194">
        <f t="shared" si="152"/>
        <v>1</v>
      </c>
      <c r="Y151" s="194">
        <f t="shared" si="147"/>
        <v>23.302499999999998</v>
      </c>
      <c r="Z151" s="194">
        <f t="shared" si="148"/>
        <v>1.49E-2</v>
      </c>
      <c r="AA151" s="194">
        <f t="shared" si="149"/>
        <v>23.287599999999998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150"/>
        <v>238</v>
      </c>
      <c r="AE151" s="77" t="str">
        <f t="shared" si="125"/>
        <v>aws s3 cp s3://rtdc.mdm.uploadarchive.raw/RTDC4065/ "%USERPROFILE%\AppData\Local\Temp\OnboardLogs"\RTDC4065\2017-09-05 --exclude "*" --recursive --include "*20170905*" &amp; "%USERPROFILE%\Documents\GitHub\mrs-test-scripts\Headless Mode &amp; Sideloading\WalkAndUnGZ.bat" "%USERPROFILE%\AppData\Local\Temp\OnboardLogs"\RTDC4065\2017-09-05 &amp; aws s3 cp s3://rtdc.mdm.uploadarchive.raw/RTDC4065/ "%USERPROFILE%\AppData\Local\Temp\OnboardLogs"\RTDC4065\2017-09-06 --exclude "*" --recursive --include "*20170906*" &amp; "%USERPROFILE%\Documents\GitHub\mrs-test-scripts\Headless Mode &amp; Sideloading\WalkAndUnGZ.bat" "%USERPROFILE%\AppData\Local\Temp\OnboardLogs"\RTDC4065\2017-09-06</v>
      </c>
      <c r="AF151" s="74" t="str">
        <f t="shared" si="126"/>
        <v>"C:\Program Files (x86)\AstroGrep\AstroGrep.exe" /e /r /s /spath="%USERPROFILE%\AppData\Local\Temp\OnboardLogs" /stypes="app*4065*20170906*" /stext=" 06:.+((SYSTEM_STATE.+slice.+state.+changed )|(ment ac)|(multiple cpu faults)|(system.+state.+changed )|(\[timeout)|(PRM\|1\|D)|(kpr)|(kdp)|(train st.+moving)|(\|lc)|(penalty))"</v>
      </c>
      <c r="AG151" s="206" t="str">
        <f t="shared" si="151"/>
        <v>EC</v>
      </c>
      <c r="AH151" s="78" t="str">
        <f t="shared" si="48"/>
        <v>"%USERPROFILE%\Documents\GitHub\eaglep3\Utilities\RefineRTDCRunTimes.py" --tripid 238-05 --locoid 4065 --swversion DE.1.0.9.0 --startMP 204:233025 --initTime 2017-09-05T23:38:22 --startdatetime 2017-09-05T23:57:22 --delay 74 --endMP 204:149 --enddatetime 2017-09-06T00:36:14 --enforcementcount 0 &gt;&gt;C:\Users\stu\Documents\GitHub\eaglep3-reporting\EC\2017-09-05-refined-times.txt</v>
      </c>
      <c r="AI151" s="96" t="str">
        <f t="shared" si="49"/>
        <v>echo {"issue":{"subject":"","project_id":79,"tracker_id":40,"status_id":1,"priority_id":2,"assigned_to_id":338,"start_date":"2017-09-06","description":"","custom_fields":[{"id":1,"name":"Subdivision","value":"EC"},{"id":4,"name":"Milepost","value":"0.0149"},{"id":17,"name":"Train ID","value":"238-05"},{"id":16,"name":"Locomotive ID","value":"4065"},{"id":130,"name":"Impact","value":""},{"id":150,"name":"Time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0"/>
        <v>start /low /b %USERPROFILE%\Documents\GitHub\eaglep3\Utilities\DownloadLogsFromS3.py --loco 4065 --day 2017-09-05</v>
      </c>
      <c r="AN151" s="151" t="str">
        <f t="shared" si="5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815</v>
      </c>
      <c r="B152" s="7">
        <v>4040</v>
      </c>
      <c r="C152" s="21" t="s">
        <v>197</v>
      </c>
      <c r="D152" s="21" t="s">
        <v>341</v>
      </c>
      <c r="E152" s="13">
        <v>42983.967731481483</v>
      </c>
      <c r="F152" s="13">
        <v>42983.979351851849</v>
      </c>
      <c r="G152" s="7">
        <v>51</v>
      </c>
      <c r="H152" s="21" t="s">
        <v>487</v>
      </c>
      <c r="I152" s="13">
        <v>42984.003634259258</v>
      </c>
      <c r="J152" s="7">
        <v>0</v>
      </c>
      <c r="K152" s="89" t="str">
        <f t="shared" si="142"/>
        <v>4039/4040</v>
      </c>
      <c r="L152" s="214" t="str">
        <f>VLOOKUP(A152,'Trips&amp;Operators'!$C$1:$G$99911,5,FALSE)</f>
        <v>LOZA FIDEL</v>
      </c>
      <c r="M152" s="6">
        <f t="shared" si="143"/>
        <v>2.4282407408463769E-2</v>
      </c>
      <c r="N152" s="7">
        <f t="shared" si="144"/>
        <v>34.966666668187827</v>
      </c>
      <c r="O152" s="7"/>
      <c r="P152" s="7"/>
      <c r="Q152" s="22"/>
      <c r="R152" s="167"/>
      <c r="S152" s="210">
        <f t="shared" si="145"/>
        <v>1</v>
      </c>
      <c r="T152" s="192" t="str">
        <f t="shared" si="146"/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124"/>
        <v>https://d0f6bd738d7f1b3e5a7ca70fe4ff75f0.us-east-1.aws.found.io/app/kibana#/discover/Steve-Slow-Train-Analysis-(2080s-and-2083s)?_g=(refreshInterval:(display:Off,pause:!f,section:0,value:0),time:(from:'2017-09-05T22:13:32-0600',mode:absolute,to:'2017-09-06T01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194" t="str">
        <f>IF(AA152&lt;VLOOKUP(AG152,Variables!$AC$3:$AD$8,2,FALSE),"Y","N")</f>
        <v>N</v>
      </c>
      <c r="X152" s="194">
        <f t="shared" si="152"/>
        <v>1</v>
      </c>
      <c r="Y152" s="194">
        <f t="shared" si="147"/>
        <v>4.5100000000000001E-2</v>
      </c>
      <c r="Z152" s="194">
        <f t="shared" si="148"/>
        <v>23.334700000000002</v>
      </c>
      <c r="AA152" s="194">
        <f t="shared" si="149"/>
        <v>23.2896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150"/>
        <v>239</v>
      </c>
      <c r="AE152" s="77" t="str">
        <f t="shared" si="125"/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AF152" s="74" t="str">
        <f t="shared" si="126"/>
        <v>"C:\Program Files (x86)\AstroGrep\AstroGrep.exe" /e /r /s /spath="%USERPROFILE%\AppData\Local\Temp\OnboardLogs" /stypes="app*4040*20170906*" /stext=" 06:.+((SYSTEM_STATE.+slice.+state.+changed )|(ment ac)|(multiple cpu faults)|(system.+state.+changed )|(\[timeout)|(PRM\|1\|D)|(kpr)|(kdp)|(train st.+moving)|(\|lc)|(penalty))"</v>
      </c>
      <c r="AG152" s="206" t="str">
        <f t="shared" si="151"/>
        <v>EC</v>
      </c>
      <c r="AH152" s="78" t="str">
        <f t="shared" ref="AH152:AH217" si="153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239-05 --locoid 4040 --swversion DE.1.0.9.0 --startMP 204:451 --initTime 2017-09-05T23:13:32 --startdatetime 2017-09-05T23:30:16 --delay 51 --endMP 204:233347 --enddatetime 2017-09-06T00:05:14 --enforcementcount 0 &gt;&gt;C:\Users\stu\Documents\GitHub\eaglep3-reporting\EC\2017-09-05-refined-times.txt</v>
      </c>
      <c r="AI152" s="96" t="str">
        <f t="shared" ref="AI152:AI217" si="154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{"issue":{"subject":"","project_id":79,"tracker_id":40,"status_id":1,"priority_id":2,"assigned_to_id":338,"start_date":"2017-09-06","description":"","custom_fields":[{"id":1,"name":"Subdivision","value":"EC"},{"id":4,"name":"Milepost","value":"23.3347"},{"id":17,"name":"Train ID","value":"239-05"},{"id":16,"name":"Locomotive ID","value":"4040"},{"id":130,"name":"Impact","value":""},{"id":150,"name":"Time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ref="AM152:AM217" si="155">"start /low /b "&amp;dls3logs&amp;" --loco "&amp;B152&amp;" --day "&amp;TEXT(F152,"YYYY-MM-DD")</f>
        <v>start /low /b %USERPROFILE%\Documents\GitHub\eaglep3\Utilities\DownloadLogsFromS3.py --loco 4040 --day 2017-09-05</v>
      </c>
      <c r="AN152" s="151" t="str">
        <f t="shared" ref="AN152:AN217" si="156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820</v>
      </c>
      <c r="B153" s="7">
        <v>4039</v>
      </c>
      <c r="C153" s="21" t="s">
        <v>197</v>
      </c>
      <c r="D153" s="21" t="s">
        <v>490</v>
      </c>
      <c r="E153" s="13">
        <v>42984.016631944447</v>
      </c>
      <c r="F153" s="13">
        <v>42984.018935185188</v>
      </c>
      <c r="G153" s="7">
        <v>57</v>
      </c>
      <c r="H153" s="21" t="s">
        <v>436</v>
      </c>
      <c r="I153" s="13">
        <v>42984.044282407405</v>
      </c>
      <c r="J153" s="7">
        <v>0</v>
      </c>
      <c r="K153" s="89" t="str">
        <f t="shared" si="142"/>
        <v>4039/4040</v>
      </c>
      <c r="L153" s="214" t="str">
        <f>VLOOKUP(A153,'Trips&amp;Operators'!$C$1:$G$99911,5,FALSE)</f>
        <v>LOZA FIDEL</v>
      </c>
      <c r="M153" s="6">
        <f t="shared" si="143"/>
        <v>2.5347222217533272E-2</v>
      </c>
      <c r="N153" s="7">
        <f t="shared" si="144"/>
        <v>36.499999993247911</v>
      </c>
      <c r="O153" s="7"/>
      <c r="P153" s="7"/>
      <c r="Q153" s="22"/>
      <c r="R153" s="167"/>
      <c r="S153" s="210">
        <f t="shared" si="145"/>
        <v>1</v>
      </c>
      <c r="T153" s="192" t="str">
        <f t="shared" si="146"/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124"/>
        <v>https://d0f6bd738d7f1b3e5a7ca70fe4ff75f0.us-east-1.aws.found.io/app/kibana#/discover/Steve-Slow-Train-Analysis-(2080s-and-2083s)?_g=(refreshInterval:(display:Off,pause:!f,section:0,value:0),time:(from:'2017-09-05T23:23:57-0600',mode:absolute,to:'2017-09-06T02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194" t="str">
        <f>IF(AA153&lt;VLOOKUP(AG153,Variables!$AC$3:$AD$8,2,FALSE),"Y","N")</f>
        <v>N</v>
      </c>
      <c r="X153" s="194">
        <f t="shared" si="152"/>
        <v>1</v>
      </c>
      <c r="Y153" s="194">
        <f t="shared" si="147"/>
        <v>23.300799999999999</v>
      </c>
      <c r="Z153" s="194">
        <f t="shared" si="148"/>
        <v>1.32E-2</v>
      </c>
      <c r="AA153" s="194">
        <f t="shared" si="149"/>
        <v>23.287599999999998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150"/>
        <v>240</v>
      </c>
      <c r="AE153" s="77" t="str">
        <f t="shared" si="125"/>
        <v>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 &amp; 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</v>
      </c>
      <c r="AF153" s="74" t="str">
        <f t="shared" si="126"/>
        <v>"C:\Program Files (x86)\AstroGrep\AstroGrep.exe" /e /r /s /spath="%USERPROFILE%\AppData\Local\Temp\OnboardLogs" /stypes="app*4039*20170906*" /stext=" 07:.+((SYSTEM_STATE.+slice.+state.+changed )|(ment ac)|(multiple cpu faults)|(system.+state.+changed )|(\[timeout)|(PRM\|1\|D)|(kpr)|(kdp)|(train st.+moving)|(\|lc)|(penalty))"</v>
      </c>
      <c r="AG153" s="206" t="str">
        <f t="shared" si="151"/>
        <v>EC</v>
      </c>
      <c r="AH153" s="78" t="str">
        <f t="shared" si="153"/>
        <v>"%USERPROFILE%\Documents\GitHub\eaglep3\Utilities\RefineRTDCRunTimes.py" --tripid 240-05 --locoid 4039 --swversion DE.1.0.9.0 --startMP 204:233008 --initTime 2017-09-06T00:23:57 --startdatetime 2017-09-06T00:27:16 --delay 57 --endMP 204:132 --enddatetime 2017-09-06T01:03:46 --enforcementcount 0 &gt;&gt;C:\Users\stu\Documents\GitHub\eaglep3-reporting\EC\2017-09-05-refined-times.txt</v>
      </c>
      <c r="AI153" s="96" t="str">
        <f t="shared" si="154"/>
        <v>echo {"issue":{"subject":"","project_id":79,"tracker_id":40,"status_id":1,"priority_id":2,"assigned_to_id":338,"start_date":"2017-09-06","description":"","custom_fields":[{"id":1,"name":"Subdivision","value":"EC"},{"id":4,"name":"Milepost","value":"0.0132"},{"id":17,"name":"Train ID","value":"240-05"},{"id":16,"name":"Locomotive ID","value":"4039"},{"id":130,"name":"Impact","value":""},{"id":150,"name":"Time of Event (Mountain Time)","value":"01:03:46"},{"id":151,"name":"Denver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55"/>
        <v>start /low /b %USERPROFILE%\Documents\GitHub\eaglep3\Utilities\DownloadLogsFromS3.py --loco 4039 --day 2017-09-06</v>
      </c>
      <c r="AN153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07:03:46"},{"id":29,"name":"Sharepoint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819</v>
      </c>
      <c r="B154" s="7">
        <v>4022</v>
      </c>
      <c r="C154" s="21" t="s">
        <v>197</v>
      </c>
      <c r="D154" s="21" t="s">
        <v>421</v>
      </c>
      <c r="E154" s="13">
        <v>42983.986284722225</v>
      </c>
      <c r="F154" s="13">
        <v>42984.000196759262</v>
      </c>
      <c r="G154" s="7">
        <v>55</v>
      </c>
      <c r="H154" s="21" t="s">
        <v>395</v>
      </c>
      <c r="I154" s="13">
        <v>42984.024583333332</v>
      </c>
      <c r="J154" s="7">
        <v>0</v>
      </c>
      <c r="K154" s="89" t="str">
        <f t="shared" si="142"/>
        <v>4021/4022</v>
      </c>
      <c r="L154" s="214" t="str">
        <f>VLOOKUP(A154,'Trips&amp;Operators'!$C$1:$G$99911,5,FALSE)</f>
        <v>PERKINS DARREN</v>
      </c>
      <c r="M154" s="6">
        <f t="shared" si="143"/>
        <v>2.438657407037681E-2</v>
      </c>
      <c r="N154" s="7">
        <f t="shared" si="144"/>
        <v>35.116666661342606</v>
      </c>
      <c r="O154" s="7"/>
      <c r="P154" s="7"/>
      <c r="Q154" s="22"/>
      <c r="R154" s="167"/>
      <c r="S154" s="210">
        <f t="shared" si="145"/>
        <v>1</v>
      </c>
      <c r="T154" s="192" t="str">
        <f t="shared" si="146"/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124"/>
        <v>https://d0f6bd738d7f1b3e5a7ca70fe4ff75f0.us-east-1.aws.found.io/app/kibana#/discover/Steve-Slow-Train-Analysis-(2080s-and-2083s)?_g=(refreshInterval:(display:Off,pause:!f,section:0,value:0),time:(from:'2017-09-05T22:40:15-0600',mode:absolute,to:'2017-09-06T01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194" t="str">
        <f>IF(AA154&lt;VLOOKUP(AG154,Variables!$AC$3:$AD$8,2,FALSE),"Y","N")</f>
        <v>N</v>
      </c>
      <c r="X154" s="194">
        <f t="shared" si="152"/>
        <v>1</v>
      </c>
      <c r="Y154" s="194">
        <f t="shared" si="147"/>
        <v>4.3799999999999999E-2</v>
      </c>
      <c r="Z154" s="194">
        <f t="shared" si="148"/>
        <v>23.3306</v>
      </c>
      <c r="AA154" s="194">
        <f t="shared" si="149"/>
        <v>23.286799999999999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150"/>
        <v>241</v>
      </c>
      <c r="AE154" s="77" t="str">
        <f t="shared" si="125"/>
        <v>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 &amp; aws s3 cp s3://rtdc.mdm.uploadarchive.raw/RTDC4022/ "%USERPROFILE%\AppData\Local\Temp\OnboardLogs"\RTDC4022\2017-09-07 --exclude "*" --recursive --include "*20170907*" &amp; "%USERPROFILE%\Documents\GitHub\mrs-test-scripts\Headless Mode &amp; Sideloading\WalkAndUnGZ.bat" "%USERPROFILE%\AppData\Local\Temp\OnboardLogs"\RTDC4022\2017-09-07</v>
      </c>
      <c r="AF154" s="74" t="str">
        <f t="shared" si="126"/>
        <v>"C:\Program Files (x86)\AstroGrep\AstroGrep.exe" /e /r /s /spath="%USERPROFILE%\AppData\Local\Temp\OnboardLogs" /stypes="app*4022*20170906*" /stext=" 06:.+((SYSTEM_STATE.+slice.+state.+changed )|(ment ac)|(multiple cpu faults)|(system.+state.+changed )|(\[timeout)|(PRM\|1\|D)|(kpr)|(kdp)|(train st.+moving)|(\|lc)|(penalty))"</v>
      </c>
      <c r="AG154" s="206" t="str">
        <f t="shared" si="151"/>
        <v>EC</v>
      </c>
      <c r="AH154" s="78" t="str">
        <f t="shared" si="153"/>
        <v>"%USERPROFILE%\Documents\GitHub\eaglep3\Utilities\RefineRTDCRunTimes.py" --tripid 241-05 --locoid 4022 --swversion DE.1.0.9.0 --startMP 204:438 --initTime 2017-09-05T23:40:15 --startdatetime 2017-09-06T00:00:17 --delay 55 --endMP 204:233306 --enddatetime 2017-09-06T00:35:24 --enforcementcount 0 &gt;&gt;C:\Users\stu\Documents\GitHub\eaglep3-reporting\EC\2017-09-05-refined-times.txt</v>
      </c>
      <c r="AI154" s="96" t="str">
        <f t="shared" si="154"/>
        <v>echo {"issue":{"subject":"","project_id":79,"tracker_id":40,"status_id":1,"priority_id":2,"assigned_to_id":338,"start_date":"2017-09-06","description":"","custom_fields":[{"id":1,"name":"Subdivision","value":"EC"},{"id":4,"name":"Milepost","value":"23.3306"},{"id":17,"name":"Train ID","value":"241-05"},{"id":16,"name":"Locomotive ID","value":"4022"},{"id":130,"name":"Impact","value":""},{"id":150,"name":"Time of Event (Mountain Time)","value":"00:35:24"},{"id":151,"name":"Denver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55"/>
        <v>start /low /b %USERPROFILE%\Documents\GitHub\eaglep3\Utilities\DownloadLogsFromS3.py --loco 4022 --day 2017-09-06</v>
      </c>
      <c r="AN154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822</v>
      </c>
      <c r="B155" s="7">
        <v>4021</v>
      </c>
      <c r="C155" s="21" t="s">
        <v>197</v>
      </c>
      <c r="D155" s="21" t="s">
        <v>866</v>
      </c>
      <c r="E155" s="13">
        <v>42984.026446759257</v>
      </c>
      <c r="F155" s="13">
        <v>42984.03979166667</v>
      </c>
      <c r="G155" s="7">
        <v>57</v>
      </c>
      <c r="H155" s="21" t="s">
        <v>877</v>
      </c>
      <c r="I155" s="13">
        <v>42984.065439814818</v>
      </c>
      <c r="J155" s="7">
        <v>0</v>
      </c>
      <c r="K155" s="89" t="str">
        <f t="shared" si="142"/>
        <v>4021/4022</v>
      </c>
      <c r="L155" s="214" t="str">
        <f>VLOOKUP(A155,'Trips&amp;Operators'!$C$1:$G$99911,5,FALSE)</f>
        <v>PERKINS DARREN</v>
      </c>
      <c r="M155" s="6">
        <f t="shared" si="143"/>
        <v>2.5648148148320615E-2</v>
      </c>
      <c r="N155" s="7">
        <f t="shared" si="144"/>
        <v>36.933333333581686</v>
      </c>
      <c r="O155" s="7"/>
      <c r="P155" s="7"/>
      <c r="Q155" s="22"/>
      <c r="R155" s="167"/>
      <c r="S155" s="210">
        <f t="shared" si="145"/>
        <v>1</v>
      </c>
      <c r="T155" s="192" t="str">
        <f t="shared" si="146"/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124"/>
        <v>https://d0f6bd738d7f1b3e5a7ca70fe4ff75f0.us-east-1.aws.found.io/app/kibana#/discover/Steve-Slow-Train-Analysis-(2080s-and-2083s)?_g=(refreshInterval:(display:Off,pause:!f,section:0,value:0),time:(from:'2017-09-05T23:38:05-0600',mode:absolute,to:'2017-09-06T02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194" t="str">
        <f>IF(AA155&lt;VLOOKUP(AG155,Variables!$AC$3:$AD$8,2,FALSE),"Y","N")</f>
        <v>N</v>
      </c>
      <c r="X155" s="194">
        <f t="shared" si="152"/>
        <v>1</v>
      </c>
      <c r="Y155" s="194">
        <f t="shared" si="147"/>
        <v>23.3</v>
      </c>
      <c r="Z155" s="194">
        <f t="shared" si="148"/>
        <v>1.3899999999999999E-2</v>
      </c>
      <c r="AA155" s="194">
        <f t="shared" si="149"/>
        <v>23.286100000000001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150"/>
        <v>242</v>
      </c>
      <c r="AE155" s="77" t="str">
        <f t="shared" si="125"/>
        <v>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 &amp; aws s3 cp s3://rtdc.mdm.uploadarchive.raw/RTDC4021/ "%USERPROFILE%\AppData\Local\Temp\OnboardLogs"\RTDC4021\2017-09-07 --exclude "*" --recursive --include "*20170907*" &amp; "%USERPROFILE%\Documents\GitHub\mrs-test-scripts\Headless Mode &amp; Sideloading\WalkAndUnGZ.bat" "%USERPROFILE%\AppData\Local\Temp\OnboardLogs"\RTDC4021\2017-09-07</v>
      </c>
      <c r="AF155" s="74" t="str">
        <f t="shared" si="126"/>
        <v>"C:\Program Files (x86)\AstroGrep\AstroGrep.exe" /e /r /s /spath="%USERPROFILE%\AppData\Local\Temp\OnboardLogs" /stypes="app*4021*20170906*" /stext=" 07:.+((SYSTEM_STATE.+slice.+state.+changed )|(ment ac)|(multiple cpu faults)|(system.+state.+changed )|(\[timeout)|(PRM\|1\|D)|(kpr)|(kdp)|(train st.+moving)|(\|lc)|(penalty))"</v>
      </c>
      <c r="AG155" s="206" t="str">
        <f t="shared" si="151"/>
        <v>EC</v>
      </c>
      <c r="AH155" s="78" t="str">
        <f t="shared" si="153"/>
        <v>"%USERPROFILE%\Documents\GitHub\eaglep3\Utilities\RefineRTDCRunTimes.py" --tripid 242-05 --locoid 4021 --swversion DE.1.0.9.0 --startMP 204:233000 --initTime 2017-09-06T00:38:05 --startdatetime 2017-09-06T00:57:18 --delay 57 --endMP 204:139 --enddatetime 2017-09-06T01:34:14 --enforcementcount 0 &gt;&gt;C:\Users\stu\Documents\GitHub\eaglep3-reporting\EC\2017-09-05-refined-times.txt</v>
      </c>
      <c r="AI155" s="96" t="str">
        <f t="shared" si="154"/>
        <v>echo {"issue":{"subject":"","project_id":79,"tracker_id":40,"status_id":1,"priority_id":2,"assigned_to_id":338,"start_date":"2017-09-06","description":"","custom_fields":[{"id":1,"name":"Subdivision","value":"EC"},{"id":4,"name":"Milepost","value":"0.0139"},{"id":17,"name":"Train ID","value":"242-05"},{"id":16,"name":"Locomotive ID","value":"4021"},{"id":130,"name":"Impact","value":""},{"id":150,"name":"Time of Event (Mountain Time)","value":"01:34:14"},{"id":151,"name":"Denver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55"/>
        <v>start /low /b %USERPROFILE%\Documents\GitHub\eaglep3\Utilities\DownloadLogsFromS3.py --loco 4021 --day 2017-09-06</v>
      </c>
      <c r="AN155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07:34:14"},{"id":29,"name":"Sharepoint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821</v>
      </c>
      <c r="B156" s="7">
        <v>4010</v>
      </c>
      <c r="C156" s="21" t="s">
        <v>197</v>
      </c>
      <c r="D156" s="21" t="s">
        <v>378</v>
      </c>
      <c r="E156" s="13">
        <v>42984.018738425926</v>
      </c>
      <c r="F156" s="13">
        <v>42984.021053240744</v>
      </c>
      <c r="G156" s="7">
        <v>66</v>
      </c>
      <c r="H156" s="21" t="s">
        <v>852</v>
      </c>
      <c r="I156" s="13">
        <v>42984.044907407406</v>
      </c>
      <c r="J156" s="7">
        <v>0</v>
      </c>
      <c r="K156" s="89" t="str">
        <f t="shared" si="142"/>
        <v>4009/4010</v>
      </c>
      <c r="L156" s="214" t="str">
        <f>VLOOKUP(A156,'Trips&amp;Operators'!$C$1:$G$99911,5,FALSE)</f>
        <v>HART KEVIN</v>
      </c>
      <c r="M156" s="6">
        <f t="shared" si="143"/>
        <v>2.3854166662204079E-2</v>
      </c>
      <c r="N156" s="7">
        <f t="shared" si="144"/>
        <v>34.349999993573874</v>
      </c>
      <c r="O156" s="7"/>
      <c r="P156" s="7"/>
      <c r="Q156" s="22"/>
      <c r="R156" s="167"/>
      <c r="S156" s="210">
        <f t="shared" si="145"/>
        <v>1</v>
      </c>
      <c r="T156" s="192" t="str">
        <f t="shared" si="146"/>
        <v>NorthBound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124"/>
        <v>https://d0f6bd738d7f1b3e5a7ca70fe4ff75f0.us-east-1.aws.found.io/app/kibana#/discover/Steve-Slow-Train-Analysis-(2080s-and-2083s)?_g=(refreshInterval:(display:Off,pause:!f,section:0,value:0),time:(from:'2017-09-05T23:26:59-0600',mode:absolute,to:'2017-09-06T02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6" s="194" t="str">
        <f>IF(AA156&lt;VLOOKUP(AG156,Variables!$AC$3:$AD$8,2,FALSE),"Y","N")</f>
        <v>N</v>
      </c>
      <c r="X156" s="194">
        <f t="shared" si="152"/>
        <v>1</v>
      </c>
      <c r="Y156" s="194">
        <f t="shared" si="147"/>
        <v>4.6600000000000003E-2</v>
      </c>
      <c r="Z156" s="194">
        <f t="shared" si="148"/>
        <v>23.330300000000001</v>
      </c>
      <c r="AA156" s="194">
        <f t="shared" si="149"/>
        <v>23.2837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150"/>
        <v>243</v>
      </c>
      <c r="AE156" s="77" t="str">
        <f t="shared" si="125"/>
        <v>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 &amp; 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</v>
      </c>
      <c r="AF156" s="74" t="str">
        <f t="shared" si="126"/>
        <v>"C:\Program Files (x86)\AstroGrep\AstroGrep.exe" /e /r /s /spath="%USERPROFILE%\AppData\Local\Temp\OnboardLogs" /stypes="app*4010*20170906*" /stext=" 07:.+((SYSTEM_STATE.+slice.+state.+changed )|(ment ac)|(multiple cpu faults)|(system.+state.+changed )|(\[timeout)|(PRM\|1\|D)|(kpr)|(kdp)|(train st.+moving)|(\|lc)|(penalty))"</v>
      </c>
      <c r="AG156" s="206" t="str">
        <f t="shared" si="151"/>
        <v>EC</v>
      </c>
      <c r="AH156" s="78" t="str">
        <f t="shared" si="153"/>
        <v>"%USERPROFILE%\Documents\GitHub\eaglep3\Utilities\RefineRTDCRunTimes.py" --tripid 243-05 --locoid 4010 --swversion DE.1.0.9.0 --startMP 204:466 --initTime 2017-09-06T00:26:59 --startdatetime 2017-09-06T00:30:19 --delay 66 --endMP 204:233303 --enddatetime 2017-09-06T01:04:40 --enforcementcount 0 &gt;&gt;C:\Users\stu\Documents\GitHub\eaglep3-reporting\EC\2017-09-05-refined-times.txt</v>
      </c>
      <c r="AI156" s="96" t="str">
        <f t="shared" si="154"/>
        <v>echo {"issue":{"subject":"","project_id":79,"tracker_id":40,"status_id":1,"priority_id":2,"assigned_to_id":338,"start_date":"2017-09-06","description":"","custom_fields":[{"id":1,"name":"Subdivision","value":"EC"},{"id":4,"name":"Milepost","value":"23.3303"},{"id":17,"name":"Train ID","value":"243-05"},{"id":16,"name":"Locomotive ID","value":"4010"},{"id":130,"name":"Impact","value":""},{"id":150,"name":"Time of Event (Mountain Time)","value":"01:04:40"},{"id":151,"name":"Denver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55"/>
        <v>start /low /b %USERPROFILE%\Documents\GitHub\eaglep3\Utilities\DownloadLogsFromS3.py --loco 4010 --day 2017-09-06</v>
      </c>
      <c r="AN156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07:04:40"},{"id":29,"name":"Sharepoint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825</v>
      </c>
      <c r="B157" s="7">
        <v>4009</v>
      </c>
      <c r="C157" s="21" t="s">
        <v>197</v>
      </c>
      <c r="D157" s="21" t="s">
        <v>418</v>
      </c>
      <c r="E157" s="13">
        <v>42984.058159722219</v>
      </c>
      <c r="F157" s="13">
        <v>42984.05909722222</v>
      </c>
      <c r="G157" s="7">
        <v>71</v>
      </c>
      <c r="H157" s="21" t="s">
        <v>344</v>
      </c>
      <c r="I157" s="13">
        <v>42984.085300925923</v>
      </c>
      <c r="J157" s="7">
        <v>0</v>
      </c>
      <c r="K157" s="89" t="str">
        <f t="shared" si="142"/>
        <v>4009/4010</v>
      </c>
      <c r="L157" s="214" t="str">
        <f>VLOOKUP(A157,'Trips&amp;Operators'!$C$1:$G$99911,5,FALSE)</f>
        <v>HART KEVIN</v>
      </c>
      <c r="M157" s="6">
        <f t="shared" si="143"/>
        <v>2.6203703702776693E-2</v>
      </c>
      <c r="N157" s="7">
        <f t="shared" si="144"/>
        <v>37.733333331998438</v>
      </c>
      <c r="O157" s="7"/>
      <c r="P157" s="7"/>
      <c r="Q157" s="22"/>
      <c r="R157" s="167"/>
      <c r="S157" s="210">
        <f t="shared" si="145"/>
        <v>1</v>
      </c>
      <c r="T157" s="192" t="str">
        <f t="shared" si="146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124"/>
        <v>https://d0f6bd738d7f1b3e5a7ca70fe4ff75f0.us-east-1.aws.found.io/app/kibana#/discover/Steve-Slow-Train-Analysis-(2080s-and-2083s)?_g=(refreshInterval:(display:Off,pause:!f,section:0,value:0),time:(from:'2017-09-06T00:23:45-0600',mode:absolute,to:'2017-09-06T03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194" t="str">
        <f>IF(AA157&lt;VLOOKUP(AG157,Variables!$AC$3:$AD$8,2,FALSE),"Y","N")</f>
        <v>N</v>
      </c>
      <c r="X157" s="194">
        <f t="shared" ref="X157:X161" si="157">VALUE(LEFT(AD157,4))-VALUE(LEFT(AD156,4))</f>
        <v>1</v>
      </c>
      <c r="Y157" s="194">
        <f t="shared" si="147"/>
        <v>23.299199999999999</v>
      </c>
      <c r="Z157" s="194">
        <f t="shared" si="148"/>
        <v>1.41E-2</v>
      </c>
      <c r="AA157" s="194">
        <f t="shared" si="149"/>
        <v>23.2851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150"/>
        <v>244</v>
      </c>
      <c r="AE157" s="77" t="str">
        <f t="shared" si="125"/>
        <v>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 &amp; 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</v>
      </c>
      <c r="AF157" s="74" t="str">
        <f t="shared" si="126"/>
        <v>"C:\Program Files (x86)\AstroGrep\AstroGrep.exe" /e /r /s /spath="%USERPROFILE%\AppData\Local\Temp\OnboardLogs" /stypes="app*4009*20170906*" /stext=" 08:.+((SYSTEM_STATE.+slice.+state.+changed )|(ment ac)|(multiple cpu faults)|(system.+state.+changed )|(\[timeout)|(PRM\|1\|D)|(kpr)|(kdp)|(train st.+moving)|(\|lc)|(penalty))"</v>
      </c>
      <c r="AG157" s="206" t="str">
        <f t="shared" si="151"/>
        <v>EC</v>
      </c>
      <c r="AH157" s="78" t="str">
        <f t="shared" ref="AH157" si="158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244-05 --locoid 4009 --swversion DE.1.0.9.0 --startMP 204:232992 --initTime 2017-09-06T01:23:45 --startdatetime 2017-09-06T01:25:06 --delay 71 --endMP 204:141 --enddatetime 2017-09-06T02:02:50 --enforcementcount 0 &gt;&gt;C:\Users\stu\Documents\GitHub\eaglep3-reporting\EC\2017-09-05-refined-times.txt</v>
      </c>
      <c r="AI157" s="96" t="str">
        <f t="shared" ref="AI157" si="159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{"issue":{"subject":"","project_id":79,"tracker_id":40,"status_id":1,"priority_id":2,"assigned_to_id":338,"start_date":"2017-09-06","description":"","custom_fields":[{"id":1,"name":"Subdivision","value":"EC"},{"id":4,"name":"Milepost","value":"0.0141"},{"id":17,"name":"Train ID","value":"244-05"},{"id":16,"name":"Locomotive ID","value":"4009"},{"id":130,"name":"Impact","value":""},{"id":150,"name":"Time of Event (Mountain Time)","value":"02:02:50"},{"id":151,"name":"Denver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160">"start /low /b "&amp;dls3logs&amp;" --loco "&amp;B157&amp;" --day "&amp;TEXT(F157,"YYYY-MM-DD")</f>
        <v>start /low /b %USERPROFILE%\Documents\GitHub\eaglep3\Utilities\DownloadLogsFromS3.py --loco 4009 --day 2017-09-06</v>
      </c>
      <c r="AN157" s="151" t="str">
        <f t="shared" ref="AN157" si="161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08:02:50"},{"id":29,"name":"Sharepoint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574</v>
      </c>
      <c r="B158" s="7">
        <v>4019</v>
      </c>
      <c r="C158" s="21" t="s">
        <v>197</v>
      </c>
      <c r="D158" s="21" t="s">
        <v>916</v>
      </c>
      <c r="E158" s="13">
        <v>42983.217974537038</v>
      </c>
      <c r="F158" s="13">
        <v>42983.219976851855</v>
      </c>
      <c r="G158" s="7">
        <v>75</v>
      </c>
      <c r="H158" s="21" t="s">
        <v>917</v>
      </c>
      <c r="I158" s="13">
        <v>42983.22996527778</v>
      </c>
      <c r="J158" s="7">
        <v>0</v>
      </c>
      <c r="K158" s="89" t="str">
        <f t="shared" si="142"/>
        <v>4019/4020</v>
      </c>
      <c r="L158" s="214" t="str">
        <f>VLOOKUP(A158,'Trips&amp;Operators'!$C$1:$G$99911,5,FALSE)</f>
        <v>BARRON PERLA</v>
      </c>
      <c r="M158" s="6">
        <f t="shared" si="143"/>
        <v>9.9884259252576157E-3</v>
      </c>
      <c r="N158" s="7">
        <f t="shared" si="144"/>
        <v>14.383333332370967</v>
      </c>
      <c r="O158" s="7"/>
      <c r="P158" s="7"/>
      <c r="Q158" s="22"/>
      <c r="R158" s="167"/>
      <c r="S158" s="210">
        <f t="shared" si="145"/>
        <v>1</v>
      </c>
      <c r="T158" s="192" t="str">
        <f t="shared" si="146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124"/>
        <v>https://d0f6bd738d7f1b3e5a7ca70fe4ff75f0.us-east-1.aws.found.io/app/kibana#/discover/Steve-Slow-Train-Analysis-(2080s-and-2083s)?_g=(refreshInterval:(display:Off,pause:!f,section:0,value:0),time:(from:'2017-09-05T04:13:53-0600',mode:absolute,to:'2017-09-05T06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94" t="str">
        <f>IF(AA158&lt;VLOOKUP(AG158,Variables!$AC$3:$AD$8,2,FALSE),"Y","N")</f>
        <v>N</v>
      </c>
      <c r="X158" s="194">
        <f t="shared" si="157"/>
        <v>556</v>
      </c>
      <c r="Y158" s="194">
        <f t="shared" si="147"/>
        <v>5.8667999999999996</v>
      </c>
      <c r="Z158" s="194">
        <f t="shared" si="148"/>
        <v>7.4999999999999997E-2</v>
      </c>
      <c r="AA158" s="194">
        <f t="shared" si="149"/>
        <v>5.7917999999999994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150"/>
        <v>800</v>
      </c>
      <c r="AE158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58" s="74" t="str">
        <f t="shared" si="126"/>
        <v>"C:\Program Files (x86)\AstroGrep\AstroGrep.exe" /e /r /s /spath="%USERPROFILE%\AppData\Local\Temp\OnboardLogs" /stypes="app*4019*20170905*" /stext=" 11:.+((SYSTEM_STATE.+slice.+state.+changed )|(ment ac)|(multiple cpu faults)|(system.+state.+changed )|(\[timeout)|(PRM\|1\|D)|(kpr)|(kdp)|(train st.+moving)|(\|lc)|(penalty))"</v>
      </c>
      <c r="AG158" s="206" t="str">
        <f t="shared" si="151"/>
        <v>NW</v>
      </c>
      <c r="AH158" s="78" t="str">
        <f t="shared" si="153"/>
        <v>"%USERPROFILE%\Documents\GitHub\eaglep3\Utilities\RefineRTDCRunTimes.py" --tripid 800-05 --locoid 4019 --swversion DE.1.0.9.0 --startMP 300:58668 --initTime 2017-09-05T05:13:53 --startdatetime 2017-09-05T05:16:46 --delay 75 --endMP 204:750 --enddatetime 2017-09-05T05:31:09 --enforcementcount 0 &gt;&gt;C:\Users\stu\Documents\GitHub\eaglep3-reporting\EC\2017-09-05-refined-times.txt</v>
      </c>
      <c r="AI158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{"issue":{"subject":"","project_id":79,"tracker_id":40,"status_id":1,"priority_id":2,"assigned_to_id":338,"start_date":"2017-09-05","description":"","custom_fields":[{"id":1,"name":"Subdivision","value":"NW"},{"id":4,"name":"Milepost","value":"0.075"},{"id":17,"name":"Train ID","value":"800-05"},{"id":16,"name":"Locomotive ID","value":"4019"},{"id":130,"name":"Impact","value":""},{"id":150,"name":"Time of Event (Mountain Time)","value":"05:31:09"},{"id":151,"name":"Denver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55"/>
        <v>start /low /b %USERPROFILE%\Documents\GitHub\eaglep3\Utilities\DownloadLogsFromS3.py --loco 4019 --day 2017-09-05</v>
      </c>
      <c r="AN158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11:31:09"},{"id":29,"name":"Sharepoint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4020</v>
      </c>
      <c r="C159" s="21" t="s">
        <v>197</v>
      </c>
      <c r="D159" s="21" t="s">
        <v>498</v>
      </c>
      <c r="E159" s="13">
        <v>42983.232731481483</v>
      </c>
      <c r="F159" s="13">
        <v>42983.236400462964</v>
      </c>
      <c r="G159" s="7">
        <v>243</v>
      </c>
      <c r="H159" s="21" t="s">
        <v>500</v>
      </c>
      <c r="I159" s="13">
        <v>42983.246608796297</v>
      </c>
      <c r="J159" s="7">
        <v>0</v>
      </c>
      <c r="K159" s="89" t="str">
        <f t="shared" si="142"/>
        <v>4019/4020</v>
      </c>
      <c r="L159" s="214" t="str">
        <f>VLOOKUP(A159,'Trips&amp;Operators'!$C$1:$G$99911,5,FALSE)</f>
        <v>BARRON PERLA</v>
      </c>
      <c r="M159" s="6">
        <f t="shared" si="143"/>
        <v>1.0208333333139308E-2</v>
      </c>
      <c r="N159" s="7">
        <f t="shared" si="144"/>
        <v>14.699999999720603</v>
      </c>
      <c r="O159" s="7"/>
      <c r="P159" s="7"/>
      <c r="Q159" s="22"/>
      <c r="R159" s="167"/>
      <c r="S159" s="210">
        <f t="shared" si="145"/>
        <v>1</v>
      </c>
      <c r="T159" s="192" t="str">
        <f t="shared" si="146"/>
        <v>NorthBound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124"/>
        <v>https://d0f6bd738d7f1b3e5a7ca70fe4ff75f0.us-east-1.aws.found.io/app/kibana#/discover/Steve-Slow-Train-Analysis-(2080s-and-2083s)?_g=(refreshInterval:(display:Off,pause:!f,section:0,value:0),time:(from:'2017-09-05T04:35:08-0600',mode:absolute,to:'2017-09-05T06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9" s="194" t="str">
        <f>IF(AA159&lt;VLOOKUP(AG159,Variables!$AC$3:$AD$8,2,FALSE),"Y","N")</f>
        <v>N</v>
      </c>
      <c r="X159" s="194">
        <f t="shared" si="157"/>
        <v>1</v>
      </c>
      <c r="Y159" s="194">
        <f t="shared" si="147"/>
        <v>9.7900000000000001E-2</v>
      </c>
      <c r="Z159" s="194">
        <f t="shared" si="148"/>
        <v>5.8935000000000004</v>
      </c>
      <c r="AA159" s="194">
        <f t="shared" si="149"/>
        <v>5.7956000000000003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150"/>
        <v>801</v>
      </c>
      <c r="AE159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59" s="74" t="str">
        <f t="shared" si="126"/>
        <v>"C:\Program Files (x86)\AstroGrep\AstroGrep.exe" /e /r /s /spath="%USERPROFILE%\AppData\Local\Temp\OnboardLogs" /stypes="app*4020*20170905*" /stext=" 11:.+((SYSTEM_STATE.+slice.+state.+changed )|(ment ac)|(multiple cpu faults)|(system.+state.+changed )|(\[timeout)|(PRM\|1\|D)|(kpr)|(kdp)|(train st.+moving)|(\|lc)|(penalty))"</v>
      </c>
      <c r="AG159" s="206" t="str">
        <f t="shared" si="151"/>
        <v>NW</v>
      </c>
      <c r="AH159" s="78" t="str">
        <f t="shared" si="153"/>
        <v>"%USERPROFILE%\Documents\GitHub\eaglep3\Utilities\RefineRTDCRunTimes.py" --tripid 801-05 --locoid 4020 --swversion DE.1.0.9.0 --startMP 204:979 --initTime 2017-09-05T05:35:08 --startdatetime 2017-09-05T05:40:25 --delay 243 --endMP 300:58935 --enddatetime 2017-09-05T05:55:07 --enforcementcount 0 &gt;&gt;C:\Users\stu\Documents\GitHub\eaglep3-reporting\EC\2017-09-05-refined-times.txt</v>
      </c>
      <c r="AI159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{"issue":{"subject":"","project_id":79,"tracker_id":40,"status_id":1,"priority_id":2,"assigned_to_id":338,"start_date":"2017-09-05","description":"","custom_fields":[{"id":1,"name":"Subdivision","value":"NW"},{"id":4,"name":"Milepost","value":"5.8935"},{"id":17,"name":"Train ID","value":"801-05"},{"id":16,"name":"Locomotive ID","value":"4020"},{"id":130,"name":"Impact","value":""},{"id":150,"name":"Time of Event (Mountain Time)","value":"05:55:07"},{"id":151,"name":"Denver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55"/>
        <v>start /low /b %USERPROFILE%\Documents\GitHub\eaglep3\Utilities\DownloadLogsFromS3.py --loco 4020 --day 2017-09-05</v>
      </c>
      <c r="AN159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654</v>
      </c>
      <c r="B160" s="7">
        <v>4019</v>
      </c>
      <c r="C160" s="21" t="s">
        <v>197</v>
      </c>
      <c r="D160" s="21" t="s">
        <v>918</v>
      </c>
      <c r="E160" s="13">
        <v>42983.248310185183</v>
      </c>
      <c r="F160" s="13">
        <v>42983.254953703705</v>
      </c>
      <c r="G160" s="7">
        <v>211</v>
      </c>
      <c r="H160" s="21" t="s">
        <v>496</v>
      </c>
      <c r="I160" s="13">
        <v>42983.268368055556</v>
      </c>
      <c r="J160" s="7">
        <v>0</v>
      </c>
      <c r="K160" s="89" t="str">
        <f t="shared" si="142"/>
        <v>4019/4020</v>
      </c>
      <c r="L160" s="214" t="str">
        <f>VLOOKUP(A160,'Trips&amp;Operators'!$C$1:$G$99911,5,FALSE)</f>
        <v>BARRON PERLA</v>
      </c>
      <c r="M160" s="6">
        <f t="shared" si="143"/>
        <v>1.3414351851679385E-2</v>
      </c>
      <c r="N160" s="7">
        <f t="shared" si="144"/>
        <v>19.316666666418314</v>
      </c>
      <c r="O160" s="7"/>
      <c r="P160" s="7"/>
      <c r="Q160" s="22"/>
      <c r="R160" s="167"/>
      <c r="S160" s="210">
        <f t="shared" si="145"/>
        <v>1</v>
      </c>
      <c r="T160" s="192" t="str">
        <f t="shared" si="146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124"/>
        <v>https://d0f6bd738d7f1b3e5a7ca70fe4ff75f0.us-east-1.aws.found.io/app/kibana#/discover/Steve-Slow-Train-Analysis-(2080s-and-2083s)?_g=(refreshInterval:(display:Off,pause:!f,section:0,value:0),time:(from:'2017-09-05T04:57:34-0600',mode:absolute,to:'2017-09-05T07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0" s="194" t="str">
        <f>IF(AA160&lt;VLOOKUP(AG160,Variables!$AC$3:$AD$8,2,FALSE),"Y","N")</f>
        <v>N</v>
      </c>
      <c r="X160" s="194">
        <f t="shared" si="157"/>
        <v>1</v>
      </c>
      <c r="Y160" s="194">
        <f t="shared" si="147"/>
        <v>5.8620999999999999</v>
      </c>
      <c r="Z160" s="194">
        <f t="shared" si="148"/>
        <v>6.6799999999999998E-2</v>
      </c>
      <c r="AA160" s="194">
        <f t="shared" si="149"/>
        <v>5.7953000000000001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150"/>
        <v>802</v>
      </c>
      <c r="AE160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60" s="74" t="str">
        <f t="shared" si="126"/>
        <v>"C:\Program Files (x86)\AstroGrep\AstroGrep.exe" /e /r /s /spath="%USERPROFILE%\AppData\Local\Temp\OnboardLogs" /stypes="app*4019*20170905*" /stext=" 12:.+((SYSTEM_STATE.+slice.+state.+changed )|(ment ac)|(multiple cpu faults)|(system.+state.+changed )|(\[timeout)|(PRM\|1\|D)|(kpr)|(kdp)|(train st.+moving)|(\|lc)|(penalty))"</v>
      </c>
      <c r="AG160" s="206" t="str">
        <f t="shared" si="151"/>
        <v>NW</v>
      </c>
      <c r="AH160" s="78" t="str">
        <f t="shared" si="153"/>
        <v>"%USERPROFILE%\Documents\GitHub\eaglep3\Utilities\RefineRTDCRunTimes.py" --tripid 802-05 --locoid 4019 --swversion DE.1.0.9.0 --startMP 300:58621 --initTime 2017-09-05T05:57:34 --startdatetime 2017-09-05T06:07:08 --delay 211 --endMP 204:668 --enddatetime 2017-09-05T06:26:27 --enforcementcount 0 &gt;&gt;C:\Users\stu\Documents\GitHub\eaglep3-reporting\EC\2017-09-05-refined-times.txt</v>
      </c>
      <c r="AI160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{"issue":{"subject":"","project_id":79,"tracker_id":40,"status_id":1,"priority_id":2,"assigned_to_id":338,"start_date":"2017-09-05","description":"","custom_fields":[{"id":1,"name":"Subdivision","value":"NW"},{"id":4,"name":"Milepost","value":"0.0668"},{"id":17,"name":"Train ID","value":"802-05"},{"id":16,"name":"Locomotive ID","value":"4019"},{"id":130,"name":"Impact","value":""},{"id":150,"name":"Time of Event (Mountain Time)","value":"06:26:27"},{"id":151,"name":"Denver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55"/>
        <v>start /low /b %USERPROFILE%\Documents\GitHub\eaglep3\Utilities\DownloadLogsFromS3.py --loco 4019 --day 2017-09-05</v>
      </c>
      <c r="AN160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651</v>
      </c>
      <c r="B161" s="7">
        <v>4064</v>
      </c>
      <c r="C161" s="21" t="s">
        <v>197</v>
      </c>
      <c r="D161" s="21" t="s">
        <v>560</v>
      </c>
      <c r="E161" s="13">
        <v>42983.244849537034</v>
      </c>
      <c r="F161" s="13">
        <v>42983.257060185184</v>
      </c>
      <c r="G161" s="7">
        <v>81</v>
      </c>
      <c r="H161" s="21" t="s">
        <v>462</v>
      </c>
      <c r="I161" s="13">
        <v>42983.26699074074</v>
      </c>
      <c r="J161" s="7">
        <v>0</v>
      </c>
      <c r="K161" s="89" t="str">
        <f t="shared" si="142"/>
        <v>4063/4064</v>
      </c>
      <c r="L161" s="214" t="str">
        <f>VLOOKUP(A161,'Trips&amp;Operators'!$C$1:$G$99911,5,FALSE)</f>
        <v>FORTUNATO FRANK</v>
      </c>
      <c r="M161" s="6">
        <f t="shared" si="143"/>
        <v>9.930555555911269E-3</v>
      </c>
      <c r="N161" s="7">
        <f t="shared" si="144"/>
        <v>14.300000000512227</v>
      </c>
      <c r="O161" s="7"/>
      <c r="P161" s="7"/>
      <c r="Q161" s="22"/>
      <c r="R161" s="167"/>
      <c r="S161" s="210">
        <f t="shared" si="145"/>
        <v>1</v>
      </c>
      <c r="T161" s="192" t="str">
        <f t="shared" si="146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124"/>
        <v>https://d0f6bd738d7f1b3e5a7ca70fe4ff75f0.us-east-1.aws.found.io/app/kibana#/discover/Steve-Slow-Train-Analysis-(2080s-and-2083s)?_g=(refreshInterval:(display:Off,pause:!f,section:0,value:0),time:(from:'2017-09-05T04:52:35-0600',mode:absolute,to:'2017-09-05T07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194" t="str">
        <f>IF(AA161&lt;VLOOKUP(AG161,Variables!$AC$3:$AD$8,2,FALSE),"Y","N")</f>
        <v>N</v>
      </c>
      <c r="X161" s="194">
        <f t="shared" si="157"/>
        <v>1</v>
      </c>
      <c r="Y161" s="194">
        <f t="shared" si="147"/>
        <v>9.6500000000000002E-2</v>
      </c>
      <c r="Z161" s="194">
        <f t="shared" si="148"/>
        <v>5.8960999999999997</v>
      </c>
      <c r="AA161" s="194">
        <f t="shared" si="149"/>
        <v>5.7995999999999999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150"/>
        <v>803</v>
      </c>
      <c r="AE161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61" s="74" t="str">
        <f t="shared" si="126"/>
        <v>"C:\Program Files (x86)\AstroGrep\AstroGrep.exe" /e /r /s /spath="%USERPROFILE%\AppData\Local\Temp\OnboardLogs" /stypes="app*4064*20170905*" /stext=" 12:.+((SYSTEM_STATE.+slice.+state.+changed )|(ment ac)|(multiple cpu faults)|(system.+state.+changed )|(\[timeout)|(PRM\|1\|D)|(kpr)|(kdp)|(train st.+moving)|(\|lc)|(penalty))"</v>
      </c>
      <c r="AG161" s="206" t="str">
        <f t="shared" si="151"/>
        <v>NW</v>
      </c>
      <c r="AH161" s="78" t="str">
        <f t="shared" si="153"/>
        <v>"%USERPROFILE%\Documents\GitHub\eaglep3\Utilities\RefineRTDCRunTimes.py" --tripid 803-05 --locoid 4064 --swversion DE.1.0.9.0 --startMP 204:965 --initTime 2017-09-05T05:52:35 --startdatetime 2017-09-05T06:10:10 --delay 81 --endMP 300:58961 --enddatetime 2017-09-05T06:24:28 --enforcementcount 0 &gt;&gt;C:\Users\stu\Documents\GitHub\eaglep3-reporting\EC\2017-09-05-refined-times.txt</v>
      </c>
      <c r="AI161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{"issue":{"subject":"","project_id":79,"tracker_id":40,"status_id":1,"priority_id":2,"assigned_to_id":338,"start_date":"2017-09-05","description":"","custom_fields":[{"id":1,"name":"Subdivision","value":"NW"},{"id":4,"name":"Milepost","value":"5.8961"},{"id":17,"name":"Train ID","value":"803-05"},{"id":16,"name":"Locomotive ID","value":"4064"},{"id":130,"name":"Impact","value":""},{"id":150,"name":"Time of Event (Mountain Time)","value":"06:24:28"},{"id":151,"name":"Denver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55"/>
        <v>start /low /b %USERPROFILE%\Documents\GitHub\eaglep3\Utilities\DownloadLogsFromS3.py --loco 4064 --day 2017-09-05</v>
      </c>
      <c r="AN161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658</v>
      </c>
      <c r="B162" s="7">
        <v>4063</v>
      </c>
      <c r="C162" s="21" t="s">
        <v>197</v>
      </c>
      <c r="D162" s="21" t="s">
        <v>919</v>
      </c>
      <c r="E162" s="13">
        <v>42983.268194444441</v>
      </c>
      <c r="F162" s="13">
        <v>42983.274502314816</v>
      </c>
      <c r="G162" s="7">
        <v>84</v>
      </c>
      <c r="H162" s="21" t="s">
        <v>497</v>
      </c>
      <c r="I162" s="13">
        <v>42983.288240740738</v>
      </c>
      <c r="J162" s="7">
        <v>0</v>
      </c>
      <c r="K162" s="89" t="str">
        <f t="shared" si="142"/>
        <v>4063/4064</v>
      </c>
      <c r="L162" s="214" t="str">
        <f>VLOOKUP(A162,'Trips&amp;Operators'!$C$1:$G$99911,5,FALSE)</f>
        <v>FORTUNATO FRANK</v>
      </c>
      <c r="M162" s="6">
        <f t="shared" si="143"/>
        <v>1.3738425921474118E-2</v>
      </c>
      <c r="N162" s="7">
        <f t="shared" si="144"/>
        <v>19.78333332692273</v>
      </c>
      <c r="O162" s="7"/>
      <c r="P162" s="7"/>
      <c r="Q162" s="22"/>
      <c r="R162" s="167"/>
      <c r="S162" s="210">
        <f t="shared" si="145"/>
        <v>1</v>
      </c>
      <c r="T162" s="192" t="str">
        <f t="shared" si="146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124"/>
        <v>https://d0f6bd738d7f1b3e5a7ca70fe4ff75f0.us-east-1.aws.found.io/app/kibana#/discover/Steve-Slow-Train-Analysis-(2080s-and-2083s)?_g=(refreshInterval:(display:Off,pause:!f,section:0,value:0),time:(from:'2017-09-05T05:26:12-0600',mode:absolute,to:'2017-09-05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194" t="str">
        <f>IF(AA162&lt;VLOOKUP(AG162,Variables!$AC$3:$AD$8,2,FALSE),"Y","N")</f>
        <v>N</v>
      </c>
      <c r="X162" s="194">
        <f t="shared" ref="X162:X203" si="162">VALUE(LEFT(AD162,4))-VALUE(LEFT(AD161,4))</f>
        <v>1</v>
      </c>
      <c r="Y162" s="194">
        <f t="shared" si="147"/>
        <v>5.8644999999999996</v>
      </c>
      <c r="Z162" s="194">
        <f t="shared" si="148"/>
        <v>6.8699999999999997E-2</v>
      </c>
      <c r="AA162" s="194">
        <f t="shared" si="149"/>
        <v>5.7957999999999998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150"/>
        <v>804</v>
      </c>
      <c r="AE162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62" s="74" t="str">
        <f t="shared" si="126"/>
        <v>"C:\Program Files (x86)\AstroGrep\AstroGrep.exe" /e /r /s /spath="%USERPROFILE%\AppData\Local\Temp\OnboardLogs" /stypes="app*4063*20170905*" /stext=" 12:.+((SYSTEM_STATE.+slice.+state.+changed )|(ment ac)|(multiple cpu faults)|(system.+state.+changed )|(\[timeout)|(PRM\|1\|D)|(kpr)|(kdp)|(train st.+moving)|(\|lc)|(penalty))"</v>
      </c>
      <c r="AG162" s="206" t="str">
        <f t="shared" si="151"/>
        <v>NW</v>
      </c>
      <c r="AH162" s="78" t="str">
        <f t="shared" si="153"/>
        <v>"%USERPROFILE%\Documents\GitHub\eaglep3\Utilities\RefineRTDCRunTimes.py" --tripid 804-05 --locoid 4063 --swversion DE.1.0.9.0 --startMP 300:58645 --initTime 2017-09-05T06:26:12 --startdatetime 2017-09-05T06:35:17 --delay 84 --endMP 204:687 --enddatetime 2017-09-05T06:55:04 --enforcementcount 0 &gt;&gt;C:\Users\stu\Documents\GitHub\eaglep3-reporting\EC\2017-09-05-refined-times.txt</v>
      </c>
      <c r="AI162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{"issue":{"subject":"","project_id":79,"tracker_id":40,"status_id":1,"priority_id":2,"assigned_to_id":338,"start_date":"2017-09-05","description":"","custom_fields":[{"id":1,"name":"Subdivision","value":"NW"},{"id":4,"name":"Milepost","value":"0.0687"},{"id":17,"name":"Train ID","value":"804-05"},{"id":16,"name":"Locomotive ID","value":"4063"},{"id":130,"name":"Impact","value":""},{"id":150,"name":"Time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55"/>
        <v>start /low /b %USERPROFILE%\Documents\GitHub\eaglep3\Utilities\DownloadLogsFromS3.py --loco 4063 --day 2017-09-05</v>
      </c>
      <c r="AN162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659</v>
      </c>
      <c r="B163" s="7">
        <v>4020</v>
      </c>
      <c r="C163" s="21" t="s">
        <v>197</v>
      </c>
      <c r="D163" s="21" t="s">
        <v>463</v>
      </c>
      <c r="E163" s="13">
        <v>42983.273865740739</v>
      </c>
      <c r="F163" s="13">
        <v>42983.277280092596</v>
      </c>
      <c r="G163" s="7">
        <v>93</v>
      </c>
      <c r="H163" s="21" t="s">
        <v>920</v>
      </c>
      <c r="I163" s="13">
        <v>42983.288460648146</v>
      </c>
      <c r="J163" s="7">
        <v>0</v>
      </c>
      <c r="K163" s="89" t="str">
        <f t="shared" si="142"/>
        <v>4019/4020</v>
      </c>
      <c r="L163" s="214" t="str">
        <f>VLOOKUP(A163,'Trips&amp;Operators'!$C$1:$G$99911,5,FALSE)</f>
        <v>BARRON PERLA</v>
      </c>
      <c r="M163" s="6">
        <f t="shared" si="143"/>
        <v>1.1180555549799465E-2</v>
      </c>
      <c r="N163" s="7">
        <f t="shared" si="144"/>
        <v>16.099999991711229</v>
      </c>
      <c r="O163" s="7"/>
      <c r="P163" s="7"/>
      <c r="Q163" s="22"/>
      <c r="R163" s="167"/>
      <c r="S163" s="210">
        <f t="shared" si="145"/>
        <v>1</v>
      </c>
      <c r="T163" s="192" t="str">
        <f t="shared" si="146"/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124"/>
        <v>https://d0f6bd738d7f1b3e5a7ca70fe4ff75f0.us-east-1.aws.found.io/app/kibana#/discover/Steve-Slow-Train-Analysis-(2080s-and-2083s)?_g=(refreshInterval:(display:Off,pause:!f,section:0,value:0),time:(from:'2017-09-05T05:34:22-0600',mode:absolute,to:'2017-09-05T07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3" s="194" t="str">
        <f>IF(AA163&lt;VLOOKUP(AG163,Variables!$AC$3:$AD$8,2,FALSE),"Y","N")</f>
        <v>N</v>
      </c>
      <c r="X163" s="194">
        <f t="shared" si="162"/>
        <v>1</v>
      </c>
      <c r="Y163" s="194">
        <f t="shared" si="147"/>
        <v>9.64E-2</v>
      </c>
      <c r="Z163" s="194">
        <f t="shared" si="148"/>
        <v>5.8930999999999996</v>
      </c>
      <c r="AA163" s="194">
        <f t="shared" si="149"/>
        <v>5.7966999999999995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150"/>
        <v>805</v>
      </c>
      <c r="AE163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63" s="74" t="str">
        <f t="shared" si="126"/>
        <v>"C:\Program Files (x86)\AstroGrep\AstroGrep.exe" /e /r /s /spath="%USERPROFILE%\AppData\Local\Temp\OnboardLogs" /stypes="app*4020*20170905*" /stext=" 12:.+((SYSTEM_STATE.+slice.+state.+changed )|(ment ac)|(multiple cpu faults)|(system.+state.+changed )|(\[timeout)|(PRM\|1\|D)|(kpr)|(kdp)|(train st.+moving)|(\|lc)|(penalty))"</v>
      </c>
      <c r="AG163" s="206" t="str">
        <f t="shared" si="151"/>
        <v>NW</v>
      </c>
      <c r="AH163" s="78" t="str">
        <f t="shared" si="153"/>
        <v>"%USERPROFILE%\Documents\GitHub\eaglep3\Utilities\RefineRTDCRunTimes.py" --tripid 805-05 --locoid 4020 --swversion DE.1.0.9.0 --startMP 204:964 --initTime 2017-09-05T06:34:22 --startdatetime 2017-09-05T06:39:17 --delay 93 --endMP 300:58931 --enddatetime 2017-09-05T06:55:23 --enforcementcount 0 &gt;&gt;C:\Users\stu\Documents\GitHub\eaglep3-reporting\EC\2017-09-05-refined-times.txt</v>
      </c>
      <c r="AI163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{"issue":{"subject":"","project_id":79,"tracker_id":40,"status_id":1,"priority_id":2,"assigned_to_id":338,"start_date":"2017-09-05","description":"","custom_fields":[{"id":1,"name":"Subdivision","value":"NW"},{"id":4,"name":"Milepost","value":"5.8931"},{"id":17,"name":"Train ID","value":"805-05"},{"id":16,"name":"Locomotive ID","value":"4020"},{"id":130,"name":"Impact","value":""},{"id":150,"name":"Time of Event (Mountain Time)","value":"06:55:23"},{"id":151,"name":"Denver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55"/>
        <v>start /low /b %USERPROFILE%\Documents\GitHub\eaglep3\Utilities\DownloadLogsFromS3.py --loco 4020 --day 2017-09-05</v>
      </c>
      <c r="AN163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664</v>
      </c>
      <c r="B164" s="7">
        <v>4019</v>
      </c>
      <c r="C164" s="21" t="s">
        <v>197</v>
      </c>
      <c r="D164" s="21" t="s">
        <v>438</v>
      </c>
      <c r="E164" s="13">
        <v>42983.290266203701</v>
      </c>
      <c r="F164" s="13">
        <v>42983.295810185184</v>
      </c>
      <c r="G164" s="7">
        <v>89</v>
      </c>
      <c r="H164" s="21" t="s">
        <v>921</v>
      </c>
      <c r="I164" s="13">
        <v>42983.309756944444</v>
      </c>
      <c r="J164" s="7">
        <v>0</v>
      </c>
      <c r="K164" s="89" t="str">
        <f t="shared" si="142"/>
        <v>4019/4020</v>
      </c>
      <c r="L164" s="214" t="str">
        <f>VLOOKUP(A164,'Trips&amp;Operators'!$C$1:$G$99911,5,FALSE)</f>
        <v>BARRON PERLA</v>
      </c>
      <c r="M164" s="6">
        <f t="shared" si="143"/>
        <v>1.3946759259852115E-2</v>
      </c>
      <c r="N164" s="7">
        <f t="shared" si="144"/>
        <v>20.083333334187046</v>
      </c>
      <c r="O164" s="7"/>
      <c r="P164" s="7"/>
      <c r="Q164" s="22"/>
      <c r="R164" s="167"/>
      <c r="S164" s="210">
        <f t="shared" si="145"/>
        <v>1</v>
      </c>
      <c r="T164" s="192" t="str">
        <f t="shared" si="146"/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124"/>
        <v>https://d0f6bd738d7f1b3e5a7ca70fe4ff75f0.us-east-1.aws.found.io/app/kibana#/discover/Steve-Slow-Train-Analysis-(2080s-and-2083s)?_g=(refreshInterval:(display:Off,pause:!f,section:0,value:0),time:(from:'2017-09-05T05:57:59-0600',mode:absolute,to:'2017-09-05T08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4" s="194" t="str">
        <f>IF(AA164&lt;VLOOKUP(AG164,Variables!$AC$3:$AD$8,2,FALSE),"Y","N")</f>
        <v>N</v>
      </c>
      <c r="X164" s="194">
        <f t="shared" si="162"/>
        <v>1</v>
      </c>
      <c r="Y164" s="194">
        <f t="shared" si="147"/>
        <v>5.8623000000000003</v>
      </c>
      <c r="Z164" s="194">
        <f t="shared" si="148"/>
        <v>6.8000000000000005E-2</v>
      </c>
      <c r="AA164" s="194">
        <f t="shared" si="149"/>
        <v>5.7943000000000007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150"/>
        <v>806</v>
      </c>
      <c r="AE164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64" s="74" t="str">
        <f t="shared" si="126"/>
        <v>"C:\Program Files (x86)\AstroGrep\AstroGrep.exe" /e /r /s /spath="%USERPROFILE%\AppData\Local\Temp\OnboardLogs" /stypes="app*4019*20170905*" /stext=" 13:.+((SYSTEM_STATE.+slice.+state.+changed )|(ment ac)|(multiple cpu faults)|(system.+state.+changed )|(\[timeout)|(PRM\|1\|D)|(kpr)|(kdp)|(train st.+moving)|(\|lc)|(penalty))"</v>
      </c>
      <c r="AG164" s="206" t="str">
        <f t="shared" si="151"/>
        <v>NW</v>
      </c>
      <c r="AH164" s="78" t="str">
        <f t="shared" si="153"/>
        <v>"%USERPROFILE%\Documents\GitHub\eaglep3\Utilities\RefineRTDCRunTimes.py" --tripid 806-05 --locoid 4019 --swversion DE.1.0.9.0 --startMP 300:58623 --initTime 2017-09-05T06:57:59 --startdatetime 2017-09-05T07:05:58 --delay 89 --endMP 204:680 --enddatetime 2017-09-05T07:26:03 --enforcementcount 0 &gt;&gt;C:\Users\stu\Documents\GitHub\eaglep3-reporting\EC\2017-09-05-refined-times.txt</v>
      </c>
      <c r="AI164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{"issue":{"subject":"","project_id":79,"tracker_id":40,"status_id":1,"priority_id":2,"assigned_to_id":338,"start_date":"2017-09-05","description":"","custom_fields":[{"id":1,"name":"Subdivision","value":"NW"},{"id":4,"name":"Milepost","value":"0.068"},{"id":17,"name":"Train ID","value":"806-05"},{"id":16,"name":"Locomotive ID","value":"4019"},{"id":130,"name":"Impact","value":""},{"id":150,"name":"Time of Event (Mountain Time)","value":"07:26:03"},{"id":151,"name":"Denver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55"/>
        <v>start /low /b %USERPROFILE%\Documents\GitHub\eaglep3\Utilities\DownloadLogsFromS3.py --loco 4019 --day 2017-09-05</v>
      </c>
      <c r="AN164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578</v>
      </c>
      <c r="B165" s="7">
        <v>4064</v>
      </c>
      <c r="C165" s="21" t="s">
        <v>197</v>
      </c>
      <c r="D165" s="21" t="s">
        <v>922</v>
      </c>
      <c r="E165" s="13">
        <v>42983.289456018516</v>
      </c>
      <c r="F165" s="13">
        <v>42983.298090277778</v>
      </c>
      <c r="G165" s="7">
        <v>59</v>
      </c>
      <c r="H165" s="21" t="s">
        <v>923</v>
      </c>
      <c r="I165" s="13">
        <v>42983.308900462966</v>
      </c>
      <c r="J165" s="7">
        <v>0</v>
      </c>
      <c r="K165" s="89" t="str">
        <f t="shared" si="142"/>
        <v>4063/4064</v>
      </c>
      <c r="L165" s="214" t="str">
        <f>VLOOKUP(A165,'Trips&amp;Operators'!$C$1:$G$99911,5,FALSE)</f>
        <v>FORTUNATO FRANK</v>
      </c>
      <c r="M165" s="6">
        <f t="shared" si="143"/>
        <v>1.0810185187438037E-2</v>
      </c>
      <c r="N165" s="7">
        <f t="shared" si="144"/>
        <v>15.566666669910774</v>
      </c>
      <c r="O165" s="7"/>
      <c r="P165" s="7"/>
      <c r="Q165" s="22"/>
      <c r="R165" s="167"/>
      <c r="S165" s="210">
        <f t="shared" si="145"/>
        <v>1</v>
      </c>
      <c r="T165" s="192" t="str">
        <f t="shared" si="146"/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124"/>
        <v>https://d0f6bd738d7f1b3e5a7ca70fe4ff75f0.us-east-1.aws.found.io/app/kibana#/discover/Steve-Slow-Train-Analysis-(2080s-and-2083s)?_g=(refreshInterval:(display:Off,pause:!f,section:0,value:0),time:(from:'2017-09-05T05:56:49-0600',mode:absolute,to:'2017-09-05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194" t="str">
        <f>IF(AA165&lt;VLOOKUP(AG165,Variables!$AC$3:$AD$8,2,FALSE),"Y","N")</f>
        <v>N</v>
      </c>
      <c r="X165" s="194">
        <f t="shared" si="162"/>
        <v>1</v>
      </c>
      <c r="Y165" s="194">
        <f t="shared" si="147"/>
        <v>9.5500000000000002E-2</v>
      </c>
      <c r="Z165" s="194">
        <f t="shared" si="148"/>
        <v>5.8982000000000001</v>
      </c>
      <c r="AA165" s="194">
        <f t="shared" si="149"/>
        <v>5.8026999999999997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150"/>
        <v>807</v>
      </c>
      <c r="AE165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65" s="74" t="str">
        <f t="shared" si="126"/>
        <v>"C:\Program Files (x86)\AstroGrep\AstroGrep.exe" /e /r /s /spath="%USERPROFILE%\AppData\Local\Temp\OnboardLogs" /stypes="app*4064*20170905*" /stext=" 13:.+((SYSTEM_STATE.+slice.+state.+changed )|(ment ac)|(multiple cpu faults)|(system.+state.+changed )|(\[timeout)|(PRM\|1\|D)|(kpr)|(kdp)|(train st.+moving)|(\|lc)|(penalty))"</v>
      </c>
      <c r="AG165" s="206" t="str">
        <f t="shared" si="151"/>
        <v>NW</v>
      </c>
      <c r="AH165" s="78" t="str">
        <f t="shared" si="153"/>
        <v>"%USERPROFILE%\Documents\GitHub\eaglep3\Utilities\RefineRTDCRunTimes.py" --tripid 807-05 --locoid 4064 --swversion DE.1.0.9.0 --startMP 204:955 --initTime 2017-09-05T06:56:49 --startdatetime 2017-09-05T07:09:15 --delay 59 --endMP 300:58982 --enddatetime 2017-09-05T07:24:49 --enforcementcount 0 &gt;&gt;C:\Users\stu\Documents\GitHub\eaglep3-reporting\EC\2017-09-05-refined-times.txt</v>
      </c>
      <c r="AI165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{"issue":{"subject":"","project_id":79,"tracker_id":40,"status_id":1,"priority_id":2,"assigned_to_id":338,"start_date":"2017-09-05","description":"","custom_fields":[{"id":1,"name":"Subdivision","value":"NW"},{"id":4,"name":"Milepost","value":"5.8982"},{"id":17,"name":"Train ID","value":"807-05"},{"id":16,"name":"Locomotive ID","value":"4064"},{"id":130,"name":"Impact","value":""},{"id":150,"name":"Time of Event (Mountain Time)","value":"07:24:49"},{"id":151,"name":"Denver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55"/>
        <v>start /low /b %USERPROFILE%\Documents\GitHub\eaglep3\Utilities\DownloadLogsFromS3.py --loco 4064 --day 2017-09-05</v>
      </c>
      <c r="AN165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582</v>
      </c>
      <c r="B166" s="7">
        <v>4063</v>
      </c>
      <c r="C166" s="21" t="s">
        <v>197</v>
      </c>
      <c r="D166" s="21" t="s">
        <v>924</v>
      </c>
      <c r="E166" s="13">
        <v>42983.309687499997</v>
      </c>
      <c r="F166" s="13">
        <v>42983.317997685182</v>
      </c>
      <c r="G166" s="7">
        <v>105</v>
      </c>
      <c r="H166" s="21" t="s">
        <v>567</v>
      </c>
      <c r="I166" s="13">
        <v>42983.330671296295</v>
      </c>
      <c r="J166" s="7">
        <v>0</v>
      </c>
      <c r="K166" s="89" t="str">
        <f t="shared" si="142"/>
        <v>4063/4064</v>
      </c>
      <c r="L166" s="214" t="str">
        <f>VLOOKUP(A166,'Trips&amp;Operators'!$C$1:$G$99911,5,FALSE)</f>
        <v>FORTUNATO FRANK</v>
      </c>
      <c r="M166" s="6">
        <f t="shared" si="143"/>
        <v>1.2673611112404615E-2</v>
      </c>
      <c r="N166" s="7">
        <f t="shared" si="144"/>
        <v>18.250000001862645</v>
      </c>
      <c r="O166" s="7"/>
      <c r="P166" s="7"/>
      <c r="Q166" s="22"/>
      <c r="R166" s="167"/>
      <c r="S166" s="210">
        <f t="shared" si="145"/>
        <v>1</v>
      </c>
      <c r="T166" s="192" t="str">
        <f t="shared" si="146"/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124"/>
        <v>https://d0f6bd738d7f1b3e5a7ca70fe4ff75f0.us-east-1.aws.found.io/app/kibana#/discover/Steve-Slow-Train-Analysis-(2080s-and-2083s)?_g=(refreshInterval:(display:Off,pause:!f,section:0,value:0),time:(from:'2017-09-05T06:25:57-0600',mode:absolute,to:'2017-09-05T08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194" t="str">
        <f>IF(AA166&lt;VLOOKUP(AG166,Variables!$AC$3:$AD$8,2,FALSE),"Y","N")</f>
        <v>N</v>
      </c>
      <c r="X166" s="194">
        <f t="shared" si="162"/>
        <v>1</v>
      </c>
      <c r="Y166" s="194">
        <f t="shared" si="147"/>
        <v>5.8674999999999997</v>
      </c>
      <c r="Z166" s="194">
        <f t="shared" si="148"/>
        <v>6.7699999999999996E-2</v>
      </c>
      <c r="AA166" s="194">
        <f t="shared" si="149"/>
        <v>5.7997999999999994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150"/>
        <v>808</v>
      </c>
      <c r="AE166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66" s="74" t="str">
        <f t="shared" si="126"/>
        <v>"C:\Program Files (x86)\AstroGrep\AstroGrep.exe" /e /r /s /spath="%USERPROFILE%\AppData\Local\Temp\OnboardLogs" /stypes="app*4063*20170905*" /stext=" 13:.+((SYSTEM_STATE.+slice.+state.+changed )|(ment ac)|(multiple cpu faults)|(system.+state.+changed )|(\[timeout)|(PRM\|1\|D)|(kpr)|(kdp)|(train st.+moving)|(\|lc)|(penalty))"</v>
      </c>
      <c r="AG166" s="206" t="str">
        <f t="shared" si="151"/>
        <v>NW</v>
      </c>
      <c r="AH166" s="78" t="str">
        <f t="shared" si="153"/>
        <v>"%USERPROFILE%\Documents\GitHub\eaglep3\Utilities\RefineRTDCRunTimes.py" --tripid 808-05 --locoid 4063 --swversion DE.1.0.9.0 --startMP 300:58675 --initTime 2017-09-05T07:25:57 --startdatetime 2017-09-05T07:37:55 --delay 105 --endMP 204:677 --enddatetime 2017-09-05T07:56:10 --enforcementcount 0 &gt;&gt;C:\Users\stu\Documents\GitHub\eaglep3-reporting\EC\2017-09-05-refined-times.txt</v>
      </c>
      <c r="AI166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{"issue":{"subject":"","project_id":79,"tracker_id":40,"status_id":1,"priority_id":2,"assigned_to_id":338,"start_date":"2017-09-05","description":"","custom_fields":[{"id":1,"name":"Subdivision","value":"NW"},{"id":4,"name":"Milepost","value":"0.0677"},{"id":17,"name":"Train ID","value":"808-05"},{"id":16,"name":"Locomotive ID","value":"4063"},{"id":130,"name":"Impact","value":""},{"id":150,"name":"Time of Event (Mountain Time)","value":"07:56:10"},{"id":151,"name":"Denver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55"/>
        <v>start /low /b %USERPROFILE%\Documents\GitHub\eaglep3\Utilities\DownloadLogsFromS3.py --loco 4063 --day 2017-09-05</v>
      </c>
      <c r="AN166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665</v>
      </c>
      <c r="B167" s="7">
        <v>4020</v>
      </c>
      <c r="C167" s="21" t="s">
        <v>197</v>
      </c>
      <c r="D167" s="21" t="s">
        <v>448</v>
      </c>
      <c r="E167" s="13">
        <v>42983.312418981484</v>
      </c>
      <c r="F167" s="13">
        <v>42983.318958333337</v>
      </c>
      <c r="G167" s="7">
        <v>120</v>
      </c>
      <c r="H167" s="21" t="s">
        <v>556</v>
      </c>
      <c r="I167" s="13">
        <v>42983.329965277779</v>
      </c>
      <c r="J167" s="7">
        <v>0</v>
      </c>
      <c r="K167" s="89" t="str">
        <f t="shared" si="142"/>
        <v>4019/4020</v>
      </c>
      <c r="L167" s="214" t="str">
        <f>VLOOKUP(A167,'Trips&amp;Operators'!$C$1:$G$99911,5,FALSE)</f>
        <v>BARRON PERLA</v>
      </c>
      <c r="M167" s="6">
        <f t="shared" si="143"/>
        <v>1.1006944441760425E-2</v>
      </c>
      <c r="N167" s="7">
        <f t="shared" si="144"/>
        <v>15.849999996135011</v>
      </c>
      <c r="O167" s="7"/>
      <c r="P167" s="7"/>
      <c r="Q167" s="22"/>
      <c r="R167" s="167"/>
      <c r="S167" s="210">
        <f t="shared" si="145"/>
        <v>1</v>
      </c>
      <c r="T167" s="192" t="str">
        <f t="shared" si="146"/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124"/>
        <v>https://d0f6bd738d7f1b3e5a7ca70fe4ff75f0.us-east-1.aws.found.io/app/kibana#/discover/Steve-Slow-Train-Analysis-(2080s-and-2083s)?_g=(refreshInterval:(display:Off,pause:!f,section:0,value:0),time:(from:'2017-09-05T06:29:53-0600',mode:absolute,to:'2017-09-05T08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7" s="194" t="str">
        <f>IF(AA167&lt;VLOOKUP(AG167,Variables!$AC$3:$AD$8,2,FALSE),"Y","N")</f>
        <v>N</v>
      </c>
      <c r="X167" s="194">
        <f t="shared" si="162"/>
        <v>1</v>
      </c>
      <c r="Y167" s="194">
        <f t="shared" si="147"/>
        <v>9.7600000000000006E-2</v>
      </c>
      <c r="Z167" s="194">
        <f t="shared" si="148"/>
        <v>5.8973000000000004</v>
      </c>
      <c r="AA167" s="194">
        <f t="shared" si="149"/>
        <v>5.7997000000000005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150"/>
        <v>809</v>
      </c>
      <c r="AE167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67" s="74" t="str">
        <f t="shared" si="126"/>
        <v>"C:\Program Files (x86)\AstroGrep\AstroGrep.exe" /e /r /s /spath="%USERPROFILE%\AppData\Local\Temp\OnboardLogs" /stypes="app*4020*20170905*" /stext=" 13:.+((SYSTEM_STATE.+slice.+state.+changed )|(ment ac)|(multiple cpu faults)|(system.+state.+changed )|(\[timeout)|(PRM\|1\|D)|(kpr)|(kdp)|(train st.+moving)|(\|lc)|(penalty))"</v>
      </c>
      <c r="AG167" s="206" t="str">
        <f t="shared" si="151"/>
        <v>NW</v>
      </c>
      <c r="AH167" s="78" t="str">
        <f t="shared" si="153"/>
        <v>"%USERPROFILE%\Documents\GitHub\eaglep3\Utilities\RefineRTDCRunTimes.py" --tripid 809-05 --locoid 4020 --swversion DE.1.0.9.0 --startMP 204:976 --initTime 2017-09-05T07:29:53 --startdatetime 2017-09-05T07:39:18 --delay 120 --endMP 300:58973 --enddatetime 2017-09-05T07:55:09 --enforcementcount 0 &gt;&gt;C:\Users\stu\Documents\GitHub\eaglep3-reporting\EC\2017-09-05-refined-times.txt</v>
      </c>
      <c r="AI167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{"issue":{"subject":"","project_id":79,"tracker_id":40,"status_id":1,"priority_id":2,"assigned_to_id":338,"start_date":"2017-09-05","description":"","custom_fields":[{"id":1,"name":"Subdivision","value":"NW"},{"id":4,"name":"Milepost","value":"5.8973"},{"id":17,"name":"Train ID","value":"809-05"},{"id":16,"name":"Locomotive ID","value":"4020"},{"id":130,"name":"Impact","value":""},{"id":150,"name":"Time of Event (Mountain Time)","value":"07:55:09"},{"id":151,"name":"Denver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55"/>
        <v>start /low /b %USERPROFILE%\Documents\GitHub\eaglep3\Utilities\DownloadLogsFromS3.py --loco 4020 --day 2017-09-05</v>
      </c>
      <c r="AN167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586</v>
      </c>
      <c r="B168" s="7">
        <v>4019</v>
      </c>
      <c r="C168" s="21" t="s">
        <v>197</v>
      </c>
      <c r="D168" s="21" t="s">
        <v>925</v>
      </c>
      <c r="E168" s="13">
        <v>42983.331631944442</v>
      </c>
      <c r="F168" s="13">
        <v>42983.337337962963</v>
      </c>
      <c r="G168" s="7">
        <v>85</v>
      </c>
      <c r="H168" s="21" t="s">
        <v>564</v>
      </c>
      <c r="I168" s="13">
        <v>42983.351342592592</v>
      </c>
      <c r="J168" s="7">
        <v>0</v>
      </c>
      <c r="K168" s="89" t="str">
        <f t="shared" si="142"/>
        <v>4019/4020</v>
      </c>
      <c r="L168" s="214" t="str">
        <f>VLOOKUP(A168,'Trips&amp;Operators'!$C$1:$G$99911,5,FALSE)</f>
        <v>BARRON PERLA</v>
      </c>
      <c r="M168" s="6">
        <f t="shared" si="143"/>
        <v>1.4004629629198462E-2</v>
      </c>
      <c r="N168" s="7">
        <f t="shared" si="144"/>
        <v>20.166666666045785</v>
      </c>
      <c r="O168" s="7"/>
      <c r="P168" s="7"/>
      <c r="Q168" s="22"/>
      <c r="R168" s="167"/>
      <c r="S168" s="210">
        <f t="shared" si="145"/>
        <v>1</v>
      </c>
      <c r="T168" s="192" t="str">
        <f t="shared" si="146"/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124"/>
        <v>https://d0f6bd738d7f1b3e5a7ca70fe4ff75f0.us-east-1.aws.found.io/app/kibana#/discover/Steve-Slow-Train-Analysis-(2080s-and-2083s)?_g=(refreshInterval:(display:Off,pause:!f,section:0,value:0),time:(from:'2017-09-05T06:57:33-0600',mode:absolute,to:'2017-09-05T09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8" s="194" t="str">
        <f>IF(AA168&lt;VLOOKUP(AG168,Variables!$AC$3:$AD$8,2,FALSE),"Y","N")</f>
        <v>N</v>
      </c>
      <c r="X168" s="194">
        <f t="shared" si="162"/>
        <v>1</v>
      </c>
      <c r="Y168" s="194">
        <f t="shared" si="147"/>
        <v>5.8658000000000001</v>
      </c>
      <c r="Z168" s="194">
        <f t="shared" si="148"/>
        <v>6.9900000000000004E-2</v>
      </c>
      <c r="AA168" s="194">
        <f t="shared" si="149"/>
        <v>5.7959000000000005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150"/>
        <v>810</v>
      </c>
      <c r="AE168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68" s="74" t="str">
        <f t="shared" si="126"/>
        <v>"C:\Program Files (x86)\AstroGrep\AstroGrep.exe" /e /r /s /spath="%USERPROFILE%\AppData\Local\Temp\OnboardLogs" /stypes="app*4019*20170905*" /stext=" 14:.+((SYSTEM_STATE.+slice.+state.+changed )|(ment ac)|(multiple cpu faults)|(system.+state.+changed )|(\[timeout)|(PRM\|1\|D)|(kpr)|(kdp)|(train st.+moving)|(\|lc)|(penalty))"</v>
      </c>
      <c r="AG168" s="206" t="str">
        <f t="shared" si="151"/>
        <v>NW</v>
      </c>
      <c r="AH168" s="78" t="str">
        <f t="shared" si="153"/>
        <v>"%USERPROFILE%\Documents\GitHub\eaglep3\Utilities\RefineRTDCRunTimes.py" --tripid 810-05 --locoid 4019 --swversion DE.1.0.9.0 --startMP 300:58658 --initTime 2017-09-05T07:57:33 --startdatetime 2017-09-05T08:05:46 --delay 85 --endMP 204:699 --enddatetime 2017-09-05T08:25:56 --enforcementcount 0 &gt;&gt;C:\Users\stu\Documents\GitHub\eaglep3-reporting\EC\2017-09-05-refined-times.txt</v>
      </c>
      <c r="AI168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{"issue":{"subject":"","project_id":79,"tracker_id":40,"status_id":1,"priority_id":2,"assigned_to_id":338,"start_date":"2017-09-05","description":"","custom_fields":[{"id":1,"name":"Subdivision","value":"NW"},{"id":4,"name":"Milepost","value":"0.0699"},{"id":17,"name":"Train ID","value":"810-05"},{"id":16,"name":"Locomotive ID","value":"4019"},{"id":130,"name":"Impact","value":""},{"id":150,"name":"Time of Event (Mountain Time)","value":"08:25:56"},{"id":151,"name":"Denver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55"/>
        <v>start /low /b %USERPROFILE%\Documents\GitHub\eaglep3\Utilities\DownloadLogsFromS3.py --loco 4019 --day 2017-09-05</v>
      </c>
      <c r="AN168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584</v>
      </c>
      <c r="B169" s="7">
        <v>4064</v>
      </c>
      <c r="C169" s="21" t="s">
        <v>197</v>
      </c>
      <c r="D169" s="21" t="s">
        <v>926</v>
      </c>
      <c r="E169" s="13">
        <v>42983.33184027778</v>
      </c>
      <c r="F169" s="13">
        <v>42983.339768518519</v>
      </c>
      <c r="G169" s="7">
        <v>52</v>
      </c>
      <c r="H169" s="21" t="s">
        <v>927</v>
      </c>
      <c r="I169" s="13">
        <v>42983.350775462961</v>
      </c>
      <c r="J169" s="7">
        <v>0</v>
      </c>
      <c r="K169" s="89" t="str">
        <f t="shared" si="142"/>
        <v>4063/4064</v>
      </c>
      <c r="L169" s="214" t="str">
        <f>VLOOKUP(A169,'Trips&amp;Operators'!$C$1:$G$99911,5,FALSE)</f>
        <v>FORTUNATO FRANK</v>
      </c>
      <c r="M169" s="6">
        <f t="shared" si="143"/>
        <v>1.1006944441760425E-2</v>
      </c>
      <c r="N169" s="7">
        <f t="shared" si="144"/>
        <v>15.849999996135011</v>
      </c>
      <c r="O169" s="7"/>
      <c r="P169" s="7"/>
      <c r="Q169" s="22"/>
      <c r="R169" s="167"/>
      <c r="S169" s="210">
        <f t="shared" si="145"/>
        <v>1</v>
      </c>
      <c r="T169" s="192" t="str">
        <f t="shared" si="146"/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124"/>
        <v>https://d0f6bd738d7f1b3e5a7ca70fe4ff75f0.us-east-1.aws.found.io/app/kibana#/discover/Steve-Slow-Train-Analysis-(2080s-and-2083s)?_g=(refreshInterval:(display:Off,pause:!f,section:0,value:0),time:(from:'2017-09-05T06:57:51-0600',mode:absolute,to:'2017-09-05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194" t="str">
        <f>IF(AA169&lt;VLOOKUP(AG169,Variables!$AC$3:$AD$8,2,FALSE),"Y","N")</f>
        <v>N</v>
      </c>
      <c r="X169" s="194">
        <f t="shared" si="162"/>
        <v>1</v>
      </c>
      <c r="Y169" s="194">
        <f t="shared" si="147"/>
        <v>9.69E-2</v>
      </c>
      <c r="Z169" s="194">
        <f t="shared" si="148"/>
        <v>5.8949999999999996</v>
      </c>
      <c r="AA169" s="194">
        <f t="shared" si="149"/>
        <v>5.7980999999999998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150"/>
        <v>811</v>
      </c>
      <c r="AE169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69" s="74" t="str">
        <f t="shared" si="126"/>
        <v>"C:\Program Files (x86)\AstroGrep\AstroGrep.exe" /e /r /s /spath="%USERPROFILE%\AppData\Local\Temp\OnboardLogs" /stypes="app*4064*20170905*" /stext=" 14:.+((SYSTEM_STATE.+slice.+state.+changed )|(ment ac)|(multiple cpu faults)|(system.+state.+changed )|(\[timeout)|(PRM\|1\|D)|(kpr)|(kdp)|(train st.+moving)|(\|lc)|(penalty))"</v>
      </c>
      <c r="AG169" s="206" t="str">
        <f t="shared" si="151"/>
        <v>NW</v>
      </c>
      <c r="AH169" s="78" t="str">
        <f t="shared" si="153"/>
        <v>"%USERPROFILE%\Documents\GitHub\eaglep3\Utilities\RefineRTDCRunTimes.py" --tripid 811-05 --locoid 4064 --swversion DE.1.0.9.0 --startMP 204:969 --initTime 2017-09-05T07:57:51 --startdatetime 2017-09-05T08:09:16 --delay 52 --endMP 300:58950 --enddatetime 2017-09-05T08:25:07 --enforcementcount 0 &gt;&gt;C:\Users\stu\Documents\GitHub\eaglep3-reporting\EC\2017-09-05-refined-times.txt</v>
      </c>
      <c r="AI169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{"issue":{"subject":"","project_id":79,"tracker_id":40,"status_id":1,"priority_id":2,"assigned_to_id":338,"start_date":"2017-09-05","description":"","custom_fields":[{"id":1,"name":"Subdivision","value":"NW"},{"id":4,"name":"Milepost","value":"5.895"},{"id":17,"name":"Train ID","value":"811-05"},{"id":16,"name":"Locomotive ID","value":"4064"},{"id":130,"name":"Impact","value":""},{"id":150,"name":"Time of Event (Mountain Time)","value":"08:25:07"},{"id":151,"name":"Denver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55"/>
        <v>start /low /b %USERPROFILE%\Documents\GitHub\eaglep3\Utilities\DownloadLogsFromS3.py --loco 4064 --day 2017-09-05</v>
      </c>
      <c r="AN169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587</v>
      </c>
      <c r="B170" s="7">
        <v>4063</v>
      </c>
      <c r="C170" s="21" t="s">
        <v>197</v>
      </c>
      <c r="D170" s="21" t="s">
        <v>562</v>
      </c>
      <c r="E170" s="13">
        <v>42983.351712962962</v>
      </c>
      <c r="F170" s="13">
        <v>42983.358668981484</v>
      </c>
      <c r="G170" s="7">
        <v>94</v>
      </c>
      <c r="H170" s="21" t="s">
        <v>928</v>
      </c>
      <c r="I170" s="13">
        <v>42983.372372685182</v>
      </c>
      <c r="J170" s="7">
        <v>0</v>
      </c>
      <c r="K170" s="89" t="str">
        <f t="shared" si="142"/>
        <v>4063/4064</v>
      </c>
      <c r="L170" s="214" t="str">
        <f>VLOOKUP(A170,'Trips&amp;Operators'!$C$1:$G$99911,5,FALSE)</f>
        <v>FORTUNATO FRANK</v>
      </c>
      <c r="M170" s="6">
        <f t="shared" si="143"/>
        <v>1.3703703698411118E-2</v>
      </c>
      <c r="N170" s="7">
        <f t="shared" si="144"/>
        <v>19.73333332571201</v>
      </c>
      <c r="O170" s="7"/>
      <c r="P170" s="7"/>
      <c r="Q170" s="22"/>
      <c r="R170" s="167"/>
      <c r="S170" s="210">
        <f t="shared" si="145"/>
        <v>1</v>
      </c>
      <c r="T170" s="192" t="str">
        <f t="shared" si="146"/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124"/>
        <v>https://d0f6bd738d7f1b3e5a7ca70fe4ff75f0.us-east-1.aws.found.io/app/kibana#/discover/Steve-Slow-Train-Analysis-(2080s-and-2083s)?_g=(refreshInterval:(display:Off,pause:!f,section:0,value:0),time:(from:'2017-09-05T07:26:28-0600',mode:absolute,to:'2017-09-05T09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194" t="str">
        <f>IF(AA170&lt;VLOOKUP(AG170,Variables!$AC$3:$AD$8,2,FALSE),"Y","N")</f>
        <v>N</v>
      </c>
      <c r="X170" s="194">
        <f t="shared" si="162"/>
        <v>1</v>
      </c>
      <c r="Y170" s="194">
        <f t="shared" si="147"/>
        <v>5.8632</v>
      </c>
      <c r="Z170" s="194">
        <f t="shared" si="148"/>
        <v>7.6899999999999996E-2</v>
      </c>
      <c r="AA170" s="194">
        <f t="shared" si="149"/>
        <v>5.7862999999999998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150"/>
        <v>812</v>
      </c>
      <c r="AE170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70" s="74" t="str">
        <f t="shared" si="126"/>
        <v>"C:\Program Files (x86)\AstroGrep\AstroGrep.exe" /e /r /s /spath="%USERPROFILE%\AppData\Local\Temp\OnboardLogs" /stypes="app*4063*20170905*" /stext=" 14:.+((SYSTEM_STATE.+slice.+state.+changed )|(ment ac)|(multiple cpu faults)|(system.+state.+changed )|(\[timeout)|(PRM\|1\|D)|(kpr)|(kdp)|(train st.+moving)|(\|lc)|(penalty))"</v>
      </c>
      <c r="AG170" s="206" t="str">
        <f t="shared" si="151"/>
        <v>NW</v>
      </c>
      <c r="AH170" s="78" t="str">
        <f t="shared" si="153"/>
        <v>"%USERPROFILE%\Documents\GitHub\eaglep3\Utilities\RefineRTDCRunTimes.py" --tripid 812-05 --locoid 4063 --swversion DE.1.0.9.0 --startMP 300:58632 --initTime 2017-09-05T08:26:28 --startdatetime 2017-09-05T08:36:29 --delay 94 --endMP 204:769 --enddatetime 2017-09-05T08:56:13 --enforcementcount 0 &gt;&gt;C:\Users\stu\Documents\GitHub\eaglep3-reporting\EC\2017-09-05-refined-times.txt</v>
      </c>
      <c r="AI170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{"issue":{"subject":"","project_id":79,"tracker_id":40,"status_id":1,"priority_id":2,"assigned_to_id":338,"start_date":"2017-09-05","description":"","custom_fields":[{"id":1,"name":"Subdivision","value":"NW"},{"id":4,"name":"Milepost","value":"0.0769"},{"id":17,"name":"Train ID","value":"812-05"},{"id":16,"name":"Locomotive ID","value":"4063"},{"id":130,"name":"Impact","value":""},{"id":150,"name":"Time of Event (Mountain Time)","value":"08:56:13"},{"id":151,"name":"Denver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55"/>
        <v>start /low /b %USERPROFILE%\Documents\GitHub\eaglep3\Utilities\DownloadLogsFromS3.py --loco 4063 --day 2017-09-05</v>
      </c>
      <c r="AN170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678</v>
      </c>
      <c r="B171" s="7">
        <v>4064</v>
      </c>
      <c r="C171" s="21" t="s">
        <v>197</v>
      </c>
      <c r="D171" s="21" t="s">
        <v>929</v>
      </c>
      <c r="E171" s="13">
        <v>42983.374189814815</v>
      </c>
      <c r="F171" s="13">
        <v>42983.381481481483</v>
      </c>
      <c r="G171" s="7">
        <v>60</v>
      </c>
      <c r="H171" s="21" t="s">
        <v>930</v>
      </c>
      <c r="I171" s="13">
        <v>42983.391898148147</v>
      </c>
      <c r="J171" s="7">
        <v>0</v>
      </c>
      <c r="K171" s="89" t="str">
        <f t="shared" si="142"/>
        <v>4063/4064</v>
      </c>
      <c r="L171" s="214" t="str">
        <f>VLOOKUP(A171,'Trips&amp;Operators'!$C$1:$G$99911,5,FALSE)</f>
        <v>FORTUNATO FRANK</v>
      </c>
      <c r="M171" s="6">
        <f t="shared" si="143"/>
        <v>1.0416666664241347E-2</v>
      </c>
      <c r="N171" s="7">
        <f t="shared" si="144"/>
        <v>14.99999999650754</v>
      </c>
      <c r="O171" s="7"/>
      <c r="P171" s="7"/>
      <c r="Q171" s="22"/>
      <c r="R171" s="167"/>
      <c r="S171" s="210">
        <f t="shared" si="145"/>
        <v>1</v>
      </c>
      <c r="T171" s="192" t="str">
        <f t="shared" si="146"/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124"/>
        <v>https://d0f6bd738d7f1b3e5a7ca70fe4ff75f0.us-east-1.aws.found.io/app/kibana#/discover/Steve-Slow-Train-Analysis-(2080s-and-2083s)?_g=(refreshInterval:(display:Off,pause:!f,section:0,value:0),time:(from:'2017-09-05T07:58:50-0600',mode:absolute,to:'2017-09-05T10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194" t="str">
        <f>IF(AA171&lt;VLOOKUP(AG171,Variables!$AC$3:$AD$8,2,FALSE),"Y","N")</f>
        <v>N</v>
      </c>
      <c r="X171" s="194">
        <f t="shared" si="162"/>
        <v>1</v>
      </c>
      <c r="Y171" s="194">
        <f t="shared" si="147"/>
        <v>0.10580000000000001</v>
      </c>
      <c r="Z171" s="194">
        <f t="shared" si="148"/>
        <v>5.8964999999999996</v>
      </c>
      <c r="AA171" s="194">
        <f t="shared" si="149"/>
        <v>5.7906999999999993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150"/>
        <v>813</v>
      </c>
      <c r="AE171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71" s="74" t="str">
        <f t="shared" si="126"/>
        <v>"C:\Program Files (x86)\AstroGrep\AstroGrep.exe" /e /r /s /spath="%USERPROFILE%\AppData\Local\Temp\OnboardLogs" /stypes="app*4064*20170905*" /stext=" 15:.+((SYSTEM_STATE.+slice.+state.+changed )|(ment ac)|(multiple cpu faults)|(system.+state.+changed )|(\[timeout)|(PRM\|1\|D)|(kpr)|(kdp)|(train st.+moving)|(\|lc)|(penalty))"</v>
      </c>
      <c r="AG171" s="206" t="str">
        <f t="shared" si="151"/>
        <v>NW</v>
      </c>
      <c r="AH171" s="78" t="str">
        <f t="shared" si="153"/>
        <v>"%USERPROFILE%\Documents\GitHub\eaglep3\Utilities\RefineRTDCRunTimes.py" --tripid 813-05 --locoid 4064 --swversion DE.1.0.9.0 --startMP 204:1058 --initTime 2017-09-05T08:58:50 --startdatetime 2017-09-05T09:09:20 --delay 60 --endMP 300:58965 --enddatetime 2017-09-05T09:24:20 --enforcementcount 0 &gt;&gt;C:\Users\stu\Documents\GitHub\eaglep3-reporting\EC\2017-09-05-refined-times.txt</v>
      </c>
      <c r="AI171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{"issue":{"subject":"","project_id":79,"tracker_id":40,"status_id":1,"priority_id":2,"assigned_to_id":338,"start_date":"2017-09-05","description":"","custom_fields":[{"id":1,"name":"Subdivision","value":"NW"},{"id":4,"name":"Milepost","value":"5.8965"},{"id":17,"name":"Train ID","value":"813-05"},{"id":16,"name":"Locomotive ID","value":"4064"},{"id":130,"name":"Impact","value":""},{"id":150,"name":"Time of Event (Mountain Time)","value":"09:24:20"},{"id":151,"name":"Denver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55"/>
        <v>start /low /b %USERPROFILE%\Documents\GitHub\eaglep3\Utilities\DownloadLogsFromS3.py --loco 4064 --day 2017-09-05</v>
      </c>
      <c r="AN171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681</v>
      </c>
      <c r="B172" s="7">
        <v>4063</v>
      </c>
      <c r="C172" s="21" t="s">
        <v>197</v>
      </c>
      <c r="D172" s="21" t="s">
        <v>931</v>
      </c>
      <c r="E172" s="13">
        <v>42983.392858796295</v>
      </c>
      <c r="F172" s="13">
        <v>42983.399375000001</v>
      </c>
      <c r="G172" s="7">
        <v>60</v>
      </c>
      <c r="H172" s="21" t="s">
        <v>932</v>
      </c>
      <c r="I172" s="13">
        <v>42983.413032407407</v>
      </c>
      <c r="J172" s="7">
        <v>0</v>
      </c>
      <c r="K172" s="89" t="str">
        <f t="shared" si="142"/>
        <v>4063/4064</v>
      </c>
      <c r="L172" s="214" t="str">
        <f>VLOOKUP(A172,'Trips&amp;Operators'!$C$1:$G$99911,5,FALSE)</f>
        <v>FORTUNATO FRANK</v>
      </c>
      <c r="M172" s="6">
        <f t="shared" si="143"/>
        <v>1.3657407405844424E-2</v>
      </c>
      <c r="N172" s="7">
        <f t="shared" si="144"/>
        <v>19.66666666441597</v>
      </c>
      <c r="O172" s="7"/>
      <c r="P172" s="7"/>
      <c r="Q172" s="22"/>
      <c r="R172" s="167"/>
      <c r="S172" s="210">
        <f t="shared" si="145"/>
        <v>1</v>
      </c>
      <c r="T172" s="192" t="str">
        <f t="shared" si="146"/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124"/>
        <v>https://d0f6bd738d7f1b3e5a7ca70fe4ff75f0.us-east-1.aws.found.io/app/kibana#/discover/Steve-Slow-Train-Analysis-(2080s-and-2083s)?_g=(refreshInterval:(display:Off,pause:!f,section:0,value:0),time:(from:'2017-09-05T08:25:43-0600',mode:absolute,to:'2017-09-05T10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194" t="str">
        <f>IF(AA172&lt;VLOOKUP(AG172,Variables!$AC$3:$AD$8,2,FALSE),"Y","N")</f>
        <v>N</v>
      </c>
      <c r="X172" s="194">
        <f t="shared" si="162"/>
        <v>1</v>
      </c>
      <c r="Y172" s="194">
        <f t="shared" si="147"/>
        <v>5.8647</v>
      </c>
      <c r="Z172" s="194">
        <f t="shared" si="148"/>
        <v>6.8500000000000005E-2</v>
      </c>
      <c r="AA172" s="194">
        <f t="shared" si="149"/>
        <v>5.7961999999999998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150"/>
        <v>814</v>
      </c>
      <c r="AE172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72" s="74" t="str">
        <f t="shared" si="126"/>
        <v>"C:\Program Files (x86)\AstroGrep\AstroGrep.exe" /e /r /s /spath="%USERPROFILE%\AppData\Local\Temp\OnboardLogs" /stypes="app*4063*20170905*" /stext=" 15:.+((SYSTEM_STATE.+slice.+state.+changed )|(ment ac)|(multiple cpu faults)|(system.+state.+changed )|(\[timeout)|(PRM\|1\|D)|(kpr)|(kdp)|(train st.+moving)|(\|lc)|(penalty))"</v>
      </c>
      <c r="AG172" s="206" t="str">
        <f t="shared" si="151"/>
        <v>NW</v>
      </c>
      <c r="AH172" s="78" t="str">
        <f t="shared" si="153"/>
        <v>"%USERPROFILE%\Documents\GitHub\eaglep3\Utilities\RefineRTDCRunTimes.py" --tripid 814-05 --locoid 4063 --swversion DE.1.0.9.0 --startMP 300:58647 --initTime 2017-09-05T09:25:43 --startdatetime 2017-09-05T09:35:06 --delay 60 --endMP 204:685 --enddatetime 2017-09-05T09:54:46 --enforcementcount 0 &gt;&gt;C:\Users\stu\Documents\GitHub\eaglep3-reporting\EC\2017-09-05-refined-times.txt</v>
      </c>
      <c r="AI172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{"issue":{"subject":"","project_id":79,"tracker_id":40,"status_id":1,"priority_id":2,"assigned_to_id":338,"start_date":"2017-09-05","description":"","custom_fields":[{"id":1,"name":"Subdivision","value":"NW"},{"id":4,"name":"Milepost","value":"0.0685"},{"id":17,"name":"Train ID","value":"814-05"},{"id":16,"name":"Locomotive ID","value":"4063"},{"id":130,"name":"Impact","value":""},{"id":150,"name":"Time of Event (Mountain Time)","value":"09:54:46"},{"id":151,"name":"Denver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55"/>
        <v>start /low /b %USERPROFILE%\Documents\GitHub\eaglep3\Utilities\DownloadLogsFromS3.py --loco 4063 --day 2017-09-05</v>
      </c>
      <c r="AN172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686</v>
      </c>
      <c r="B173" s="7">
        <v>4064</v>
      </c>
      <c r="C173" s="21" t="s">
        <v>197</v>
      </c>
      <c r="D173" s="21" t="s">
        <v>933</v>
      </c>
      <c r="E173" s="13">
        <v>42983.4141087963</v>
      </c>
      <c r="F173" s="13">
        <v>42983.423067129632</v>
      </c>
      <c r="G173" s="7">
        <v>70</v>
      </c>
      <c r="H173" s="21" t="s">
        <v>934</v>
      </c>
      <c r="I173" s="13">
        <v>42983.432337962964</v>
      </c>
      <c r="J173" s="7">
        <v>0</v>
      </c>
      <c r="K173" s="89" t="str">
        <f t="shared" si="142"/>
        <v>4063/4064</v>
      </c>
      <c r="L173" s="214" t="str">
        <f>VLOOKUP(A173,'Trips&amp;Operators'!$C$1:$G$99911,5,FALSE)</f>
        <v>FORTUNATO FRANK</v>
      </c>
      <c r="M173" s="6">
        <f t="shared" si="143"/>
        <v>9.2708333322661929E-3</v>
      </c>
      <c r="N173" s="7">
        <f t="shared" si="144"/>
        <v>13.349999998463318</v>
      </c>
      <c r="O173" s="7"/>
      <c r="P173" s="7"/>
      <c r="Q173" s="22"/>
      <c r="R173" s="167"/>
      <c r="S173" s="210">
        <f t="shared" si="145"/>
        <v>1</v>
      </c>
      <c r="T173" s="192" t="str">
        <f t="shared" si="146"/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124"/>
        <v>https://d0f6bd738d7f1b3e5a7ca70fe4ff75f0.us-east-1.aws.found.io/app/kibana#/discover/Steve-Slow-Train-Analysis-(2080s-and-2083s)?_g=(refreshInterval:(display:Off,pause:!f,section:0,value:0),time:(from:'2017-09-05T08:56:19-0600',mode:absolute,to:'2017-09-05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194" t="str">
        <f>IF(AA173&lt;VLOOKUP(AG173,Variables!$AC$3:$AD$8,2,FALSE),"Y","N")</f>
        <v>N</v>
      </c>
      <c r="X173" s="194">
        <f t="shared" si="162"/>
        <v>1</v>
      </c>
      <c r="Y173" s="194">
        <f t="shared" si="147"/>
        <v>9.9500000000000005E-2</v>
      </c>
      <c r="Z173" s="194">
        <f t="shared" si="148"/>
        <v>5.8986000000000001</v>
      </c>
      <c r="AA173" s="194">
        <f t="shared" si="149"/>
        <v>5.7991000000000001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150"/>
        <v>815</v>
      </c>
      <c r="AE173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73" s="74" t="str">
        <f t="shared" si="126"/>
        <v>"C:\Program Files (x86)\AstroGrep\AstroGrep.exe" /e /r /s /spath="%USERPROFILE%\AppData\Local\Temp\OnboardLogs" /stypes="app*4064*20170905*" /stext=" 16:.+((SYSTEM_STATE.+slice.+state.+changed )|(ment ac)|(multiple cpu faults)|(system.+state.+changed )|(\[timeout)|(PRM\|1\|D)|(kpr)|(kdp)|(train st.+moving)|(\|lc)|(penalty))"</v>
      </c>
      <c r="AG173" s="206" t="str">
        <f t="shared" si="151"/>
        <v>NW</v>
      </c>
      <c r="AH173" s="78" t="str">
        <f t="shared" si="153"/>
        <v>"%USERPROFILE%\Documents\GitHub\eaglep3\Utilities\RefineRTDCRunTimes.py" --tripid 815-05 --locoid 4064 --swversion DE.1.0.9.0 --startMP 204:995 --initTime 2017-09-05T09:56:19 --startdatetime 2017-09-05T10:09:13 --delay 70 --endMP 300:58986 --enddatetime 2017-09-05T10:22:34 --enforcementcount 0 &gt;&gt;C:\Users\stu\Documents\GitHub\eaglep3-reporting\EC\2017-09-05-refined-times.txt</v>
      </c>
      <c r="AI173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{"issue":{"subject":"","project_id":79,"tracker_id":40,"status_id":1,"priority_id":2,"assigned_to_id":338,"start_date":"2017-09-05","description":"","custom_fields":[{"id":1,"name":"Subdivision","value":"NW"},{"id":4,"name":"Milepost","value":"5.8986"},{"id":17,"name":"Train ID","value":"815-05"},{"id":16,"name":"Locomotive ID","value":"4064"},{"id":130,"name":"Impact","value":""},{"id":150,"name":"Time of Event (Mountain Time)","value":"10:22:34"},{"id":151,"name":"Denver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55"/>
        <v>start /low /b %USERPROFILE%\Documents\GitHub\eaglep3\Utilities\DownloadLogsFromS3.py --loco 4064 --day 2017-09-05</v>
      </c>
      <c r="AN173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692</v>
      </c>
      <c r="B174" s="7">
        <v>4063</v>
      </c>
      <c r="C174" s="21" t="s">
        <v>197</v>
      </c>
      <c r="D174" s="21" t="s">
        <v>495</v>
      </c>
      <c r="E174" s="13">
        <v>42983.433796296296</v>
      </c>
      <c r="F174" s="13">
        <v>42983.441689814812</v>
      </c>
      <c r="G174" s="7">
        <v>59</v>
      </c>
      <c r="H174" s="21" t="s">
        <v>935</v>
      </c>
      <c r="I174" s="13">
        <v>42983.455104166664</v>
      </c>
      <c r="J174" s="7">
        <v>0</v>
      </c>
      <c r="K174" s="89" t="str">
        <f t="shared" si="142"/>
        <v>4063/4064</v>
      </c>
      <c r="L174" s="214" t="str">
        <f>VLOOKUP(A174,'Trips&amp;Operators'!$C$1:$G$99911,5,FALSE)</f>
        <v>FORTUNATO FRANK</v>
      </c>
      <c r="M174" s="6">
        <f t="shared" si="143"/>
        <v>1.3414351851679385E-2</v>
      </c>
      <c r="N174" s="7">
        <f t="shared" si="144"/>
        <v>19.316666666418314</v>
      </c>
      <c r="O174" s="7"/>
      <c r="P174" s="7"/>
      <c r="Q174" s="22"/>
      <c r="R174" s="167"/>
      <c r="S174" s="210">
        <f t="shared" si="145"/>
        <v>1</v>
      </c>
      <c r="T174" s="192" t="str">
        <f t="shared" si="146"/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124"/>
        <v>https://d0f6bd738d7f1b3e5a7ca70fe4ff75f0.us-east-1.aws.found.io/app/kibana#/discover/Steve-Slow-Train-Analysis-(2080s-and-2083s)?_g=(refreshInterval:(display:Off,pause:!f,section:0,value:0),time:(from:'2017-09-05T09:24:40-0600',mode:absolute,to:'2017-09-05T11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194" t="str">
        <f>IF(AA174&lt;VLOOKUP(AG174,Variables!$AC$3:$AD$8,2,FALSE),"Y","N")</f>
        <v>N</v>
      </c>
      <c r="X174" s="194">
        <f t="shared" si="162"/>
        <v>1</v>
      </c>
      <c r="Y174" s="194">
        <f t="shared" si="147"/>
        <v>5.8654999999999999</v>
      </c>
      <c r="Z174" s="194">
        <f t="shared" si="148"/>
        <v>6.9400000000000003E-2</v>
      </c>
      <c r="AA174" s="194">
        <f t="shared" si="149"/>
        <v>5.7961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150"/>
        <v>816</v>
      </c>
      <c r="AE174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74" s="74" t="str">
        <f t="shared" si="126"/>
        <v>"C:\Program Files (x86)\AstroGrep\AstroGrep.exe" /e /r /s /spath="%USERPROFILE%\AppData\Local\Temp\OnboardLogs" /stypes="app*4063*20170905*" /stext=" 16:.+((SYSTEM_STATE.+slice.+state.+changed )|(ment ac)|(multiple cpu faults)|(system.+state.+changed )|(\[timeout)|(PRM\|1\|D)|(kpr)|(kdp)|(train st.+moving)|(\|lc)|(penalty))"</v>
      </c>
      <c r="AG174" s="206" t="str">
        <f t="shared" si="151"/>
        <v>NW</v>
      </c>
      <c r="AH174" s="78" t="str">
        <f t="shared" si="153"/>
        <v>"%USERPROFILE%\Documents\GitHub\eaglep3\Utilities\RefineRTDCRunTimes.py" --tripid 816-05 --locoid 4063 --swversion DE.1.0.9.0 --startMP 300:58655 --initTime 2017-09-05T10:24:40 --startdatetime 2017-09-05T10:36:02 --delay 59 --endMP 204:694 --enddatetime 2017-09-05T10:55:21 --enforcementcount 0 &gt;&gt;C:\Users\stu\Documents\GitHub\eaglep3-reporting\EC\2017-09-05-refined-times.txt</v>
      </c>
      <c r="AI174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{"issue":{"subject":"","project_id":79,"tracker_id":40,"status_id":1,"priority_id":2,"assigned_to_id":338,"start_date":"2017-09-05","description":"","custom_fields":[{"id":1,"name":"Subdivision","value":"NW"},{"id":4,"name":"Milepost","value":"0.0694"},{"id":17,"name":"Train ID","value":"816-05"},{"id":16,"name":"Locomotive ID","value":"4063"},{"id":130,"name":"Impact","value":""},{"id":150,"name":"Time of Event (Mountain Time)","value":"10:55:21"},{"id":151,"name":"Denver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55"/>
        <v>start /low /b %USERPROFILE%\Documents\GitHub\eaglep3\Utilities\DownloadLogsFromS3.py --loco 4063 --day 2017-09-05</v>
      </c>
      <c r="AN174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699</v>
      </c>
      <c r="B175" s="7">
        <v>4064</v>
      </c>
      <c r="C175" s="21" t="s">
        <v>197</v>
      </c>
      <c r="D175" s="21" t="s">
        <v>936</v>
      </c>
      <c r="E175" s="13">
        <v>42983.456458333334</v>
      </c>
      <c r="F175" s="13">
        <v>42983.465138888889</v>
      </c>
      <c r="G175" s="7">
        <v>53</v>
      </c>
      <c r="H175" s="21" t="s">
        <v>937</v>
      </c>
      <c r="I175" s="13">
        <v>42983.47452546296</v>
      </c>
      <c r="J175" s="7">
        <v>0</v>
      </c>
      <c r="K175" s="89" t="str">
        <f t="shared" si="142"/>
        <v>4063/4064</v>
      </c>
      <c r="L175" s="214" t="str">
        <f>VLOOKUP(A175,'Trips&amp;Operators'!$C$1:$G$99911,5,FALSE)</f>
        <v>FORTUNATO FRANK</v>
      </c>
      <c r="M175" s="6">
        <f t="shared" si="143"/>
        <v>9.3865740709588863E-3</v>
      </c>
      <c r="N175" s="7">
        <f t="shared" si="144"/>
        <v>13.516666662180796</v>
      </c>
      <c r="O175" s="7"/>
      <c r="P175" s="7"/>
      <c r="Q175" s="22"/>
      <c r="R175" s="167"/>
      <c r="S175" s="210">
        <f t="shared" si="145"/>
        <v>1</v>
      </c>
      <c r="T175" s="192" t="str">
        <f t="shared" si="146"/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124"/>
        <v>https://d0f6bd738d7f1b3e5a7ca70fe4ff75f0.us-east-1.aws.found.io/app/kibana#/discover/Steve-Slow-Train-Analysis-(2080s-and-2083s)?_g=(refreshInterval:(display:Off,pause:!f,section:0,value:0),time:(from:'2017-09-05T09:57:18-0600',mode:absolute,to:'2017-09-05T12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194" t="str">
        <f>IF(AA175&lt;VLOOKUP(AG175,Variables!$AC$3:$AD$8,2,FALSE),"Y","N")</f>
        <v>N</v>
      </c>
      <c r="X175" s="194">
        <f t="shared" si="162"/>
        <v>1</v>
      </c>
      <c r="Y175" s="194">
        <f t="shared" si="147"/>
        <v>9.7100000000000006E-2</v>
      </c>
      <c r="Z175" s="194">
        <f t="shared" si="148"/>
        <v>5.8975999999999997</v>
      </c>
      <c r="AA175" s="194">
        <f t="shared" si="149"/>
        <v>5.8004999999999995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150"/>
        <v>817</v>
      </c>
      <c r="AE175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75" s="74" t="str">
        <f t="shared" si="126"/>
        <v>"C:\Program Files (x86)\AstroGrep\AstroGrep.exe" /e /r /s /spath="%USERPROFILE%\AppData\Local\Temp\OnboardLogs" /stypes="app*4064*20170905*" /stext=" 17:.+((SYSTEM_STATE.+slice.+state.+changed )|(ment ac)|(multiple cpu faults)|(system.+state.+changed )|(\[timeout)|(PRM\|1\|D)|(kpr)|(kdp)|(train st.+moving)|(\|lc)|(penalty))"</v>
      </c>
      <c r="AG175" s="206" t="str">
        <f t="shared" si="151"/>
        <v>NW</v>
      </c>
      <c r="AH175" s="78" t="str">
        <f t="shared" si="153"/>
        <v>"%USERPROFILE%\Documents\GitHub\eaglep3\Utilities\RefineRTDCRunTimes.py" --tripid 817-05 --locoid 4064 --swversion DE.1.0.9.0 --startMP 204:971 --initTime 2017-09-05T10:57:18 --startdatetime 2017-09-05T11:09:48 --delay 53 --endMP 300:58976 --enddatetime 2017-09-05T11:23:19 --enforcementcount 0 &gt;&gt;C:\Users\stu\Documents\GitHub\eaglep3-reporting\EC\2017-09-05-refined-times.txt</v>
      </c>
      <c r="AI175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{"issue":{"subject":"","project_id":79,"tracker_id":40,"status_id":1,"priority_id":2,"assigned_to_id":338,"start_date":"2017-09-05","description":"","custom_fields":[{"id":1,"name":"Subdivision","value":"NW"},{"id":4,"name":"Milepost","value":"5.8976"},{"id":17,"name":"Train ID","value":"817-05"},{"id":16,"name":"Locomotive ID","value":"4064"},{"id":130,"name":"Impact","value":""},{"id":150,"name":"Time of Event (Mountain Time)","value":"11:23:19"},{"id":151,"name":"Denver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55"/>
        <v>start /low /b %USERPROFILE%\Documents\GitHub\eaglep3\Utilities\DownloadLogsFromS3.py --loco 4064 --day 2017-09-05</v>
      </c>
      <c r="AN175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594</v>
      </c>
      <c r="B176" s="7">
        <v>4063</v>
      </c>
      <c r="C176" s="21" t="s">
        <v>197</v>
      </c>
      <c r="D176" s="21" t="s">
        <v>938</v>
      </c>
      <c r="E176" s="13">
        <v>42983.475613425922</v>
      </c>
      <c r="F176" s="13">
        <v>42983.484189814815</v>
      </c>
      <c r="G176" s="7">
        <v>52</v>
      </c>
      <c r="H176" s="21" t="s">
        <v>564</v>
      </c>
      <c r="I176" s="13">
        <v>42983.497372685182</v>
      </c>
      <c r="J176" s="7">
        <v>0</v>
      </c>
      <c r="K176" s="89" t="str">
        <f t="shared" si="142"/>
        <v>4063/4064</v>
      </c>
      <c r="L176" s="214" t="str">
        <f>VLOOKUP(A176,'Trips&amp;Operators'!$C$1:$G$99911,5,FALSE)</f>
        <v>FORTUNATO FRANK</v>
      </c>
      <c r="M176" s="6">
        <f t="shared" si="143"/>
        <v>1.318287036701804E-2</v>
      </c>
      <c r="N176" s="7">
        <f t="shared" si="144"/>
        <v>18.983333328505978</v>
      </c>
      <c r="O176" s="7"/>
      <c r="P176" s="7"/>
      <c r="Q176" s="22"/>
      <c r="R176" s="167"/>
      <c r="S176" s="210">
        <f t="shared" si="145"/>
        <v>1</v>
      </c>
      <c r="T176" s="192" t="str">
        <f t="shared" si="146"/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124"/>
        <v>https://d0f6bd738d7f1b3e5a7ca70fe4ff75f0.us-east-1.aws.found.io/app/kibana#/discover/Steve-Slow-Train-Analysis-(2080s-and-2083s)?_g=(refreshInterval:(display:Off,pause:!f,section:0,value:0),time:(from:'2017-09-05T10:24:53-0600',mode:absolute,to:'2017-09-05T12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194" t="str">
        <f>IF(AA176&lt;VLOOKUP(AG176,Variables!$AC$3:$AD$8,2,FALSE),"Y","N")</f>
        <v>N</v>
      </c>
      <c r="X176" s="194">
        <f t="shared" si="162"/>
        <v>1</v>
      </c>
      <c r="Y176" s="194">
        <f t="shared" si="147"/>
        <v>5.8681000000000001</v>
      </c>
      <c r="Z176" s="194">
        <f t="shared" si="148"/>
        <v>6.9900000000000004E-2</v>
      </c>
      <c r="AA176" s="194">
        <f t="shared" si="149"/>
        <v>5.7982000000000005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150"/>
        <v>818</v>
      </c>
      <c r="AE176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76" s="74" t="str">
        <f t="shared" si="126"/>
        <v>"C:\Program Files (x86)\AstroGrep\AstroGrep.exe" /e /r /s /spath="%USERPROFILE%\AppData\Local\Temp\OnboardLogs" /stypes="app*4063*20170905*" /stext=" 17:.+((SYSTEM_STATE.+slice.+state.+changed )|(ment ac)|(multiple cpu faults)|(system.+state.+changed )|(\[timeout)|(PRM\|1\|D)|(kpr)|(kdp)|(train st.+moving)|(\|lc)|(penalty))"</v>
      </c>
      <c r="AG176" s="206" t="str">
        <f t="shared" si="151"/>
        <v>NW</v>
      </c>
      <c r="AH176" s="78" t="str">
        <f t="shared" si="153"/>
        <v>"%USERPROFILE%\Documents\GitHub\eaglep3\Utilities\RefineRTDCRunTimes.py" --tripid 818-05 --locoid 4063 --swversion DE.1.0.9.0 --startMP 300:58681 --initTime 2017-09-05T11:24:53 --startdatetime 2017-09-05T11:37:14 --delay 52 --endMP 204:699 --enddatetime 2017-09-05T11:56:13 --enforcementcount 0 &gt;&gt;C:\Users\stu\Documents\GitHub\eaglep3-reporting\EC\2017-09-05-refined-times.txt</v>
      </c>
      <c r="AI176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{"issue":{"subject":"","project_id":79,"tracker_id":40,"status_id":1,"priority_id":2,"assigned_to_id":338,"start_date":"2017-09-05","description":"","custom_fields":[{"id":1,"name":"Subdivision","value":"NW"},{"id":4,"name":"Milepost","value":"0.0699"},{"id":17,"name":"Train ID","value":"818-05"},{"id":16,"name":"Locomotive ID","value":"4063"},{"id":130,"name":"Impact","value":""},{"id":150,"name":"Time of Event (Mountain Time)","value":"11:56:13"},{"id":151,"name":"Denver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55"/>
        <v>start /low /b %USERPROFILE%\Documents\GitHub\eaglep3\Utilities\DownloadLogsFromS3.py --loco 4063 --day 2017-09-05</v>
      </c>
      <c r="AN176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710</v>
      </c>
      <c r="B177" s="7">
        <v>4064</v>
      </c>
      <c r="C177" s="21" t="s">
        <v>197</v>
      </c>
      <c r="D177" s="21" t="s">
        <v>554</v>
      </c>
      <c r="E177" s="13">
        <v>42983.50540509259</v>
      </c>
      <c r="F177" s="13">
        <v>42983.506736111114</v>
      </c>
      <c r="G177" s="7">
        <v>51</v>
      </c>
      <c r="H177" s="21" t="s">
        <v>934</v>
      </c>
      <c r="I177" s="13">
        <v>42983.516365740739</v>
      </c>
      <c r="J177" s="7">
        <v>0</v>
      </c>
      <c r="K177" s="89" t="str">
        <f t="shared" si="142"/>
        <v>4063/4064</v>
      </c>
      <c r="L177" s="214" t="str">
        <f>VLOOKUP(A177,'Trips&amp;Operators'!$C$1:$G$99911,5,FALSE)</f>
        <v>FORTUNATO FRANK</v>
      </c>
      <c r="M177" s="6">
        <f t="shared" si="143"/>
        <v>9.6296296251239255E-3</v>
      </c>
      <c r="N177" s="7">
        <f t="shared" si="144"/>
        <v>13.866666660178453</v>
      </c>
      <c r="O177" s="7"/>
      <c r="P177" s="7"/>
      <c r="Q177" s="22"/>
      <c r="R177" s="167"/>
      <c r="S177" s="210">
        <f t="shared" si="145"/>
        <v>1</v>
      </c>
      <c r="T177" s="192" t="str">
        <f t="shared" si="146"/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124"/>
        <v>https://d0f6bd738d7f1b3e5a7ca70fe4ff75f0.us-east-1.aws.found.io/app/kibana#/discover/Steve-Slow-Train-Analysis-(2080s-and-2083s)?_g=(refreshInterval:(display:Off,pause:!f,section:0,value:0),time:(from:'2017-09-05T11:07:47-0600',mode:absolute,to:'2017-09-05T13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194" t="str">
        <f>IF(AA177&lt;VLOOKUP(AG177,Variables!$AC$3:$AD$8,2,FALSE),"Y","N")</f>
        <v>N</v>
      </c>
      <c r="X177" s="194">
        <f t="shared" si="162"/>
        <v>1</v>
      </c>
      <c r="Y177" s="194">
        <f t="shared" si="147"/>
        <v>0.1009</v>
      </c>
      <c r="Z177" s="194">
        <f t="shared" si="148"/>
        <v>5.8986000000000001</v>
      </c>
      <c r="AA177" s="194">
        <f t="shared" si="149"/>
        <v>5.7976999999999999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150"/>
        <v>819</v>
      </c>
      <c r="AE177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77" s="74" t="str">
        <f t="shared" si="126"/>
        <v>"C:\Program Files (x86)\AstroGrep\AstroGrep.exe" /e /r /s /spath="%USERPROFILE%\AppData\Local\Temp\OnboardLogs" /stypes="app*4064*20170905*" /stext=" 18:.+((SYSTEM_STATE.+slice.+state.+changed )|(ment ac)|(multiple cpu faults)|(system.+state.+changed )|(\[timeout)|(PRM\|1\|D)|(kpr)|(kdp)|(train st.+moving)|(\|lc)|(penalty))"</v>
      </c>
      <c r="AG177" s="206" t="str">
        <f t="shared" si="151"/>
        <v>NW</v>
      </c>
      <c r="AH177" s="78" t="str">
        <f t="shared" si="153"/>
        <v>"%USERPROFILE%\Documents\GitHub\eaglep3\Utilities\RefineRTDCRunTimes.py" --tripid 819-05 --locoid 4064 --swversion DE.1.0.9.0 --startMP 204:1009 --initTime 2017-09-05T12:07:47 --startdatetime 2017-09-05T12:09:42 --delay 51 --endMP 300:58986 --enddatetime 2017-09-05T12:23:34 --enforcementcount 0 &gt;&gt;C:\Users\stu\Documents\GitHub\eaglep3-reporting\EC\2017-09-05-refined-times.txt</v>
      </c>
      <c r="AI177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{"issue":{"subject":"","project_id":79,"tracker_id":40,"status_id":1,"priority_id":2,"assigned_to_id":338,"start_date":"2017-09-05","description":"","custom_fields":[{"id":1,"name":"Subdivision","value":"NW"},{"id":4,"name":"Milepost","value":"5.8986"},{"id":17,"name":"Train ID","value":"819-05"},{"id":16,"name":"Locomotive ID","value":"4064"},{"id":130,"name":"Impact","value":""},{"id":150,"name":"Time of Event (Mountain Time)","value":"12:23:34"},{"id":151,"name":"Denver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55"/>
        <v>start /low /b %USERPROFILE%\Documents\GitHub\eaglep3\Utilities\DownloadLogsFromS3.py --loco 4064 --day 2017-09-05</v>
      </c>
      <c r="AN177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714</v>
      </c>
      <c r="B178" s="7">
        <v>4063</v>
      </c>
      <c r="C178" s="21" t="s">
        <v>197</v>
      </c>
      <c r="D178" s="21" t="s">
        <v>916</v>
      </c>
      <c r="E178" s="13">
        <v>42983.517581018517</v>
      </c>
      <c r="F178" s="13">
        <v>42983.52685185185</v>
      </c>
      <c r="G178" s="7">
        <v>56</v>
      </c>
      <c r="H178" s="21" t="s">
        <v>939</v>
      </c>
      <c r="I178" s="13">
        <v>42983.538217592592</v>
      </c>
      <c r="J178" s="7">
        <v>0</v>
      </c>
      <c r="K178" s="89" t="str">
        <f t="shared" si="142"/>
        <v>4063/4064</v>
      </c>
      <c r="L178" s="214" t="str">
        <f>VLOOKUP(A178,'Trips&amp;Operators'!$C$1:$G$99911,5,FALSE)</f>
        <v>FORTUNATO FRANK</v>
      </c>
      <c r="M178" s="6">
        <f t="shared" si="143"/>
        <v>1.1365740741894115E-2</v>
      </c>
      <c r="N178" s="7">
        <f t="shared" si="144"/>
        <v>16.366666668327525</v>
      </c>
      <c r="O178" s="7"/>
      <c r="P178" s="7"/>
      <c r="Q178" s="22"/>
      <c r="R178" s="167"/>
      <c r="S178" s="210">
        <f t="shared" si="145"/>
        <v>1</v>
      </c>
      <c r="T178" s="192" t="str">
        <f t="shared" si="146"/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124"/>
        <v>https://d0f6bd738d7f1b3e5a7ca70fe4ff75f0.us-east-1.aws.found.io/app/kibana#/discover/Steve-Slow-Train-Analysis-(2080s-and-2083s)?_g=(refreshInterval:(display:Off,pause:!f,section:0,value:0),time:(from:'2017-09-05T11:25:19-0600',mode:absolute,to:'2017-09-05T13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194" t="str">
        <f>IF(AA178&lt;VLOOKUP(AG178,Variables!$AC$3:$AD$8,2,FALSE),"Y","N")</f>
        <v>N</v>
      </c>
      <c r="X178" s="194">
        <f t="shared" si="162"/>
        <v>1</v>
      </c>
      <c r="Y178" s="194">
        <f t="shared" si="147"/>
        <v>5.8667999999999996</v>
      </c>
      <c r="Z178" s="194">
        <f t="shared" si="148"/>
        <v>6.9199999999999998E-2</v>
      </c>
      <c r="AA178" s="194">
        <f t="shared" si="149"/>
        <v>5.7975999999999992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150"/>
        <v>820</v>
      </c>
      <c r="AE178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78" s="74" t="str">
        <f t="shared" si="126"/>
        <v>"C:\Program Files (x86)\AstroGrep\AstroGrep.exe" /e /r /s /spath="%USERPROFILE%\AppData\Local\Temp\OnboardLogs" /stypes="app*4063*20170905*" /stext=" 18:.+((SYSTEM_STATE.+slice.+state.+changed )|(ment ac)|(multiple cpu faults)|(system.+state.+changed )|(\[timeout)|(PRM\|1\|D)|(kpr)|(kdp)|(train st.+moving)|(\|lc)|(penalty))"</v>
      </c>
      <c r="AG178" s="206" t="str">
        <f t="shared" si="151"/>
        <v>NW</v>
      </c>
      <c r="AH178" s="78" t="str">
        <f t="shared" si="153"/>
        <v>"%USERPROFILE%\Documents\GitHub\eaglep3\Utilities\RefineRTDCRunTimes.py" --tripid 820-05 --locoid 4063 --swversion DE.1.0.9.0 --startMP 300:58668 --initTime 2017-09-05T12:25:19 --startdatetime 2017-09-05T12:38:40 --delay 56 --endMP 204:692 --enddatetime 2017-09-05T12:55:02 --enforcementcount 0 &gt;&gt;C:\Users\stu\Documents\GitHub\eaglep3-reporting\EC\2017-09-05-refined-times.txt</v>
      </c>
      <c r="AI178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{"issue":{"subject":"","project_id":79,"tracker_id":40,"status_id":1,"priority_id":2,"assigned_to_id":338,"start_date":"2017-09-05","description":"","custom_fields":[{"id":1,"name":"Subdivision","value":"NW"},{"id":4,"name":"Milepost","value":"0.0692"},{"id":17,"name":"Train ID","value":"820-05"},{"id":16,"name":"Locomotive ID","value":"4063"},{"id":130,"name":"Impact","value":""},{"id":150,"name":"Time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55"/>
        <v>start /low /b %USERPROFILE%\Documents\GitHub\eaglep3\Utilities\DownloadLogsFromS3.py --loco 4063 --day 2017-09-05</v>
      </c>
      <c r="AN178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18:55:02"},{"id":29,"name":"Sharepoint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722</v>
      </c>
      <c r="B179" s="7">
        <v>4064</v>
      </c>
      <c r="C179" s="21" t="s">
        <v>197</v>
      </c>
      <c r="D179" s="21" t="s">
        <v>940</v>
      </c>
      <c r="E179" s="13">
        <v>42983.541261574072</v>
      </c>
      <c r="F179" s="13">
        <v>42983.548078703701</v>
      </c>
      <c r="G179" s="7">
        <v>67</v>
      </c>
      <c r="H179" s="21" t="s">
        <v>941</v>
      </c>
      <c r="I179" s="13">
        <v>42983.557268518518</v>
      </c>
      <c r="J179" s="7">
        <v>0</v>
      </c>
      <c r="K179" s="89" t="str">
        <f t="shared" si="142"/>
        <v>4063/4064</v>
      </c>
      <c r="L179" s="214" t="str">
        <f>VLOOKUP(A179,'Trips&amp;Operators'!$C$1:$G$99911,5,FALSE)</f>
        <v>GUZMAN DANNY</v>
      </c>
      <c r="M179" s="6">
        <f t="shared" si="143"/>
        <v>9.189814816636499E-3</v>
      </c>
      <c r="N179" s="7">
        <f t="shared" si="144"/>
        <v>13.233333335956559</v>
      </c>
      <c r="O179" s="7"/>
      <c r="P179" s="7"/>
      <c r="Q179" s="22"/>
      <c r="R179" s="167"/>
      <c r="S179" s="210">
        <f t="shared" si="145"/>
        <v>1</v>
      </c>
      <c r="T179" s="192" t="str">
        <f t="shared" si="146"/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124"/>
        <v>https://d0f6bd738d7f1b3e5a7ca70fe4ff75f0.us-east-1.aws.found.io/app/kibana#/discover/Steve-Slow-Train-Analysis-(2080s-and-2083s)?_g=(refreshInterval:(display:Off,pause:!f,section:0,value:0),time:(from:'2017-09-05T11:59:25-0600',mode:absolute,to:'2017-09-05T14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194" t="str">
        <f>IF(AA179&lt;VLOOKUP(AG179,Variables!$AC$3:$AD$8,2,FALSE),"Y","N")</f>
        <v>N</v>
      </c>
      <c r="X179" s="194">
        <f t="shared" si="162"/>
        <v>1</v>
      </c>
      <c r="Y179" s="194">
        <f t="shared" si="147"/>
        <v>9.9199999999999997E-2</v>
      </c>
      <c r="Z179" s="194">
        <f t="shared" si="148"/>
        <v>5.8925999999999998</v>
      </c>
      <c r="AA179" s="194">
        <f t="shared" si="149"/>
        <v>5.7934000000000001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150"/>
        <v>821</v>
      </c>
      <c r="AE179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79" s="74" t="str">
        <f t="shared" si="126"/>
        <v>"C:\Program Files (x86)\AstroGrep\AstroGrep.exe" /e /r /s /spath="%USERPROFILE%\AppData\Local\Temp\OnboardLogs" /stypes="app*4064*20170905*" /stext=" 19:.+((SYSTEM_STATE.+slice.+state.+changed )|(ment ac)|(multiple cpu faults)|(system.+state.+changed )|(\[timeout)|(PRM\|1\|D)|(kpr)|(kdp)|(train st.+moving)|(\|lc)|(penalty))"</v>
      </c>
      <c r="AG179" s="206" t="str">
        <f t="shared" si="151"/>
        <v>NW</v>
      </c>
      <c r="AH179" s="78" t="str">
        <f t="shared" si="153"/>
        <v>"%USERPROFILE%\Documents\GitHub\eaglep3\Utilities\RefineRTDCRunTimes.py" --tripid 821-05 --locoid 4064 --swversion DE.1.0.9.0 --startMP 204:992 --initTime 2017-09-05T12:59:25 --startdatetime 2017-09-05T13:09:14 --delay 67 --endMP 300:58926 --enddatetime 2017-09-05T13:22:28 --enforcementcount 0 &gt;&gt;C:\Users\stu\Documents\GitHub\eaglep3-reporting\EC\2017-09-05-refined-times.txt</v>
      </c>
      <c r="AI179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{"issue":{"subject":"","project_id":79,"tracker_id":40,"status_id":1,"priority_id":2,"assigned_to_id":338,"start_date":"2017-09-05","description":"","custom_fields":[{"id":1,"name":"Subdivision","value":"NW"},{"id":4,"name":"Milepost","value":"5.8926"},{"id":17,"name":"Train ID","value":"821-05"},{"id":16,"name":"Locomotive ID","value":"4064"},{"id":130,"name":"Impact","value":""},{"id":150,"name":"Time of Event (Mountain Time)","value":"13:22:28"},{"id":151,"name":"Denver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55"/>
        <v>start /low /b %USERPROFILE%\Documents\GitHub\eaglep3\Utilities\DownloadLogsFromS3.py --loco 4064 --day 2017-09-05</v>
      </c>
      <c r="AN179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724</v>
      </c>
      <c r="B180" s="7">
        <v>4063</v>
      </c>
      <c r="C180" s="21" t="s">
        <v>197</v>
      </c>
      <c r="D180" s="21" t="s">
        <v>942</v>
      </c>
      <c r="E180" s="13">
        <v>42983.558576388888</v>
      </c>
      <c r="F180" s="13">
        <v>42983.567453703705</v>
      </c>
      <c r="G180" s="7">
        <v>61</v>
      </c>
      <c r="H180" s="21" t="s">
        <v>943</v>
      </c>
      <c r="I180" s="13">
        <v>42983.579664351855</v>
      </c>
      <c r="J180" s="7">
        <v>0</v>
      </c>
      <c r="K180" s="89" t="str">
        <f t="shared" ref="K180:K211" si="163">IF(ISEVEN(B180),(B180-1)&amp;"/"&amp;B180,B180&amp;"/"&amp;(B180+1))</f>
        <v>4063/4064</v>
      </c>
      <c r="L180" s="214" t="str">
        <f>VLOOKUP(A180,'Trips&amp;Operators'!$C$1:$G$99911,5,FALSE)</f>
        <v>GUZMAN DANNY</v>
      </c>
      <c r="M180" s="6">
        <f t="shared" ref="M180:M211" si="164">I180-F180</f>
        <v>1.2210648150357883E-2</v>
      </c>
      <c r="N180" s="7">
        <f t="shared" ref="N180:N200" si="165">24*60*SUM($M180:$M180)</f>
        <v>17.583333336515352</v>
      </c>
      <c r="O180" s="7"/>
      <c r="P180" s="7"/>
      <c r="Q180" s="22"/>
      <c r="R180" s="167"/>
      <c r="S180" s="210">
        <f t="shared" ref="S180:S211" si="166">1/IF(AG180="EC",12,1)*SUM(U180:U180)</f>
        <v>1</v>
      </c>
      <c r="T180" s="192" t="str">
        <f t="shared" ref="T180:T211" si="167">IF(ISEVEN(LEFT(AD180,4)),"Southbound","NorthBound")</f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124"/>
        <v>https://d0f6bd738d7f1b3e5a7ca70fe4ff75f0.us-east-1.aws.found.io/app/kibana#/discover/Steve-Slow-Train-Analysis-(2080s-and-2083s)?_g=(refreshInterval:(display:Off,pause:!f,section:0,value:0),time:(from:'2017-09-05T12:24:21-0600',mode:absolute,to:'2017-09-05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194" t="str">
        <f>IF(AA180&lt;VLOOKUP(AG180,Variables!$AC$3:$AD$8,2,FALSE),"Y","N")</f>
        <v>N</v>
      </c>
      <c r="X180" s="194">
        <f t="shared" si="162"/>
        <v>1</v>
      </c>
      <c r="Y180" s="194">
        <f t="shared" ref="Y180:Y211" si="168">RIGHT(D180,LEN(D180)-4)/10000</f>
        <v>5.8613</v>
      </c>
      <c r="Z180" s="194">
        <f t="shared" ref="Z180:Z211" si="169">RIGHT(H180,LEN(H180)-4)/10000</f>
        <v>6.7000000000000004E-2</v>
      </c>
      <c r="AA180" s="194">
        <f t="shared" ref="AA180:AA211" si="170">ABS(Z180-Y180)</f>
        <v>5.7942999999999998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ref="AD180:AD211" si="171">VALUE(LEFT(A180,LEN(A180)-3))</f>
        <v>822</v>
      </c>
      <c r="AE180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80" s="74" t="str">
        <f t="shared" si="126"/>
        <v>"C:\Program Files (x86)\AstroGrep\AstroGrep.exe" /e /r /s /spath="%USERPROFILE%\AppData\Local\Temp\OnboardLogs" /stypes="app*4063*20170905*" /stext=" 19:.+((SYSTEM_STATE.+slice.+state.+changed )|(ment ac)|(multiple cpu faults)|(system.+state.+changed )|(\[timeout)|(PRM\|1\|D)|(kpr)|(kdp)|(train st.+moving)|(\|lc)|(penalty))"</v>
      </c>
      <c r="AG180" s="206" t="str">
        <f t="shared" ref="AG180:AG211" si="172">DetSubdiv(A180)</f>
        <v>NW</v>
      </c>
      <c r="AH180" s="78" t="str">
        <f t="shared" si="153"/>
        <v>"%USERPROFILE%\Documents\GitHub\eaglep3\Utilities\RefineRTDCRunTimes.py" --tripid 822-05 --locoid 4063 --swversion DE.1.0.9.0 --startMP 300:58613 --initTime 2017-09-05T13:24:21 --startdatetime 2017-09-05T13:37:08 --delay 61 --endMP 204:670 --enddatetime 2017-09-05T13:54:43 --enforcementcount 0 &gt;&gt;C:\Users\stu\Documents\GitHub\eaglep3-reporting\EC\2017-09-05-refined-times.txt</v>
      </c>
      <c r="AI180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{"issue":{"subject":"","project_id":79,"tracker_id":40,"status_id":1,"priority_id":2,"assigned_to_id":338,"start_date":"2017-09-05","description":"","custom_fields":[{"id":1,"name":"Subdivision","value":"NW"},{"id":4,"name":"Milepost","value":"0.067"},{"id":17,"name":"Train ID","value":"822-05"},{"id":16,"name":"Locomotive ID","value":"4063"},{"id":130,"name":"Impact","value":""},{"id":150,"name":"Time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55"/>
        <v>start /low /b %USERPROFILE%\Documents\GitHub\eaglep3\Utilities\DownloadLogsFromS3.py --loco 4063 --day 2017-09-05</v>
      </c>
      <c r="AN180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730</v>
      </c>
      <c r="B181" s="7">
        <v>4064</v>
      </c>
      <c r="C181" s="21" t="s">
        <v>197</v>
      </c>
      <c r="D181" s="21" t="s">
        <v>558</v>
      </c>
      <c r="E181" s="13">
        <v>42983.583773148152</v>
      </c>
      <c r="F181" s="13">
        <v>42983.589745370373</v>
      </c>
      <c r="G181" s="7">
        <v>63</v>
      </c>
      <c r="H181" s="21" t="s">
        <v>944</v>
      </c>
      <c r="I181" s="13">
        <v>42983.599247685182</v>
      </c>
      <c r="J181" s="7">
        <v>0</v>
      </c>
      <c r="K181" s="89" t="str">
        <f t="shared" si="163"/>
        <v>4063/4064</v>
      </c>
      <c r="L181" s="214" t="str">
        <f>VLOOKUP(A181,'Trips&amp;Operators'!$C$1:$G$99911,5,FALSE)</f>
        <v>GUZMAN DANNY</v>
      </c>
      <c r="M181" s="6">
        <f t="shared" si="164"/>
        <v>9.5023148096515797E-3</v>
      </c>
      <c r="N181" s="7">
        <f t="shared" si="165"/>
        <v>13.683333325898275</v>
      </c>
      <c r="O181" s="7"/>
      <c r="P181" s="7"/>
      <c r="Q181" s="22"/>
      <c r="R181" s="167"/>
      <c r="S181" s="210">
        <f t="shared" si="166"/>
        <v>1</v>
      </c>
      <c r="T181" s="192" t="str">
        <f t="shared" si="167"/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124"/>
        <v>https://d0f6bd738d7f1b3e5a7ca70fe4ff75f0.us-east-1.aws.found.io/app/kibana#/discover/Steve-Slow-Train-Analysis-(2080s-and-2083s)?_g=(refreshInterval:(display:Off,pause:!f,section:0,value:0),time:(from:'2017-09-05T13:00:38-0600',mode:absolute,to:'2017-09-05T15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194" t="str">
        <f>IF(AA181&lt;VLOOKUP(AG181,Variables!$AC$3:$AD$8,2,FALSE),"Y","N")</f>
        <v>N</v>
      </c>
      <c r="X181" s="194">
        <f t="shared" si="162"/>
        <v>1</v>
      </c>
      <c r="Y181" s="194">
        <f t="shared" si="168"/>
        <v>9.7199999999999995E-2</v>
      </c>
      <c r="Z181" s="194">
        <f t="shared" si="169"/>
        <v>5.8920000000000003</v>
      </c>
      <c r="AA181" s="194">
        <f t="shared" si="170"/>
        <v>5.7948000000000004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171"/>
        <v>823</v>
      </c>
      <c r="AE181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81" s="74" t="str">
        <f t="shared" si="126"/>
        <v>"C:\Program Files (x86)\AstroGrep\AstroGrep.exe" /e /r /s /spath="%USERPROFILE%\AppData\Local\Temp\OnboardLogs" /stypes="app*4064*20170905*" /stext=" 20:.+((SYSTEM_STATE.+slice.+state.+changed )|(ment ac)|(multiple cpu faults)|(system.+state.+changed )|(\[timeout)|(PRM\|1\|D)|(kpr)|(kdp)|(train st.+moving)|(\|lc)|(penalty))"</v>
      </c>
      <c r="AG181" s="206" t="str">
        <f t="shared" si="172"/>
        <v>NW</v>
      </c>
      <c r="AH181" s="78" t="str">
        <f t="shared" si="153"/>
        <v>"%USERPROFILE%\Documents\GitHub\eaglep3\Utilities\RefineRTDCRunTimes.py" --tripid 823-05 --locoid 4064 --swversion DE.1.0.9.0 --startMP 204:972 --initTime 2017-09-05T14:00:38 --startdatetime 2017-09-05T14:09:14 --delay 63 --endMP 300:58920 --enddatetime 2017-09-05T14:22:55 --enforcementcount 0 &gt;&gt;C:\Users\stu\Documents\GitHub\eaglep3-reporting\EC\2017-09-05-refined-times.txt</v>
      </c>
      <c r="AI181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{"issue":{"subject":"","project_id":79,"tracker_id":40,"status_id":1,"priority_id":2,"assigned_to_id":338,"start_date":"2017-09-05","description":"","custom_fields":[{"id":1,"name":"Subdivision","value":"NW"},{"id":4,"name":"Milepost","value":"5.892"},{"id":17,"name":"Train ID","value":"823-05"},{"id":16,"name":"Locomotive ID","value":"4064"},{"id":130,"name":"Impact","value":""},{"id":150,"name":"Time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55"/>
        <v>start /low /b %USERPROFILE%\Documents\GitHub\eaglep3\Utilities\DownloadLogsFromS3.py --loco 4064 --day 2017-09-05</v>
      </c>
      <c r="AN181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734</v>
      </c>
      <c r="B182" s="7">
        <v>4063</v>
      </c>
      <c r="C182" s="21" t="s">
        <v>197</v>
      </c>
      <c r="D182" s="21" t="s">
        <v>945</v>
      </c>
      <c r="E182" s="13">
        <v>42983.602673611109</v>
      </c>
      <c r="F182" s="13">
        <v>42983.609918981485</v>
      </c>
      <c r="G182" s="7">
        <v>60</v>
      </c>
      <c r="H182" s="21" t="s">
        <v>946</v>
      </c>
      <c r="I182" s="13">
        <v>42983.623437499999</v>
      </c>
      <c r="J182" s="7">
        <v>0</v>
      </c>
      <c r="K182" s="89" t="str">
        <f t="shared" si="163"/>
        <v>4063/4064</v>
      </c>
      <c r="L182" s="214" t="str">
        <f>VLOOKUP(A182,'Trips&amp;Operators'!$C$1:$G$99911,5,FALSE)</f>
        <v>GUZMAN DANNY</v>
      </c>
      <c r="M182" s="6">
        <f t="shared" si="164"/>
        <v>1.3518518513592426E-2</v>
      </c>
      <c r="N182" s="7">
        <f t="shared" si="165"/>
        <v>19.466666659573093</v>
      </c>
      <c r="O182" s="7"/>
      <c r="P182" s="7"/>
      <c r="Q182" s="22"/>
      <c r="R182" s="167"/>
      <c r="S182" s="210">
        <f t="shared" si="166"/>
        <v>1</v>
      </c>
      <c r="T182" s="192" t="str">
        <f t="shared" si="167"/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124"/>
        <v>https://d0f6bd738d7f1b3e5a7ca70fe4ff75f0.us-east-1.aws.found.io/app/kibana#/discover/Steve-Slow-Train-Analysis-(2080s-and-2083s)?_g=(refreshInterval:(display:Off,pause:!f,section:0,value:0),time:(from:'2017-09-05T13:27:51-0600',mode:absolute,to:'2017-09-05T15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194" t="str">
        <f>IF(AA182&lt;VLOOKUP(AG182,Variables!$AC$3:$AD$8,2,FALSE),"Y","N")</f>
        <v>N</v>
      </c>
      <c r="X182" s="194">
        <f t="shared" si="162"/>
        <v>1</v>
      </c>
      <c r="Y182" s="194">
        <f t="shared" si="168"/>
        <v>5.8604000000000003</v>
      </c>
      <c r="Z182" s="194">
        <f t="shared" si="169"/>
        <v>7.0300000000000001E-2</v>
      </c>
      <c r="AA182" s="194">
        <f t="shared" si="170"/>
        <v>5.7901000000000007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171"/>
        <v>824</v>
      </c>
      <c r="AE182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82" s="74" t="str">
        <f t="shared" si="126"/>
        <v>"C:\Program Files (x86)\AstroGrep\AstroGrep.exe" /e /r /s /spath="%USERPROFILE%\AppData\Local\Temp\OnboardLogs" /stypes="app*4063*20170905*" /stext=" 20:.+((SYSTEM_STATE.+slice.+state.+changed )|(ment ac)|(multiple cpu faults)|(system.+state.+changed )|(\[timeout)|(PRM\|1\|D)|(kpr)|(kdp)|(train st.+moving)|(\|lc)|(penalty))"</v>
      </c>
      <c r="AG182" s="206" t="str">
        <f t="shared" si="172"/>
        <v>NW</v>
      </c>
      <c r="AH182" s="78" t="str">
        <f t="shared" si="153"/>
        <v>"%USERPROFILE%\Documents\GitHub\eaglep3\Utilities\RefineRTDCRunTimes.py" --tripid 824-05 --locoid 4063 --swversion DE.1.0.9.0 --startMP 300:58604 --initTime 2017-09-05T14:27:51 --startdatetime 2017-09-05T14:38:17 --delay 60 --endMP 204:703 --enddatetime 2017-09-05T14:57:45 --enforcementcount 0 &gt;&gt;C:\Users\stu\Documents\GitHub\eaglep3-reporting\EC\2017-09-05-refined-times.txt</v>
      </c>
      <c r="AI182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{"issue":{"subject":"","project_id":79,"tracker_id":40,"status_id":1,"priority_id":2,"assigned_to_id":338,"start_date":"2017-09-05","description":"","custom_fields":[{"id":1,"name":"Subdivision","value":"NW"},{"id":4,"name":"Milepost","value":"0.0703"},{"id":17,"name":"Train ID","value":"824-05"},{"id":16,"name":"Locomotive ID","value":"4063"},{"id":130,"name":"Impact","value":""},{"id":150,"name":"Time of Event (Mountain Time)","value":"14:57:45"},{"id":151,"name":"Denver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55"/>
        <v>start /low /b %USERPROFILE%\Documents\GitHub\eaglep3\Utilities\DownloadLogsFromS3.py --loco 4063 --day 2017-09-05</v>
      </c>
      <c r="AN182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741</v>
      </c>
      <c r="B183" s="7">
        <v>4064</v>
      </c>
      <c r="C183" s="21" t="s">
        <v>197</v>
      </c>
      <c r="D183" s="21" t="s">
        <v>461</v>
      </c>
      <c r="E183" s="13">
        <v>42983.628634259258</v>
      </c>
      <c r="F183" s="13">
        <v>42983.631412037037</v>
      </c>
      <c r="G183" s="7">
        <v>93</v>
      </c>
      <c r="H183" s="21" t="s">
        <v>561</v>
      </c>
      <c r="I183" s="13">
        <v>42983.641527777778</v>
      </c>
      <c r="J183" s="7">
        <v>0</v>
      </c>
      <c r="K183" s="89" t="str">
        <f t="shared" si="163"/>
        <v>4063/4064</v>
      </c>
      <c r="L183" s="214" t="str">
        <f>VLOOKUP(A183,'Trips&amp;Operators'!$C$1:$G$99911,5,FALSE)</f>
        <v>NELSON ARIANE</v>
      </c>
      <c r="M183" s="6">
        <f t="shared" si="164"/>
        <v>1.0115740740729962E-2</v>
      </c>
      <c r="N183" s="7">
        <f t="shared" si="165"/>
        <v>14.566666666651145</v>
      </c>
      <c r="O183" s="7"/>
      <c r="P183" s="7"/>
      <c r="Q183" s="22"/>
      <c r="R183" s="167"/>
      <c r="S183" s="210">
        <f t="shared" si="166"/>
        <v>1</v>
      </c>
      <c r="T183" s="192" t="str">
        <f t="shared" si="167"/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124"/>
        <v>https://d0f6bd738d7f1b3e5a7ca70fe4ff75f0.us-east-1.aws.found.io/app/kibana#/discover/Steve-Slow-Train-Analysis-(2080s-and-2083s)?_g=(refreshInterval:(display:Off,pause:!f,section:0,value:0),time:(from:'2017-09-05T14:05:14-0600',mode:absolute,to:'2017-09-05T16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194" t="str">
        <f>IF(AA183&lt;VLOOKUP(AG183,Variables!$AC$3:$AD$8,2,FALSE),"Y","N")</f>
        <v>N</v>
      </c>
      <c r="X183" s="194">
        <f t="shared" si="162"/>
        <v>1</v>
      </c>
      <c r="Y183" s="194">
        <f t="shared" si="168"/>
        <v>9.74E-2</v>
      </c>
      <c r="Z183" s="194">
        <f t="shared" si="169"/>
        <v>5.8958000000000004</v>
      </c>
      <c r="AA183" s="194">
        <f t="shared" si="170"/>
        <v>5.7984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171"/>
        <v>825</v>
      </c>
      <c r="AE183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83" s="74" t="str">
        <f t="shared" si="126"/>
        <v>"C:\Program Files (x86)\AstroGrep\AstroGrep.exe" /e /r /s /spath="%USERPROFILE%\AppData\Local\Temp\OnboardLogs" /stypes="app*4064*20170905*" /stext=" 21:.+((SYSTEM_STATE.+slice.+state.+changed )|(ment ac)|(multiple cpu faults)|(system.+state.+changed )|(\[timeout)|(PRM\|1\|D)|(kpr)|(kdp)|(train st.+moving)|(\|lc)|(penalty))"</v>
      </c>
      <c r="AG183" s="206" t="str">
        <f t="shared" si="172"/>
        <v>NW</v>
      </c>
      <c r="AH183" s="78" t="str">
        <f t="shared" si="153"/>
        <v>"%USERPROFILE%\Documents\GitHub\eaglep3\Utilities\RefineRTDCRunTimes.py" --tripid 825-05 --locoid 4064 --swversion DE.1.0.9.0 --startMP 204:974 --initTime 2017-09-05T15:05:14 --startdatetime 2017-09-05T15:09:14 --delay 93 --endMP 300:58958 --enddatetime 2017-09-05T15:23:48 --enforcementcount 0 &gt;&gt;C:\Users\stu\Documents\GitHub\eaglep3-reporting\EC\2017-09-05-refined-times.txt</v>
      </c>
      <c r="AI183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{"issue":{"subject":"","project_id":79,"tracker_id":40,"status_id":1,"priority_id":2,"assigned_to_id":338,"start_date":"2017-09-05","description":"","custom_fields":[{"id":1,"name":"Subdivision","value":"NW"},{"id":4,"name":"Milepost","value":"5.8958"},{"id":17,"name":"Train ID","value":"825-05"},{"id":16,"name":"Locomotive ID","value":"4064"},{"id":130,"name":"Impact","value":""},{"id":150,"name":"Time of Event (Mountain Time)","value":"15:23:48"},{"id":151,"name":"Denver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55"/>
        <v>start /low /b %USERPROFILE%\Documents\GitHub\eaglep3\Utilities\DownloadLogsFromS3.py --loco 4064 --day 2017-09-05</v>
      </c>
      <c r="AN183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748</v>
      </c>
      <c r="B184" s="7">
        <v>4063</v>
      </c>
      <c r="C184" s="21" t="s">
        <v>197</v>
      </c>
      <c r="D184" s="21" t="s">
        <v>947</v>
      </c>
      <c r="E184" s="13">
        <v>42983.650370370371</v>
      </c>
      <c r="F184" s="13">
        <v>42983.652453703704</v>
      </c>
      <c r="G184" s="7">
        <v>72</v>
      </c>
      <c r="H184" s="21" t="s">
        <v>555</v>
      </c>
      <c r="I184" s="13">
        <v>42983.664710648147</v>
      </c>
      <c r="J184" s="7">
        <v>0</v>
      </c>
      <c r="K184" s="89" t="str">
        <f t="shared" si="163"/>
        <v>4063/4064</v>
      </c>
      <c r="L184" s="214" t="str">
        <f>VLOOKUP(A184,'Trips&amp;Operators'!$C$1:$G$99911,5,FALSE)</f>
        <v>NELSON ARIANE</v>
      </c>
      <c r="M184" s="6">
        <f t="shared" si="164"/>
        <v>1.2256944442924578E-2</v>
      </c>
      <c r="N184" s="7">
        <f t="shared" si="165"/>
        <v>17.649999997811392</v>
      </c>
      <c r="O184" s="7"/>
      <c r="P184" s="7"/>
      <c r="Q184" s="22"/>
      <c r="R184" s="167"/>
      <c r="S184" s="210">
        <f t="shared" si="166"/>
        <v>1</v>
      </c>
      <c r="T184" s="192" t="str">
        <f t="shared" si="167"/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124"/>
        <v>https://d0f6bd738d7f1b3e5a7ca70fe4ff75f0.us-east-1.aws.found.io/app/kibana#/discover/Steve-Slow-Train-Analysis-(2080s-and-2083s)?_g=(refreshInterval:(display:Off,pause:!f,section:0,value:0),time:(from:'2017-09-05T14:36:32-0600',mode:absolute,to:'2017-09-05T16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194" t="str">
        <f>IF(AA184&lt;VLOOKUP(AG184,Variables!$AC$3:$AD$8,2,FALSE),"Y","N")</f>
        <v>N</v>
      </c>
      <c r="X184" s="194">
        <f t="shared" si="162"/>
        <v>1</v>
      </c>
      <c r="Y184" s="194">
        <f t="shared" si="168"/>
        <v>5.8638000000000003</v>
      </c>
      <c r="Z184" s="194">
        <f t="shared" si="169"/>
        <v>7.0499999999999993E-2</v>
      </c>
      <c r="AA184" s="194">
        <f t="shared" si="170"/>
        <v>5.7933000000000003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171"/>
        <v>826</v>
      </c>
      <c r="AE184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84" s="74" t="str">
        <f t="shared" si="126"/>
        <v>"C:\Program Files (x86)\AstroGrep\AstroGrep.exe" /e /r /s /spath="%USERPROFILE%\AppData\Local\Temp\OnboardLogs" /stypes="app*4063*20170905*" /stext=" 21:.+((SYSTEM_STATE.+slice.+state.+changed )|(ment ac)|(multiple cpu faults)|(system.+state.+changed )|(\[timeout)|(PRM\|1\|D)|(kpr)|(kdp)|(train st.+moving)|(\|lc)|(penalty))"</v>
      </c>
      <c r="AG184" s="206" t="str">
        <f t="shared" si="172"/>
        <v>NW</v>
      </c>
      <c r="AH184" s="78" t="str">
        <f t="shared" si="153"/>
        <v>"%USERPROFILE%\Documents\GitHub\eaglep3\Utilities\RefineRTDCRunTimes.py" --tripid 826-05 --locoid 4063 --swversion DE.1.0.9.0 --startMP 300:58638 --initTime 2017-09-05T15:36:32 --startdatetime 2017-09-05T15:39:32 --delay 72 --endMP 204:705 --enddatetime 2017-09-05T15:57:11 --enforcementcount 0 &gt;&gt;C:\Users\stu\Documents\GitHub\eaglep3-reporting\EC\2017-09-05-refined-times.txt</v>
      </c>
      <c r="AI184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{"issue":{"subject":"","project_id":79,"tracker_id":40,"status_id":1,"priority_id":2,"assigned_to_id":338,"start_date":"2017-09-05","description":"","custom_fields":[{"id":1,"name":"Subdivision","value":"NW"},{"id":4,"name":"Milepost","value":"0.0705"},{"id":17,"name":"Train ID","value":"826-05"},{"id":16,"name":"Locomotive ID","value":"4063"},{"id":130,"name":"Impact","value":""},{"id":150,"name":"Time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55"/>
        <v>start /low /b %USERPROFILE%\Documents\GitHub\eaglep3\Utilities\DownloadLogsFromS3.py --loco 4063 --day 2017-09-05</v>
      </c>
      <c r="AN184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747</v>
      </c>
      <c r="B185" s="7">
        <v>4020</v>
      </c>
      <c r="C185" s="21" t="s">
        <v>197</v>
      </c>
      <c r="D185" s="21" t="s">
        <v>948</v>
      </c>
      <c r="E185" s="13">
        <v>42983.648923611108</v>
      </c>
      <c r="F185" s="13">
        <v>42983.652303240742</v>
      </c>
      <c r="G185" s="7">
        <v>71</v>
      </c>
      <c r="H185" s="21" t="s">
        <v>949</v>
      </c>
      <c r="I185" s="13">
        <v>42983.663217592592</v>
      </c>
      <c r="J185" s="7">
        <v>0</v>
      </c>
      <c r="K185" s="89" t="str">
        <f t="shared" si="163"/>
        <v>4019/4020</v>
      </c>
      <c r="L185" s="214" t="str">
        <f>VLOOKUP(A185,'Trips&amp;Operators'!$C$1:$G$99911,5,FALSE)</f>
        <v>WEST BRYAN</v>
      </c>
      <c r="M185" s="6">
        <f t="shared" si="164"/>
        <v>1.0914351849351078E-2</v>
      </c>
      <c r="N185" s="7">
        <f t="shared" si="165"/>
        <v>15.716666663065553</v>
      </c>
      <c r="O185" s="7"/>
      <c r="P185" s="7"/>
      <c r="Q185" s="22"/>
      <c r="R185" s="167"/>
      <c r="S185" s="210">
        <f t="shared" si="166"/>
        <v>1</v>
      </c>
      <c r="T185" s="192" t="str">
        <f t="shared" si="167"/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124"/>
        <v>https://d0f6bd738d7f1b3e5a7ca70fe4ff75f0.us-east-1.aws.found.io/app/kibana#/discover/Steve-Slow-Train-Analysis-(2080s-and-2083s)?_g=(refreshInterval:(display:Off,pause:!f,section:0,value:0),time:(from:'2017-09-05T14:34:27-0600',mode:absolute,to:'2017-09-05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5" s="194" t="str">
        <f>IF(AA185&lt;VLOOKUP(AG185,Variables!$AC$3:$AD$8,2,FALSE),"Y","N")</f>
        <v>N</v>
      </c>
      <c r="X185" s="194">
        <f t="shared" si="162"/>
        <v>1</v>
      </c>
      <c r="Y185" s="194">
        <f t="shared" si="168"/>
        <v>0.11210000000000001</v>
      </c>
      <c r="Z185" s="194">
        <f t="shared" si="169"/>
        <v>5.8979999999999997</v>
      </c>
      <c r="AA185" s="194">
        <f t="shared" si="170"/>
        <v>5.7858999999999998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171"/>
        <v>827</v>
      </c>
      <c r="AE185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85" s="74" t="str">
        <f t="shared" si="126"/>
        <v>"C:\Program Files (x86)\AstroGrep\AstroGrep.exe" /e /r /s /spath="%USERPROFILE%\AppData\Local\Temp\OnboardLogs" /stypes="app*4020*20170905*" /stext=" 21:.+((SYSTEM_STATE.+slice.+state.+changed )|(ment ac)|(multiple cpu faults)|(system.+state.+changed )|(\[timeout)|(PRM\|1\|D)|(kpr)|(kdp)|(train st.+moving)|(\|lc)|(penalty))"</v>
      </c>
      <c r="AG185" s="206" t="str">
        <f t="shared" si="172"/>
        <v>NW</v>
      </c>
      <c r="AH185" s="78" t="str">
        <f t="shared" si="153"/>
        <v>"%USERPROFILE%\Documents\GitHub\eaglep3\Utilities\RefineRTDCRunTimes.py" --tripid 827-05 --locoid 4020 --swversion DE.1.0.9.0 --startMP 204:1121 --initTime 2017-09-05T15:34:27 --startdatetime 2017-09-05T15:39:19 --delay 71 --endMP 300:58980 --enddatetime 2017-09-05T15:55:02 --enforcementcount 0 &gt;&gt;C:\Users\stu\Documents\GitHub\eaglep3-reporting\EC\2017-09-05-refined-times.txt</v>
      </c>
      <c r="AI185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{"issue":{"subject":"","project_id":79,"tracker_id":40,"status_id":1,"priority_id":2,"assigned_to_id":338,"start_date":"2017-09-05","description":"","custom_fields":[{"id":1,"name":"Subdivision","value":"NW"},{"id":4,"name":"Milepost","value":"5.898"},{"id":17,"name":"Train ID","value":"827-05"},{"id":16,"name":"Locomotive ID","value":"4020"},{"id":130,"name":"Impact","value":""},{"id":150,"name":"Time of Event (Mountain Time)","value":"15:55:02"},{"id":151,"name":"Denver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55"/>
        <v>start /low /b %USERPROFILE%\Documents\GitHub\eaglep3\Utilities\DownloadLogsFromS3.py --loco 4020 --day 2017-09-05</v>
      </c>
      <c r="AN185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605</v>
      </c>
      <c r="B186" s="7">
        <v>4019</v>
      </c>
      <c r="C186" s="21" t="s">
        <v>197</v>
      </c>
      <c r="D186" s="21" t="s">
        <v>925</v>
      </c>
      <c r="E186" s="13">
        <v>42983.664803240739</v>
      </c>
      <c r="F186" s="13">
        <v>42983.67459490741</v>
      </c>
      <c r="G186" s="7">
        <v>107</v>
      </c>
      <c r="H186" s="21" t="s">
        <v>551</v>
      </c>
      <c r="I186" s="13">
        <v>42983.684189814812</v>
      </c>
      <c r="J186" s="7">
        <v>0</v>
      </c>
      <c r="K186" s="89" t="str">
        <f t="shared" si="163"/>
        <v>4019/4020</v>
      </c>
      <c r="L186" s="214" t="str">
        <f>VLOOKUP(A186,'Trips&amp;Operators'!$C$1:$G$99911,5,FALSE)</f>
        <v>WEST BRYAN</v>
      </c>
      <c r="M186" s="6">
        <f t="shared" si="164"/>
        <v>9.594907402060926E-3</v>
      </c>
      <c r="N186" s="7">
        <f t="shared" si="165"/>
        <v>13.816666658967733</v>
      </c>
      <c r="O186" s="7"/>
      <c r="P186" s="7"/>
      <c r="Q186" s="22"/>
      <c r="R186" s="167"/>
      <c r="S186" s="210">
        <f t="shared" si="166"/>
        <v>1</v>
      </c>
      <c r="T186" s="192" t="str">
        <f t="shared" si="167"/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124"/>
        <v>https://d0f6bd738d7f1b3e5a7ca70fe4ff75f0.us-east-1.aws.found.io/app/kibana#/discover/Steve-Slow-Train-Analysis-(2080s-and-2083s)?_g=(refreshInterval:(display:Off,pause:!f,section:0,value:0),time:(from:'2017-09-05T14:57:19-0600',mode:absolute,to:'2017-09-05T17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6" s="194" t="str">
        <f>IF(AA186&lt;VLOOKUP(AG186,Variables!$AC$3:$AD$8,2,FALSE),"Y","N")</f>
        <v>N</v>
      </c>
      <c r="X186" s="194">
        <f t="shared" si="162"/>
        <v>1</v>
      </c>
      <c r="Y186" s="194">
        <f t="shared" si="168"/>
        <v>5.8658000000000001</v>
      </c>
      <c r="Z186" s="194">
        <f t="shared" si="169"/>
        <v>7.3999999999999996E-2</v>
      </c>
      <c r="AA186" s="194">
        <f t="shared" si="170"/>
        <v>5.7918000000000003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171"/>
        <v>828</v>
      </c>
      <c r="AE186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86" s="74" t="str">
        <f t="shared" si="126"/>
        <v>"C:\Program Files (x86)\AstroGrep\AstroGrep.exe" /e /r /s /spath="%USERPROFILE%\AppData\Local\Temp\OnboardLogs" /stypes="app*4019*20170905*" /stext=" 22:.+((SYSTEM_STATE.+slice.+state.+changed )|(ment ac)|(multiple cpu faults)|(system.+state.+changed )|(\[timeout)|(PRM\|1\|D)|(kpr)|(kdp)|(train st.+moving)|(\|lc)|(penalty))"</v>
      </c>
      <c r="AG186" s="206" t="str">
        <f t="shared" si="172"/>
        <v>NW</v>
      </c>
      <c r="AH186" s="78" t="str">
        <f t="shared" si="153"/>
        <v>"%USERPROFILE%\Documents\GitHub\eaglep3\Utilities\RefineRTDCRunTimes.py" --tripid 828-05 --locoid 4019 --swversion DE.1.0.9.0 --startMP 300:58658 --initTime 2017-09-05T15:57:19 --startdatetime 2017-09-05T16:11:25 --delay 107 --endMP 204:740 --enddatetime 2017-09-05T16:25:14 --enforcementcount 0 &gt;&gt;C:\Users\stu\Documents\GitHub\eaglep3-reporting\EC\2017-09-05-refined-times.txt</v>
      </c>
      <c r="AI186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{"issue":{"subject":"","project_id":79,"tracker_id":40,"status_id":1,"priority_id":2,"assigned_to_id":338,"start_date":"2017-09-05","description":"","custom_fields":[{"id":1,"name":"Subdivision","value":"NW"},{"id":4,"name":"Milepost","value":"0.074"},{"id":17,"name":"Train ID","value":"828-05"},{"id":16,"name":"Locomotive ID","value":"4019"},{"id":130,"name":"Impact","value":""},{"id":150,"name":"Time of Event (Mountain Time)","value":"16:25:14"},{"id":151,"name":"Denver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55"/>
        <v>start /low /b %USERPROFILE%\Documents\GitHub\eaglep3\Utilities\DownloadLogsFromS3.py --loco 4019 --day 2017-09-05</v>
      </c>
      <c r="AN186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751</v>
      </c>
      <c r="B187" s="7">
        <v>4064</v>
      </c>
      <c r="C187" s="21" t="s">
        <v>197</v>
      </c>
      <c r="D187" s="21" t="s">
        <v>558</v>
      </c>
      <c r="E187" s="13">
        <v>42983.668981481482</v>
      </c>
      <c r="F187" s="13">
        <v>42983.673090277778</v>
      </c>
      <c r="G187" s="7">
        <v>84</v>
      </c>
      <c r="H187" s="21" t="s">
        <v>920</v>
      </c>
      <c r="I187" s="13">
        <v>42983.683483796296</v>
      </c>
      <c r="J187" s="7">
        <v>0</v>
      </c>
      <c r="K187" s="89" t="str">
        <f t="shared" si="163"/>
        <v>4063/4064</v>
      </c>
      <c r="L187" s="214" t="str">
        <f>VLOOKUP(A187,'Trips&amp;Operators'!$C$1:$G$99911,5,FALSE)</f>
        <v>GUZMAN DANNY</v>
      </c>
      <c r="M187" s="6">
        <f t="shared" si="164"/>
        <v>1.0393518517958E-2</v>
      </c>
      <c r="N187" s="7">
        <f t="shared" si="165"/>
        <v>14.96666666585952</v>
      </c>
      <c r="O187" s="7"/>
      <c r="P187" s="7"/>
      <c r="Q187" s="22"/>
      <c r="R187" s="167"/>
      <c r="S187" s="210">
        <f t="shared" si="166"/>
        <v>1</v>
      </c>
      <c r="T187" s="192" t="str">
        <f t="shared" si="167"/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124"/>
        <v>https://d0f6bd738d7f1b3e5a7ca70fe4ff75f0.us-east-1.aws.found.io/app/kibana#/discover/Steve-Slow-Train-Analysis-(2080s-and-2083s)?_g=(refreshInterval:(display:Off,pause:!f,section:0,value:0),time:(from:'2017-09-05T15:03:20-0600',mode:absolute,to:'2017-09-05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194" t="str">
        <f>IF(AA187&lt;VLOOKUP(AG187,Variables!$AC$3:$AD$8,2,FALSE),"Y","N")</f>
        <v>N</v>
      </c>
      <c r="X187" s="194">
        <f t="shared" si="162"/>
        <v>1</v>
      </c>
      <c r="Y187" s="194">
        <f t="shared" si="168"/>
        <v>9.7199999999999995E-2</v>
      </c>
      <c r="Z187" s="194">
        <f t="shared" si="169"/>
        <v>5.8930999999999996</v>
      </c>
      <c r="AA187" s="194">
        <f t="shared" si="170"/>
        <v>5.7958999999999996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171"/>
        <v>829</v>
      </c>
      <c r="AE187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87" s="74" t="str">
        <f t="shared" si="126"/>
        <v>"C:\Program Files (x86)\AstroGrep\AstroGrep.exe" /e /r /s /spath="%USERPROFILE%\AppData\Local\Temp\OnboardLogs" /stypes="app*4064*20170905*" /stext=" 22:.+((SYSTEM_STATE.+slice.+state.+changed )|(ment ac)|(multiple cpu faults)|(system.+state.+changed )|(\[timeout)|(PRM\|1\|D)|(kpr)|(kdp)|(train st.+moving)|(\|lc)|(penalty))"</v>
      </c>
      <c r="AG187" s="206" t="str">
        <f t="shared" si="172"/>
        <v>NW</v>
      </c>
      <c r="AH187" s="78" t="str">
        <f t="shared" si="153"/>
        <v>"%USERPROFILE%\Documents\GitHub\eaglep3\Utilities\RefineRTDCRunTimes.py" --tripid 829-05 --locoid 4064 --swversion DE.1.0.9.0 --startMP 204:972 --initTime 2017-09-05T16:03:20 --startdatetime 2017-09-05T16:09:15 --delay 84 --endMP 300:58931 --enddatetime 2017-09-05T16:24:13 --enforcementcount 0 &gt;&gt;C:\Users\stu\Documents\GitHub\eaglep3-reporting\EC\2017-09-05-refined-times.txt</v>
      </c>
      <c r="AI187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{"issue":{"subject":"","project_id":79,"tracker_id":40,"status_id":1,"priority_id":2,"assigned_to_id":338,"start_date":"2017-09-05","description":"","custom_fields":[{"id":1,"name":"Subdivision","value":"NW"},{"id":4,"name":"Milepost","value":"5.8931"},{"id":17,"name":"Train ID","value":"829-05"},{"id":16,"name":"Locomotive ID","value":"4064"},{"id":130,"name":"Impact","value":""},{"id":150,"name":"Time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55"/>
        <v>start /low /b %USERPROFILE%\Documents\GitHub\eaglep3\Utilities\DownloadLogsFromS3.py --loco 4064 --day 2017-09-05</v>
      </c>
      <c r="AN187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756</v>
      </c>
      <c r="B188" s="7">
        <v>4063</v>
      </c>
      <c r="C188" s="21" t="s">
        <v>197</v>
      </c>
      <c r="D188" s="21" t="s">
        <v>950</v>
      </c>
      <c r="E188" s="13">
        <v>42983.684513888889</v>
      </c>
      <c r="F188" s="13">
        <v>42983.692673611113</v>
      </c>
      <c r="G188" s="7">
        <v>62</v>
      </c>
      <c r="H188" s="21" t="s">
        <v>932</v>
      </c>
      <c r="I188" s="13">
        <v>42983.70480324074</v>
      </c>
      <c r="J188" s="7">
        <v>0</v>
      </c>
      <c r="K188" s="89" t="str">
        <f t="shared" si="163"/>
        <v>4063/4064</v>
      </c>
      <c r="L188" s="214" t="str">
        <f>VLOOKUP(A188,'Trips&amp;Operators'!$C$1:$G$99911,5,FALSE)</f>
        <v>GUZMAN DANNY</v>
      </c>
      <c r="M188" s="6">
        <f t="shared" si="164"/>
        <v>1.2129629627452232E-2</v>
      </c>
      <c r="N188" s="7">
        <f t="shared" si="165"/>
        <v>17.466666663531214</v>
      </c>
      <c r="O188" s="7"/>
      <c r="P188" s="7"/>
      <c r="Q188" s="22"/>
      <c r="R188" s="167"/>
      <c r="S188" s="210">
        <f t="shared" si="166"/>
        <v>1</v>
      </c>
      <c r="T188" s="192" t="str">
        <f t="shared" si="167"/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124"/>
        <v>https://d0f6bd738d7f1b3e5a7ca70fe4ff75f0.us-east-1.aws.found.io/app/kibana#/discover/Steve-Slow-Train-Analysis-(2080s-and-2083s)?_g=(refreshInterval:(display:Off,pause:!f,section:0,value:0),time:(from:'2017-09-05T15:25:42-0600',mode:absolute,to:'2017-09-05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194" t="str">
        <f>IF(AA188&lt;VLOOKUP(AG188,Variables!$AC$3:$AD$8,2,FALSE),"Y","N")</f>
        <v>N</v>
      </c>
      <c r="X188" s="194">
        <f t="shared" si="162"/>
        <v>1</v>
      </c>
      <c r="Y188" s="194">
        <f t="shared" si="168"/>
        <v>5.8624000000000001</v>
      </c>
      <c r="Z188" s="194">
        <f t="shared" si="169"/>
        <v>6.8500000000000005E-2</v>
      </c>
      <c r="AA188" s="194">
        <f t="shared" si="170"/>
        <v>5.7938999999999998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171"/>
        <v>830</v>
      </c>
      <c r="AE188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88" s="74" t="str">
        <f t="shared" si="126"/>
        <v>"C:\Program Files (x86)\AstroGrep\AstroGrep.exe" /e /r /s /spath="%USERPROFILE%\AppData\Local\Temp\OnboardLogs" /stypes="app*4063*20170905*" /stext=" 22:.+((SYSTEM_STATE.+slice.+state.+changed )|(ment ac)|(multiple cpu faults)|(system.+state.+changed )|(\[timeout)|(PRM\|1\|D)|(kpr)|(kdp)|(train st.+moving)|(\|lc)|(penalty))"</v>
      </c>
      <c r="AG188" s="206" t="str">
        <f t="shared" si="172"/>
        <v>NW</v>
      </c>
      <c r="AH188" s="78" t="str">
        <f t="shared" si="153"/>
        <v>"%USERPROFILE%\Documents\GitHub\eaglep3\Utilities\RefineRTDCRunTimes.py" --tripid 830-05 --locoid 4063 --swversion DE.1.0.9.0 --startMP 300:58624 --initTime 2017-09-05T16:25:42 --startdatetime 2017-09-05T16:37:27 --delay 62 --endMP 204:685 --enddatetime 2017-09-05T16:54:55 --enforcementcount 0 &gt;&gt;C:\Users\stu\Documents\GitHub\eaglep3-reporting\EC\2017-09-05-refined-times.txt</v>
      </c>
      <c r="AI188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{"issue":{"subject":"","project_id":79,"tracker_id":40,"status_id":1,"priority_id":2,"assigned_to_id":338,"start_date":"2017-09-05","description":"","custom_fields":[{"id":1,"name":"Subdivision","value":"NW"},{"id":4,"name":"Milepost","value":"0.0685"},{"id":17,"name":"Train ID","value":"830-05"},{"id":16,"name":"Locomotive ID","value":"4063"},{"id":130,"name":"Impact","value":""},{"id":150,"name":"Time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55"/>
        <v>start /low /b %USERPROFILE%\Documents\GitHub\eaglep3\Utilities\DownloadLogsFromS3.py --loco 4063 --day 2017-09-05</v>
      </c>
      <c r="AN188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758</v>
      </c>
      <c r="B189" s="7">
        <v>4020</v>
      </c>
      <c r="C189" s="21" t="s">
        <v>197</v>
      </c>
      <c r="D189" s="21" t="s">
        <v>951</v>
      </c>
      <c r="E189" s="13">
        <v>42983.69021990741</v>
      </c>
      <c r="F189" s="13">
        <v>42983.694363425922</v>
      </c>
      <c r="G189" s="7">
        <v>96</v>
      </c>
      <c r="H189" s="21" t="s">
        <v>447</v>
      </c>
      <c r="I189" s="13">
        <v>42983.704027777778</v>
      </c>
      <c r="J189" s="7">
        <v>0</v>
      </c>
      <c r="K189" s="89" t="str">
        <f t="shared" si="163"/>
        <v>4019/4020</v>
      </c>
      <c r="L189" s="214" t="str">
        <f>VLOOKUP(A189,'Trips&amp;Operators'!$C$1:$G$99911,5,FALSE)</f>
        <v>WEST BRYAN</v>
      </c>
      <c r="M189" s="6">
        <f t="shared" si="164"/>
        <v>9.6643518554628827E-3</v>
      </c>
      <c r="N189" s="7">
        <f t="shared" si="165"/>
        <v>13.916666671866551</v>
      </c>
      <c r="O189" s="7"/>
      <c r="P189" s="7"/>
      <c r="Q189" s="22"/>
      <c r="R189" s="167"/>
      <c r="S189" s="210">
        <f t="shared" si="166"/>
        <v>1</v>
      </c>
      <c r="T189" s="192" t="str">
        <f t="shared" si="167"/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124"/>
        <v>https://d0f6bd738d7f1b3e5a7ca70fe4ff75f0.us-east-1.aws.found.io/app/kibana#/discover/Steve-Slow-Train-Analysis-(2080s-and-2083s)?_g=(refreshInterval:(display:Off,pause:!f,section:0,value:0),time:(from:'2017-09-05T15:33:55-0600',mode:absolute,to:'2017-09-05T17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9" s="194" t="str">
        <f>IF(AA189&lt;VLOOKUP(AG189,Variables!$AC$3:$AD$8,2,FALSE),"Y","N")</f>
        <v>N</v>
      </c>
      <c r="X189" s="194">
        <f t="shared" si="162"/>
        <v>1</v>
      </c>
      <c r="Y189" s="194">
        <f t="shared" si="168"/>
        <v>0.10199999999999999</v>
      </c>
      <c r="Z189" s="194">
        <f t="shared" si="169"/>
        <v>5.8943000000000003</v>
      </c>
      <c r="AA189" s="194">
        <f t="shared" si="170"/>
        <v>5.7923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171"/>
        <v>831</v>
      </c>
      <c r="AE189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89" s="74" t="str">
        <f t="shared" si="126"/>
        <v>"C:\Program Files (x86)\AstroGrep\AstroGrep.exe" /e /r /s /spath="%USERPROFILE%\AppData\Local\Temp\OnboardLogs" /stypes="app*4020*20170905*" /stext=" 22:.+((SYSTEM_STATE.+slice.+state.+changed )|(ment ac)|(multiple cpu faults)|(system.+state.+changed )|(\[timeout)|(PRM\|1\|D)|(kpr)|(kdp)|(train st.+moving)|(\|lc)|(penalty))"</v>
      </c>
      <c r="AG189" s="206" t="str">
        <f t="shared" si="172"/>
        <v>NW</v>
      </c>
      <c r="AH189" s="78" t="str">
        <f t="shared" si="153"/>
        <v>"%USERPROFILE%\Documents\GitHub\eaglep3\Utilities\RefineRTDCRunTimes.py" --tripid 831-05 --locoid 4020 --swversion DE.1.0.9.0 --startMP 204:1020 --initTime 2017-09-05T16:33:55 --startdatetime 2017-09-05T16:39:53 --delay 96 --endMP 300:58943 --enddatetime 2017-09-05T16:53:48 --enforcementcount 0 &gt;&gt;C:\Users\stu\Documents\GitHub\eaglep3-reporting\EC\2017-09-05-refined-times.txt</v>
      </c>
      <c r="AI189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{"issue":{"subject":"","project_id":79,"tracker_id":40,"status_id":1,"priority_id":2,"assigned_to_id":338,"start_date":"2017-09-05","description":"","custom_fields":[{"id":1,"name":"Subdivision","value":"NW"},{"id":4,"name":"Milepost","value":"5.8943"},{"id":17,"name":"Train ID","value":"831-05"},{"id":16,"name":"Locomotive ID","value":"4020"},{"id":130,"name":"Impact","value":""},{"id":150,"name":"Time of Event (Mountain Time)","value":"16:53:48"},{"id":151,"name":"Denver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55"/>
        <v>start /low /b %USERPROFILE%\Documents\GitHub\eaglep3\Utilities\DownloadLogsFromS3.py --loco 4020 --day 2017-09-05</v>
      </c>
      <c r="AN189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22:53:48"},{"id":29,"name":"Sharepoint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761</v>
      </c>
      <c r="B190" s="7">
        <v>4019</v>
      </c>
      <c r="C190" s="21" t="s">
        <v>197</v>
      </c>
      <c r="D190" s="21" t="s">
        <v>439</v>
      </c>
      <c r="E190" s="13">
        <v>42983.705034722225</v>
      </c>
      <c r="F190" s="13">
        <v>42983.715763888889</v>
      </c>
      <c r="G190" s="7">
        <v>71</v>
      </c>
      <c r="H190" s="21" t="s">
        <v>952</v>
      </c>
      <c r="I190" s="13">
        <v>42983.725451388891</v>
      </c>
      <c r="J190" s="7">
        <v>0</v>
      </c>
      <c r="K190" s="89" t="str">
        <f t="shared" si="163"/>
        <v>4019/4020</v>
      </c>
      <c r="L190" s="214" t="str">
        <f>VLOOKUP(A190,'Trips&amp;Operators'!$C$1:$G$99911,5,FALSE)</f>
        <v>WEST BRYAN</v>
      </c>
      <c r="M190" s="6">
        <f t="shared" si="164"/>
        <v>9.6875000017462298E-3</v>
      </c>
      <c r="N190" s="7">
        <f t="shared" si="165"/>
        <v>13.950000002514571</v>
      </c>
      <c r="O190" s="7"/>
      <c r="P190" s="7"/>
      <c r="Q190" s="22"/>
      <c r="R190" s="167"/>
      <c r="S190" s="210">
        <f t="shared" si="166"/>
        <v>1</v>
      </c>
      <c r="T190" s="192" t="str">
        <f t="shared" si="167"/>
        <v>Southbound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124"/>
        <v>https://d0f6bd738d7f1b3e5a7ca70fe4ff75f0.us-east-1.aws.found.io/app/kibana#/discover/Steve-Slow-Train-Analysis-(2080s-and-2083s)?_g=(refreshInterval:(display:Off,pause:!f,section:0,value:0),time:(from:'2017-09-05T15:55:15-0600',mode:absolute,to:'2017-09-05T18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0" s="194" t="str">
        <f>IF(AA190&lt;VLOOKUP(AG190,Variables!$AC$3:$AD$8,2,FALSE),"Y","N")</f>
        <v>N</v>
      </c>
      <c r="X190" s="194">
        <f t="shared" si="162"/>
        <v>1</v>
      </c>
      <c r="Y190" s="194">
        <f t="shared" si="168"/>
        <v>5.8625999999999996</v>
      </c>
      <c r="Z190" s="194">
        <f t="shared" si="169"/>
        <v>6.5699999999999995E-2</v>
      </c>
      <c r="AA190" s="194">
        <f t="shared" si="170"/>
        <v>5.7968999999999999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171"/>
        <v>832</v>
      </c>
      <c r="AE190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90" s="74" t="str">
        <f t="shared" si="126"/>
        <v>"C:\Program Files (x86)\AstroGrep\AstroGrep.exe" /e /r /s /spath="%USERPROFILE%\AppData\Local\Temp\OnboardLogs" /stypes="app*4019*20170905*" /stext=" 23:.+((SYSTEM_STATE.+slice.+state.+changed )|(ment ac)|(multiple cpu faults)|(system.+state.+changed )|(\[timeout)|(PRM\|1\|D)|(kpr)|(kdp)|(train st.+moving)|(\|lc)|(penalty))"</v>
      </c>
      <c r="AG190" s="206" t="str">
        <f t="shared" si="172"/>
        <v>NW</v>
      </c>
      <c r="AH190" s="78" t="str">
        <f t="shared" si="153"/>
        <v>"%USERPROFILE%\Documents\GitHub\eaglep3\Utilities\RefineRTDCRunTimes.py" --tripid 832-05 --locoid 4019 --swversion DE.1.0.9.0 --startMP 300:58626 --initTime 2017-09-05T16:55:15 --startdatetime 2017-09-05T17:10:42 --delay 71 --endMP 204:657 --enddatetime 2017-09-05T17:24:39 --enforcementcount 0 &gt;&gt;C:\Users\stu\Documents\GitHub\eaglep3-reporting\EC\2017-09-05-refined-times.txt</v>
      </c>
      <c r="AI190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{"issue":{"subject":"","project_id":79,"tracker_id":40,"status_id":1,"priority_id":2,"assigned_to_id":338,"start_date":"2017-09-05","description":"","custom_fields":[{"id":1,"name":"Subdivision","value":"NW"},{"id":4,"name":"Milepost","value":"0.0657"},{"id":17,"name":"Train ID","value":"832-05"},{"id":16,"name":"Locomotive ID","value":"4019"},{"id":130,"name":"Impact","value":""},{"id":150,"name":"Time of Event (Mountain Time)","value":"17:24:39"},{"id":151,"name":"Denver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55"/>
        <v>start /low /b %USERPROFILE%\Documents\GitHub\eaglep3\Utilities\DownloadLogsFromS3.py --loco 4019 --day 2017-09-05</v>
      </c>
      <c r="AN190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608</v>
      </c>
      <c r="B191" s="7">
        <v>4064</v>
      </c>
      <c r="C191" s="21" t="s">
        <v>197</v>
      </c>
      <c r="D191" s="21" t="s">
        <v>558</v>
      </c>
      <c r="E191" s="13">
        <v>42983.71025462963</v>
      </c>
      <c r="F191" s="13">
        <v>42983.714965277781</v>
      </c>
      <c r="G191" s="7">
        <v>56</v>
      </c>
      <c r="H191" s="21" t="s">
        <v>953</v>
      </c>
      <c r="I191" s="13">
        <v>42983.727731481478</v>
      </c>
      <c r="J191" s="7">
        <v>0</v>
      </c>
      <c r="K191" s="89" t="str">
        <f t="shared" si="163"/>
        <v>4063/4064</v>
      </c>
      <c r="L191" s="214" t="str">
        <f>VLOOKUP(A191,'Trips&amp;Operators'!$C$1:$G$99911,5,FALSE)</f>
        <v>GUZMAN DANNY</v>
      </c>
      <c r="M191" s="6">
        <f t="shared" si="164"/>
        <v>1.2766203697538003E-2</v>
      </c>
      <c r="N191" s="7">
        <f t="shared" si="165"/>
        <v>18.383333324454725</v>
      </c>
      <c r="O191" s="7"/>
      <c r="P191" s="7"/>
      <c r="Q191" s="22"/>
      <c r="R191" s="167"/>
      <c r="S191" s="210">
        <f t="shared" si="166"/>
        <v>1</v>
      </c>
      <c r="T191" s="192" t="str">
        <f t="shared" si="167"/>
        <v>NorthBound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124"/>
        <v>https://d0f6bd738d7f1b3e5a7ca70fe4ff75f0.us-east-1.aws.found.io/app/kibana#/discover/Steve-Slow-Train-Analysis-(2080s-and-2083s)?_g=(refreshInterval:(display:Off,pause:!f,section:0,value:0),time:(from:'2017-09-05T16:02:46-0600',mode:absolute,to:'2017-09-05T18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194" t="str">
        <f>IF(AA191&lt;VLOOKUP(AG191,Variables!$AC$3:$AD$8,2,FALSE),"Y","N")</f>
        <v>N</v>
      </c>
      <c r="X191" s="194">
        <f t="shared" si="162"/>
        <v>1</v>
      </c>
      <c r="Y191" s="194">
        <f t="shared" si="168"/>
        <v>9.7199999999999995E-2</v>
      </c>
      <c r="Z191" s="194">
        <f t="shared" si="169"/>
        <v>5.8933</v>
      </c>
      <c r="AA191" s="194">
        <f t="shared" si="170"/>
        <v>5.7961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171"/>
        <v>833</v>
      </c>
      <c r="AE191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91" s="74" t="str">
        <f t="shared" si="126"/>
        <v>"C:\Program Files (x86)\AstroGrep\AstroGrep.exe" /e /r /s /spath="%USERPROFILE%\AppData\Local\Temp\OnboardLogs" /stypes="app*4064*20170905*" /stext=" 23:.+((SYSTEM_STATE.+slice.+state.+changed )|(ment ac)|(multiple cpu faults)|(system.+state.+changed )|(\[timeout)|(PRM\|1\|D)|(kpr)|(kdp)|(train st.+moving)|(\|lc)|(penalty))"</v>
      </c>
      <c r="AG191" s="206" t="str">
        <f t="shared" si="172"/>
        <v>NW</v>
      </c>
      <c r="AH191" s="78" t="str">
        <f t="shared" si="153"/>
        <v>"%USERPROFILE%\Documents\GitHub\eaglep3\Utilities\RefineRTDCRunTimes.py" --tripid 833-05 --locoid 4064 --swversion DE.1.0.9.0 --startMP 204:972 --initTime 2017-09-05T17:02:46 --startdatetime 2017-09-05T17:09:33 --delay 56 --endMP 300:58933 --enddatetime 2017-09-05T17:27:56 --enforcementcount 0 &gt;&gt;C:\Users\stu\Documents\GitHub\eaglep3-reporting\EC\2017-09-05-refined-times.txt</v>
      </c>
      <c r="AI191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{"issue":{"subject":"","project_id":79,"tracker_id":40,"status_id":1,"priority_id":2,"assigned_to_id":338,"start_date":"2017-09-05","description":"","custom_fields":[{"id":1,"name":"Subdivision","value":"NW"},{"id":4,"name":"Milepost","value":"5.8933"},{"id":17,"name":"Train ID","value":"833-05"},{"id":16,"name":"Locomotive ID","value":"4064"},{"id":130,"name":"Impact","value":""},{"id":150,"name":"Time of Event (Mountain Time)","value":"17:27:56"},{"id":151,"name":"Denver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55"/>
        <v>start /low /b %USERPROFILE%\Documents\GitHub\eaglep3\Utilities\DownloadLogsFromS3.py --loco 4064 --day 2017-09-05</v>
      </c>
      <c r="AN191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766</v>
      </c>
      <c r="B192" s="7">
        <v>4063</v>
      </c>
      <c r="C192" s="21" t="s">
        <v>197</v>
      </c>
      <c r="D192" s="21" t="s">
        <v>438</v>
      </c>
      <c r="E192" s="13">
        <v>42983.728888888887</v>
      </c>
      <c r="F192" s="13">
        <v>42983.730243055557</v>
      </c>
      <c r="G192" s="7">
        <v>46</v>
      </c>
      <c r="H192" s="21" t="s">
        <v>954</v>
      </c>
      <c r="I192" s="13">
        <v>42983.746828703705</v>
      </c>
      <c r="J192" s="7">
        <v>0</v>
      </c>
      <c r="K192" s="89" t="str">
        <f t="shared" si="163"/>
        <v>4063/4064</v>
      </c>
      <c r="L192" s="214" t="str">
        <f>VLOOKUP(A192,'Trips&amp;Operators'!$C$1:$G$99911,5,FALSE)</f>
        <v>GUZMAN DANNY</v>
      </c>
      <c r="M192" s="6">
        <f t="shared" si="164"/>
        <v>1.6585648147156462E-2</v>
      </c>
      <c r="N192" s="7">
        <f t="shared" si="165"/>
        <v>23.883333331905305</v>
      </c>
      <c r="O192" s="7"/>
      <c r="P192" s="7"/>
      <c r="Q192" s="22"/>
      <c r="R192" s="167"/>
      <c r="S192" s="210">
        <f t="shared" si="166"/>
        <v>1</v>
      </c>
      <c r="T192" s="192" t="str">
        <f t="shared" si="167"/>
        <v>Southbound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124"/>
        <v>https://d0f6bd738d7f1b3e5a7ca70fe4ff75f0.us-east-1.aws.found.io/app/kibana#/discover/Steve-Slow-Train-Analysis-(2080s-and-2083s)?_g=(refreshInterval:(display:Off,pause:!f,section:0,value:0),time:(from:'2017-09-05T16:29:36-0600',mode:absolute,to:'2017-09-05T18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194" t="str">
        <f>IF(AA192&lt;VLOOKUP(AG192,Variables!$AC$3:$AD$8,2,FALSE),"Y","N")</f>
        <v>N</v>
      </c>
      <c r="X192" s="194">
        <f t="shared" si="162"/>
        <v>1</v>
      </c>
      <c r="Y192" s="194">
        <f t="shared" si="168"/>
        <v>5.8623000000000003</v>
      </c>
      <c r="Z192" s="194">
        <f t="shared" si="169"/>
        <v>6.8900000000000003E-2</v>
      </c>
      <c r="AA192" s="194">
        <f t="shared" si="170"/>
        <v>5.7934000000000001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171"/>
        <v>834</v>
      </c>
      <c r="AE192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92" s="74" t="str">
        <f t="shared" si="126"/>
        <v>"C:\Program Files (x86)\AstroGrep\AstroGrep.exe" /e /r /s /spath="%USERPROFILE%\AppData\Local\Temp\OnboardLogs" /stypes="app*4063*20170905*" /stext=" 23:.+((SYSTEM_STATE.+slice.+state.+changed )|(ment ac)|(multiple cpu faults)|(system.+state.+changed )|(\[timeout)|(PRM\|1\|D)|(kpr)|(kdp)|(train st.+moving)|(\|lc)|(penalty))"</v>
      </c>
      <c r="AG192" s="206" t="str">
        <f t="shared" si="172"/>
        <v>NW</v>
      </c>
      <c r="AH192" s="78" t="str">
        <f t="shared" si="153"/>
        <v>"%USERPROFILE%\Documents\GitHub\eaglep3\Utilities\RefineRTDCRunTimes.py" --tripid 834-05 --locoid 4063 --swversion DE.1.0.9.0 --startMP 300:58623 --initTime 2017-09-05T17:29:36 --startdatetime 2017-09-05T17:31:33 --delay 46 --endMP 204:689 --enddatetime 2017-09-05T17:55:26 --enforcementcount 0 &gt;&gt;C:\Users\stu\Documents\GitHub\eaglep3-reporting\EC\2017-09-05-refined-times.txt</v>
      </c>
      <c r="AI192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{"issue":{"subject":"","project_id":79,"tracker_id":40,"status_id":1,"priority_id":2,"assigned_to_id":338,"start_date":"2017-09-05","description":"","custom_fields":[{"id":1,"name":"Subdivision","value":"NW"},{"id":4,"name":"Milepost","value":"0.0689"},{"id":17,"name":"Train ID","value":"834-05"},{"id":16,"name":"Locomotive ID","value":"4063"},{"id":130,"name":"Impact","value":""},{"id":150,"name":"Time of Event (Mountain Time)","value":"17:55:26"},{"id":151,"name":"Denver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55"/>
        <v>start /low /b %USERPROFILE%\Documents\GitHub\eaglep3\Utilities\DownloadLogsFromS3.py --loco 4063 --day 2017-09-05</v>
      </c>
      <c r="AN192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612</v>
      </c>
      <c r="B193" s="7">
        <v>4020</v>
      </c>
      <c r="C193" s="21" t="s">
        <v>197</v>
      </c>
      <c r="D193" s="21" t="s">
        <v>563</v>
      </c>
      <c r="E193" s="13">
        <v>42983.731238425928</v>
      </c>
      <c r="F193" s="13">
        <v>42983.735763888886</v>
      </c>
      <c r="G193" s="7">
        <v>78</v>
      </c>
      <c r="H193" s="21" t="s">
        <v>955</v>
      </c>
      <c r="I193" s="13">
        <v>42983.747048611112</v>
      </c>
      <c r="J193" s="7">
        <v>0</v>
      </c>
      <c r="K193" s="89" t="str">
        <f t="shared" si="163"/>
        <v>4019/4020</v>
      </c>
      <c r="L193" s="214" t="str">
        <f>VLOOKUP(A193,'Trips&amp;Operators'!$C$1:$G$99911,5,FALSE)</f>
        <v>WEST BRYAN</v>
      </c>
      <c r="M193" s="6">
        <f t="shared" si="164"/>
        <v>1.1284722226264421E-2</v>
      </c>
      <c r="N193" s="7">
        <f t="shared" si="165"/>
        <v>16.250000005820766</v>
      </c>
      <c r="O193" s="7"/>
      <c r="P193" s="7"/>
      <c r="Q193" s="22"/>
      <c r="R193" s="167"/>
      <c r="S193" s="210">
        <f t="shared" si="166"/>
        <v>1</v>
      </c>
      <c r="T193" s="192" t="str">
        <f t="shared" si="167"/>
        <v>NorthBound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124"/>
        <v>https://d0f6bd738d7f1b3e5a7ca70fe4ff75f0.us-east-1.aws.found.io/app/kibana#/discover/Steve-Slow-Train-Analysis-(2080s-and-2083s)?_g=(refreshInterval:(display:Off,pause:!f,section:0,value:0),time:(from:'2017-09-05T16:32:59-0600',mode:absolute,to:'2017-09-05T18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3" s="194" t="str">
        <f>IF(AA193&lt;VLOOKUP(AG193,Variables!$AC$3:$AD$8,2,FALSE),"Y","N")</f>
        <v>N</v>
      </c>
      <c r="X193" s="194">
        <f t="shared" si="162"/>
        <v>1</v>
      </c>
      <c r="Y193" s="194">
        <f t="shared" si="168"/>
        <v>9.5699999999999993E-2</v>
      </c>
      <c r="Z193" s="194">
        <f t="shared" si="169"/>
        <v>5.8978000000000002</v>
      </c>
      <c r="AA193" s="194">
        <f t="shared" si="170"/>
        <v>5.8021000000000003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171"/>
        <v>835</v>
      </c>
      <c r="AE193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93" s="74" t="str">
        <f t="shared" si="126"/>
        <v>"C:\Program Files (x86)\AstroGrep\AstroGrep.exe" /e /r /s /spath="%USERPROFILE%\AppData\Local\Temp\OnboardLogs" /stypes="app*4020*20170905*" /stext=" 23:.+((SYSTEM_STATE.+slice.+state.+changed )|(ment ac)|(multiple cpu faults)|(system.+state.+changed )|(\[timeout)|(PRM\|1\|D)|(kpr)|(kdp)|(train st.+moving)|(\|lc)|(penalty))"</v>
      </c>
      <c r="AG193" s="206" t="str">
        <f t="shared" si="172"/>
        <v>NW</v>
      </c>
      <c r="AH193" s="78" t="str">
        <f t="shared" si="153"/>
        <v>"%USERPROFILE%\Documents\GitHub\eaglep3\Utilities\RefineRTDCRunTimes.py" --tripid 835-05 --locoid 4020 --swversion DE.1.0.9.0 --startMP 204:957 --initTime 2017-09-05T17:32:59 --startdatetime 2017-09-05T17:39:30 --delay 78 --endMP 300:58978 --enddatetime 2017-09-05T17:55:45 --enforcementcount 0 &gt;&gt;C:\Users\stu\Documents\GitHub\eaglep3-reporting\EC\2017-09-05-refined-times.txt</v>
      </c>
      <c r="AI193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{"issue":{"subject":"","project_id":79,"tracker_id":40,"status_id":1,"priority_id":2,"assigned_to_id":338,"start_date":"2017-09-05","description":"","custom_fields":[{"id":1,"name":"Subdivision","value":"NW"},{"id":4,"name":"Milepost","value":"5.8978"},{"id":17,"name":"Train ID","value":"835-05"},{"id":16,"name":"Locomotive ID","value":"4020"},{"id":130,"name":"Impact","value":""},{"id":150,"name":"Time of Event (Mountain Time)","value":"17:55:45"},{"id":151,"name":"Denver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55"/>
        <v>start /low /b %USERPROFILE%\Documents\GitHub\eaglep3\Utilities\DownloadLogsFromS3.py --loco 4020 --day 2017-09-05</v>
      </c>
      <c r="AN193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772</v>
      </c>
      <c r="B194" s="7">
        <v>4019</v>
      </c>
      <c r="C194" s="21" t="s">
        <v>197</v>
      </c>
      <c r="D194" s="21" t="s">
        <v>956</v>
      </c>
      <c r="E194" s="13">
        <v>42983.749467592592</v>
      </c>
      <c r="F194" s="13">
        <v>42983.757719907408</v>
      </c>
      <c r="G194" s="7">
        <v>56</v>
      </c>
      <c r="H194" s="21" t="s">
        <v>564</v>
      </c>
      <c r="I194" s="13">
        <v>42983.768078703702</v>
      </c>
      <c r="J194" s="7">
        <v>0</v>
      </c>
      <c r="K194" s="89" t="str">
        <f t="shared" si="163"/>
        <v>4019/4020</v>
      </c>
      <c r="L194" s="214" t="str">
        <f>VLOOKUP(A194,'Trips&amp;Operators'!$C$1:$G$99911,5,FALSE)</f>
        <v>WEST BRYAN</v>
      </c>
      <c r="M194" s="6">
        <f t="shared" si="164"/>
        <v>1.0358796294895001E-2</v>
      </c>
      <c r="N194" s="7">
        <f t="shared" si="165"/>
        <v>14.916666664648801</v>
      </c>
      <c r="O194" s="7"/>
      <c r="P194" s="7"/>
      <c r="Q194" s="22"/>
      <c r="R194" s="167"/>
      <c r="S194" s="210">
        <f t="shared" si="166"/>
        <v>1</v>
      </c>
      <c r="T194" s="192" t="str">
        <f t="shared" si="167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124"/>
        <v>https://d0f6bd738d7f1b3e5a7ca70fe4ff75f0.us-east-1.aws.found.io/app/kibana#/discover/Steve-Slow-Train-Analysis-(2080s-and-2083s)?_g=(refreshInterval:(display:Off,pause:!f,section:0,value:0),time:(from:'2017-09-05T16:59:14-0600',mode:absolute,to:'2017-09-05T19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4" s="194" t="str">
        <f>IF(AA194&lt;VLOOKUP(AG194,Variables!$AC$3:$AD$8,2,FALSE),"Y","N")</f>
        <v>N</v>
      </c>
      <c r="X194" s="194">
        <f t="shared" si="162"/>
        <v>1</v>
      </c>
      <c r="Y194" s="194">
        <f t="shared" si="168"/>
        <v>5.8655999999999997</v>
      </c>
      <c r="Z194" s="194">
        <f t="shared" si="169"/>
        <v>6.9900000000000004E-2</v>
      </c>
      <c r="AA194" s="194">
        <f t="shared" si="170"/>
        <v>5.7957000000000001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171"/>
        <v>836</v>
      </c>
      <c r="AE194" s="77" t="str">
        <f t="shared" si="125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194" s="74" t="str">
        <f t="shared" si="126"/>
        <v>"C:\Program Files (x86)\AstroGrep\AstroGrep.exe" /e /r /s /spath="%USERPROFILE%\AppData\Local\Temp\OnboardLogs" /stypes="app*4019*20170906*" /stext=" 00:.+((SYSTEM_STATE.+slice.+state.+changed )|(ment ac)|(multiple cpu faults)|(system.+state.+changed )|(\[timeout)|(PRM\|1\|D)|(kpr)|(kdp)|(train st.+moving)|(\|lc)|(penalty))"</v>
      </c>
      <c r="AG194" s="206" t="str">
        <f t="shared" si="172"/>
        <v>NW</v>
      </c>
      <c r="AH194" s="78" t="str">
        <f t="shared" si="153"/>
        <v>"%USERPROFILE%\Documents\GitHub\eaglep3\Utilities\RefineRTDCRunTimes.py" --tripid 836-05 --locoid 4019 --swversion DE.1.0.9.0 --startMP 300:58656 --initTime 2017-09-05T17:59:14 --startdatetime 2017-09-05T18:11:07 --delay 56 --endMP 204:699 --enddatetime 2017-09-05T18:26:02 --enforcementcount 0 &gt;&gt;C:\Users\stu\Documents\GitHub\eaglep3-reporting\EC\2017-09-05-refined-times.txt</v>
      </c>
      <c r="AI194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{"issue":{"subject":"","project_id":79,"tracker_id":40,"status_id":1,"priority_id":2,"assigned_to_id":338,"start_date":"2017-09-05","description":"","custom_fields":[{"id":1,"name":"Subdivision","value":"NW"},{"id":4,"name":"Milepost","value":"0.0699"},{"id":17,"name":"Train ID","value":"836-05"},{"id":16,"name":"Locomotive ID","value":"4019"},{"id":130,"name":"Impact","value":""},{"id":150,"name":"Time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55"/>
        <v>start /low /b %USERPROFILE%\Documents\GitHub\eaglep3\Utilities\DownloadLogsFromS3.py --loco 4019 --day 2017-09-05</v>
      </c>
      <c r="AN194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773</v>
      </c>
      <c r="B195" s="7">
        <v>4064</v>
      </c>
      <c r="C195" s="21" t="s">
        <v>197</v>
      </c>
      <c r="D195" s="21" t="s">
        <v>957</v>
      </c>
      <c r="E195" s="13">
        <v>42983.748437499999</v>
      </c>
      <c r="F195" s="13">
        <v>42983.756435185183</v>
      </c>
      <c r="G195" s="7">
        <v>215</v>
      </c>
      <c r="H195" s="21" t="s">
        <v>953</v>
      </c>
      <c r="I195" s="13">
        <v>42983.767638888887</v>
      </c>
      <c r="J195" s="7">
        <v>0</v>
      </c>
      <c r="K195" s="89" t="str">
        <f t="shared" si="163"/>
        <v>4063/4064</v>
      </c>
      <c r="L195" s="214" t="str">
        <f>VLOOKUP(A195,'Trips&amp;Operators'!$C$1:$G$99911,5,FALSE)</f>
        <v>GUZMAN DANNY</v>
      </c>
      <c r="M195" s="6">
        <f t="shared" si="164"/>
        <v>1.1203703703358769E-2</v>
      </c>
      <c r="N195" s="7">
        <f t="shared" si="165"/>
        <v>16.133333332836628</v>
      </c>
      <c r="O195" s="7"/>
      <c r="P195" s="7"/>
      <c r="Q195" s="22"/>
      <c r="R195" s="167"/>
      <c r="S195" s="210">
        <f t="shared" si="166"/>
        <v>1</v>
      </c>
      <c r="T195" s="192" t="str">
        <f t="shared" si="167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124"/>
        <v>https://d0f6bd738d7f1b3e5a7ca70fe4ff75f0.us-east-1.aws.found.io/app/kibana#/discover/Steve-Slow-Train-Analysis-(2080s-and-2083s)?_g=(refreshInterval:(display:Off,pause:!f,section:0,value:0),time:(from:'2017-09-05T16:57:45-0600',mode:absolute,to:'2017-09-05T19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194" t="str">
        <f>IF(AA195&lt;VLOOKUP(AG195,Variables!$AC$3:$AD$8,2,FALSE),"Y","N")</f>
        <v>N</v>
      </c>
      <c r="X195" s="194">
        <f t="shared" si="162"/>
        <v>1</v>
      </c>
      <c r="Y195" s="194">
        <f t="shared" si="168"/>
        <v>9.9699999999999997E-2</v>
      </c>
      <c r="Z195" s="194">
        <f t="shared" si="169"/>
        <v>5.8933</v>
      </c>
      <c r="AA195" s="194">
        <f t="shared" si="170"/>
        <v>5.7935999999999996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171"/>
        <v>837</v>
      </c>
      <c r="AE195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95" s="74" t="str">
        <f t="shared" si="126"/>
        <v>"C:\Program Files (x86)\AstroGrep\AstroGrep.exe" /e /r /s /spath="%USERPROFILE%\AppData\Local\Temp\OnboardLogs" /stypes="app*4064*20170906*" /stext=" 00:.+((SYSTEM_STATE.+slice.+state.+changed )|(ment ac)|(multiple cpu faults)|(system.+state.+changed )|(\[timeout)|(PRM\|1\|D)|(kpr)|(kdp)|(train st.+moving)|(\|lc)|(penalty))"</v>
      </c>
      <c r="AG195" s="206" t="str">
        <f t="shared" si="172"/>
        <v>NW</v>
      </c>
      <c r="AH195" s="78" t="str">
        <f t="shared" si="153"/>
        <v>"%USERPROFILE%\Documents\GitHub\eaglep3\Utilities\RefineRTDCRunTimes.py" --tripid 837-05 --locoid 4064 --swversion DE.1.0.9.0 --startMP 204:997 --initTime 2017-09-05T17:57:45 --startdatetime 2017-09-05T18:09:16 --delay 215 --endMP 300:58933 --enddatetime 2017-09-05T18:25:24 --enforcementcount 0 &gt;&gt;C:\Users\stu\Documents\GitHub\eaglep3-reporting\EC\2017-09-05-refined-times.txt</v>
      </c>
      <c r="AI195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{"issue":{"subject":"","project_id":79,"tracker_id":40,"status_id":1,"priority_id":2,"assigned_to_id":338,"start_date":"2017-09-05","description":"","custom_fields":[{"id":1,"name":"Subdivision","value":"NW"},{"id":4,"name":"Milepost","value":"5.8933"},{"id":17,"name":"Train ID","value":"837-05"},{"id":16,"name":"Locomotive ID","value":"4064"},{"id":130,"name":"Impact","value":""},{"id":150,"name":"Time of Event (Mountain Time)","value":"18:25:24"},{"id":151,"name":"Denver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55"/>
        <v>start /low /b %USERPROFILE%\Documents\GitHub\eaglep3\Utilities\DownloadLogsFromS3.py --loco 4064 --day 2017-09-05</v>
      </c>
      <c r="AN195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781</v>
      </c>
      <c r="B196" s="7">
        <v>4063</v>
      </c>
      <c r="C196" s="21" t="s">
        <v>197</v>
      </c>
      <c r="D196" s="21" t="s">
        <v>918</v>
      </c>
      <c r="E196" s="13">
        <v>42983.76866898148</v>
      </c>
      <c r="F196" s="13">
        <v>42983.777870370373</v>
      </c>
      <c r="G196" s="7">
        <v>53</v>
      </c>
      <c r="H196" s="21" t="s">
        <v>958</v>
      </c>
      <c r="I196" s="13">
        <v>42983.789131944446</v>
      </c>
      <c r="J196" s="7">
        <v>0</v>
      </c>
      <c r="K196" s="89" t="str">
        <f t="shared" si="163"/>
        <v>4063/4064</v>
      </c>
      <c r="L196" s="214" t="str">
        <f>VLOOKUP(A196,'Trips&amp;Operators'!$C$1:$G$99911,5,FALSE)</f>
        <v>GUZMAN DANNY</v>
      </c>
      <c r="M196" s="6">
        <f t="shared" si="164"/>
        <v>1.1261574072705116E-2</v>
      </c>
      <c r="N196" s="7">
        <f t="shared" si="165"/>
        <v>16.216666664695367</v>
      </c>
      <c r="O196" s="7"/>
      <c r="P196" s="7"/>
      <c r="Q196" s="22"/>
      <c r="R196" s="167"/>
      <c r="S196" s="210">
        <f t="shared" si="166"/>
        <v>1</v>
      </c>
      <c r="T196" s="192" t="str">
        <f t="shared" si="167"/>
        <v>Southbound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124"/>
        <v>https://d0f6bd738d7f1b3e5a7ca70fe4ff75f0.us-east-1.aws.found.io/app/kibana#/discover/Steve-Slow-Train-Analysis-(2080s-and-2083s)?_g=(refreshInterval:(display:Off,pause:!f,section:0,value:0),time:(from:'2017-09-05T17:26:53-0600',mode:absolute,to:'2017-09-05T19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194" t="str">
        <f>IF(AA196&lt;VLOOKUP(AG196,Variables!$AC$3:$AD$8,2,FALSE),"Y","N")</f>
        <v>N</v>
      </c>
      <c r="X196" s="194">
        <f t="shared" si="162"/>
        <v>1</v>
      </c>
      <c r="Y196" s="194">
        <f t="shared" si="168"/>
        <v>5.8620999999999999</v>
      </c>
      <c r="Z196" s="194">
        <f t="shared" si="169"/>
        <v>6.8199999999999997E-2</v>
      </c>
      <c r="AA196" s="194">
        <f t="shared" si="170"/>
        <v>5.7938999999999998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171"/>
        <v>838</v>
      </c>
      <c r="AE196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96" s="74" t="str">
        <f t="shared" si="126"/>
        <v>"C:\Program Files (x86)\AstroGrep\AstroGrep.exe" /e /r /s /spath="%USERPROFILE%\AppData\Local\Temp\OnboardLogs" /stypes="app*4063*20170906*" /stext=" 00:.+((SYSTEM_STATE.+slice.+state.+changed )|(ment ac)|(multiple cpu faults)|(system.+state.+changed )|(\[timeout)|(PRM\|1\|D)|(kpr)|(kdp)|(train st.+moving)|(\|lc)|(penalty))"</v>
      </c>
      <c r="AG196" s="206" t="str">
        <f t="shared" si="172"/>
        <v>NW</v>
      </c>
      <c r="AH196" s="78" t="str">
        <f t="shared" si="153"/>
        <v>"%USERPROFILE%\Documents\GitHub\eaglep3\Utilities\RefineRTDCRunTimes.py" --tripid 838-05 --locoid 4063 --swversion DE.1.0.9.0 --startMP 300:58621 --initTime 2017-09-05T18:26:53 --startdatetime 2017-09-05T18:40:08 --delay 53 --endMP 204:682 --enddatetime 2017-09-05T18:56:21 --enforcementcount 0 &gt;&gt;C:\Users\stu\Documents\GitHub\eaglep3-reporting\EC\2017-09-05-refined-times.txt</v>
      </c>
      <c r="AI196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{"issue":{"subject":"","project_id":79,"tracker_id":40,"status_id":1,"priority_id":2,"assigned_to_id":338,"start_date":"2017-09-05","description":"","custom_fields":[{"id":1,"name":"Subdivision","value":"NW"},{"id":4,"name":"Milepost","value":"0.0682"},{"id":17,"name":"Train ID","value":"838-05"},{"id":16,"name":"Locomotive ID","value":"4063"},{"id":130,"name":"Impact","value":""},{"id":150,"name":"Time of Event (Mountain Time)","value":"18:56:21"},{"id":151,"name":"Denver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55"/>
        <v>start /low /b %USERPROFILE%\Documents\GitHub\eaglep3\Utilities\DownloadLogsFromS3.py --loco 4063 --day 2017-09-05</v>
      </c>
      <c r="AN196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782</v>
      </c>
      <c r="B197" s="7">
        <v>4020</v>
      </c>
      <c r="C197" s="21" t="s">
        <v>197</v>
      </c>
      <c r="D197" s="21" t="s">
        <v>959</v>
      </c>
      <c r="E197" s="13">
        <v>42983.773101851853</v>
      </c>
      <c r="F197" s="13">
        <v>42983.777592592596</v>
      </c>
      <c r="G197" s="7">
        <v>50</v>
      </c>
      <c r="H197" s="21" t="s">
        <v>960</v>
      </c>
      <c r="I197" s="13">
        <v>42983.787476851852</v>
      </c>
      <c r="J197" s="7">
        <v>0</v>
      </c>
      <c r="K197" s="89" t="str">
        <f t="shared" si="163"/>
        <v>4019/4020</v>
      </c>
      <c r="L197" s="214" t="str">
        <f>VLOOKUP(A197,'Trips&amp;Operators'!$C$1:$G$99911,5,FALSE)</f>
        <v>WEST BRYAN</v>
      </c>
      <c r="M197" s="6">
        <f t="shared" si="164"/>
        <v>9.8842592560686171E-3</v>
      </c>
      <c r="N197" s="7">
        <f t="shared" si="165"/>
        <v>14.233333328738809</v>
      </c>
      <c r="O197" s="7"/>
      <c r="P197" s="7"/>
      <c r="Q197" s="22"/>
      <c r="R197" s="167"/>
      <c r="S197" s="210">
        <f t="shared" si="166"/>
        <v>1</v>
      </c>
      <c r="T197" s="192" t="str">
        <f t="shared" si="167"/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124"/>
        <v>https://d0f6bd738d7f1b3e5a7ca70fe4ff75f0.us-east-1.aws.found.io/app/kibana#/discover/Steve-Slow-Train-Analysis-(2080s-and-2083s)?_g=(refreshInterval:(display:Off,pause:!f,section:0,value:0),time:(from:'2017-09-05T17:33:16-0600',mode:absolute,to:'2017-09-05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194" t="str">
        <f>IF(AA197&lt;VLOOKUP(AG197,Variables!$AC$3:$AD$8,2,FALSE),"Y","N")</f>
        <v>N</v>
      </c>
      <c r="X197" s="194">
        <f t="shared" si="162"/>
        <v>1</v>
      </c>
      <c r="Y197" s="194">
        <f t="shared" si="168"/>
        <v>9.8599999999999993E-2</v>
      </c>
      <c r="Z197" s="194">
        <f t="shared" si="169"/>
        <v>5.8952</v>
      </c>
      <c r="AA197" s="194">
        <f t="shared" si="170"/>
        <v>5.7965999999999998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171"/>
        <v>839</v>
      </c>
      <c r="AE197" s="77" t="str">
        <f t="shared" si="125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197" s="74" t="str">
        <f t="shared" si="126"/>
        <v>"C:\Program Files (x86)\AstroGrep\AstroGrep.exe" /e /r /s /spath="%USERPROFILE%\AppData\Local\Temp\OnboardLogs" /stypes="app*4020*20170906*" /stext=" 00:.+((SYSTEM_STATE.+slice.+state.+changed )|(ment ac)|(multiple cpu faults)|(system.+state.+changed )|(\[timeout)|(PRM\|1\|D)|(kpr)|(kdp)|(train st.+moving)|(\|lc)|(penalty))"</v>
      </c>
      <c r="AG197" s="206" t="str">
        <f t="shared" si="172"/>
        <v>NW</v>
      </c>
      <c r="AH197" s="78" t="str">
        <f t="shared" si="153"/>
        <v>"%USERPROFILE%\Documents\GitHub\eaglep3\Utilities\RefineRTDCRunTimes.py" --tripid 839-05 --locoid 4020 --swversion DE.1.0.9.0 --startMP 204:986 --initTime 2017-09-05T18:33:16 --startdatetime 2017-09-05T18:39:44 --delay 50 --endMP 300:58952 --enddatetime 2017-09-05T18:53:58 --enforcementcount 0 &gt;&gt;C:\Users\stu\Documents\GitHub\eaglep3-reporting\EC\2017-09-05-refined-times.txt</v>
      </c>
      <c r="AI197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{"issue":{"subject":"","project_id":79,"tracker_id":40,"status_id":1,"priority_id":2,"assigned_to_id":338,"start_date":"2017-09-05","description":"","custom_fields":[{"id":1,"name":"Subdivision","value":"NW"},{"id":4,"name":"Milepost","value":"5.8952"},{"id":17,"name":"Train ID","value":"839-05"},{"id":16,"name":"Locomotive ID","value":"4020"},{"id":130,"name":"Impact","value":""},{"id":150,"name":"Time of Event (Mountain Time)","value":"18:53:58"},{"id":151,"name":"Denver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55"/>
        <v>start /low /b %USERPROFILE%\Documents\GitHub\eaglep3\Utilities\DownloadLogsFromS3.py --loco 4020 --day 2017-09-05</v>
      </c>
      <c r="AN197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795</v>
      </c>
      <c r="B198" s="7">
        <v>4063</v>
      </c>
      <c r="C198" s="21" t="s">
        <v>197</v>
      </c>
      <c r="D198" s="21" t="s">
        <v>440</v>
      </c>
      <c r="E198" s="13">
        <v>42983.809259259258</v>
      </c>
      <c r="F198" s="13">
        <v>42983.81821759259</v>
      </c>
      <c r="G198" s="7">
        <v>49</v>
      </c>
      <c r="H198" s="21" t="s">
        <v>961</v>
      </c>
      <c r="I198" s="13">
        <v>42983.831458333334</v>
      </c>
      <c r="J198" s="7">
        <v>0</v>
      </c>
      <c r="K198" s="89" t="str">
        <f t="shared" si="163"/>
        <v>4063/4064</v>
      </c>
      <c r="L198" s="214" t="str">
        <f>VLOOKUP(A198,'Trips&amp;Operators'!$C$1:$G$99911,5,FALSE)</f>
        <v>GUZMAN DANNY</v>
      </c>
      <c r="M198" s="6">
        <f t="shared" si="164"/>
        <v>1.3240740743640345E-2</v>
      </c>
      <c r="N198" s="7">
        <f t="shared" si="165"/>
        <v>19.066666670842096</v>
      </c>
      <c r="O198" s="7"/>
      <c r="P198" s="7"/>
      <c r="Q198" s="22"/>
      <c r="R198" s="167"/>
      <c r="S198" s="210">
        <f t="shared" si="166"/>
        <v>1</v>
      </c>
      <c r="T198" s="192" t="str">
        <f t="shared" si="167"/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124"/>
        <v>https://d0f6bd738d7f1b3e5a7ca70fe4ff75f0.us-east-1.aws.found.io/app/kibana#/discover/Steve-Slow-Train-Analysis-(2080s-and-2083s)?_g=(refreshInterval:(display:Off,pause:!f,section:0,value:0),time:(from:'2017-09-05T18:25:20-0600',mode:absolute,to:'2017-09-05T20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194" t="str">
        <f>IF(AA198&lt;VLOOKUP(AG198,Variables!$AC$3:$AD$8,2,FALSE),"Y","N")</f>
        <v>N</v>
      </c>
      <c r="X198" s="194">
        <f t="shared" si="162"/>
        <v>1</v>
      </c>
      <c r="Y198" s="194">
        <f t="shared" si="168"/>
        <v>5.8616999999999999</v>
      </c>
      <c r="Z198" s="194">
        <f t="shared" si="169"/>
        <v>7.0599999999999996E-2</v>
      </c>
      <c r="AA198" s="194">
        <f t="shared" si="170"/>
        <v>5.7911000000000001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171"/>
        <v>840</v>
      </c>
      <c r="AE198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198" s="74" t="str">
        <f t="shared" si="126"/>
        <v>"C:\Program Files (x86)\AstroGrep\AstroGrep.exe" /e /r /s /spath="%USERPROFILE%\AppData\Local\Temp\OnboardLogs" /stypes="app*4063*20170906*" /stext=" 01:.+((SYSTEM_STATE.+slice.+state.+changed )|(ment ac)|(multiple cpu faults)|(system.+state.+changed )|(\[timeout)|(PRM\|1\|D)|(kpr)|(kdp)|(train st.+moving)|(\|lc)|(penalty))"</v>
      </c>
      <c r="AG198" s="206" t="str">
        <f t="shared" si="172"/>
        <v>NW</v>
      </c>
      <c r="AH198" s="78" t="str">
        <f t="shared" si="153"/>
        <v>"%USERPROFILE%\Documents\GitHub\eaglep3\Utilities\RefineRTDCRunTimes.py" --tripid 840-05 --locoid 4063 --swversion DE.1.0.9.0 --startMP 300:58617 --initTime 2017-09-05T19:25:20 --startdatetime 2017-09-05T19:38:14 --delay 49 --endMP 204:706 --enddatetime 2017-09-05T19:57:18 --enforcementcount 0 &gt;&gt;C:\Users\stu\Documents\GitHub\eaglep3-reporting\EC\2017-09-05-refined-times.txt</v>
      </c>
      <c r="AI198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{"issue":{"subject":"","project_id":79,"tracker_id":40,"status_id":1,"priority_id":2,"assigned_to_id":338,"start_date":"2017-09-05","description":"","custom_fields":[{"id":1,"name":"Subdivision","value":"NW"},{"id":4,"name":"Milepost","value":"0.0706"},{"id":17,"name":"Train ID","value":"840-05"},{"id":16,"name":"Locomotive ID","value":"4063"},{"id":130,"name":"Impact","value":""},{"id":150,"name":"Time of Event (Mountain Time)","value":"19:57:18"},{"id":151,"name":"Denver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55"/>
        <v>start /low /b %USERPROFILE%\Documents\GitHub\eaglep3\Utilities\DownloadLogsFromS3.py --loco 4063 --day 2017-09-05</v>
      </c>
      <c r="AN198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789</v>
      </c>
      <c r="B199" s="7">
        <v>4064</v>
      </c>
      <c r="C199" s="21" t="s">
        <v>197</v>
      </c>
      <c r="D199" s="21" t="s">
        <v>498</v>
      </c>
      <c r="E199" s="13">
        <v>42983.79482638889</v>
      </c>
      <c r="F199" s="13">
        <v>42983.798078703701</v>
      </c>
      <c r="G199" s="7">
        <v>59</v>
      </c>
      <c r="H199" s="21" t="s">
        <v>962</v>
      </c>
      <c r="I199" s="13">
        <v>42983.808136574073</v>
      </c>
      <c r="J199" s="7">
        <v>0</v>
      </c>
      <c r="K199" s="89" t="str">
        <f t="shared" si="163"/>
        <v>4063/4064</v>
      </c>
      <c r="L199" s="214" t="str">
        <f>VLOOKUP(A199,'Trips&amp;Operators'!$C$1:$G$99911,5,FALSE)</f>
        <v>GUZMAN DANNY</v>
      </c>
      <c r="M199" s="6">
        <f t="shared" si="164"/>
        <v>1.0057870371383615E-2</v>
      </c>
      <c r="N199" s="7">
        <f t="shared" si="165"/>
        <v>14.483333334792405</v>
      </c>
      <c r="O199" s="7"/>
      <c r="P199" s="7"/>
      <c r="Q199" s="22"/>
      <c r="R199" s="167"/>
      <c r="S199" s="210">
        <f t="shared" si="166"/>
        <v>1</v>
      </c>
      <c r="T199" s="192" t="str">
        <f t="shared" si="167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124"/>
        <v>https://d0f6bd738d7f1b3e5a7ca70fe4ff75f0.us-east-1.aws.found.io/app/kibana#/discover/Steve-Slow-Train-Analysis-(2080s-and-2083s)?_g=(refreshInterval:(display:Off,pause:!f,section:0,value:0),time:(from:'2017-09-05T18:04:33-0600',mode:absolute,to:'2017-09-05T20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194" t="str">
        <f>IF(AA199&lt;VLOOKUP(AG199,Variables!$AC$3:$AD$8,2,FALSE),"Y","N")</f>
        <v>N</v>
      </c>
      <c r="X199" s="194">
        <f t="shared" si="162"/>
        <v>1</v>
      </c>
      <c r="Y199" s="194">
        <f t="shared" si="168"/>
        <v>9.7900000000000001E-2</v>
      </c>
      <c r="Z199" s="194">
        <f t="shared" si="169"/>
        <v>5.8929</v>
      </c>
      <c r="AA199" s="194">
        <f t="shared" si="170"/>
        <v>5.7949999999999999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171"/>
        <v>841</v>
      </c>
      <c r="AE199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199" s="74" t="str">
        <f t="shared" si="126"/>
        <v>"C:\Program Files (x86)\AstroGrep\AstroGrep.exe" /e /r /s /spath="%USERPROFILE%\AppData\Local\Temp\OnboardLogs" /stypes="app*4064*20170906*" /stext=" 01:.+((SYSTEM_STATE.+slice.+state.+changed )|(ment ac)|(multiple cpu faults)|(system.+state.+changed )|(\[timeout)|(PRM\|1\|D)|(kpr)|(kdp)|(train st.+moving)|(\|lc)|(penalty))"</v>
      </c>
      <c r="AG199" s="206" t="str">
        <f t="shared" si="172"/>
        <v>NW</v>
      </c>
      <c r="AH199" s="78" t="str">
        <f t="shared" si="153"/>
        <v>"%USERPROFILE%\Documents\GitHub\eaglep3\Utilities\RefineRTDCRunTimes.py" --tripid 841-05 --locoid 4064 --swversion DE.1.0.9.0 --startMP 204:979 --initTime 2017-09-05T19:04:33 --startdatetime 2017-09-05T19:09:14 --delay 59 --endMP 300:58929 --enddatetime 2017-09-05T19:23:43 --enforcementcount 0 &gt;&gt;C:\Users\stu\Documents\GitHub\eaglep3-reporting\EC\2017-09-05-refined-times.txt</v>
      </c>
      <c r="AI199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{"issue":{"subject":"","project_id":79,"tracker_id":40,"status_id":1,"priority_id":2,"assigned_to_id":338,"start_date":"2017-09-05","description":"","custom_fields":[{"id":1,"name":"Subdivision","value":"NW"},{"id":4,"name":"Milepost","value":"5.8929"},{"id":17,"name":"Train ID","value":"841-05"},{"id":16,"name":"Locomotive ID","value":"4064"},{"id":130,"name":"Impact","value":""},{"id":150,"name":"Time of Event (Mountain Time)","value":"19:23:43"},{"id":151,"name":"Denver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55"/>
        <v>start /low /b %USERPROFILE%\Documents\GitHub\eaglep3\Utilities\DownloadLogsFromS3.py --loco 4064 --day 2017-09-05</v>
      </c>
      <c r="AN199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803</v>
      </c>
      <c r="B200" s="7">
        <v>4063</v>
      </c>
      <c r="C200" s="21" t="s">
        <v>197</v>
      </c>
      <c r="D200" s="21" t="s">
        <v>942</v>
      </c>
      <c r="E200" s="13">
        <v>42983.860254629632</v>
      </c>
      <c r="F200" s="13">
        <v>42983.861898148149</v>
      </c>
      <c r="G200" s="7">
        <v>68</v>
      </c>
      <c r="H200" s="21" t="s">
        <v>963</v>
      </c>
      <c r="I200" s="13">
        <v>42983.873090277775</v>
      </c>
      <c r="J200" s="7">
        <v>0</v>
      </c>
      <c r="K200" s="89" t="str">
        <f t="shared" si="163"/>
        <v>4063/4064</v>
      </c>
      <c r="L200" s="214" t="str">
        <f>VLOOKUP(A200,'Trips&amp;Operators'!$C$1:$G$99911,5,FALSE)</f>
        <v>ANDERS STEVEN</v>
      </c>
      <c r="M200" s="6">
        <f t="shared" si="164"/>
        <v>1.1192129626579117E-2</v>
      </c>
      <c r="N200" s="7">
        <f t="shared" si="165"/>
        <v>16.116666662273929</v>
      </c>
      <c r="O200" s="7"/>
      <c r="P200" s="7"/>
      <c r="Q200" s="22"/>
      <c r="R200" s="167"/>
      <c r="S200" s="210">
        <f t="shared" si="166"/>
        <v>1</v>
      </c>
      <c r="T200" s="192" t="str">
        <f t="shared" si="167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124"/>
        <v>https://d0f6bd738d7f1b3e5a7ca70fe4ff75f0.us-east-1.aws.found.io/app/kibana#/discover/Steve-Slow-Train-Analysis-(2080s-and-2083s)?_g=(refreshInterval:(display:Off,pause:!f,section:0,value:0),time:(from:'2017-09-05T19:38:46-0600',mode:absolute,to:'2017-09-05T21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194" t="str">
        <f>IF(AA200&lt;VLOOKUP(AG200,Variables!$AC$3:$AD$8,2,FALSE),"Y","N")</f>
        <v>N</v>
      </c>
      <c r="X200" s="194">
        <f t="shared" si="162"/>
        <v>1</v>
      </c>
      <c r="Y200" s="194">
        <f t="shared" si="168"/>
        <v>5.8613</v>
      </c>
      <c r="Z200" s="194">
        <f t="shared" si="169"/>
        <v>7.1199999999999999E-2</v>
      </c>
      <c r="AA200" s="194">
        <f t="shared" si="170"/>
        <v>5.7900999999999998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171"/>
        <v>842</v>
      </c>
      <c r="AE200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200" s="74" t="str">
        <f t="shared" si="126"/>
        <v>"C:\Program Files (x86)\AstroGrep\AstroGrep.exe" /e /r /s /spath="%USERPROFILE%\AppData\Local\Temp\OnboardLogs" /stypes="app*4063*20170906*" /stext=" 02:.+((SYSTEM_STATE.+slice.+state.+changed )|(ment ac)|(multiple cpu faults)|(system.+state.+changed )|(\[timeout)|(PRM\|1\|D)|(kpr)|(kdp)|(train st.+moving)|(\|lc)|(penalty))"</v>
      </c>
      <c r="AG200" s="206" t="str">
        <f t="shared" si="172"/>
        <v>NW</v>
      </c>
      <c r="AH200" s="78" t="str">
        <f t="shared" si="153"/>
        <v>"%USERPROFILE%\Documents\GitHub\eaglep3\Utilities\RefineRTDCRunTimes.py" --tripid 842-05 --locoid 4063 --swversion DE.1.0.9.0 --startMP 300:58613 --initTime 2017-09-05T20:38:46 --startdatetime 2017-09-05T20:41:08 --delay 68 --endMP 204:712 --enddatetime 2017-09-05T20:57:15 --enforcementcount 0 &gt;&gt;C:\Users\stu\Documents\GitHub\eaglep3-reporting\EC\2017-09-05-refined-times.txt</v>
      </c>
      <c r="AI200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{"issue":{"subject":"","project_id":79,"tracker_id":40,"status_id":1,"priority_id":2,"assigned_to_id":338,"start_date":"2017-09-05","description":"","custom_fields":[{"id":1,"name":"Subdivision","value":"NW"},{"id":4,"name":"Milepost","value":"0.0712"},{"id":17,"name":"Train ID","value":"842-05"},{"id":16,"name":"Locomotive ID","value":"4063"},{"id":130,"name":"Impact","value":""},{"id":150,"name":"Time of Event (Mountain Time)","value":"20:57:15"},{"id":151,"name":"Denver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55"/>
        <v>start /low /b %USERPROFILE%\Documents\GitHub\eaglep3\Utilities\DownloadLogsFromS3.py --loco 4063 --day 2017-09-05</v>
      </c>
      <c r="AN200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799</v>
      </c>
      <c r="B201" s="7">
        <v>4064</v>
      </c>
      <c r="C201" s="21" t="s">
        <v>197</v>
      </c>
      <c r="D201" s="21" t="s">
        <v>552</v>
      </c>
      <c r="E201" s="13">
        <v>42983.834618055553</v>
      </c>
      <c r="F201" s="13">
        <v>42983.836180555554</v>
      </c>
      <c r="G201" s="7">
        <v>129</v>
      </c>
      <c r="H201" s="21" t="s">
        <v>461</v>
      </c>
      <c r="I201" s="13">
        <v>42983.836805555555</v>
      </c>
      <c r="J201" s="7">
        <v>0</v>
      </c>
      <c r="K201" s="89" t="str">
        <f t="shared" si="163"/>
        <v>4063/4064</v>
      </c>
      <c r="L201" s="214" t="str">
        <f>VLOOKUP(A201,'Trips&amp;Operators'!$C$1:$G$99911,5,FALSE)</f>
        <v>ANDERS STEVEN</v>
      </c>
      <c r="M201" s="6">
        <f t="shared" si="164"/>
        <v>6.2500000058207661E-4</v>
      </c>
      <c r="N201" s="7"/>
      <c r="O201" s="7"/>
      <c r="P201" s="7">
        <f>24*60*SUM($M201:$M201)</f>
        <v>0.90000000083819032</v>
      </c>
      <c r="Q201" s="22"/>
      <c r="R201" s="167" t="s">
        <v>997</v>
      </c>
      <c r="S201" s="210">
        <f t="shared" si="166"/>
        <v>0</v>
      </c>
      <c r="T201" s="192" t="str">
        <f t="shared" si="167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93" t="str">
        <f t="shared" si="124"/>
        <v>https://d0f6bd738d7f1b3e5a7ca70fe4ff75f0.us-east-1.aws.found.io/app/kibana#/discover/Steve-Slow-Train-Analysis-(2080s-and-2083s)?_g=(refreshInterval:(display:Off,pause:!f,section:0,value:0),time:(from:'2017-09-05T19:01:51-0600',mode:absolute,to:'2017-09-05T21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194" t="str">
        <f>IF(AA201&lt;VLOOKUP(AG201,Variables!$AC$3:$AD$8,2,FALSE),"Y","N")</f>
        <v>Y</v>
      </c>
      <c r="X201" s="194">
        <f t="shared" si="162"/>
        <v>1</v>
      </c>
      <c r="Y201" s="194">
        <f t="shared" si="168"/>
        <v>9.8100000000000007E-2</v>
      </c>
      <c r="Z201" s="194">
        <f t="shared" si="169"/>
        <v>9.74E-2</v>
      </c>
      <c r="AA201" s="194">
        <f t="shared" si="170"/>
        <v>7.0000000000000617E-4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171"/>
        <v>843</v>
      </c>
      <c r="AE201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201" s="74" t="str">
        <f t="shared" si="126"/>
        <v>"C:\Program Files (x86)\AstroGrep\AstroGrep.exe" /e /r /s /spath="%USERPROFILE%\AppData\Local\Temp\OnboardLogs" /stypes="app*4064*20170906*" /stext=" 02:.+((SYSTEM_STATE.+slice.+state.+changed )|(ment ac)|(multiple cpu faults)|(system.+state.+changed )|(\[timeout)|(PRM\|1\|D)|(kpr)|(kdp)|(train st.+moving)|(\|lc)|(penalty))"</v>
      </c>
      <c r="AG201" s="206" t="str">
        <f t="shared" si="172"/>
        <v>NW</v>
      </c>
      <c r="AH201" s="78" t="str">
        <f t="shared" si="153"/>
        <v>"%USERPROFILE%\Documents\GitHub\eaglep3\Utilities\RefineRTDCRunTimes.py" --tripid 843-05 --locoid 4064 --swversion DE.1.0.9.0 --startMP 204:981 --initTime 2017-09-05T20:01:51 --startdatetime 2017-09-05T20:04:06 --delay 129 --endMP 204:974 --enddatetime 2017-09-05T20:05:00 --enforcementcount 0 &gt;&gt;C:\Users\stu\Documents\GitHub\eaglep3-reporting\EC\2017-09-05-refined-times.txt</v>
      </c>
      <c r="AI201" s="96" t="str">
        <f t="shared" si="154"/>
        <v>echo {"issue":{"subject":"Onboard in-route failure","project_id":79,"tracker_id":40,"status_id":1,"priority_id":2,"assigned_to_id":338,"start_date":"2017-09-05","description":"","custom_fields":[{"id":1,"name":"Subdivision","value":"NW"},{"id":4,"name":"Milepost","value":"0.0974"},{"id":17,"name":"Train ID","value":"843-05"},{"id":16,"name":"Locomotive ID","value":"4064"},{"id":130,"name":"Impact","value":""},{"id":150,"name":"Time of Event (Mountain Time)","value":"20:05:00"},{"id":151,"name":"Denver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55"/>
        <v>start /low /b %USERPROFILE%\Documents\GitHub\eaglep3\Utilities\DownloadLogsFromS3.py --loco 4064 --day 2017-09-05</v>
      </c>
      <c r="AN201" s="151" t="str">
        <f t="shared" si="156"/>
        <v>echo {"issue":{"subject":"Onboard in-route failure","project_id":30,"tracker_id":4,"status_id":1,"priority_id":1,"assigned_to_id":10,"start_date":"2017-09-06","description":"","custom_fields":[{"id":30,"name":"Category","value":"Issue"},{"id":3,"name":"Functional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807</v>
      </c>
      <c r="B202" s="7">
        <v>4063</v>
      </c>
      <c r="C202" s="21" t="s">
        <v>197</v>
      </c>
      <c r="D202" s="21" t="s">
        <v>964</v>
      </c>
      <c r="E202" s="13">
        <v>42983.89303240741</v>
      </c>
      <c r="F202" s="13">
        <v>42983.90483796296</v>
      </c>
      <c r="G202" s="7">
        <v>79</v>
      </c>
      <c r="H202" s="21" t="s">
        <v>464</v>
      </c>
      <c r="I202" s="13">
        <v>42983.9143287037</v>
      </c>
      <c r="J202" s="7">
        <v>0</v>
      </c>
      <c r="K202" s="89" t="str">
        <f t="shared" si="163"/>
        <v>4063/4064</v>
      </c>
      <c r="L202" s="214" t="str">
        <f>VLOOKUP(A202,'Trips&amp;Operators'!$C$1:$G$99911,5,FALSE)</f>
        <v>WEST BRYAN</v>
      </c>
      <c r="M202" s="6">
        <f t="shared" si="164"/>
        <v>9.4907407401478849E-3</v>
      </c>
      <c r="N202" s="7">
        <f t="shared" ref="N202:N209" si="173">24*60*SUM($M202:$M202)</f>
        <v>13.666666665812954</v>
      </c>
      <c r="O202" s="7"/>
      <c r="P202" s="7"/>
      <c r="Q202" s="22"/>
      <c r="R202" s="167"/>
      <c r="S202" s="210">
        <f t="shared" si="166"/>
        <v>1</v>
      </c>
      <c r="T202" s="192" t="str">
        <f t="shared" si="167"/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124"/>
        <v>https://d0f6bd738d7f1b3e5a7ca70fe4ff75f0.us-east-1.aws.found.io/app/kibana#/discover/Steve-Slow-Train-Analysis-(2080s-and-2083s)?_g=(refreshInterval:(display:Off,pause:!f,section:0,value:0),time:(from:'2017-09-05T20:25:58-0600',mode:absolute,to:'2017-09-05T22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2" s="194" t="str">
        <f>IF(AA202&lt;VLOOKUP(AG202,Variables!$AC$3:$AD$8,2,FALSE),"Y","N")</f>
        <v>N</v>
      </c>
      <c r="X202" s="194">
        <f t="shared" si="162"/>
        <v>1</v>
      </c>
      <c r="Y202" s="194">
        <f t="shared" si="168"/>
        <v>5.8643000000000001</v>
      </c>
      <c r="Z202" s="194">
        <f t="shared" si="169"/>
        <v>6.9800000000000001E-2</v>
      </c>
      <c r="AA202" s="194">
        <f t="shared" si="170"/>
        <v>5.7945000000000002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171"/>
        <v>844</v>
      </c>
      <c r="AE202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202" s="74" t="str">
        <f t="shared" si="126"/>
        <v>"C:\Program Files (x86)\AstroGrep\AstroGrep.exe" /e /r /s /spath="%USERPROFILE%\AppData\Local\Temp\OnboardLogs" /stypes="app*4063*20170906*" /stext=" 03:.+((SYSTEM_STATE.+slice.+state.+changed )|(ment ac)|(multiple cpu faults)|(system.+state.+changed )|(\[timeout)|(PRM\|1\|D)|(kpr)|(kdp)|(train st.+moving)|(\|lc)|(penalty))"</v>
      </c>
      <c r="AG202" s="206" t="str">
        <f t="shared" si="172"/>
        <v>NW</v>
      </c>
      <c r="AH202" s="78" t="str">
        <f t="shared" si="153"/>
        <v>"%USERPROFILE%\Documents\GitHub\eaglep3\Utilities\RefineRTDCRunTimes.py" --tripid 844-05 --locoid 4063 --swversion DE.1.0.9.0 --startMP 300:58643 --initTime 2017-09-05T21:25:58 --startdatetime 2017-09-05T21:42:58 --delay 79 --endMP 204:698 --enddatetime 2017-09-05T21:56:38 --enforcementcount 0 &gt;&gt;C:\Users\stu\Documents\GitHub\eaglep3-reporting\EC\2017-09-05-refined-times.txt</v>
      </c>
      <c r="AI202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{"issue":{"subject":"","project_id":79,"tracker_id":40,"status_id":1,"priority_id":2,"assigned_to_id":338,"start_date":"2017-09-05","description":"","custom_fields":[{"id":1,"name":"Subdivision","value":"NW"},{"id":4,"name":"Milepost","value":"0.0698"},{"id":17,"name":"Train ID","value":"844-05"},{"id":16,"name":"Locomotive ID","value":"4063"},{"id":130,"name":"Impact","value":""},{"id":150,"name":"Time of Event (Mountain Time)","value":"21:56:38"},{"id":151,"name":"Denver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55"/>
        <v>start /low /b %USERPROFILE%\Documents\GitHub\eaglep3\Utilities\DownloadLogsFromS3.py --loco 4063 --day 2017-09-05</v>
      </c>
      <c r="AN202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614</v>
      </c>
      <c r="B203" s="7">
        <v>4064</v>
      </c>
      <c r="C203" s="21" t="s">
        <v>197</v>
      </c>
      <c r="D203" s="21" t="s">
        <v>499</v>
      </c>
      <c r="E203" s="13">
        <v>42983.87672453704</v>
      </c>
      <c r="F203" s="13">
        <v>42983.881539351853</v>
      </c>
      <c r="G203" s="7">
        <v>97</v>
      </c>
      <c r="H203" s="21" t="s">
        <v>462</v>
      </c>
      <c r="I203" s="13">
        <v>42983.891643518517</v>
      </c>
      <c r="J203" s="7">
        <v>0</v>
      </c>
      <c r="K203" s="89" t="str">
        <f t="shared" si="163"/>
        <v>4063/4064</v>
      </c>
      <c r="L203" s="214" t="str">
        <f>VLOOKUP(A203,'Trips&amp;Operators'!$C$1:$G$99911,5,FALSE)</f>
        <v>WEST BRYAN</v>
      </c>
      <c r="M203" s="6">
        <f t="shared" si="164"/>
        <v>1.0104166663950309E-2</v>
      </c>
      <c r="N203" s="7">
        <f t="shared" si="173"/>
        <v>14.549999996088445</v>
      </c>
      <c r="O203" s="7"/>
      <c r="P203" s="7"/>
      <c r="Q203" s="22"/>
      <c r="R203" s="167"/>
      <c r="S203" s="210">
        <f t="shared" si="166"/>
        <v>1</v>
      </c>
      <c r="T203" s="192" t="str">
        <f t="shared" si="167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124"/>
        <v>https://d0f6bd738d7f1b3e5a7ca70fe4ff75f0.us-east-1.aws.found.io/app/kibana#/discover/Steve-Slow-Train-Analysis-(2080s-and-2083s)?_g=(refreshInterval:(display:Off,pause:!f,section:0,value:0),time:(from:'2017-09-05T20:02:29-0600',mode:absolute,to:'2017-09-05T22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194" t="str">
        <f>IF(AA203&lt;VLOOKUP(AG203,Variables!$AC$3:$AD$8,2,FALSE),"Y","N")</f>
        <v>N</v>
      </c>
      <c r="X203" s="194">
        <f t="shared" si="162"/>
        <v>1</v>
      </c>
      <c r="Y203" s="194">
        <f t="shared" si="168"/>
        <v>9.8299999999999998E-2</v>
      </c>
      <c r="Z203" s="194">
        <f t="shared" si="169"/>
        <v>5.8960999999999997</v>
      </c>
      <c r="AA203" s="194">
        <f t="shared" si="170"/>
        <v>5.7977999999999996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171"/>
        <v>845</v>
      </c>
      <c r="AE203" s="77" t="str">
        <f t="shared" si="125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203" s="74" t="str">
        <f t="shared" si="126"/>
        <v>"C:\Program Files (x86)\AstroGrep\AstroGrep.exe" /e /r /s /spath="%USERPROFILE%\AppData\Local\Temp\OnboardLogs" /stypes="app*4064*20170906*" /stext=" 03:.+((SYSTEM_STATE.+slice.+state.+changed )|(ment ac)|(multiple cpu faults)|(system.+state.+changed )|(\[timeout)|(PRM\|1\|D)|(kpr)|(kdp)|(train st.+moving)|(\|lc)|(penalty))"</v>
      </c>
      <c r="AG203" s="206" t="str">
        <f t="shared" si="172"/>
        <v>NW</v>
      </c>
      <c r="AH203" s="78" t="str">
        <f t="shared" si="153"/>
        <v>"%USERPROFILE%\Documents\GitHub\eaglep3\Utilities\RefineRTDCRunTimes.py" --tripid 845-05 --locoid 4064 --swversion DE.1.0.9.0 --startMP 204:983 --initTime 2017-09-05T21:02:29 --startdatetime 2017-09-05T21:09:25 --delay 97 --endMP 300:58961 --enddatetime 2017-09-05T21:23:58 --enforcementcount 0 &gt;&gt;C:\Users\stu\Documents\GitHub\eaglep3-reporting\EC\2017-09-05-refined-times.txt</v>
      </c>
      <c r="AI203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{"issue":{"subject":"","project_id":79,"tracker_id":40,"status_id":1,"priority_id":2,"assigned_to_id":338,"start_date":"2017-09-05","description":"","custom_fields":[{"id":1,"name":"Subdivision","value":"NW"},{"id":4,"name":"Milepost","value":"5.8961"},{"id":17,"name":"Train ID","value":"845-05"},{"id":16,"name":"Locomotive ID","value":"4064"},{"id":130,"name":"Impact","value":""},{"id":150,"name":"Time of Event (Mountain Time)","value":"21:23:58"},{"id":151,"name":"Denver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55"/>
        <v>start /low /b %USERPROFILE%\Documents\GitHub\eaglep3\Utilities\DownloadLogsFromS3.py --loco 4064 --day 2017-09-05</v>
      </c>
      <c r="AN203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03:23:58"},{"id":29,"name":"Sharepoint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616</v>
      </c>
      <c r="B204" s="7">
        <v>4063</v>
      </c>
      <c r="C204" s="21" t="s">
        <v>197</v>
      </c>
      <c r="D204" s="21" t="s">
        <v>499</v>
      </c>
      <c r="E204" s="13">
        <v>42983.87672453704</v>
      </c>
      <c r="F204" s="13">
        <v>42983.945868055554</v>
      </c>
      <c r="G204" s="7">
        <v>97</v>
      </c>
      <c r="H204" s="21" t="s">
        <v>462</v>
      </c>
      <c r="I204" s="13">
        <v>42983.954699074071</v>
      </c>
      <c r="J204" s="7">
        <v>0</v>
      </c>
      <c r="K204" s="89" t="str">
        <f t="shared" si="163"/>
        <v>4063/4064</v>
      </c>
      <c r="L204" s="214" t="str">
        <f>VLOOKUP(A204,'Trips&amp;Operators'!$C$1:$G$99911,5,FALSE)</f>
        <v>WEST BRYAN</v>
      </c>
      <c r="M204" s="6">
        <f t="shared" si="164"/>
        <v>8.8310185165028088E-3</v>
      </c>
      <c r="N204" s="7">
        <f t="shared" si="173"/>
        <v>12.716666663764045</v>
      </c>
      <c r="O204" s="7"/>
      <c r="P204" s="7"/>
      <c r="Q204" s="22"/>
      <c r="R204" s="167"/>
      <c r="S204" s="210">
        <f t="shared" si="166"/>
        <v>0</v>
      </c>
      <c r="T204" s="192" t="str">
        <f t="shared" si="167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3" t="str">
        <f t="shared" si="124"/>
        <v>https://d0f6bd738d7f1b3e5a7ca70fe4ff75f0.us-east-1.aws.found.io/app/kibana#/discover/Steve-Slow-Train-Analysis-(2080s-and-2083s)?_g=(refreshInterval:(display:Off,pause:!f,section:0,value:0),time:(from:'2017-09-05T20:02:29-0600',mode:absolute,to:'2017-09-05T23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4" s="194" t="str">
        <f>IF(AA204&lt;VLOOKUP(AG204,Variables!$AC$3:$AD$8,2,FALSE),"Y","N")</f>
        <v>N</v>
      </c>
      <c r="X204" s="194">
        <f t="shared" ref="X204:X207" si="174">VALUE(LEFT(AD204,4))-VALUE(LEFT(AD203,4))</f>
        <v>1</v>
      </c>
      <c r="Y204" s="194">
        <f t="shared" si="168"/>
        <v>9.8299999999999998E-2</v>
      </c>
      <c r="Z204" s="194">
        <f t="shared" si="169"/>
        <v>5.8960999999999997</v>
      </c>
      <c r="AA204" s="194">
        <f t="shared" si="170"/>
        <v>5.7977999999999996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171"/>
        <v>846</v>
      </c>
      <c r="AE204" s="77" t="str">
        <f t="shared" si="125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204" s="74" t="str">
        <f t="shared" si="126"/>
        <v>"C:\Program Files (x86)\AstroGrep\AstroGrep.exe" /e /r /s /spath="%USERPROFILE%\AppData\Local\Temp\OnboardLogs" /stypes="app*4063*20170906*" /stext=" 04:.+((SYSTEM_STATE.+slice.+state.+changed )|(ment ac)|(multiple cpu faults)|(system.+state.+changed )|(\[timeout)|(PRM\|1\|D)|(kpr)|(kdp)|(train st.+moving)|(\|lc)|(penalty))"</v>
      </c>
      <c r="AG204" s="206" t="str">
        <f t="shared" si="172"/>
        <v>NW</v>
      </c>
      <c r="AH204" s="78" t="str">
        <f t="shared" ref="AH204" si="175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846-05 --locoid 4063 --swversion DE.1.0.9.0 --startMP 204:983 --initTime 2017-09-05T21:02:29 --startdatetime 2017-09-05T22:42:03 --delay 97 --endMP 300:58961 --enddatetime 2017-09-05T22:54:46 --enforcementcount 0 &gt;&gt;C:\Users\stu\Documents\GitHub\eaglep3-reporting\EC\2017-09-05-refined-times.txt</v>
      </c>
      <c r="AI204" s="96" t="str">
        <f t="shared" ref="AI204" si="176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{"issue":{"subject":"","project_id":79,"tracker_id":40,"status_id":1,"priority_id":2,"assigned_to_id":338,"start_date":"2017-09-05","description":"","custom_fields":[{"id":1,"name":"Subdivision","value":"NW"},{"id":4,"name":"Milepost","value":"5.8961"},{"id":17,"name":"Train ID","value":"846-05"},{"id":16,"name":"Locomotive ID","value":"4063"},{"id":130,"name":"Impact","value":""},{"id":150,"name":"Time of Event (Mountain Time)","value":"22:54:46"},{"id":151,"name":"Denver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177">"start /low /b "&amp;dls3logs&amp;" --loco "&amp;B204&amp;" --day "&amp;TEXT(F204,"YYYY-MM-DD")</f>
        <v>start /low /b %USERPROFILE%\Documents\GitHub\eaglep3\Utilities\DownloadLogsFromS3.py --loco 4063 --day 2017-09-05</v>
      </c>
      <c r="AN204" s="151" t="str">
        <f t="shared" ref="AN204" si="178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615</v>
      </c>
      <c r="B205" s="7">
        <v>4064</v>
      </c>
      <c r="C205" s="21" t="s">
        <v>197</v>
      </c>
      <c r="D205" s="21" t="s">
        <v>959</v>
      </c>
      <c r="E205" s="13">
        <v>42983.921064814815</v>
      </c>
      <c r="F205" s="13">
        <v>42983.923113425924</v>
      </c>
      <c r="G205" s="7">
        <v>55</v>
      </c>
      <c r="H205" s="21" t="s">
        <v>462</v>
      </c>
      <c r="I205" s="13">
        <v>42983.932442129626</v>
      </c>
      <c r="J205" s="7">
        <v>0</v>
      </c>
      <c r="K205" s="89" t="str">
        <f t="shared" si="163"/>
        <v>4063/4064</v>
      </c>
      <c r="L205" s="214" t="str">
        <f>VLOOKUP(A205,'Trips&amp;Operators'!$C$1:$G$99911,5,FALSE)</f>
        <v>WEST BRYAN</v>
      </c>
      <c r="M205" s="6">
        <f t="shared" si="164"/>
        <v>9.3287037016125396E-3</v>
      </c>
      <c r="N205" s="7">
        <f t="shared" si="173"/>
        <v>13.433333330322057</v>
      </c>
      <c r="O205" s="7"/>
      <c r="P205" s="7"/>
      <c r="Q205" s="22"/>
      <c r="R205" s="167"/>
      <c r="S205" s="210">
        <f t="shared" si="166"/>
        <v>1</v>
      </c>
      <c r="T205" s="192" t="str">
        <f t="shared" si="167"/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38" si="1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-05T21:06:20-0600',mode:absolute,to:'2017-09-05T23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194" t="str">
        <f>IF(AA205&lt;VLOOKUP(AG205,Variables!$AC$3:$AD$8,2,FALSE),"Y","N")</f>
        <v>N</v>
      </c>
      <c r="X205" s="194">
        <f t="shared" si="174"/>
        <v>1</v>
      </c>
      <c r="Y205" s="194">
        <f t="shared" si="168"/>
        <v>9.8599999999999993E-2</v>
      </c>
      <c r="Z205" s="194">
        <f t="shared" si="169"/>
        <v>5.8960999999999997</v>
      </c>
      <c r="AA205" s="194">
        <f t="shared" si="170"/>
        <v>5.7974999999999994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si="171"/>
        <v>847</v>
      </c>
      <c r="AE205" s="77" t="str">
        <f t="shared" ref="AE205:AE238" si="1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205" s="74" t="str">
        <f t="shared" ref="AF205:AF238" si="1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/stypes="app*4064*20170906*" /stext=" 04:.+((SYSTEM_STATE.+slice.+state.+changed )|(ment ac)|(multiple cpu faults)|(system.+state.+changed )|(\[timeout)|(PRM\|1\|D)|(kpr)|(kdp)|(train st.+moving)|(\|lc)|(penalty))"</v>
      </c>
      <c r="AG205" s="206" t="str">
        <f t="shared" si="172"/>
        <v>NW</v>
      </c>
      <c r="AH205" s="78" t="str">
        <f t="shared" si="153"/>
        <v>"%USERPROFILE%\Documents\GitHub\eaglep3\Utilities\RefineRTDCRunTimes.py" --tripid 847-05 --locoid 4064 --swversion DE.1.0.9.0 --startMP 204:986 --initTime 2017-09-05T22:06:20 --startdatetime 2017-09-05T22:09:17 --delay 55 --endMP 300:58961 --enddatetime 2017-09-05T22:22:43 --enforcementcount 0 &gt;&gt;C:\Users\stu\Documents\GitHub\eaglep3-reporting\EC\2017-09-05-refined-times.txt</v>
      </c>
      <c r="AI205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{"issue":{"subject":"","project_id":79,"tracker_id":40,"status_id":1,"priority_id":2,"assigned_to_id":338,"start_date":"2017-09-05","description":"","custom_fields":[{"id":1,"name":"Subdivision","value":"NW"},{"id":4,"name":"Milepost","value":"5.8961"},{"id":17,"name":"Train ID","value":"847-05"},{"id":16,"name":"Locomotive ID","value":"4064"},{"id":130,"name":"Impact","value":""},{"id":150,"name":"Time of Event (Mountain Time)","value":"22:22:43"},{"id":151,"name":"Denver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55"/>
        <v>start /low /b %USERPROFILE%\Documents\GitHub\eaglep3\Utilities\DownloadLogsFromS3.py --loco 4064 --day 2017-09-05</v>
      </c>
      <c r="AN205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04:22:43"},{"id":29,"name":"Sharepoint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814</v>
      </c>
      <c r="B206" s="7">
        <v>4064</v>
      </c>
      <c r="C206" s="21" t="s">
        <v>197</v>
      </c>
      <c r="D206" s="21" t="s">
        <v>965</v>
      </c>
      <c r="E206" s="13">
        <v>42983.960416666669</v>
      </c>
      <c r="F206" s="13">
        <v>42983.964826388888</v>
      </c>
      <c r="G206" s="7">
        <v>72</v>
      </c>
      <c r="H206" s="21" t="s">
        <v>559</v>
      </c>
      <c r="I206" s="13">
        <v>42983.974699074075</v>
      </c>
      <c r="J206" s="7">
        <v>0</v>
      </c>
      <c r="K206" s="89" t="str">
        <f t="shared" si="163"/>
        <v>4063/4064</v>
      </c>
      <c r="L206" s="214" t="str">
        <f>VLOOKUP(A206,'Trips&amp;Operators'!$C$1:$G$99911,5,FALSE)</f>
        <v>WEST BRYAN</v>
      </c>
      <c r="M206" s="6">
        <f t="shared" si="164"/>
        <v>9.8726851865649223E-3</v>
      </c>
      <c r="N206" s="7">
        <f t="shared" si="173"/>
        <v>14.216666668653488</v>
      </c>
      <c r="O206" s="7"/>
      <c r="P206" s="7"/>
      <c r="Q206" s="22"/>
      <c r="R206" s="167"/>
      <c r="S206" s="210">
        <f t="shared" si="166"/>
        <v>1</v>
      </c>
      <c r="T206" s="192" t="str">
        <f t="shared" si="167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179"/>
        <v>https://d0f6bd738d7f1b3e5a7ca70fe4ff75f0.us-east-1.aws.found.io/app/kibana#/discover/Steve-Slow-Train-Analysis-(2080s-and-2083s)?_g=(refreshInterval:(display:Off,pause:!f,section:0,value:0),time:(from:'2017-09-05T22:03:00-0600',mode:absolute,to:'2017-09-06T00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194" t="str">
        <f>IF(AA206&lt;VLOOKUP(AG206,Variables!$AC$3:$AD$8,2,FALSE),"Y","N")</f>
        <v>N</v>
      </c>
      <c r="X206" s="194">
        <f t="shared" si="174"/>
        <v>2</v>
      </c>
      <c r="Y206" s="194">
        <f t="shared" si="168"/>
        <v>8.9200000000000002E-2</v>
      </c>
      <c r="Z206" s="194">
        <f t="shared" si="169"/>
        <v>5.8940999999999999</v>
      </c>
      <c r="AA206" s="194">
        <f t="shared" si="170"/>
        <v>5.8048999999999999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171"/>
        <v>849</v>
      </c>
      <c r="AE206" s="77" t="str">
        <f t="shared" si="180"/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AF206" s="74" t="str">
        <f t="shared" si="181"/>
        <v>"C:\Program Files (x86)\AstroGrep\AstroGrep.exe" /e /r /s /spath="%USERPROFILE%\AppData\Local\Temp\OnboardLogs" /stypes="app*4064*20170906*" /stext=" 05:.+((SYSTEM_STATE.+slice.+state.+changed )|(ment ac)|(multiple cpu faults)|(system.+state.+changed )|(\[timeout)|(PRM\|1\|D)|(kpr)|(kdp)|(train st.+moving)|(\|lc)|(penalty))"</v>
      </c>
      <c r="AG206" s="206" t="str">
        <f t="shared" si="172"/>
        <v>NW</v>
      </c>
      <c r="AH206" s="78" t="str">
        <f t="shared" si="153"/>
        <v>"%USERPROFILE%\Documents\GitHub\eaglep3\Utilities\RefineRTDCRunTimes.py" --tripid 849-05 --locoid 4064 --swversion DE.1.0.9.0 --startMP 204:892 --initTime 2017-09-05T23:03:00 --startdatetime 2017-09-05T23:09:21 --delay 72 --endMP 300:58941 --enddatetime 2017-09-05T23:23:34 --enforcementcount 0 &gt;&gt;C:\Users\stu\Documents\GitHub\eaglep3-reporting\EC\2017-09-05-refined-times.txt</v>
      </c>
      <c r="AI206" s="96" t="str">
        <f t="shared" si="154"/>
        <v>echo {"issue":{"subject":"","project_id":79,"tracker_id":40,"status_id":1,"priority_id":2,"assigned_to_id":338,"start_date":"2017-09-05","description":"","custom_fields":[{"id":1,"name":"Subdivision","value":"NW"},{"id":4,"name":"Milepost","value":"5.8941"},{"id":17,"name":"Train ID","value":"849-05"},{"id":16,"name":"Locomotive ID","value":"4064"},{"id":130,"name":"Impact","value":""},{"id":150,"name":"Time of Event (Mountain Time)","value":"23:23:34"},{"id":151,"name":"Denver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55"/>
        <v>start /low /b %USERPROFILE%\Documents\GitHub\eaglep3\Utilities\DownloadLogsFromS3.py --loco 4064 --day 2017-09-05</v>
      </c>
      <c r="AN206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784</v>
      </c>
      <c r="B207" s="7">
        <v>4030</v>
      </c>
      <c r="C207" s="21" t="s">
        <v>197</v>
      </c>
      <c r="D207" s="21" t="s">
        <v>376</v>
      </c>
      <c r="E207" s="13">
        <v>42983.776608796295</v>
      </c>
      <c r="F207" s="13">
        <v>42983.778402777774</v>
      </c>
      <c r="G207" s="7">
        <v>74</v>
      </c>
      <c r="H207" s="21" t="s">
        <v>494</v>
      </c>
      <c r="I207" s="13">
        <v>42983.784444444442</v>
      </c>
      <c r="J207" s="7">
        <v>0</v>
      </c>
      <c r="K207" s="89" t="str">
        <f t="shared" si="163"/>
        <v>4029/4030</v>
      </c>
      <c r="L207" s="214" t="str">
        <f>VLOOKUP(A207,'Trips&amp;Operators'!$C$1:$G$99911,5,FALSE)</f>
        <v>LEVIN SCOTT</v>
      </c>
      <c r="M207" s="6">
        <f t="shared" si="164"/>
        <v>6.0416666674427688E-3</v>
      </c>
      <c r="N207" s="7">
        <f t="shared" si="173"/>
        <v>8.7000000011175871</v>
      </c>
      <c r="O207" s="7"/>
      <c r="P207" s="7"/>
      <c r="Q207" s="22"/>
      <c r="R207" s="167"/>
      <c r="S207" s="210">
        <f t="shared" si="166"/>
        <v>1</v>
      </c>
      <c r="T207" s="192" t="str">
        <f t="shared" si="167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179"/>
        <v>https://d0f6bd738d7f1b3e5a7ca70fe4ff75f0.us-east-1.aws.found.io/app/kibana#/discover/Steve-Slow-Train-Analysis-(2080s-and-2083s)?_g=(refreshInterval:(display:Off,pause:!f,section:0,value:0),time:(from:'2017-09-05T17:38:19-0600',mode:absolute,to:'2017-09-05T19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94" t="str">
        <f>IF(AA207&lt;VLOOKUP(AG207,Variables!$AC$3:$AD$8,2,FALSE),"Y","N")</f>
        <v>Y</v>
      </c>
      <c r="X207" s="194">
        <f t="shared" si="174"/>
        <v>-548</v>
      </c>
      <c r="Y207" s="194">
        <f t="shared" si="168"/>
        <v>4.4400000000000002E-2</v>
      </c>
      <c r="Z207" s="194">
        <f t="shared" si="169"/>
        <v>2.3346</v>
      </c>
      <c r="AA207" s="194">
        <f t="shared" si="170"/>
        <v>2.2902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71"/>
        <v>301</v>
      </c>
      <c r="AE207" s="77" t="str">
        <f t="shared" si="180"/>
        <v>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 &amp; 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</v>
      </c>
      <c r="AF207" s="74" t="str">
        <f t="shared" si="181"/>
        <v>"C:\Program Files (x86)\AstroGrep\AstroGrep.exe" /e /r /s /spath="%USERPROFILE%\AppData\Local\Temp\OnboardLogs" /stypes="app*4030*20170906*" /stext=" 00:.+((SYSTEM_STATE.+slice.+state.+changed )|(ment ac)|(multiple cpu faults)|(system.+state.+changed )|(\[timeout)|(PRM\|1\|D)|(kpr)|(kdp)|(train st.+moving)|(\|lc)|(penalty))"</v>
      </c>
      <c r="AG207" s="206" t="str">
        <f t="shared" si="172"/>
        <v>Other</v>
      </c>
      <c r="AH207" s="78" t="str">
        <f t="shared" si="153"/>
        <v>"%USERPROFILE%\Documents\GitHub\eaglep3\Utilities\RefineRTDCRunTimes.py" --tripid 301-05 --locoid 4030 --swversion DE.1.0.9.0 --startMP 204:444 --initTime 2017-09-05T18:38:19 --startdatetime 2017-09-05T18:40:54 --delay 74 --endMP 300:23346 --enddatetime 2017-09-05T18:49:36 --enforcementcount 0 &gt;&gt;C:\Users\stu\Documents\GitHub\eaglep3-reporting\EC\2017-09-05-refined-times.txt</v>
      </c>
      <c r="AI207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{"issue":{"subject":"","project_id":79,"tracker_id":40,"status_id":1,"priority_id":2,"assigned_to_id":338,"start_date":"2017-09-05","description":"","custom_fields":[{"id":1,"name":"Subdivision","value":"Other"},{"id":4,"name":"Milepost","value":"2.3346"},{"id":17,"name":"Train ID","value":"301-05"},{"id":16,"name":"Locomotive ID","value":"4030"},{"id":130,"name":"Impact","value":""},{"id":150,"name":"Time of Event (Mountain Time)","value":"18:49:36"},{"id":151,"name":"Denver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55"/>
        <v>start /low /b %USERPROFILE%\Documents\GitHub\eaglep3\Utilities\DownloadLogsFromS3.py --loco 4030 --day 2017-09-05</v>
      </c>
      <c r="AN207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619</v>
      </c>
      <c r="B208" s="7">
        <v>4039</v>
      </c>
      <c r="C208" s="21" t="s">
        <v>197</v>
      </c>
      <c r="D208" s="21" t="s">
        <v>882</v>
      </c>
      <c r="E208" s="13">
        <v>42983.138935185183</v>
      </c>
      <c r="F208" s="13">
        <v>42983.143206018518</v>
      </c>
      <c r="G208" s="7">
        <v>67</v>
      </c>
      <c r="H208" s="21" t="s">
        <v>877</v>
      </c>
      <c r="I208" s="13">
        <v>42983.148564814815</v>
      </c>
      <c r="J208" s="7">
        <v>0</v>
      </c>
      <c r="K208" s="89" t="str">
        <f t="shared" si="163"/>
        <v>4039/4040</v>
      </c>
      <c r="L208" s="214" t="str">
        <f>VLOOKUP(A208,'Trips&amp;Operators'!$C$1:$G$99911,5,FALSE)</f>
        <v>STARKS ANGELINA</v>
      </c>
      <c r="M208" s="6">
        <f t="shared" si="164"/>
        <v>5.3587962975143455E-3</v>
      </c>
      <c r="N208" s="7">
        <f t="shared" si="173"/>
        <v>7.7166666684206575</v>
      </c>
      <c r="O208" s="7"/>
      <c r="P208" s="7"/>
      <c r="Q208" s="22"/>
      <c r="R208" s="167"/>
      <c r="S208" s="210">
        <f t="shared" si="166"/>
        <v>1</v>
      </c>
      <c r="T208" s="192" t="str">
        <f t="shared" si="167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179"/>
        <v>https://d0f6bd738d7f1b3e5a7ca70fe4ff75f0.us-east-1.aws.found.io/app/kibana#/discover/Steve-Slow-Train-Analysis-(2080s-and-2083s)?_g=(refreshInterval:(display:Off,pause:!f,section:0,value:0),time:(from:'2017-09-05T02:20:04-0600',mode:absolute,to:'2017-09-05T04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4" t="str">
        <f>IF(AA208&lt;VLOOKUP(AG208,Variables!$AC$3:$AD$8,2,FALSE),"Y","N")</f>
        <v>Y</v>
      </c>
      <c r="X208" s="194">
        <f t="shared" ref="X208:X238" si="182">VALUE(LEFT(AD208,4))-VALUE(LEFT(AD207,4))</f>
        <v>1</v>
      </c>
      <c r="Y208" s="194">
        <f t="shared" si="168"/>
        <v>2.5777000000000001</v>
      </c>
      <c r="Z208" s="194">
        <f t="shared" si="169"/>
        <v>1.3899999999999999E-2</v>
      </c>
      <c r="AA208" s="194">
        <f t="shared" si="170"/>
        <v>2.5638000000000001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71"/>
        <v>302</v>
      </c>
      <c r="AE208" s="77" t="str">
        <f t="shared" si="180"/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AF208" s="74" t="str">
        <f t="shared" si="181"/>
        <v>"C:\Program Files (x86)\AstroGrep\AstroGrep.exe" /e /r /s /spath="%USERPROFILE%\AppData\Local\Temp\OnboardLogs" /stypes="app*4039*20170905*" /stext=" 09:.+((SYSTEM_STATE.+slice.+state.+changed )|(ment ac)|(multiple cpu faults)|(system.+state.+changed )|(\[timeout)|(PRM\|1\|D)|(kpr)|(kdp)|(train st.+moving)|(\|lc)|(penalty))"</v>
      </c>
      <c r="AG208" s="206" t="str">
        <f t="shared" si="172"/>
        <v>Other</v>
      </c>
      <c r="AH208" s="78" t="str">
        <f t="shared" si="153"/>
        <v>"%USERPROFILE%\Documents\GitHub\eaglep3\Utilities\RefineRTDCRunTimes.py" --tripid 302-05 --locoid 4039 --swversion DE.1.0.9.0 --startMP 300:25777 --initTime 2017-09-05T03:20:04 --startdatetime 2017-09-05T03:26:13 --delay 67 --endMP 204:139 --enddatetime 2017-09-05T03:33:56 --enforcementcount 0 &gt;&gt;C:\Users\stu\Documents\GitHub\eaglep3-reporting\EC\2017-09-05-refined-times.txt</v>
      </c>
      <c r="AI208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{"issue":{"subject":"","project_id":79,"tracker_id":40,"status_id":1,"priority_id":2,"assigned_to_id":338,"start_date":"2017-09-05","description":"","custom_fields":[{"id":1,"name":"Subdivision","value":"Other"},{"id":4,"name":"Milepost","value":"0.0139"},{"id":17,"name":"Train ID","value":"302-05"},{"id":16,"name":"Locomotive ID","value":"4039"},{"id":130,"name":"Impact","value":""},{"id":150,"name":"Time of Event (Mountain Time)","value":"03:33:56"},{"id":151,"name":"Denver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55"/>
        <v>start /low /b %USERPROFILE%\Documents\GitHub\eaglep3\Utilities\DownloadLogsFromS3.py --loco 4039 --day 2017-09-05</v>
      </c>
      <c r="AN208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09:33:56"},{"id":29,"name":"Sharepoint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790</v>
      </c>
      <c r="B209" s="7">
        <v>4024</v>
      </c>
      <c r="C209" s="21" t="s">
        <v>197</v>
      </c>
      <c r="D209" s="21" t="s">
        <v>883</v>
      </c>
      <c r="E209" s="13">
        <v>42983.800393518519</v>
      </c>
      <c r="F209" s="13">
        <v>42983.802418981482</v>
      </c>
      <c r="G209" s="7">
        <v>93</v>
      </c>
      <c r="H209" s="21" t="s">
        <v>446</v>
      </c>
      <c r="I209" s="13">
        <v>42983.812245370369</v>
      </c>
      <c r="J209" s="7">
        <v>0</v>
      </c>
      <c r="K209" s="89" t="str">
        <f t="shared" si="163"/>
        <v>4023/4024</v>
      </c>
      <c r="L209" s="214" t="str">
        <f>VLOOKUP(A209,'Trips&amp;Operators'!$C$1:$G$99911,5,FALSE)</f>
        <v>SAFIEF AEIMEN</v>
      </c>
      <c r="M209" s="6">
        <f t="shared" si="164"/>
        <v>9.8263888867222704E-3</v>
      </c>
      <c r="N209" s="7">
        <f t="shared" si="173"/>
        <v>14.149999996880069</v>
      </c>
      <c r="O209" s="7"/>
      <c r="P209" s="7"/>
      <c r="Q209" s="22"/>
      <c r="R209" s="167"/>
      <c r="S209" s="210">
        <f t="shared" si="166"/>
        <v>1</v>
      </c>
      <c r="T209" s="192" t="str">
        <f t="shared" si="167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79"/>
        <v>https://d0f6bd738d7f1b3e5a7ca70fe4ff75f0.us-east-1.aws.found.io/app/kibana#/discover/Steve-Slow-Train-Analysis-(2080s-and-2083s)?_g=(refreshInterval:(display:Off,pause:!f,section:0,value:0),time:(from:'2017-09-05T18:12:34-0600',mode:absolute,to:'2017-09-05T20:29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4" t="str">
        <f>IF(AA209&lt;VLOOKUP(AG209,Variables!$AC$3:$AD$8,2,FALSE),"Y","N")</f>
        <v>Y</v>
      </c>
      <c r="X209" s="194">
        <f t="shared" si="182"/>
        <v>1</v>
      </c>
      <c r="Y209" s="194">
        <f t="shared" si="168"/>
        <v>4.9799999999999997E-2</v>
      </c>
      <c r="Z209" s="194">
        <f t="shared" si="169"/>
        <v>2.3300999999999998</v>
      </c>
      <c r="AA209" s="194">
        <f t="shared" si="170"/>
        <v>2.2803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71"/>
        <v>303</v>
      </c>
      <c r="AE209" s="77" t="str">
        <f t="shared" si="180"/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AF209" s="74" t="str">
        <f t="shared" si="181"/>
        <v>"C:\Program Files (x86)\AstroGrep\AstroGrep.exe" /e /r /s /spath="%USERPROFILE%\AppData\Local\Temp\OnboardLogs" /stypes="app*4024*20170906*" /stext=" 01:.+((SYSTEM_STATE.+slice.+state.+changed )|(ment ac)|(multiple cpu faults)|(system.+state.+changed )|(\[timeout)|(PRM\|1\|D)|(kpr)|(kdp)|(train st.+moving)|(\|lc)|(penalty))"</v>
      </c>
      <c r="AG209" s="206" t="str">
        <f t="shared" si="172"/>
        <v>Other</v>
      </c>
      <c r="AH209" s="78" t="str">
        <f t="shared" si="153"/>
        <v>"%USERPROFILE%\Documents\GitHub\eaglep3\Utilities\RefineRTDCRunTimes.py" --tripid 303-05 --locoid 4024 --swversion DE.1.0.9.0 --startMP 204:498 --initTime 2017-09-05T19:12:34 --startdatetime 2017-09-05T19:15:29 --delay 93 --endMP 300:23301 --enddatetime 2017-09-05T19:29:38 --enforcementcount 0 &gt;&gt;C:\Users\stu\Documents\GitHub\eaglep3-reporting\EC\2017-09-05-refined-times.txt</v>
      </c>
      <c r="AI209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{"issue":{"subject":"","project_id":79,"tracker_id":40,"status_id":1,"priority_id":2,"assigned_to_id":338,"start_date":"2017-09-05","description":"","custom_fields":[{"id":1,"name":"Subdivision","value":"Other"},{"id":4,"name":"Milepost","value":"2.3301"},{"id":17,"name":"Train ID","value":"303-05"},{"id":16,"name":"Locomotive ID","value":"4024"},{"id":130,"name":"Impact","value":""},{"id":150,"name":"Time of Event (Mountain Time)","value":"19:29:38"},{"id":151,"name":"Denver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55"/>
        <v>start /low /b %USERPROFILE%\Documents\GitHub\eaglep3\Utilities\DownloadLogsFromS3.py --loco 4024 --day 2017-09-05</v>
      </c>
      <c r="AN209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01:29:38"},{"id":29,"name":"Sharepoint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624</v>
      </c>
      <c r="B210" s="7">
        <v>4007</v>
      </c>
      <c r="C210" s="21" t="s">
        <v>197</v>
      </c>
      <c r="D210" s="21" t="s">
        <v>884</v>
      </c>
      <c r="E210" s="13">
        <v>42983.154328703706</v>
      </c>
      <c r="F210" s="13">
        <v>42983.158229166664</v>
      </c>
      <c r="G210" s="7">
        <v>82</v>
      </c>
      <c r="H210" s="21" t="s">
        <v>885</v>
      </c>
      <c r="I210" s="13">
        <v>42983.158414351848</v>
      </c>
      <c r="J210" s="7">
        <v>0</v>
      </c>
      <c r="K210" s="89" t="str">
        <f t="shared" si="163"/>
        <v>4007/4008</v>
      </c>
      <c r="L210" s="214" t="str">
        <f>VLOOKUP(A210,'Trips&amp;Operators'!$C$1:$G$99911,5,FALSE)</f>
        <v>THOMPSON LESTER</v>
      </c>
      <c r="M210" s="6">
        <f t="shared" si="164"/>
        <v>1.8518518481869251E-4</v>
      </c>
      <c r="N210" s="7"/>
      <c r="O210" s="7"/>
      <c r="P210" s="7">
        <f>24*60*SUM($M210:$M210)</f>
        <v>0.26666666613891721</v>
      </c>
      <c r="Q210" s="22"/>
      <c r="R210" s="167" t="s">
        <v>997</v>
      </c>
      <c r="S210" s="210">
        <f t="shared" si="166"/>
        <v>0</v>
      </c>
      <c r="T210" s="192" t="str">
        <f t="shared" si="167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179"/>
        <v>https://d0f6bd738d7f1b3e5a7ca70fe4ff75f0.us-east-1.aws.found.io/app/kibana#/discover/Steve-Slow-Train-Analysis-(2080s-and-2083s)?_g=(refreshInterval:(display:Off,pause:!f,section:0,value:0),time:(from:'2017-09-05T02:42:14-0600',mode:absolute,to:'2017-09-05T04:48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194" t="str">
        <f>IF(AA210&lt;VLOOKUP(AG210,Variables!$AC$3:$AD$8,2,FALSE),"Y","N")</f>
        <v>Y</v>
      </c>
      <c r="X210" s="194">
        <f t="shared" si="182"/>
        <v>1</v>
      </c>
      <c r="Y210" s="194">
        <f t="shared" si="168"/>
        <v>2.3357000000000001</v>
      </c>
      <c r="Z210" s="194">
        <f t="shared" si="169"/>
        <v>2.2801999999999998</v>
      </c>
      <c r="AA210" s="194">
        <f t="shared" si="170"/>
        <v>5.5500000000000327E-2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71"/>
        <v>304</v>
      </c>
      <c r="AE210" s="77" t="str">
        <f t="shared" si="180"/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AF210" s="74" t="str">
        <f t="shared" si="181"/>
        <v>"C:\Program Files (x86)\AstroGrep\AstroGrep.exe" /e /r /s /spath="%USERPROFILE%\AppData\Local\Temp\OnboardLogs" /stypes="app*4007*20170905*" /stext=" 09:.+((SYSTEM_STATE.+slice.+state.+changed )|(ment ac)|(multiple cpu faults)|(system.+state.+changed )|(\[timeout)|(PRM\|1\|D)|(kpr)|(kdp)|(train st.+moving)|(\|lc)|(penalty))"</v>
      </c>
      <c r="AG210" s="206" t="str">
        <f t="shared" si="172"/>
        <v>Other</v>
      </c>
      <c r="AH210" s="78" t="str">
        <f t="shared" si="153"/>
        <v>"%USERPROFILE%\Documents\GitHub\eaglep3\Utilities\RefineRTDCRunTimes.py" --tripid 304-05 --locoid 4007 --swversion DE.1.0.9.0 --startMP 300:23357 --initTime 2017-09-05T03:42:14 --startdatetime 2017-09-05T03:47:51 --delay 82 --endMP 300:22802 --enddatetime 2017-09-05T03:48:07 --enforcementcount 0 &gt;&gt;C:\Users\stu\Documents\GitHub\eaglep3-reporting\EC\2017-09-05-refined-times.txt</v>
      </c>
      <c r="AI210" s="96" t="str">
        <f t="shared" si="154"/>
        <v>echo {"issue":{"subject":"Onboard in-route failure","project_id":79,"tracker_id":40,"status_id":1,"priority_id":2,"assigned_to_id":338,"start_date":"2017-09-05","description":"","custom_fields":[{"id":1,"name":"Subdivision","value":"Other"},{"id":4,"name":"Milepost","value":"2.2802"},{"id":17,"name":"Train ID","value":"304-05"},{"id":16,"name":"Locomotive ID","value":"4007"},{"id":130,"name":"Impact","value":""},{"id":150,"name":"Time of Event (Mountain Time)","value":"03:48:07"},{"id":151,"name":"Denver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55"/>
        <v>start /low /b %USERPROFILE%\Documents\GitHub\eaglep3\Utilities\DownloadLogsFromS3.py --loco 4007 --day 2017-09-05</v>
      </c>
      <c r="AN210" s="151" t="str">
        <f t="shared" si="156"/>
        <v>echo {"issue":{"subject":"Onboard in-route failure","project_id":30,"tracker_id":4,"status_id":1,"priority_id":1,"assigned_to_id":10,"start_date":"2017-09-05","description":"","custom_fields":[{"id":30,"name":"Category","value":"Issue"},{"id":3,"name":"Functional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09:48:07"},{"id":29,"name":"Sharepoint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796</v>
      </c>
      <c r="B211" s="7">
        <v>4044</v>
      </c>
      <c r="C211" s="21" t="s">
        <v>197</v>
      </c>
      <c r="D211" s="21" t="s">
        <v>396</v>
      </c>
      <c r="E211" s="13">
        <v>42983.817858796298</v>
      </c>
      <c r="F211" s="13">
        <v>42983.819918981484</v>
      </c>
      <c r="G211" s="7">
        <v>55</v>
      </c>
      <c r="H211" s="21" t="s">
        <v>446</v>
      </c>
      <c r="I211" s="13">
        <v>42983.827731481484</v>
      </c>
      <c r="J211" s="7">
        <v>0</v>
      </c>
      <c r="K211" s="89" t="str">
        <f t="shared" si="163"/>
        <v>4043/4044</v>
      </c>
      <c r="L211" s="214" t="str">
        <f>VLOOKUP(A211,'Trips&amp;Operators'!$C$1:$G$99911,5,FALSE)</f>
        <v>SMITH MICHAEL</v>
      </c>
      <c r="M211" s="6">
        <f t="shared" si="164"/>
        <v>7.8125E-3</v>
      </c>
      <c r="N211" s="7">
        <f t="shared" ref="N211:N238" si="183">24*60*SUM($M211:$M211)</f>
        <v>11.25</v>
      </c>
      <c r="O211" s="7"/>
      <c r="P211" s="7"/>
      <c r="Q211" s="22"/>
      <c r="R211" s="167"/>
      <c r="S211" s="210">
        <f t="shared" si="166"/>
        <v>1</v>
      </c>
      <c r="T211" s="192" t="str">
        <f t="shared" si="167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179"/>
        <v>https://d0f6bd738d7f1b3e5a7ca70fe4ff75f0.us-east-1.aws.found.io/app/kibana#/discover/Steve-Slow-Train-Analysis-(2080s-and-2083s)?_g=(refreshInterval:(display:Off,pause:!f,section:0,value:0),time:(from:'2017-09-05T18:37:43-0600',mode:absolute,to:'2017-09-05T20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94" t="str">
        <f>IF(AA211&lt;VLOOKUP(AG211,Variables!$AC$3:$AD$8,2,FALSE),"Y","N")</f>
        <v>Y</v>
      </c>
      <c r="X211" s="194">
        <f t="shared" si="182"/>
        <v>1</v>
      </c>
      <c r="Y211" s="194">
        <f t="shared" si="168"/>
        <v>4.6899999999999997E-2</v>
      </c>
      <c r="Z211" s="194">
        <f t="shared" si="169"/>
        <v>2.3300999999999998</v>
      </c>
      <c r="AA211" s="194">
        <f t="shared" si="170"/>
        <v>2.2831999999999999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71"/>
        <v>305</v>
      </c>
      <c r="AE211" s="77" t="str">
        <f t="shared" si="180"/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AF211" s="74" t="str">
        <f t="shared" si="181"/>
        <v>"C:\Program Files (x86)\AstroGrep\AstroGrep.exe" /e /r /s /spath="%USERPROFILE%\AppData\Local\Temp\OnboardLogs" /stypes="app*4044*20170906*" /stext=" 01:.+((SYSTEM_STATE.+slice.+state.+changed )|(ment ac)|(multiple cpu faults)|(system.+state.+changed )|(\[timeout)|(PRM\|1\|D)|(kpr)|(kdp)|(train st.+moving)|(\|lc)|(penalty))"</v>
      </c>
      <c r="AG211" s="206" t="str">
        <f t="shared" si="172"/>
        <v>Other</v>
      </c>
      <c r="AH211" s="78" t="str">
        <f t="shared" si="153"/>
        <v>"%USERPROFILE%\Documents\GitHub\eaglep3\Utilities\RefineRTDCRunTimes.py" --tripid 305-05 --locoid 4044 --swversion DE.1.0.9.0 --startMP 204:469 --initTime 2017-09-05T19:37:43 --startdatetime 2017-09-05T19:40:41 --delay 55 --endMP 300:23301 --enddatetime 2017-09-05T19:51:56 --enforcementcount 0 &gt;&gt;C:\Users\stu\Documents\GitHub\eaglep3-reporting\EC\2017-09-05-refined-times.txt</v>
      </c>
      <c r="AI211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{"issue":{"subject":"","project_id":79,"tracker_id":40,"status_id":1,"priority_id":2,"assigned_to_id":338,"start_date":"2017-09-05","description":"","custom_fields":[{"id":1,"name":"Subdivision","value":"Other"},{"id":4,"name":"Milepost","value":"2.3301"},{"id":17,"name":"Train ID","value":"305-05"},{"id":16,"name":"Locomotive ID","value":"4044"},{"id":130,"name":"Impact","value":""},{"id":150,"name":"Time of Event (Mountain Time)","value":"19:51:56"},{"id":151,"name":"Denver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55"/>
        <v>start /low /b %USERPROFILE%\Documents\GitHub\eaglep3\Utilities\DownloadLogsFromS3.py --loco 4044 --day 2017-09-05</v>
      </c>
      <c r="AN211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629</v>
      </c>
      <c r="B212" s="7">
        <v>4009</v>
      </c>
      <c r="C212" s="21" t="s">
        <v>197</v>
      </c>
      <c r="D212" s="21" t="s">
        <v>886</v>
      </c>
      <c r="E212" s="13">
        <v>42983.164548611108</v>
      </c>
      <c r="F212" s="13">
        <v>42983.167974537035</v>
      </c>
      <c r="G212" s="7">
        <v>53</v>
      </c>
      <c r="H212" s="21" t="s">
        <v>364</v>
      </c>
      <c r="I212" s="13">
        <v>42983.173136574071</v>
      </c>
      <c r="J212" s="7">
        <v>0</v>
      </c>
      <c r="K212" s="89" t="str">
        <f t="shared" ref="K212:K238" si="184">IF(ISEVEN(B212),(B212-1)&amp;"/"&amp;B212,B212&amp;"/"&amp;(B212+1))</f>
        <v>4009/4010</v>
      </c>
      <c r="L212" s="214" t="str">
        <f>VLOOKUP(A212,'Trips&amp;Operators'!$C$1:$G$99911,5,FALSE)</f>
        <v>LALONDE GREGORY</v>
      </c>
      <c r="M212" s="6">
        <f t="shared" ref="M212:M238" si="185">I212-F212</f>
        <v>5.1620370359160006E-3</v>
      </c>
      <c r="N212" s="7">
        <f t="shared" si="183"/>
        <v>7.4333333317190409</v>
      </c>
      <c r="O212" s="7"/>
      <c r="P212" s="7"/>
      <c r="Q212" s="22"/>
      <c r="R212" s="167"/>
      <c r="S212" s="210">
        <f t="shared" ref="S212:S238" si="186">1/IF(AG212="EC",12,1)*SUM(U212:U212)</f>
        <v>1</v>
      </c>
      <c r="T212" s="192" t="str">
        <f t="shared" ref="T212:T238" si="187">IF(ISEVEN(LEFT(AD212,4)),"Southbound","NorthBound")</f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179"/>
        <v>https://d0f6bd738d7f1b3e5a7ca70fe4ff75f0.us-east-1.aws.found.io/app/kibana#/discover/Steve-Slow-Train-Analysis-(2080s-and-2083s)?_g=(refreshInterval:(display:Off,pause:!f,section:0,value:0),time:(from:'2017-09-05T02:56:57-0600',mode:absolute,to:'2017-09-05T05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194" t="str">
        <f>IF(AA212&lt;VLOOKUP(AG212,Variables!$AC$3:$AD$8,2,FALSE),"Y","N")</f>
        <v>Y</v>
      </c>
      <c r="X212" s="194">
        <f t="shared" si="182"/>
        <v>1</v>
      </c>
      <c r="Y212" s="194">
        <f t="shared" ref="Y212:Y238" si="188">RIGHT(D212,LEN(D212)-4)/10000</f>
        <v>2.3420999999999998</v>
      </c>
      <c r="Z212" s="194">
        <f t="shared" ref="Z212:Z238" si="189">RIGHT(H212,LEN(H212)-4)/10000</f>
        <v>1.52E-2</v>
      </c>
      <c r="AA212" s="194">
        <f t="shared" ref="AA212:AA243" si="190">ABS(Z212-Y212)</f>
        <v>2.3268999999999997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ref="AD212:AD238" si="191">VALUE(LEFT(A212,LEN(A212)-3))</f>
        <v>306</v>
      </c>
      <c r="AE212" s="77" t="str">
        <f t="shared" si="180"/>
        <v>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 &amp; aws s3 cp s3://rtdc.mdm.uploadarchive.raw/RTDC4009/ "%USERPROFILE%\AppData\Local\Temp\OnboardLogs"\RTDC4009\2017-09-06 --exclude "*" --recursive --include "*20170906*" &amp; "%USERPROFILE%\Documents\GitHub\mrs-test-scripts\Headless Mode &amp; Sideloading\WalkAndUnGZ.bat" "%USERPROFILE%\AppData\Local\Temp\OnboardLogs"\RTDC4009\2017-09-06</v>
      </c>
      <c r="AF212" s="74" t="str">
        <f t="shared" si="181"/>
        <v>"C:\Program Files (x86)\AstroGrep\AstroGrep.exe" /e /r /s /spath="%USERPROFILE%\AppData\Local\Temp\OnboardLogs" /stypes="app*4009*20170905*" /stext=" 10:.+((SYSTEM_STATE.+slice.+state.+changed )|(ment ac)|(multiple cpu faults)|(system.+state.+changed )|(\[timeout)|(PRM\|1\|D)|(kpr)|(kdp)|(train st.+moving)|(\|lc)|(penalty))"</v>
      </c>
      <c r="AG212" s="206" t="str">
        <f t="shared" ref="AG212:AG238" si="192">DetSubdiv(A212)</f>
        <v>Other</v>
      </c>
      <c r="AH212" s="78" t="str">
        <f t="shared" si="153"/>
        <v>"%USERPROFILE%\Documents\GitHub\eaglep3\Utilities\RefineRTDCRunTimes.py" --tripid 306-05 --locoid 4009 --swversion DE.1.0.9.0 --startMP 300:23421 --initTime 2017-09-05T03:56:57 --startdatetime 2017-09-05T04:01:53 --delay 53 --endMP 204:152 --enddatetime 2017-09-05T04:09:19 --enforcementcount 0 &gt;&gt;C:\Users\stu\Documents\GitHub\eaglep3-reporting\EC\2017-09-05-refined-times.txt</v>
      </c>
      <c r="AI212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{"issue":{"subject":"","project_id":79,"tracker_id":40,"status_id":1,"priority_id":2,"assigned_to_id":338,"start_date":"2017-09-05","description":"","custom_fields":[{"id":1,"name":"Subdivision","value":"Other"},{"id":4,"name":"Milepost","value":"0.0152"},{"id":17,"name":"Train ID","value":"306-05"},{"id":16,"name":"Locomotive ID","value":"4009"},{"id":130,"name":"Impact","value":""},{"id":150,"name":"Time of Event (Mountain Time)","value":"04:09:19"},{"id":151,"name":"Denver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55"/>
        <v>start /low /b %USERPROFILE%\Documents\GitHub\eaglep3\Utilities\DownloadLogsFromS3.py --loco 4009 --day 2017-09-05</v>
      </c>
      <c r="AN212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823</v>
      </c>
      <c r="B213" s="7">
        <v>4066</v>
      </c>
      <c r="C213" s="21" t="s">
        <v>197</v>
      </c>
      <c r="D213" s="21" t="s">
        <v>425</v>
      </c>
      <c r="E213" s="13">
        <v>42984.026956018519</v>
      </c>
      <c r="F213" s="13">
        <v>42984.031122685185</v>
      </c>
      <c r="G213" s="7">
        <v>64</v>
      </c>
      <c r="H213" s="21" t="s">
        <v>494</v>
      </c>
      <c r="I213" s="13">
        <v>42984.037546296298</v>
      </c>
      <c r="J213" s="7">
        <v>0</v>
      </c>
      <c r="K213" s="89" t="str">
        <f t="shared" si="184"/>
        <v>4065/4066</v>
      </c>
      <c r="L213" s="214" t="str">
        <f>VLOOKUP(A213,'Trips&amp;Operators'!$C$1:$G$99911,5,FALSE)</f>
        <v>DUNCAN SHEILA</v>
      </c>
      <c r="M213" s="6">
        <f t="shared" si="185"/>
        <v>6.4236111138598062E-3</v>
      </c>
      <c r="N213" s="7">
        <f t="shared" si="183"/>
        <v>9.2500000039581209</v>
      </c>
      <c r="O213" s="7"/>
      <c r="P213" s="7"/>
      <c r="Q213" s="22"/>
      <c r="R213" s="167"/>
      <c r="S213" s="210">
        <f t="shared" si="186"/>
        <v>1</v>
      </c>
      <c r="T213" s="192" t="str">
        <f t="shared" si="187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79"/>
        <v>https://d0f6bd738d7f1b3e5a7ca70fe4ff75f0.us-east-1.aws.found.io/app/kibana#/discover/Steve-Slow-Train-Analysis-(2080s-and-2083s)?_g=(refreshInterval:(display:Off,pause:!f,section:0,value:0),time:(from:'2017-09-05T23:38:49-0600',mode:absolute,to:'2017-09-06T01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3" s="194" t="str">
        <f>IF(AA213&lt;VLOOKUP(AG213,Variables!$AC$3:$AD$8,2,FALSE),"Y","N")</f>
        <v>Y</v>
      </c>
      <c r="X213" s="194">
        <f t="shared" si="182"/>
        <v>1</v>
      </c>
      <c r="Y213" s="194">
        <f t="shared" si="188"/>
        <v>4.3700000000000003E-2</v>
      </c>
      <c r="Z213" s="194">
        <f t="shared" si="189"/>
        <v>2.3346</v>
      </c>
      <c r="AA213" s="194">
        <f t="shared" si="190"/>
        <v>2.2909000000000002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91"/>
        <v>307</v>
      </c>
      <c r="AE213" s="77" t="str">
        <f t="shared" si="180"/>
        <v>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 &amp; 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</v>
      </c>
      <c r="AF213" s="74" t="str">
        <f t="shared" si="181"/>
        <v>"C:\Program Files (x86)\AstroGrep\AstroGrep.exe" /e /r /s /spath="%USERPROFILE%\AppData\Local\Temp\OnboardLogs" /stypes="app*4066*20170906*" /stext=" 06:.+((SYSTEM_STATE.+slice.+state.+changed )|(ment ac)|(multiple cpu faults)|(system.+state.+changed )|(\[timeout)|(PRM\|1\|D)|(kpr)|(kdp)|(train st.+moving)|(\|lc)|(penalty))"</v>
      </c>
      <c r="AG213" s="206" t="str">
        <f t="shared" si="192"/>
        <v>Other</v>
      </c>
      <c r="AH213" s="78" t="str">
        <f t="shared" si="153"/>
        <v>"%USERPROFILE%\Documents\GitHub\eaglep3\Utilities\RefineRTDCRunTimes.py" --tripid 307-05 --locoid 4066 --swversion DE.1.0.9.0 --startMP 204:437 --initTime 2017-09-06T00:38:49 --startdatetime 2017-09-06T00:44:49 --delay 64 --endMP 300:23346 --enddatetime 2017-09-06T00:54:04 --enforcementcount 0 &gt;&gt;C:\Users\stu\Documents\GitHub\eaglep3-reporting\EC\2017-09-05-refined-times.txt</v>
      </c>
      <c r="AI213" s="96" t="str">
        <f t="shared" si="154"/>
        <v>echo {"issue":{"subject":"","project_id":79,"tracker_id":40,"status_id":1,"priority_id":2,"assigned_to_id":338,"start_date":"2017-09-06","description":"","custom_fields":[{"id":1,"name":"Subdivision","value":"Other"},{"id":4,"name":"Milepost","value":"2.3346"},{"id":17,"name":"Train ID","value":"307-05"},{"id":16,"name":"Locomotive ID","value":"4066"},{"id":130,"name":"Impact","value":""},{"id":150,"name":"Time of Event (Mountain Time)","value":"00:54:04"},{"id":151,"name":"Denver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55"/>
        <v>start /low /b %USERPROFILE%\Documents\GitHub\eaglep3\Utilities\DownloadLogsFromS3.py --loco 4066 --day 2017-09-06</v>
      </c>
      <c r="AN213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06:54:04"},{"id":29,"name":"Sharepoint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632</v>
      </c>
      <c r="B214" s="7">
        <v>4011</v>
      </c>
      <c r="C214" s="21" t="s">
        <v>197</v>
      </c>
      <c r="D214" s="21" t="s">
        <v>887</v>
      </c>
      <c r="E214" s="13">
        <v>42983.182256944441</v>
      </c>
      <c r="F214" s="13">
        <v>42983.184745370374</v>
      </c>
      <c r="G214" s="7">
        <v>71</v>
      </c>
      <c r="H214" s="21" t="s">
        <v>339</v>
      </c>
      <c r="I214" s="13">
        <v>42983.191250000003</v>
      </c>
      <c r="J214" s="7">
        <v>0</v>
      </c>
      <c r="K214" s="89" t="str">
        <f t="shared" si="184"/>
        <v>4011/4012</v>
      </c>
      <c r="L214" s="214" t="str">
        <f>VLOOKUP(A214,'Trips&amp;Operators'!$C$1:$G$99911,5,FALSE)</f>
        <v>LAMAR NEKESHA</v>
      </c>
      <c r="M214" s="6">
        <f t="shared" si="185"/>
        <v>6.5046296294895001E-3</v>
      </c>
      <c r="N214" s="7">
        <f t="shared" si="183"/>
        <v>9.3666666664648801</v>
      </c>
      <c r="O214" s="7"/>
      <c r="P214" s="7"/>
      <c r="Q214" s="22"/>
      <c r="R214" s="167"/>
      <c r="S214" s="210">
        <f t="shared" si="186"/>
        <v>1</v>
      </c>
      <c r="T214" s="192" t="str">
        <f t="shared" si="187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179"/>
        <v>https://d0f6bd738d7f1b3e5a7ca70fe4ff75f0.us-east-1.aws.found.io/app/kibana#/discover/Steve-Slow-Train-Analysis-(2080s-and-2083s)?_g=(refreshInterval:(display:Off,pause:!f,section:0,value:0),time:(from:'2017-09-05T03:22:27-0600',mode:absolute,to:'2017-09-05T05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194" t="str">
        <f>IF(AA214&lt;VLOOKUP(AG214,Variables!$AC$3:$AD$8,2,FALSE),"Y","N")</f>
        <v>Y</v>
      </c>
      <c r="X214" s="194">
        <f t="shared" si="182"/>
        <v>1</v>
      </c>
      <c r="Y214" s="194">
        <f t="shared" si="188"/>
        <v>2.2804000000000002</v>
      </c>
      <c r="Z214" s="194">
        <f t="shared" si="189"/>
        <v>1.49E-2</v>
      </c>
      <c r="AA214" s="194">
        <f t="shared" si="190"/>
        <v>2.2655000000000003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91"/>
        <v>308</v>
      </c>
      <c r="AE214" s="77" t="str">
        <f t="shared" si="180"/>
        <v>aws s3 cp s3://rtdc.mdm.uploadarchive.raw/RTDC4011/ "%USERPROFILE%\AppData\Local\Temp\OnboardLogs"\RTDC4011\2017-09-05 --exclude "*" --recursive --include "*20170905*" &amp; "%USERPROFILE%\Documents\GitHub\mrs-test-scripts\Headless Mode &amp; Sideloading\WalkAndUnGZ.bat" "%USERPROFILE%\AppData\Local\Temp\OnboardLogs"\RTDC4011\2017-09-05 &amp; aws s3 cp s3://rtdc.mdm.uploadarchive.raw/RTDC4011/ "%USERPROFILE%\AppData\Local\Temp\OnboardLogs"\RTDC4011\2017-09-06 --exclude "*" --recursive --include "*20170906*" &amp; "%USERPROFILE%\Documents\GitHub\mrs-test-scripts\Headless Mode &amp; Sideloading\WalkAndUnGZ.bat" "%USERPROFILE%\AppData\Local\Temp\OnboardLogs"\RTDC4011\2017-09-06</v>
      </c>
      <c r="AF214" s="74" t="str">
        <f t="shared" si="181"/>
        <v>"C:\Program Files (x86)\AstroGrep\AstroGrep.exe" /e /r /s /spath="%USERPROFILE%\AppData\Local\Temp\OnboardLogs" /stypes="app*4011*20170905*" /stext=" 10:.+((SYSTEM_STATE.+slice.+state.+changed )|(ment ac)|(multiple cpu faults)|(system.+state.+changed )|(\[timeout)|(PRM\|1\|D)|(kpr)|(kdp)|(train st.+moving)|(\|lc)|(penalty))"</v>
      </c>
      <c r="AG214" s="206" t="str">
        <f t="shared" si="192"/>
        <v>Other</v>
      </c>
      <c r="AH214" s="78" t="str">
        <f t="shared" si="153"/>
        <v>"%USERPROFILE%\Documents\GitHub\eaglep3\Utilities\RefineRTDCRunTimes.py" --tripid 308-05 --locoid 4011 --swversion DE.1.0.9.0 --startMP 300:22804 --initTime 2017-09-05T04:22:27 --startdatetime 2017-09-05T04:26:02 --delay 71 --endMP 204:149 --enddatetime 2017-09-05T04:35:24 --enforcementcount 0 &gt;&gt;C:\Users\stu\Documents\GitHub\eaglep3-reporting\EC\2017-09-05-refined-times.txt</v>
      </c>
      <c r="AI214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{"issue":{"subject":"","project_id":79,"tracker_id":40,"status_id":1,"priority_id":2,"assigned_to_id":338,"start_date":"2017-09-05","description":"","custom_fields":[{"id":1,"name":"Subdivision","value":"Other"},{"id":4,"name":"Milepost","value":"0.0149"},{"id":17,"name":"Train ID","value":"308-05"},{"id":16,"name":"Locomotive ID","value":"4011"},{"id":130,"name":"Impact","value":""},{"id":150,"name":"Time of Event (Mountain Time)","value":"04:35:24"},{"id":151,"name":"Denver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55"/>
        <v>start /low /b %USERPROFILE%\Documents\GitHub\eaglep3\Utilities\DownloadLogsFromS3.py --loco 4011 --day 2017-09-05</v>
      </c>
      <c r="AN214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824</v>
      </c>
      <c r="B215" s="7">
        <v>4040</v>
      </c>
      <c r="C215" s="21" t="s">
        <v>197</v>
      </c>
      <c r="D215" s="21" t="s">
        <v>366</v>
      </c>
      <c r="E215" s="13">
        <v>42984.049745370372</v>
      </c>
      <c r="F215" s="13">
        <v>42984.050821759258</v>
      </c>
      <c r="G215" s="7">
        <v>48</v>
      </c>
      <c r="H215" s="21" t="s">
        <v>888</v>
      </c>
      <c r="I215" s="13">
        <v>42984.05872685185</v>
      </c>
      <c r="J215" s="7">
        <v>0</v>
      </c>
      <c r="K215" s="89" t="str">
        <f t="shared" si="184"/>
        <v>4039/4040</v>
      </c>
      <c r="L215" s="214" t="str">
        <f>VLOOKUP(A215,'Trips&amp;Operators'!$C$1:$G$99911,5,FALSE)</f>
        <v>LOZA FIDEL</v>
      </c>
      <c r="M215" s="6">
        <f t="shared" si="185"/>
        <v>7.9050925924093463E-3</v>
      </c>
      <c r="N215" s="7">
        <f t="shared" si="183"/>
        <v>11.383333333069459</v>
      </c>
      <c r="O215" s="7"/>
      <c r="P215" s="7"/>
      <c r="Q215" s="22"/>
      <c r="R215" s="167"/>
      <c r="S215" s="210">
        <f t="shared" si="186"/>
        <v>1</v>
      </c>
      <c r="T215" s="192" t="str">
        <f t="shared" si="187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179"/>
        <v>https://d0f6bd738d7f1b3e5a7ca70fe4ff75f0.us-east-1.aws.found.io/app/kibana#/discover/Steve-Slow-Train-Analysis-(2080s-and-2083s)?_g=(refreshInterval:(display:Off,pause:!f,section:0,value:0),time:(from:'2017-09-06T00:11:38-0600',mode:absolute,to:'2017-09-06T02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5" s="194" t="str">
        <f>IF(AA215&lt;VLOOKUP(AG215,Variables!$AC$3:$AD$8,2,FALSE),"Y","N")</f>
        <v>Y</v>
      </c>
      <c r="X215" s="194">
        <f t="shared" si="182"/>
        <v>1</v>
      </c>
      <c r="Y215" s="194">
        <f t="shared" si="188"/>
        <v>4.5699999999999998E-2</v>
      </c>
      <c r="Z215" s="194">
        <f t="shared" si="189"/>
        <v>2.3315999999999999</v>
      </c>
      <c r="AA215" s="194">
        <f t="shared" si="190"/>
        <v>2.2858999999999998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91"/>
        <v>309</v>
      </c>
      <c r="AE215" s="77" t="str">
        <f t="shared" si="180"/>
        <v>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 &amp; 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</v>
      </c>
      <c r="AF215" s="74" t="str">
        <f t="shared" si="181"/>
        <v>"C:\Program Files (x86)\AstroGrep\AstroGrep.exe" /e /r /s /spath="%USERPROFILE%\AppData\Local\Temp\OnboardLogs" /stypes="app*4040*20170906*" /stext=" 07:.+((SYSTEM_STATE.+slice.+state.+changed )|(ment ac)|(multiple cpu faults)|(system.+state.+changed )|(\[timeout)|(PRM\|1\|D)|(kpr)|(kdp)|(train st.+moving)|(\|lc)|(penalty))"</v>
      </c>
      <c r="AG215" s="206" t="str">
        <f t="shared" si="192"/>
        <v>Other</v>
      </c>
      <c r="AH215" s="78" t="str">
        <f t="shared" si="153"/>
        <v>"%USERPROFILE%\Documents\GitHub\eaglep3\Utilities\RefineRTDCRunTimes.py" --tripid 309-05 --locoid 4040 --swversion DE.1.0.9.0 --startMP 204:457 --initTime 2017-09-06T01:11:38 --startdatetime 2017-09-06T01:13:11 --delay 48 --endMP 300:23316 --enddatetime 2017-09-06T01:24:34 --enforcementcount 0 &gt;&gt;C:\Users\stu\Documents\GitHub\eaglep3-reporting\EC\2017-09-05-refined-times.txt</v>
      </c>
      <c r="AI215" s="96" t="str">
        <f t="shared" si="154"/>
        <v>echo {"issue":{"subject":"","project_id":79,"tracker_id":40,"status_id":1,"priority_id":2,"assigned_to_id":338,"start_date":"2017-09-06","description":"","custom_fields":[{"id":1,"name":"Subdivision","value":"Other"},{"id":4,"name":"Milepost","value":"2.3316"},{"id":17,"name":"Train ID","value":"309-05"},{"id":16,"name":"Locomotive ID","value":"4040"},{"id":130,"name":"Impact","value":""},{"id":150,"name":"Time of Event (Mountain Time)","value":"01:24:34"},{"id":151,"name":"Denver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55"/>
        <v>start /low /b %USERPROFILE%\Documents\GitHub\eaglep3\Utilities\DownloadLogsFromS3.py --loco 4040 --day 2017-09-06</v>
      </c>
      <c r="AN215" s="151" t="str">
        <f t="shared" si="15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07:24:34"},{"id":29,"name":"Sharepoint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636</v>
      </c>
      <c r="B216" s="7">
        <v>4023</v>
      </c>
      <c r="C216" s="21" t="s">
        <v>197</v>
      </c>
      <c r="D216" s="21" t="s">
        <v>889</v>
      </c>
      <c r="E216" s="13">
        <v>42983.196006944447</v>
      </c>
      <c r="F216" s="13">
        <v>42983.198888888888</v>
      </c>
      <c r="G216" s="7">
        <v>89</v>
      </c>
      <c r="H216" s="21" t="s">
        <v>422</v>
      </c>
      <c r="I216" s="13">
        <v>42983.20412037037</v>
      </c>
      <c r="J216" s="7">
        <v>0</v>
      </c>
      <c r="K216" s="89" t="str">
        <f t="shared" si="184"/>
        <v>4023/4024</v>
      </c>
      <c r="L216" s="214" t="str">
        <f>VLOOKUP(A216,'Trips&amp;Operators'!$C$1:$G$99911,5,FALSE)</f>
        <v>GUNTHIER ERIC</v>
      </c>
      <c r="M216" s="6">
        <f t="shared" si="185"/>
        <v>5.2314814820419997E-3</v>
      </c>
      <c r="N216" s="7">
        <f t="shared" si="183"/>
        <v>7.5333333341404796</v>
      </c>
      <c r="O216" s="7"/>
      <c r="P216" s="7"/>
      <c r="Q216" s="22"/>
      <c r="R216" s="167"/>
      <c r="S216" s="210">
        <f t="shared" si="186"/>
        <v>1</v>
      </c>
      <c r="T216" s="192" t="str">
        <f t="shared" si="187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179"/>
        <v>https://d0f6bd738d7f1b3e5a7ca70fe4ff75f0.us-east-1.aws.found.io/app/kibana#/discover/Steve-Slow-Train-Analysis-(2080s-and-2083s)?_g=(refreshInterval:(display:Off,pause:!f,section:0,value:0),time:(from:'2017-09-05T03:42:15-0600',mode:absolute,to:'2017-09-05T05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6" s="194" t="str">
        <f>IF(AA216&lt;VLOOKUP(AG216,Variables!$AC$3:$AD$8,2,FALSE),"Y","N")</f>
        <v>Y</v>
      </c>
      <c r="X216" s="194">
        <f t="shared" si="182"/>
        <v>1</v>
      </c>
      <c r="Y216" s="194">
        <f t="shared" si="188"/>
        <v>2.3395999999999999</v>
      </c>
      <c r="Z216" s="194">
        <f t="shared" si="189"/>
        <v>1.67E-2</v>
      </c>
      <c r="AA216" s="194">
        <f t="shared" si="190"/>
        <v>2.3228999999999997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91"/>
        <v>310</v>
      </c>
      <c r="AE216" s="77" t="str">
        <f t="shared" si="180"/>
        <v>aws s3 cp s3://rtdc.mdm.uploadarchive.raw/RTDC4023/ "%USERPROFILE%\AppData\Local\Temp\OnboardLogs"\RTDC4023\2017-09-05 --exclude "*" --recursive --include "*20170905*" &amp; "%USERPROFILE%\Documents\GitHub\mrs-test-scripts\Headless Mode &amp; Sideloading\WalkAndUnGZ.bat" "%USERPROFILE%\AppData\Local\Temp\OnboardLogs"\RTDC4023\2017-09-05 &amp; 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</v>
      </c>
      <c r="AF216" s="74" t="str">
        <f t="shared" si="181"/>
        <v>"C:\Program Files (x86)\AstroGrep\AstroGrep.exe" /e /r /s /spath="%USERPROFILE%\AppData\Local\Temp\OnboardLogs" /stypes="app*4023*20170905*" /stext=" 10:.+((SYSTEM_STATE.+slice.+state.+changed )|(ment ac)|(multiple cpu faults)|(system.+state.+changed )|(\[timeout)|(PRM\|1\|D)|(kpr)|(kdp)|(train st.+moving)|(\|lc)|(penalty))"</v>
      </c>
      <c r="AG216" s="206" t="str">
        <f t="shared" si="192"/>
        <v>Other</v>
      </c>
      <c r="AH216" s="78" t="str">
        <f t="shared" si="153"/>
        <v>"%USERPROFILE%\Documents\GitHub\eaglep3\Utilities\RefineRTDCRunTimes.py" --tripid 310-05 --locoid 4023 --swversion DE.1.0.9.0 --startMP 300:23396 --initTime 2017-09-05T04:42:15 --startdatetime 2017-09-05T04:46:24 --delay 89 --endMP 204:167 --enddatetime 2017-09-05T04:53:56 --enforcementcount 0 &gt;&gt;C:\Users\stu\Documents\GitHub\eaglep3-reporting\EC\2017-09-05-refined-times.txt</v>
      </c>
      <c r="AI216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{"issue":{"subject":"","project_id":79,"tracker_id":40,"status_id":1,"priority_id":2,"assigned_to_id":338,"start_date":"2017-09-05","description":"","custom_fields":[{"id":1,"name":"Subdivision","value":"Other"},{"id":4,"name":"Milepost","value":"0.0167"},{"id":17,"name":"Train ID","value":"310-05"},{"id":16,"name":"Locomotive ID","value":"4023"},{"id":130,"name":"Impact","value":""},{"id":150,"name":"Time of Event (Mountain Time)","value":"04:53:56"},{"id":151,"name":"Denver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55"/>
        <v>start /low /b %USERPROFILE%\Documents\GitHub\eaglep3\Utilities\DownloadLogsFromS3.py --loco 4023 --day 2017-09-05</v>
      </c>
      <c r="AN216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643</v>
      </c>
      <c r="B217" s="7">
        <v>4043</v>
      </c>
      <c r="C217" s="21" t="s">
        <v>197</v>
      </c>
      <c r="D217" s="21" t="s">
        <v>890</v>
      </c>
      <c r="E217" s="13">
        <v>42983.219131944446</v>
      </c>
      <c r="F217" s="13">
        <v>42983.221203703702</v>
      </c>
      <c r="G217" s="7">
        <v>109</v>
      </c>
      <c r="H217" s="21" t="s">
        <v>442</v>
      </c>
      <c r="I217" s="13">
        <v>42983.227314814816</v>
      </c>
      <c r="J217" s="7">
        <v>0</v>
      </c>
      <c r="K217" s="89" t="str">
        <f t="shared" si="184"/>
        <v>4043/4044</v>
      </c>
      <c r="L217" s="214" t="str">
        <f>VLOOKUP(A217,'Trips&amp;Operators'!$C$1:$G$99911,5,FALSE)</f>
        <v>MACDONALD THOMAS</v>
      </c>
      <c r="M217" s="6">
        <f t="shared" si="185"/>
        <v>6.1111111135687679E-3</v>
      </c>
      <c r="N217" s="7">
        <f t="shared" si="183"/>
        <v>8.8000000035390258</v>
      </c>
      <c r="O217" s="7"/>
      <c r="P217" s="7"/>
      <c r="Q217" s="22"/>
      <c r="R217" s="167"/>
      <c r="S217" s="210">
        <f t="shared" si="186"/>
        <v>1</v>
      </c>
      <c r="T217" s="192" t="str">
        <f t="shared" si="187"/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179"/>
        <v>https://d0f6bd738d7f1b3e5a7ca70fe4ff75f0.us-east-1.aws.found.io/app/kibana#/discover/Steve-Slow-Train-Analysis-(2080s-and-2083s)?_g=(refreshInterval:(display:Off,pause:!f,section:0,value:0),time:(from:'2017-09-05T04:15:33-0600',mode:absolute,to:'2017-09-05T06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194" t="str">
        <f>IF(AA217&lt;VLOOKUP(AG217,Variables!$AC$3:$AD$8,2,FALSE),"Y","N")</f>
        <v>Y</v>
      </c>
      <c r="X217" s="194">
        <f t="shared" si="182"/>
        <v>2</v>
      </c>
      <c r="Y217" s="194">
        <f t="shared" si="188"/>
        <v>2.577</v>
      </c>
      <c r="Z217" s="194">
        <f t="shared" si="189"/>
        <v>1.6E-2</v>
      </c>
      <c r="AA217" s="194">
        <f t="shared" si="190"/>
        <v>2.5609999999999999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91"/>
        <v>312</v>
      </c>
      <c r="AE217" s="77" t="str">
        <f t="shared" si="180"/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AF217" s="74" t="str">
        <f t="shared" si="181"/>
        <v>"C:\Program Files (x86)\AstroGrep\AstroGrep.exe" /e /r /s /spath="%USERPROFILE%\AppData\Local\Temp\OnboardLogs" /stypes="app*4043*20170905*" /stext=" 11:.+((SYSTEM_STATE.+slice.+state.+changed )|(ment ac)|(multiple cpu faults)|(system.+state.+changed )|(\[timeout)|(PRM\|1\|D)|(kpr)|(kdp)|(train st.+moving)|(\|lc)|(penalty))"</v>
      </c>
      <c r="AG217" s="206" t="str">
        <f t="shared" si="192"/>
        <v>Other</v>
      </c>
      <c r="AH217" s="78" t="str">
        <f t="shared" si="153"/>
        <v>"%USERPROFILE%\Documents\GitHub\eaglep3\Utilities\RefineRTDCRunTimes.py" --tripid 312-05 --locoid 4043 --swversion DE.1.0.9.0 --startMP 300:25770 --initTime 2017-09-05T05:15:33 --startdatetime 2017-09-05T05:18:32 --delay 109 --endMP 204:160 --enddatetime 2017-09-05T05:27:20 --enforcementcount 0 &gt;&gt;C:\Users\stu\Documents\GitHub\eaglep3-reporting\EC\2017-09-05-refined-times.txt</v>
      </c>
      <c r="AI217" s="96" t="str">
        <f t="shared" si="154"/>
        <v>echo {"issue":{"subject":"","project_id":79,"tracker_id":40,"status_id":1,"priority_id":2,"assigned_to_id":338,"start_date":"2017-09-05","description":"","custom_fields":[{"id":1,"name":"Subdivision","value":"Other"},{"id":4,"name":"Milepost","value":"0.016"},{"id":17,"name":"Train ID","value":"312-05"},{"id":16,"name":"Locomotive ID","value":"4043"},{"id":130,"name":"Impact","value":""},{"id":150,"name":"Time of Event (Mountain Time)","value":"05:27:20"},{"id":151,"name":"Denver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55"/>
        <v>start /low /b %USERPROFILE%\Documents\GitHub\eaglep3\Utilities\DownloadLogsFromS3.py --loco 4043 --day 2017-09-05</v>
      </c>
      <c r="AN217" s="151" t="str">
        <f t="shared" si="15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827</v>
      </c>
      <c r="B218" s="7">
        <v>4010</v>
      </c>
      <c r="C218" s="21" t="s">
        <v>197</v>
      </c>
      <c r="D218" s="21" t="s">
        <v>363</v>
      </c>
      <c r="E218" s="13">
        <v>42984.086817129632</v>
      </c>
      <c r="F218" s="13">
        <v>42984.088055555556</v>
      </c>
      <c r="G218" s="7">
        <v>61</v>
      </c>
      <c r="H218" s="21" t="s">
        <v>891</v>
      </c>
      <c r="I218" s="13">
        <v>42984.095011574071</v>
      </c>
      <c r="J218" s="7">
        <v>0</v>
      </c>
      <c r="K218" s="89" t="str">
        <f t="shared" si="184"/>
        <v>4009/4010</v>
      </c>
      <c r="L218" s="214" t="str">
        <f>VLOOKUP(A218,'Trips&amp;Operators'!$C$1:$G$99911,5,FALSE)</f>
        <v>HART KEVIN</v>
      </c>
      <c r="M218" s="6">
        <f t="shared" si="185"/>
        <v>6.956018514756579E-3</v>
      </c>
      <c r="N218" s="7">
        <f t="shared" si="183"/>
        <v>10.016666661249474</v>
      </c>
      <c r="O218" s="7"/>
      <c r="P218" s="7"/>
      <c r="Q218" s="22"/>
      <c r="R218" s="167"/>
      <c r="S218" s="210">
        <f t="shared" si="186"/>
        <v>1</v>
      </c>
      <c r="T218" s="192" t="str">
        <f t="shared" si="187"/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179"/>
        <v>https://d0f6bd738d7f1b3e5a7ca70fe4ff75f0.us-east-1.aws.found.io/app/kibana#/discover/Steve-Slow-Train-Analysis-(2080s-and-2083s)?_g=(refreshInterval:(display:Off,pause:!f,section:0,value:0),time:(from:'2017-09-06T01:05:01-0600',mode:absolute,to:'2017-09-06T03:16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194" t="str">
        <f>IF(AA218&lt;VLOOKUP(AG218,Variables!$AC$3:$AD$8,2,FALSE),"Y","N")</f>
        <v>Y</v>
      </c>
      <c r="X218" s="194">
        <f t="shared" si="182"/>
        <v>1</v>
      </c>
      <c r="Y218" s="194">
        <f t="shared" si="188"/>
        <v>4.58E-2</v>
      </c>
      <c r="Z218" s="194">
        <f t="shared" si="189"/>
        <v>2.3296999999999999</v>
      </c>
      <c r="AA218" s="194">
        <f t="shared" si="190"/>
        <v>2.2839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91"/>
        <v>313</v>
      </c>
      <c r="AE218" s="77" t="str">
        <f t="shared" si="180"/>
        <v>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 &amp; 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</v>
      </c>
      <c r="AF218" s="74" t="str">
        <f t="shared" si="181"/>
        <v>"C:\Program Files (x86)\AstroGrep\AstroGrep.exe" /e /r /s /spath="%USERPROFILE%\AppData\Local\Temp\OnboardLogs" /stypes="app*4010*20170906*" /stext=" 08:.+((SYSTEM_STATE.+slice.+state.+changed )|(ment ac)|(multiple cpu faults)|(system.+state.+changed )|(\[timeout)|(PRM\|1\|D)|(kpr)|(kdp)|(train st.+moving)|(\|lc)|(penalty))"</v>
      </c>
      <c r="AG218" s="206" t="str">
        <f t="shared" si="192"/>
        <v>Other</v>
      </c>
      <c r="AH218" s="78" t="str">
        <f t="shared" ref="AH218:AH238" si="193"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313-05 --locoid 4010 --swversion DE.1.0.9.0 --startMP 204:458 --initTime 2017-09-06T02:05:01 --startdatetime 2017-09-06T02:06:48 --delay 61 --endMP 300:23297 --enddatetime 2017-09-06T02:16:49 --enforcementcount 0 &gt;&gt;C:\Users\stu\Documents\GitHub\eaglep3-reporting\EC\2017-09-05-refined-times.txt</v>
      </c>
      <c r="AI218" s="96" t="str">
        <f t="shared" ref="AI218:AI238" si="194"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{"issue":{"subject":"","project_id":79,"tracker_id":40,"status_id":1,"priority_id":2,"assigned_to_id":338,"start_date":"2017-09-06","description":"","custom_fields":[{"id":1,"name":"Subdivision","value":"Other"},{"id":4,"name":"Milepost","value":"2.3297"},{"id":17,"name":"Train ID","value":"313-05"},{"id":16,"name":"Locomotive ID","value":"4010"},{"id":130,"name":"Impact","value":""},{"id":150,"name":"Time of Event (Mountain Time)","value":"02:16:49"},{"id":151,"name":"Denver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ref="AM218:AM238" si="195">"start /low /b "&amp;dls3logs&amp;" --loco "&amp;B218&amp;" --day "&amp;TEXT(F218,"YYYY-MM-DD")</f>
        <v>start /low /b %USERPROFILE%\Documents\GitHub\eaglep3\Utilities\DownloadLogsFromS3.py --loco 4010 --day 2017-09-06</v>
      </c>
      <c r="AN218" s="151" t="str">
        <f t="shared" ref="AN218:AN238" si="196">"echo {""issue"":{""subject"":"""&amp;R218&amp;""",""project_id"":30,""tracker_id"":4,""status_id"":"&amp;redmine_status_wcr&amp;",""priority_id"":"&amp;redmine_priority_wcr&amp;",""assigned_to_id"":"&amp;redmine_assignee_wcr&amp;",""start_date"":"""&amp;TEXT(I218-utc_offset/24,"YYYY-mm-dd")&amp;""",""description"":"""&amp;AJ218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08:16:49"},{"id":29,"name":"Sharepoint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570</v>
      </c>
      <c r="B219" s="7">
        <v>4020</v>
      </c>
      <c r="C219" s="21" t="s">
        <v>197</v>
      </c>
      <c r="D219" s="21" t="s">
        <v>966</v>
      </c>
      <c r="E219" s="13">
        <v>42983.206388888888</v>
      </c>
      <c r="F219" s="13">
        <v>42983.210416666669</v>
      </c>
      <c r="G219" s="7">
        <v>121</v>
      </c>
      <c r="H219" s="21" t="s">
        <v>967</v>
      </c>
      <c r="I219" s="13">
        <v>42983.210555555554</v>
      </c>
      <c r="J219" s="7">
        <v>0</v>
      </c>
      <c r="K219" s="89" t="str">
        <f t="shared" si="184"/>
        <v>4019/4020</v>
      </c>
      <c r="L219" s="214" t="str">
        <f>VLOOKUP(A219,'Trips&amp;Operators'!$C$1:$G$99911,5,FALSE)</f>
        <v>BARRON PERLA</v>
      </c>
      <c r="M219" s="6">
        <f t="shared" si="185"/>
        <v>1.3888888497604057E-4</v>
      </c>
      <c r="N219" s="7">
        <f t="shared" si="183"/>
        <v>0.19999999436549842</v>
      </c>
      <c r="O219" s="7"/>
      <c r="P219" s="7"/>
      <c r="Q219" s="22"/>
      <c r="R219" s="167"/>
      <c r="S219" s="210">
        <f t="shared" si="186"/>
        <v>0</v>
      </c>
      <c r="T219" s="192" t="str">
        <f t="shared" si="187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179"/>
        <v>https://d0f6bd738d7f1b3e5a7ca70fe4ff75f0.us-east-1.aws.found.io/app/kibana#/discover/Steve-Slow-Train-Analysis-(2080s-and-2083s)?_g=(refreshInterval:(display:Off,pause:!f,section:0,value:0),time:(from:'2017-09-05T03:57:12-0600',mode:absolute,to:'2017-09-05T06:03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94" t="str">
        <f>IF(AA219&lt;VLOOKUP(AG219,Variables!$AC$3:$AD$8,2,FALSE),"Y","N")</f>
        <v>Y</v>
      </c>
      <c r="X219" s="194">
        <f t="shared" si="182"/>
        <v>588</v>
      </c>
      <c r="Y219" s="194">
        <f t="shared" si="188"/>
        <v>2.9169999999999998</v>
      </c>
      <c r="Z219" s="194">
        <f t="shared" si="189"/>
        <v>2.964</v>
      </c>
      <c r="AA219" s="194">
        <f t="shared" si="190"/>
        <v>4.7000000000000153E-2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91"/>
        <v>901</v>
      </c>
      <c r="AE219" s="77" t="str">
        <f t="shared" si="180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219" s="74" t="str">
        <f t="shared" si="181"/>
        <v>"C:\Program Files (x86)\AstroGrep\AstroGrep.exe" /e /r /s /spath="%USERPROFILE%\AppData\Local\Temp\OnboardLogs" /stypes="app*4020*20170905*" /stext=" 11:.+((SYSTEM_STATE.+slice.+state.+changed )|(ment ac)|(multiple cpu faults)|(system.+state.+changed )|(\[timeout)|(PRM\|1\|D)|(kpr)|(kdp)|(train st.+moving)|(\|lc)|(penalty))"</v>
      </c>
      <c r="AG219" s="206" t="str">
        <f t="shared" si="192"/>
        <v>Other</v>
      </c>
      <c r="AH219" s="78" t="str">
        <f t="shared" si="193"/>
        <v>"%USERPROFILE%\Documents\GitHub\eaglep3\Utilities\RefineRTDCRunTimes.py" --tripid 901-05 --locoid 4020 --swversion DE.1.0.9.0 --startMP 300:29170 --initTime 2017-09-05T04:57:12 --startdatetime 2017-09-05T05:03:00 --delay 121 --endMP 300:29640 --enddatetime 2017-09-05T05:03:12 --enforcementcount 0 &gt;&gt;C:\Users\stu\Documents\GitHub\eaglep3-reporting\EC\2017-09-05-refined-times.txt</v>
      </c>
      <c r="AI219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{"issue":{"subject":"","project_id":79,"tracker_id":40,"status_id":1,"priority_id":2,"assigned_to_id":338,"start_date":"2017-09-05","description":"","custom_fields":[{"id":1,"name":"Subdivision","value":"Other"},{"id":4,"name":"Milepost","value":"2.964"},{"id":17,"name":"Train ID","value":"901-05"},{"id":16,"name":"Locomotive ID","value":"4020"},{"id":130,"name":"Impact","value":""},{"id":150,"name":"Time of Event (Mountain Time)","value":"05:03:12"},{"id":151,"name":"Denver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95"/>
        <v>start /low /b %USERPROFILE%\Documents\GitHub\eaglep3\Utilities\DownloadLogsFromS3.py --loco 4020 --day 2017-09-05</v>
      </c>
      <c r="AN219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649</v>
      </c>
      <c r="B220" s="7">
        <v>4063</v>
      </c>
      <c r="C220" s="21" t="s">
        <v>197</v>
      </c>
      <c r="D220" s="21" t="s">
        <v>968</v>
      </c>
      <c r="E220" s="13">
        <v>42983.234803240739</v>
      </c>
      <c r="F220" s="13">
        <v>42983.237708333334</v>
      </c>
      <c r="G220" s="7">
        <v>100</v>
      </c>
      <c r="H220" s="21" t="s">
        <v>553</v>
      </c>
      <c r="I220" s="13">
        <v>42983.243692129632</v>
      </c>
      <c r="J220" s="7">
        <v>0</v>
      </c>
      <c r="K220" s="89" t="str">
        <f t="shared" si="184"/>
        <v>4063/4064</v>
      </c>
      <c r="L220" s="214" t="str">
        <f>VLOOKUP(A220,'Trips&amp;Operators'!$C$1:$G$99911,5,FALSE)</f>
        <v>FORTUNATO FRANK</v>
      </c>
      <c r="M220" s="6">
        <f t="shared" si="185"/>
        <v>5.9837962980964221E-3</v>
      </c>
      <c r="N220" s="7">
        <f t="shared" si="183"/>
        <v>8.6166666692588478</v>
      </c>
      <c r="O220" s="7"/>
      <c r="P220" s="7"/>
      <c r="Q220" s="22"/>
      <c r="R220" s="167"/>
      <c r="S220" s="210">
        <f t="shared" si="186"/>
        <v>1</v>
      </c>
      <c r="T220" s="192" t="str">
        <f t="shared" si="187"/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179"/>
        <v>https://d0f6bd738d7f1b3e5a7ca70fe4ff75f0.us-east-1.aws.found.io/app/kibana#/discover/Steve-Slow-Train-Analysis-(2080s-and-2083s)?_g=(refreshInterval:(display:Off,pause:!f,section:0,value:0),time:(from:'2017-09-05T04:38:07-0600',mode:absolute,to:'2017-09-05T06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94" t="str">
        <f>IF(AA220&lt;VLOOKUP(AG220,Variables!$AC$3:$AD$8,2,FALSE),"Y","N")</f>
        <v>Y</v>
      </c>
      <c r="X220" s="194">
        <f t="shared" si="182"/>
        <v>1</v>
      </c>
      <c r="Y220" s="194">
        <f t="shared" si="188"/>
        <v>2.3719999999999999</v>
      </c>
      <c r="Z220" s="194">
        <f t="shared" si="189"/>
        <v>6.9099999999999995E-2</v>
      </c>
      <c r="AA220" s="194">
        <f t="shared" si="190"/>
        <v>2.3028999999999997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191"/>
        <v>902</v>
      </c>
      <c r="AE220" s="77" t="str">
        <f t="shared" si="180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220" s="74" t="str">
        <f t="shared" si="181"/>
        <v>"C:\Program Files (x86)\AstroGrep\AstroGrep.exe" /e /r /s /spath="%USERPROFILE%\AppData\Local\Temp\OnboardLogs" /stypes="app*4063*20170905*" /stext=" 11:.+((SYSTEM_STATE.+slice.+state.+changed )|(ment ac)|(multiple cpu faults)|(system.+state.+changed )|(\[timeout)|(PRM\|1\|D)|(kpr)|(kdp)|(train st.+moving)|(\|lc)|(penalty))"</v>
      </c>
      <c r="AG220" s="206" t="str">
        <f t="shared" si="192"/>
        <v>Other</v>
      </c>
      <c r="AH220" s="78" t="str">
        <f t="shared" si="193"/>
        <v>"%USERPROFILE%\Documents\GitHub\eaglep3\Utilities\RefineRTDCRunTimes.py" --tripid 902-05 --locoid 4063 --swversion DE.1.0.9.0 --startMP 300:23720 --initTime 2017-09-05T05:38:07 --startdatetime 2017-09-05T05:42:18 --delay 100 --endMP 204:691 --enddatetime 2017-09-05T05:50:55 --enforcementcount 0 &gt;&gt;C:\Users\stu\Documents\GitHub\eaglep3-reporting\EC\2017-09-05-refined-times.txt</v>
      </c>
      <c r="AI220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{"issue":{"subject":"","project_id":79,"tracker_id":40,"status_id":1,"priority_id":2,"assigned_to_id":338,"start_date":"2017-09-05","description":"","custom_fields":[{"id":1,"name":"Subdivision","value":"Other"},{"id":4,"name":"Milepost","value":"0.0691"},{"id":17,"name":"Train ID","value":"902-05"},{"id":16,"name":"Locomotive ID","value":"4063"},{"id":130,"name":"Impact","value":""},{"id":150,"name":"Time of Event (Mountain Time)","value":"05:50:55"},{"id":151,"name":"Denver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95"/>
        <v>start /low /b %USERPROFILE%\Documents\GitHub\eaglep3\Utilities\DownloadLogsFromS3.py --loco 4063 --day 2017-09-05</v>
      </c>
      <c r="AN220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673</v>
      </c>
      <c r="B221" s="7">
        <v>4020</v>
      </c>
      <c r="C221" s="21" t="s">
        <v>197</v>
      </c>
      <c r="D221" s="21" t="s">
        <v>557</v>
      </c>
      <c r="E221" s="13">
        <v>42983.353576388887</v>
      </c>
      <c r="F221" s="13">
        <v>42983.355347222219</v>
      </c>
      <c r="G221" s="7">
        <v>59</v>
      </c>
      <c r="H221" s="21" t="s">
        <v>969</v>
      </c>
      <c r="I221" s="13">
        <v>42983.363553240742</v>
      </c>
      <c r="J221" s="7">
        <v>0</v>
      </c>
      <c r="K221" s="89" t="str">
        <f t="shared" si="184"/>
        <v>4019/4020</v>
      </c>
      <c r="L221" s="214" t="str">
        <f>VLOOKUP(A221,'Trips&amp;Operators'!$C$1:$G$99911,5,FALSE)</f>
        <v>BARRON PERLA</v>
      </c>
      <c r="M221" s="6">
        <f t="shared" si="185"/>
        <v>8.2060185231966898E-3</v>
      </c>
      <c r="N221" s="7">
        <f t="shared" si="183"/>
        <v>11.816666673403233</v>
      </c>
      <c r="O221" s="7"/>
      <c r="P221" s="7"/>
      <c r="Q221" s="22"/>
      <c r="R221" s="167"/>
      <c r="S221" s="210">
        <f t="shared" si="186"/>
        <v>1</v>
      </c>
      <c r="T221" s="192" t="str">
        <f t="shared" si="187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179"/>
        <v>https://d0f6bd738d7f1b3e5a7ca70fe4ff75f0.us-east-1.aws.found.io/app/kibana#/discover/Steve-Slow-Train-Analysis-(2080s-and-2083s)?_g=(refreshInterval:(display:Off,pause:!f,section:0,value:0),time:(from:'2017-09-05T07:29:09-0600',mode:absolute,to:'2017-09-05T09:43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1" s="194" t="str">
        <f>IF(AA221&lt;VLOOKUP(AG221,Variables!$AC$3:$AD$8,2,FALSE),"Y","N")</f>
        <v>Y</v>
      </c>
      <c r="X221" s="194">
        <f t="shared" si="182"/>
        <v>1</v>
      </c>
      <c r="Y221" s="194">
        <f t="shared" si="188"/>
        <v>9.8799999999999999E-2</v>
      </c>
      <c r="Z221" s="194">
        <f t="shared" si="189"/>
        <v>2.4216000000000002</v>
      </c>
      <c r="AA221" s="194">
        <f t="shared" si="190"/>
        <v>2.3228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191"/>
        <v>903</v>
      </c>
      <c r="AE221" s="77" t="str">
        <f t="shared" si="180"/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AF221" s="74" t="str">
        <f t="shared" si="181"/>
        <v>"C:\Program Files (x86)\AstroGrep\AstroGrep.exe" /e /r /s /spath="%USERPROFILE%\AppData\Local\Temp\OnboardLogs" /stypes="app*4020*20170905*" /stext=" 14:.+((SYSTEM_STATE.+slice.+state.+changed )|(ment ac)|(multiple cpu faults)|(system.+state.+changed )|(\[timeout)|(PRM\|1\|D)|(kpr)|(kdp)|(train st.+moving)|(\|lc)|(penalty))"</v>
      </c>
      <c r="AG221" s="206" t="str">
        <f t="shared" si="192"/>
        <v>Other</v>
      </c>
      <c r="AH221" s="78" t="str">
        <f t="shared" si="193"/>
        <v>"%USERPROFILE%\Documents\GitHub\eaglep3\Utilities\RefineRTDCRunTimes.py" --tripid 903-05 --locoid 4020 --swversion DE.1.0.9.0 --startMP 204:988 --initTime 2017-09-05T08:29:09 --startdatetime 2017-09-05T08:31:42 --delay 59 --endMP 300:24216 --enddatetime 2017-09-05T08:43:31 --enforcementcount 0 &gt;&gt;C:\Users\stu\Documents\GitHub\eaglep3-reporting\EC\2017-09-05-refined-times.txt</v>
      </c>
      <c r="AI221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{"issue":{"subject":"","project_id":79,"tracker_id":40,"status_id":1,"priority_id":2,"assigned_to_id":338,"start_date":"2017-09-05","description":"","custom_fields":[{"id":1,"name":"Subdivision","value":"Other"},{"id":4,"name":"Milepost","value":"2.4216"},{"id":17,"name":"Train ID","value":"903-05"},{"id":16,"name":"Locomotive ID","value":"4020"},{"id":130,"name":"Impact","value":""},{"id":150,"name":"Time of Event (Mountain Time)","value":"08:43:31"},{"id":151,"name":"Denver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95"/>
        <v>start /low /b %USERPROFILE%\Documents\GitHub\eaglep3\Utilities\DownloadLogsFromS3.py --loco 4020 --day 2017-09-05</v>
      </c>
      <c r="AN221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14:43:31"},{"id":29,"name":"Sharepoint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600</v>
      </c>
      <c r="B222" s="7">
        <v>4019</v>
      </c>
      <c r="C222" s="21" t="s">
        <v>197</v>
      </c>
      <c r="D222" s="21" t="s">
        <v>970</v>
      </c>
      <c r="E222" s="13">
        <v>42983.636643518519</v>
      </c>
      <c r="F222" s="13">
        <v>42983.639097222222</v>
      </c>
      <c r="G222" s="7">
        <v>102</v>
      </c>
      <c r="H222" s="21" t="s">
        <v>971</v>
      </c>
      <c r="I222" s="13">
        <v>42983.643761574072</v>
      </c>
      <c r="J222" s="7">
        <v>0</v>
      </c>
      <c r="K222" s="89" t="str">
        <f t="shared" si="184"/>
        <v>4019/4020</v>
      </c>
      <c r="L222" s="214" t="str">
        <f>VLOOKUP(A222,'Trips&amp;Operators'!$C$1:$G$99911,5,FALSE)</f>
        <v>WEST BRYAN</v>
      </c>
      <c r="M222" s="6">
        <f t="shared" si="185"/>
        <v>4.6643518508062698E-3</v>
      </c>
      <c r="N222" s="7">
        <f t="shared" si="183"/>
        <v>6.7166666651610285</v>
      </c>
      <c r="O222" s="7"/>
      <c r="P222" s="7"/>
      <c r="Q222" s="22"/>
      <c r="R222" s="167"/>
      <c r="S222" s="210">
        <f t="shared" si="186"/>
        <v>1</v>
      </c>
      <c r="T222" s="192" t="str">
        <f t="shared" si="187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 t="shared" si="179"/>
        <v>https://d0f6bd738d7f1b3e5a7ca70fe4ff75f0.us-east-1.aws.found.io/app/kibana#/discover/Steve-Slow-Train-Analysis-(2080s-and-2083s)?_g=(refreshInterval:(display:Off,pause:!f,section:0,value:0),time:(from:'2017-09-05T14:16:46-0600',mode:absolute,to:'2017-09-05T16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4" t="str">
        <f>IF(AA222&lt;VLOOKUP(AG222,Variables!$AC$3:$AD$8,2,FALSE),"Y","N")</f>
        <v>Y</v>
      </c>
      <c r="X222" s="194">
        <f t="shared" si="182"/>
        <v>1</v>
      </c>
      <c r="Y222" s="194">
        <f t="shared" si="188"/>
        <v>2.3523000000000001</v>
      </c>
      <c r="Z222" s="194">
        <f t="shared" si="189"/>
        <v>8.4099999999999994E-2</v>
      </c>
      <c r="AA222" s="194">
        <f t="shared" si="190"/>
        <v>2.2682000000000002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191"/>
        <v>904</v>
      </c>
      <c r="AE222" s="77" t="str">
        <f t="shared" si="180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222" s="74" t="str">
        <f t="shared" si="181"/>
        <v>"C:\Program Files (x86)\AstroGrep\AstroGrep.exe" /e /r /s /spath="%USERPROFILE%\AppData\Local\Temp\OnboardLogs" /stypes="app*4019*20170905*" /stext=" 21:.+((SYSTEM_STATE.+slice.+state.+changed )|(ment ac)|(multiple cpu faults)|(system.+state.+changed )|(\[timeout)|(PRM\|1\|D)|(kpr)|(kdp)|(train st.+moving)|(\|lc)|(penalty))"</v>
      </c>
      <c r="AG222" s="206" t="str">
        <f t="shared" si="192"/>
        <v>Other</v>
      </c>
      <c r="AH222" s="78" t="str">
        <f t="shared" si="193"/>
        <v>"%USERPROFILE%\Documents\GitHub\eaglep3\Utilities\RefineRTDCRunTimes.py" --tripid 904-05 --locoid 4019 --swversion DE.1.0.9.0 --startMP 300:23523 --initTime 2017-09-05T15:16:46 --startdatetime 2017-09-05T15:20:18 --delay 102 --endMP 204:841 --enddatetime 2017-09-05T15:27:01 --enforcementcount 0 &gt;&gt;C:\Users\stu\Documents\GitHub\eaglep3-reporting\EC\2017-09-05-refined-times.txt</v>
      </c>
      <c r="AI222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{"issue":{"subject":"","project_id":79,"tracker_id":40,"status_id":1,"priority_id":2,"assigned_to_id":338,"start_date":"2017-09-05","description":"","custom_fields":[{"id":1,"name":"Subdivision","value":"Other"},{"id":4,"name":"Milepost","value":"0.0841"},{"id":17,"name":"Train ID","value":"904-05"},{"id":16,"name":"Locomotive ID","value":"4019"},{"id":130,"name":"Impact","value":""},{"id":150,"name":"Time of Event (Mountain Time)","value":"15:27:01"},{"id":151,"name":"Denver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95"/>
        <v>start /low /b %USERPROFILE%\Documents\GitHub\eaglep3\Utilities\DownloadLogsFromS3.py --loco 4019 --day 2017-09-05</v>
      </c>
      <c r="AN222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788</v>
      </c>
      <c r="B223" s="7">
        <v>4019</v>
      </c>
      <c r="C223" s="21" t="s">
        <v>197</v>
      </c>
      <c r="D223" s="21" t="s">
        <v>919</v>
      </c>
      <c r="E223" s="13">
        <v>42983.788807870369</v>
      </c>
      <c r="F223" s="13">
        <v>42983.790219907409</v>
      </c>
      <c r="G223" s="7">
        <v>64</v>
      </c>
      <c r="H223" s="21" t="s">
        <v>972</v>
      </c>
      <c r="I223" s="13">
        <v>42983.796087962961</v>
      </c>
      <c r="J223" s="7">
        <v>0</v>
      </c>
      <c r="K223" s="89" t="str">
        <f t="shared" si="184"/>
        <v>4019/4020</v>
      </c>
      <c r="L223" s="214" t="str">
        <f>VLOOKUP(A223,'Trips&amp;Operators'!$C$1:$G$99911,5,FALSE)</f>
        <v>WEST BRYAN</v>
      </c>
      <c r="M223" s="6">
        <f t="shared" si="185"/>
        <v>5.8680555521277711E-3</v>
      </c>
      <c r="N223" s="7">
        <f t="shared" si="183"/>
        <v>8.4499999950639904</v>
      </c>
      <c r="O223" s="7"/>
      <c r="P223" s="7"/>
      <c r="Q223" s="22"/>
      <c r="R223" s="167"/>
      <c r="S223" s="210">
        <f t="shared" si="186"/>
        <v>0</v>
      </c>
      <c r="T223" s="192" t="str">
        <f t="shared" si="187"/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179"/>
        <v>https://d0f6bd738d7f1b3e5a7ca70fe4ff75f0.us-east-1.aws.found.io/app/kibana#/discover/Steve-Slow-Train-Analysis-(2080s-and-2083s)?_g=(refreshInterval:(display:Off,pause:!f,section:0,value:0),time:(from:'2017-09-05T17:55:53-0600',mode:absolute,to:'2017-09-05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3" s="194" t="str">
        <f>IF(AA223&lt;VLOOKUP(AG223,Variables!$AC$3:$AD$8,2,FALSE),"Y","N")</f>
        <v>Y</v>
      </c>
      <c r="X223" s="194">
        <f t="shared" si="182"/>
        <v>2</v>
      </c>
      <c r="Y223" s="194">
        <f t="shared" si="188"/>
        <v>5.8644999999999996</v>
      </c>
      <c r="Z223" s="194">
        <f t="shared" si="189"/>
        <v>2.8765000000000001</v>
      </c>
      <c r="AA223" s="194">
        <f t="shared" si="190"/>
        <v>2.9879999999999995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191"/>
        <v>906</v>
      </c>
      <c r="AE223" s="77" t="str">
        <f t="shared" si="180"/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AF223" s="74" t="str">
        <f t="shared" si="181"/>
        <v>"C:\Program Files (x86)\AstroGrep\AstroGrep.exe" /e /r /s /spath="%USERPROFILE%\AppData\Local\Temp\OnboardLogs" /stypes="app*4019*20170906*" /stext=" 01:.+((SYSTEM_STATE.+slice.+state.+changed )|(ment ac)|(multiple cpu faults)|(system.+state.+changed )|(\[timeout)|(PRM\|1\|D)|(kpr)|(kdp)|(train st.+moving)|(\|lc)|(penalty))"</v>
      </c>
      <c r="AG223" s="206" t="str">
        <f t="shared" si="192"/>
        <v>Other</v>
      </c>
      <c r="AH223" s="78" t="str">
        <f t="shared" si="193"/>
        <v>"%USERPROFILE%\Documents\GitHub\eaglep3\Utilities\RefineRTDCRunTimes.py" --tripid 906-05 --locoid 4019 --swversion DE.1.0.9.0 --startMP 300:58645 --initTime 2017-09-05T18:55:53 --startdatetime 2017-09-05T18:57:55 --delay 64 --endMP 300:28765 --enddatetime 2017-09-05T19:06:22 --enforcementcount 0 &gt;&gt;C:\Users\stu\Documents\GitHub\eaglep3-reporting\EC\2017-09-05-refined-times.txt</v>
      </c>
      <c r="AI223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{"issue":{"subject":"","project_id":79,"tracker_id":40,"status_id":1,"priority_id":2,"assigned_to_id":338,"start_date":"2017-09-05","description":"","custom_fields":[{"id":1,"name":"Subdivision","value":"Other"},{"id":4,"name":"Milepost","value":"2.8765"},{"id":17,"name":"Train ID","value":"906-05"},{"id":16,"name":"Locomotive ID","value":"4019"},{"id":130,"name":"Impact","value":""},{"id":150,"name":"Time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95"/>
        <v>start /low /b %USERPROFILE%\Documents\GitHub\eaglep3\Utilities\DownloadLogsFromS3.py --loco 4019 --day 2017-09-05</v>
      </c>
      <c r="AN223" s="151" t="str">
        <f t="shared" si="19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817</v>
      </c>
      <c r="B224" s="7">
        <v>4063</v>
      </c>
      <c r="C224" s="21" t="s">
        <v>197</v>
      </c>
      <c r="D224" s="21" t="s">
        <v>440</v>
      </c>
      <c r="E224" s="13">
        <v>42983.976030092592</v>
      </c>
      <c r="F224" s="13">
        <v>42983.978055555555</v>
      </c>
      <c r="G224" s="7">
        <v>59</v>
      </c>
      <c r="H224" s="21" t="s">
        <v>973</v>
      </c>
      <c r="I224" s="13">
        <v>42983.988310185188</v>
      </c>
      <c r="J224" s="7">
        <v>0</v>
      </c>
      <c r="K224" s="89" t="str">
        <f t="shared" si="184"/>
        <v>4063/4064</v>
      </c>
      <c r="L224" s="214" t="str">
        <f>VLOOKUP(A224,'Trips&amp;Operators'!$C$1:$G$99911,5,FALSE)</f>
        <v>WEST BRYAN</v>
      </c>
      <c r="M224" s="6">
        <f t="shared" si="185"/>
        <v>1.025462963298196E-2</v>
      </c>
      <c r="N224" s="7">
        <f t="shared" si="183"/>
        <v>14.766666671494022</v>
      </c>
      <c r="O224" s="7"/>
      <c r="P224" s="7"/>
      <c r="Q224" s="22"/>
      <c r="R224" s="167"/>
      <c r="S224" s="210">
        <f t="shared" si="186"/>
        <v>0</v>
      </c>
      <c r="T224" s="192" t="str">
        <f t="shared" si="187"/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179"/>
        <v>https://d0f6bd738d7f1b3e5a7ca70fe4ff75f0.us-east-1.aws.found.io/app/kibana#/discover/Steve-Slow-Train-Analysis-(2080s-and-2083s)?_g=(refreshInterval:(display:Off,pause:!f,section:0,value:0),time:(from:'2017-09-05T22:25:29-0600',mode:absolute,to:'2017-09-06T00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4" s="194" t="str">
        <f>IF(AA224&lt;VLOOKUP(AG224,Variables!$AC$3:$AD$8,2,FALSE),"Y","N")</f>
        <v>Y</v>
      </c>
      <c r="X224" s="194">
        <f t="shared" si="182"/>
        <v>2</v>
      </c>
      <c r="Y224" s="194">
        <f t="shared" si="188"/>
        <v>5.8616999999999999</v>
      </c>
      <c r="Z224" s="194">
        <f t="shared" si="189"/>
        <v>2.8791000000000002</v>
      </c>
      <c r="AA224" s="194">
        <f t="shared" si="190"/>
        <v>2.9825999999999997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191"/>
        <v>908</v>
      </c>
      <c r="AE224" s="77" t="str">
        <f t="shared" si="180"/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AF224" s="74" t="str">
        <f t="shared" si="181"/>
        <v>"C:\Program Files (x86)\AstroGrep\AstroGrep.exe" /e /r /s /spath="%USERPROFILE%\AppData\Local\Temp\OnboardLogs" /stypes="app*4063*20170906*" /stext=" 05:.+((SYSTEM_STATE.+slice.+state.+changed )|(ment ac)|(multiple cpu faults)|(system.+state.+changed )|(\[timeout)|(PRM\|1\|D)|(kpr)|(kdp)|(train st.+moving)|(\|lc)|(penalty))"</v>
      </c>
      <c r="AG224" s="206" t="str">
        <f t="shared" si="192"/>
        <v>Other</v>
      </c>
      <c r="AH224" s="78" t="str">
        <f t="shared" si="193"/>
        <v>"%USERPROFILE%\Documents\GitHub\eaglep3\Utilities\RefineRTDCRunTimes.py" --tripid 908-05 --locoid 4063 --swversion DE.1.0.9.0 --startMP 300:58617 --initTime 2017-09-05T23:25:29 --startdatetime 2017-09-05T23:28:24 --delay 59 --endMP 300:28791 --enddatetime 2017-09-05T23:43:10 --enforcementcount 0 &gt;&gt;C:\Users\stu\Documents\GitHub\eaglep3-reporting\EC\2017-09-05-refined-times.txt</v>
      </c>
      <c r="AI224" s="96" t="str">
        <f t="shared" si="194"/>
        <v>echo {"issue":{"subject":"","project_id":79,"tracker_id":40,"status_id":1,"priority_id":2,"assigned_to_id":338,"start_date":"2017-09-05","description":"","custom_fields":[{"id":1,"name":"Subdivision","value":"Other"},{"id":4,"name":"Milepost","value":"2.8791"},{"id":17,"name":"Train ID","value":"908-05"},{"id":16,"name":"Locomotive ID","value":"4063"},{"id":130,"name":"Impact","value":""},{"id":150,"name":"Time of Event (Mountain Time)","value":"23:43:10"},{"id":151,"name":"Denver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95"/>
        <v>start /low /b %USERPROFILE%\Documents\GitHub\eaglep3\Utilities\DownloadLogsFromS3.py --loco 4063 --day 2017-09-05</v>
      </c>
      <c r="AN224" s="151" t="str">
        <f t="shared" si="19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05:43:10"},{"id":29,"name":"Sharepoint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590</v>
      </c>
      <c r="B225" s="7">
        <v>4029</v>
      </c>
      <c r="C225" s="21" t="s">
        <v>197</v>
      </c>
      <c r="D225" s="21" t="s">
        <v>892</v>
      </c>
      <c r="E225" s="13">
        <v>42983.377962962964</v>
      </c>
      <c r="F225" s="13">
        <v>42983.381747685184</v>
      </c>
      <c r="G225" s="7">
        <v>66</v>
      </c>
      <c r="H225" s="21" t="s">
        <v>893</v>
      </c>
      <c r="I225" s="13">
        <v>42983.394502314812</v>
      </c>
      <c r="J225" s="7">
        <v>0</v>
      </c>
      <c r="K225" s="89" t="str">
        <f t="shared" si="184"/>
        <v>4029/4030</v>
      </c>
      <c r="L225" s="214" t="str">
        <f>VLOOKUP(A225,'Trips&amp;Operators'!$C$1:$G$99911,5,FALSE)</f>
        <v>BIRENBAUM THOMAS</v>
      </c>
      <c r="M225" s="6">
        <f t="shared" si="185"/>
        <v>1.2754629628034309E-2</v>
      </c>
      <c r="N225" s="7">
        <f t="shared" si="183"/>
        <v>18.366666664369404</v>
      </c>
      <c r="O225" s="7"/>
      <c r="P225" s="7"/>
      <c r="Q225" s="22"/>
      <c r="R225" s="167"/>
      <c r="S225" s="210">
        <f t="shared" si="186"/>
        <v>1</v>
      </c>
      <c r="T225" s="192" t="str">
        <f t="shared" si="187"/>
        <v>Southbound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 t="shared" si="179"/>
        <v>https://d0f6bd738d7f1b3e5a7ca70fe4ff75f0.us-east-1.aws.found.io/app/kibana#/discover/Steve-Slow-Train-Analysis-(2080s-and-2083s)?_g=(refreshInterval:(display:Off,pause:!f,section:0,value:0),time:(from:'2017-09-05T08:04:16-0600',mode:absolute,to:'2017-09-05T10:28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194" t="str">
        <f>IF(AA225&lt;VLOOKUP(AG225,Variables!$AC$3:$AD$8,2,FALSE),"Y","N")</f>
        <v>Y</v>
      </c>
      <c r="X225" s="194">
        <f t="shared" si="182"/>
        <v>-858</v>
      </c>
      <c r="Y225" s="194">
        <f t="shared" si="188"/>
        <v>2.2545999999999999</v>
      </c>
      <c r="Z225" s="194">
        <f t="shared" si="189"/>
        <v>0.18079999999999999</v>
      </c>
      <c r="AA225" s="194">
        <f t="shared" si="190"/>
        <v>2.0737999999999999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191"/>
        <v>50</v>
      </c>
      <c r="AE225" s="77" t="str">
        <f t="shared" si="180"/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AF225" s="74" t="str">
        <f t="shared" si="181"/>
        <v>"C:\Program Files (x86)\AstroGrep\AstroGrep.exe" /e /r /s /spath="%USERPROFILE%\AppData\Local\Temp\OnboardLogs" /stypes="app*4029*20170905*" /stext=" 15:.+((SYSTEM_STATE.+slice.+state.+changed )|(ment ac)|(multiple cpu faults)|(system.+state.+changed )|(\[timeout)|(PRM\|1\|D)|(kpr)|(kdp)|(train st.+moving)|(\|lc)|(penalty))"</v>
      </c>
      <c r="AG225" s="206" t="str">
        <f t="shared" si="192"/>
        <v>Shuttle/Test</v>
      </c>
      <c r="AH225" s="78" t="str">
        <f t="shared" si="193"/>
        <v>"%USERPROFILE%\Documents\GitHub\eaglep3\Utilities\RefineRTDCRunTimes.py" --tripid 50-05 --locoid 4029 --swversion DE.1.0.9.0 --startMP 300:22546 --initTime 2017-09-05T09:04:16 --startdatetime 2017-09-05T09:09:43 --delay 66 --endMP 204:1808 --enddatetime 2017-09-05T09:28:05 --enforcementcount 0 &gt;&gt;C:\Users\stu\Documents\GitHub\eaglep3-reporting\EC\2017-09-05-refined-times.txt</v>
      </c>
      <c r="AI225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0.1808"},{"id":17,"name":"Train ID","value":"50-05"},{"id":16,"name":"Locomotive ID","value":"4029"},{"id":130,"name":"Impact","value":""},{"id":150,"name":"Time of Event (Mountain Time)","value":"09:28:05"},{"id":151,"name":"Denver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95"/>
        <v>start /low /b %USERPROFILE%\Documents\GitHub\eaglep3\Utilities\DownloadLogsFromS3.py --loco 4029 --day 2017-09-05</v>
      </c>
      <c r="AN225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15:28:05"},{"id":29,"name":"Sharepoint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693</v>
      </c>
      <c r="B226" s="7">
        <v>4017</v>
      </c>
      <c r="C226" s="21" t="s">
        <v>197</v>
      </c>
      <c r="D226" s="21" t="s">
        <v>894</v>
      </c>
      <c r="E226" s="13">
        <v>42983.442893518521</v>
      </c>
      <c r="F226" s="13">
        <v>42983.446064814816</v>
      </c>
      <c r="G226" s="7">
        <v>138</v>
      </c>
      <c r="H226" s="21" t="s">
        <v>895</v>
      </c>
      <c r="I226" s="13">
        <v>42983.451793981483</v>
      </c>
      <c r="J226" s="7">
        <v>0</v>
      </c>
      <c r="K226" s="89" t="str">
        <f t="shared" si="184"/>
        <v>4017/4018</v>
      </c>
      <c r="L226" s="214" t="str">
        <f>VLOOKUP(A226,'Trips&amp;Operators'!$C$1:$G$99911,5,FALSE)</f>
        <v>ROBINSON KADDIBA</v>
      </c>
      <c r="M226" s="6">
        <f t="shared" si="185"/>
        <v>5.7291666671517305E-3</v>
      </c>
      <c r="N226" s="7">
        <f t="shared" si="183"/>
        <v>8.2500000006984919</v>
      </c>
      <c r="O226" s="7"/>
      <c r="P226" s="7"/>
      <c r="Q226" s="22"/>
      <c r="R226" s="167"/>
      <c r="S226" s="210">
        <f t="shared" si="186"/>
        <v>1</v>
      </c>
      <c r="T226" s="192" t="str">
        <f t="shared" si="187"/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 t="shared" si="179"/>
        <v>https://d0f6bd738d7f1b3e5a7ca70fe4ff75f0.us-east-1.aws.found.io/app/kibana#/discover/Steve-Slow-Train-Analysis-(2080s-and-2083s)?_g=(refreshInterval:(display:Off,pause:!f,section:0,value:0),time:(from:'2017-09-05T09:37:46-0600',mode:absolute,to:'2017-09-05T11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194" t="str">
        <f>IF(AA226&lt;VLOOKUP(AG226,Variables!$AC$3:$AD$8,2,FALSE),"Y","N")</f>
        <v>Y</v>
      </c>
      <c r="X226" s="194">
        <f t="shared" si="182"/>
        <v>6</v>
      </c>
      <c r="Y226" s="194">
        <f t="shared" si="188"/>
        <v>2.3321000000000001</v>
      </c>
      <c r="Z226" s="194">
        <f t="shared" si="189"/>
        <v>8.7800000000000003E-2</v>
      </c>
      <c r="AA226" s="194">
        <f t="shared" si="190"/>
        <v>2.2443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191"/>
        <v>56</v>
      </c>
      <c r="AE226" s="77" t="str">
        <f t="shared" si="180"/>
        <v>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 &amp; aws s3 cp s3://rtdc.mdm.uploadarchive.raw/RTDC4017/ "%USERPROFILE%\AppData\Local\Temp\OnboardLogs"\RTDC4017\2017-09-06 --exclude "*" --recursive --include "*20170906*" &amp; "%USERPROFILE%\Documents\GitHub\mrs-test-scripts\Headless Mode &amp; Sideloading\WalkAndUnGZ.bat" "%USERPROFILE%\AppData\Local\Temp\OnboardLogs"\RTDC4017\2017-09-06</v>
      </c>
      <c r="AF226" s="74" t="str">
        <f t="shared" si="181"/>
        <v>"C:\Program Files (x86)\AstroGrep\AstroGrep.exe" /e /r /s /spath="%USERPROFILE%\AppData\Local\Temp\OnboardLogs" /stypes="app*4017*20170905*" /stext=" 16:.+((SYSTEM_STATE.+slice.+state.+changed )|(ment ac)|(multiple cpu faults)|(system.+state.+changed )|(\[timeout)|(PRM\|1\|D)|(kpr)|(kdp)|(train st.+moving)|(\|lc)|(penalty))"</v>
      </c>
      <c r="AG226" s="206" t="str">
        <f t="shared" si="192"/>
        <v>Shuttle/Test</v>
      </c>
      <c r="AH226" s="78" t="str">
        <f t="shared" si="193"/>
        <v>"%USERPROFILE%\Documents\GitHub\eaglep3\Utilities\RefineRTDCRunTimes.py" --tripid 56-05 --locoid 4017 --swversion DE.1.0.9.0 --startMP 300:23321 --initTime 2017-09-05T10:37:46 --startdatetime 2017-09-05T10:42:20 --delay 138 --endMP 204:878 --enddatetime 2017-09-05T10:50:35 --enforcementcount 0 &gt;&gt;C:\Users\stu\Documents\GitHub\eaglep3-reporting\EC\2017-09-05-refined-times.txt</v>
      </c>
      <c r="AI226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0.0878"},{"id":17,"name":"Train ID","value":"56-05"},{"id":16,"name":"Locomotive ID","value":"4017"},{"id":130,"name":"Impact","value":""},{"id":150,"name":"Time of Event (Mountain Time)","value":"10:50:35"},{"id":151,"name":"Denver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95"/>
        <v>start /low /b %USERPROFILE%\Documents\GitHub\eaglep3\Utilities\DownloadLogsFromS3.py --loco 4017 --day 2017-09-05</v>
      </c>
      <c r="AN226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595</v>
      </c>
      <c r="B227" s="7">
        <v>4018</v>
      </c>
      <c r="C227" s="21" t="s">
        <v>197</v>
      </c>
      <c r="D227" s="21" t="s">
        <v>896</v>
      </c>
      <c r="E227" s="13">
        <v>42983.478101851855</v>
      </c>
      <c r="F227" s="13">
        <v>42983.479328703703</v>
      </c>
      <c r="G227" s="7">
        <v>45</v>
      </c>
      <c r="H227" s="21" t="s">
        <v>897</v>
      </c>
      <c r="I227" s="13">
        <v>42983.485289351855</v>
      </c>
      <c r="J227" s="7">
        <v>0</v>
      </c>
      <c r="K227" s="89" t="str">
        <f t="shared" si="184"/>
        <v>4017/4018</v>
      </c>
      <c r="L227" s="214" t="str">
        <f>VLOOKUP(A227,'Trips&amp;Operators'!$C$1:$G$99911,5,FALSE)</f>
        <v>BIRENBAUM THOMAS</v>
      </c>
      <c r="M227" s="6">
        <f t="shared" si="185"/>
        <v>5.9606481518130749E-3</v>
      </c>
      <c r="N227" s="7">
        <f t="shared" si="183"/>
        <v>8.5833333386108279</v>
      </c>
      <c r="O227" s="7"/>
      <c r="P227" s="7"/>
      <c r="Q227" s="22"/>
      <c r="R227" s="167"/>
      <c r="S227" s="210">
        <f t="shared" si="186"/>
        <v>1</v>
      </c>
      <c r="T227" s="192" t="str">
        <f t="shared" si="187"/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 t="shared" si="179"/>
        <v>https://d0f6bd738d7f1b3e5a7ca70fe4ff75f0.us-east-1.aws.found.io/app/kibana#/discover/Steve-Slow-Train-Analysis-(2080s-and-2083s)?_g=(refreshInterval:(display:Off,pause:!f,section:0,value:0),time:(from:'2017-09-05T10:28:28-0600',mode:absolute,to:'2017-09-05T12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94" t="str">
        <f>IF(AA227&lt;VLOOKUP(AG227,Variables!$AC$3:$AD$8,2,FALSE),"Y","N")</f>
        <v>Y</v>
      </c>
      <c r="X227" s="194">
        <f t="shared" si="182"/>
        <v>1</v>
      </c>
      <c r="Y227" s="194">
        <f t="shared" si="188"/>
        <v>0.11899999999999999</v>
      </c>
      <c r="Z227" s="194">
        <f t="shared" si="189"/>
        <v>2.4268999999999998</v>
      </c>
      <c r="AA227" s="194">
        <f t="shared" si="190"/>
        <v>2.3079000000000001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191"/>
        <v>57</v>
      </c>
      <c r="AE227" s="77" t="str">
        <f t="shared" si="180"/>
        <v>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 &amp; aws s3 cp s3://rtdc.mdm.uploadarchive.raw/RTDC4018/ "%USERPROFILE%\AppData\Local\Temp\OnboardLogs"\RTDC4018\2017-09-06 --exclude "*" --recursive --include "*20170906*" &amp; "%USERPROFILE%\Documents\GitHub\mrs-test-scripts\Headless Mode &amp; Sideloading\WalkAndUnGZ.bat" "%USERPROFILE%\AppData\Local\Temp\OnboardLogs"\RTDC4018\2017-09-06</v>
      </c>
      <c r="AF227" s="74" t="str">
        <f t="shared" si="181"/>
        <v>"C:\Program Files (x86)\AstroGrep\AstroGrep.exe" /e /r /s /spath="%USERPROFILE%\AppData\Local\Temp\OnboardLogs" /stypes="app*4018*20170905*" /stext=" 17:.+((SYSTEM_STATE.+slice.+state.+changed )|(ment ac)|(multiple cpu faults)|(system.+state.+changed )|(\[timeout)|(PRM\|1\|D)|(kpr)|(kdp)|(train st.+moving)|(\|lc)|(penalty))"</v>
      </c>
      <c r="AG227" s="206" t="str">
        <f t="shared" si="192"/>
        <v>Shuttle/Test</v>
      </c>
      <c r="AH227" s="78" t="str">
        <f t="shared" si="193"/>
        <v>"%USERPROFILE%\Documents\GitHub\eaglep3\Utilities\RefineRTDCRunTimes.py" --tripid 57-05 --locoid 4018 --swversion DE.1.0.9.0 --startMP 204:1190 --initTime 2017-09-05T11:28:28 --startdatetime 2017-09-05T11:30:14 --delay 45 --endMP 300:24269 --enddatetime 2017-09-05T11:38:49 --enforcementcount 0 &gt;&gt;C:\Users\stu\Documents\GitHub\eaglep3-reporting\EC\2017-09-05-refined-times.txt</v>
      </c>
      <c r="AI227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2.4269"},{"id":17,"name":"Train ID","value":"57-05"},{"id":16,"name":"Locomotive ID","value":"4018"},{"id":130,"name":"Impact","value":""},{"id":150,"name":"Time of Event (Mountain Time)","value":"11:38:49"},{"id":151,"name":"Denver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95"/>
        <v>start /low /b %USERPROFILE%\Documents\GitHub\eaglep3\Utilities\DownloadLogsFromS3.py --loco 4018 --day 2017-09-05</v>
      </c>
      <c r="AN227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17:38:49"},{"id":29,"name":"Sharepoint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595</v>
      </c>
      <c r="B228" s="7">
        <v>4030</v>
      </c>
      <c r="C228" s="21" t="s">
        <v>197</v>
      </c>
      <c r="D228" s="21" t="s">
        <v>898</v>
      </c>
      <c r="E228" s="13">
        <v>42983.544108796297</v>
      </c>
      <c r="F228" s="13">
        <v>42983.545891203707</v>
      </c>
      <c r="G228" s="7">
        <v>106</v>
      </c>
      <c r="H228" s="21" t="s">
        <v>899</v>
      </c>
      <c r="I228" s="13">
        <v>42983.545972222222</v>
      </c>
      <c r="J228" s="7">
        <v>0</v>
      </c>
      <c r="K228" s="89" t="str">
        <f t="shared" si="184"/>
        <v>4029/4030</v>
      </c>
      <c r="L228" s="214" t="str">
        <f>VLOOKUP(A228,'Trips&amp;Operators'!$C$1:$G$99911,5,FALSE)</f>
        <v>BIRENBAUM THOMAS</v>
      </c>
      <c r="M228" s="6">
        <f t="shared" si="185"/>
        <v>8.1018515629693866E-5</v>
      </c>
      <c r="N228" s="7">
        <f t="shared" si="183"/>
        <v>0.11666666250675917</v>
      </c>
      <c r="O228" s="7"/>
      <c r="P228" s="7"/>
      <c r="Q228" s="22"/>
      <c r="R228" s="167"/>
      <c r="S228" s="210">
        <f t="shared" si="186"/>
        <v>0</v>
      </c>
      <c r="T228" s="192" t="str">
        <f t="shared" si="187"/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179"/>
        <v>https://d0f6bd738d7f1b3e5a7ca70fe4ff75f0.us-east-1.aws.found.io/app/kibana#/discover/Steve-Slow-Train-Analysis-(2080s-and-2083s)?_g=(refreshInterval:(display:Off,pause:!f,section:0,value:0),time:(from:'2017-09-05T12:03:31-0600',mode:absolute,to:'2017-09-05T14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4" t="str">
        <f>IF(AA228&lt;VLOOKUP(AG228,Variables!$AC$3:$AD$8,2,FALSE),"Y","N")</f>
        <v>Y</v>
      </c>
      <c r="X228" s="194">
        <f t="shared" si="182"/>
        <v>0</v>
      </c>
      <c r="Y228" s="194">
        <f t="shared" si="188"/>
        <v>0.1469</v>
      </c>
      <c r="Z228" s="194">
        <f t="shared" si="189"/>
        <v>0.1797</v>
      </c>
      <c r="AA228" s="194">
        <f t="shared" si="190"/>
        <v>3.2799999999999996E-2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191"/>
        <v>57</v>
      </c>
      <c r="AE228" s="77" t="str">
        <f t="shared" si="180"/>
        <v>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 &amp; 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</v>
      </c>
      <c r="AF228" s="74" t="str">
        <f t="shared" si="181"/>
        <v>"C:\Program Files (x86)\AstroGrep\AstroGrep.exe" /e /r /s /spath="%USERPROFILE%\AppData\Local\Temp\OnboardLogs" /stypes="app*4030*20170905*" /stext=" 19:.+((SYSTEM_STATE.+slice.+state.+changed )|(ment ac)|(multiple cpu faults)|(system.+state.+changed )|(\[timeout)|(PRM\|1\|D)|(kpr)|(kdp)|(train st.+moving)|(\|lc)|(penalty))"</v>
      </c>
      <c r="AG228" s="206" t="str">
        <f t="shared" si="192"/>
        <v>Shuttle/Test</v>
      </c>
      <c r="AH228" s="78" t="str">
        <f t="shared" si="193"/>
        <v>"%USERPROFILE%\Documents\GitHub\eaglep3\Utilities\RefineRTDCRunTimes.py" --tripid 57-05 --locoid 4030 --swversion DE.1.0.9.0 --startMP 204:1469 --initTime 2017-09-05T13:03:31 --startdatetime 2017-09-05T13:06:05 --delay 106 --endMP 204:1797 --enddatetime 2017-09-05T13:06:12 --enforcementcount 0 &gt;&gt;C:\Users\stu\Documents\GitHub\eaglep3-reporting\EC\2017-09-05-refined-times.txt</v>
      </c>
      <c r="AI228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0.1797"},{"id":17,"name":"Train ID","value":"57-05"},{"id":16,"name":"Locomotive ID","value":"4030"},{"id":130,"name":"Impact","value":""},{"id":150,"name":"Time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95"/>
        <v>start /low /b %USERPROFILE%\Documents\GitHub\eaglep3\Utilities\DownloadLogsFromS3.py --loco 4030 --day 2017-09-05</v>
      </c>
      <c r="AN228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19:06:12"},{"id":29,"name":"Sharepoint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618</v>
      </c>
      <c r="B229" s="7">
        <v>4026</v>
      </c>
      <c r="C229" s="21" t="s">
        <v>197</v>
      </c>
      <c r="D229" s="21" t="s">
        <v>900</v>
      </c>
      <c r="E229" s="13">
        <v>42983.118437500001</v>
      </c>
      <c r="F229" s="13">
        <v>42983.137997685182</v>
      </c>
      <c r="G229" s="7">
        <v>1003</v>
      </c>
      <c r="H229" s="21" t="s">
        <v>901</v>
      </c>
      <c r="I229" s="13">
        <v>42983.138969907406</v>
      </c>
      <c r="J229" s="7">
        <v>0</v>
      </c>
      <c r="K229" s="89" t="str">
        <f t="shared" si="184"/>
        <v>4025/4026</v>
      </c>
      <c r="L229" s="214" t="str">
        <f>VLOOKUP(A229,'Trips&amp;Operators'!$C$1:$G$99911,5,FALSE)</f>
        <v>SPECTOR MICHAEL</v>
      </c>
      <c r="M229" s="6">
        <f t="shared" si="185"/>
        <v>9.7222222393611446E-4</v>
      </c>
      <c r="N229" s="7">
        <f t="shared" si="183"/>
        <v>1.4000000024680048</v>
      </c>
      <c r="O229" s="7"/>
      <c r="P229" s="7"/>
      <c r="Q229" s="22"/>
      <c r="R229" s="167"/>
      <c r="S229" s="210">
        <f t="shared" si="186"/>
        <v>0</v>
      </c>
      <c r="T229" s="192" t="str">
        <f t="shared" si="187"/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179"/>
        <v>https://d0f6bd738d7f1b3e5a7ca70fe4ff75f0.us-east-1.aws.found.io/app/kibana#/discover/Steve-Slow-Train-Analysis-(2080s-and-2083s)?_g=(refreshInterval:(display:Off,pause:!f,section:0,value:0),time:(from:'2017-09-05T01:50:33-0600',mode:absolute,to:'2017-09-05T04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194" t="str">
        <f>IF(AA229&lt;VLOOKUP(AG229,Variables!$AC$3:$AD$8,2,FALSE),"Y","N")</f>
        <v>Y</v>
      </c>
      <c r="X229" s="194">
        <f t="shared" si="182"/>
        <v>4</v>
      </c>
      <c r="Y229" s="194">
        <f t="shared" si="188"/>
        <v>4.8399999999999999E-2</v>
      </c>
      <c r="Z229" s="194">
        <f t="shared" si="189"/>
        <v>0.35899999999999999</v>
      </c>
      <c r="AA229" s="194">
        <f t="shared" si="190"/>
        <v>0.31059999999999999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191"/>
        <v>61</v>
      </c>
      <c r="AE229" s="77" t="str">
        <f t="shared" si="180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229" s="74" t="str">
        <f t="shared" si="181"/>
        <v>"C:\Program Files (x86)\AstroGrep\AstroGrep.exe" /e /r /s /spath="%USERPROFILE%\AppData\Local\Temp\OnboardLogs" /stypes="app*4026*20170905*" /stext=" 09:.+((SYSTEM_STATE.+slice.+state.+changed )|(ment ac)|(multiple cpu faults)|(system.+state.+changed )|(\[timeout)|(PRM\|1\|D)|(kpr)|(kdp)|(train st.+moving)|(\|lc)|(penalty))"</v>
      </c>
      <c r="AG229" s="206" t="str">
        <f t="shared" si="192"/>
        <v>Shuttle/Test</v>
      </c>
      <c r="AH229" s="78" t="str">
        <f t="shared" si="193"/>
        <v>"%USERPROFILE%\Documents\GitHub\eaglep3\Utilities\RefineRTDCRunTimes.py" --tripid 61-05 --locoid 4026 --swversion DE.1.0.9.0 --startMP 204:484 --initTime 2017-09-05T02:50:33 --startdatetime 2017-09-05T03:18:43 --delay 1003 --endMP 204:3590 --enddatetime 2017-09-05T03:20:07 --enforcementcount 0 &gt;&gt;C:\Users\stu\Documents\GitHub\eaglep3-reporting\EC\2017-09-05-refined-times.txt</v>
      </c>
      <c r="AI229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0.359"},{"id":17,"name":"Train ID","value":"61-05"},{"id":16,"name":"Locomotive ID","value":"4026"},{"id":130,"name":"Impact","value":""},{"id":150,"name":"Time of Event (Mountain Time)","value":"03:20:07"},{"id":151,"name":"Denver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95"/>
        <v>start /low /b %USERPROFILE%\Documents\GitHub\eaglep3\Utilities\DownloadLogsFromS3.py --loco 4026 --day 2017-09-05</v>
      </c>
      <c r="AN229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09:20:07"},{"id":29,"name":"Sharepoint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618</v>
      </c>
      <c r="B230" s="7">
        <v>4026</v>
      </c>
      <c r="C230" s="21" t="s">
        <v>197</v>
      </c>
      <c r="D230" s="21" t="s">
        <v>902</v>
      </c>
      <c r="E230" s="13">
        <v>42983.320300925923</v>
      </c>
      <c r="F230" s="13">
        <v>42983.329606481479</v>
      </c>
      <c r="G230" s="7">
        <v>84</v>
      </c>
      <c r="H230" s="21" t="s">
        <v>903</v>
      </c>
      <c r="I230" s="13">
        <v>42983.331203703703</v>
      </c>
      <c r="J230" s="7">
        <v>0</v>
      </c>
      <c r="K230" s="89" t="str">
        <f t="shared" si="184"/>
        <v>4025/4026</v>
      </c>
      <c r="L230" s="214" t="str">
        <f>VLOOKUP(A230,'Trips&amp;Operators'!$C$1:$G$99911,5,FALSE)</f>
        <v>SPECTOR MICHAEL</v>
      </c>
      <c r="M230" s="6">
        <f t="shared" si="185"/>
        <v>1.5972222245181911E-3</v>
      </c>
      <c r="N230" s="7">
        <f t="shared" si="183"/>
        <v>2.3000000033061951</v>
      </c>
      <c r="O230" s="7"/>
      <c r="P230" s="7"/>
      <c r="Q230" s="22"/>
      <c r="R230" s="167"/>
      <c r="S230" s="210">
        <f t="shared" si="186"/>
        <v>0</v>
      </c>
      <c r="T230" s="192" t="str">
        <f t="shared" si="187"/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179"/>
        <v>https://d0f6bd738d7f1b3e5a7ca70fe4ff75f0.us-east-1.aws.found.io/app/kibana#/discover/Steve-Slow-Train-Analysis-(2080s-and-2083s)?_g=(refreshInterval:(display:Off,pause:!f,section:0,value:0),time:(from:'2017-09-05T06:41:14-0600',mode:absolute,to:'2017-09-05T08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194" t="str">
        <f>IF(AA230&lt;VLOOKUP(AG230,Variables!$AC$3:$AD$8,2,FALSE),"Y","N")</f>
        <v>Y</v>
      </c>
      <c r="X230" s="194">
        <f t="shared" si="182"/>
        <v>0</v>
      </c>
      <c r="Y230" s="194">
        <f t="shared" si="188"/>
        <v>0.14829999999999999</v>
      </c>
      <c r="Z230" s="194">
        <f t="shared" si="189"/>
        <v>0.35639999999999999</v>
      </c>
      <c r="AA230" s="194">
        <f t="shared" si="190"/>
        <v>0.20810000000000001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191"/>
        <v>61</v>
      </c>
      <c r="AE230" s="77" t="str">
        <f t="shared" si="180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230" s="74" t="str">
        <f t="shared" si="181"/>
        <v>"C:\Program Files (x86)\AstroGrep\AstroGrep.exe" /e /r /s /spath="%USERPROFILE%\AppData\Local\Temp\OnboardLogs" /stypes="app*4026*20170905*" /stext=" 13:.+((SYSTEM_STATE.+slice.+state.+changed )|(ment ac)|(multiple cpu faults)|(system.+state.+changed )|(\[timeout)|(PRM\|1\|D)|(kpr)|(kdp)|(train st.+moving)|(\|lc)|(penalty))"</v>
      </c>
      <c r="AG230" s="206" t="str">
        <f t="shared" si="192"/>
        <v>Shuttle/Test</v>
      </c>
      <c r="AH230" s="78" t="str">
        <f t="shared" si="193"/>
        <v>"%USERPROFILE%\Documents\GitHub\eaglep3\Utilities\RefineRTDCRunTimes.py" --tripid 61-05 --locoid 4026 --swversion DE.1.0.9.0 --startMP 204:1483 --initTime 2017-09-05T07:41:14 --startdatetime 2017-09-05T07:54:38 --delay 84 --endMP 204:3564 --enddatetime 2017-09-05T07:56:56 --enforcementcount 0 &gt;&gt;C:\Users\stu\Documents\GitHub\eaglep3-reporting\EC\2017-09-05-refined-times.txt</v>
      </c>
      <c r="AI230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0.3564"},{"id":17,"name":"Train ID","value":"61-05"},{"id":16,"name":"Locomotive ID","value":"4026"},{"id":130,"name":"Impact","value":""},{"id":150,"name":"Time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95"/>
        <v>start /low /b %USERPROFILE%\Documents\GitHub\eaglep3\Utilities\DownloadLogsFromS3.py --loco 4026 --day 2017-09-05</v>
      </c>
      <c r="AN230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618</v>
      </c>
      <c r="B231" s="7">
        <v>4025</v>
      </c>
      <c r="C231" s="21" t="s">
        <v>197</v>
      </c>
      <c r="D231" s="21" t="s">
        <v>904</v>
      </c>
      <c r="E231" s="13">
        <v>42983.328055555554</v>
      </c>
      <c r="F231" s="13">
        <v>42983.329606481479</v>
      </c>
      <c r="G231" s="7">
        <v>84</v>
      </c>
      <c r="H231" s="21" t="s">
        <v>338</v>
      </c>
      <c r="I231" s="13">
        <v>42983.331203703703</v>
      </c>
      <c r="J231" s="7">
        <v>0</v>
      </c>
      <c r="K231" s="89" t="str">
        <f t="shared" si="184"/>
        <v>4025/4026</v>
      </c>
      <c r="L231" s="214" t="str">
        <f>VLOOKUP(A231,'Trips&amp;Operators'!$C$1:$G$99911,5,FALSE)</f>
        <v>SPECTOR MICHAEL</v>
      </c>
      <c r="M231" s="6">
        <f t="shared" si="185"/>
        <v>1.5972222245181911E-3</v>
      </c>
      <c r="N231" s="7">
        <f t="shared" si="183"/>
        <v>2.3000000033061951</v>
      </c>
      <c r="O231" s="7"/>
      <c r="P231" s="7"/>
      <c r="Q231" s="22"/>
      <c r="R231" s="167"/>
      <c r="S231" s="210">
        <f t="shared" si="186"/>
        <v>0</v>
      </c>
      <c r="T231" s="192" t="str">
        <f t="shared" si="187"/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179"/>
        <v>https://d0f6bd738d7f1b3e5a7ca70fe4ff75f0.us-east-1.aws.found.io/app/kibana#/discover/Steve-Slow-Train-Analysis-(2080s-and-2083s)?_g=(refreshInterval:(display:Off,pause:!f,section:0,value:0),time:(from:'2017-09-05T06:52:24-0600',mode:absolute,to:'2017-09-05T08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194" t="str">
        <f>IF(AA231&lt;VLOOKUP(AG231,Variables!$AC$3:$AD$8,2,FALSE),"Y","N")</f>
        <v>Y</v>
      </c>
      <c r="X231" s="194">
        <f t="shared" si="182"/>
        <v>0</v>
      </c>
      <c r="Y231" s="194">
        <f t="shared" si="188"/>
        <v>0.32290000000000002</v>
      </c>
      <c r="Z231" s="194">
        <f t="shared" si="189"/>
        <v>1.4999999999999999E-2</v>
      </c>
      <c r="AA231" s="194">
        <f t="shared" si="190"/>
        <v>0.30790000000000001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191"/>
        <v>61</v>
      </c>
      <c r="AE231" s="77" t="str">
        <f t="shared" si="180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231" s="74" t="str">
        <f t="shared" si="181"/>
        <v>"C:\Program Files (x86)\AstroGrep\AstroGrep.exe" /e /r /s /spath="%USERPROFILE%\AppData\Local\Temp\OnboardLogs" /stypes="app*4025*20170905*" /stext=" 13:.+((SYSTEM_STATE.+slice.+state.+changed )|(ment ac)|(multiple cpu faults)|(system.+state.+changed )|(\[timeout)|(PRM\|1\|D)|(kpr)|(kdp)|(train st.+moving)|(\|lc)|(penalty))"</v>
      </c>
      <c r="AG231" s="206" t="str">
        <f t="shared" si="192"/>
        <v>Shuttle/Test</v>
      </c>
      <c r="AH231" s="78" t="str">
        <f t="shared" si="193"/>
        <v>"%USERPROFILE%\Documents\GitHub\eaglep3\Utilities\RefineRTDCRunTimes.py" --tripid 61-05 --locoid 4025 --swversion DE.1.0.9.0 --startMP 204:3229 --initTime 2017-09-05T07:52:24 --startdatetime 2017-09-05T07:54:38 --delay 84 --endMP 204:150 --enddatetime 2017-09-05T07:56:56 --enforcementcount 0 &gt;&gt;C:\Users\stu\Documents\GitHub\eaglep3-reporting\EC\2017-09-05-refined-times.txt</v>
      </c>
      <c r="AI231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0.015"},{"id":17,"name":"Train ID","value":"61-05"},{"id":16,"name":"Locomotive ID","value":"4025"},{"id":130,"name":"Impact","value":""},{"id":150,"name":"Time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95"/>
        <v>start /low /b %USERPROFILE%\Documents\GitHub\eaglep3\Utilities\DownloadLogsFromS3.py --loco 4025 --day 2017-09-05</v>
      </c>
      <c r="AN231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13:56:56"},{"id":29,"name":"Sharepoint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618</v>
      </c>
      <c r="B232" s="7">
        <v>4022</v>
      </c>
      <c r="C232" s="21" t="s">
        <v>197</v>
      </c>
      <c r="D232" s="21" t="s">
        <v>905</v>
      </c>
      <c r="E232" s="13">
        <v>42983.592465277776</v>
      </c>
      <c r="F232" s="13">
        <v>42983.600532407407</v>
      </c>
      <c r="G232" s="7">
        <v>87</v>
      </c>
      <c r="H232" s="21" t="s">
        <v>906</v>
      </c>
      <c r="I232" s="13">
        <v>42983.601979166669</v>
      </c>
      <c r="J232" s="7">
        <v>0</v>
      </c>
      <c r="K232" s="89" t="str">
        <f t="shared" si="184"/>
        <v>4021/4022</v>
      </c>
      <c r="L232" s="214" t="str">
        <f>VLOOKUP(A232,'Trips&amp;Operators'!$C$1:$G$99911,5,FALSE)</f>
        <v>SPECTOR MICHAEL</v>
      </c>
      <c r="M232" s="6">
        <f t="shared" si="185"/>
        <v>1.4467592627624981E-3</v>
      </c>
      <c r="N232" s="7">
        <f t="shared" si="183"/>
        <v>2.0833333383779973</v>
      </c>
      <c r="O232" s="7"/>
      <c r="P232" s="7"/>
      <c r="Q232" s="22"/>
      <c r="R232" s="167"/>
      <c r="S232" s="210">
        <f t="shared" si="186"/>
        <v>0</v>
      </c>
      <c r="T232" s="192" t="str">
        <f t="shared" si="187"/>
        <v>NorthBound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179"/>
        <v>https://d0f6bd738d7f1b3e5a7ca70fe4ff75f0.us-east-1.aws.found.io/app/kibana#/discover/Steve-Slow-Train-Analysis-(2080s-and-2083s)?_g=(refreshInterval:(display:Off,pause:!f,section:0,value:0),time:(from:'2017-09-05T13:13:09-0600',mode:absolute,to:'2017-09-05T15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4" t="str">
        <f>IF(AA232&lt;VLOOKUP(AG232,Variables!$AC$3:$AD$8,2,FALSE),"Y","N")</f>
        <v>Y</v>
      </c>
      <c r="X232" s="194">
        <f t="shared" si="182"/>
        <v>0</v>
      </c>
      <c r="Y232" s="194">
        <f t="shared" si="188"/>
        <v>0.1158</v>
      </c>
      <c r="Z232" s="194">
        <f t="shared" si="189"/>
        <v>0.34649999999999997</v>
      </c>
      <c r="AA232" s="194">
        <f t="shared" si="190"/>
        <v>0.23069999999999996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 t="shared" si="191"/>
        <v>61</v>
      </c>
      <c r="AE232" s="77" t="str">
        <f t="shared" si="180"/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AF232" s="74" t="str">
        <f t="shared" si="181"/>
        <v>"C:\Program Files (x86)\AstroGrep\AstroGrep.exe" /e /r /s /spath="%USERPROFILE%\AppData\Local\Temp\OnboardLogs" /stypes="app*4022*20170905*" /stext=" 20:.+((SYSTEM_STATE.+slice.+state.+changed )|(ment ac)|(multiple cpu faults)|(system.+state.+changed )|(\[timeout)|(PRM\|1\|D)|(kpr)|(kdp)|(train st.+moving)|(\|lc)|(penalty))"</v>
      </c>
      <c r="AG232" s="206" t="str">
        <f t="shared" si="192"/>
        <v>Shuttle/Test</v>
      </c>
      <c r="AH232" s="78" t="str">
        <f t="shared" si="193"/>
        <v>"%USERPROFILE%\Documents\GitHub\eaglep3\Utilities\RefineRTDCRunTimes.py" --tripid 61-05 --locoid 4022 --swversion DE.1.0.9.0 --startMP 204:1158 --initTime 2017-09-05T14:13:09 --startdatetime 2017-09-05T14:24:46 --delay 87 --endMP 204:3465 --enddatetime 2017-09-05T14:26:51 --enforcementcount 0 &gt;&gt;C:\Users\stu\Documents\GitHub\eaglep3-reporting\EC\2017-09-05-refined-times.txt</v>
      </c>
      <c r="AI232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0.3465"},{"id":17,"name":"Train ID","value":"61-05"},{"id":16,"name":"Locomotive ID","value":"4022"},{"id":130,"name":"Impact","value":""},{"id":150,"name":"Time of Event (Mountain Time)","value":"14:26:51"},{"id":151,"name":"Denver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95"/>
        <v>start /low /b %USERPROFILE%\Documents\GitHub\eaglep3\Utilities\DownloadLogsFromS3.py --loco 4022 --day 2017-09-05</v>
      </c>
      <c r="AN232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618</v>
      </c>
      <c r="B233" s="7">
        <v>4021</v>
      </c>
      <c r="C233" s="21" t="s">
        <v>197</v>
      </c>
      <c r="D233" s="21" t="s">
        <v>907</v>
      </c>
      <c r="E233" s="13">
        <v>42983.598900462966</v>
      </c>
      <c r="F233" s="13">
        <v>42983.600532407407</v>
      </c>
      <c r="G233" s="7">
        <v>89</v>
      </c>
      <c r="H233" s="21" t="s">
        <v>549</v>
      </c>
      <c r="I233" s="13">
        <v>42983.601979166669</v>
      </c>
      <c r="J233" s="7">
        <v>0</v>
      </c>
      <c r="K233" s="89" t="str">
        <f t="shared" si="184"/>
        <v>4021/4022</v>
      </c>
      <c r="L233" s="214" t="str">
        <f>VLOOKUP(A233,'Trips&amp;Operators'!$C$1:$G$99911,5,FALSE)</f>
        <v>SPECTOR MICHAEL</v>
      </c>
      <c r="M233" s="6">
        <f t="shared" si="185"/>
        <v>1.4467592627624981E-3</v>
      </c>
      <c r="N233" s="7">
        <f t="shared" si="183"/>
        <v>2.0833333383779973</v>
      </c>
      <c r="O233" s="7"/>
      <c r="P233" s="7"/>
      <c r="Q233" s="22"/>
      <c r="R233" s="167"/>
      <c r="S233" s="210">
        <f t="shared" si="186"/>
        <v>0</v>
      </c>
      <c r="T233" s="192" t="str">
        <f t="shared" si="187"/>
        <v>NorthBound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 t="shared" si="179"/>
        <v>https://d0f6bd738d7f1b3e5a7ca70fe4ff75f0.us-east-1.aws.found.io/app/kibana#/discover/Steve-Slow-Train-Analysis-(2080s-and-2083s)?_g=(refreshInterval:(display:Off,pause:!f,section:0,value:0),time:(from:'2017-09-05T13:22:25-0600',mode:absolute,to:'2017-09-05T15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94" t="str">
        <f>IF(AA233&lt;VLOOKUP(AG233,Variables!$AC$3:$AD$8,2,FALSE),"Y","N")</f>
        <v>Y</v>
      </c>
      <c r="X233" s="194">
        <f t="shared" si="182"/>
        <v>0</v>
      </c>
      <c r="Y233" s="194">
        <f t="shared" si="188"/>
        <v>0.31369999999999998</v>
      </c>
      <c r="Z233" s="194">
        <f t="shared" si="189"/>
        <v>1.34E-2</v>
      </c>
      <c r="AA233" s="194">
        <f t="shared" si="190"/>
        <v>0.30029999999999996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 t="shared" si="191"/>
        <v>61</v>
      </c>
      <c r="AE233" s="77" t="str">
        <f t="shared" si="180"/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AF233" s="74" t="str">
        <f t="shared" si="181"/>
        <v>"C:\Program Files (x86)\AstroGrep\AstroGrep.exe" /e /r /s /spath="%USERPROFILE%\AppData\Local\Temp\OnboardLogs" /stypes="app*4021*20170905*" /stext=" 20:.+((SYSTEM_STATE.+slice.+state.+changed )|(ment ac)|(multiple cpu faults)|(system.+state.+changed )|(\[timeout)|(PRM\|1\|D)|(kpr)|(kdp)|(train st.+moving)|(\|lc)|(penalty))"</v>
      </c>
      <c r="AG233" s="206" t="str">
        <f t="shared" si="192"/>
        <v>Shuttle/Test</v>
      </c>
      <c r="AH233" s="78" t="str">
        <f t="shared" si="193"/>
        <v>"%USERPROFILE%\Documents\GitHub\eaglep3\Utilities\RefineRTDCRunTimes.py" --tripid 61-05 --locoid 4021 --swversion DE.1.0.9.0 --startMP 204:3137 --initTime 2017-09-05T14:22:25 --startdatetime 2017-09-05T14:24:46 --delay 89 --endMP 204:134 --enddatetime 2017-09-05T14:26:51 --enforcementcount 0 &gt;&gt;C:\Users\stu\Documents\GitHub\eaglep3-reporting\EC\2017-09-05-refined-times.txt</v>
      </c>
      <c r="AI233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0.0134"},{"id":17,"name":"Train ID","value":"61-05"},{"id":16,"name":"Locomotive ID","value":"4021"},{"id":130,"name":"Impact","value":""},{"id":150,"name":"Time of Event (Mountain Time)","value":"14:26:51"},{"id":151,"name":"Denver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95"/>
        <v>start /low /b %USERPROFILE%\Documents\GitHub\eaglep3\Utilities\DownloadLogsFromS3.py --loco 4021 --day 2017-09-05</v>
      </c>
      <c r="AN233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622</v>
      </c>
      <c r="B234" s="7">
        <v>4025</v>
      </c>
      <c r="C234" s="21" t="s">
        <v>197</v>
      </c>
      <c r="D234" s="21" t="s">
        <v>908</v>
      </c>
      <c r="E234" s="13">
        <v>42983.139918981484</v>
      </c>
      <c r="F234" s="13">
        <v>42983.141377314816</v>
      </c>
      <c r="G234" s="7">
        <v>67</v>
      </c>
      <c r="H234" s="21" t="s">
        <v>909</v>
      </c>
      <c r="I234" s="13">
        <v>42983.142407407409</v>
      </c>
      <c r="J234" s="7">
        <v>0</v>
      </c>
      <c r="K234" s="89" t="str">
        <f t="shared" si="184"/>
        <v>4025/4026</v>
      </c>
      <c r="L234" s="214" t="str">
        <f>VLOOKUP(A234,'Trips&amp;Operators'!$C$1:$G$99911,5,FALSE)</f>
        <v>SPECTOR MICHAEL</v>
      </c>
      <c r="M234" s="6">
        <f t="shared" si="185"/>
        <v>1.0300925932824612E-3</v>
      </c>
      <c r="N234" s="7">
        <f t="shared" si="183"/>
        <v>1.4833333343267441</v>
      </c>
      <c r="O234" s="7"/>
      <c r="P234" s="7"/>
      <c r="Q234" s="22"/>
      <c r="R234" s="167"/>
      <c r="S234" s="210">
        <f t="shared" si="186"/>
        <v>0</v>
      </c>
      <c r="T234" s="192" t="str">
        <f t="shared" si="187"/>
        <v>Southbound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 t="shared" si="179"/>
        <v>https://d0f6bd738d7f1b3e5a7ca70fe4ff75f0.us-east-1.aws.found.io/app/kibana#/discover/Steve-Slow-Train-Analysis-(2080s-and-2083s)?_g=(refreshInterval:(display:Off,pause:!f,section:0,value:0),time:(from:'2017-09-05T02:21:29-0600',mode:absolute,to:'2017-09-05T04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194" t="str">
        <f>IF(AA234&lt;VLOOKUP(AG234,Variables!$AC$3:$AD$8,2,FALSE),"Y","N")</f>
        <v>Y</v>
      </c>
      <c r="X234" s="194">
        <f t="shared" si="182"/>
        <v>1</v>
      </c>
      <c r="Y234" s="194">
        <f t="shared" si="188"/>
        <v>0.3261</v>
      </c>
      <c r="Z234" s="194">
        <f t="shared" si="189"/>
        <v>0.11650000000000001</v>
      </c>
      <c r="AA234" s="194">
        <f t="shared" si="190"/>
        <v>0.20960000000000001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 t="shared" si="191"/>
        <v>62</v>
      </c>
      <c r="AE234" s="77" t="str">
        <f t="shared" si="180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234" s="74" t="str">
        <f t="shared" si="181"/>
        <v>"C:\Program Files (x86)\AstroGrep\AstroGrep.exe" /e /r /s /spath="%USERPROFILE%\AppData\Local\Temp\OnboardLogs" /stypes="app*4025*20170905*" /stext=" 09:.+((SYSTEM_STATE.+slice.+state.+changed )|(ment ac)|(multiple cpu faults)|(system.+state.+changed )|(\[timeout)|(PRM\|1\|D)|(kpr)|(kdp)|(train st.+moving)|(\|lc)|(penalty))"</v>
      </c>
      <c r="AG234" s="206" t="str">
        <f t="shared" si="192"/>
        <v>Shuttle/Test</v>
      </c>
      <c r="AH234" s="78" t="str">
        <f t="shared" si="193"/>
        <v>"%USERPROFILE%\Documents\GitHub\eaglep3\Utilities\RefineRTDCRunTimes.py" --tripid 62-05 --locoid 4025 --swversion DE.1.0.9.0 --startMP 204:3261 --initTime 2017-09-05T03:21:29 --startdatetime 2017-09-05T03:23:35 --delay 67 --endMP 204:1165 --enddatetime 2017-09-05T03:25:04 --enforcementcount 0 &gt;&gt;C:\Users\stu\Documents\GitHub\eaglep3-reporting\EC\2017-09-05-refined-times.txt</v>
      </c>
      <c r="AI234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0.1165"},{"id":17,"name":"Train ID","value":"62-05"},{"id":16,"name":"Locomotive ID","value":"4025"},{"id":130,"name":"Impact","value":""},{"id":150,"name":"Time of Event (Mountain Time)","value":"03:25:04"},{"id":151,"name":"Denver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95"/>
        <v>start /low /b %USERPROFILE%\Documents\GitHub\eaglep3\Utilities\DownloadLogsFromS3.py --loco 4025 --day 2017-09-05</v>
      </c>
      <c r="AN234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09:25:04"},{"id":29,"name":"Sharepoint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737</v>
      </c>
      <c r="B235" s="7">
        <v>4026</v>
      </c>
      <c r="C235" s="21" t="s">
        <v>197</v>
      </c>
      <c r="D235" s="21" t="s">
        <v>910</v>
      </c>
      <c r="E235" s="13">
        <v>42983.616782407407</v>
      </c>
      <c r="F235" s="13">
        <v>42983.629178240742</v>
      </c>
      <c r="G235" s="7">
        <v>62</v>
      </c>
      <c r="H235" s="21" t="s">
        <v>911</v>
      </c>
      <c r="I235" s="13">
        <v>42983.630983796298</v>
      </c>
      <c r="J235" s="7">
        <v>0</v>
      </c>
      <c r="K235" s="89" t="str">
        <f t="shared" si="184"/>
        <v>4025/4026</v>
      </c>
      <c r="L235" s="214" t="str">
        <f>VLOOKUP(A235,'Trips&amp;Operators'!$C$1:$G$99911,5,FALSE)</f>
        <v>BERLING GARY</v>
      </c>
      <c r="M235" s="6">
        <f t="shared" si="185"/>
        <v>1.8055555556202307E-3</v>
      </c>
      <c r="N235" s="7">
        <f t="shared" si="183"/>
        <v>2.6000000000931323</v>
      </c>
      <c r="O235" s="7"/>
      <c r="P235" s="7"/>
      <c r="Q235" s="22"/>
      <c r="R235" s="167"/>
      <c r="S235" s="210">
        <f t="shared" si="186"/>
        <v>0</v>
      </c>
      <c r="T235" s="192" t="str">
        <f t="shared" si="187"/>
        <v>NorthBound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3" t="str">
        <f t="shared" si="179"/>
        <v>https://d0f6bd738d7f1b3e5a7ca70fe4ff75f0.us-east-1.aws.found.io/app/kibana#/discover/Steve-Slow-Train-Analysis-(2080s-and-2083s)?_g=(refreshInterval:(display:Off,pause:!f,section:0,value:0),time:(from:'2017-09-05T13:48:10-0600',mode:absolute,to:'2017-09-05T16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94" t="str">
        <f>IF(AA235&lt;VLOOKUP(AG235,Variables!$AC$3:$AD$8,2,FALSE),"Y","N")</f>
        <v>Y</v>
      </c>
      <c r="X235" s="194">
        <f t="shared" si="182"/>
        <v>1</v>
      </c>
      <c r="Y235" s="194">
        <f t="shared" si="188"/>
        <v>0.1145</v>
      </c>
      <c r="Z235" s="194">
        <f t="shared" si="189"/>
        <v>0.56610000000000005</v>
      </c>
      <c r="AA235" s="194">
        <f t="shared" si="190"/>
        <v>0.45160000000000006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 t="shared" si="191"/>
        <v>63</v>
      </c>
      <c r="AE235" s="77" t="str">
        <f t="shared" si="180"/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AF235" s="74" t="str">
        <f t="shared" si="181"/>
        <v>"C:\Program Files (x86)\AstroGrep\AstroGrep.exe" /e /r /s /spath="%USERPROFILE%\AppData\Local\Temp\OnboardLogs" /stypes="app*4026*20170905*" /stext=" 21:.+((SYSTEM_STATE.+slice.+state.+changed )|(ment ac)|(multiple cpu faults)|(system.+state.+changed )|(\[timeout)|(PRM\|1\|D)|(kpr)|(kdp)|(train st.+moving)|(\|lc)|(penalty))"</v>
      </c>
      <c r="AG235" s="206" t="str">
        <f t="shared" si="192"/>
        <v>Shuttle/Test</v>
      </c>
      <c r="AH235" s="78" t="str">
        <f t="shared" si="193"/>
        <v>"%USERPROFILE%\Documents\GitHub\eaglep3\Utilities\RefineRTDCRunTimes.py" --tripid 63-05 --locoid 4026 --swversion DE.1.0.9.0 --startMP 204:1145 --initTime 2017-09-05T14:48:10 --startdatetime 2017-09-05T15:06:01 --delay 62 --endMP 300:5661 --enddatetime 2017-09-05T15:08:37 --enforcementcount 0 &gt;&gt;C:\Users\stu\Documents\GitHub\eaglep3-reporting\EC\2017-09-05-refined-times.txt</v>
      </c>
      <c r="AI235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0.5661"},{"id":17,"name":"Train ID","value":"63-05"},{"id":16,"name":"Locomotive ID","value":"4026"},{"id":130,"name":"Impact","value":""},{"id":150,"name":"Time of Event (Mountain Time)","value":"15:08:37"},{"id":151,"name":"Denver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95"/>
        <v>start /low /b %USERPROFILE%\Documents\GitHub\eaglep3\Utilities\DownloadLogsFromS3.py --loco 4026 --day 2017-09-05</v>
      </c>
      <c r="AN235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737</v>
      </c>
      <c r="B236" s="7">
        <v>4025</v>
      </c>
      <c r="C236" s="21" t="s">
        <v>197</v>
      </c>
      <c r="D236" s="21" t="s">
        <v>912</v>
      </c>
      <c r="E236" s="13">
        <v>42983.626736111109</v>
      </c>
      <c r="F236" s="13">
        <v>42983.629178240742</v>
      </c>
      <c r="G236" s="7">
        <v>74</v>
      </c>
      <c r="H236" s="21" t="s">
        <v>905</v>
      </c>
      <c r="I236" s="13">
        <v>42983.630983796298</v>
      </c>
      <c r="J236" s="7">
        <v>0</v>
      </c>
      <c r="K236" s="89" t="str">
        <f t="shared" si="184"/>
        <v>4025/4026</v>
      </c>
      <c r="L236" s="214" t="str">
        <f>VLOOKUP(A236,'Trips&amp;Operators'!$C$1:$G$99911,5,FALSE)</f>
        <v>BERLING GARY</v>
      </c>
      <c r="M236" s="6">
        <f t="shared" si="185"/>
        <v>1.8055555556202307E-3</v>
      </c>
      <c r="N236" s="7">
        <f t="shared" si="183"/>
        <v>2.6000000000931323</v>
      </c>
      <c r="O236" s="7"/>
      <c r="P236" s="7"/>
      <c r="Q236" s="22"/>
      <c r="R236" s="167"/>
      <c r="S236" s="210">
        <f t="shared" si="186"/>
        <v>0</v>
      </c>
      <c r="T236" s="192" t="str">
        <f t="shared" si="187"/>
        <v>NorthBound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3" t="str">
        <f t="shared" si="179"/>
        <v>https://d0f6bd738d7f1b3e5a7ca70fe4ff75f0.us-east-1.aws.found.io/app/kibana#/discover/Steve-Slow-Train-Analysis-(2080s-and-2083s)?_g=(refreshInterval:(display:Off,pause:!f,section:0,value:0),time:(from:'2017-09-05T14:02:30-0600',mode:absolute,to:'2017-09-05T16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194" t="str">
        <f>IF(AA236&lt;VLOOKUP(AG236,Variables!$AC$3:$AD$8,2,FALSE),"Y","N")</f>
        <v>Y</v>
      </c>
      <c r="X236" s="194">
        <f t="shared" si="182"/>
        <v>0</v>
      </c>
      <c r="Y236" s="194">
        <f t="shared" si="188"/>
        <v>0.51370000000000005</v>
      </c>
      <c r="Z236" s="194">
        <f t="shared" si="189"/>
        <v>0.1158</v>
      </c>
      <c r="AA236" s="194">
        <f t="shared" si="190"/>
        <v>0.39790000000000003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 t="shared" si="191"/>
        <v>63</v>
      </c>
      <c r="AE236" s="77" t="str">
        <f t="shared" si="180"/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AF236" s="74" t="str">
        <f t="shared" si="181"/>
        <v>"C:\Program Files (x86)\AstroGrep\AstroGrep.exe" /e /r /s /spath="%USERPROFILE%\AppData\Local\Temp\OnboardLogs" /stypes="app*4025*20170905*" /stext=" 21:.+((SYSTEM_STATE.+slice.+state.+changed )|(ment ac)|(multiple cpu faults)|(system.+state.+changed )|(\[timeout)|(PRM\|1\|D)|(kpr)|(kdp)|(train st.+moving)|(\|lc)|(penalty))"</v>
      </c>
      <c r="AG236" s="206" t="str">
        <f t="shared" si="192"/>
        <v>Shuttle/Test</v>
      </c>
      <c r="AH236" s="78" t="str">
        <f t="shared" si="193"/>
        <v>"%USERPROFILE%\Documents\GitHub\eaglep3\Utilities\RefineRTDCRunTimes.py" --tripid 63-05 --locoid 4025 --swversion DE.1.0.9.0 --startMP 300:5137 --initTime 2017-09-05T15:02:30 --startdatetime 2017-09-05T15:06:01 --delay 74 --endMP 204:1158 --enddatetime 2017-09-05T15:08:37 --enforcementcount 0 &gt;&gt;C:\Users\stu\Documents\GitHub\eaglep3-reporting\EC\2017-09-05-refined-times.txt</v>
      </c>
      <c r="AI236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0.1158"},{"id":17,"name":"Train ID","value":"63-05"},{"id":16,"name":"Locomotive ID","value":"4025"},{"id":130,"name":"Impact","value":""},{"id":150,"name":"Time of Event (Mountain Time)","value":"15:08:37"},{"id":151,"name":"Denver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95"/>
        <v>start /low /b %USERPROFILE%\Documents\GitHub\eaglep3\Utilities\DownloadLogsFromS3.py --loco 4025 --day 2017-09-05</v>
      </c>
      <c r="AN236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21:08:37"},{"id":29,"name":"Sharepoint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765</v>
      </c>
      <c r="B237" s="7">
        <v>4008</v>
      </c>
      <c r="C237" s="21" t="s">
        <v>197</v>
      </c>
      <c r="D237" s="21" t="s">
        <v>913</v>
      </c>
      <c r="E237" s="13">
        <v>42983.728564814817</v>
      </c>
      <c r="F237" s="13">
        <v>42983.734652777777</v>
      </c>
      <c r="G237" s="7">
        <v>58</v>
      </c>
      <c r="H237" s="21" t="s">
        <v>550</v>
      </c>
      <c r="I237" s="13">
        <v>42983.741006944445</v>
      </c>
      <c r="J237" s="7">
        <v>0</v>
      </c>
      <c r="K237" s="89" t="str">
        <f t="shared" si="184"/>
        <v>4007/4008</v>
      </c>
      <c r="L237" s="214" t="str">
        <f>VLOOKUP(A237,'Trips&amp;Operators'!$C$1:$G$99911,5,FALSE)</f>
        <v>NELSON ARIANE</v>
      </c>
      <c r="M237" s="6">
        <f t="shared" si="185"/>
        <v>6.3541666677338071E-3</v>
      </c>
      <c r="N237" s="7">
        <f t="shared" si="183"/>
        <v>9.1500000015366822</v>
      </c>
      <c r="O237" s="7"/>
      <c r="P237" s="7"/>
      <c r="Q237" s="22"/>
      <c r="R237" s="167"/>
      <c r="S237" s="210">
        <f t="shared" si="186"/>
        <v>1</v>
      </c>
      <c r="T237" s="192" t="str">
        <f t="shared" si="187"/>
        <v>NorthBound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3" t="str">
        <f t="shared" si="179"/>
        <v>https://d0f6bd738d7f1b3e5a7ca70fe4ff75f0.us-east-1.aws.found.io/app/kibana#/discover/Steve-Slow-Train-Analysis-(2080s-and-2083s)?_g=(refreshInterval:(display:Off,pause:!f,section:0,value:0),time:(from:'2017-09-05T16:29:08-0600',mode:absolute,to:'2017-09-05T18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7" s="194" t="str">
        <f>IF(AA237&lt;VLOOKUP(AG237,Variables!$AC$3:$AD$8,2,FALSE),"Y","N")</f>
        <v>Y</v>
      </c>
      <c r="X237" s="194">
        <f t="shared" si="182"/>
        <v>4</v>
      </c>
      <c r="Y237" s="194">
        <f t="shared" si="188"/>
        <v>0.1137</v>
      </c>
      <c r="Z237" s="194">
        <f t="shared" si="189"/>
        <v>2.3308</v>
      </c>
      <c r="AA237" s="194">
        <f t="shared" si="190"/>
        <v>2.2170999999999998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 t="shared" si="191"/>
        <v>67</v>
      </c>
      <c r="AE237" s="77" t="str">
        <f t="shared" si="180"/>
        <v>aws s3 cp s3://rtdc.mdm.uploadarchive.raw/RTDC4008/ "%USERPROFILE%\AppData\Local\Temp\OnboardLogs"\RTDC4008\2017-09-05 --exclude "*" --recursive --include "*20170905*" &amp; "%USERPROFILE%\Documents\GitHub\mrs-test-scripts\Headless Mode &amp; Sideloading\WalkAndUnGZ.bat" "%USERPROFILE%\AppData\Local\Temp\OnboardLogs"\RTDC4008\2017-09-05 &amp; aws s3 cp s3://rtdc.mdm.uploadarchive.raw/RTDC4008/ "%USERPROFILE%\AppData\Local\Temp\OnboardLogs"\RTDC4008\2017-09-06 --exclude "*" --recursive --include "*20170906*" &amp; "%USERPROFILE%\Documents\GitHub\mrs-test-scripts\Headless Mode &amp; Sideloading\WalkAndUnGZ.bat" "%USERPROFILE%\AppData\Local\Temp\OnboardLogs"\RTDC4008\2017-09-06</v>
      </c>
      <c r="AF237" s="74" t="str">
        <f t="shared" si="181"/>
        <v>"C:\Program Files (x86)\AstroGrep\AstroGrep.exe" /e /r /s /spath="%USERPROFILE%\AppData\Local\Temp\OnboardLogs" /stypes="app*4008*20170905*" /stext=" 23:.+((SYSTEM_STATE.+slice.+state.+changed )|(ment ac)|(multiple cpu faults)|(system.+state.+changed )|(\[timeout)|(PRM\|1\|D)|(kpr)|(kdp)|(train st.+moving)|(\|lc)|(penalty))"</v>
      </c>
      <c r="AG237" s="206" t="str">
        <f t="shared" si="192"/>
        <v>Shuttle/Test</v>
      </c>
      <c r="AH237" s="78" t="str">
        <f t="shared" si="193"/>
        <v>"%USERPROFILE%\Documents\GitHub\eaglep3\Utilities\RefineRTDCRunTimes.py" --tripid 67-05 --locoid 4008 --swversion DE.1.0.9.0 --startMP 204:1137 --initTime 2017-09-05T17:29:08 --startdatetime 2017-09-05T17:37:54 --delay 58 --endMP 300:23308 --enddatetime 2017-09-05T17:47:03 --enforcementcount 0 &gt;&gt;C:\Users\stu\Documents\GitHub\eaglep3-reporting\EC\2017-09-05-refined-times.txt</v>
      </c>
      <c r="AI237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2.3308"},{"id":17,"name":"Train ID","value":"67-05"},{"id":16,"name":"Locomotive ID","value":"4008"},{"id":130,"name":"Impact","value":""},{"id":150,"name":"Time of Event (Mountain Time)","value":"17:47:03"},{"id":151,"name":"Denver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95"/>
        <v>start /low /b %USERPROFILE%\Documents\GitHub\eaglep3\Utilities\DownloadLogsFromS3.py --loco 4008 --day 2017-09-05</v>
      </c>
      <c r="AN237" s="151" t="str">
        <f t="shared" si="19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23:47:03"},{"id":29,"name":"Sharepoint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768</v>
      </c>
      <c r="B238" s="7">
        <v>4061</v>
      </c>
      <c r="C238" s="21" t="s">
        <v>197</v>
      </c>
      <c r="D238" s="21" t="s">
        <v>914</v>
      </c>
      <c r="E238" s="13">
        <v>42983.737349537034</v>
      </c>
      <c r="F238" s="13">
        <v>42983.744305555556</v>
      </c>
      <c r="G238" s="7">
        <v>75</v>
      </c>
      <c r="H238" s="21" t="s">
        <v>915</v>
      </c>
      <c r="I238" s="13">
        <v>42983.751423611109</v>
      </c>
      <c r="J238" s="7">
        <v>0</v>
      </c>
      <c r="K238" s="89" t="str">
        <f t="shared" si="184"/>
        <v>4061/4062</v>
      </c>
      <c r="L238" s="214" t="str">
        <f>VLOOKUP(A238,'Trips&amp;Operators'!$C$1:$G$99911,5,FALSE)</f>
        <v>ANDERS STEVEN</v>
      </c>
      <c r="M238" s="6">
        <f t="shared" si="185"/>
        <v>7.1180555532919243E-3</v>
      </c>
      <c r="N238" s="7">
        <f t="shared" si="183"/>
        <v>10.249999996740371</v>
      </c>
      <c r="O238" s="7"/>
      <c r="P238" s="7"/>
      <c r="Q238" s="22"/>
      <c r="R238" s="167"/>
      <c r="S238" s="210">
        <f t="shared" si="186"/>
        <v>1</v>
      </c>
      <c r="T238" s="192" t="str">
        <f t="shared" si="187"/>
        <v>Southbound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 t="shared" si="179"/>
        <v>https://d0f6bd738d7f1b3e5a7ca70fe4ff75f0.us-east-1.aws.found.io/app/kibana#/discover/Steve-Slow-Train-Analysis-(2080s-and-2083s)?_g=(refreshInterval:(display:Off,pause:!f,section:0,value:0),time:(from:'2017-09-05T16:41:47-0600',mode:absolute,to:'2017-09-05T19:02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8" s="194" t="str">
        <f>IF(AA238&lt;VLOOKUP(AG238,Variables!$AC$3:$AD$8,2,FALSE),"Y","N")</f>
        <v>Y</v>
      </c>
      <c r="X238" s="194">
        <f t="shared" si="182"/>
        <v>1</v>
      </c>
      <c r="Y238" s="194">
        <f t="shared" si="188"/>
        <v>2.3071999999999999</v>
      </c>
      <c r="Z238" s="194">
        <f t="shared" si="189"/>
        <v>0.1115</v>
      </c>
      <c r="AA238" s="194">
        <f t="shared" si="190"/>
        <v>2.1957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 t="shared" si="191"/>
        <v>68</v>
      </c>
      <c r="AE238" s="77" t="str">
        <f t="shared" si="180"/>
        <v>aws s3 cp s3://rtdc.mdm.uploadarchive.raw/RTDC4061/ "%USERPROFILE%\AppData\Local\Temp\OnboardLogs"\RTDC4061\2017-09-05 --exclude "*" --recursive --include "*20170905*" &amp; "%USERPROFILE%\Documents\GitHub\mrs-test-scripts\Headless Mode &amp; Sideloading\WalkAndUnGZ.bat" "%USERPROFILE%\AppData\Local\Temp\OnboardLogs"\RTDC4061\2017-09-05 &amp; 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</v>
      </c>
      <c r="AF238" s="74" t="str">
        <f t="shared" si="181"/>
        <v>"C:\Program Files (x86)\AstroGrep\AstroGrep.exe" /e /r /s /spath="%USERPROFILE%\AppData\Local\Temp\OnboardLogs" /stypes="app*4061*20170906*" /stext=" 00:.+((SYSTEM_STATE.+slice.+state.+changed )|(ment ac)|(multiple cpu faults)|(system.+state.+changed )|(\[timeout)|(PRM\|1\|D)|(kpr)|(kdp)|(train st.+moving)|(\|lc)|(penalty))"</v>
      </c>
      <c r="AG238" s="206" t="str">
        <f t="shared" si="192"/>
        <v>Shuttle/Test</v>
      </c>
      <c r="AH238" s="78" t="str">
        <f t="shared" si="193"/>
        <v>"%USERPROFILE%\Documents\GitHub\eaglep3\Utilities\RefineRTDCRunTimes.py" --tripid 68-05 --locoid 4061 --swversion DE.1.0.9.0 --startMP 300:23072 --initTime 2017-09-05T17:41:47 --startdatetime 2017-09-05T17:51:48 --delay 75 --endMP 204:1115 --enddatetime 2017-09-05T18:02:03 --enforcementcount 0 &gt;&gt;C:\Users\stu\Documents\GitHub\eaglep3-reporting\EC\2017-09-05-refined-times.txt</v>
      </c>
      <c r="AI238" s="96" t="str">
        <f t="shared" si="194"/>
        <v>echo {"issue":{"subject":"","project_id":79,"tracker_id":40,"status_id":1,"priority_id":2,"assigned_to_id":338,"start_date":"2017-09-05","description":"","custom_fields":[{"id":1,"name":"Subdivision","value":"Shuttle/Test"},{"id":4,"name":"Milepost","value":"0.1115"},{"id":17,"name":"Train ID","value":"68-05"},{"id":16,"name":"Locomotive ID","value":"4061"},{"id":130,"name":"Impact","value":""},{"id":150,"name":"Time of Event (Mountain Time)","value":"18:02:03"},{"id":151,"name":"Denver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95"/>
        <v>start /low /b %USERPROFILE%\Documents\GitHub\eaglep3\Utilities\DownloadLogsFromS3.py --loco 4061 --day 2017-09-05</v>
      </c>
      <c r="AN238" s="151" t="str">
        <f t="shared" si="196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00:02:03"},{"id":29,"name":"Sharepoint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</sheetData>
  <autoFilter ref="A12:AG262">
    <sortState ref="A13:AG262">
      <sortCondition ref="AG13:AG238"/>
      <sortCondition ref="AD13:AD238"/>
    </sortState>
  </autoFilter>
  <sortState ref="A13:AN217">
    <sortCondition ref="AG13:AG217"/>
    <sortCondition ref="AD13:AD217"/>
  </sortState>
  <mergeCells count="1">
    <mergeCell ref="A11:P11"/>
  </mergeCells>
  <conditionalFormatting sqref="W11:W12 W268:X1048576 W13:X238">
    <cfRule type="cellIs" dxfId="10" priority="415" operator="equal">
      <formula>"Y"</formula>
    </cfRule>
  </conditionalFormatting>
  <conditionalFormatting sqref="X268:X1048576 X13:X238">
    <cfRule type="cellIs" dxfId="9" priority="398" operator="greaterThan">
      <formula>1</formula>
    </cfRule>
  </conditionalFormatting>
  <conditionalFormatting sqref="X268:X1048576 X12:X238">
    <cfRule type="cellIs" dxfId="8" priority="395" operator="equal">
      <formula>0</formula>
    </cfRule>
  </conditionalFormatting>
  <conditionalFormatting sqref="A13:S23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- 2017-09-05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362</v>
      </c>
      <c r="X6" s="205" t="s">
        <v>355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42983.457430555558</v>
      </c>
      <c r="B7" s="30" t="s">
        <v>508</v>
      </c>
      <c r="C7" s="30" t="s">
        <v>593</v>
      </c>
      <c r="D7" s="30" t="s">
        <v>96</v>
      </c>
      <c r="E7" s="30" t="s">
        <v>187</v>
      </c>
      <c r="F7" s="42">
        <v>0</v>
      </c>
      <c r="G7" s="42">
        <v>139</v>
      </c>
      <c r="H7" s="42">
        <v>27335</v>
      </c>
      <c r="I7" s="42">
        <v>27166</v>
      </c>
      <c r="J7" s="30" t="s">
        <v>188</v>
      </c>
      <c r="K7" s="42">
        <v>27350</v>
      </c>
      <c r="L7" s="131" t="s">
        <v>51</v>
      </c>
      <c r="M7" s="132">
        <f t="shared" ref="M7:M46" si="0">CONVERT((I7-K7)/10000,"mi","ft")*IF(L7="Increasing Mileposts (1)",-1,1)</f>
        <v>-97.152000000000001</v>
      </c>
      <c r="N7" s="133" t="str">
        <f>VLOOKUP(C7,'Trips&amp;Operators'!$C$1:$G$99911,5,FALSE)</f>
        <v>THOMPSON LESTER</v>
      </c>
      <c r="O7" s="200" t="s">
        <v>180</v>
      </c>
      <c r="P7" s="134" t="s">
        <v>379</v>
      </c>
      <c r="Q7" s="30"/>
      <c r="R7" s="81" t="str">
        <f>VLOOKUP(C7,'Train Runs'!$A$13:$AE$9921,31,0)</f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S7" s="84" t="str">
        <f>VLOOKUP(C7,'Train Runs'!$A$13:$AE$9921,22,0)</f>
        <v>https://d0f6bd738d7f1b3e5a7ca70fe4ff75f0.us-east-1.aws.found.io/app/kibana#/discover/Steve-Slow-Train-Analysis-(2080s-and-2083s)?_g=(refreshInterval:(display:Off,pause:!f,section:0,value:0),time:(from:'2017-09-05T09:23:23-0600',mode:absolute,to:'2017-09-05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/stypes="*4007*201709051*" /stext=" 16:.+((SYSTEM_STATE.+slice.+state.+changed )|(ment ac)|(multiple cpu faults)|(system.+state.+changed )|(\[timeout)|(PRM\|1\|D)|(kpr)|(kdp)|(train st.+moving)|(\|lc)|(penalty))"</v>
      </c>
      <c r="U7" s="9" t="str">
        <f t="shared" ref="U7:U46" si="2">MID(B7,13,4)</f>
        <v>4007</v>
      </c>
      <c r="V7" s="31">
        <f t="shared" ref="V7:V46" si="3">A7-utc_offset/24</f>
        <v>42983.707430555558</v>
      </c>
      <c r="W7" s="45" t="str">
        <f t="shared" ref="W7:W46" si="4">DetSubdiv(C7)</f>
        <v>EC</v>
      </c>
      <c r="X7" s="22">
        <f t="shared" ref="X7:X46" si="5">VALUE(LEFT(C7,LEN(C7)-3))</f>
        <v>148</v>
      </c>
      <c r="Y7" s="96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Arrival","project_id":79,"tracker_id":40,"status_id":1,"priority_id":2,"assigned_to_id":338,"start_date":"2017-09-05","description":"","custom_fields":[{"id":1,"name":"Subdivision","value":"EC"},{"id":4,"name":"Milepost","value":"2.735"},{"id":17,"name":"Train ID","value":"148-05"},{"id":16,"name":"Locomotive ID","value":"4007"},{"id":130,"name":"Impact","value":""},{"id":150,"name":"Time of Event (Mountain Time)","value":"10:58:42"},{"id":151,"name":"Denver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/c/Users/stu/AppData/Local/Temp/OnboardLogs/RTDC4007 --include="*4007*201709051*"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"%USERPROFILE%\AppData\Local\Temp\OnboardLogs"\RTDC4007\*4007*201709051* &gt;&gt; 2017-09-05-SliceDisagreementCheck.txt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4007 --day 2017-09-05</v>
      </c>
    </row>
    <row r="8" spans="1:32" s="1" customFormat="1" x14ac:dyDescent="0.25">
      <c r="A8" s="31">
        <v>42983.601458333331</v>
      </c>
      <c r="B8" s="30" t="s">
        <v>508</v>
      </c>
      <c r="C8" s="30" t="s">
        <v>596</v>
      </c>
      <c r="D8" s="30" t="s">
        <v>49</v>
      </c>
      <c r="E8" s="30" t="s">
        <v>187</v>
      </c>
      <c r="F8" s="42">
        <v>0</v>
      </c>
      <c r="G8" s="42">
        <v>221</v>
      </c>
      <c r="H8" s="42">
        <v>31103</v>
      </c>
      <c r="I8" s="42">
        <v>30836</v>
      </c>
      <c r="J8" s="30" t="s">
        <v>188</v>
      </c>
      <c r="K8" s="42">
        <v>30970</v>
      </c>
      <c r="L8" s="131" t="s">
        <v>51</v>
      </c>
      <c r="M8" s="132">
        <f t="shared" si="0"/>
        <v>-70.751999999999995</v>
      </c>
      <c r="N8" s="133" t="str">
        <f>VLOOKUP(C8,'Trips&amp;Operators'!$C$1:$G$99911,5,FALSE)</f>
        <v>NEWELL JAMES</v>
      </c>
      <c r="O8" s="200" t="s">
        <v>180</v>
      </c>
      <c r="P8" s="134" t="s">
        <v>379</v>
      </c>
      <c r="Q8" s="30"/>
      <c r="R8" s="81" t="str">
        <f>VLOOKUP(C8,'Train Runs'!$A$13:$AE$9921,31,0)</f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S8" s="84" t="str">
        <f>VLOOKUP(C8,'Train Runs'!$A$13:$AE$9921,22,0)</f>
        <v>https://d0f6bd738d7f1b3e5a7ca70fe4ff75f0.us-east-1.aws.found.io/app/kibana#/discover/Steve-Slow-Train-Analysis-(2080s-and-2083s)?_g=(refreshInterval:(display:Off,pause:!f,section:0,value:0),time:(from:'2017-09-05T12:39:25-0600',mode:absolute,to:'2017-09-05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86" t="str">
        <f t="shared" si="1"/>
        <v>"C:\Program Files (x86)\AstroGrep\AstroGrep.exe" /e /r /s /spath="%USERPROFILE%\AppData\Local\Temp\OnboardLogs" /stypes="*4007*201709052*"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4007</v>
      </c>
      <c r="V8" s="31">
        <f t="shared" si="3"/>
        <v>42983.851458333331</v>
      </c>
      <c r="W8" s="45" t="str">
        <f t="shared" si="4"/>
        <v>EC</v>
      </c>
      <c r="X8" s="22">
        <f t="shared" si="5"/>
        <v>176</v>
      </c>
      <c r="Y8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Arrival","project_id":79,"tracker_id":40,"status_id":1,"priority_id":2,"assigned_to_id":338,"start_date":"2017-09-05","description":"","custom_fields":[{"id":1,"name":"Subdivision","value":"EC"},{"id":4,"name":"Milepost","value":"3.097"},{"id":17,"name":"Train ID","value":"176-05"},{"id":16,"name":"Locomotive ID","value":"4007"},{"id":130,"name":"Impact","value":""},{"id":150,"name":"Time of Event (Mountain Time)","value":"14:26:06"},{"id":151,"name":"Denver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/c/Users/stu/AppData/Local/Temp/OnboardLogs/RTDC4007 --include="*4007*201709052*"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"%USERPROFILE%\AppData\Local\Temp\OnboardLogs"\RTDC4007\*4007*201709052* &gt;&gt; 2017-09-05-SliceDisagreementCheck.txt</v>
      </c>
      <c r="AE8" s="145" t="str">
        <f t="shared" ref="AE8:AE46" si="9">"start /low /b "&amp;dls3logs&amp;" --loco "&amp;U8&amp;" --day "&amp;TEXT(V8,"YYYY-MM-DD")</f>
        <v>start /low /b %USERPROFILE%\Documents\GitHub\eaglep3\Utilities\DownloadLogsFromS3.py --loco 4007 --day 2017-09-05</v>
      </c>
    </row>
    <row r="9" spans="1:32" s="1" customFormat="1" x14ac:dyDescent="0.25">
      <c r="A9" s="31">
        <v>42983.289039351854</v>
      </c>
      <c r="B9" s="30" t="s">
        <v>575</v>
      </c>
      <c r="C9" s="30" t="s">
        <v>576</v>
      </c>
      <c r="D9" s="30" t="s">
        <v>49</v>
      </c>
      <c r="E9" s="30" t="s">
        <v>187</v>
      </c>
      <c r="F9" s="42">
        <v>360</v>
      </c>
      <c r="G9" s="42">
        <v>414</v>
      </c>
      <c r="H9" s="42">
        <v>32772</v>
      </c>
      <c r="I9" s="42">
        <v>33711</v>
      </c>
      <c r="J9" s="30" t="s">
        <v>188</v>
      </c>
      <c r="K9" s="42">
        <v>33137</v>
      </c>
      <c r="L9" s="131" t="s">
        <v>50</v>
      </c>
      <c r="M9" s="132">
        <f t="shared" si="0"/>
        <v>-303.072</v>
      </c>
      <c r="N9" s="133" t="str">
        <f>VLOOKUP(C9,'Trips&amp;Operators'!$C$1:$G$99911,5,FALSE)</f>
        <v>YORK EDGAR</v>
      </c>
      <c r="O9" s="200" t="s">
        <v>180</v>
      </c>
      <c r="P9" s="134" t="s">
        <v>379</v>
      </c>
      <c r="Q9" s="30"/>
      <c r="R9" s="81" t="str">
        <f>VLOOKUP(C9,'Train Runs'!$A$13:$AE$9921,31,0)</f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S9" s="84" t="str">
        <f>VLOOKUP(C9,'Train Runs'!$A$13:$AE$9921,22,0)</f>
        <v>https://d0f6bd738d7f1b3e5a7ca70fe4ff75f0.us-east-1.aws.found.io/app/kibana#/discover/Steve-Slow-Train-Analysis-(2080s-and-2083s)?_g=(refreshInterval:(display:Off,pause:!f,section:0,value:0),time:(from:'2017-09-05T05:35:36-0600',mode:absolute,to:'2017-09-05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9" s="86" t="str">
        <f t="shared" si="1"/>
        <v>"C:\Program Files (x86)\AstroGrep\AstroGrep.exe" /e /r /s /spath="%USERPROFILE%\AppData\Local\Temp\OnboardLogs" /stypes="*4066*201709051*"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4066</v>
      </c>
      <c r="V9" s="31">
        <f t="shared" si="3"/>
        <v>42983.539039351854</v>
      </c>
      <c r="W9" s="45" t="str">
        <f t="shared" si="4"/>
        <v>EC</v>
      </c>
      <c r="X9" s="22">
        <f t="shared" si="5"/>
        <v>125</v>
      </c>
      <c r="Y9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Arrival","project_id":79,"tracker_id":40,"status_id":1,"priority_id":2,"assigned_to_id":338,"start_date":"2017-09-05","description":"","custom_fields":[{"id":1,"name":"Subdivision","value":"EC"},{"id":4,"name":"Milepost","value":"3.3137"},{"id":17,"name":"Train ID","value":"125-05"},{"id":16,"name":"Locomotive ID","value":"4066"},{"id":130,"name":"Impact","value":""},{"id":150,"name":"Time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/c/Users/stu/AppData/Local/Temp/OnboardLogs/RTDC4066 --include="*4066*201709051*"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"%USERPROFILE%\AppData\Local\Temp\OnboardLogs"\RTDC4066\*4066*201709051* &gt;&gt; 2017-09-05-SliceDisagreementCheck.txt</v>
      </c>
      <c r="AE9" s="145" t="str">
        <f t="shared" si="9"/>
        <v>start /low /b %USERPROFILE%\Documents\GitHub\eaglep3\Utilities\DownloadLogsFromS3.py --loco 4066 --day 2017-09-05</v>
      </c>
    </row>
    <row r="10" spans="1:32" s="1" customFormat="1" x14ac:dyDescent="0.25">
      <c r="A10" s="31">
        <v>42983.672291666669</v>
      </c>
      <c r="B10" s="30" t="s">
        <v>507</v>
      </c>
      <c r="C10" s="30" t="s">
        <v>604</v>
      </c>
      <c r="D10" s="30" t="s">
        <v>49</v>
      </c>
      <c r="E10" s="30" t="s">
        <v>187</v>
      </c>
      <c r="F10" s="42">
        <v>0</v>
      </c>
      <c r="G10" s="42">
        <v>620</v>
      </c>
      <c r="H10" s="42">
        <v>44887</v>
      </c>
      <c r="I10" s="42">
        <v>42291</v>
      </c>
      <c r="J10" s="30" t="s">
        <v>188</v>
      </c>
      <c r="K10" s="42">
        <v>42961</v>
      </c>
      <c r="L10" s="131" t="s">
        <v>51</v>
      </c>
      <c r="M10" s="132">
        <f t="shared" si="0"/>
        <v>-353.76000000000005</v>
      </c>
      <c r="N10" s="133" t="str">
        <f>VLOOKUP(C10,'Trips&amp;Operators'!$C$1:$G$99911,5,FALSE)</f>
        <v>BRUDER RICHARD</v>
      </c>
      <c r="O10" s="200" t="s">
        <v>180</v>
      </c>
      <c r="P10" s="134" t="s">
        <v>379</v>
      </c>
      <c r="Q10" s="30"/>
      <c r="R10" s="81" t="str">
        <f>VLOOKUP(C10,'Train Runs'!$A$13:$AE$9921,31,0)</f>
        <v>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 &amp; aws s3 cp s3://rtdc.mdm.uploadarchive.raw/RTDC4021/ "%USERPROFILE%\AppData\Local\Temp\OnboardLogs"\RTDC4021\2017-09-06 --exclude "*" --recursive --include "*20170906*" &amp; "%USERPROFILE%\Documents\GitHub\mrs-test-scripts\Headless Mode &amp; Sideloading\WalkAndUnGZ.bat" "%USERPROFILE%\AppData\Local\Temp\OnboardLogs"\RTDC4021\2017-09-06</v>
      </c>
      <c r="S10" s="84" t="str">
        <f>VLOOKUP(C10,'Train Runs'!$A$13:$AE$9921,22,0)</f>
        <v>https://d0f6bd738d7f1b3e5a7ca70fe4ff75f0.us-east-1.aws.found.io/app/kibana#/discover/Steve-Slow-Train-Analysis-(2080s-and-2083s)?_g=(refreshInterval:(display:Off,pause:!f,section:0,value:0),time:(from:'2017-09-05T14:36:33-0600',mode:absolute,to:'2017-09-05T17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6" t="str">
        <f t="shared" si="1"/>
        <v>"C:\Program Files (x86)\AstroGrep\AstroGrep.exe" /e /r /s /spath="%USERPROFILE%\AppData\Local\Temp\OnboardLogs" /stypes="*4021*201709052*"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4021</v>
      </c>
      <c r="V10" s="31">
        <f t="shared" si="3"/>
        <v>42983.922291666669</v>
      </c>
      <c r="W10" s="45" t="str">
        <f t="shared" si="4"/>
        <v>EC</v>
      </c>
      <c r="X10" s="22">
        <f t="shared" si="5"/>
        <v>190</v>
      </c>
      <c r="Y10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Arrival","project_id":79,"tracker_id":40,"status_id":1,"priority_id":2,"assigned_to_id":338,"start_date":"2017-09-05","description":"","custom_fields":[{"id":1,"name":"Subdivision","value":"EC"},{"id":4,"name":"Milepost","value":"4.2961"},{"id":17,"name":"Train ID","value":"190-05"},{"id":16,"name":"Locomotive ID","value":"4021"},{"id":130,"name":"Impact","value":""},{"id":150,"name":"Time of Event (Mountain Time)","value":"16:08:06"},{"id":151,"name":"Denver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/c/Users/stu/AppData/Local/Temp/OnboardLogs/RTDC4021 --include="*4021*201709052*"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"%USERPROFILE%\AppData\Local\Temp\OnboardLogs"\RTDC4021\*4021*201709052* &gt;&gt; 2017-09-05-SliceDisagreementCheck.txt</v>
      </c>
      <c r="AE10" s="145" t="str">
        <f t="shared" si="9"/>
        <v>start /low /b %USERPROFILE%\Documents\GitHub\eaglep3\Utilities\DownloadLogsFromS3.py --loco 4021 --day 2017-09-05</v>
      </c>
    </row>
    <row r="11" spans="1:32" s="1" customFormat="1" x14ac:dyDescent="0.25">
      <c r="A11" s="31">
        <v>42983.735243055555</v>
      </c>
      <c r="B11" s="30" t="s">
        <v>588</v>
      </c>
      <c r="C11" s="30" t="s">
        <v>610</v>
      </c>
      <c r="D11" s="30" t="s">
        <v>49</v>
      </c>
      <c r="E11" s="30" t="s">
        <v>187</v>
      </c>
      <c r="F11" s="42">
        <v>0</v>
      </c>
      <c r="G11" s="42">
        <v>654</v>
      </c>
      <c r="H11" s="42">
        <v>45588</v>
      </c>
      <c r="I11" s="42">
        <v>42813</v>
      </c>
      <c r="J11" s="30" t="s">
        <v>188</v>
      </c>
      <c r="K11" s="42">
        <v>42961</v>
      </c>
      <c r="L11" s="131" t="s">
        <v>51</v>
      </c>
      <c r="M11" s="132">
        <f t="shared" si="0"/>
        <v>-78.144000000000005</v>
      </c>
      <c r="N11" s="133" t="str">
        <f>VLOOKUP(C11,'Trips&amp;Operators'!$C$1:$G$99911,5,FALSE)</f>
        <v>SMITH MICHAEL</v>
      </c>
      <c r="O11" s="200" t="s">
        <v>180</v>
      </c>
      <c r="P11" s="134" t="s">
        <v>379</v>
      </c>
      <c r="Q11" s="30"/>
      <c r="R11" s="81" t="str">
        <f>VLOOKUP(C11,'Train Runs'!$A$13:$AE$9921,31,0)</f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S11" s="84" t="str">
        <f>VLOOKUP(C11,'Train Runs'!$A$13:$AE$9921,22,0)</f>
        <v>https://d0f6bd738d7f1b3e5a7ca70fe4ff75f0.us-east-1.aws.found.io/app/kibana#/discover/Steve-Slow-Train-Analysis-(2080s-and-2083s)?_g=(refreshInterval:(display:Off,pause:!f,section:0,value:0),time:(from:'2017-09-05T15:53:34-0600',mode:absolute,to:'2017-09-05T18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/stypes="*4043*201709052*"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42983.985243055555</v>
      </c>
      <c r="W11" s="45" t="str">
        <f t="shared" si="4"/>
        <v>EC</v>
      </c>
      <c r="X11" s="22">
        <f t="shared" si="5"/>
        <v>202</v>
      </c>
      <c r="Y11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Arrival","project_id":79,"tracker_id":40,"status_id":1,"priority_id":2,"assigned_to_id":338,"start_date":"2017-09-05","description":"","custom_fields":[{"id":1,"name":"Subdivision","value":"EC"},{"id":4,"name":"Milepost","value":"4.2961"},{"id":17,"name":"Train ID","value":"202-05"},{"id":16,"name":"Locomotive ID","value":"4043"},{"id":130,"name":"Impact","value":""},{"id":150,"name":"Time of Event (Mountain Time)","value":"17:38:45"},{"id":151,"name":"Denver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/c/Users/stu/AppData/Local/Temp/OnboardLogs/RTDC4043 --include="*4043*201709052*"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"%USERPROFILE%\AppData\Local\Temp\OnboardLogs"\RTDC4043\*4043*201709052* &gt;&gt; 2017-09-05-SliceDisagreementCheck.txt</v>
      </c>
      <c r="AE11" s="145" t="str">
        <f t="shared" si="9"/>
        <v>start /low /b %USERPROFILE%\Documents\GitHub\eaglep3\Utilities\DownloadLogsFromS3.py --loco 4043 --day 2017-09-05</v>
      </c>
    </row>
    <row r="12" spans="1:32" x14ac:dyDescent="0.25">
      <c r="A12" s="31">
        <v>42983.738842592589</v>
      </c>
      <c r="B12" s="30" t="s">
        <v>602</v>
      </c>
      <c r="C12" s="30" t="s">
        <v>611</v>
      </c>
      <c r="D12" s="30" t="s">
        <v>49</v>
      </c>
      <c r="E12" s="30" t="s">
        <v>187</v>
      </c>
      <c r="F12" s="42">
        <v>50</v>
      </c>
      <c r="G12" s="42">
        <v>105</v>
      </c>
      <c r="H12" s="42">
        <v>57781</v>
      </c>
      <c r="I12" s="42">
        <v>58073</v>
      </c>
      <c r="J12" s="30" t="s">
        <v>188</v>
      </c>
      <c r="K12" s="42">
        <v>58118</v>
      </c>
      <c r="L12" s="131" t="s">
        <v>50</v>
      </c>
      <c r="M12" s="132">
        <f t="shared" si="0"/>
        <v>23.76</v>
      </c>
      <c r="N12" s="133" t="str">
        <f>VLOOKUP(C12,'Trips&amp;Operators'!$C$1:$G$99911,5,FALSE)</f>
        <v>ZEWDU DEREJE</v>
      </c>
      <c r="O12" s="200" t="s">
        <v>180</v>
      </c>
      <c r="P12" s="134" t="s">
        <v>1006</v>
      </c>
      <c r="Q12" s="30"/>
      <c r="R12" s="81" t="str">
        <f>VLOOKUP(C12,'Train Runs'!$A$13:$AE$9921,31,0)</f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S12" s="84" t="str">
        <f>VLOOKUP(C12,'Train Runs'!$A$13:$AE$9921,22,0)</f>
        <v>https://d0f6bd738d7f1b3e5a7ca70fe4ff75f0.us-east-1.aws.found.io/app/kibana#/discover/Steve-Slow-Train-Analysis-(2080s-and-2083s)?_g=(refreshInterval:(display:Off,pause:!f,section:0,value:0),time:(from:'2017-09-05T16:23:53-0600',mode:absolute,to:'2017-09-05T19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2" s="86" t="str">
        <f t="shared" si="1"/>
        <v>"C:\Program Files (x86)\AstroGrep\AstroGrep.exe" /e /r /s /spath="%USERPROFILE%\AppData\Local\Temp\OnboardLogs" /stypes="*4024*201709052*"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4024</v>
      </c>
      <c r="V12" s="31">
        <f t="shared" si="3"/>
        <v>42983.988842592589</v>
      </c>
      <c r="W12" s="45" t="str">
        <f t="shared" si="4"/>
        <v>EC</v>
      </c>
      <c r="X12" s="22">
        <f t="shared" si="5"/>
        <v>211</v>
      </c>
      <c r="Y12" s="96" t="str">
        <f t="shared" si="6"/>
        <v>echo {"issue":{"subject":"Early Arrival caused by Wi-MAX data drop","project_id":79,"tracker_id":40,"status_id":1,"priority_id":2,"assigned_to_id":338,"start_date":"2017-09-05","description":"","custom_fields":[{"id":1,"name":"Subdivision","value":"EC"},{"id":4,"name":"Milepost","value":"5.8118"},{"id":17,"name":"Train ID","value":"211-05"},{"id":16,"name":"Locomotive ID","value":"4024"},{"id":130,"name":"Impact","value":""},{"id":150,"name":"Time of Event (Mountain Time)","value":"17:43:56"},{"id":151,"name":"Denver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/c/Users/stu/AppData/Local/Temp/OnboardLogs/RTDC4024 --include="*4024*201709052*"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"%USERPROFILE%\AppData\Local\Temp\OnboardLogs"\RTDC4024\*4024*201709052* &gt;&gt; 2017-09-05-SliceDisagreementCheck.txt</v>
      </c>
      <c r="AE12" s="145" t="str">
        <f t="shared" si="9"/>
        <v>start /low /b %USERPROFILE%\Documents\GitHub\eaglep3\Utilities\DownloadLogsFromS3.py --loco 4024 --day 2017-09-05</v>
      </c>
      <c r="AF12" s="1"/>
    </row>
    <row r="13" spans="1:32" x14ac:dyDescent="0.25">
      <c r="A13" s="31">
        <v>42983.619351851848</v>
      </c>
      <c r="B13" s="30" t="s">
        <v>392</v>
      </c>
      <c r="C13" s="30" t="s">
        <v>597</v>
      </c>
      <c r="D13" s="30" t="s">
        <v>49</v>
      </c>
      <c r="E13" s="30" t="s">
        <v>187</v>
      </c>
      <c r="F13" s="42">
        <v>0</v>
      </c>
      <c r="G13" s="42">
        <v>284</v>
      </c>
      <c r="H13" s="42">
        <v>58438</v>
      </c>
      <c r="I13" s="42">
        <v>57835</v>
      </c>
      <c r="J13" s="30" t="s">
        <v>188</v>
      </c>
      <c r="K13" s="42">
        <v>58301</v>
      </c>
      <c r="L13" s="131" t="s">
        <v>51</v>
      </c>
      <c r="M13" s="132">
        <f t="shared" si="0"/>
        <v>-246.048</v>
      </c>
      <c r="N13" s="133" t="str">
        <f>VLOOKUP(C13,'Trips&amp;Operators'!$C$1:$G$99911,5,FALSE)</f>
        <v>LEVIN SCOTT</v>
      </c>
      <c r="O13" s="200" t="s">
        <v>180</v>
      </c>
      <c r="P13" s="134" t="s">
        <v>379</v>
      </c>
      <c r="Q13" s="30"/>
      <c r="R13" s="81" t="str">
        <f>VLOOKUP(C13,'Train Runs'!$A$13:$AE$9921,31,0)</f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S13" s="84" t="str">
        <f>VLOOKUP(C13,'Train Runs'!$A$13:$AE$9921,22,0)</f>
        <v>https://d0f6bd738d7f1b3e5a7ca70fe4ff75f0.us-east-1.aws.found.io/app/kibana#/discover/Steve-Slow-Train-Analysis-(2080s-and-2083s)?_g=(refreshInterval:(display:Off,pause:!f,section:0,value:0),time:(from:'2017-09-05T13:12:51-0600',mode:absolute,to:'2017-09-05T16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/stypes="*4029*201709052*"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42983.869351851848</v>
      </c>
      <c r="W13" s="45" t="str">
        <f t="shared" si="4"/>
        <v>EC</v>
      </c>
      <c r="X13" s="22">
        <f t="shared" si="5"/>
        <v>180</v>
      </c>
      <c r="Y13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Arrival","project_id":79,"tracker_id":40,"status_id":1,"priority_id":2,"assigned_to_id":338,"start_date":"2017-09-05","description":"","custom_fields":[{"id":1,"name":"Subdivision","value":"EC"},{"id":4,"name":"Milepost","value":"5.8301"},{"id":17,"name":"Train ID","value":"180-05"},{"id":16,"name":"Locomotive ID","value":"4029"},{"id":130,"name":"Impact","value":""},{"id":150,"name":"Time of Event (Mountain Time)","value":"14:51:52"},{"id":151,"name":"Denver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/c/Users/stu/AppData/Local/Temp/OnboardLogs/RTDC4029 --include="*4029*201709052*"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"%USERPROFILE%\AppData\Local\Temp\OnboardLogs"\RTDC4029\*4029*201709052* &gt;&gt; 2017-09-05-SliceDisagreementCheck.txt</v>
      </c>
      <c r="AE13" s="145" t="str">
        <f t="shared" si="9"/>
        <v>start /low /b %USERPROFILE%\Documents\GitHub\eaglep3\Utilities\DownloadLogsFromS3.py --loco 4029 --day 2017-09-05</v>
      </c>
      <c r="AF13" s="1"/>
    </row>
    <row r="14" spans="1:32" x14ac:dyDescent="0.25">
      <c r="A14" s="31">
        <v>42983.727881944447</v>
      </c>
      <c r="B14" s="30" t="s">
        <v>575</v>
      </c>
      <c r="C14" s="30" t="s">
        <v>609</v>
      </c>
      <c r="D14" s="30" t="s">
        <v>96</v>
      </c>
      <c r="E14" s="30" t="s">
        <v>187</v>
      </c>
      <c r="F14" s="42">
        <v>0</v>
      </c>
      <c r="G14" s="42">
        <v>444</v>
      </c>
      <c r="H14" s="42">
        <v>58816</v>
      </c>
      <c r="I14" s="42">
        <v>59980</v>
      </c>
      <c r="J14" s="30" t="s">
        <v>188</v>
      </c>
      <c r="K14" s="42">
        <v>58783</v>
      </c>
      <c r="L14" s="131" t="s">
        <v>50</v>
      </c>
      <c r="M14" s="132">
        <f t="shared" si="0"/>
        <v>-632.01599999999996</v>
      </c>
      <c r="N14" s="133" t="str">
        <f>VLOOKUP(C14,'Trips&amp;Operators'!$C$1:$G$99911,5,FALSE)</f>
        <v>LEVERE CRAIG</v>
      </c>
      <c r="O14" s="200" t="s">
        <v>180</v>
      </c>
      <c r="P14" s="134" t="s">
        <v>379</v>
      </c>
      <c r="Q14" s="30"/>
      <c r="R14" s="81" t="str">
        <f>VLOOKUP(C14,'Train Runs'!$A$13:$AE$9921,31,0)</f>
        <v>aws s3 cp s3://rtdc.mdm.uploadarchive.raw/RTDC4066/ "%USERPROFILE%\AppData\Local\Temp\OnboardLogs"\RTDC4066\2017-09-05 --exclude "*" --recursive --include "*20170905*" &amp; "%USERPROFILE%\Documents\GitHub\mrs-test-scripts\Headless Mode &amp; Sideloading\WalkAndUnGZ.bat" "%USERPROFILE%\AppData\Local\Temp\OnboardLogs"\RTDC4066\2017-09-05 &amp; aws s3 cp s3://rtdc.mdm.uploadarchive.raw/RTDC4066/ "%USERPROFILE%\AppData\Local\Temp\OnboardLogs"\RTDC4066\2017-09-06 --exclude "*" --recursive --include "*20170906*" &amp; "%USERPROFILE%\Documents\GitHub\mrs-test-scripts\Headless Mode &amp; Sideloading\WalkAndUnGZ.bat" "%USERPROFILE%\AppData\Local\Temp\OnboardLogs"\RTDC4066\2017-09-06</v>
      </c>
      <c r="S14" s="84" t="str">
        <f>VLOOKUP(C14,'Train Runs'!$A$13:$AE$9921,22,0)</f>
        <v>https://d0f6bd738d7f1b3e5a7ca70fe4ff75f0.us-east-1.aws.found.io/app/kibana#/discover/Steve-Slow-Train-Analysis-(2080s-and-2083s)?_g=(refreshInterval:(display:Off,pause:!f,section:0,value:0),time:(from:'2017-09-05T16:07:09-0600',mode:absolute,to:'2017-09-05T18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4" s="86" t="str">
        <f t="shared" si="1"/>
        <v>"C:\Program Files (x86)\AstroGrep\AstroGrep.exe" /e /r /s /spath="%USERPROFILE%\AppData\Local\Temp\OnboardLogs" /stypes="*4066*201709052*"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4066</v>
      </c>
      <c r="V14" s="31">
        <f t="shared" si="3"/>
        <v>42983.977881944447</v>
      </c>
      <c r="W14" s="45" t="str">
        <f t="shared" si="4"/>
        <v>EC</v>
      </c>
      <c r="X14" s="22">
        <f t="shared" si="5"/>
        <v>209</v>
      </c>
      <c r="Y14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Arrival","project_id":79,"tracker_id":40,"status_id":1,"priority_id":2,"assigned_to_id":338,"start_date":"2017-09-05","description":"","custom_fields":[{"id":1,"name":"Subdivision","value":"EC"},{"id":4,"name":"Milepost","value":"5.8783"},{"id":17,"name":"Train ID","value":"209-05"},{"id":16,"name":"Locomotive ID","value":"4066"},{"id":130,"name":"Impact","value":""},{"id":150,"name":"Time of Event (Mountain Time)","value":"17:28:09"},{"id":151,"name":"Denver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/c/Users/stu/AppData/Local/Temp/OnboardLogs/RTDC4066 --include="*4066*201709052*"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"%USERPROFILE%\AppData\Local\Temp\OnboardLogs"\RTDC4066\*4066*201709052* &gt;&gt; 2017-09-05-SliceDisagreementCheck.txt</v>
      </c>
      <c r="AE14" s="145" t="str">
        <f t="shared" si="9"/>
        <v>start /low /b %USERPROFILE%\Documents\GitHub\eaglep3\Utilities\DownloadLogsFromS3.py --loco 4066 --day 2017-09-05</v>
      </c>
      <c r="AF14" s="1"/>
    </row>
    <row r="15" spans="1:32" x14ac:dyDescent="0.25">
      <c r="A15" s="31">
        <v>42983.706875000003</v>
      </c>
      <c r="B15" s="30" t="s">
        <v>506</v>
      </c>
      <c r="C15" s="30" t="s">
        <v>607</v>
      </c>
      <c r="D15" s="30" t="s">
        <v>49</v>
      </c>
      <c r="E15" s="30" t="s">
        <v>187</v>
      </c>
      <c r="F15" s="42">
        <v>500</v>
      </c>
      <c r="G15" s="42">
        <v>561</v>
      </c>
      <c r="H15" s="42">
        <v>57688</v>
      </c>
      <c r="I15" s="42">
        <v>59501</v>
      </c>
      <c r="J15" s="30" t="s">
        <v>188</v>
      </c>
      <c r="K15" s="42">
        <v>58783</v>
      </c>
      <c r="L15" s="131" t="s">
        <v>50</v>
      </c>
      <c r="M15" s="132">
        <f t="shared" si="0"/>
        <v>-379.10399999999998</v>
      </c>
      <c r="N15" s="133" t="str">
        <f>VLOOKUP(C15,'Trips&amp;Operators'!$C$1:$G$99911,5,FALSE)</f>
        <v>ROBINSON KADDIBA</v>
      </c>
      <c r="O15" s="200" t="s">
        <v>180</v>
      </c>
      <c r="P15" s="134" t="s">
        <v>379</v>
      </c>
      <c r="Q15" s="30"/>
      <c r="R15" s="81" t="str">
        <f>VLOOKUP(C15,'Train Runs'!$A$13:$AE$9921,31,0)</f>
        <v>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 &amp; aws s3 cp s3://rtdc.mdm.uploadarchive.raw/RTDC4010/ "%USERPROFILE%\AppData\Local\Temp\OnboardLogs"\RTDC4010\2017-09-06 --exclude "*" --recursive --include "*20170906*" &amp; "%USERPROFILE%\Documents\GitHub\mrs-test-scripts\Headless Mode &amp; Sideloading\WalkAndUnGZ.bat" "%USERPROFILE%\AppData\Local\Temp\OnboardLogs"\RTDC4010\2017-09-06</v>
      </c>
      <c r="S15" s="84" t="str">
        <f>VLOOKUP(C15,'Train Runs'!$A$13:$AE$9921,22,0)</f>
        <v>https://d0f6bd738d7f1b3e5a7ca70fe4ff75f0.us-east-1.aws.found.io/app/kibana#/discover/Steve-Slow-Train-Analysis-(2080s-and-2083s)?_g=(refreshInterval:(display:Off,pause:!f,section:0,value:0),time:(from:'2017-09-05T15:35:02-0600',mode:absolute,to:'2017-09-05T18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/stypes="*4010*201709052*"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42983.956875000003</v>
      </c>
      <c r="W15" s="45" t="str">
        <f t="shared" si="4"/>
        <v>EC</v>
      </c>
      <c r="X15" s="22">
        <f t="shared" si="5"/>
        <v>205</v>
      </c>
      <c r="Y15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Arrival","project_id":79,"tracker_id":40,"status_id":1,"priority_id":2,"assigned_to_id":338,"start_date":"2017-09-05","description":"","custom_fields":[{"id":1,"name":"Subdivision","value":"EC"},{"id":4,"name":"Milepost","value":"5.8783"},{"id":17,"name":"Train ID","value":"205-05"},{"id":16,"name":"Locomotive ID","value":"4010"},{"id":130,"name":"Impact","value":""},{"id":150,"name":"Time of Event (Mountain Time)","value":"16:57:54"},{"id":151,"name":"Denver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/c/Users/stu/AppData/Local/Temp/OnboardLogs/RTDC4010 --include="*4010*201709052*"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"%USERPROFILE%\AppData\Local\Temp\OnboardLogs"\RTDC4010\*4010*201709052* &gt;&gt; 2017-09-05-SliceDisagreementCheck.txt</v>
      </c>
      <c r="AE15" s="145" t="str">
        <f t="shared" si="9"/>
        <v>start /low /b %USERPROFILE%\Documents\GitHub\eaglep3\Utilities\DownloadLogsFromS3.py --loco 4010 --day 2017-09-05</v>
      </c>
      <c r="AF15" s="1"/>
    </row>
    <row r="16" spans="1:32" x14ac:dyDescent="0.25">
      <c r="A16" s="31">
        <v>42983.769444444442</v>
      </c>
      <c r="B16" s="30" t="s">
        <v>598</v>
      </c>
      <c r="C16" s="30" t="s">
        <v>613</v>
      </c>
      <c r="D16" s="30" t="s">
        <v>49</v>
      </c>
      <c r="E16" s="30" t="s">
        <v>187</v>
      </c>
      <c r="F16" s="42">
        <v>0</v>
      </c>
      <c r="G16" s="42">
        <v>482</v>
      </c>
      <c r="H16" s="42">
        <v>62811</v>
      </c>
      <c r="I16" s="42">
        <v>63897</v>
      </c>
      <c r="J16" s="30" t="s">
        <v>188</v>
      </c>
      <c r="K16" s="42">
        <v>63069</v>
      </c>
      <c r="L16" s="131" t="s">
        <v>50</v>
      </c>
      <c r="M16" s="132">
        <f t="shared" si="0"/>
        <v>-437.18400000000003</v>
      </c>
      <c r="N16" s="133" t="str">
        <f>VLOOKUP(C16,'Trips&amp;Operators'!$C$1:$G$99911,5,FALSE)</f>
        <v>PERKINS DARREN</v>
      </c>
      <c r="O16" s="200" t="s">
        <v>180</v>
      </c>
      <c r="P16" s="134" t="s">
        <v>379</v>
      </c>
      <c r="Q16" s="30"/>
      <c r="R16" s="81" t="str">
        <f>VLOOKUP(C16,'Train Runs'!$A$13:$AE$9921,31,0)</f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S16" s="84" t="str">
        <f>VLOOKUP(C16,'Train Runs'!$A$13:$AE$9921,22,0)</f>
        <v>https://d0f6bd738d7f1b3e5a7ca70fe4ff75f0.us-east-1.aws.found.io/app/kibana#/discover/Steve-Slow-Train-Analysis-(2080s-and-2083s)?_g=(refreshInterval:(display:Off,pause:!f,section:0,value:0),time:(from:'2017-09-05T17:09:52-0600',mode:absolute,to:'2017-09-05T19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86" t="str">
        <f t="shared" si="1"/>
        <v>"C:\Program Files (x86)\AstroGrep\AstroGrep.exe" /e /r /s /spath="%USERPROFILE%\AppData\Local\Temp\OnboardLogs" /stypes="*4022*201709060*"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4022</v>
      </c>
      <c r="V16" s="31">
        <f t="shared" si="3"/>
        <v>42984.019444444442</v>
      </c>
      <c r="W16" s="45" t="str">
        <f t="shared" si="4"/>
        <v>EC</v>
      </c>
      <c r="X16" s="22">
        <f t="shared" si="5"/>
        <v>217</v>
      </c>
      <c r="Y16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Arrival","project_id":79,"tracker_id":40,"status_id":1,"priority_id":2,"assigned_to_id":338,"start_date":"2017-09-05","description":"","custom_fields":[{"id":1,"name":"Subdivision","value":"EC"},{"id":4,"name":"Milepost","value":"6.3069"},{"id":17,"name":"Train ID","value":"217-05"},{"id":16,"name":"Locomotive ID","value":"4022"},{"id":130,"name":"Impact","value":""},{"id":150,"name":"Time of Event (Mountain Time)","value":"18:28:00"},{"id":151,"name":"Denver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/c/Users/stu/AppData/Local/Temp/OnboardLogs/RTDC4022 --include="*4022*201709060*"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"%USERPROFILE%\AppData\Local\Temp\OnboardLogs"\RTDC4022\*4022*201709060* &gt;&gt; 2017-09-05-SliceDisagreementCheck.txt</v>
      </c>
      <c r="AE16" s="145" t="str">
        <f t="shared" si="9"/>
        <v>start /low /b %USERPROFILE%\Documents\GitHub\eaglep3\Utilities\DownloadLogsFromS3.py --loco 4022 --day 2017-09-06</v>
      </c>
      <c r="AF16" s="1"/>
    </row>
    <row r="17" spans="1:32" x14ac:dyDescent="0.25">
      <c r="A17" s="31">
        <v>42983.636481481481</v>
      </c>
      <c r="B17" s="30" t="s">
        <v>598</v>
      </c>
      <c r="C17" s="30" t="s">
        <v>599</v>
      </c>
      <c r="D17" s="30" t="s">
        <v>49</v>
      </c>
      <c r="E17" s="30" t="s">
        <v>195</v>
      </c>
      <c r="F17" s="42">
        <v>550</v>
      </c>
      <c r="G17" s="42">
        <v>792</v>
      </c>
      <c r="H17" s="42">
        <v>217765</v>
      </c>
      <c r="I17" s="42">
        <v>221750</v>
      </c>
      <c r="J17" s="30" t="s">
        <v>196</v>
      </c>
      <c r="K17" s="42">
        <v>222090</v>
      </c>
      <c r="L17" s="131" t="s">
        <v>50</v>
      </c>
      <c r="M17" s="132">
        <f t="shared" si="0"/>
        <v>179.52</v>
      </c>
      <c r="N17" s="133" t="str">
        <f>VLOOKUP(C17,'Trips&amp;Operators'!$C$1:$G$99911,5,FALSE)</f>
        <v>BRUDER RICHARD</v>
      </c>
      <c r="O17" s="200" t="s">
        <v>180</v>
      </c>
      <c r="P17" s="134"/>
      <c r="Q17" s="30"/>
      <c r="R17" s="81" t="str">
        <f>VLOOKUP(C17,'Train Runs'!$A$13:$AE$9921,31,0)</f>
        <v>aws s3 cp s3://rtdc.mdm.uploadarchive.raw/RTDC4022/ "%USERPROFILE%\AppData\Local\Temp\OnboardLogs"\RTDC4022\2017-09-05 --exclude "*" --recursive --include "*20170905*" &amp; "%USERPROFILE%\Documents\GitHub\mrs-test-scripts\Headless Mode &amp; Sideloading\WalkAndUnGZ.bat" "%USERPROFILE%\AppData\Local\Temp\OnboardLogs"\RTDC4022\2017-09-05 &amp; aws s3 cp s3://rtdc.mdm.uploadarchive.raw/RTDC4022/ "%USERPROFILE%\AppData\Local\Temp\OnboardLogs"\RTDC4022\2017-09-06 --exclude "*" --recursive --include "*20170906*" &amp; "%USERPROFILE%\Documents\GitHub\mrs-test-scripts\Headless Mode &amp; Sideloading\WalkAndUnGZ.bat" "%USERPROFILE%\AppData\Local\Temp\OnboardLogs"\RTDC4022\2017-09-06</v>
      </c>
      <c r="S17" s="84" t="str">
        <f>VLOOKUP(C17,'Train Runs'!$A$13:$AE$9921,22,0)</f>
        <v>https://d0f6bd738d7f1b3e5a7ca70fe4ff75f0.us-east-1.aws.found.io/app/kibana#/discover/Steve-Slow-Train-Analysis-(2080s-and-2083s)?_g=(refreshInterval:(display:Off,pause:!f,section:0,value:0),time:(from:'2017-09-05T13:29:35-0600',mode:absolute,to:'2017-09-05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86" t="str">
        <f t="shared" si="1"/>
        <v>"C:\Program Files (x86)\AstroGrep\AstroGrep.exe" /e /r /s /spath="%USERPROFILE%\AppData\Local\Temp\OnboardLogs" /stypes="*4022*201709052*"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4022</v>
      </c>
      <c r="V17" s="31">
        <f t="shared" si="3"/>
        <v>42983.886481481481</v>
      </c>
      <c r="W17" s="45" t="str">
        <f t="shared" si="4"/>
        <v>EC</v>
      </c>
      <c r="X17" s="22">
        <f t="shared" si="5"/>
        <v>189</v>
      </c>
      <c r="Y17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{"issue":{"subject":"","project_id":79,"tracker_id":40,"status_id":1,"priority_id":2,"assigned_to_id":338,"start_date":"2017-09-05","description":"","custom_fields":[{"id":1,"name":"Subdivision","value":"EC"},{"id":4,"name":"Milepost","value":"22.209"},{"id":17,"name":"Train ID","value":"189-05"},{"id":16,"name":"Locomotive ID","value":"4022"},{"id":130,"name":"Impact","value":""},{"id":150,"name":"Time of Event (Mountain Time)","value":"15:16:32"},{"id":151,"name":"Denver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/c/Users/stu/AppData/Local/Temp/OnboardLogs/RTDC4022 --include="*4022*201709052*"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"%USERPROFILE%\AppData\Local\Temp\OnboardLogs"\RTDC4022\*4022*201709052* &gt;&gt; 2017-09-05-SliceDisagreementCheck.txt</v>
      </c>
      <c r="AE17" s="145" t="str">
        <f t="shared" si="9"/>
        <v>start /low /b %USERPROFILE%\Documents\GitHub\eaglep3\Utilities\DownloadLogsFromS3.py --loco 4022 --day 2017-09-05</v>
      </c>
      <c r="AF17" s="1"/>
    </row>
    <row r="18" spans="1:32" x14ac:dyDescent="0.25">
      <c r="A18" s="31">
        <v>42983.328692129631</v>
      </c>
      <c r="B18" s="30" t="s">
        <v>452</v>
      </c>
      <c r="C18" s="30" t="s">
        <v>583</v>
      </c>
      <c r="D18" s="30" t="s">
        <v>49</v>
      </c>
      <c r="E18" s="30" t="s">
        <v>195</v>
      </c>
      <c r="F18" s="42">
        <v>350</v>
      </c>
      <c r="G18" s="42">
        <v>580</v>
      </c>
      <c r="H18" s="42">
        <v>221929</v>
      </c>
      <c r="I18" s="42">
        <v>224024</v>
      </c>
      <c r="J18" s="30" t="s">
        <v>196</v>
      </c>
      <c r="K18" s="42">
        <v>224578</v>
      </c>
      <c r="L18" s="131" t="s">
        <v>50</v>
      </c>
      <c r="M18" s="132">
        <f t="shared" si="0"/>
        <v>292.512</v>
      </c>
      <c r="N18" s="133" t="str">
        <f>VLOOKUP(C18,'Trips&amp;Operators'!$C$1:$G$99911,5,FALSE)</f>
        <v>STARKS ANGELINA</v>
      </c>
      <c r="O18" s="200" t="s">
        <v>180</v>
      </c>
      <c r="P18" s="134"/>
      <c r="Q18" s="30"/>
      <c r="R18" s="81" t="str">
        <f>VLOOKUP(C18,'Train Runs'!$A$13:$AE$9921,31,0)</f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S18" s="84" t="str">
        <f>VLOOKUP(C18,'Train Runs'!$A$13:$AE$9921,22,0)</f>
        <v>https://d0f6bd738d7f1b3e5a7ca70fe4ff75f0.us-east-1.aws.found.io/app/kibana#/discover/Steve-Slow-Train-Analysis-(2080s-and-2083s)?_g=(refreshInterval:(display:Off,pause:!f,section:0,value:0),time:(from:'2017-09-05T06:12:15-0600',mode:absolute,to:'2017-09-05T08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86" t="str">
        <f t="shared" si="1"/>
        <v>"C:\Program Files (x86)\AstroGrep\AstroGrep.exe" /e /r /s /spath="%USERPROFILE%\AppData\Local\Temp\OnboardLogs" /stypes="*4040*201709051*"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4040</v>
      </c>
      <c r="V18" s="31">
        <f t="shared" si="3"/>
        <v>42983.578692129631</v>
      </c>
      <c r="W18" s="45" t="str">
        <f t="shared" si="4"/>
        <v>EC</v>
      </c>
      <c r="X18" s="22">
        <f t="shared" si="5"/>
        <v>129</v>
      </c>
      <c r="Y18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{"issue":{"subject":"","project_id":79,"tracker_id":40,"status_id":1,"priority_id":2,"assigned_to_id":338,"start_date":"2017-09-05","description":"","custom_fields":[{"id":1,"name":"Subdivision","value":"EC"},{"id":4,"name":"Milepost","value":"22.4578"},{"id":17,"name":"Train ID","value":"129-05"},{"id":16,"name":"Locomotive ID","value":"4040"},{"id":130,"name":"Impact","value":""},{"id":150,"name":"Time of Event (Mountain Time)","value":"07:53:19"},{"id":151,"name":"Denver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/c/Users/stu/AppData/Local/Temp/OnboardLogs/RTDC4040 --include="*4040*201709051*"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"%USERPROFILE%\AppData\Local\Temp\OnboardLogs"\RTDC4040\*4040*201709051* &gt;&gt; 2017-09-05-SliceDisagreementCheck.txt</v>
      </c>
      <c r="AE18" s="145" t="str">
        <f t="shared" si="9"/>
        <v>start /low /b %USERPROFILE%\Documents\GitHub\eaglep3\Utilities\DownloadLogsFromS3.py --loco 4040 --day 2017-09-05</v>
      </c>
      <c r="AF18" s="1"/>
    </row>
    <row r="19" spans="1:32" x14ac:dyDescent="0.25">
      <c r="A19" s="31">
        <v>42983.312800925924</v>
      </c>
      <c r="B19" s="30" t="s">
        <v>579</v>
      </c>
      <c r="C19" s="30" t="s">
        <v>580</v>
      </c>
      <c r="D19" s="30" t="s">
        <v>49</v>
      </c>
      <c r="E19" s="30" t="s">
        <v>367</v>
      </c>
      <c r="F19" s="42">
        <v>0</v>
      </c>
      <c r="G19" s="42">
        <v>158</v>
      </c>
      <c r="H19" s="42">
        <v>910</v>
      </c>
      <c r="I19" s="42">
        <v>1102</v>
      </c>
      <c r="J19" s="30" t="s">
        <v>368</v>
      </c>
      <c r="K19" s="42">
        <v>1692</v>
      </c>
      <c r="L19" s="131" t="s">
        <v>50</v>
      </c>
      <c r="M19" s="132">
        <f t="shared" si="0"/>
        <v>311.52</v>
      </c>
      <c r="N19" s="133" t="str">
        <f>VLOOKUP(C19,'Trips&amp;Operators'!$C$1:$G$99911,5,FALSE)</f>
        <v>MACDONALD THOMAS</v>
      </c>
      <c r="O19" s="200" t="s">
        <v>180</v>
      </c>
      <c r="P19" s="134" t="s">
        <v>999</v>
      </c>
      <c r="Q19" s="30"/>
      <c r="R19" s="81" t="str">
        <f>VLOOKUP(C19,'Train Runs'!$A$13:$AE$9921,31,0)</f>
        <v>aws s3 cp s3://rtdc.mdm.uploadarchive.raw/RTDC4044/ "%USERPROFILE%\AppData\Local\Temp\OnboardLogs"\RTDC4044\2017-09-05 --exclude "*" --recursive --include "*20170905*" &amp; "%USERPROFILE%\Documents\GitHub\mrs-test-scripts\Headless Mode &amp; Sideloading\WalkAndUnGZ.bat" "%USERPROFILE%\AppData\Local\Temp\OnboardLogs"\RTDC4044\2017-09-05 &amp; aws s3 cp s3://rtdc.mdm.uploadarchive.raw/RTDC4044/ "%USERPROFILE%\AppData\Local\Temp\OnboardLogs"\RTDC4044\2017-09-06 --exclude "*" --recursive --include "*20170906*" &amp; "%USERPROFILE%\Documents\GitHub\mrs-test-scripts\Headless Mode &amp; Sideloading\WalkAndUnGZ.bat" "%USERPROFILE%\AppData\Local\Temp\OnboardLogs"\RTDC4044\2017-09-06</v>
      </c>
      <c r="S19" s="84" t="str">
        <f>VLOOKUP(C19,'Train Runs'!$A$13:$AE$9921,22,0)</f>
        <v>https://d0f6bd738d7f1b3e5a7ca70fe4ff75f0.us-east-1.aws.found.io/app/kibana#/discover/Steve-Slow-Train-Analysis-(2080s-and-2083s)?_g=(refreshInterval:(display:Off,pause:!f,section:0,value:0),time:(from:'2017-09-05T06:24:20-0600',mode:absolute,to:'2017-09-05T09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86" t="str">
        <f t="shared" si="1"/>
        <v>"C:\Program Files (x86)\AstroGrep\AstroGrep.exe" /e /r /s /spath="%USERPROFILE%\AppData\Local\Temp\OnboardLogs" /stypes="*4044*201709051*"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4044</v>
      </c>
      <c r="V19" s="31">
        <f t="shared" si="3"/>
        <v>42983.562800925924</v>
      </c>
      <c r="W19" s="45" t="str">
        <f t="shared" si="4"/>
        <v>EC</v>
      </c>
      <c r="X19" s="22">
        <f t="shared" si="5"/>
        <v>131</v>
      </c>
      <c r="Y19" s="96" t="str">
        <f t="shared" si="6"/>
        <v>echo {"issue":{"subject":"Selected wrong track","project_id":79,"tracker_id":40,"status_id":1,"priority_id":2,"assigned_to_id":338,"start_date":"2017-09-05","description":"","custom_fields":[{"id":1,"name":"Subdivision","value":"EC"},{"id":4,"name":"Milepost","value":"0.1692"},{"id":17,"name":"Train ID","value":"131-05"},{"id":16,"name":"Locomotive ID","value":"4044"},{"id":130,"name":"Impact","value":""},{"id":150,"name":"Time of Event (Mountain Time)","value":"07:30:26"},{"id":151,"name":"Denver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/c/Users/stu/AppData/Local/Temp/OnboardLogs/RTDC4044 --include="*4044*201709051*"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"%USERPROFILE%\AppData\Local\Temp\OnboardLogs"\RTDC4044\*4044*201709051* &gt;&gt; 2017-09-05-SliceDisagreementCheck.txt</v>
      </c>
      <c r="AE19" s="145" t="str">
        <f t="shared" si="9"/>
        <v>start /low /b %USERPROFILE%\Documents\GitHub\eaglep3\Utilities\DownloadLogsFromS3.py --loco 4044 --day 2017-09-05</v>
      </c>
      <c r="AF19" s="1"/>
    </row>
    <row r="20" spans="1:32" x14ac:dyDescent="0.25">
      <c r="A20" s="31">
        <v>42983.350335648145</v>
      </c>
      <c r="B20" s="30" t="s">
        <v>465</v>
      </c>
      <c r="C20" s="30" t="s">
        <v>585</v>
      </c>
      <c r="D20" s="30" t="s">
        <v>49</v>
      </c>
      <c r="E20" s="30" t="s">
        <v>367</v>
      </c>
      <c r="F20" s="42">
        <v>0</v>
      </c>
      <c r="G20" s="42">
        <v>167</v>
      </c>
      <c r="H20" s="42">
        <v>36622</v>
      </c>
      <c r="I20" s="42">
        <v>36736</v>
      </c>
      <c r="J20" s="30" t="s">
        <v>368</v>
      </c>
      <c r="K20" s="42">
        <v>36645</v>
      </c>
      <c r="L20" s="131" t="s">
        <v>50</v>
      </c>
      <c r="M20" s="132">
        <f t="shared" si="0"/>
        <v>-48.048000000000002</v>
      </c>
      <c r="N20" s="133" t="str">
        <f>VLOOKUP(C20,'Trips&amp;Operators'!$C$1:$G$99911,5,FALSE)</f>
        <v>SPECTOR MICHAEL</v>
      </c>
      <c r="O20" s="200" t="s">
        <v>370</v>
      </c>
      <c r="P20" s="134" t="s">
        <v>996</v>
      </c>
      <c r="Q20" s="30"/>
      <c r="R20" s="81" t="str">
        <f>VLOOKUP(C20,'Train Runs'!$A$13:$AE$9921,31,0)</f>
        <v>aws s3 cp s3://rtdc.mdm.uploadarchive.raw/RTDC4026/ "%USERPROFILE%\AppData\Local\Temp\OnboardLogs"\RTDC4026\2017-09-05 --exclude "*" --recursive --include "*20170905*" &amp; "%USERPROFILE%\Documents\GitHub\mrs-test-scripts\Headless Mode &amp; Sideloading\WalkAndUnGZ.bat" "%USERPROFILE%\AppData\Local\Temp\OnboardLogs"\RTDC4026\2017-09-05 &amp; 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</v>
      </c>
      <c r="S20" s="84" t="str">
        <f>VLOOKUP(C20,'Train Runs'!$A$13:$AE$9921,22,0)</f>
        <v>https://d0f6bd738d7f1b3e5a7ca70fe4ff75f0.us-east-1.aws.found.io/app/kibana#/discover/Steve-Slow-Train-Analysis-(2080s-and-2083s)?_g=(refreshInterval:(display:Off,pause:!f,section:0,value:0),time:(from:'2017-09-05T07:01:04-0600',mode:absolute,to:'2017-09-05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6" t="str">
        <f t="shared" si="1"/>
        <v>"C:\Program Files (x86)\AstroGrep\AstroGrep.exe" /e /r /s /spath="%USERPROFILE%\AppData\Local\Temp\OnboardLogs" /stypes="*4026*201709051*"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4026</v>
      </c>
      <c r="V20" s="31">
        <f t="shared" si="3"/>
        <v>42983.600335648145</v>
      </c>
      <c r="W20" s="45" t="str">
        <f t="shared" si="4"/>
        <v>EC</v>
      </c>
      <c r="X20" s="22">
        <f t="shared" si="5"/>
        <v>137</v>
      </c>
      <c r="Y20" s="96" t="str">
        <f t="shared" si="6"/>
        <v>echo {"issue":{"subject":"Premature downgrade at EC0365RH 27-1T 1N","project_id":79,"tracker_id":40,"status_id":1,"priority_id":2,"assigned_to_id":338,"start_date":"2017-09-05","description":"08:24:10 - signal dropped from 270 to 0, do logs tell us anything?","custom_fields":[{"id":1,"name":"Subdivision","value":"EC"},{"id":4,"name":"Milepost","value":"3.6645"},{"id":17,"name":"Train ID","value":"137-05"},{"id":16,"name":"Locomotive ID","value":"4026"},{"id":130,"name":"Impact","value":"Enforcement"},{"id":150,"name":"Time of Event (Mountain Time)","value":"08:24:29"},{"id":151,"name":"Denver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159" t="s">
        <v>1005</v>
      </c>
      <c r="AA20" s="47" t="s">
        <v>120</v>
      </c>
      <c r="AB20" s="47" t="s">
        <v>125</v>
      </c>
      <c r="AC20" s="115" t="str">
        <f t="shared" si="7"/>
        <v>grep -hrE -A400 "Enforcement Action" /c/Users/stu/AppData/Local/Temp/OnboardLogs/RTDC4026 --include="*4026*201709051*"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"%USERPROFILE%\AppData\Local\Temp\OnboardLogs"\RTDC4026\*4026*201709051* &gt;&gt; 2017-09-05-SliceDisagreementCheck.txt</v>
      </c>
      <c r="AE20" s="145" t="str">
        <f t="shared" si="9"/>
        <v>start /low /b %USERPROFILE%\Documents\GitHub\eaglep3\Utilities\DownloadLogsFromS3.py --loco 4026 --day 2017-09-05</v>
      </c>
      <c r="AF20" s="1"/>
    </row>
    <row r="21" spans="1:32" x14ac:dyDescent="0.25">
      <c r="A21" s="31">
        <v>42983.665208333332</v>
      </c>
      <c r="B21" s="30" t="s">
        <v>602</v>
      </c>
      <c r="C21" s="30" t="s">
        <v>603</v>
      </c>
      <c r="D21" s="30" t="s">
        <v>49</v>
      </c>
      <c r="E21" s="30" t="s">
        <v>591</v>
      </c>
      <c r="F21" s="42">
        <v>0</v>
      </c>
      <c r="G21" s="42">
        <v>508</v>
      </c>
      <c r="H21" s="42">
        <v>55854</v>
      </c>
      <c r="I21" s="42">
        <v>57683</v>
      </c>
      <c r="J21" s="30" t="s">
        <v>572</v>
      </c>
      <c r="K21" s="42">
        <v>56976</v>
      </c>
      <c r="L21" s="131" t="s">
        <v>50</v>
      </c>
      <c r="M21" s="132">
        <f t="shared" si="0"/>
        <v>-373.29599999999999</v>
      </c>
      <c r="N21" s="133" t="str">
        <f>VLOOKUP(C21,'Trips&amp;Operators'!$C$1:$G$99911,5,FALSE)</f>
        <v>SAFIEF AEIMEN</v>
      </c>
      <c r="O21" s="200" t="s">
        <v>370</v>
      </c>
      <c r="P21" s="134" t="s">
        <v>568</v>
      </c>
      <c r="Q21" s="30"/>
      <c r="R21" s="81" t="str">
        <f>VLOOKUP(C21,'Train Runs'!$A$13:$AE$9921,31,0)</f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S21" s="84" t="str">
        <f>VLOOKUP(C21,'Train Runs'!$A$13:$AE$9921,22,0)</f>
        <v>https://d0f6bd738d7f1b3e5a7ca70fe4ff75f0.us-east-1.aws.found.io/app/kibana#/discover/Steve-Slow-Train-Analysis-(2080s-and-2083s)?_g=(refreshInterval:(display:Off,pause:!f,section:0,value:0),time:(from:'2017-09-05T14:39:43-0600',mode:absolute,to:'2017-09-05T17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1" s="86" t="str">
        <f t="shared" si="1"/>
        <v>"C:\Program Files (x86)\AstroGrep\AstroGrep.exe" /e /r /s /spath="%USERPROFILE%\AppData\Local\Temp\OnboardLogs" /stypes="*4024*201709052*"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4024</v>
      </c>
      <c r="V21" s="31">
        <f t="shared" si="3"/>
        <v>42983.915208333332</v>
      </c>
      <c r="W21" s="45" t="str">
        <f t="shared" si="4"/>
        <v>EC</v>
      </c>
      <c r="X21" s="22">
        <f t="shared" si="5"/>
        <v>197</v>
      </c>
      <c r="Y21" s="96" t="str">
        <f t="shared" si="6"/>
        <v>echo {"issue":{"subject":"Wi-MAX data drop","project_id":79,"tracker_id":40,"status_id":1,"priority_id":2,"assigned_to_id":338,"start_date":"2017-09-05","description":"","custom_fields":[{"id":1,"name":"Subdivision","value":"EC"},{"id":4,"name":"Milepost","value":"5.6976"},{"id":17,"name":"Train ID","value":"197-05"},{"id":16,"name":"Locomotive ID","value":"4024"},{"id":130,"name":"Impact","value":""},{"id":150,"name":"Time of Event (Mountain Time)","value":"15:57:54"},{"id":151,"name":"Denver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/c/Users/stu/AppData/Local/Temp/OnboardLogs/RTDC4024 --include="*4024*201709052*"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"%USERPROFILE%\AppData\Local\Temp\OnboardLogs"\RTDC4024\*4024*201709052* &gt;&gt; 2017-09-05-SliceDisagreementCheck.txt</v>
      </c>
      <c r="AE21" s="145" t="str">
        <f t="shared" si="9"/>
        <v>start /low /b %USERPROFILE%\Documents\GitHub\eaglep3\Utilities\DownloadLogsFromS3.py --loco 4024 --day 2017-09-05</v>
      </c>
      <c r="AF21" s="1"/>
    </row>
    <row r="22" spans="1:32" x14ac:dyDescent="0.25">
      <c r="A22" s="31">
        <v>42983.738310185188</v>
      </c>
      <c r="B22" s="30" t="s">
        <v>602</v>
      </c>
      <c r="C22" s="30" t="s">
        <v>611</v>
      </c>
      <c r="D22" s="30" t="s">
        <v>49</v>
      </c>
      <c r="E22" s="30" t="s">
        <v>591</v>
      </c>
      <c r="F22" s="42">
        <v>0</v>
      </c>
      <c r="G22" s="42">
        <v>483</v>
      </c>
      <c r="H22" s="42">
        <v>55945</v>
      </c>
      <c r="I22" s="42">
        <v>57660</v>
      </c>
      <c r="J22" s="30" t="s">
        <v>572</v>
      </c>
      <c r="K22" s="42">
        <v>56976</v>
      </c>
      <c r="L22" s="131" t="s">
        <v>50</v>
      </c>
      <c r="M22" s="132">
        <f t="shared" si="0"/>
        <v>-361.15199999999999</v>
      </c>
      <c r="N22" s="133" t="str">
        <f>VLOOKUP(C22,'Trips&amp;Operators'!$C$1:$G$99911,5,FALSE)</f>
        <v>ZEWDU DEREJE</v>
      </c>
      <c r="O22" s="200" t="s">
        <v>370</v>
      </c>
      <c r="P22" s="134" t="s">
        <v>568</v>
      </c>
      <c r="Q22" s="30"/>
      <c r="R22" s="81" t="str">
        <f>VLOOKUP(C22,'Train Runs'!$A$13:$AE$9921,31,0)</f>
        <v>aws s3 cp s3://rtdc.mdm.uploadarchive.raw/RTDC4024/ "%USERPROFILE%\AppData\Local\Temp\OnboardLogs"\RTDC4024\2017-09-05 --exclude "*" --recursive --include "*20170905*" &amp; "%USERPROFILE%\Documents\GitHub\mrs-test-scripts\Headless Mode &amp; Sideloading\WalkAndUnGZ.bat" "%USERPROFILE%\AppData\Local\Temp\OnboardLogs"\RTDC4024\2017-09-05 &amp; 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</v>
      </c>
      <c r="S22" s="84" t="str">
        <f>VLOOKUP(C22,'Train Runs'!$A$13:$AE$9921,22,0)</f>
        <v>https://d0f6bd738d7f1b3e5a7ca70fe4ff75f0.us-east-1.aws.found.io/app/kibana#/discover/Steve-Slow-Train-Analysis-(2080s-and-2083s)?_g=(refreshInterval:(display:Off,pause:!f,section:0,value:0),time:(from:'2017-09-05T16:23:53-0600',mode:absolute,to:'2017-09-05T19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2" s="86" t="str">
        <f t="shared" si="1"/>
        <v>"C:\Program Files (x86)\AstroGrep\AstroGrep.exe" /e /r /s /spath="%USERPROFILE%\AppData\Local\Temp\OnboardLogs" /stypes="*4024*201709052*"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4024</v>
      </c>
      <c r="V22" s="31">
        <f t="shared" si="3"/>
        <v>42983.988310185188</v>
      </c>
      <c r="W22" s="45" t="str">
        <f t="shared" si="4"/>
        <v>EC</v>
      </c>
      <c r="X22" s="22">
        <f t="shared" si="5"/>
        <v>211</v>
      </c>
      <c r="Y22" s="96" t="str">
        <f t="shared" si="6"/>
        <v>echo {"issue":{"subject":"Wi-MAX data drop","project_id":79,"tracker_id":40,"status_id":1,"priority_id":2,"assigned_to_id":338,"start_date":"2017-09-05","description":"","custom_fields":[{"id":1,"name":"Subdivision","value":"EC"},{"id":4,"name":"Milepost","value":"5.6976"},{"id":17,"name":"Train ID","value":"211-05"},{"id":16,"name":"Locomotive ID","value":"4024"},{"id":130,"name":"Impact","value":""},{"id":150,"name":"Time of Event (Mountain Time)","value":"17:43:10"},{"id":151,"name":"Denver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/c/Users/stu/AppData/Local/Temp/OnboardLogs/RTDC4024 --include="*4024*201709052*"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"%USERPROFILE%\AppData\Local\Temp\OnboardLogs"\RTDC4024\*4024*201709052* &gt;&gt; 2017-09-05-SliceDisagreementCheck.txt</v>
      </c>
      <c r="AE22" s="145" t="str">
        <f t="shared" si="9"/>
        <v>start /low /b %USERPROFILE%\Documents\GitHub\eaglep3\Utilities\DownloadLogsFromS3.py --loco 4024 --day 2017-09-05</v>
      </c>
      <c r="AF22" s="1"/>
    </row>
    <row r="23" spans="1:32" x14ac:dyDescent="0.25">
      <c r="A23" s="31">
        <v>42983.380277777775</v>
      </c>
      <c r="B23" s="30" t="s">
        <v>588</v>
      </c>
      <c r="C23" s="30" t="s">
        <v>589</v>
      </c>
      <c r="D23" s="30" t="s">
        <v>49</v>
      </c>
      <c r="E23" s="30" t="s">
        <v>181</v>
      </c>
      <c r="F23" s="42">
        <v>0</v>
      </c>
      <c r="G23" s="42">
        <v>111</v>
      </c>
      <c r="H23" s="42">
        <v>387</v>
      </c>
      <c r="I23" s="42">
        <v>276</v>
      </c>
      <c r="J23" s="30" t="s">
        <v>182</v>
      </c>
      <c r="K23" s="42">
        <v>1</v>
      </c>
      <c r="L23" s="131" t="s">
        <v>51</v>
      </c>
      <c r="M23" s="132">
        <f t="shared" si="0"/>
        <v>145.19999999999999</v>
      </c>
      <c r="N23" s="133" t="str">
        <f>VLOOKUP(C23,'Trips&amp;Operators'!$C$1:$G$99911,5,FALSE)</f>
        <v>MACDONALD THOMAS</v>
      </c>
      <c r="O23" s="200" t="s">
        <v>180</v>
      </c>
      <c r="P23" s="134"/>
      <c r="Q23" s="30"/>
      <c r="R23" s="81" t="str">
        <f>VLOOKUP(C23,'Train Runs'!$A$13:$AE$9921,31,0)</f>
        <v>aws s3 cp s3://rtdc.mdm.uploadarchive.raw/RTDC4043/ "%USERPROFILE%\AppData\Local\Temp\OnboardLogs"\RTDC4043\2017-09-05 --exclude "*" --recursive --include "*20170905*" &amp; "%USERPROFILE%\Documents\GitHub\mrs-test-scripts\Headless Mode &amp; Sideloading\WalkAndUnGZ.bat" "%USERPROFILE%\AppData\Local\Temp\OnboardLogs"\RTDC4043\2017-09-05 &amp; aws s3 cp s3://rtdc.mdm.uploadarchive.raw/RTDC4043/ "%USERPROFILE%\AppData\Local\Temp\OnboardLogs"\RTDC4043\2017-09-06 --exclude "*" --recursive --include "*20170906*" &amp; "%USERPROFILE%\Documents\GitHub\mrs-test-scripts\Headless Mode &amp; Sideloading\WalkAndUnGZ.bat" "%USERPROFILE%\AppData\Local\Temp\OnboardLogs"\RTDC4043\2017-09-06</v>
      </c>
      <c r="S23" s="84" t="str">
        <f>VLOOKUP(C23,'Train Runs'!$A$13:$AE$9921,22,0)</f>
        <v>https://d0f6bd738d7f1b3e5a7ca70fe4ff75f0.us-east-1.aws.found.io/app/kibana#/discover/Steve-Slow-Train-Analysis-(2080s-and-2083s)?_g=(refreshInterval:(display:Off,pause:!f,section:0,value:0),time:(from:'2017-09-05T07:24:36-0600',mode:absolute,to:'2017-09-05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3" s="86" t="str">
        <f t="shared" si="1"/>
        <v>"C:\Program Files (x86)\AstroGrep\AstroGrep.exe" /e /r /s /spath="%USERPROFILE%\AppData\Local\Temp\OnboardLogs" /stypes="*4043*201709051*"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4043</v>
      </c>
      <c r="V23" s="31">
        <f t="shared" si="3"/>
        <v>42983.630277777775</v>
      </c>
      <c r="W23" s="45" t="str">
        <f t="shared" si="4"/>
        <v>EC</v>
      </c>
      <c r="X23" s="22">
        <f t="shared" si="5"/>
        <v>132</v>
      </c>
      <c r="Y23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{"issue":{"subject":"","project_id":79,"tracker_id":40,"status_id":1,"priority_id":2,"assigned_to_id":338,"start_date":"2017-09-05","description":"","custom_fields":[{"id":1,"name":"Subdivision","value":"EC"},{"id":4,"name":"Milepost","value":"0.0001"},{"id":17,"name":"Train ID","value":"132-05"},{"id":16,"name":"Locomotive ID","value":"4043"},{"id":130,"name":"Impact","value":""},{"id":150,"name":"Time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/c/Users/stu/AppData/Local/Temp/OnboardLogs/RTDC4043 --include="*4043*201709051*"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"%USERPROFILE%\AppData\Local\Temp\OnboardLogs"\RTDC4043\*4043*201709051* &gt;&gt; 2017-09-05-SliceDisagreementCheck.txt</v>
      </c>
      <c r="AE23" s="145" t="str">
        <f t="shared" si="9"/>
        <v>start /low /b %USERPROFILE%\Documents\GitHub\eaglep3\Utilities\DownloadLogsFromS3.py --loco 4043 --day 2017-09-05</v>
      </c>
      <c r="AF23" s="1"/>
    </row>
    <row r="24" spans="1:32" x14ac:dyDescent="0.25">
      <c r="A24" s="31">
        <v>42983.411249999997</v>
      </c>
      <c r="B24" s="30" t="s">
        <v>467</v>
      </c>
      <c r="C24" s="30" t="s">
        <v>592</v>
      </c>
      <c r="D24" s="30" t="s">
        <v>49</v>
      </c>
      <c r="E24" s="30" t="s">
        <v>181</v>
      </c>
      <c r="F24" s="42">
        <v>0</v>
      </c>
      <c r="G24" s="42">
        <v>96</v>
      </c>
      <c r="H24" s="42">
        <v>376</v>
      </c>
      <c r="I24" s="42">
        <v>273</v>
      </c>
      <c r="J24" s="30" t="s">
        <v>182</v>
      </c>
      <c r="K24" s="42">
        <v>1</v>
      </c>
      <c r="L24" s="131" t="s">
        <v>51</v>
      </c>
      <c r="M24" s="132">
        <f t="shared" si="0"/>
        <v>143.61600000000001</v>
      </c>
      <c r="N24" s="133" t="str">
        <f>VLOOKUP(C24,'Trips&amp;Operators'!$C$1:$G$99911,5,FALSE)</f>
        <v>SPECTOR MICHAEL</v>
      </c>
      <c r="O24" s="200" t="s">
        <v>180</v>
      </c>
      <c r="P24" s="134"/>
      <c r="Q24" s="30"/>
      <c r="R24" s="81" t="str">
        <f>VLOOKUP(C24,'Train Runs'!$A$13:$AE$9921,31,0)</f>
        <v>aws s3 cp s3://rtdc.mdm.uploadarchive.raw/RTDC4025/ "%USERPROFILE%\AppData\Local\Temp\OnboardLogs"\RTDC4025\2017-09-05 --exclude "*" --recursive --include "*20170905*" &amp; "%USERPROFILE%\Documents\GitHub\mrs-test-scripts\Headless Mode &amp; Sideloading\WalkAndUnGZ.bat" "%USERPROFILE%\AppData\Local\Temp\OnboardLogs"\RTDC4025\2017-09-05 &amp; 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</v>
      </c>
      <c r="S24" s="84" t="str">
        <f>VLOOKUP(C24,'Train Runs'!$A$13:$AE$9921,22,0)</f>
        <v>https://d0f6bd738d7f1b3e5a7ca70fe4ff75f0.us-east-1.aws.found.io/app/kibana#/discover/Steve-Slow-Train-Analysis-(2080s-and-2083s)?_g=(refreshInterval:(display:Off,pause:!f,section:0,value:0),time:(from:'2017-09-05T07:27:32-0600',mode:absolute,to:'2017-09-05T10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 t="shared" si="1"/>
        <v>"C:\Program Files (x86)\AstroGrep\AstroGrep.exe" /e /r /s /spath="%USERPROFILE%\AppData\Local\Temp\OnboardLogs" /stypes="*4025*201709051*"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42983.661249999997</v>
      </c>
      <c r="W24" s="45" t="str">
        <f t="shared" si="4"/>
        <v>EC</v>
      </c>
      <c r="X24" s="22">
        <f t="shared" si="5"/>
        <v>138</v>
      </c>
      <c r="Y24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{"issue":{"subject":"","project_id":79,"tracker_id":40,"status_id":1,"priority_id":2,"assigned_to_id":338,"start_date":"2017-09-05","description":"","custom_fields":[{"id":1,"name":"Subdivision","value":"EC"},{"id":4,"name":"Milepost","value":"0.0001"},{"id":17,"name":"Train ID","value":"138-05"},{"id":16,"name":"Locomotive ID","value":"4025"},{"id":130,"name":"Impact","value":""},{"id":150,"name":"Time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/c/Users/stu/AppData/Local/Temp/OnboardLogs/RTDC4025 --include="*4025*201709051*"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"%USERPROFILE%\AppData\Local\Temp\OnboardLogs"\RTDC4025\*4025*201709051* &gt;&gt; 2017-09-05-SliceDisagreementCheck.txt</v>
      </c>
      <c r="AE24" s="145" t="str">
        <f t="shared" si="9"/>
        <v>start /low /b %USERPROFILE%\Documents\GitHub\eaglep3\Utilities\DownloadLogsFromS3.py --loco 4025 --day 2017-09-05</v>
      </c>
      <c r="AF24" s="1"/>
    </row>
    <row r="25" spans="1:32" x14ac:dyDescent="0.25">
      <c r="A25" s="31">
        <v>42983.662141203706</v>
      </c>
      <c r="B25" s="30" t="s">
        <v>466</v>
      </c>
      <c r="C25" s="30" t="s">
        <v>601</v>
      </c>
      <c r="D25" s="30" t="s">
        <v>49</v>
      </c>
      <c r="E25" s="30" t="s">
        <v>181</v>
      </c>
      <c r="F25" s="42">
        <v>0</v>
      </c>
      <c r="G25" s="42">
        <v>68</v>
      </c>
      <c r="H25" s="42">
        <v>231</v>
      </c>
      <c r="I25" s="42">
        <v>172</v>
      </c>
      <c r="J25" s="30" t="s">
        <v>182</v>
      </c>
      <c r="K25" s="42">
        <v>1</v>
      </c>
      <c r="L25" s="131" t="s">
        <v>51</v>
      </c>
      <c r="M25" s="132">
        <f t="shared" si="0"/>
        <v>90.287999999999997</v>
      </c>
      <c r="N25" s="133" t="str">
        <f>VLOOKUP(C25,'Trips&amp;Operators'!$C$1:$G$99911,5,FALSE)</f>
        <v>DAVIS MICHAEL</v>
      </c>
      <c r="O25" s="200" t="s">
        <v>180</v>
      </c>
      <c r="P25" s="134"/>
      <c r="Q25" s="30"/>
      <c r="R25" s="81" t="str">
        <f>VLOOKUP(C25,'Train Runs'!$A$13:$AE$9921,31,0)</f>
        <v>aws s3 cp s3://rtdc.mdm.uploadarchive.raw/RTDC4039/ "%USERPROFILE%\AppData\Local\Temp\OnboardLogs"\RTDC4039\2017-09-05 --exclude "*" --recursive --include "*20170905*" &amp; "%USERPROFILE%\Documents\GitHub\mrs-test-scripts\Headless Mode &amp; Sideloading\WalkAndUnGZ.bat" "%USERPROFILE%\AppData\Local\Temp\OnboardLogs"\RTDC4039\2017-09-05 &amp; aws s3 cp s3://rtdc.mdm.uploadarchive.raw/RTDC4039/ "%USERPROFILE%\AppData\Local\Temp\OnboardLogs"\RTDC4039\2017-09-06 --exclude "*" --recursive --include "*20170906*" &amp; "%USERPROFILE%\Documents\GitHub\mrs-test-scripts\Headless Mode &amp; Sideloading\WalkAndUnGZ.bat" "%USERPROFILE%\AppData\Local\Temp\OnboardLogs"\RTDC4039\2017-09-06</v>
      </c>
      <c r="S25" s="84" t="str">
        <f>VLOOKUP(C25,'Train Runs'!$A$13:$AE$9921,22,0)</f>
        <v>https://d0f6bd738d7f1b3e5a7ca70fe4ff75f0.us-east-1.aws.found.io/app/kibana#/discover/Steve-Slow-Train-Analysis-(2080s-and-2083s)?_g=(refreshInterval:(display:Off,pause:!f,section:0,value:0),time:(from:'2017-09-05T14:09:34-0600',mode:absolute,to:'2017-09-05T16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5" s="86" t="str">
        <f t="shared" si="1"/>
        <v>"C:\Program Files (x86)\AstroGrep\AstroGrep.exe" /e /r /s /spath="%USERPROFILE%\AppData\Local\Temp\OnboardLogs" /stypes="*4039*201709052*"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4039</v>
      </c>
      <c r="V25" s="31">
        <f t="shared" si="3"/>
        <v>42983.912141203706</v>
      </c>
      <c r="W25" s="45" t="str">
        <f t="shared" si="4"/>
        <v>EC</v>
      </c>
      <c r="X25" s="22">
        <f t="shared" si="5"/>
        <v>186</v>
      </c>
      <c r="Y25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{"issue":{"subject":"","project_id":79,"tracker_id":40,"status_id":1,"priority_id":2,"assigned_to_id":338,"start_date":"2017-09-05","description":"","custom_fields":[{"id":1,"name":"Subdivision","value":"EC"},{"id":4,"name":"Milepost","value":"0.0001"},{"id":17,"name":"Train ID","value":"186-05"},{"id":16,"name":"Locomotive ID","value":"4039"},{"id":130,"name":"Impact","value":""},{"id":150,"name":"Time of Event (Mountain Time)","value":"15:53:29"},{"id":151,"name":"Denver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/c/Users/stu/AppData/Local/Temp/OnboardLogs/RTDC4039 --include="*4039*201709052*"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"%USERPROFILE%\AppData\Local\Temp\OnboardLogs"\RTDC4039\*4039*201709052* &gt;&gt; 2017-09-05-SliceDisagreementCheck.txt</v>
      </c>
      <c r="AE25" s="145" t="str">
        <f t="shared" si="9"/>
        <v>start /low /b %USERPROFILE%\Documents\GitHub\eaglep3\Utilities\DownloadLogsFromS3.py --loco 4039 --day 2017-09-05</v>
      </c>
      <c r="AF25" s="1"/>
    </row>
    <row r="26" spans="1:32" x14ac:dyDescent="0.25">
      <c r="A26" s="31">
        <v>42983.608055555553</v>
      </c>
      <c r="B26" s="30" t="s">
        <v>508</v>
      </c>
      <c r="C26" s="30" t="s">
        <v>596</v>
      </c>
      <c r="D26" s="30" t="s">
        <v>49</v>
      </c>
      <c r="E26" s="30" t="s">
        <v>181</v>
      </c>
      <c r="F26" s="42">
        <v>0</v>
      </c>
      <c r="G26" s="42">
        <v>13</v>
      </c>
      <c r="H26" s="42">
        <v>854</v>
      </c>
      <c r="I26" s="42">
        <v>0</v>
      </c>
      <c r="J26" s="30" t="s">
        <v>182</v>
      </c>
      <c r="K26" s="42">
        <v>839</v>
      </c>
      <c r="L26" s="131" t="s">
        <v>51</v>
      </c>
      <c r="M26" s="132">
        <f t="shared" si="0"/>
        <v>-442.99200000000002</v>
      </c>
      <c r="N26" s="133" t="str">
        <f>VLOOKUP(C26,'Trips&amp;Operators'!$C$1:$G$99911,5,FALSE)</f>
        <v>NEWELL JAMES</v>
      </c>
      <c r="O26" s="200" t="s">
        <v>180</v>
      </c>
      <c r="P26" s="134"/>
      <c r="Q26" s="30"/>
      <c r="R26" s="81" t="str">
        <f>VLOOKUP(C26,'Train Runs'!$A$13:$AE$9921,31,0)</f>
        <v>aws s3 cp s3://rtdc.mdm.uploadarchive.raw/RTDC4007/ "%USERPROFILE%\AppData\Local\Temp\OnboardLogs"\RTDC4007\2017-09-05 --exclude "*" --recursive --include "*20170905*" &amp; "%USERPROFILE%\Documents\GitHub\mrs-test-scripts\Headless Mode &amp; Sideloading\WalkAndUnGZ.bat" "%USERPROFILE%\AppData\Local\Temp\OnboardLogs"\RTDC4007\2017-09-05 &amp; aws s3 cp s3://rtdc.mdm.uploadarchive.raw/RTDC4007/ "%USERPROFILE%\AppData\Local\Temp\OnboardLogs"\RTDC4007\2017-09-06 --exclude "*" --recursive --include "*20170906*" &amp; "%USERPROFILE%\Documents\GitHub\mrs-test-scripts\Headless Mode &amp; Sideloading\WalkAndUnGZ.bat" "%USERPROFILE%\AppData\Local\Temp\OnboardLogs"\RTDC4007\2017-09-06</v>
      </c>
      <c r="S26" s="84" t="str">
        <f>VLOOKUP(C26,'Train Runs'!$A$13:$AE$9921,22,0)</f>
        <v>https://d0f6bd738d7f1b3e5a7ca70fe4ff75f0.us-east-1.aws.found.io/app/kibana#/discover/Steve-Slow-Train-Analysis-(2080s-and-2083s)?_g=(refreshInterval:(display:Off,pause:!f,section:0,value:0),time:(from:'2017-09-05T12:39:25-0600',mode:absolute,to:'2017-09-05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86" t="str">
        <f t="shared" si="1"/>
        <v>"C:\Program Files (x86)\AstroGrep\AstroGrep.exe" /e /r /s /spath="%USERPROFILE%\AppData\Local\Temp\OnboardLogs" /stypes="*4007*201709052*"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4007</v>
      </c>
      <c r="V26" s="31">
        <f t="shared" si="3"/>
        <v>42983.858055555553</v>
      </c>
      <c r="W26" s="45" t="str">
        <f t="shared" si="4"/>
        <v>EC</v>
      </c>
      <c r="X26" s="22">
        <f t="shared" si="5"/>
        <v>176</v>
      </c>
      <c r="Y26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{"issue":{"subject":"","project_id":79,"tracker_id":40,"status_id":1,"priority_id":2,"assigned_to_id":338,"start_date":"2017-09-05","description":"","custom_fields":[{"id":1,"name":"Subdivision","value":"EC"},{"id":4,"name":"Milepost","value":"0.0839"},{"id":17,"name":"Train ID","value":"176-05"},{"id":16,"name":"Locomotive ID","value":"4007"},{"id":130,"name":"Impact","value":""},{"id":150,"name":"Time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/c/Users/stu/AppData/Local/Temp/OnboardLogs/RTDC4007 --include="*4007*201709052*"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"%USERPROFILE%\AppData\Local\Temp\OnboardLogs"\RTDC4007\*4007*201709052* &gt;&gt; 2017-09-05-SliceDisagreementCheck.txt</v>
      </c>
      <c r="AE26" s="145" t="str">
        <f t="shared" si="9"/>
        <v>start /low /b %USERPROFILE%\Documents\GitHub\eaglep3\Utilities\DownloadLogsFromS3.py --loco 4007 --day 2017-09-05</v>
      </c>
      <c r="AF26" s="1"/>
    </row>
    <row r="27" spans="1:32" x14ac:dyDescent="0.25">
      <c r="A27" s="31">
        <v>42983.692546296297</v>
      </c>
      <c r="B27" s="30" t="s">
        <v>452</v>
      </c>
      <c r="C27" s="30" t="s">
        <v>606</v>
      </c>
      <c r="D27" s="30" t="s">
        <v>49</v>
      </c>
      <c r="E27" s="30" t="s">
        <v>181</v>
      </c>
      <c r="F27" s="42">
        <v>0</v>
      </c>
      <c r="G27" s="42">
        <v>72</v>
      </c>
      <c r="H27" s="42">
        <v>233293</v>
      </c>
      <c r="I27" s="42">
        <v>233363</v>
      </c>
      <c r="J27" s="30" t="s">
        <v>182</v>
      </c>
      <c r="K27" s="42">
        <v>233491</v>
      </c>
      <c r="L27" s="131" t="s">
        <v>50</v>
      </c>
      <c r="M27" s="132">
        <f t="shared" si="0"/>
        <v>67.584000000000003</v>
      </c>
      <c r="N27" s="133" t="str">
        <f>VLOOKUP(C27,'Trips&amp;Operators'!$C$1:$G$99911,5,FALSE)</f>
        <v>DAVIS MICHAEL</v>
      </c>
      <c r="O27" s="200" t="s">
        <v>180</v>
      </c>
      <c r="P27" s="134"/>
      <c r="Q27" s="30"/>
      <c r="R27" s="81" t="str">
        <f>VLOOKUP(C27,'Train Runs'!$A$13:$AE$9921,31,0)</f>
        <v>aws s3 cp s3://rtdc.mdm.uploadarchive.raw/RTDC4040/ "%USERPROFILE%\AppData\Local\Temp\OnboardLogs"\RTDC4040\2017-09-05 --exclude "*" --recursive --include "*20170905*" &amp; "%USERPROFILE%\Documents\GitHub\mrs-test-scripts\Headless Mode &amp; Sideloading\WalkAndUnGZ.bat" "%USERPROFILE%\AppData\Local\Temp\OnboardLogs"\RTDC4040\2017-09-05 &amp; aws s3 cp s3://rtdc.mdm.uploadarchive.raw/RTDC4040/ "%USERPROFILE%\AppData\Local\Temp\OnboardLogs"\RTDC4040\2017-09-06 --exclude "*" --recursive --include "*20170906*" &amp; "%USERPROFILE%\Documents\GitHub\mrs-test-scripts\Headless Mode &amp; Sideloading\WalkAndUnGZ.bat" "%USERPROFILE%\AppData\Local\Temp\OnboardLogs"\RTDC4040\2017-09-06</v>
      </c>
      <c r="S27" s="84" t="str">
        <f>VLOOKUP(C27,'Train Runs'!$A$13:$AE$9921,22,0)</f>
        <v>https://d0f6bd738d7f1b3e5a7ca70fe4ff75f0.us-east-1.aws.found.io/app/kibana#/discover/Steve-Slow-Train-Analysis-(2080s-and-2083s)?_g=(refreshInterval:(display:Off,pause:!f,section:0,value:0),time:(from:'2017-09-05T14:56:27-0600',mode:absolute,to:'2017-09-05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6" t="str">
        <f t="shared" si="1"/>
        <v>"C:\Program Files (x86)\AstroGrep\AstroGrep.exe" /e /r /s /spath="%USERPROFILE%\AppData\Local\Temp\OnboardLogs" /stypes="*4040*201709052*"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4040</v>
      </c>
      <c r="V27" s="31">
        <f t="shared" si="3"/>
        <v>42983.942546296297</v>
      </c>
      <c r="W27" s="45" t="str">
        <f t="shared" si="4"/>
        <v>EC</v>
      </c>
      <c r="X27" s="22">
        <f t="shared" si="5"/>
        <v>199</v>
      </c>
      <c r="Y27" s="96" t="str">
        <f t="shared" si="6"/>
        <v>echo {"issue":{"subject":"","project_id":79,"tracker_id":40,"status_id":1,"priority_id":2,"assigned_to_id":338,"start_date":"2017-09-05","description":"","custom_fields":[{"id":1,"name":"Subdivision","value":"EC"},{"id":4,"name":"Milepost","value":"23.3491"},{"id":17,"name":"Train ID","value":"199-05"},{"id":16,"name":"Locomotive ID","value":"4040"},{"id":130,"name":"Impact","value":""},{"id":150,"name":"Time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/c/Users/stu/AppData/Local/Temp/OnboardLogs/RTDC4040 --include="*4040*201709052*"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"%USERPROFILE%\AppData\Local\Temp\OnboardLogs"\RTDC4040\*4040*201709052* &gt;&gt; 2017-09-05-SliceDisagreementCheck.txt</v>
      </c>
      <c r="AE27" s="145" t="str">
        <f t="shared" si="9"/>
        <v>start /low /b %USERPROFILE%\Documents\GitHub\eaglep3\Utilities\DownloadLogsFromS3.py --loco 4040 --day 2017-09-05</v>
      </c>
      <c r="AF27" s="1"/>
    </row>
    <row r="28" spans="1:32" x14ac:dyDescent="0.25">
      <c r="A28" s="31">
        <v>42983.884039351855</v>
      </c>
      <c r="B28" s="30" t="s">
        <v>577</v>
      </c>
      <c r="C28" s="30" t="s">
        <v>614</v>
      </c>
      <c r="D28" s="30" t="s">
        <v>96</v>
      </c>
      <c r="E28" s="30" t="s">
        <v>187</v>
      </c>
      <c r="F28" s="42">
        <v>0</v>
      </c>
      <c r="G28" s="42">
        <v>195</v>
      </c>
      <c r="H28" s="42">
        <v>10714</v>
      </c>
      <c r="I28" s="42">
        <v>11110</v>
      </c>
      <c r="J28" s="30" t="s">
        <v>188</v>
      </c>
      <c r="K28" s="42">
        <v>10714</v>
      </c>
      <c r="L28" s="131" t="s">
        <v>50</v>
      </c>
      <c r="M28" s="132">
        <f t="shared" si="0"/>
        <v>-209.08799999999999</v>
      </c>
      <c r="N28" s="133" t="str">
        <f>VLOOKUP(C28,'Trips&amp;Operators'!$C$1:$G$99911,5,FALSE)</f>
        <v>WEST BRYAN</v>
      </c>
      <c r="O28" s="200" t="s">
        <v>180</v>
      </c>
      <c r="P28" s="134" t="s">
        <v>379</v>
      </c>
      <c r="Q28" s="30"/>
      <c r="R28" s="81" t="str">
        <f>VLOOKUP(C28,'Train Runs'!$A$13:$AE$9921,31,0)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S28" s="84" t="str">
        <f>VLOOKUP(C28,'Train Runs'!$A$13:$AE$9921,22,0)</f>
        <v>https://d0f6bd738d7f1b3e5a7ca70fe4ff75f0.us-east-1.aws.found.io/app/kibana#/discover/Steve-Slow-Train-Analysis-(2080s-and-2083s)?_g=(refreshInterval:(display:Off,pause:!f,section:0,value:0),time:(from:'2017-09-05T20:02:29-0600',mode:absolute,to:'2017-09-05T22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8" s="86" t="str">
        <f t="shared" si="1"/>
        <v>"C:\Program Files (x86)\AstroGrep\AstroGrep.exe" /e /r /s /spath="%USERPROFILE%\AppData\Local\Temp\OnboardLogs" /stypes="*4064*201709060*" /stext=" 03:.+((SYSTEM_STATE.+slice.+state.+changed )|(ment ac)|(multiple cpu faults)|(system.+state.+changed )|(\[timeout)|(PRM\|1\|D)|(kpr)|(kdp)|(train st.+moving)|(\|lc)|(penalty))"</v>
      </c>
      <c r="U28" s="9" t="str">
        <f t="shared" si="2"/>
        <v>4064</v>
      </c>
      <c r="V28" s="31">
        <f t="shared" si="3"/>
        <v>42984.134039351855</v>
      </c>
      <c r="W28" s="45" t="str">
        <f t="shared" si="4"/>
        <v>NW</v>
      </c>
      <c r="X28" s="22">
        <f t="shared" si="5"/>
        <v>845</v>
      </c>
      <c r="Y28" s="96" t="str">
        <f t="shared" si="6"/>
        <v>echo {"issue":{"subject":"Early Arrival","project_id":79,"tracker_id":40,"status_id":1,"priority_id":2,"assigned_to_id":338,"start_date":"2017-09-05","description":"","custom_fields":[{"id":1,"name":"Subdivision","value":"NW"},{"id":4,"name":"Milepost","value":"1.0714"},{"id":17,"name":"Train ID","value":"845-05"},{"id":16,"name":"Locomotive ID","value":"4064"},{"id":130,"name":"Impact","value":""},{"id":150,"name":"Time of Event (Mountain Time)","value":"21:13:01"},{"id":151,"name":"Denver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/c/Users/stu/AppData/Local/Temp/OnboardLogs/RTDC4064 --include="*4064*201709060*"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"%USERPROFILE%\AppData\Local\Temp\OnboardLogs"\RTDC4064\*4064*201709060* &gt;&gt; 2017-09-05-SliceDisagreementCheck.txt</v>
      </c>
      <c r="AE28" s="145" t="str">
        <f t="shared" si="9"/>
        <v>start /low /b %USERPROFILE%\Documents\GitHub\eaglep3\Utilities\DownloadLogsFromS3.py --loco 4064 --day 2017-09-06</v>
      </c>
      <c r="AF28" s="1"/>
    </row>
    <row r="29" spans="1:32" x14ac:dyDescent="0.25">
      <c r="A29" s="31">
        <v>42983.325023148151</v>
      </c>
      <c r="B29" s="30" t="s">
        <v>581</v>
      </c>
      <c r="C29" s="30" t="s">
        <v>582</v>
      </c>
      <c r="D29" s="30" t="s">
        <v>96</v>
      </c>
      <c r="E29" s="30" t="s">
        <v>195</v>
      </c>
      <c r="F29" s="42">
        <v>600</v>
      </c>
      <c r="G29" s="42">
        <v>654</v>
      </c>
      <c r="H29" s="42">
        <v>30722</v>
      </c>
      <c r="I29" s="42">
        <v>27655</v>
      </c>
      <c r="J29" s="30" t="s">
        <v>196</v>
      </c>
      <c r="K29" s="42">
        <v>36535</v>
      </c>
      <c r="L29" s="131" t="s">
        <v>51</v>
      </c>
      <c r="M29" s="132">
        <f t="shared" si="0"/>
        <v>-4688.6400000000003</v>
      </c>
      <c r="N29" s="133" t="str">
        <f>VLOOKUP(C29,'Trips&amp;Operators'!$C$1:$G$99911,5,FALSE)</f>
        <v>FORTUNATO FRANK</v>
      </c>
      <c r="O29" s="200" t="s">
        <v>180</v>
      </c>
      <c r="P29" s="134"/>
      <c r="Q29" s="30"/>
      <c r="R29" s="81" t="str">
        <f>VLOOKUP(C29,'Train Runs'!$A$13:$AE$9921,31,0)</f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S29" s="84" t="str">
        <f>VLOOKUP(C29,'Train Runs'!$A$13:$AE$9921,22,0)</f>
        <v>https://d0f6bd738d7f1b3e5a7ca70fe4ff75f0.us-east-1.aws.found.io/app/kibana#/discover/Steve-Slow-Train-Analysis-(2080s-and-2083s)?_g=(refreshInterval:(display:Off,pause:!f,section:0,value:0),time:(from:'2017-09-05T06:25:57-0600',mode:absolute,to:'2017-09-05T08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9" s="86" t="str">
        <f t="shared" si="1"/>
        <v>"C:\Program Files (x86)\AstroGrep\AstroGrep.exe" /e /r /s /spath="%USERPROFILE%\AppData\Local\Temp\OnboardLogs" /stypes="*4063*201709051*"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4063</v>
      </c>
      <c r="V29" s="31">
        <f t="shared" si="3"/>
        <v>42983.575023148151</v>
      </c>
      <c r="W29" s="45" t="str">
        <f t="shared" si="4"/>
        <v>NW</v>
      </c>
      <c r="X29" s="22">
        <f t="shared" si="5"/>
        <v>808</v>
      </c>
      <c r="Y29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{"issue":{"subject":"","project_id":79,"tracker_id":40,"status_id":1,"priority_id":2,"assigned_to_id":338,"start_date":"2017-09-05","description":"","custom_fields":[{"id":1,"name":"Subdivision","value":"NW"},{"id":4,"name":"Milepost","value":"3.6535"},{"id":17,"name":"Train ID","value":"808-05"},{"id":16,"name":"Locomotive ID","value":"4063"},{"id":130,"name":"Impact","value":""},{"id":150,"name":"Time of Event (Mountain Time)","value":"07:48:02"},{"id":151,"name":"Denver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/c/Users/stu/AppData/Local/Temp/OnboardLogs/RTDC4063 --include="*4063*201709051*"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"%USERPROFILE%\AppData\Local\Temp\OnboardLogs"\RTDC4063\*4063*201709051* &gt;&gt; 2017-09-05-SliceDisagreementCheck.txt</v>
      </c>
      <c r="AE29" s="145" t="str">
        <f t="shared" si="9"/>
        <v>start /low /b %USERPROFILE%\Documents\GitHub\eaglep3\Utilities\DownloadLogsFromS3.py --loco 4063 --day 2017-09-05</v>
      </c>
      <c r="AF29" s="1"/>
    </row>
    <row r="30" spans="1:32" x14ac:dyDescent="0.25">
      <c r="A30" s="31">
        <v>42983.928668981483</v>
      </c>
      <c r="B30" s="30" t="s">
        <v>577</v>
      </c>
      <c r="C30" s="30" t="s">
        <v>615</v>
      </c>
      <c r="D30" s="30" t="s">
        <v>96</v>
      </c>
      <c r="E30" s="30" t="s">
        <v>195</v>
      </c>
      <c r="F30" s="42">
        <v>300</v>
      </c>
      <c r="G30" s="42">
        <v>350</v>
      </c>
      <c r="H30" s="42">
        <v>42027</v>
      </c>
      <c r="I30" s="42">
        <v>43097</v>
      </c>
      <c r="J30" s="30" t="s">
        <v>196</v>
      </c>
      <c r="K30" s="42">
        <v>39716</v>
      </c>
      <c r="L30" s="131" t="s">
        <v>50</v>
      </c>
      <c r="M30" s="132">
        <f t="shared" si="0"/>
        <v>-1785.1679999999999</v>
      </c>
      <c r="N30" s="133" t="str">
        <f>VLOOKUP(C30,'Trips&amp;Operators'!$C$1:$G$99911,5,FALSE)</f>
        <v>WEST BRYAN</v>
      </c>
      <c r="O30" s="200" t="s">
        <v>180</v>
      </c>
      <c r="P30" s="134"/>
      <c r="Q30" s="30"/>
      <c r="R30" s="81" t="str">
        <f>VLOOKUP(C30,'Train Runs'!$A$13:$AE$9921,31,0)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S30" s="84" t="str">
        <f>VLOOKUP(C30,'Train Runs'!$A$13:$AE$9921,22,0)</f>
        <v>https://d0f6bd738d7f1b3e5a7ca70fe4ff75f0.us-east-1.aws.found.io/app/kibana#/discover/Steve-Slow-Train-Analysis-(2080s-and-2083s)?_g=(refreshInterval:(display:Off,pause:!f,section:0,value:0),time:(from:'2017-09-05T21:06:20-0600',mode:absolute,to:'2017-09-05T23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0" s="86" t="str">
        <f t="shared" si="1"/>
        <v>"C:\Program Files (x86)\AstroGrep\AstroGrep.exe" /e /r /s /spath="%USERPROFILE%\AppData\Local\Temp\OnboardLogs" /stypes="*4064*201709060*"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4064</v>
      </c>
      <c r="V30" s="31">
        <f t="shared" si="3"/>
        <v>42984.178668981483</v>
      </c>
      <c r="W30" s="45" t="str">
        <f t="shared" si="4"/>
        <v>NW</v>
      </c>
      <c r="X30" s="22">
        <f t="shared" si="5"/>
        <v>847</v>
      </c>
      <c r="Y30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{"issue":{"subject":"","project_id":79,"tracker_id":40,"status_id":1,"priority_id":2,"assigned_to_id":338,"start_date":"2017-09-05","description":"","custom_fields":[{"id":1,"name":"Subdivision","value":"NW"},{"id":4,"name":"Milepost","value":"3.9716"},{"id":17,"name":"Train ID","value":"847-05"},{"id":16,"name":"Locomotive ID","value":"4064"},{"id":130,"name":"Impact","value":""},{"id":150,"name":"Time of Event (Mountain Time)","value":"22:17:17"},{"id":151,"name":"Denver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/c/Users/stu/AppData/Local/Temp/OnboardLogs/RTDC4064 --include="*4064*201709060*"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"%USERPROFILE%\AppData\Local\Temp\OnboardLogs"\RTDC4064\*4064*201709060* &gt;&gt; 2017-09-05-SliceDisagreementCheck.txt</v>
      </c>
      <c r="AE30" s="145" t="str">
        <f t="shared" si="9"/>
        <v>start /low /b %USERPROFILE%\Documents\GitHub\eaglep3\Utilities\DownloadLogsFromS3.py --loco 4064 --day 2017-09-06</v>
      </c>
      <c r="AF30" s="1"/>
    </row>
    <row r="31" spans="1:32" x14ac:dyDescent="0.25">
      <c r="A31" s="31">
        <v>42983.36582175926</v>
      </c>
      <c r="B31" s="30" t="s">
        <v>581</v>
      </c>
      <c r="C31" s="30" t="s">
        <v>587</v>
      </c>
      <c r="D31" s="30" t="s">
        <v>96</v>
      </c>
      <c r="E31" s="30" t="s">
        <v>195</v>
      </c>
      <c r="F31" s="42">
        <v>400</v>
      </c>
      <c r="G31" s="42">
        <v>457</v>
      </c>
      <c r="H31" s="42">
        <v>38666</v>
      </c>
      <c r="I31" s="42">
        <v>37373</v>
      </c>
      <c r="J31" s="30" t="s">
        <v>196</v>
      </c>
      <c r="K31" s="42">
        <v>40977</v>
      </c>
      <c r="L31" s="131" t="s">
        <v>51</v>
      </c>
      <c r="M31" s="132">
        <f t="shared" si="0"/>
        <v>-1902.912</v>
      </c>
      <c r="N31" s="133" t="str">
        <f>VLOOKUP(C31,'Trips&amp;Operators'!$C$1:$G$99911,5,FALSE)</f>
        <v>FORTUNATO FRANK</v>
      </c>
      <c r="O31" s="200" t="s">
        <v>180</v>
      </c>
      <c r="P31" s="134"/>
      <c r="Q31" s="30"/>
      <c r="R31" s="81" t="str">
        <f>VLOOKUP(C31,'Train Runs'!$A$13:$AE$9921,31,0)</f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S31" s="84" t="str">
        <f>VLOOKUP(C31,'Train Runs'!$A$13:$AE$9921,22,0)</f>
        <v>https://d0f6bd738d7f1b3e5a7ca70fe4ff75f0.us-east-1.aws.found.io/app/kibana#/discover/Steve-Slow-Train-Analysis-(2080s-and-2083s)?_g=(refreshInterval:(display:Off,pause:!f,section:0,value:0),time:(from:'2017-09-05T07:26:28-0600',mode:absolute,to:'2017-09-05T09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1" s="86" t="str">
        <f t="shared" si="1"/>
        <v>"C:\Program Files (x86)\AstroGrep\AstroGrep.exe" /e /r /s /spath="%USERPROFILE%\AppData\Local\Temp\OnboardLogs" /stypes="*4063*201709051*"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4063</v>
      </c>
      <c r="V31" s="31">
        <f t="shared" si="3"/>
        <v>42983.61582175926</v>
      </c>
      <c r="W31" s="45" t="str">
        <f t="shared" si="4"/>
        <v>NW</v>
      </c>
      <c r="X31" s="22">
        <f t="shared" si="5"/>
        <v>812</v>
      </c>
      <c r="Y31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{"issue":{"subject":"","project_id":79,"tracker_id":40,"status_id":1,"priority_id":2,"assigned_to_id":338,"start_date":"2017-09-05","description":"","custom_fields":[{"id":1,"name":"Subdivision","value":"NW"},{"id":4,"name":"Milepost","value":"4.0977"},{"id":17,"name":"Train ID","value":"812-05"},{"id":16,"name":"Locomotive ID","value":"4063"},{"id":130,"name":"Impact","value":""},{"id":150,"name":"Time of Event (Mountain Time)","value":"08:46:47"},{"id":151,"name":"Denver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/c/Users/stu/AppData/Local/Temp/OnboardLogs/RTDC4063 --include="*4063*201709051*"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"%USERPROFILE%\AppData\Local\Temp\OnboardLogs"\RTDC4063\*4063*201709051* &gt;&gt; 2017-09-05-SliceDisagreementCheck.txt</v>
      </c>
      <c r="AE31" s="145" t="str">
        <f t="shared" si="9"/>
        <v>start /low /b %USERPROFILE%\Documents\GitHub\eaglep3\Utilities\DownloadLogsFromS3.py --loco 4063 --day 2017-09-05</v>
      </c>
      <c r="AF31" s="1"/>
    </row>
    <row r="32" spans="1:32" x14ac:dyDescent="0.25">
      <c r="A32" s="31">
        <v>42983.49082175926</v>
      </c>
      <c r="B32" s="30" t="s">
        <v>581</v>
      </c>
      <c r="C32" s="30" t="s">
        <v>594</v>
      </c>
      <c r="D32" s="30" t="s">
        <v>96</v>
      </c>
      <c r="E32" s="30" t="s">
        <v>195</v>
      </c>
      <c r="F32" s="42">
        <v>400</v>
      </c>
      <c r="G32" s="42">
        <v>452</v>
      </c>
      <c r="H32" s="42">
        <v>38153</v>
      </c>
      <c r="I32" s="42">
        <v>37061</v>
      </c>
      <c r="J32" s="30" t="s">
        <v>196</v>
      </c>
      <c r="K32" s="42">
        <v>40977</v>
      </c>
      <c r="L32" s="131" t="s">
        <v>51</v>
      </c>
      <c r="M32" s="132">
        <f t="shared" si="0"/>
        <v>-2067.6480000000001</v>
      </c>
      <c r="N32" s="133" t="str">
        <f>VLOOKUP(C32,'Trips&amp;Operators'!$C$1:$G$99911,5,FALSE)</f>
        <v>FORTUNATO FRANK</v>
      </c>
      <c r="O32" s="200" t="s">
        <v>180</v>
      </c>
      <c r="P32" s="134"/>
      <c r="Q32" s="30"/>
      <c r="R32" s="81" t="str">
        <f>VLOOKUP(C32,'Train Runs'!$A$13:$AE$9921,31,0)</f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S32" s="84" t="str">
        <f>VLOOKUP(C32,'Train Runs'!$A$13:$AE$9921,22,0)</f>
        <v>https://d0f6bd738d7f1b3e5a7ca70fe4ff75f0.us-east-1.aws.found.io/app/kibana#/discover/Steve-Slow-Train-Analysis-(2080s-and-2083s)?_g=(refreshInterval:(display:Off,pause:!f,section:0,value:0),time:(from:'2017-09-05T10:24:53-0600',mode:absolute,to:'2017-09-05T12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2" s="86" t="str">
        <f t="shared" si="1"/>
        <v>"C:\Program Files (x86)\AstroGrep\AstroGrep.exe" /e /r /s /spath="%USERPROFILE%\AppData\Local\Temp\OnboardLogs" /stypes="*4063*201709051*"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4063</v>
      </c>
      <c r="V32" s="31">
        <f t="shared" si="3"/>
        <v>42983.74082175926</v>
      </c>
      <c r="W32" s="45" t="str">
        <f t="shared" si="4"/>
        <v>NW</v>
      </c>
      <c r="X32" s="22">
        <f t="shared" si="5"/>
        <v>818</v>
      </c>
      <c r="Y32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{"issue":{"subject":"","project_id":79,"tracker_id":40,"status_id":1,"priority_id":2,"assigned_to_id":338,"start_date":"2017-09-05","description":"","custom_fields":[{"id":1,"name":"Subdivision","value":"NW"},{"id":4,"name":"Milepost","value":"4.0977"},{"id":17,"name":"Train ID","value":"818-05"},{"id":16,"name":"Locomotive ID","value":"4063"},{"id":130,"name":"Impact","value":""},{"id":150,"name":"Time of Event (Mountain Time)","value":"11:46:47"},{"id":151,"name":"Denver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/c/Users/stu/AppData/Local/Temp/OnboardLogs/RTDC4063 --include="*4063*201709051*"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"%USERPROFILE%\AppData\Local\Temp\OnboardLogs"\RTDC4063\*4063*201709051* &gt;&gt; 2017-09-05-SliceDisagreementCheck.txt</v>
      </c>
      <c r="AE32" s="145" t="str">
        <f t="shared" si="9"/>
        <v>start /low /b %USERPROFILE%\Documents\GitHub\eaglep3\Utilities\DownloadLogsFromS3.py --loco 4063 --day 2017-09-05</v>
      </c>
      <c r="AF32" s="1"/>
    </row>
    <row r="33" spans="1:32" x14ac:dyDescent="0.25">
      <c r="A33" s="31">
        <v>42983.303842592592</v>
      </c>
      <c r="B33" s="30" t="s">
        <v>577</v>
      </c>
      <c r="C33" s="30" t="s">
        <v>578</v>
      </c>
      <c r="D33" s="30" t="s">
        <v>96</v>
      </c>
      <c r="E33" s="30" t="s">
        <v>367</v>
      </c>
      <c r="F33" s="42">
        <v>200</v>
      </c>
      <c r="G33" s="42">
        <v>259</v>
      </c>
      <c r="H33" s="42">
        <v>35506</v>
      </c>
      <c r="I33" s="42">
        <v>36382</v>
      </c>
      <c r="J33" s="30" t="s">
        <v>368</v>
      </c>
      <c r="K33" s="42">
        <v>34583</v>
      </c>
      <c r="L33" s="131" t="s">
        <v>50</v>
      </c>
      <c r="M33" s="132">
        <f t="shared" si="0"/>
        <v>-949.87199999999996</v>
      </c>
      <c r="N33" s="133" t="str">
        <f>VLOOKUP(C33,'Trips&amp;Operators'!$C$1:$G$99911,5,FALSE)</f>
        <v>FORTUNATO FRANK</v>
      </c>
      <c r="O33" s="200" t="s">
        <v>180</v>
      </c>
      <c r="P33" s="134" t="s">
        <v>1000</v>
      </c>
      <c r="Q33" s="30"/>
      <c r="R33" s="81" t="str">
        <f>VLOOKUP(C33,'Train Runs'!$A$13:$AE$9921,31,0)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S33" s="84" t="str">
        <f>VLOOKUP(C33,'Train Runs'!$A$13:$AE$9921,22,0)</f>
        <v>https://d0f6bd738d7f1b3e5a7ca70fe4ff75f0.us-east-1.aws.found.io/app/kibana#/discover/Steve-Slow-Train-Analysis-(2080s-and-2083s)?_g=(refreshInterval:(display:Off,pause:!f,section:0,value:0),time:(from:'2017-09-05T05:56:49-0600',mode:absolute,to:'2017-09-05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3" s="86" t="str">
        <f t="shared" si="1"/>
        <v>"C:\Program Files (x86)\AstroGrep\AstroGrep.exe" /e /r /s /spath="%USERPROFILE%\AppData\Local\Temp\OnboardLogs" /stypes="*4064*201709051*"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4064</v>
      </c>
      <c r="V33" s="31">
        <f t="shared" si="3"/>
        <v>42983.553842592592</v>
      </c>
      <c r="W33" s="45" t="str">
        <f t="shared" si="4"/>
        <v>NW</v>
      </c>
      <c r="X33" s="22">
        <f t="shared" si="5"/>
        <v>807</v>
      </c>
      <c r="Y33" s="96" t="str">
        <f t="shared" si="6"/>
        <v>echo {"issue":{"subject":"Restricting aspect","project_id":79,"tracker_id":40,"status_id":1,"priority_id":2,"assigned_to_id":338,"start_date":"2017-09-05","description":"","custom_fields":[{"id":1,"name":"Subdivision","value":"NW"},{"id":4,"name":"Milepost","value":"3.4583"},{"id":17,"name":"Train ID","value":"807-05"},{"id":16,"name":"Locomotive ID","value":"4064"},{"id":130,"name":"Impact","value":""},{"id":150,"name":"Time of Event (Mountain Time)","value":"07:17:32"},{"id":151,"name":"Denver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/c/Users/stu/AppData/Local/Temp/OnboardLogs/RTDC4064 --include="*4064*201709051*"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"%USERPROFILE%\AppData\Local\Temp\OnboardLogs"\RTDC4064\*4064*201709051* &gt;&gt; 2017-09-05-SliceDisagreementCheck.txt</v>
      </c>
      <c r="AE33" s="145" t="str">
        <f t="shared" si="9"/>
        <v>start /low /b %USERPROFILE%\Documents\GitHub\eaglep3\Utilities\DownloadLogsFromS3.py --loco 4064 --day 2017-09-05</v>
      </c>
      <c r="AF33" s="1"/>
    </row>
    <row r="34" spans="1:32" x14ac:dyDescent="0.25">
      <c r="A34" s="31">
        <v>42983.725300925929</v>
      </c>
      <c r="B34" s="30" t="s">
        <v>577</v>
      </c>
      <c r="C34" s="30" t="s">
        <v>608</v>
      </c>
      <c r="D34" s="30" t="s">
        <v>49</v>
      </c>
      <c r="E34" s="30" t="s">
        <v>367</v>
      </c>
      <c r="F34" s="42">
        <v>0</v>
      </c>
      <c r="G34" s="42">
        <v>76</v>
      </c>
      <c r="H34" s="42">
        <v>57730</v>
      </c>
      <c r="I34" s="42">
        <v>57836</v>
      </c>
      <c r="J34" s="30" t="s">
        <v>368</v>
      </c>
      <c r="K34" s="42">
        <v>57971</v>
      </c>
      <c r="L34" s="131" t="s">
        <v>50</v>
      </c>
      <c r="M34" s="132">
        <f t="shared" si="0"/>
        <v>71.28</v>
      </c>
      <c r="N34" s="133" t="str">
        <f>VLOOKUP(C34,'Trips&amp;Operators'!$C$1:$G$99911,5,FALSE)</f>
        <v>GUZMAN DANNY</v>
      </c>
      <c r="O34" s="200" t="s">
        <v>180</v>
      </c>
      <c r="P34" s="134" t="s">
        <v>1001</v>
      </c>
      <c r="Q34" s="30"/>
      <c r="R34" s="81" t="str">
        <f>VLOOKUP(C34,'Train Runs'!$A$13:$AE$9921,31,0)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S34" s="84" t="str">
        <f>VLOOKUP(C34,'Train Runs'!$A$13:$AE$9921,22,0)</f>
        <v>https://d0f6bd738d7f1b3e5a7ca70fe4ff75f0.us-east-1.aws.found.io/app/kibana#/discover/Steve-Slow-Train-Analysis-(2080s-and-2083s)?_g=(refreshInterval:(display:Off,pause:!f,section:0,value:0),time:(from:'2017-09-05T16:02:46-0600',mode:absolute,to:'2017-09-05T18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4" s="86" t="str">
        <f t="shared" si="1"/>
        <v>"C:\Program Files (x86)\AstroGrep\AstroGrep.exe" /e /r /s /spath="%USERPROFILE%\AppData\Local\Temp\OnboardLogs" /stypes="*4064*201709052*"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4064</v>
      </c>
      <c r="V34" s="31">
        <f t="shared" si="3"/>
        <v>42983.975300925929</v>
      </c>
      <c r="W34" s="45" t="str">
        <f t="shared" si="4"/>
        <v>NW</v>
      </c>
      <c r="X34" s="22">
        <f t="shared" si="5"/>
        <v>833</v>
      </c>
      <c r="Y34" s="96" t="str">
        <f t="shared" si="6"/>
        <v>echo {"issue":{"subject":"Westminster 2N STOP, cleared after","project_id":79,"tracker_id":40,"status_id":1,"priority_id":2,"assigned_to_id":338,"start_date":"2017-09-05","description":"","custom_fields":[{"id":1,"name":"Subdivision","value":"NW"},{"id":4,"name":"Milepost","value":"5.7971"},{"id":17,"name":"Train ID","value":"833-05"},{"id":16,"name":"Locomotive ID","value":"4064"},{"id":130,"name":"Impact","value":""},{"id":150,"name":"Time of Event (Mountain Time)","value":"17:24:26"},{"id":151,"name":"Denver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/c/Users/stu/AppData/Local/Temp/OnboardLogs/RTDC4064 --include="*4064*201709052*"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"%USERPROFILE%\AppData\Local\Temp\OnboardLogs"\RTDC4064\*4064*201709052* &gt;&gt; 2017-09-05-SliceDisagreementCheck.txt</v>
      </c>
      <c r="AE34" s="145" t="str">
        <f t="shared" si="9"/>
        <v>start /low /b %USERPROFILE%\Documents\GitHub\eaglep3\Utilities\DownloadLogsFromS3.py --loco 4064 --day 2017-09-05</v>
      </c>
      <c r="AF34" s="1"/>
    </row>
    <row r="35" spans="1:32" x14ac:dyDescent="0.25">
      <c r="A35" s="31">
        <v>42983.22996527778</v>
      </c>
      <c r="B35" s="30" t="s">
        <v>573</v>
      </c>
      <c r="C35" s="30" t="s">
        <v>574</v>
      </c>
      <c r="D35" s="30" t="s">
        <v>49</v>
      </c>
      <c r="E35" s="30" t="s">
        <v>181</v>
      </c>
      <c r="F35" s="42">
        <v>0</v>
      </c>
      <c r="G35" s="42">
        <v>42</v>
      </c>
      <c r="H35" s="42">
        <v>701</v>
      </c>
      <c r="I35" s="42">
        <v>673</v>
      </c>
      <c r="J35" s="30" t="s">
        <v>182</v>
      </c>
      <c r="K35" s="42">
        <v>575</v>
      </c>
      <c r="L35" s="131" t="s">
        <v>51</v>
      </c>
      <c r="M35" s="132">
        <f t="shared" si="0"/>
        <v>51.744</v>
      </c>
      <c r="N35" s="133" t="str">
        <f>VLOOKUP(C35,'Trips&amp;Operators'!$C$1:$G$99911,5,FALSE)</f>
        <v>BARRON PERLA</v>
      </c>
      <c r="O35" s="200" t="s">
        <v>180</v>
      </c>
      <c r="P35" s="134"/>
      <c r="Q35" s="30"/>
      <c r="R35" s="81" t="str">
        <f>VLOOKUP(C35,'Train Runs'!$A$13:$AE$9921,31,0)</f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S35" s="84" t="str">
        <f>VLOOKUP(C35,'Train Runs'!$A$13:$AE$9921,22,0)</f>
        <v>https://d0f6bd738d7f1b3e5a7ca70fe4ff75f0.us-east-1.aws.found.io/app/kibana#/discover/Steve-Slow-Train-Analysis-(2080s-and-2083s)?_g=(refreshInterval:(display:Off,pause:!f,section:0,value:0),time:(from:'2017-09-05T04:13:53-0600',mode:absolute,to:'2017-09-05T06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86" t="str">
        <f t="shared" si="1"/>
        <v>"C:\Program Files (x86)\AstroGrep\AstroGrep.exe" /e /r /s /spath="%USERPROFILE%\AppData\Local\Temp\OnboardLogs" /stypes="*4019*201709051*"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4019</v>
      </c>
      <c r="V35" s="31">
        <f t="shared" si="3"/>
        <v>42983.47996527778</v>
      </c>
      <c r="W35" s="45" t="str">
        <f t="shared" si="4"/>
        <v>NW</v>
      </c>
      <c r="X35" s="22">
        <f t="shared" si="5"/>
        <v>800</v>
      </c>
      <c r="Y35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{"issue":{"subject":"","project_id":79,"tracker_id":40,"status_id":1,"priority_id":2,"assigned_to_id":338,"start_date":"2017-09-05","description":"","custom_fields":[{"id":1,"name":"Subdivision","value":"NW"},{"id":4,"name":"Milepost","value":"0.0575"},{"id":17,"name":"Train ID","value":"800-05"},{"id":16,"name":"Locomotive ID","value":"4019"},{"id":130,"name":"Impact","value":""},{"id":150,"name":"Time of Event (Mountain Time)","value":"05:31:09"},{"id":151,"name":"Denver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/c/Users/stu/AppData/Local/Temp/OnboardLogs/RTDC4019 --include="*4019*201709051*"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"%USERPROFILE%\AppData\Local\Temp\OnboardLogs"\RTDC4019\*4019*201709051* &gt;&gt; 2017-09-05-SliceDisagreementCheck.txt</v>
      </c>
      <c r="AE35" s="145" t="str">
        <f t="shared" si="9"/>
        <v>start /low /b %USERPROFILE%\Documents\GitHub\eaglep3\Utilities\DownloadLogsFromS3.py --loco 4019 --day 2017-09-05</v>
      </c>
      <c r="AF35" s="1"/>
    </row>
    <row r="36" spans="1:32" x14ac:dyDescent="0.25">
      <c r="A36" s="31">
        <v>42983.351342592592</v>
      </c>
      <c r="B36" s="30" t="s">
        <v>573</v>
      </c>
      <c r="C36" s="30" t="s">
        <v>586</v>
      </c>
      <c r="D36" s="30" t="s">
        <v>49</v>
      </c>
      <c r="E36" s="30" t="s">
        <v>181</v>
      </c>
      <c r="F36" s="42">
        <v>0</v>
      </c>
      <c r="G36" s="42">
        <v>36</v>
      </c>
      <c r="H36" s="42">
        <v>694</v>
      </c>
      <c r="I36" s="42">
        <v>663</v>
      </c>
      <c r="J36" s="30" t="s">
        <v>182</v>
      </c>
      <c r="K36" s="42">
        <v>575</v>
      </c>
      <c r="L36" s="131" t="s">
        <v>51</v>
      </c>
      <c r="M36" s="132">
        <f t="shared" si="0"/>
        <v>46.463999999999999</v>
      </c>
      <c r="N36" s="133" t="str">
        <f>VLOOKUP(C36,'Trips&amp;Operators'!$C$1:$G$99911,5,FALSE)</f>
        <v>BARRON PERLA</v>
      </c>
      <c r="O36" s="200" t="s">
        <v>180</v>
      </c>
      <c r="P36" s="134"/>
      <c r="Q36" s="30"/>
      <c r="R36" s="81" t="str">
        <f>VLOOKUP(C36,'Train Runs'!$A$13:$AE$9921,31,0)</f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S36" s="84" t="str">
        <f>VLOOKUP(C36,'Train Runs'!$A$13:$AE$9921,22,0)</f>
        <v>https://d0f6bd738d7f1b3e5a7ca70fe4ff75f0.us-east-1.aws.found.io/app/kibana#/discover/Steve-Slow-Train-Analysis-(2080s-and-2083s)?_g=(refreshInterval:(display:Off,pause:!f,section:0,value:0),time:(from:'2017-09-05T06:57:33-0600',mode:absolute,to:'2017-09-05T09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86" t="str">
        <f t="shared" si="1"/>
        <v>"C:\Program Files (x86)\AstroGrep\AstroGrep.exe" /e /r /s /spath="%USERPROFILE%\AppData\Local\Temp\OnboardLogs" /stypes="*4019*201709051*" /stext=" 14:.+((SYSTEM_STATE.+slice.+state.+changed )|(ment ac)|(multiple cpu faults)|(system.+state.+changed )|(\[timeout)|(PRM\|1\|D)|(kpr)|(kdp)|(train st.+moving)|(\|lc)|(penalty))"</v>
      </c>
      <c r="U36" s="9" t="str">
        <f t="shared" si="2"/>
        <v>4019</v>
      </c>
      <c r="V36" s="31">
        <f t="shared" si="3"/>
        <v>42983.601342592592</v>
      </c>
      <c r="W36" s="45" t="str">
        <f t="shared" si="4"/>
        <v>NW</v>
      </c>
      <c r="X36" s="22">
        <f t="shared" si="5"/>
        <v>810</v>
      </c>
      <c r="Y36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{"issue":{"subject":"","project_id":79,"tracker_id":40,"status_id":1,"priority_id":2,"assigned_to_id":338,"start_date":"2017-09-05","description":"","custom_fields":[{"id":1,"name":"Subdivision","value":"NW"},{"id":4,"name":"Milepost","value":"0.0575"},{"id":17,"name":"Train ID","value":"810-05"},{"id":16,"name":"Locomotive ID","value":"4019"},{"id":130,"name":"Impact","value":""},{"id":150,"name":"Time of Event (Mountain Time)","value":"08:25:56"},{"id":151,"name":"Denver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/c/Users/stu/AppData/Local/Temp/OnboardLogs/RTDC4019 --include="*4019*201709051*"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"%USERPROFILE%\AppData\Local\Temp\OnboardLogs"\RTDC4019\*4019*201709051* &gt;&gt; 2017-09-05-SliceDisagreementCheck.txt</v>
      </c>
      <c r="AE36" s="145" t="str">
        <f t="shared" si="9"/>
        <v>start /low /b %USERPROFILE%\Documents\GitHub\eaglep3\Utilities\DownloadLogsFromS3.py --loco 4019 --day 2017-09-05</v>
      </c>
      <c r="AF36" s="1"/>
    </row>
    <row r="37" spans="1:32" x14ac:dyDescent="0.25">
      <c r="A37" s="31">
        <v>42983.372372685182</v>
      </c>
      <c r="B37" s="30" t="s">
        <v>581</v>
      </c>
      <c r="C37" s="30" t="s">
        <v>587</v>
      </c>
      <c r="D37" s="30" t="s">
        <v>49</v>
      </c>
      <c r="E37" s="30" t="s">
        <v>181</v>
      </c>
      <c r="F37" s="42">
        <v>0</v>
      </c>
      <c r="G37" s="42">
        <v>58</v>
      </c>
      <c r="H37" s="42">
        <v>776</v>
      </c>
      <c r="I37" s="42">
        <v>731</v>
      </c>
      <c r="J37" s="30" t="s">
        <v>182</v>
      </c>
      <c r="K37" s="42">
        <v>575</v>
      </c>
      <c r="L37" s="131" t="s">
        <v>51</v>
      </c>
      <c r="M37" s="132">
        <f t="shared" si="0"/>
        <v>82.367999999999995</v>
      </c>
      <c r="N37" s="133" t="str">
        <f>VLOOKUP(C37,'Trips&amp;Operators'!$C$1:$G$99911,5,FALSE)</f>
        <v>FORTUNATO FRANK</v>
      </c>
      <c r="O37" s="200" t="s">
        <v>180</v>
      </c>
      <c r="P37" s="134"/>
      <c r="Q37" s="30"/>
      <c r="R37" s="81" t="str">
        <f>VLOOKUP(C37,'Train Runs'!$A$13:$AE$9921,31,0)</f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S37" s="84" t="str">
        <f>VLOOKUP(C37,'Train Runs'!$A$13:$AE$9921,22,0)</f>
        <v>https://d0f6bd738d7f1b3e5a7ca70fe4ff75f0.us-east-1.aws.found.io/app/kibana#/discover/Steve-Slow-Train-Analysis-(2080s-and-2083s)?_g=(refreshInterval:(display:Off,pause:!f,section:0,value:0),time:(from:'2017-09-05T07:26:28-0600',mode:absolute,to:'2017-09-05T09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7" s="86" t="str">
        <f t="shared" si="1"/>
        <v>"C:\Program Files (x86)\AstroGrep\AstroGrep.exe" /e /r /s /spath="%USERPROFILE%\AppData\Local\Temp\OnboardLogs" /stypes="*4063*201709051*" /stext=" 14:.+((SYSTEM_STATE.+slice.+state.+changed )|(ment ac)|(multiple cpu faults)|(system.+state.+changed )|(\[timeout)|(PRM\|1\|D)|(kpr)|(kdp)|(train st.+moving)|(\|lc)|(penalty))"</v>
      </c>
      <c r="U37" s="9" t="str">
        <f t="shared" si="2"/>
        <v>4063</v>
      </c>
      <c r="V37" s="31">
        <f t="shared" si="3"/>
        <v>42983.622372685182</v>
      </c>
      <c r="W37" s="45" t="str">
        <f t="shared" si="4"/>
        <v>NW</v>
      </c>
      <c r="X37" s="22">
        <f t="shared" si="5"/>
        <v>812</v>
      </c>
      <c r="Y37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{"issue":{"subject":"","project_id":79,"tracker_id":40,"status_id":1,"priority_id":2,"assigned_to_id":338,"start_date":"2017-09-05","description":"","custom_fields":[{"id":1,"name":"Subdivision","value":"NW"},{"id":4,"name":"Milepost","value":"0.0575"},{"id":17,"name":"Train ID","value":"812-05"},{"id":16,"name":"Locomotive ID","value":"4063"},{"id":130,"name":"Impact","value":""},{"id":150,"name":"Time of Event (Mountain Time)","value":"08:56:13"},{"id":151,"name":"Denver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/c/Users/stu/AppData/Local/Temp/OnboardLogs/RTDC4063 --include="*4063*201709051*"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"%USERPROFILE%\AppData\Local\Temp\OnboardLogs"\RTDC4063\*4063*201709051* &gt;&gt; 2017-09-05-SliceDisagreementCheck.txt</v>
      </c>
      <c r="AE37" s="145" t="str">
        <f t="shared" si="9"/>
        <v>start /low /b %USERPROFILE%\Documents\GitHub\eaglep3\Utilities\DownloadLogsFromS3.py --loco 4063 --day 2017-09-05</v>
      </c>
      <c r="AF37" s="1"/>
    </row>
    <row r="38" spans="1:32" x14ac:dyDescent="0.25">
      <c r="A38" s="31">
        <v>42983.684189814812</v>
      </c>
      <c r="B38" s="30" t="s">
        <v>573</v>
      </c>
      <c r="C38" s="30" t="s">
        <v>605</v>
      </c>
      <c r="D38" s="30" t="s">
        <v>49</v>
      </c>
      <c r="E38" s="30" t="s">
        <v>181</v>
      </c>
      <c r="F38" s="42">
        <v>0</v>
      </c>
      <c r="G38" s="42">
        <v>50</v>
      </c>
      <c r="H38" s="42">
        <v>734</v>
      </c>
      <c r="I38" s="42">
        <v>710</v>
      </c>
      <c r="J38" s="30" t="s">
        <v>182</v>
      </c>
      <c r="K38" s="42">
        <v>575</v>
      </c>
      <c r="L38" s="131" t="s">
        <v>51</v>
      </c>
      <c r="M38" s="132">
        <f t="shared" si="0"/>
        <v>71.28</v>
      </c>
      <c r="N38" s="133" t="str">
        <f>VLOOKUP(C38,'Trips&amp;Operators'!$C$1:$G$99911,5,FALSE)</f>
        <v>WEST BRYAN</v>
      </c>
      <c r="O38" s="200" t="s">
        <v>180</v>
      </c>
      <c r="P38" s="134"/>
      <c r="Q38" s="30"/>
      <c r="R38" s="81" t="str">
        <f>VLOOKUP(C38,'Train Runs'!$A$13:$AE$9921,31,0)</f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S38" s="84" t="str">
        <f>VLOOKUP(C38,'Train Runs'!$A$13:$AE$9921,22,0)</f>
        <v>https://d0f6bd738d7f1b3e5a7ca70fe4ff75f0.us-east-1.aws.found.io/app/kibana#/discover/Steve-Slow-Train-Analysis-(2080s-and-2083s)?_g=(refreshInterval:(display:Off,pause:!f,section:0,value:0),time:(from:'2017-09-05T14:57:19-0600',mode:absolute,to:'2017-09-05T17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86" t="str">
        <f t="shared" si="1"/>
        <v>"C:\Program Files (x86)\AstroGrep\AstroGrep.exe" /e /r /s /spath="%USERPROFILE%\AppData\Local\Temp\OnboardLogs" /stypes="*4019*201709052*"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4019</v>
      </c>
      <c r="V38" s="31">
        <f t="shared" si="3"/>
        <v>42983.934189814812</v>
      </c>
      <c r="W38" s="45" t="str">
        <f t="shared" si="4"/>
        <v>NW</v>
      </c>
      <c r="X38" s="22">
        <f t="shared" si="5"/>
        <v>828</v>
      </c>
      <c r="Y38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{"issue":{"subject":"","project_id":79,"tracker_id":40,"status_id":1,"priority_id":2,"assigned_to_id":338,"start_date":"2017-09-05","description":"","custom_fields":[{"id":1,"name":"Subdivision","value":"NW"},{"id":4,"name":"Milepost","value":"0.0575"},{"id":17,"name":"Train ID","value":"828-05"},{"id":16,"name":"Locomotive ID","value":"4019"},{"id":130,"name":"Impact","value":""},{"id":150,"name":"Time of Event (Mountain Time)","value":"16:25:14"},{"id":151,"name":"Denver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/c/Users/stu/AppData/Local/Temp/OnboardLogs/RTDC4019 --include="*4019*201709052*"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"%USERPROFILE%\AppData\Local\Temp\OnboardLogs"\RTDC4019\*4019*201709052* &gt;&gt; 2017-09-05-SliceDisagreementCheck.txt</v>
      </c>
      <c r="AE38" s="145" t="str">
        <f t="shared" si="9"/>
        <v>start /low /b %USERPROFILE%\Documents\GitHub\eaglep3\Utilities\DownloadLogsFromS3.py --loco 4019 --day 2017-09-05</v>
      </c>
      <c r="AF38" s="1"/>
    </row>
    <row r="39" spans="1:32" x14ac:dyDescent="0.25">
      <c r="A39" s="31">
        <v>42983.954699074071</v>
      </c>
      <c r="B39" s="30" t="s">
        <v>581</v>
      </c>
      <c r="C39" s="30" t="s">
        <v>616</v>
      </c>
      <c r="D39" s="30" t="s">
        <v>96</v>
      </c>
      <c r="E39" s="30" t="s">
        <v>181</v>
      </c>
      <c r="F39" s="42">
        <v>0</v>
      </c>
      <c r="G39" s="42">
        <v>9</v>
      </c>
      <c r="H39" s="42">
        <v>575</v>
      </c>
      <c r="I39" s="42">
        <v>0</v>
      </c>
      <c r="J39" s="30" t="s">
        <v>182</v>
      </c>
      <c r="K39" s="42">
        <v>575</v>
      </c>
      <c r="L39" s="131" t="s">
        <v>51</v>
      </c>
      <c r="M39" s="132">
        <f t="shared" si="0"/>
        <v>-303.60000000000002</v>
      </c>
      <c r="N39" s="133" t="str">
        <f>VLOOKUP(C39,'Trips&amp;Operators'!$C$1:$G$99911,5,FALSE)</f>
        <v>WEST BRYAN</v>
      </c>
      <c r="O39" s="200" t="s">
        <v>180</v>
      </c>
      <c r="P39" s="134"/>
      <c r="Q39" s="30"/>
      <c r="R39" s="81" t="str">
        <f>VLOOKUP(C39,'Train Runs'!$A$13:$AE$9921,31,0)</f>
        <v>aws s3 cp s3://rtdc.mdm.uploadarchive.raw/RTDC4063/ "%USERPROFILE%\AppData\Local\Temp\OnboardLogs"\RTDC4063\2017-09-05 --exclude "*" --recursive --include "*20170905*" &amp; "%USERPROFILE%\Documents\GitHub\mrs-test-scripts\Headless Mode &amp; Sideloading\WalkAndUnGZ.bat" "%USERPROFILE%\AppData\Local\Temp\OnboardLogs"\RTDC4063\2017-09-05 &amp; aws s3 cp s3://rtdc.mdm.uploadarchive.raw/RTDC4063/ "%USERPROFILE%\AppData\Local\Temp\OnboardLogs"\RTDC4063\2017-09-06 --exclude "*" --recursive --include "*20170906*" &amp; "%USERPROFILE%\Documents\GitHub\mrs-test-scripts\Headless Mode &amp; Sideloading\WalkAndUnGZ.bat" "%USERPROFILE%\AppData\Local\Temp\OnboardLogs"\RTDC4063\2017-09-06</v>
      </c>
      <c r="S39" s="84" t="str">
        <f>VLOOKUP(C39,'Train Runs'!$A$13:$AE$9921,22,0)</f>
        <v>https://d0f6bd738d7f1b3e5a7ca70fe4ff75f0.us-east-1.aws.found.io/app/kibana#/discover/Steve-Slow-Train-Analysis-(2080s-and-2083s)?_g=(refreshInterval:(display:Off,pause:!f,section:0,value:0),time:(from:'2017-09-05T20:02:29-0600',mode:absolute,to:'2017-09-05T23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9" s="86" t="str">
        <f t="shared" si="1"/>
        <v>"C:\Program Files (x86)\AstroGrep\AstroGrep.exe" /e /r /s /spath="%USERPROFILE%\AppData\Local\Temp\OnboardLogs" /stypes="*4063*201709060*" /stext=" 04:.+((SYSTEM_STATE.+slice.+state.+changed )|(ment ac)|(multiple cpu faults)|(system.+state.+changed )|(\[timeout)|(PRM\|1\|D)|(kpr)|(kdp)|(train st.+moving)|(\|lc)|(penalty))"</v>
      </c>
      <c r="U39" s="9" t="str">
        <f t="shared" si="2"/>
        <v>4063</v>
      </c>
      <c r="V39" s="31">
        <f t="shared" si="3"/>
        <v>42984.204699074071</v>
      </c>
      <c r="W39" s="45" t="str">
        <f t="shared" si="4"/>
        <v>NW</v>
      </c>
      <c r="X39" s="22">
        <f t="shared" si="5"/>
        <v>846</v>
      </c>
      <c r="Y39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{"issue":{"subject":"","project_id":79,"tracker_id":40,"status_id":1,"priority_id":2,"assigned_to_id":338,"start_date":"2017-09-05","description":"","custom_fields":[{"id":1,"name":"Subdivision","value":"NW"},{"id":4,"name":"Milepost","value":"0.0575"},{"id":17,"name":"Train ID","value":"846-05"},{"id":16,"name":"Locomotive ID","value":"4063"},{"id":130,"name":"Impact","value":""},{"id":150,"name":"Time of Event (Mountain Time)","value":"22:54:46"},{"id":151,"name":"Denver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/c/Users/stu/AppData/Local/Temp/OnboardLogs/RTDC4063 --include="*4063*201709060*"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"%USERPROFILE%\AppData\Local\Temp\OnboardLogs"\RTDC4063\*4063*201709060* &gt;&gt; 2017-09-05-SliceDisagreementCheck.txt</v>
      </c>
      <c r="AE39" s="145" t="str">
        <f t="shared" si="9"/>
        <v>start /low /b %USERPROFILE%\Documents\GitHub\eaglep3\Utilities\DownloadLogsFromS3.py --loco 4063 --day 2017-09-06</v>
      </c>
      <c r="AF39" s="1"/>
    </row>
    <row r="40" spans="1:32" x14ac:dyDescent="0.25">
      <c r="A40" s="31">
        <v>42983.350277777776</v>
      </c>
      <c r="B40" s="30" t="s">
        <v>577</v>
      </c>
      <c r="C40" s="30" t="s">
        <v>584</v>
      </c>
      <c r="D40" s="30" t="s">
        <v>49</v>
      </c>
      <c r="E40" s="30" t="s">
        <v>181</v>
      </c>
      <c r="F40" s="42">
        <v>0</v>
      </c>
      <c r="G40" s="42">
        <v>85</v>
      </c>
      <c r="H40" s="42">
        <v>58781</v>
      </c>
      <c r="I40" s="42">
        <v>58864</v>
      </c>
      <c r="J40" s="30" t="s">
        <v>182</v>
      </c>
      <c r="K40" s="42">
        <v>59048</v>
      </c>
      <c r="L40" s="131" t="s">
        <v>50</v>
      </c>
      <c r="M40" s="132">
        <f t="shared" si="0"/>
        <v>97.152000000000001</v>
      </c>
      <c r="N40" s="133" t="str">
        <f>VLOOKUP(C40,'Trips&amp;Operators'!$C$1:$G$99911,5,FALSE)</f>
        <v>FORTUNATO FRANK</v>
      </c>
      <c r="O40" s="200" t="s">
        <v>180</v>
      </c>
      <c r="P40" s="134"/>
      <c r="Q40" s="30"/>
      <c r="R40" s="81" t="str">
        <f>VLOOKUP(C40,'Train Runs'!$A$13:$AE$9921,31,0)</f>
        <v>aws s3 cp s3://rtdc.mdm.uploadarchive.raw/RTDC4064/ "%USERPROFILE%\AppData\Local\Temp\OnboardLogs"\RTDC4064\2017-09-05 --exclude "*" --recursive --include "*20170905*" &amp; "%USERPROFILE%\Documents\GitHub\mrs-test-scripts\Headless Mode &amp; Sideloading\WalkAndUnGZ.bat" "%USERPROFILE%\AppData\Local\Temp\OnboardLogs"\RTDC4064\2017-09-05 &amp; aws s3 cp s3://rtdc.mdm.uploadarchive.raw/RTDC4064/ "%USERPROFILE%\AppData\Local\Temp\OnboardLogs"\RTDC4064\2017-09-06 --exclude "*" --recursive --include "*20170906*" &amp; "%USERPROFILE%\Documents\GitHub\mrs-test-scripts\Headless Mode &amp; Sideloading\WalkAndUnGZ.bat" "%USERPROFILE%\AppData\Local\Temp\OnboardLogs"\RTDC4064\2017-09-06</v>
      </c>
      <c r="S40" s="84" t="str">
        <f>VLOOKUP(C40,'Train Runs'!$A$13:$AE$9921,22,0)</f>
        <v>https://d0f6bd738d7f1b3e5a7ca70fe4ff75f0.us-east-1.aws.found.io/app/kibana#/discover/Steve-Slow-Train-Analysis-(2080s-and-2083s)?_g=(refreshInterval:(display:Off,pause:!f,section:0,value:0),time:(from:'2017-09-05T06:57:51-0600',mode:absolute,to:'2017-09-05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0" s="86" t="str">
        <f t="shared" si="1"/>
        <v>"C:\Program Files (x86)\AstroGrep\AstroGrep.exe" /e /r /s /spath="%USERPROFILE%\AppData\Local\Temp\OnboardLogs" /stypes="*4064*201709051*" /stext=" 14:.+((SYSTEM_STATE.+slice.+state.+changed )|(ment ac)|(multiple cpu faults)|(system.+state.+changed )|(\[timeout)|(PRM\|1\|D)|(kpr)|(kdp)|(train st.+moving)|(\|lc)|(penalty))"</v>
      </c>
      <c r="U40" s="9" t="str">
        <f t="shared" si="2"/>
        <v>4064</v>
      </c>
      <c r="V40" s="31">
        <f t="shared" si="3"/>
        <v>42983.600277777776</v>
      </c>
      <c r="W40" s="45" t="str">
        <f t="shared" si="4"/>
        <v>NW</v>
      </c>
      <c r="X40" s="22">
        <f t="shared" si="5"/>
        <v>811</v>
      </c>
      <c r="Y40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{"issue":{"subject":"","project_id":79,"tracker_id":40,"status_id":1,"priority_id":2,"assigned_to_id":338,"start_date":"2017-09-05","description":"","custom_fields":[{"id":1,"name":"Subdivision","value":"NW"},{"id":4,"name":"Milepost","value":"5.9048"},{"id":17,"name":"Train ID","value":"811-05"},{"id":16,"name":"Locomotive ID","value":"4064"},{"id":130,"name":"Impact","value":""},{"id":150,"name":"Time of Event (Mountain Time)","value":"08:24:24"},{"id":151,"name":"Denver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/c/Users/stu/AppData/Local/Temp/OnboardLogs/RTDC4064 --include="*4064*201709051*"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"%USERPROFILE%\AppData\Local\Temp\OnboardLogs"\RTDC4064\*4064*201709051* &gt;&gt; 2017-09-05-SliceDisagreementCheck.txt</v>
      </c>
      <c r="AE40" s="145" t="str">
        <f t="shared" si="9"/>
        <v>start /low /b %USERPROFILE%\Documents\GitHub\eaglep3\Utilities\DownloadLogsFromS3.py --loco 4064 --day 2017-09-05</v>
      </c>
      <c r="AF40" s="1"/>
    </row>
    <row r="41" spans="1:32" x14ac:dyDescent="0.25">
      <c r="A41" s="31">
        <v>42983.747048611112</v>
      </c>
      <c r="B41" s="30" t="s">
        <v>569</v>
      </c>
      <c r="C41" s="30" t="s">
        <v>612</v>
      </c>
      <c r="D41" s="30" t="s">
        <v>49</v>
      </c>
      <c r="E41" s="30" t="s">
        <v>181</v>
      </c>
      <c r="F41" s="42">
        <v>0</v>
      </c>
      <c r="G41" s="42">
        <v>27</v>
      </c>
      <c r="H41" s="42">
        <v>58995</v>
      </c>
      <c r="I41" s="42">
        <v>59008</v>
      </c>
      <c r="J41" s="30" t="s">
        <v>182</v>
      </c>
      <c r="K41" s="42">
        <v>59048</v>
      </c>
      <c r="L41" s="131" t="s">
        <v>50</v>
      </c>
      <c r="M41" s="132">
        <f t="shared" si="0"/>
        <v>21.12</v>
      </c>
      <c r="N41" s="133" t="str">
        <f>VLOOKUP(C41,'Trips&amp;Operators'!$C$1:$G$99911,5,FALSE)</f>
        <v>WEST BRYAN</v>
      </c>
      <c r="O41" s="200" t="s">
        <v>180</v>
      </c>
      <c r="P41" s="134"/>
      <c r="Q41" s="30"/>
      <c r="R41" s="81" t="str">
        <f>VLOOKUP(C41,'Train Runs'!$A$13:$AE$9921,31,0)</f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S41" s="84" t="str">
        <f>VLOOKUP(C41,'Train Runs'!$A$13:$AE$9921,22,0)</f>
        <v>https://d0f6bd738d7f1b3e5a7ca70fe4ff75f0.us-east-1.aws.found.io/app/kibana#/discover/Steve-Slow-Train-Analysis-(2080s-and-2083s)?_g=(refreshInterval:(display:Off,pause:!f,section:0,value:0),time:(from:'2017-09-05T16:32:59-0600',mode:absolute,to:'2017-09-05T18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1" s="86" t="str">
        <f t="shared" si="1"/>
        <v>"C:\Program Files (x86)\AstroGrep\AstroGrep.exe" /e /r /s /spath="%USERPROFILE%\AppData\Local\Temp\OnboardLogs" /stypes="*4020*201709052*" /stext=" 23:.+((SYSTEM_STATE.+slice.+state.+changed )|(ment ac)|(multiple cpu faults)|(system.+state.+changed )|(\[timeout)|(PRM\|1\|D)|(kpr)|(kdp)|(train st.+moving)|(\|lc)|(penalty))"</v>
      </c>
      <c r="U41" s="9" t="str">
        <f t="shared" si="2"/>
        <v>4020</v>
      </c>
      <c r="V41" s="31">
        <f t="shared" si="3"/>
        <v>42983.997048611112</v>
      </c>
      <c r="W41" s="45" t="str">
        <f t="shared" si="4"/>
        <v>NW</v>
      </c>
      <c r="X41" s="22">
        <f t="shared" si="5"/>
        <v>835</v>
      </c>
      <c r="Y41" s="96" t="str">
        <f t="shared" si="6"/>
        <v>echo {"issue":{"subject":"","project_id":79,"tracker_id":40,"status_id":1,"priority_id":2,"assigned_to_id":338,"start_date":"2017-09-05","description":"","custom_fields":[{"id":1,"name":"Subdivision","value":"NW"},{"id":4,"name":"Milepost","value":"5.9048"},{"id":17,"name":"Train ID","value":"835-05"},{"id":16,"name":"Locomotive ID","value":"4020"},{"id":130,"name":"Impact","value":""},{"id":150,"name":"Time of Event (Mountain Time)","value":"17:55:45"},{"id":151,"name":"Denver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/c/Users/stu/AppData/Local/Temp/OnboardLogs/RTDC4020 --include="*4020*201709052*"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"%USERPROFILE%\AppData\Local\Temp\OnboardLogs"\RTDC4020\*4020*201709052* &gt;&gt; 2017-09-05-SliceDisagreementCheck.txt</v>
      </c>
      <c r="AE41" s="145" t="str">
        <f t="shared" si="9"/>
        <v>start /low /b %USERPROFILE%\Documents\GitHub\eaglep3\Utilities\DownloadLogsFromS3.py --loco 4020 --day 2017-09-05</v>
      </c>
      <c r="AF41" s="1"/>
    </row>
    <row r="42" spans="1:32" x14ac:dyDescent="0.25">
      <c r="A42" s="31">
        <v>42983.210555555554</v>
      </c>
      <c r="B42" s="30" t="s">
        <v>569</v>
      </c>
      <c r="C42" s="30" t="s">
        <v>570</v>
      </c>
      <c r="D42" s="30" t="s">
        <v>96</v>
      </c>
      <c r="E42" s="30" t="s">
        <v>571</v>
      </c>
      <c r="F42" s="42">
        <v>0</v>
      </c>
      <c r="G42" s="42">
        <v>81</v>
      </c>
      <c r="H42" s="42">
        <v>29599</v>
      </c>
      <c r="I42" s="42">
        <v>29674</v>
      </c>
      <c r="J42" s="30" t="s">
        <v>572</v>
      </c>
      <c r="K42" s="42">
        <v>28990</v>
      </c>
      <c r="L42" s="131" t="s">
        <v>50</v>
      </c>
      <c r="M42" s="132">
        <f t="shared" si="0"/>
        <v>-361.15199999999999</v>
      </c>
      <c r="N42" s="133" t="str">
        <f>VLOOKUP(C42,'Trips&amp;Operators'!$C$1:$G$99911,5,FALSE)</f>
        <v>BARRON PERLA</v>
      </c>
      <c r="O42" s="200" t="s">
        <v>180</v>
      </c>
      <c r="P42" s="134" t="s">
        <v>1002</v>
      </c>
      <c r="Q42" s="30"/>
      <c r="R42" s="81" t="str">
        <f>VLOOKUP(C42,'Train Runs'!$A$13:$AE$9921,31,0)</f>
        <v>aws s3 cp s3://rtdc.mdm.uploadarchive.raw/RTDC4020/ "%USERPROFILE%\AppData\Local\Temp\OnboardLogs"\RTDC4020\2017-09-05 --exclude "*" --recursive --include "*20170905*" &amp; "%USERPROFILE%\Documents\GitHub\mrs-test-scripts\Headless Mode &amp; Sideloading\WalkAndUnGZ.bat" "%USERPROFILE%\AppData\Local\Temp\OnboardLogs"\RTDC4020\2017-09-05 &amp; 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</v>
      </c>
      <c r="S42" s="84" t="str">
        <f>VLOOKUP(C42,'Train Runs'!$A$13:$AE$9921,22,0)</f>
        <v>https://d0f6bd738d7f1b3e5a7ca70fe4ff75f0.us-east-1.aws.found.io/app/kibana#/discover/Steve-Slow-Train-Analysis-(2080s-and-2083s)?_g=(refreshInterval:(display:Off,pause:!f,section:0,value:0),time:(from:'2017-09-05T03:57:12-0600',mode:absolute,to:'2017-09-05T06:03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86" t="str">
        <f t="shared" si="1"/>
        <v>"C:\Program Files (x86)\AstroGrep\AstroGrep.exe" /e /r /s /spath="%USERPROFILE%\AppData\Local\Temp\OnboardLogs" /stypes="*4020*201709051*" /stext=" 11:.+((SYSTEM_STATE.+slice.+state.+changed )|(ment ac)|(multiple cpu faults)|(system.+state.+changed )|(\[timeout)|(PRM\|1\|D)|(kpr)|(kdp)|(train st.+moving)|(\|lc)|(penalty))"</v>
      </c>
      <c r="U42" s="9" t="str">
        <f t="shared" si="2"/>
        <v>4020</v>
      </c>
      <c r="V42" s="31">
        <f t="shared" si="3"/>
        <v>42983.460555555554</v>
      </c>
      <c r="W42" s="45" t="str">
        <f t="shared" si="4"/>
        <v>Other</v>
      </c>
      <c r="X42" s="22">
        <f t="shared" si="5"/>
        <v>901</v>
      </c>
      <c r="Y42" s="96" t="str">
        <f t="shared" si="6"/>
        <v>echo {"issue":{"subject":"Went active past switch","project_id":79,"tracker_id":40,"status_id":1,"priority_id":2,"assigned_to_id":338,"start_date":"2017-09-05","description":"","custom_fields":[{"id":1,"name":"Subdivision","value":"Other"},{"id":4,"name":"Milepost","value":"2.899"},{"id":17,"name":"Train ID","value":"901-05"},{"id":16,"name":"Locomotive ID","value":"4020"},{"id":130,"name":"Impact","value":""},{"id":150,"name":"Time of Event (Mountain Time)","value":"05:03:12"},{"id":151,"name":"Denver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/c/Users/stu/AppData/Local/Temp/OnboardLogs/RTDC4020 --include="*4020*201709051*"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"%USERPROFILE%\AppData\Local\Temp\OnboardLogs"\RTDC4020\*4020*201709051* &gt;&gt; 2017-09-05-SliceDisagreementCheck.txt</v>
      </c>
      <c r="AE42" s="145" t="str">
        <f t="shared" si="9"/>
        <v>start /low /b %USERPROFILE%\Documents\GitHub\eaglep3\Utilities\DownloadLogsFromS3.py --loco 4020 --day 2017-09-05</v>
      </c>
      <c r="AF42" s="1"/>
    </row>
    <row r="43" spans="1:32" x14ac:dyDescent="0.25">
      <c r="A43" s="31">
        <v>42983.643761574072</v>
      </c>
      <c r="B43" s="30" t="s">
        <v>573</v>
      </c>
      <c r="C43" s="30" t="s">
        <v>600</v>
      </c>
      <c r="D43" s="30" t="s">
        <v>49</v>
      </c>
      <c r="E43" s="30" t="s">
        <v>181</v>
      </c>
      <c r="F43" s="42">
        <v>0</v>
      </c>
      <c r="G43" s="42">
        <v>159</v>
      </c>
      <c r="H43" s="42">
        <v>1387</v>
      </c>
      <c r="I43" s="42">
        <v>1172</v>
      </c>
      <c r="J43" s="30" t="s">
        <v>182</v>
      </c>
      <c r="K43" s="42">
        <v>575</v>
      </c>
      <c r="L43" s="131" t="s">
        <v>51</v>
      </c>
      <c r="M43" s="132">
        <f t="shared" si="0"/>
        <v>315.21600000000001</v>
      </c>
      <c r="N43" s="133" t="str">
        <f>VLOOKUP(C43,'Trips&amp;Operators'!$C$1:$G$99911,5,FALSE)</f>
        <v>WEST BRYAN</v>
      </c>
      <c r="O43" s="200" t="s">
        <v>180</v>
      </c>
      <c r="P43" s="134"/>
      <c r="Q43" s="30"/>
      <c r="R43" s="81" t="str">
        <f>VLOOKUP(C43,'Train Runs'!$A$13:$AE$9921,31,0)</f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S43" s="84" t="str">
        <f>VLOOKUP(C43,'Train Runs'!$A$13:$AE$9921,22,0)</f>
        <v>https://d0f6bd738d7f1b3e5a7ca70fe4ff75f0.us-east-1.aws.found.io/app/kibana#/discover/Steve-Slow-Train-Analysis-(2080s-and-2083s)?_g=(refreshInterval:(display:Off,pause:!f,section:0,value:0),time:(from:'2017-09-05T14:16:46-0600',mode:absolute,to:'2017-09-05T16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3" s="86" t="str">
        <f t="shared" si="1"/>
        <v>"C:\Program Files (x86)\AstroGrep\AstroGrep.exe" /e /r /s /spath="%USERPROFILE%\AppData\Local\Temp\OnboardLogs" /stypes="*4019*201709052*" /stext=" 21:.+((SYSTEM_STATE.+slice.+state.+changed )|(ment ac)|(multiple cpu faults)|(system.+state.+changed )|(\[timeout)|(PRM\|1\|D)|(kpr)|(kdp)|(train st.+moving)|(\|lc)|(penalty))"</v>
      </c>
      <c r="U43" s="9" t="str">
        <f t="shared" si="2"/>
        <v>4019</v>
      </c>
      <c r="V43" s="31">
        <f t="shared" si="3"/>
        <v>42983.893761574072</v>
      </c>
      <c r="W43" s="45" t="str">
        <f t="shared" si="4"/>
        <v>Other</v>
      </c>
      <c r="X43" s="22">
        <f t="shared" si="5"/>
        <v>904</v>
      </c>
      <c r="Y43" s="96" t="str">
        <f t="shared" si="6"/>
        <v>echo {"issue":{"subject":"","project_id":79,"tracker_id":40,"status_id":1,"priority_id":2,"assigned_to_id":338,"start_date":"2017-09-05","description":"","custom_fields":[{"id":1,"name":"Subdivision","value":"Other"},{"id":4,"name":"Milepost","value":"0.0575"},{"id":17,"name":"Train ID","value":"904-05"},{"id":16,"name":"Locomotive ID","value":"4019"},{"id":130,"name":"Impact","value":""},{"id":150,"name":"Time of Event (Mountain Time)","value":"15:27:01"},{"id":151,"name":"Denver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/c/Users/stu/AppData/Local/Temp/OnboardLogs/RTDC4019 --include="*4019*201709052*"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"%USERPROFILE%\AppData\Local\Temp\OnboardLogs"\RTDC4019\*4019*201709052* &gt;&gt; 2017-09-05-SliceDisagreementCheck.txt</v>
      </c>
      <c r="AE43" s="145" t="str">
        <f t="shared" si="9"/>
        <v>start /low /b %USERPROFILE%\Documents\GitHub\eaglep3\Utilities\DownloadLogsFromS3.py --loco 4019 --day 2017-09-05</v>
      </c>
      <c r="AF43" s="1"/>
    </row>
    <row r="44" spans="1:32" x14ac:dyDescent="0.25">
      <c r="A44" s="31">
        <v>42983.644305555557</v>
      </c>
      <c r="B44" s="30" t="s">
        <v>573</v>
      </c>
      <c r="C44" s="30" t="s">
        <v>600</v>
      </c>
      <c r="D44" s="30" t="s">
        <v>49</v>
      </c>
      <c r="E44" s="30" t="s">
        <v>181</v>
      </c>
      <c r="F44" s="42">
        <v>0</v>
      </c>
      <c r="G44" s="42">
        <v>71</v>
      </c>
      <c r="H44" s="42">
        <v>866</v>
      </c>
      <c r="I44" s="42">
        <v>799</v>
      </c>
      <c r="J44" s="30" t="s">
        <v>182</v>
      </c>
      <c r="K44" s="42">
        <v>575</v>
      </c>
      <c r="L44" s="131" t="s">
        <v>51</v>
      </c>
      <c r="M44" s="132">
        <f t="shared" si="0"/>
        <v>118.27200000000001</v>
      </c>
      <c r="N44" s="133" t="str">
        <f>VLOOKUP(C44,'Trips&amp;Operators'!$C$1:$G$99911,5,FALSE)</f>
        <v>WEST BRYAN</v>
      </c>
      <c r="O44" s="200" t="s">
        <v>180</v>
      </c>
      <c r="P44" s="134"/>
      <c r="Q44" s="30"/>
      <c r="R44" s="81" t="str">
        <f>VLOOKUP(C44,'Train Runs'!$A$13:$AE$9921,31,0)</f>
        <v>aws s3 cp s3://rtdc.mdm.uploadarchive.raw/RTDC4019/ "%USERPROFILE%\AppData\Local\Temp\OnboardLogs"\RTDC4019\2017-09-05 --exclude "*" --recursive --include "*20170905*" &amp; "%USERPROFILE%\Documents\GitHub\mrs-test-scripts\Headless Mode &amp; Sideloading\WalkAndUnGZ.bat" "%USERPROFILE%\AppData\Local\Temp\OnboardLogs"\RTDC4019\2017-09-05 &amp; 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</v>
      </c>
      <c r="S44" s="84" t="str">
        <f>VLOOKUP(C44,'Train Runs'!$A$13:$AE$9921,22,0)</f>
        <v>https://d0f6bd738d7f1b3e5a7ca70fe4ff75f0.us-east-1.aws.found.io/app/kibana#/discover/Steve-Slow-Train-Analysis-(2080s-and-2083s)?_g=(refreshInterval:(display:Off,pause:!f,section:0,value:0),time:(from:'2017-09-05T14:16:46-0600',mode:absolute,to:'2017-09-05T16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4" s="86" t="str">
        <f t="shared" si="1"/>
        <v>"C:\Program Files (x86)\AstroGrep\AstroGrep.exe" /e /r /s /spath="%USERPROFILE%\AppData\Local\Temp\OnboardLogs" /stypes="*4019*201709052*" /stext=" 21:.+((SYSTEM_STATE.+slice.+state.+changed )|(ment ac)|(multiple cpu faults)|(system.+state.+changed )|(\[timeout)|(PRM\|1\|D)|(kpr)|(kdp)|(train st.+moving)|(\|lc)|(penalty))"</v>
      </c>
      <c r="U44" s="9" t="str">
        <f t="shared" si="2"/>
        <v>4019</v>
      </c>
      <c r="V44" s="31">
        <f t="shared" si="3"/>
        <v>42983.894305555557</v>
      </c>
      <c r="W44" s="45" t="str">
        <f t="shared" si="4"/>
        <v>Other</v>
      </c>
      <c r="X44" s="22">
        <f t="shared" si="5"/>
        <v>904</v>
      </c>
      <c r="Y44" s="96" t="str">
        <f t="shared" si="6"/>
        <v>echo {"issue":{"subject":"","project_id":79,"tracker_id":40,"status_id":1,"priority_id":2,"assigned_to_id":338,"start_date":"2017-09-05","description":"","custom_fields":[{"id":1,"name":"Subdivision","value":"Other"},{"id":4,"name":"Milepost","value":"0.0575"},{"id":17,"name":"Train ID","value":"904-05"},{"id":16,"name":"Locomotive ID","value":"4019"},{"id":130,"name":"Impact","value":""},{"id":150,"name":"Time of Event (Mountain Time)","value":"15:27:48"},{"id":151,"name":"Denver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/c/Users/stu/AppData/Local/Temp/OnboardLogs/RTDC4019 --include="*4019*201709052*"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"%USERPROFILE%\AppData\Local\Temp\OnboardLogs"\RTDC4019\*4019*201709052* &gt;&gt; 2017-09-05-SliceDisagreementCheck.txt</v>
      </c>
      <c r="AE44" s="145" t="str">
        <f t="shared" si="9"/>
        <v>start /low /b %USERPROFILE%\Documents\GitHub\eaglep3\Utilities\DownloadLogsFromS3.py --loco 4019 --day 2017-09-05</v>
      </c>
      <c r="AF44" s="1"/>
    </row>
    <row r="45" spans="1:32" x14ac:dyDescent="0.25">
      <c r="A45" s="31">
        <v>42983.545972222222</v>
      </c>
      <c r="B45" s="30" t="s">
        <v>391</v>
      </c>
      <c r="C45" s="30" t="s">
        <v>595</v>
      </c>
      <c r="D45" s="30" t="s">
        <v>96</v>
      </c>
      <c r="E45" s="30" t="s">
        <v>367</v>
      </c>
      <c r="F45" s="42">
        <v>0</v>
      </c>
      <c r="G45" s="42">
        <v>14</v>
      </c>
      <c r="H45" s="42">
        <v>1821</v>
      </c>
      <c r="I45" s="42">
        <v>1829</v>
      </c>
      <c r="J45" s="30" t="s">
        <v>368</v>
      </c>
      <c r="K45" s="42">
        <v>1692</v>
      </c>
      <c r="L45" s="131" t="s">
        <v>50</v>
      </c>
      <c r="M45" s="132">
        <f t="shared" si="0"/>
        <v>-72.335999999999999</v>
      </c>
      <c r="N45" s="133" t="str">
        <f>VLOOKUP(C45,'Trips&amp;Operators'!$C$1:$G$99911,5,FALSE)</f>
        <v>BIRENBAUM THOMAS</v>
      </c>
      <c r="O45" s="200" t="s">
        <v>180</v>
      </c>
      <c r="P45" s="134"/>
      <c r="Q45" s="30"/>
      <c r="R45" s="81" t="str">
        <f>VLOOKUP(C45,'Train Runs'!$A$13:$AE$9921,31,0)</f>
        <v>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 &amp; aws s3 cp s3://rtdc.mdm.uploadarchive.raw/RTDC4018/ "%USERPROFILE%\AppData\Local\Temp\OnboardLogs"\RTDC4018\2017-09-06 --exclude "*" --recursive --include "*20170906*" &amp; "%USERPROFILE%\Documents\GitHub\mrs-test-scripts\Headless Mode &amp; Sideloading\WalkAndUnGZ.bat" "%USERPROFILE%\AppData\Local\Temp\OnboardLogs"\RTDC4018\2017-09-06</v>
      </c>
      <c r="S45" s="84" t="str">
        <f>VLOOKUP(C45,'Train Runs'!$A$13:$AE$9921,22,0)</f>
        <v>https://d0f6bd738d7f1b3e5a7ca70fe4ff75f0.us-east-1.aws.found.io/app/kibana#/discover/Steve-Slow-Train-Analysis-(2080s-and-2083s)?_g=(refreshInterval:(display:Off,pause:!f,section:0,value:0),time:(from:'2017-09-05T10:28:28-0600',mode:absolute,to:'2017-09-05T12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86" t="str">
        <f t="shared" si="1"/>
        <v>"C:\Program Files (x86)\AstroGrep\AstroGrep.exe" /e /r /s /spath="%USERPROFILE%\AppData\Local\Temp\OnboardLogs" /stypes="*4030*201709051*" /stext=" 19:.+((SYSTEM_STATE.+slice.+state.+changed )|(ment ac)|(multiple cpu faults)|(system.+state.+changed )|(\[timeout)|(PRM\|1\|D)|(kpr)|(kdp)|(train st.+moving)|(\|lc)|(penalty))"</v>
      </c>
      <c r="U45" s="9" t="str">
        <f t="shared" si="2"/>
        <v>4030</v>
      </c>
      <c r="V45" s="31">
        <f t="shared" si="3"/>
        <v>42983.795972222222</v>
      </c>
      <c r="W45" s="45" t="str">
        <f t="shared" si="4"/>
        <v>Shuttle/Test</v>
      </c>
      <c r="X45" s="22">
        <f t="shared" si="5"/>
        <v>57</v>
      </c>
      <c r="Y45" s="96" t="str">
        <f t="shared" si="6"/>
        <v>echo {"issue":{"subject":"","project_id":79,"tracker_id":40,"status_id":1,"priority_id":2,"assigned_to_id":338,"start_date":"2017-09-05","description":"","custom_fields":[{"id":1,"name":"Subdivision","value":"Shuttle/Test"},{"id":4,"name":"Milepost","value":"0.1692"},{"id":17,"name":"Train ID","value":"57-05"},{"id":16,"name":"Locomotive ID","value":"4030"},{"id":130,"name":"Impact","value":""},{"id":150,"name":"Time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/c/Users/stu/AppData/Local/Temp/OnboardLogs/RTDC4030 --include="*4030*201709051*"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"%USERPROFILE%\AppData\Local\Temp\OnboardLogs"\RTDC4030\*4030*201709051* &gt;&gt; 2017-09-05-SliceDisagreementCheck.txt</v>
      </c>
      <c r="AE45" s="145" t="str">
        <f t="shared" si="9"/>
        <v>start /low /b %USERPROFILE%\Documents\GitHub\eaglep3\Utilities\DownloadLogsFromS3.py --loco 4030 --day 2017-09-05</v>
      </c>
      <c r="AF45" s="1"/>
    </row>
    <row r="46" spans="1:32" x14ac:dyDescent="0.25">
      <c r="A46" s="31">
        <v>42983.381874999999</v>
      </c>
      <c r="B46" s="30" t="s">
        <v>392</v>
      </c>
      <c r="C46" s="30" t="s">
        <v>590</v>
      </c>
      <c r="D46" s="30" t="s">
        <v>96</v>
      </c>
      <c r="E46" s="30" t="s">
        <v>591</v>
      </c>
      <c r="F46" s="42">
        <v>0</v>
      </c>
      <c r="G46" s="42">
        <v>119</v>
      </c>
      <c r="H46" s="42">
        <v>22068</v>
      </c>
      <c r="I46" s="42">
        <v>21969</v>
      </c>
      <c r="J46" s="30" t="s">
        <v>572</v>
      </c>
      <c r="K46" s="42">
        <v>24235</v>
      </c>
      <c r="L46" s="131" t="s">
        <v>51</v>
      </c>
      <c r="M46" s="132">
        <f t="shared" si="0"/>
        <v>-1196.4480000000001</v>
      </c>
      <c r="N46" s="133" t="str">
        <f>VLOOKUP(C46,'Trips&amp;Operators'!$C$1:$G$99911,5,FALSE)</f>
        <v>BIRENBAUM THOMAS</v>
      </c>
      <c r="O46" s="200" t="s">
        <v>180</v>
      </c>
      <c r="P46" s="134"/>
      <c r="Q46" s="30"/>
      <c r="R46" s="81" t="str">
        <f>VLOOKUP(C46,'Train Runs'!$A$13:$AE$9921,31,0)</f>
        <v>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 &amp; 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</v>
      </c>
      <c r="S46" s="84" t="str">
        <f>VLOOKUP(C46,'Train Runs'!$A$13:$AE$9921,22,0)</f>
        <v>https://d0f6bd738d7f1b3e5a7ca70fe4ff75f0.us-east-1.aws.found.io/app/kibana#/discover/Steve-Slow-Train-Analysis-(2080s-and-2083s)?_g=(refreshInterval:(display:Off,pause:!f,section:0,value:0),time:(from:'2017-09-05T08:04:16-0600',mode:absolute,to:'2017-09-05T10:28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6" s="86" t="str">
        <f t="shared" si="1"/>
        <v>"C:\Program Files (x86)\AstroGrep\AstroGrep.exe" /e /r /s /spath="%USERPROFILE%\AppData\Local\Temp\OnboardLogs" /stypes="*4029*201709051*" /stext=" 15:.+((SYSTEM_STATE.+slice.+state.+changed )|(ment ac)|(multiple cpu faults)|(system.+state.+changed )|(\[timeout)|(PRM\|1\|D)|(kpr)|(kdp)|(train st.+moving)|(\|lc)|(penalty))"</v>
      </c>
      <c r="U46" s="9" t="str">
        <f t="shared" si="2"/>
        <v>4029</v>
      </c>
      <c r="V46" s="31">
        <f t="shared" si="3"/>
        <v>42983.631874999999</v>
      </c>
      <c r="W46" s="45" t="str">
        <f t="shared" si="4"/>
        <v>Shuttle/Test</v>
      </c>
      <c r="X46" s="22">
        <f t="shared" si="5"/>
        <v>50</v>
      </c>
      <c r="Y46" s="96" t="str">
        <f t="shared" si="6"/>
        <v>echo {"issue":{"subject":"","project_id":79,"tracker_id":40,"status_id":1,"priority_id":2,"assigned_to_id":338,"start_date":"2017-09-05","description":"","custom_fields":[{"id":1,"name":"Subdivision","value":"Shuttle/Test"},{"id":4,"name":"Milepost","value":"2.4235"},{"id":17,"name":"Train ID","value":"50-05"},{"id":16,"name":"Locomotive ID","value":"4029"},{"id":130,"name":"Impact","value":""},{"id":150,"name":"Time of Event (Mountain Time)","value":"09:09:54"},{"id":151,"name":"Denver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/c/Users/stu/AppData/Local/Temp/OnboardLogs/RTDC4029 --include="*4029*201709051*"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"%USERPROFILE%\AppData\Local\Temp\OnboardLogs"\RTDC4029\*4029*201709051* &gt;&gt; 2017-09-05-SliceDisagreementCheck.txt</v>
      </c>
      <c r="AE46" s="145" t="str">
        <f t="shared" si="9"/>
        <v>start /low /b %USERPROFILE%\Documents\GitHub\eaglep3\Utilities\DownloadLogsFromS3.py --loco 4029 --day 2017-09-05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6"/>
      <sortCondition ref="E7:E46"/>
      <sortCondition ref="K7:K46"/>
      <sortCondition ref="F7:F46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2017-09-05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-05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Runs'!$A$13:$A$99918,1,FALSE)</f>
        <v>#N/A</v>
      </c>
    </row>
    <row r="4" spans="1:10" x14ac:dyDescent="0.25">
      <c r="A4" s="192"/>
      <c r="B4" s="42" t="str">
        <f>A4&amp;"-"&amp;IF(DAY(Variables!$A$2)&lt;10,0,"")&amp;DAY(Variables!$A$2)</f>
        <v>-05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Runs'!$A$13:$A$99918,1,FALSE)</f>
        <v>#N/A</v>
      </c>
    </row>
    <row r="5" spans="1:10" x14ac:dyDescent="0.25">
      <c r="A5" s="192"/>
      <c r="B5" s="42" t="str">
        <f>A5&amp;"-"&amp;IF(DAY(Variables!$A$2)&lt;10,0,"")&amp;DAY(Variables!$A$2)</f>
        <v>-05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Runs'!$A$13:$A$99918,1,FALSE)</f>
        <v>#N/A</v>
      </c>
    </row>
    <row r="6" spans="1:10" x14ac:dyDescent="0.25">
      <c r="A6" s="192"/>
      <c r="B6" s="42" t="str">
        <f>A6&amp;"-"&amp;IF(DAY(Variables!$A$2)&lt;10,0,"")&amp;DAY(Variables!$A$2)</f>
        <v>-05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Runs'!$A$13:$A$99918,1,FALSE)</f>
        <v>#N/A</v>
      </c>
    </row>
    <row r="7" spans="1:10" x14ac:dyDescent="0.25">
      <c r="A7" s="192"/>
      <c r="B7" s="42" t="str">
        <f>A7&amp;"-"&amp;IF(DAY(Variables!$A$2)&lt;10,0,"")&amp;DAY(Variables!$A$2)</f>
        <v>-05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Runs'!$A$13:$A$99918,1,FALSE)</f>
        <v>#N/A</v>
      </c>
    </row>
    <row r="8" spans="1:10" x14ac:dyDescent="0.25">
      <c r="A8" s="192"/>
      <c r="B8" s="42" t="str">
        <f>A8&amp;"-"&amp;IF(DAY(Variables!$A$2)&lt;10,0,"")&amp;DAY(Variables!$A$2)</f>
        <v>-05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Runs'!$A$13:$A$99918,1,FALSE)</f>
        <v>#N/A</v>
      </c>
    </row>
    <row r="9" spans="1:10" x14ac:dyDescent="0.25">
      <c r="A9" s="192"/>
      <c r="B9" s="42" t="str">
        <f>A9&amp;"-"&amp;IF(DAY(Variables!$A$2)&lt;10,0,"")&amp;DAY(Variables!$A$2)</f>
        <v>-05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Runs'!$A$13:$A$99918,1,FALSE)</f>
        <v>#N/A</v>
      </c>
    </row>
    <row r="10" spans="1:10" x14ac:dyDescent="0.25">
      <c r="A10" s="192"/>
      <c r="B10" s="42" t="str">
        <f>A10&amp;"-"&amp;IF(DAY(Variables!$A$2)&lt;10,0,"")&amp;DAY(Variables!$A$2)</f>
        <v>-05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Runs'!$A$13:$A$99918,1,FALSE)</f>
        <v>#N/A</v>
      </c>
    </row>
    <row r="11" spans="1:10" x14ac:dyDescent="0.25">
      <c r="A11" s="192"/>
      <c r="B11" s="42" t="str">
        <f>A11&amp;"-"&amp;IF(DAY(Variables!$A$2)&lt;10,0,"")&amp;DAY(Variables!$A$2)</f>
        <v>-05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Runs'!$A$13:$A$99918,1,FALSE)</f>
        <v>#N/A</v>
      </c>
    </row>
    <row r="12" spans="1:10" x14ac:dyDescent="0.25">
      <c r="A12" s="192"/>
      <c r="B12" s="42" t="str">
        <f>A12&amp;"-"&amp;IF(DAY(Variables!$A$2)&lt;10,0,"")&amp;DAY(Variables!$A$2)</f>
        <v>-05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Runs'!$A$13:$A$99918,1,FALSE)</f>
        <v>#N/A</v>
      </c>
    </row>
    <row r="13" spans="1:10" x14ac:dyDescent="0.25">
      <c r="A13" s="192"/>
      <c r="B13" s="42" t="str">
        <f>A13&amp;"-"&amp;IF(DAY(Variables!$A$2)&lt;10,0,"")&amp;DAY(Variables!$A$2)</f>
        <v>-05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Runs'!$A$13:$A$99918,1,FALSE)</f>
        <v>#N/A</v>
      </c>
    </row>
    <row r="14" spans="1:10" x14ac:dyDescent="0.25">
      <c r="A14" s="192"/>
      <c r="B14" s="42" t="str">
        <f>A14&amp;"-"&amp;IF(DAY(Variables!$A$2)&lt;10,0,"")&amp;DAY(Variables!$A$2)</f>
        <v>-05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Runs'!$A$13:$A$99918,1,FALSE)</f>
        <v>#N/A</v>
      </c>
    </row>
    <row r="15" spans="1:10" x14ac:dyDescent="0.25">
      <c r="A15" s="192"/>
      <c r="B15" s="42" t="str">
        <f>A15&amp;"-"&amp;IF(DAY(Variables!$A$2)&lt;10,0,"")&amp;DAY(Variables!$A$2)</f>
        <v>-05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Runs'!$A$13:$A$99918,1,FALSE)</f>
        <v>#N/A</v>
      </c>
    </row>
    <row r="16" spans="1:10" x14ac:dyDescent="0.25">
      <c r="A16" s="192"/>
      <c r="B16" s="42" t="str">
        <f>A16&amp;"-"&amp;IF(DAY(Variables!$A$2)&lt;10,0,"")&amp;DAY(Variables!$A$2)</f>
        <v>-05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Runs'!$A$13:$A$99918,1,FALSE)</f>
        <v>#N/A</v>
      </c>
    </row>
    <row r="17" spans="1:10" x14ac:dyDescent="0.25">
      <c r="A17" s="192"/>
      <c r="B17" s="42" t="str">
        <f>A17&amp;"-"&amp;IF(DAY(Variables!$A$2)&lt;10,0,"")&amp;DAY(Variables!$A$2)</f>
        <v>-05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Runs'!$A$13:$A$99918,1,FALSE)</f>
        <v>#N/A</v>
      </c>
    </row>
    <row r="18" spans="1:10" x14ac:dyDescent="0.25">
      <c r="A18" s="192"/>
      <c r="B18" s="42" t="str">
        <f>A18&amp;"-"&amp;IF(DAY(Variables!$A$2)&lt;10,0,"")&amp;DAY(Variables!$A$2)</f>
        <v>-05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Runs'!$A$13:$A$99918,1,FALSE)</f>
        <v>#N/A</v>
      </c>
    </row>
    <row r="19" spans="1:10" x14ac:dyDescent="0.25">
      <c r="A19" s="192"/>
      <c r="B19" s="42" t="str">
        <f>A19&amp;"-"&amp;IF(DAY(Variables!$A$2)&lt;10,0,"")&amp;DAY(Variables!$A$2)</f>
        <v>-05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Runs'!$A$13:$A$99918,1,FALSE)</f>
        <v>#N/A</v>
      </c>
    </row>
    <row r="20" spans="1:10" x14ac:dyDescent="0.25">
      <c r="A20" s="192"/>
      <c r="B20" s="42" t="str">
        <f>A20&amp;"-"&amp;IF(DAY(Variables!$A$2)&lt;10,0,"")&amp;DAY(Variables!$A$2)</f>
        <v>-05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Runs'!$A$13:$A$99918,1,FALSE)</f>
        <v>#N/A</v>
      </c>
    </row>
    <row r="21" spans="1:10" x14ac:dyDescent="0.25">
      <c r="A21" s="192"/>
      <c r="B21" s="42" t="str">
        <f>A21&amp;"-"&amp;IF(DAY(Variables!$A$2)&lt;10,0,"")&amp;DAY(Variables!$A$2)</f>
        <v>-05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Runs'!$A$13:$A$99918,1,FALSE)</f>
        <v>#N/A</v>
      </c>
    </row>
    <row r="22" spans="1:10" x14ac:dyDescent="0.25">
      <c r="A22" s="192"/>
      <c r="B22" s="42" t="str">
        <f>A22&amp;"-"&amp;IF(DAY(Variables!$A$2)&lt;10,0,"")&amp;DAY(Variables!$A$2)</f>
        <v>-05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Runs'!$A$13:$A$99918,1,FALSE)</f>
        <v>#N/A</v>
      </c>
    </row>
    <row r="23" spans="1:10" x14ac:dyDescent="0.25">
      <c r="A23" s="192"/>
      <c r="B23" s="42" t="str">
        <f>A23&amp;"-"&amp;IF(DAY(Variables!$A$2)&lt;10,0,"")&amp;DAY(Variables!$A$2)</f>
        <v>-05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Runs'!$A$13:$A$99918,1,FALSE)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42983.047152777777</v>
      </c>
      <c r="B2" s="20" t="s">
        <v>476</v>
      </c>
      <c r="C2" s="20" t="s">
        <v>522</v>
      </c>
      <c r="D2" s="138">
        <v>890000</v>
      </c>
      <c r="E2" s="20" t="s">
        <v>385</v>
      </c>
      <c r="F2" s="20" t="s">
        <v>386</v>
      </c>
      <c r="G2" s="8" t="str">
        <f>E2&amp;" "&amp;F2</f>
        <v>LOZA FIDEL</v>
      </c>
    </row>
    <row r="3" spans="1:7" x14ac:dyDescent="0.25">
      <c r="A3" s="8">
        <v>42983.056956018518</v>
      </c>
      <c r="B3" s="20" t="s">
        <v>503</v>
      </c>
      <c r="C3" s="20" t="s">
        <v>523</v>
      </c>
      <c r="D3" s="138">
        <v>3040000</v>
      </c>
      <c r="E3" s="20" t="s">
        <v>416</v>
      </c>
      <c r="F3" s="20" t="s">
        <v>417</v>
      </c>
      <c r="G3" s="8" t="str">
        <f t="shared" ref="G3:G66" si="0">E3&amp;" "&amp;F3</f>
        <v>WILLIAMS DONTE</v>
      </c>
    </row>
    <row r="4" spans="1:7" x14ac:dyDescent="0.25">
      <c r="A4" s="8">
        <v>42983.06927083333</v>
      </c>
      <c r="B4" s="20" t="s">
        <v>383</v>
      </c>
      <c r="C4" s="20" t="s">
        <v>524</v>
      </c>
      <c r="D4" s="138">
        <v>2680000</v>
      </c>
      <c r="E4" s="20" t="s">
        <v>509</v>
      </c>
      <c r="F4" s="20" t="s">
        <v>510</v>
      </c>
      <c r="G4" s="8" t="str">
        <f t="shared" si="0"/>
        <v>DUNCAN SHEILA</v>
      </c>
    </row>
    <row r="5" spans="1:7" x14ac:dyDescent="0.25">
      <c r="A5" s="8">
        <v>42983.070208333331</v>
      </c>
      <c r="B5" s="20" t="s">
        <v>383</v>
      </c>
      <c r="C5" s="20" t="s">
        <v>524</v>
      </c>
      <c r="D5" s="138">
        <v>2680000</v>
      </c>
      <c r="E5" s="20" t="s">
        <v>509</v>
      </c>
      <c r="F5" s="20" t="s">
        <v>510</v>
      </c>
      <c r="G5" s="8" t="str">
        <f t="shared" si="0"/>
        <v>DUNCAN SHEILA</v>
      </c>
    </row>
    <row r="6" spans="1:7" x14ac:dyDescent="0.25">
      <c r="A6" s="8">
        <v>42983.071319444447</v>
      </c>
      <c r="B6" s="20" t="s">
        <v>383</v>
      </c>
      <c r="C6" s="20" t="s">
        <v>524</v>
      </c>
      <c r="D6" s="138">
        <v>2680000</v>
      </c>
      <c r="E6" s="20" t="s">
        <v>509</v>
      </c>
      <c r="F6" s="20" t="s">
        <v>510</v>
      </c>
      <c r="G6" s="8" t="str">
        <f t="shared" si="0"/>
        <v>DUNCAN SHEILA</v>
      </c>
    </row>
    <row r="7" spans="1:7" x14ac:dyDescent="0.25">
      <c r="A7" s="8">
        <v>42983.071979166663</v>
      </c>
      <c r="B7" s="20" t="s">
        <v>383</v>
      </c>
      <c r="C7" s="20" t="s">
        <v>524</v>
      </c>
      <c r="D7" s="138">
        <v>2680000</v>
      </c>
      <c r="E7" s="20" t="s">
        <v>509</v>
      </c>
      <c r="F7" s="20" t="s">
        <v>510</v>
      </c>
      <c r="G7" s="8" t="str">
        <f t="shared" si="0"/>
        <v>DUNCAN SHEILA</v>
      </c>
    </row>
    <row r="8" spans="1:7" x14ac:dyDescent="0.25">
      <c r="A8" s="8">
        <v>42983.090578703705</v>
      </c>
      <c r="B8" s="20" t="s">
        <v>504</v>
      </c>
      <c r="C8" s="20" t="s">
        <v>525</v>
      </c>
      <c r="D8" s="138">
        <v>3040000</v>
      </c>
      <c r="E8" s="20" t="s">
        <v>416</v>
      </c>
      <c r="F8" s="20" t="s">
        <v>417</v>
      </c>
      <c r="G8" s="8" t="str">
        <f t="shared" si="0"/>
        <v>WILLIAMS DONTE</v>
      </c>
    </row>
    <row r="9" spans="1:7" ht="15.75" thickBot="1" x14ac:dyDescent="0.3">
      <c r="A9" s="24">
        <v>42983.091284722221</v>
      </c>
      <c r="B9" s="20" t="s">
        <v>504</v>
      </c>
      <c r="C9" s="20" t="s">
        <v>525</v>
      </c>
      <c r="D9" s="138">
        <v>3040000</v>
      </c>
      <c r="E9" s="20" t="s">
        <v>416</v>
      </c>
      <c r="F9" s="20" t="s">
        <v>417</v>
      </c>
      <c r="G9" s="8" t="str">
        <f t="shared" si="0"/>
        <v>WILLIAMS DONTE</v>
      </c>
    </row>
    <row r="10" spans="1:7" x14ac:dyDescent="0.25">
      <c r="A10" s="8">
        <v>42983.092013888891</v>
      </c>
      <c r="B10" s="20" t="s">
        <v>504</v>
      </c>
      <c r="C10" s="20" t="s">
        <v>525</v>
      </c>
      <c r="D10" s="138">
        <v>3040000</v>
      </c>
      <c r="E10" s="20" t="s">
        <v>416</v>
      </c>
      <c r="F10" s="20" t="s">
        <v>417</v>
      </c>
      <c r="G10" s="8" t="str">
        <f t="shared" si="0"/>
        <v>WILLIAMS DONTE</v>
      </c>
    </row>
    <row r="11" spans="1:7" x14ac:dyDescent="0.25">
      <c r="A11" s="8">
        <v>42983.109907407408</v>
      </c>
      <c r="B11" s="20" t="s">
        <v>467</v>
      </c>
      <c r="C11" s="20" t="s">
        <v>526</v>
      </c>
      <c r="D11" s="138">
        <v>1830000</v>
      </c>
      <c r="E11" s="20" t="s">
        <v>429</v>
      </c>
      <c r="F11" s="20" t="s">
        <v>430</v>
      </c>
      <c r="G11" s="8" t="str">
        <f t="shared" si="0"/>
        <v>YORK EDGAR</v>
      </c>
    </row>
    <row r="12" spans="1:7" x14ac:dyDescent="0.25">
      <c r="A12" s="8">
        <v>42983.120775462965</v>
      </c>
      <c r="B12" s="20" t="s">
        <v>575</v>
      </c>
      <c r="C12" s="20" t="s">
        <v>617</v>
      </c>
      <c r="D12" s="138">
        <v>1830000</v>
      </c>
      <c r="E12" s="20" t="s">
        <v>429</v>
      </c>
      <c r="F12" s="20" t="s">
        <v>430</v>
      </c>
      <c r="G12" s="8" t="str">
        <f t="shared" si="0"/>
        <v>YORK EDGAR</v>
      </c>
    </row>
    <row r="13" spans="1:7" x14ac:dyDescent="0.25">
      <c r="A13" s="8">
        <v>42983.129710648151</v>
      </c>
      <c r="B13" s="20" t="s">
        <v>465</v>
      </c>
      <c r="C13" s="20" t="s">
        <v>618</v>
      </c>
      <c r="D13" s="138">
        <v>1090000</v>
      </c>
      <c r="E13" s="20" t="s">
        <v>426</v>
      </c>
      <c r="F13" s="20" t="s">
        <v>191</v>
      </c>
      <c r="G13" s="8" t="str">
        <f t="shared" si="0"/>
        <v>SPECTOR MICHAEL</v>
      </c>
    </row>
    <row r="14" spans="1:7" x14ac:dyDescent="0.25">
      <c r="A14" s="8">
        <v>42983.139479166668</v>
      </c>
      <c r="B14" s="20" t="s">
        <v>466</v>
      </c>
      <c r="C14" s="20" t="s">
        <v>619</v>
      </c>
      <c r="D14" s="138">
        <v>1110000</v>
      </c>
      <c r="E14" s="20" t="s">
        <v>620</v>
      </c>
      <c r="F14" s="20" t="s">
        <v>621</v>
      </c>
      <c r="G14" s="8" t="str">
        <f t="shared" si="0"/>
        <v>STARKS ANGELINA</v>
      </c>
    </row>
    <row r="15" spans="1:7" x14ac:dyDescent="0.25">
      <c r="A15" s="8">
        <v>42983.140393518515</v>
      </c>
      <c r="B15" s="20" t="s">
        <v>467</v>
      </c>
      <c r="C15" s="20" t="s">
        <v>622</v>
      </c>
      <c r="D15" s="138">
        <v>1090000</v>
      </c>
      <c r="E15" s="20" t="s">
        <v>426</v>
      </c>
      <c r="F15" s="20" t="s">
        <v>191</v>
      </c>
      <c r="G15" s="8" t="str">
        <f t="shared" si="0"/>
        <v>SPECTOR MICHAEL</v>
      </c>
    </row>
    <row r="16" spans="1:7" x14ac:dyDescent="0.25">
      <c r="A16" s="8">
        <v>42983.151030092595</v>
      </c>
      <c r="B16" s="20" t="s">
        <v>452</v>
      </c>
      <c r="C16" s="20" t="s">
        <v>623</v>
      </c>
      <c r="D16" s="138">
        <v>1110000</v>
      </c>
      <c r="E16" s="20" t="s">
        <v>620</v>
      </c>
      <c r="F16" s="20" t="s">
        <v>621</v>
      </c>
      <c r="G16" s="8" t="str">
        <f t="shared" si="0"/>
        <v>STARKS ANGELINA</v>
      </c>
    </row>
    <row r="17" spans="1:7" x14ac:dyDescent="0.25">
      <c r="A17" s="8">
        <v>42983.155046296299</v>
      </c>
      <c r="B17" s="20" t="s">
        <v>508</v>
      </c>
      <c r="C17" s="20" t="s">
        <v>624</v>
      </c>
      <c r="D17" s="138">
        <v>3120000</v>
      </c>
      <c r="E17" s="20" t="s">
        <v>625</v>
      </c>
      <c r="F17" s="20" t="s">
        <v>626</v>
      </c>
      <c r="G17" s="8" t="str">
        <f t="shared" si="0"/>
        <v>THOMPSON LESTER</v>
      </c>
    </row>
    <row r="18" spans="1:7" x14ac:dyDescent="0.25">
      <c r="A18" s="8">
        <v>42983.160613425927</v>
      </c>
      <c r="B18" s="20" t="s">
        <v>627</v>
      </c>
      <c r="C18" s="20" t="s">
        <v>628</v>
      </c>
      <c r="D18" s="138">
        <v>1830000</v>
      </c>
      <c r="E18" s="20" t="s">
        <v>429</v>
      </c>
      <c r="F18" s="20" t="s">
        <v>430</v>
      </c>
      <c r="G18" s="8" t="str">
        <f t="shared" si="0"/>
        <v>YORK EDGAR</v>
      </c>
    </row>
    <row r="19" spans="1:7" x14ac:dyDescent="0.25">
      <c r="A19" s="8">
        <v>42983.164942129632</v>
      </c>
      <c r="B19" s="20" t="s">
        <v>502</v>
      </c>
      <c r="C19" s="20" t="s">
        <v>629</v>
      </c>
      <c r="D19" s="138">
        <v>2530000</v>
      </c>
      <c r="E19" s="20" t="s">
        <v>470</v>
      </c>
      <c r="F19" s="20" t="s">
        <v>471</v>
      </c>
      <c r="G19" s="8" t="str">
        <f t="shared" si="0"/>
        <v>LALONDE GREGORY</v>
      </c>
    </row>
    <row r="20" spans="1:7" x14ac:dyDescent="0.25">
      <c r="A20" s="8">
        <v>42983.167361111111</v>
      </c>
      <c r="B20" s="20" t="s">
        <v>511</v>
      </c>
      <c r="C20" s="20" t="s">
        <v>630</v>
      </c>
      <c r="D20" s="138">
        <v>3120000</v>
      </c>
      <c r="E20" s="20" t="s">
        <v>625</v>
      </c>
      <c r="F20" s="20" t="s">
        <v>626</v>
      </c>
      <c r="G20" s="8" t="str">
        <f t="shared" si="0"/>
        <v>THOMPSON LESTER</v>
      </c>
    </row>
    <row r="21" spans="1:7" x14ac:dyDescent="0.25">
      <c r="A21" s="8">
        <v>42983.175185185188</v>
      </c>
      <c r="B21" s="20" t="s">
        <v>506</v>
      </c>
      <c r="C21" s="20" t="s">
        <v>631</v>
      </c>
      <c r="D21" s="138">
        <v>2530000</v>
      </c>
      <c r="E21" s="20" t="s">
        <v>470</v>
      </c>
      <c r="F21" s="20" t="s">
        <v>471</v>
      </c>
      <c r="G21" s="8" t="str">
        <f t="shared" si="0"/>
        <v>LALONDE GREGORY</v>
      </c>
    </row>
    <row r="22" spans="1:7" x14ac:dyDescent="0.25">
      <c r="A22" s="26">
        <v>42983.181076388886</v>
      </c>
      <c r="B22" s="20" t="s">
        <v>450</v>
      </c>
      <c r="C22" s="20" t="s">
        <v>632</v>
      </c>
      <c r="D22" s="138">
        <v>3090000</v>
      </c>
      <c r="E22" s="20" t="s">
        <v>404</v>
      </c>
      <c r="F22" s="20" t="s">
        <v>405</v>
      </c>
      <c r="G22" s="8" t="str">
        <f t="shared" si="0"/>
        <v>LAMAR NEKESHA</v>
      </c>
    </row>
    <row r="23" spans="1:7" x14ac:dyDescent="0.25">
      <c r="A23" s="8">
        <v>42983.182812500003</v>
      </c>
      <c r="B23" s="20" t="s">
        <v>450</v>
      </c>
      <c r="C23" s="20" t="s">
        <v>632</v>
      </c>
      <c r="D23" s="138">
        <v>3090000</v>
      </c>
      <c r="E23" s="20" t="s">
        <v>404</v>
      </c>
      <c r="F23" s="20" t="s">
        <v>405</v>
      </c>
      <c r="G23" s="8" t="str">
        <f t="shared" si="0"/>
        <v>LAMAR NEKESHA</v>
      </c>
    </row>
    <row r="24" spans="1:7" x14ac:dyDescent="0.25">
      <c r="A24" s="8">
        <v>42983.193877314814</v>
      </c>
      <c r="B24" s="20" t="s">
        <v>466</v>
      </c>
      <c r="C24" s="20" t="s">
        <v>633</v>
      </c>
      <c r="D24" s="138">
        <v>1110000</v>
      </c>
      <c r="E24" s="20" t="s">
        <v>620</v>
      </c>
      <c r="F24" s="20" t="s">
        <v>621</v>
      </c>
      <c r="G24" s="8" t="str">
        <f t="shared" si="0"/>
        <v>STARKS ANGELINA</v>
      </c>
    </row>
    <row r="25" spans="1:7" x14ac:dyDescent="0.25">
      <c r="A25" s="8">
        <v>42983.195254629631</v>
      </c>
      <c r="B25" s="20" t="s">
        <v>449</v>
      </c>
      <c r="C25" s="20" t="s">
        <v>634</v>
      </c>
      <c r="D25" s="138">
        <v>3090000</v>
      </c>
      <c r="E25" s="20" t="s">
        <v>404</v>
      </c>
      <c r="F25" s="20" t="s">
        <v>405</v>
      </c>
      <c r="G25" s="8" t="str">
        <f t="shared" si="0"/>
        <v>LAMAR NEKESHA</v>
      </c>
    </row>
    <row r="26" spans="1:7" x14ac:dyDescent="0.25">
      <c r="A26" s="8">
        <v>42983.196828703702</v>
      </c>
      <c r="B26" s="20" t="s">
        <v>635</v>
      </c>
      <c r="C26" s="20" t="s">
        <v>636</v>
      </c>
      <c r="D26" s="138">
        <v>3500000</v>
      </c>
      <c r="E26" s="20" t="s">
        <v>433</v>
      </c>
      <c r="F26" s="20" t="s">
        <v>434</v>
      </c>
      <c r="G26" s="8" t="str">
        <f t="shared" si="0"/>
        <v>GUNTHIER ERIC</v>
      </c>
    </row>
    <row r="27" spans="1:7" x14ac:dyDescent="0.25">
      <c r="A27" s="8">
        <v>42983.201851851853</v>
      </c>
      <c r="B27" s="20" t="s">
        <v>575</v>
      </c>
      <c r="C27" s="20" t="s">
        <v>637</v>
      </c>
      <c r="D27" s="138">
        <v>1830000</v>
      </c>
      <c r="E27" s="20" t="s">
        <v>429</v>
      </c>
      <c r="F27" s="20" t="s">
        <v>430</v>
      </c>
      <c r="G27" s="8" t="str">
        <f t="shared" si="0"/>
        <v>YORK EDGAR</v>
      </c>
    </row>
    <row r="28" spans="1:7" x14ac:dyDescent="0.25">
      <c r="A28" s="8">
        <v>42983.206817129627</v>
      </c>
      <c r="B28" s="20" t="s">
        <v>602</v>
      </c>
      <c r="C28" s="20" t="s">
        <v>638</v>
      </c>
      <c r="D28" s="138">
        <v>3500000</v>
      </c>
      <c r="E28" s="20" t="s">
        <v>433</v>
      </c>
      <c r="F28" s="20" t="s">
        <v>434</v>
      </c>
      <c r="G28" s="8" t="str">
        <f t="shared" si="0"/>
        <v>GUNTHIER ERIC</v>
      </c>
    </row>
    <row r="29" spans="1:7" x14ac:dyDescent="0.25">
      <c r="A29" s="8">
        <v>42983.207557870373</v>
      </c>
      <c r="B29" s="20" t="s">
        <v>569</v>
      </c>
      <c r="C29" s="20" t="s">
        <v>570</v>
      </c>
      <c r="D29" s="138">
        <v>3510000</v>
      </c>
      <c r="E29" s="20" t="s">
        <v>639</v>
      </c>
      <c r="F29" s="20" t="s">
        <v>640</v>
      </c>
      <c r="G29" s="8" t="str">
        <f t="shared" si="0"/>
        <v>BARRON PERLA</v>
      </c>
    </row>
    <row r="30" spans="1:7" x14ac:dyDescent="0.25">
      <c r="A30" s="8">
        <v>42983.213564814818</v>
      </c>
      <c r="B30" s="20" t="s">
        <v>508</v>
      </c>
      <c r="C30" s="20" t="s">
        <v>641</v>
      </c>
      <c r="D30" s="138">
        <v>3120000</v>
      </c>
      <c r="E30" s="20" t="s">
        <v>625</v>
      </c>
      <c r="F30" s="20" t="s">
        <v>626</v>
      </c>
      <c r="G30" s="8" t="str">
        <f t="shared" si="0"/>
        <v>THOMPSON LESTER</v>
      </c>
    </row>
    <row r="31" spans="1:7" x14ac:dyDescent="0.25">
      <c r="A31" s="8">
        <v>42983.214189814818</v>
      </c>
      <c r="B31" s="20" t="s">
        <v>502</v>
      </c>
      <c r="C31" s="20" t="s">
        <v>642</v>
      </c>
      <c r="D31" s="138">
        <v>2530000</v>
      </c>
      <c r="E31" s="20" t="s">
        <v>470</v>
      </c>
      <c r="F31" s="20" t="s">
        <v>471</v>
      </c>
      <c r="G31" s="8" t="str">
        <f t="shared" si="0"/>
        <v>LALONDE GREGORY</v>
      </c>
    </row>
    <row r="32" spans="1:7" x14ac:dyDescent="0.25">
      <c r="A32" s="8">
        <v>42983.218634259261</v>
      </c>
      <c r="B32" s="20" t="s">
        <v>573</v>
      </c>
      <c r="C32" s="20" t="s">
        <v>574</v>
      </c>
      <c r="D32" s="138">
        <v>3510000</v>
      </c>
      <c r="E32" s="20" t="s">
        <v>639</v>
      </c>
      <c r="F32" s="20" t="s">
        <v>640</v>
      </c>
      <c r="G32" s="8" t="str">
        <f t="shared" si="0"/>
        <v>BARRON PERLA</v>
      </c>
    </row>
    <row r="33" spans="1:7" x14ac:dyDescent="0.25">
      <c r="A33" s="8">
        <v>42983.220196759263</v>
      </c>
      <c r="B33" s="20" t="s">
        <v>588</v>
      </c>
      <c r="C33" s="20" t="s">
        <v>643</v>
      </c>
      <c r="D33" s="138">
        <v>2560000</v>
      </c>
      <c r="E33" s="20" t="s">
        <v>468</v>
      </c>
      <c r="F33" s="20" t="s">
        <v>469</v>
      </c>
      <c r="G33" s="8" t="str">
        <f t="shared" si="0"/>
        <v>MACDONALD THOMAS</v>
      </c>
    </row>
    <row r="34" spans="1:7" x14ac:dyDescent="0.25">
      <c r="A34" s="8">
        <v>42983.226990740739</v>
      </c>
      <c r="B34" s="20" t="s">
        <v>452</v>
      </c>
      <c r="C34" s="20" t="s">
        <v>644</v>
      </c>
      <c r="D34" s="138">
        <v>1110000</v>
      </c>
      <c r="E34" s="20" t="s">
        <v>620</v>
      </c>
      <c r="F34" s="20" t="s">
        <v>621</v>
      </c>
      <c r="G34" s="8" t="str">
        <f t="shared" si="0"/>
        <v>STARKS ANGELINA</v>
      </c>
    </row>
    <row r="35" spans="1:7" x14ac:dyDescent="0.25">
      <c r="A35" s="8">
        <v>42983.2340625</v>
      </c>
      <c r="B35" s="20" t="s">
        <v>627</v>
      </c>
      <c r="C35" s="20" t="s">
        <v>645</v>
      </c>
      <c r="D35" s="138">
        <v>1830000</v>
      </c>
      <c r="E35" s="20" t="s">
        <v>429</v>
      </c>
      <c r="F35" s="20" t="s">
        <v>430</v>
      </c>
      <c r="G35" s="8" t="str">
        <f t="shared" si="0"/>
        <v>YORK EDGAR</v>
      </c>
    </row>
    <row r="36" spans="1:7" x14ac:dyDescent="0.25">
      <c r="A36" s="8">
        <v>42983.234884259262</v>
      </c>
      <c r="B36" s="20" t="s">
        <v>450</v>
      </c>
      <c r="C36" s="20" t="s">
        <v>646</v>
      </c>
      <c r="D36" s="138">
        <v>3090000</v>
      </c>
      <c r="E36" s="20" t="s">
        <v>404</v>
      </c>
      <c r="F36" s="20" t="s">
        <v>405</v>
      </c>
      <c r="G36" s="8" t="str">
        <f t="shared" si="0"/>
        <v>LAMAR NEKESHA</v>
      </c>
    </row>
    <row r="37" spans="1:7" x14ac:dyDescent="0.25">
      <c r="A37" s="8">
        <v>42983.235324074078</v>
      </c>
      <c r="B37" s="20" t="s">
        <v>569</v>
      </c>
      <c r="C37" s="20" t="s">
        <v>647</v>
      </c>
      <c r="D37" s="138">
        <v>3510000</v>
      </c>
      <c r="E37" s="20" t="s">
        <v>639</v>
      </c>
      <c r="F37" s="20" t="s">
        <v>640</v>
      </c>
      <c r="G37" s="8" t="str">
        <f t="shared" si="0"/>
        <v>BARRON PERLA</v>
      </c>
    </row>
    <row r="38" spans="1:7" x14ac:dyDescent="0.25">
      <c r="A38" s="8">
        <v>42983.235497685186</v>
      </c>
      <c r="B38" s="20" t="s">
        <v>579</v>
      </c>
      <c r="C38" s="20" t="s">
        <v>648</v>
      </c>
      <c r="D38" s="138">
        <v>2560000</v>
      </c>
      <c r="E38" s="20" t="s">
        <v>468</v>
      </c>
      <c r="F38" s="20" t="s">
        <v>469</v>
      </c>
      <c r="G38" s="8" t="str">
        <f t="shared" si="0"/>
        <v>MACDONALD THOMAS</v>
      </c>
    </row>
    <row r="39" spans="1:7" x14ac:dyDescent="0.25">
      <c r="A39" s="8">
        <v>42983.235717592594</v>
      </c>
      <c r="B39" s="20" t="s">
        <v>581</v>
      </c>
      <c r="C39" s="20" t="s">
        <v>649</v>
      </c>
      <c r="D39" s="138">
        <v>3000000</v>
      </c>
      <c r="E39" s="20" t="s">
        <v>393</v>
      </c>
      <c r="F39" s="20" t="s">
        <v>394</v>
      </c>
      <c r="G39" s="8" t="str">
        <f t="shared" si="0"/>
        <v>FORTUNATO FRANK</v>
      </c>
    </row>
    <row r="40" spans="1:7" x14ac:dyDescent="0.25">
      <c r="A40" s="8">
        <v>42983.244687500002</v>
      </c>
      <c r="B40" s="25" t="s">
        <v>635</v>
      </c>
      <c r="C40" s="20" t="s">
        <v>650</v>
      </c>
      <c r="D40" s="138">
        <v>3500000</v>
      </c>
      <c r="E40" s="20" t="s">
        <v>433</v>
      </c>
      <c r="F40" s="20" t="s">
        <v>434</v>
      </c>
      <c r="G40" s="8" t="str">
        <f t="shared" si="0"/>
        <v>GUNTHIER ERIC</v>
      </c>
    </row>
    <row r="41" spans="1:7" x14ac:dyDescent="0.25">
      <c r="A41" s="8">
        <v>42983.245567129627</v>
      </c>
      <c r="B41" s="20" t="s">
        <v>577</v>
      </c>
      <c r="C41" s="20" t="s">
        <v>651</v>
      </c>
      <c r="D41" s="138">
        <v>3000000</v>
      </c>
      <c r="E41" s="20" t="s">
        <v>393</v>
      </c>
      <c r="F41" s="20" t="s">
        <v>394</v>
      </c>
      <c r="G41" s="8" t="str">
        <f t="shared" si="0"/>
        <v>FORTUNATO FRANK</v>
      </c>
    </row>
    <row r="42" spans="1:7" x14ac:dyDescent="0.25">
      <c r="A42" s="8">
        <v>42983.249050925922</v>
      </c>
      <c r="B42" s="20" t="s">
        <v>511</v>
      </c>
      <c r="C42" s="20" t="s">
        <v>652</v>
      </c>
      <c r="D42" s="138">
        <v>3030000</v>
      </c>
      <c r="E42" s="20" t="s">
        <v>653</v>
      </c>
      <c r="F42" s="20" t="s">
        <v>469</v>
      </c>
      <c r="G42" s="8" t="str">
        <f t="shared" si="0"/>
        <v>BIRENBAUM THOMAS</v>
      </c>
    </row>
    <row r="43" spans="1:7" x14ac:dyDescent="0.25">
      <c r="A43" s="8">
        <v>42983.250474537039</v>
      </c>
      <c r="B43" s="20" t="s">
        <v>573</v>
      </c>
      <c r="C43" s="20" t="s">
        <v>654</v>
      </c>
      <c r="D43" s="138">
        <v>3510000</v>
      </c>
      <c r="E43" s="20" t="s">
        <v>639</v>
      </c>
      <c r="F43" s="20" t="s">
        <v>640</v>
      </c>
      <c r="G43" s="8" t="str">
        <f t="shared" si="0"/>
        <v>BARRON PERLA</v>
      </c>
    </row>
    <row r="44" spans="1:7" x14ac:dyDescent="0.25">
      <c r="A44" s="8">
        <v>42983.257233796299</v>
      </c>
      <c r="B44" s="20" t="s">
        <v>506</v>
      </c>
      <c r="C44" s="20" t="s">
        <v>655</v>
      </c>
      <c r="D44" s="138">
        <v>2530000</v>
      </c>
      <c r="E44" s="20" t="s">
        <v>470</v>
      </c>
      <c r="F44" s="20" t="s">
        <v>471</v>
      </c>
      <c r="G44" s="8" t="str">
        <f t="shared" si="0"/>
        <v>LALONDE GREGORY</v>
      </c>
    </row>
    <row r="45" spans="1:7" x14ac:dyDescent="0.25">
      <c r="A45" s="8">
        <v>42983.263055555559</v>
      </c>
      <c r="B45" s="20" t="s">
        <v>466</v>
      </c>
      <c r="C45" s="20" t="s">
        <v>656</v>
      </c>
      <c r="D45" s="138">
        <v>1110000</v>
      </c>
      <c r="E45" s="20" t="s">
        <v>620</v>
      </c>
      <c r="F45" s="20" t="s">
        <v>621</v>
      </c>
      <c r="G45" s="8" t="str">
        <f t="shared" si="0"/>
        <v>STARKS ANGELINA</v>
      </c>
    </row>
    <row r="46" spans="1:7" x14ac:dyDescent="0.25">
      <c r="A46" s="8">
        <v>42983.268449074072</v>
      </c>
      <c r="B46" s="20" t="s">
        <v>449</v>
      </c>
      <c r="C46" s="20" t="s">
        <v>657</v>
      </c>
      <c r="D46" s="138">
        <v>3090000</v>
      </c>
      <c r="E46" s="20" t="s">
        <v>404</v>
      </c>
      <c r="F46" s="20" t="s">
        <v>405</v>
      </c>
      <c r="G46" s="8" t="str">
        <f t="shared" si="0"/>
        <v>LAMAR NEKESHA</v>
      </c>
    </row>
    <row r="47" spans="1:7" x14ac:dyDescent="0.25">
      <c r="A47" s="8">
        <v>42983.268877314818</v>
      </c>
      <c r="B47" s="20" t="s">
        <v>581</v>
      </c>
      <c r="C47" s="20" t="s">
        <v>658</v>
      </c>
      <c r="D47" s="138">
        <v>3000000</v>
      </c>
      <c r="E47" s="20" t="s">
        <v>393</v>
      </c>
      <c r="F47" s="20" t="s">
        <v>394</v>
      </c>
      <c r="G47" s="8" t="str">
        <f t="shared" si="0"/>
        <v>FORTUNATO FRANK</v>
      </c>
    </row>
    <row r="48" spans="1:7" x14ac:dyDescent="0.25">
      <c r="A48" s="8">
        <v>42983.274699074071</v>
      </c>
      <c r="B48" s="20" t="s">
        <v>569</v>
      </c>
      <c r="C48" s="20" t="s">
        <v>659</v>
      </c>
      <c r="D48" s="138">
        <v>3510000</v>
      </c>
      <c r="E48" s="20" t="s">
        <v>639</v>
      </c>
      <c r="F48" s="20" t="s">
        <v>640</v>
      </c>
      <c r="G48" s="8" t="str">
        <f t="shared" si="0"/>
        <v>BARRON PERLA</v>
      </c>
    </row>
    <row r="49" spans="1:7" x14ac:dyDescent="0.25">
      <c r="A49" s="8">
        <v>42983.275023148148</v>
      </c>
      <c r="B49" s="20" t="s">
        <v>575</v>
      </c>
      <c r="C49" s="20" t="s">
        <v>576</v>
      </c>
      <c r="D49" s="138">
        <v>1830000</v>
      </c>
      <c r="E49" s="20" t="s">
        <v>429</v>
      </c>
      <c r="F49" s="20" t="s">
        <v>430</v>
      </c>
      <c r="G49" s="8" t="str">
        <f t="shared" si="0"/>
        <v>YORK EDGAR</v>
      </c>
    </row>
    <row r="50" spans="1:7" x14ac:dyDescent="0.25">
      <c r="A50" s="8">
        <v>42983.277604166666</v>
      </c>
      <c r="B50" s="20" t="s">
        <v>588</v>
      </c>
      <c r="C50" s="20" t="s">
        <v>660</v>
      </c>
      <c r="D50" s="138">
        <v>2560000</v>
      </c>
      <c r="E50" s="20" t="s">
        <v>468</v>
      </c>
      <c r="F50" s="20" t="s">
        <v>469</v>
      </c>
      <c r="G50" s="8" t="str">
        <f t="shared" si="0"/>
        <v>MACDONALD THOMAS</v>
      </c>
    </row>
    <row r="51" spans="1:7" x14ac:dyDescent="0.25">
      <c r="A51" s="8">
        <v>42983.286504629628</v>
      </c>
      <c r="B51" s="20" t="s">
        <v>502</v>
      </c>
      <c r="C51" s="20" t="s">
        <v>661</v>
      </c>
      <c r="D51" s="138">
        <v>2530000</v>
      </c>
      <c r="E51" s="20" t="s">
        <v>470</v>
      </c>
      <c r="F51" s="20" t="s">
        <v>471</v>
      </c>
      <c r="G51" s="8" t="str">
        <f t="shared" si="0"/>
        <v>LALONDE GREGORY</v>
      </c>
    </row>
    <row r="52" spans="1:7" x14ac:dyDescent="0.25">
      <c r="A52" s="8">
        <v>42983.286736111113</v>
      </c>
      <c r="B52" s="20" t="s">
        <v>602</v>
      </c>
      <c r="C52" s="20" t="s">
        <v>662</v>
      </c>
      <c r="D52" s="138">
        <v>3500000</v>
      </c>
      <c r="E52" s="20" t="s">
        <v>433</v>
      </c>
      <c r="F52" s="20" t="s">
        <v>434</v>
      </c>
      <c r="G52" s="8" t="str">
        <f t="shared" si="0"/>
        <v>GUNTHIER ERIC</v>
      </c>
    </row>
    <row r="53" spans="1:7" x14ac:dyDescent="0.25">
      <c r="A53" s="8">
        <v>42983.287858796299</v>
      </c>
      <c r="B53" s="20" t="s">
        <v>508</v>
      </c>
      <c r="C53" s="20" t="s">
        <v>663</v>
      </c>
      <c r="D53" s="138">
        <v>3030000</v>
      </c>
      <c r="E53" s="20" t="s">
        <v>653</v>
      </c>
      <c r="F53" s="20" t="s">
        <v>469</v>
      </c>
      <c r="G53" s="8" t="str">
        <f t="shared" si="0"/>
        <v>BIRENBAUM THOMAS</v>
      </c>
    </row>
    <row r="54" spans="1:7" x14ac:dyDescent="0.25">
      <c r="A54" s="8">
        <v>42983.289849537039</v>
      </c>
      <c r="B54" s="20" t="s">
        <v>577</v>
      </c>
      <c r="C54" s="20" t="s">
        <v>578</v>
      </c>
      <c r="D54" s="138">
        <v>3000000</v>
      </c>
      <c r="E54" s="20" t="s">
        <v>393</v>
      </c>
      <c r="F54" s="20" t="s">
        <v>394</v>
      </c>
      <c r="G54" s="8" t="str">
        <f t="shared" si="0"/>
        <v>FORTUNATO FRANK</v>
      </c>
    </row>
    <row r="55" spans="1:7" x14ac:dyDescent="0.25">
      <c r="A55" s="8">
        <v>42983.290925925925</v>
      </c>
      <c r="B55" s="20" t="s">
        <v>573</v>
      </c>
      <c r="C55" s="20" t="s">
        <v>664</v>
      </c>
      <c r="D55" s="138">
        <v>3510000</v>
      </c>
      <c r="E55" s="20" t="s">
        <v>639</v>
      </c>
      <c r="F55" s="20" t="s">
        <v>640</v>
      </c>
      <c r="G55" s="8" t="str">
        <f t="shared" si="0"/>
        <v>BARRON PERLA</v>
      </c>
    </row>
    <row r="56" spans="1:7" x14ac:dyDescent="0.25">
      <c r="A56" s="8">
        <v>42983.300567129627</v>
      </c>
      <c r="B56" s="20" t="s">
        <v>452</v>
      </c>
      <c r="C56" s="20" t="s">
        <v>583</v>
      </c>
      <c r="D56" s="138">
        <v>1110000</v>
      </c>
      <c r="E56" s="20" t="s">
        <v>620</v>
      </c>
      <c r="F56" s="20" t="s">
        <v>621</v>
      </c>
      <c r="G56" s="8" t="str">
        <f t="shared" si="0"/>
        <v>STARKS ANGELINA</v>
      </c>
    </row>
    <row r="57" spans="1:7" x14ac:dyDescent="0.25">
      <c r="A57" s="8">
        <v>42983.309131944443</v>
      </c>
      <c r="B57" s="20" t="s">
        <v>579</v>
      </c>
      <c r="C57" s="20" t="s">
        <v>580</v>
      </c>
      <c r="D57" s="138">
        <v>2560000</v>
      </c>
      <c r="E57" s="20" t="s">
        <v>468</v>
      </c>
      <c r="F57" s="20" t="s">
        <v>469</v>
      </c>
      <c r="G57" s="8" t="str">
        <f t="shared" si="0"/>
        <v>MACDONALD THOMAS</v>
      </c>
    </row>
    <row r="58" spans="1:7" x14ac:dyDescent="0.25">
      <c r="A58" s="8">
        <v>42983.310613425929</v>
      </c>
      <c r="B58" s="20" t="s">
        <v>581</v>
      </c>
      <c r="C58" s="20" t="s">
        <v>582</v>
      </c>
      <c r="D58" s="138">
        <v>3000000</v>
      </c>
      <c r="E58" s="20" t="s">
        <v>393</v>
      </c>
      <c r="F58" s="20" t="s">
        <v>394</v>
      </c>
      <c r="G58" s="8" t="str">
        <f t="shared" si="0"/>
        <v>FORTUNATO FRANK</v>
      </c>
    </row>
    <row r="59" spans="1:7" x14ac:dyDescent="0.25">
      <c r="A59" s="8">
        <v>42983.313530092593</v>
      </c>
      <c r="B59" s="20" t="s">
        <v>569</v>
      </c>
      <c r="C59" s="20" t="s">
        <v>665</v>
      </c>
      <c r="D59" s="138">
        <v>3510000</v>
      </c>
      <c r="E59" s="20" t="s">
        <v>639</v>
      </c>
      <c r="F59" s="20" t="s">
        <v>640</v>
      </c>
      <c r="G59" s="8" t="str">
        <f t="shared" si="0"/>
        <v>BARRON PERLA</v>
      </c>
    </row>
    <row r="60" spans="1:7" x14ac:dyDescent="0.25">
      <c r="A60" s="8">
        <v>42983.316701388889</v>
      </c>
      <c r="B60" s="20" t="s">
        <v>627</v>
      </c>
      <c r="C60" s="20" t="s">
        <v>666</v>
      </c>
      <c r="D60" s="138">
        <v>1830000</v>
      </c>
      <c r="E60" s="20" t="s">
        <v>429</v>
      </c>
      <c r="F60" s="20" t="s">
        <v>430</v>
      </c>
      <c r="G60" s="8" t="str">
        <f t="shared" si="0"/>
        <v>YORK EDGAR</v>
      </c>
    </row>
    <row r="61" spans="1:7" x14ac:dyDescent="0.25">
      <c r="A61" s="8">
        <v>42983.3205787037</v>
      </c>
      <c r="B61" s="20" t="s">
        <v>511</v>
      </c>
      <c r="C61" s="20" t="s">
        <v>667</v>
      </c>
      <c r="D61" s="138">
        <v>3120000</v>
      </c>
      <c r="E61" s="20" t="s">
        <v>625</v>
      </c>
      <c r="F61" s="20" t="s">
        <v>626</v>
      </c>
      <c r="G61" s="8" t="str">
        <f t="shared" si="0"/>
        <v>THOMPSON LESTER</v>
      </c>
    </row>
    <row r="62" spans="1:7" x14ac:dyDescent="0.25">
      <c r="A62" s="8">
        <v>42983.320763888885</v>
      </c>
      <c r="B62" s="20" t="s">
        <v>450</v>
      </c>
      <c r="C62" s="20" t="s">
        <v>668</v>
      </c>
      <c r="D62" s="138">
        <v>3090000</v>
      </c>
      <c r="E62" s="20" t="s">
        <v>404</v>
      </c>
      <c r="F62" s="20" t="s">
        <v>405</v>
      </c>
      <c r="G62" s="8" t="str">
        <f t="shared" si="0"/>
        <v>LAMAR NEKESHA</v>
      </c>
    </row>
    <row r="63" spans="1:7" x14ac:dyDescent="0.25">
      <c r="A63" s="8">
        <v>42983.320868055554</v>
      </c>
      <c r="B63" s="20" t="s">
        <v>465</v>
      </c>
      <c r="C63" s="20" t="s">
        <v>618</v>
      </c>
      <c r="D63" s="138">
        <v>1090000</v>
      </c>
      <c r="E63" s="20" t="s">
        <v>426</v>
      </c>
      <c r="F63" s="20" t="s">
        <v>191</v>
      </c>
      <c r="G63" s="8" t="str">
        <f t="shared" si="0"/>
        <v>SPECTOR MICHAEL</v>
      </c>
    </row>
    <row r="64" spans="1:7" x14ac:dyDescent="0.25">
      <c r="A64" s="26">
        <v>42983.323263888888</v>
      </c>
      <c r="B64" s="20" t="s">
        <v>635</v>
      </c>
      <c r="C64" s="20" t="s">
        <v>669</v>
      </c>
      <c r="D64" s="138">
        <v>3500000</v>
      </c>
      <c r="E64" s="20" t="s">
        <v>433</v>
      </c>
      <c r="F64" s="20" t="s">
        <v>434</v>
      </c>
      <c r="G64" s="8" t="str">
        <f t="shared" si="0"/>
        <v>GUNTHIER ERIC</v>
      </c>
    </row>
    <row r="65" spans="1:7" x14ac:dyDescent="0.25">
      <c r="A65" s="8">
        <v>42983.328715277778</v>
      </c>
      <c r="B65" s="20" t="s">
        <v>467</v>
      </c>
      <c r="C65" s="20" t="s">
        <v>618</v>
      </c>
      <c r="D65" s="138">
        <v>1090000</v>
      </c>
      <c r="E65" s="20" t="s">
        <v>426</v>
      </c>
      <c r="F65" s="20" t="s">
        <v>191</v>
      </c>
      <c r="G65" s="8" t="str">
        <f t="shared" si="0"/>
        <v>SPECTOR MICHAEL</v>
      </c>
    </row>
    <row r="66" spans="1:7" x14ac:dyDescent="0.25">
      <c r="A66" s="8">
        <v>42983.331296296295</v>
      </c>
      <c r="B66" s="20" t="s">
        <v>506</v>
      </c>
      <c r="C66" s="20" t="s">
        <v>670</v>
      </c>
      <c r="D66" s="138">
        <v>2530000</v>
      </c>
      <c r="E66" s="20" t="s">
        <v>470</v>
      </c>
      <c r="F66" s="20" t="s">
        <v>471</v>
      </c>
      <c r="G66" s="8" t="str">
        <f t="shared" si="0"/>
        <v>LALONDE GREGORY</v>
      </c>
    </row>
    <row r="67" spans="1:7" x14ac:dyDescent="0.25">
      <c r="A67" s="8">
        <v>42983.33222222222</v>
      </c>
      <c r="B67" s="20" t="s">
        <v>577</v>
      </c>
      <c r="C67" s="20" t="s">
        <v>584</v>
      </c>
      <c r="D67" s="138">
        <v>3000000</v>
      </c>
      <c r="E67" s="20" t="s">
        <v>393</v>
      </c>
      <c r="F67" s="20" t="s">
        <v>394</v>
      </c>
      <c r="G67" s="8" t="str">
        <f t="shared" ref="G67:G130" si="1">E67&amp;" "&amp;F67</f>
        <v>FORTUNATO FRANK</v>
      </c>
    </row>
    <row r="68" spans="1:7" x14ac:dyDescent="0.25">
      <c r="A68" s="8">
        <v>42983.332407407404</v>
      </c>
      <c r="B68" s="20" t="s">
        <v>573</v>
      </c>
      <c r="C68" s="20" t="s">
        <v>586</v>
      </c>
      <c r="D68" s="138">
        <v>3510000</v>
      </c>
      <c r="E68" s="20" t="s">
        <v>639</v>
      </c>
      <c r="F68" s="20" t="s">
        <v>640</v>
      </c>
      <c r="G68" s="8" t="str">
        <f t="shared" si="1"/>
        <v>BARRON PERLA</v>
      </c>
    </row>
    <row r="69" spans="1:7" x14ac:dyDescent="0.25">
      <c r="A69" s="8">
        <v>42983.332754629628</v>
      </c>
      <c r="B69" s="20" t="s">
        <v>466</v>
      </c>
      <c r="C69" s="20" t="s">
        <v>671</v>
      </c>
      <c r="D69" s="138">
        <v>1110000</v>
      </c>
      <c r="E69" s="20" t="s">
        <v>620</v>
      </c>
      <c r="F69" s="20" t="s">
        <v>621</v>
      </c>
      <c r="G69" s="8" t="str">
        <f t="shared" si="1"/>
        <v>STARKS ANGELINA</v>
      </c>
    </row>
    <row r="70" spans="1:7" x14ac:dyDescent="0.25">
      <c r="A70" s="8">
        <v>42983.334675925929</v>
      </c>
      <c r="B70" s="20" t="s">
        <v>465</v>
      </c>
      <c r="C70" s="20" t="s">
        <v>585</v>
      </c>
      <c r="D70" s="138">
        <v>1090000</v>
      </c>
      <c r="E70" s="20" t="s">
        <v>426</v>
      </c>
      <c r="F70" s="20" t="s">
        <v>191</v>
      </c>
      <c r="G70" s="8" t="str">
        <f t="shared" si="1"/>
        <v>SPECTOR MICHAEL</v>
      </c>
    </row>
    <row r="71" spans="1:7" x14ac:dyDescent="0.25">
      <c r="A71" s="8">
        <v>42983.346250000002</v>
      </c>
      <c r="B71" s="20" t="s">
        <v>575</v>
      </c>
      <c r="C71" s="20" t="s">
        <v>672</v>
      </c>
      <c r="D71" s="138">
        <v>1830000</v>
      </c>
      <c r="E71" s="20" t="s">
        <v>429</v>
      </c>
      <c r="F71" s="20" t="s">
        <v>430</v>
      </c>
      <c r="G71" s="8" t="str">
        <f t="shared" si="1"/>
        <v>YORK EDGAR</v>
      </c>
    </row>
    <row r="72" spans="1:7" x14ac:dyDescent="0.25">
      <c r="A72" s="8">
        <v>42983.346967592595</v>
      </c>
      <c r="B72" s="20" t="s">
        <v>575</v>
      </c>
      <c r="C72" s="20" t="s">
        <v>672</v>
      </c>
      <c r="D72" s="138">
        <v>1830000</v>
      </c>
      <c r="E72" s="20" t="s">
        <v>429</v>
      </c>
      <c r="F72" s="20" t="s">
        <v>430</v>
      </c>
      <c r="G72" s="8" t="str">
        <f t="shared" si="1"/>
        <v>YORK EDGAR</v>
      </c>
    </row>
    <row r="73" spans="1:7" x14ac:dyDescent="0.25">
      <c r="A73" s="8">
        <v>42983.351273148146</v>
      </c>
      <c r="B73" s="20" t="s">
        <v>588</v>
      </c>
      <c r="C73" s="20" t="s">
        <v>589</v>
      </c>
      <c r="D73" s="138">
        <v>2560000</v>
      </c>
      <c r="E73" s="20" t="s">
        <v>468</v>
      </c>
      <c r="F73" s="20" t="s">
        <v>469</v>
      </c>
      <c r="G73" s="8" t="str">
        <f t="shared" si="1"/>
        <v>MACDONALD THOMAS</v>
      </c>
    </row>
    <row r="74" spans="1:7" x14ac:dyDescent="0.25">
      <c r="A74" s="8">
        <v>42983.352546296293</v>
      </c>
      <c r="B74" s="20" t="s">
        <v>581</v>
      </c>
      <c r="C74" s="20" t="s">
        <v>587</v>
      </c>
      <c r="D74" s="138">
        <v>3000000</v>
      </c>
      <c r="E74" s="20" t="s">
        <v>393</v>
      </c>
      <c r="F74" s="20" t="s">
        <v>394</v>
      </c>
      <c r="G74" s="8" t="str">
        <f t="shared" si="1"/>
        <v>FORTUNATO FRANK</v>
      </c>
    </row>
    <row r="75" spans="1:7" x14ac:dyDescent="0.25">
      <c r="A75" s="8">
        <v>42983.352662037039</v>
      </c>
      <c r="B75" s="20" t="s">
        <v>465</v>
      </c>
      <c r="C75" s="20" t="s">
        <v>585</v>
      </c>
      <c r="D75" s="138">
        <v>1090000</v>
      </c>
      <c r="E75" s="20" t="s">
        <v>426</v>
      </c>
      <c r="F75" s="20" t="s">
        <v>191</v>
      </c>
      <c r="G75" s="8" t="str">
        <f t="shared" si="1"/>
        <v>SPECTOR MICHAEL</v>
      </c>
    </row>
    <row r="76" spans="1:7" x14ac:dyDescent="0.25">
      <c r="A76" s="8">
        <v>42983.354004629633</v>
      </c>
      <c r="B76" s="20" t="s">
        <v>569</v>
      </c>
      <c r="C76" s="20" t="s">
        <v>673</v>
      </c>
      <c r="D76" s="138">
        <v>3510000</v>
      </c>
      <c r="E76" s="20" t="s">
        <v>639</v>
      </c>
      <c r="F76" s="20" t="s">
        <v>640</v>
      </c>
      <c r="G76" s="8" t="str">
        <f t="shared" si="1"/>
        <v>BARRON PERLA</v>
      </c>
    </row>
    <row r="77" spans="1:7" x14ac:dyDescent="0.25">
      <c r="A77" s="8">
        <v>42983.360613425924</v>
      </c>
      <c r="B77" s="20" t="s">
        <v>502</v>
      </c>
      <c r="C77" s="20" t="s">
        <v>674</v>
      </c>
      <c r="D77" s="138">
        <v>2530000</v>
      </c>
      <c r="E77" s="20" t="s">
        <v>470</v>
      </c>
      <c r="F77" s="20" t="s">
        <v>471</v>
      </c>
      <c r="G77" s="8" t="str">
        <f t="shared" si="1"/>
        <v>LALONDE GREGORY</v>
      </c>
    </row>
    <row r="78" spans="1:7" x14ac:dyDescent="0.25">
      <c r="A78" s="8">
        <v>42983.361388888887</v>
      </c>
      <c r="B78" s="20" t="s">
        <v>508</v>
      </c>
      <c r="C78" s="20" t="s">
        <v>675</v>
      </c>
      <c r="D78" s="138">
        <v>3120000</v>
      </c>
      <c r="E78" s="20" t="s">
        <v>625</v>
      </c>
      <c r="F78" s="20" t="s">
        <v>626</v>
      </c>
      <c r="G78" s="8" t="str">
        <f t="shared" si="1"/>
        <v>THOMPSON LESTER</v>
      </c>
    </row>
    <row r="79" spans="1:7" x14ac:dyDescent="0.25">
      <c r="A79" s="8">
        <v>42983.363483796296</v>
      </c>
      <c r="B79" s="20" t="s">
        <v>602</v>
      </c>
      <c r="C79" s="20" t="s">
        <v>676</v>
      </c>
      <c r="D79" s="138">
        <v>3500000</v>
      </c>
      <c r="E79" s="20" t="s">
        <v>433</v>
      </c>
      <c r="F79" s="20" t="s">
        <v>434</v>
      </c>
      <c r="G79" s="8" t="str">
        <f t="shared" si="1"/>
        <v>GUNTHIER ERIC</v>
      </c>
    </row>
    <row r="80" spans="1:7" x14ac:dyDescent="0.25">
      <c r="A80" s="8">
        <v>42983.364178240743</v>
      </c>
      <c r="B80" s="20" t="s">
        <v>602</v>
      </c>
      <c r="C80" s="20" t="s">
        <v>676</v>
      </c>
      <c r="D80" s="138">
        <v>3500000</v>
      </c>
      <c r="E80" s="20" t="s">
        <v>433</v>
      </c>
      <c r="F80" s="20" t="s">
        <v>434</v>
      </c>
      <c r="G80" s="8" t="str">
        <f t="shared" si="1"/>
        <v>GUNTHIER ERIC</v>
      </c>
    </row>
    <row r="81" spans="1:7" x14ac:dyDescent="0.25">
      <c r="A81" s="8">
        <v>42983.365127314813</v>
      </c>
      <c r="B81" s="20" t="s">
        <v>602</v>
      </c>
      <c r="C81" s="20" t="s">
        <v>676</v>
      </c>
      <c r="D81" s="138">
        <v>3500000</v>
      </c>
      <c r="E81" s="20" t="s">
        <v>433</v>
      </c>
      <c r="F81" s="20" t="s">
        <v>434</v>
      </c>
      <c r="G81" s="8" t="str">
        <f t="shared" si="1"/>
        <v>GUNTHIER ERIC</v>
      </c>
    </row>
    <row r="82" spans="1:7" x14ac:dyDescent="0.25">
      <c r="A82" s="8">
        <v>42983.37164351852</v>
      </c>
      <c r="B82" s="20" t="s">
        <v>452</v>
      </c>
      <c r="C82" s="20" t="s">
        <v>677</v>
      </c>
      <c r="D82" s="138">
        <v>1110000</v>
      </c>
      <c r="E82" s="20" t="s">
        <v>620</v>
      </c>
      <c r="F82" s="20" t="s">
        <v>621</v>
      </c>
      <c r="G82" s="8" t="str">
        <f t="shared" si="1"/>
        <v>STARKS ANGELINA</v>
      </c>
    </row>
    <row r="83" spans="1:7" x14ac:dyDescent="0.25">
      <c r="A83" s="8">
        <v>42983.374594907407</v>
      </c>
      <c r="B83" s="20" t="s">
        <v>577</v>
      </c>
      <c r="C83" s="20" t="s">
        <v>678</v>
      </c>
      <c r="D83" s="138">
        <v>3000000</v>
      </c>
      <c r="E83" s="20" t="s">
        <v>393</v>
      </c>
      <c r="F83" s="20" t="s">
        <v>394</v>
      </c>
      <c r="G83" s="8" t="str">
        <f t="shared" si="1"/>
        <v>FORTUNATO FRANK</v>
      </c>
    </row>
    <row r="84" spans="1:7" x14ac:dyDescent="0.25">
      <c r="A84" s="8">
        <v>42983.378483796296</v>
      </c>
      <c r="B84" s="20" t="s">
        <v>392</v>
      </c>
      <c r="C84" s="20" t="s">
        <v>590</v>
      </c>
      <c r="D84" s="138">
        <v>3030000</v>
      </c>
      <c r="E84" s="20" t="s">
        <v>653</v>
      </c>
      <c r="F84" s="20" t="s">
        <v>469</v>
      </c>
      <c r="G84" s="8" t="str">
        <f t="shared" si="1"/>
        <v>BIRENBAUM THOMAS</v>
      </c>
    </row>
    <row r="85" spans="1:7" x14ac:dyDescent="0.25">
      <c r="A85" s="8">
        <v>42983.381030092591</v>
      </c>
      <c r="B85" s="20" t="s">
        <v>467</v>
      </c>
      <c r="C85" s="20" t="s">
        <v>592</v>
      </c>
      <c r="D85" s="138">
        <v>1090000</v>
      </c>
      <c r="E85" s="20" t="s">
        <v>426</v>
      </c>
      <c r="F85" s="20" t="s">
        <v>191</v>
      </c>
      <c r="G85" s="8" t="str">
        <f t="shared" si="1"/>
        <v>SPECTOR MICHAEL</v>
      </c>
    </row>
    <row r="86" spans="1:7" x14ac:dyDescent="0.25">
      <c r="A86" s="8">
        <v>42983.38108796296</v>
      </c>
      <c r="B86" s="20" t="s">
        <v>627</v>
      </c>
      <c r="C86" s="20" t="s">
        <v>679</v>
      </c>
      <c r="D86" s="138">
        <v>1830000</v>
      </c>
      <c r="E86" s="20" t="s">
        <v>429</v>
      </c>
      <c r="F86" s="20" t="s">
        <v>430</v>
      </c>
      <c r="G86" s="8" t="str">
        <f t="shared" si="1"/>
        <v>YORK EDGAR</v>
      </c>
    </row>
    <row r="87" spans="1:7" x14ac:dyDescent="0.25">
      <c r="A87" s="8">
        <v>42983.384756944448</v>
      </c>
      <c r="B87" s="20" t="s">
        <v>579</v>
      </c>
      <c r="C87" s="20" t="s">
        <v>680</v>
      </c>
      <c r="D87" s="138">
        <v>2560000</v>
      </c>
      <c r="E87" s="20" t="s">
        <v>468</v>
      </c>
      <c r="F87" s="20" t="s">
        <v>469</v>
      </c>
      <c r="G87" s="8" t="str">
        <f t="shared" si="1"/>
        <v>MACDONALD THOMAS</v>
      </c>
    </row>
    <row r="88" spans="1:7" x14ac:dyDescent="0.25">
      <c r="A88" s="8">
        <v>42983.393287037034</v>
      </c>
      <c r="B88" s="20" t="s">
        <v>581</v>
      </c>
      <c r="C88" s="20" t="s">
        <v>681</v>
      </c>
      <c r="D88" s="138">
        <v>3000000</v>
      </c>
      <c r="E88" s="20" t="s">
        <v>393</v>
      </c>
      <c r="F88" s="20" t="s">
        <v>394</v>
      </c>
      <c r="G88" s="8" t="str">
        <f t="shared" si="1"/>
        <v>FORTUNATO FRANK</v>
      </c>
    </row>
    <row r="89" spans="1:7" x14ac:dyDescent="0.25">
      <c r="A89" s="8">
        <v>42983.394652777781</v>
      </c>
      <c r="B89" s="20" t="s">
        <v>511</v>
      </c>
      <c r="C89" s="20" t="s">
        <v>682</v>
      </c>
      <c r="D89" s="138">
        <v>3120000</v>
      </c>
      <c r="E89" s="20" t="s">
        <v>625</v>
      </c>
      <c r="F89" s="20" t="s">
        <v>626</v>
      </c>
      <c r="G89" s="8" t="str">
        <f t="shared" si="1"/>
        <v>THOMPSON LESTER</v>
      </c>
    </row>
    <row r="90" spans="1:7" x14ac:dyDescent="0.25">
      <c r="A90" s="8">
        <v>42983.396134259259</v>
      </c>
      <c r="B90" s="20" t="s">
        <v>635</v>
      </c>
      <c r="C90" s="20" t="s">
        <v>683</v>
      </c>
      <c r="D90" s="138">
        <v>3500000</v>
      </c>
      <c r="E90" s="20" t="s">
        <v>433</v>
      </c>
      <c r="F90" s="20" t="s">
        <v>434</v>
      </c>
      <c r="G90" s="8" t="str">
        <f t="shared" si="1"/>
        <v>GUNTHIER ERIC</v>
      </c>
    </row>
    <row r="91" spans="1:7" x14ac:dyDescent="0.25">
      <c r="A91" s="8">
        <v>42983.402986111112</v>
      </c>
      <c r="B91" s="20" t="s">
        <v>506</v>
      </c>
      <c r="C91" s="20" t="s">
        <v>684</v>
      </c>
      <c r="D91" s="138">
        <v>2530000</v>
      </c>
      <c r="E91" s="20" t="s">
        <v>470</v>
      </c>
      <c r="F91" s="20" t="s">
        <v>471</v>
      </c>
      <c r="G91" s="8" t="str">
        <f t="shared" si="1"/>
        <v>LALONDE GREGORY</v>
      </c>
    </row>
    <row r="92" spans="1:7" x14ac:dyDescent="0.25">
      <c r="A92" s="8">
        <v>42983.413171296299</v>
      </c>
      <c r="B92" s="20" t="s">
        <v>466</v>
      </c>
      <c r="C92" s="20" t="s">
        <v>685</v>
      </c>
      <c r="D92" s="138">
        <v>1110000</v>
      </c>
      <c r="E92" s="20" t="s">
        <v>620</v>
      </c>
      <c r="F92" s="20" t="s">
        <v>621</v>
      </c>
      <c r="G92" s="8" t="str">
        <f t="shared" si="1"/>
        <v>STARKS ANGELINA</v>
      </c>
    </row>
    <row r="93" spans="1:7" x14ac:dyDescent="0.25">
      <c r="A93" s="8">
        <v>42983.414687500001</v>
      </c>
      <c r="B93" s="20" t="s">
        <v>577</v>
      </c>
      <c r="C93" s="20" t="s">
        <v>686</v>
      </c>
      <c r="D93" s="138">
        <v>3000000</v>
      </c>
      <c r="E93" s="20" t="s">
        <v>393</v>
      </c>
      <c r="F93" s="20" t="s">
        <v>394</v>
      </c>
      <c r="G93" s="8" t="str">
        <f t="shared" si="1"/>
        <v>FORTUNATO FRANK</v>
      </c>
    </row>
    <row r="94" spans="1:7" x14ac:dyDescent="0.25">
      <c r="A94" s="8">
        <v>42983.415034722224</v>
      </c>
      <c r="B94" s="20" t="s">
        <v>465</v>
      </c>
      <c r="C94" s="20" t="s">
        <v>687</v>
      </c>
      <c r="D94" s="138">
        <v>3090000</v>
      </c>
      <c r="E94" s="20" t="s">
        <v>404</v>
      </c>
      <c r="F94" s="20" t="s">
        <v>405</v>
      </c>
      <c r="G94" s="8" t="str">
        <f t="shared" si="1"/>
        <v>LAMAR NEKESHA</v>
      </c>
    </row>
    <row r="95" spans="1:7" x14ac:dyDescent="0.25">
      <c r="A95" s="8">
        <v>42983.423715277779</v>
      </c>
      <c r="B95" s="20" t="s">
        <v>588</v>
      </c>
      <c r="C95" s="20" t="s">
        <v>688</v>
      </c>
      <c r="D95" s="138">
        <v>2560000</v>
      </c>
      <c r="E95" s="20" t="s">
        <v>468</v>
      </c>
      <c r="F95" s="20" t="s">
        <v>469</v>
      </c>
      <c r="G95" s="8" t="str">
        <f t="shared" si="1"/>
        <v>MACDONALD THOMAS</v>
      </c>
    </row>
    <row r="96" spans="1:7" x14ac:dyDescent="0.25">
      <c r="A96" s="8">
        <v>42983.424780092595</v>
      </c>
      <c r="B96" s="20" t="s">
        <v>575</v>
      </c>
      <c r="C96" s="20" t="s">
        <v>689</v>
      </c>
      <c r="D96" s="138">
        <v>3510000</v>
      </c>
      <c r="E96" s="20" t="s">
        <v>639</v>
      </c>
      <c r="F96" s="20" t="s">
        <v>640</v>
      </c>
      <c r="G96" s="8" t="str">
        <f t="shared" si="1"/>
        <v>BARRON PERLA</v>
      </c>
    </row>
    <row r="97" spans="1:7" x14ac:dyDescent="0.25">
      <c r="A97" s="8">
        <v>42983.43240740741</v>
      </c>
      <c r="B97" s="20" t="s">
        <v>502</v>
      </c>
      <c r="C97" s="20" t="s">
        <v>690</v>
      </c>
      <c r="D97" s="138">
        <v>2530000</v>
      </c>
      <c r="E97" s="20" t="s">
        <v>470</v>
      </c>
      <c r="F97" s="20" t="s">
        <v>471</v>
      </c>
      <c r="G97" s="8" t="str">
        <f t="shared" si="1"/>
        <v>LALONDE GREGORY</v>
      </c>
    </row>
    <row r="98" spans="1:7" x14ac:dyDescent="0.25">
      <c r="A98" s="8">
        <v>42983.433425925927</v>
      </c>
      <c r="B98" s="20" t="s">
        <v>508</v>
      </c>
      <c r="C98" s="20" t="s">
        <v>593</v>
      </c>
      <c r="D98" s="138">
        <v>3120000</v>
      </c>
      <c r="E98" s="20" t="s">
        <v>625</v>
      </c>
      <c r="F98" s="20" t="s">
        <v>626</v>
      </c>
      <c r="G98" s="8" t="str">
        <f t="shared" si="1"/>
        <v>THOMPSON LESTER</v>
      </c>
    </row>
    <row r="99" spans="1:7" x14ac:dyDescent="0.25">
      <c r="A99" s="8">
        <v>42983.433518518519</v>
      </c>
      <c r="B99" s="20" t="s">
        <v>602</v>
      </c>
      <c r="C99" s="20" t="s">
        <v>691</v>
      </c>
      <c r="D99" s="138">
        <v>3500000</v>
      </c>
      <c r="E99" s="20" t="s">
        <v>433</v>
      </c>
      <c r="F99" s="20" t="s">
        <v>434</v>
      </c>
      <c r="G99" s="8" t="str">
        <f t="shared" si="1"/>
        <v>GUNTHIER ERIC</v>
      </c>
    </row>
    <row r="100" spans="1:7" x14ac:dyDescent="0.25">
      <c r="A100" s="8">
        <v>42983.434259259258</v>
      </c>
      <c r="B100" s="20" t="s">
        <v>581</v>
      </c>
      <c r="C100" s="20" t="s">
        <v>692</v>
      </c>
      <c r="D100" s="138">
        <v>3000000</v>
      </c>
      <c r="E100" s="20" t="s">
        <v>393</v>
      </c>
      <c r="F100" s="20" t="s">
        <v>394</v>
      </c>
      <c r="G100" s="8" t="str">
        <f t="shared" si="1"/>
        <v>FORTUNATO FRANK</v>
      </c>
    </row>
    <row r="101" spans="1:7" x14ac:dyDescent="0.25">
      <c r="A101" s="8">
        <v>42983.444247685184</v>
      </c>
      <c r="B101" s="20" t="s">
        <v>451</v>
      </c>
      <c r="C101" s="20" t="s">
        <v>693</v>
      </c>
      <c r="D101" s="138">
        <v>2140000</v>
      </c>
      <c r="E101" s="20" t="s">
        <v>694</v>
      </c>
      <c r="F101" s="20" t="s">
        <v>695</v>
      </c>
      <c r="G101" s="8" t="str">
        <f t="shared" si="1"/>
        <v>ROBINSON KADDIBA</v>
      </c>
    </row>
    <row r="102" spans="1:7" x14ac:dyDescent="0.25">
      <c r="A102" s="8">
        <v>42983.446111111109</v>
      </c>
      <c r="B102" s="20" t="s">
        <v>452</v>
      </c>
      <c r="C102" s="20" t="s">
        <v>696</v>
      </c>
      <c r="D102" s="138">
        <v>920000</v>
      </c>
      <c r="E102" s="20" t="s">
        <v>348</v>
      </c>
      <c r="F102" s="20" t="s">
        <v>191</v>
      </c>
      <c r="G102" s="8" t="str">
        <f t="shared" si="1"/>
        <v>DAVIS MICHAEL</v>
      </c>
    </row>
    <row r="103" spans="1:7" x14ac:dyDescent="0.25">
      <c r="A103" s="8">
        <v>42983.454571759263</v>
      </c>
      <c r="B103" s="20" t="s">
        <v>467</v>
      </c>
      <c r="C103" s="20" t="s">
        <v>697</v>
      </c>
      <c r="D103" s="138">
        <v>3090000</v>
      </c>
      <c r="E103" s="20" t="s">
        <v>404</v>
      </c>
      <c r="F103" s="20" t="s">
        <v>405</v>
      </c>
      <c r="G103" s="8" t="str">
        <f t="shared" si="1"/>
        <v>LAMAR NEKESHA</v>
      </c>
    </row>
    <row r="104" spans="1:7" x14ac:dyDescent="0.25">
      <c r="A104" s="8">
        <v>42983.456585648149</v>
      </c>
      <c r="B104" s="20" t="s">
        <v>579</v>
      </c>
      <c r="C104" s="20" t="s">
        <v>698</v>
      </c>
      <c r="D104" s="138">
        <v>2560000</v>
      </c>
      <c r="E104" s="20" t="s">
        <v>468</v>
      </c>
      <c r="F104" s="20" t="s">
        <v>469</v>
      </c>
      <c r="G104" s="8" t="str">
        <f t="shared" si="1"/>
        <v>MACDONALD THOMAS</v>
      </c>
    </row>
    <row r="105" spans="1:7" x14ac:dyDescent="0.25">
      <c r="A105" s="8">
        <v>42983.45685185185</v>
      </c>
      <c r="B105" s="20" t="s">
        <v>577</v>
      </c>
      <c r="C105" s="20" t="s">
        <v>699</v>
      </c>
      <c r="D105" s="138">
        <v>3000000</v>
      </c>
      <c r="E105" s="20" t="s">
        <v>393</v>
      </c>
      <c r="F105" s="20" t="s">
        <v>394</v>
      </c>
      <c r="G105" s="8" t="str">
        <f t="shared" si="1"/>
        <v>FORTUNATO FRANK</v>
      </c>
    </row>
    <row r="106" spans="1:7" x14ac:dyDescent="0.25">
      <c r="A106" s="8">
        <v>42983.463576388887</v>
      </c>
      <c r="B106" s="20" t="s">
        <v>627</v>
      </c>
      <c r="C106" s="20" t="s">
        <v>700</v>
      </c>
      <c r="D106" s="138">
        <v>3510000</v>
      </c>
      <c r="E106" s="20" t="s">
        <v>639</v>
      </c>
      <c r="F106" s="20" t="s">
        <v>640</v>
      </c>
      <c r="G106" s="8" t="str">
        <f t="shared" si="1"/>
        <v>BARRON PERLA</v>
      </c>
    </row>
    <row r="107" spans="1:7" x14ac:dyDescent="0.25">
      <c r="A107" s="8">
        <v>42983.466770833336</v>
      </c>
      <c r="B107" s="20" t="s">
        <v>511</v>
      </c>
      <c r="C107" s="20" t="s">
        <v>701</v>
      </c>
      <c r="D107" s="138">
        <v>1770000</v>
      </c>
      <c r="E107" s="20" t="s">
        <v>702</v>
      </c>
      <c r="F107" s="20" t="s">
        <v>703</v>
      </c>
      <c r="G107" s="8" t="str">
        <f t="shared" si="1"/>
        <v>BRUDER RICHARD</v>
      </c>
    </row>
    <row r="108" spans="1:7" x14ac:dyDescent="0.25">
      <c r="A108" s="8">
        <v>42983.467164351852</v>
      </c>
      <c r="B108" s="20" t="s">
        <v>635</v>
      </c>
      <c r="C108" s="20" t="s">
        <v>704</v>
      </c>
      <c r="D108" s="138">
        <v>3500000</v>
      </c>
      <c r="E108" s="20" t="s">
        <v>433</v>
      </c>
      <c r="F108" s="20" t="s">
        <v>434</v>
      </c>
      <c r="G108" s="8" t="str">
        <f t="shared" si="1"/>
        <v>GUNTHIER ERIC</v>
      </c>
    </row>
    <row r="109" spans="1:7" x14ac:dyDescent="0.25">
      <c r="A109" s="8">
        <v>42983.476006944446</v>
      </c>
      <c r="B109" s="20" t="s">
        <v>581</v>
      </c>
      <c r="C109" s="20" t="s">
        <v>594</v>
      </c>
      <c r="D109" s="138">
        <v>3000000</v>
      </c>
      <c r="E109" s="20" t="s">
        <v>393</v>
      </c>
      <c r="F109" s="20" t="s">
        <v>394</v>
      </c>
      <c r="G109" s="8" t="str">
        <f t="shared" si="1"/>
        <v>FORTUNATO FRANK</v>
      </c>
    </row>
    <row r="110" spans="1:7" x14ac:dyDescent="0.25">
      <c r="A110" s="8">
        <v>42983.476018518515</v>
      </c>
      <c r="B110" s="20" t="s">
        <v>506</v>
      </c>
      <c r="C110" s="20" t="s">
        <v>705</v>
      </c>
      <c r="D110" s="138">
        <v>2140000</v>
      </c>
      <c r="E110" s="20" t="s">
        <v>694</v>
      </c>
      <c r="F110" s="20" t="s">
        <v>695</v>
      </c>
      <c r="G110" s="8" t="str">
        <f t="shared" si="1"/>
        <v>ROBINSON KADDIBA</v>
      </c>
    </row>
    <row r="111" spans="1:7" x14ac:dyDescent="0.25">
      <c r="A111" s="8">
        <v>42983.476944444446</v>
      </c>
      <c r="B111" s="20" t="s">
        <v>501</v>
      </c>
      <c r="C111" s="20" t="s">
        <v>595</v>
      </c>
      <c r="D111" s="138">
        <v>3030000</v>
      </c>
      <c r="E111" s="20" t="s">
        <v>653</v>
      </c>
      <c r="F111" s="20" t="s">
        <v>469</v>
      </c>
      <c r="G111" s="8" t="str">
        <f t="shared" si="1"/>
        <v>BIRENBAUM THOMAS</v>
      </c>
    </row>
    <row r="112" spans="1:7" x14ac:dyDescent="0.25">
      <c r="A112" s="8">
        <v>42983.477476851855</v>
      </c>
      <c r="B112" s="20" t="s">
        <v>501</v>
      </c>
      <c r="C112" s="20" t="s">
        <v>595</v>
      </c>
      <c r="D112" s="138">
        <v>3030000</v>
      </c>
      <c r="E112" s="20" t="s">
        <v>653</v>
      </c>
      <c r="F112" s="20" t="s">
        <v>469</v>
      </c>
      <c r="G112" s="8" t="str">
        <f t="shared" si="1"/>
        <v>BIRENBAUM THOMAS</v>
      </c>
    </row>
    <row r="113" spans="1:7" x14ac:dyDescent="0.25">
      <c r="A113" s="8">
        <v>42983.478402777779</v>
      </c>
      <c r="B113" s="20" t="s">
        <v>501</v>
      </c>
      <c r="C113" s="20" t="s">
        <v>595</v>
      </c>
      <c r="D113" s="138">
        <v>3030000</v>
      </c>
      <c r="E113" s="20" t="s">
        <v>653</v>
      </c>
      <c r="F113" s="20" t="s">
        <v>469</v>
      </c>
      <c r="G113" s="8" t="str">
        <f t="shared" si="1"/>
        <v>BIRENBAUM THOMAS</v>
      </c>
    </row>
    <row r="114" spans="1:7" x14ac:dyDescent="0.25">
      <c r="A114" s="8">
        <v>42983.486273148148</v>
      </c>
      <c r="B114" s="20" t="s">
        <v>465</v>
      </c>
      <c r="C114" s="20" t="s">
        <v>706</v>
      </c>
      <c r="D114" s="138">
        <v>1300000</v>
      </c>
      <c r="E114" s="20" t="s">
        <v>431</v>
      </c>
      <c r="F114" s="20" t="s">
        <v>432</v>
      </c>
      <c r="G114" s="8" t="str">
        <f t="shared" si="1"/>
        <v>LEVIN SCOTT</v>
      </c>
    </row>
    <row r="115" spans="1:7" x14ac:dyDescent="0.25">
      <c r="A115" s="8">
        <v>42983.486388888887</v>
      </c>
      <c r="B115" s="20" t="s">
        <v>466</v>
      </c>
      <c r="C115" s="20" t="s">
        <v>707</v>
      </c>
      <c r="D115" s="138">
        <v>920000</v>
      </c>
      <c r="E115" s="20" t="s">
        <v>348</v>
      </c>
      <c r="F115" s="20" t="s">
        <v>191</v>
      </c>
      <c r="G115" s="8" t="str">
        <f t="shared" si="1"/>
        <v>DAVIS MICHAEL</v>
      </c>
    </row>
    <row r="116" spans="1:7" x14ac:dyDescent="0.25">
      <c r="A116" s="8">
        <v>42983.495763888888</v>
      </c>
      <c r="B116" s="20" t="s">
        <v>588</v>
      </c>
      <c r="C116" s="20" t="s">
        <v>708</v>
      </c>
      <c r="D116" s="138">
        <v>2560000</v>
      </c>
      <c r="E116" s="20" t="s">
        <v>468</v>
      </c>
      <c r="F116" s="20" t="s">
        <v>469</v>
      </c>
      <c r="G116" s="8" t="str">
        <f t="shared" si="1"/>
        <v>MACDONALD THOMAS</v>
      </c>
    </row>
    <row r="117" spans="1:7" x14ac:dyDescent="0.25">
      <c r="A117" s="8">
        <v>42983.497881944444</v>
      </c>
      <c r="B117" s="20" t="s">
        <v>575</v>
      </c>
      <c r="C117" s="20" t="s">
        <v>709</v>
      </c>
      <c r="D117" s="138">
        <v>1180000</v>
      </c>
      <c r="E117" s="20" t="s">
        <v>474</v>
      </c>
      <c r="F117" s="20" t="s">
        <v>475</v>
      </c>
      <c r="G117" s="8" t="str">
        <f t="shared" si="1"/>
        <v>LEVERE CRAIG</v>
      </c>
    </row>
    <row r="118" spans="1:7" x14ac:dyDescent="0.25">
      <c r="A118" s="8">
        <v>42983.50577546296</v>
      </c>
      <c r="B118" s="20" t="s">
        <v>577</v>
      </c>
      <c r="C118" s="20" t="s">
        <v>710</v>
      </c>
      <c r="D118" s="138">
        <v>3000000</v>
      </c>
      <c r="E118" s="20" t="s">
        <v>393</v>
      </c>
      <c r="F118" s="20" t="s">
        <v>394</v>
      </c>
      <c r="G118" s="8" t="str">
        <f t="shared" si="1"/>
        <v>FORTUNATO FRANK</v>
      </c>
    </row>
    <row r="119" spans="1:7" x14ac:dyDescent="0.25">
      <c r="A119" s="8">
        <v>42983.506215277775</v>
      </c>
      <c r="B119" s="20" t="s">
        <v>508</v>
      </c>
      <c r="C119" s="20" t="s">
        <v>711</v>
      </c>
      <c r="D119" s="138">
        <v>1770000</v>
      </c>
      <c r="E119" s="20" t="s">
        <v>702</v>
      </c>
      <c r="F119" s="20" t="s">
        <v>703</v>
      </c>
      <c r="G119" s="8" t="str">
        <f t="shared" si="1"/>
        <v>BRUDER RICHARD</v>
      </c>
    </row>
    <row r="120" spans="1:7" x14ac:dyDescent="0.25">
      <c r="A120" s="8">
        <v>42983.508159722223</v>
      </c>
      <c r="B120" s="20" t="s">
        <v>602</v>
      </c>
      <c r="C120" s="20" t="s">
        <v>712</v>
      </c>
      <c r="D120" s="138">
        <v>2630000</v>
      </c>
      <c r="E120" s="20" t="s">
        <v>472</v>
      </c>
      <c r="F120" s="20" t="s">
        <v>473</v>
      </c>
      <c r="G120" s="8" t="str">
        <f t="shared" si="1"/>
        <v>SAFIEF AEIMEN</v>
      </c>
    </row>
    <row r="121" spans="1:7" x14ac:dyDescent="0.25">
      <c r="A121" s="8">
        <v>42983.516331018516</v>
      </c>
      <c r="B121" s="20" t="s">
        <v>502</v>
      </c>
      <c r="C121" s="20" t="s">
        <v>713</v>
      </c>
      <c r="D121" s="138">
        <v>2140000</v>
      </c>
      <c r="E121" s="20" t="s">
        <v>694</v>
      </c>
      <c r="F121" s="20" t="s">
        <v>695</v>
      </c>
      <c r="G121" s="8" t="str">
        <f t="shared" si="1"/>
        <v>ROBINSON KADDIBA</v>
      </c>
    </row>
    <row r="122" spans="1:7" x14ac:dyDescent="0.25">
      <c r="A122" s="8">
        <v>42983.517997685187</v>
      </c>
      <c r="B122" s="25" t="s">
        <v>581</v>
      </c>
      <c r="C122" s="20" t="s">
        <v>714</v>
      </c>
      <c r="D122" s="138">
        <v>3000000</v>
      </c>
      <c r="E122" s="20" t="s">
        <v>393</v>
      </c>
      <c r="F122" s="20" t="s">
        <v>394</v>
      </c>
      <c r="G122" s="8" t="str">
        <f t="shared" si="1"/>
        <v>FORTUNATO FRANK</v>
      </c>
    </row>
    <row r="123" spans="1:7" x14ac:dyDescent="0.25">
      <c r="A123" s="8">
        <v>42983.518993055557</v>
      </c>
      <c r="B123" s="20" t="s">
        <v>452</v>
      </c>
      <c r="C123" s="20" t="s">
        <v>715</v>
      </c>
      <c r="D123" s="138">
        <v>920000</v>
      </c>
      <c r="E123" s="20" t="s">
        <v>348</v>
      </c>
      <c r="F123" s="20" t="s">
        <v>191</v>
      </c>
      <c r="G123" s="8" t="str">
        <f t="shared" si="1"/>
        <v>DAVIS MICHAEL</v>
      </c>
    </row>
    <row r="124" spans="1:7" x14ac:dyDescent="0.25">
      <c r="A124" s="8">
        <v>42983.524525462963</v>
      </c>
      <c r="B124" s="20" t="s">
        <v>467</v>
      </c>
      <c r="C124" s="20" t="s">
        <v>716</v>
      </c>
      <c r="D124" s="138">
        <v>1300000</v>
      </c>
      <c r="E124" s="20" t="s">
        <v>431</v>
      </c>
      <c r="F124" s="20" t="s">
        <v>432</v>
      </c>
      <c r="G124" s="8" t="str">
        <f t="shared" si="1"/>
        <v>LEVIN SCOTT</v>
      </c>
    </row>
    <row r="125" spans="1:7" x14ac:dyDescent="0.25">
      <c r="A125" s="8">
        <v>42983.528912037036</v>
      </c>
      <c r="B125" s="20" t="s">
        <v>579</v>
      </c>
      <c r="C125" s="20" t="s">
        <v>717</v>
      </c>
      <c r="D125" s="138">
        <v>2230000</v>
      </c>
      <c r="E125" s="20" t="s">
        <v>517</v>
      </c>
      <c r="F125" s="20" t="s">
        <v>191</v>
      </c>
      <c r="G125" s="8" t="str">
        <f t="shared" si="1"/>
        <v>SMITH MICHAEL</v>
      </c>
    </row>
    <row r="126" spans="1:7" x14ac:dyDescent="0.25">
      <c r="A126" s="8">
        <v>42983.535798611112</v>
      </c>
      <c r="B126" s="20" t="s">
        <v>627</v>
      </c>
      <c r="C126" s="20" t="s">
        <v>718</v>
      </c>
      <c r="D126" s="138">
        <v>1180000</v>
      </c>
      <c r="E126" s="20" t="s">
        <v>474</v>
      </c>
      <c r="F126" s="20" t="s">
        <v>475</v>
      </c>
      <c r="G126" s="8" t="str">
        <f t="shared" si="1"/>
        <v>LEVERE CRAIG</v>
      </c>
    </row>
    <row r="127" spans="1:7" x14ac:dyDescent="0.25">
      <c r="A127" s="8">
        <v>42983.536458333336</v>
      </c>
      <c r="B127" s="20" t="s">
        <v>511</v>
      </c>
      <c r="C127" s="20" t="s">
        <v>719</v>
      </c>
      <c r="D127" s="138">
        <v>1810000</v>
      </c>
      <c r="E127" s="20" t="s">
        <v>720</v>
      </c>
      <c r="F127" s="20" t="s">
        <v>441</v>
      </c>
      <c r="G127" s="8" t="str">
        <f t="shared" si="1"/>
        <v>NEWELL JAMES</v>
      </c>
    </row>
    <row r="128" spans="1:7" x14ac:dyDescent="0.25">
      <c r="A128" s="8">
        <v>42983.538865740738</v>
      </c>
      <c r="B128" s="20" t="s">
        <v>635</v>
      </c>
      <c r="C128" s="20" t="s">
        <v>721</v>
      </c>
      <c r="D128" s="138">
        <v>2630000</v>
      </c>
      <c r="E128" s="20" t="s">
        <v>472</v>
      </c>
      <c r="F128" s="20" t="s">
        <v>473</v>
      </c>
      <c r="G128" s="8" t="str">
        <f t="shared" si="1"/>
        <v>SAFIEF AEIMEN</v>
      </c>
    </row>
    <row r="129" spans="1:7" x14ac:dyDescent="0.25">
      <c r="A129" s="8">
        <v>42983.541817129626</v>
      </c>
      <c r="B129" s="20" t="s">
        <v>577</v>
      </c>
      <c r="C129" s="20" t="s">
        <v>722</v>
      </c>
      <c r="D129" s="138">
        <v>2970000</v>
      </c>
      <c r="E129" s="20" t="s">
        <v>515</v>
      </c>
      <c r="F129" s="20" t="s">
        <v>516</v>
      </c>
      <c r="G129" s="8" t="str">
        <f t="shared" si="1"/>
        <v>GUZMAN DANNY</v>
      </c>
    </row>
    <row r="130" spans="1:7" x14ac:dyDescent="0.25">
      <c r="A130" s="8">
        <v>42983.544722222221</v>
      </c>
      <c r="B130" s="20" t="s">
        <v>391</v>
      </c>
      <c r="C130" s="20" t="s">
        <v>595</v>
      </c>
      <c r="D130" s="138">
        <v>2350000</v>
      </c>
      <c r="E130" s="20" t="s">
        <v>518</v>
      </c>
      <c r="F130" s="20" t="s">
        <v>519</v>
      </c>
      <c r="G130" s="8" t="str">
        <f t="shared" si="1"/>
        <v>BERLING GARY</v>
      </c>
    </row>
    <row r="131" spans="1:7" x14ac:dyDescent="0.25">
      <c r="A131" s="8">
        <v>42983.547546296293</v>
      </c>
      <c r="B131" s="20" t="s">
        <v>506</v>
      </c>
      <c r="C131" s="20" t="s">
        <v>723</v>
      </c>
      <c r="D131" s="138">
        <v>2140000</v>
      </c>
      <c r="E131" s="20" t="s">
        <v>694</v>
      </c>
      <c r="F131" s="20" t="s">
        <v>695</v>
      </c>
      <c r="G131" s="8" t="str">
        <f t="shared" ref="G131:G194" si="2">E131&amp;" "&amp;F131</f>
        <v>ROBINSON KADDIBA</v>
      </c>
    </row>
    <row r="132" spans="1:7" x14ac:dyDescent="0.25">
      <c r="A132" s="8">
        <v>42983.559050925927</v>
      </c>
      <c r="B132" s="20" t="s">
        <v>581</v>
      </c>
      <c r="C132" s="20" t="s">
        <v>724</v>
      </c>
      <c r="D132" s="138">
        <v>2970000</v>
      </c>
      <c r="E132" s="20" t="s">
        <v>515</v>
      </c>
      <c r="F132" s="20" t="s">
        <v>516</v>
      </c>
      <c r="G132" s="8" t="str">
        <f t="shared" si="2"/>
        <v>GUZMAN DANNY</v>
      </c>
    </row>
    <row r="133" spans="1:7" x14ac:dyDescent="0.25">
      <c r="A133" s="8">
        <v>42983.559155092589</v>
      </c>
      <c r="B133" s="20" t="s">
        <v>466</v>
      </c>
      <c r="C133" s="20" t="s">
        <v>725</v>
      </c>
      <c r="D133" s="138">
        <v>920000</v>
      </c>
      <c r="E133" s="20" t="s">
        <v>348</v>
      </c>
      <c r="F133" s="20" t="s">
        <v>191</v>
      </c>
      <c r="G133" s="8" t="str">
        <f t="shared" si="2"/>
        <v>DAVIS MICHAEL</v>
      </c>
    </row>
    <row r="134" spans="1:7" x14ac:dyDescent="0.25">
      <c r="A134" s="8">
        <v>42983.561990740738</v>
      </c>
      <c r="B134" s="20" t="s">
        <v>391</v>
      </c>
      <c r="C134" s="20" t="s">
        <v>726</v>
      </c>
      <c r="D134" s="138">
        <v>1300000</v>
      </c>
      <c r="E134" s="20" t="s">
        <v>431</v>
      </c>
      <c r="F134" s="20" t="s">
        <v>432</v>
      </c>
      <c r="G134" s="8" t="str">
        <f t="shared" si="2"/>
        <v>LEVIN SCOTT</v>
      </c>
    </row>
    <row r="135" spans="1:7" x14ac:dyDescent="0.25">
      <c r="A135" s="8">
        <v>42983.565370370372</v>
      </c>
      <c r="B135" s="20" t="s">
        <v>588</v>
      </c>
      <c r="C135" s="20" t="s">
        <v>727</v>
      </c>
      <c r="D135" s="138">
        <v>2230000</v>
      </c>
      <c r="E135" s="20" t="s">
        <v>517</v>
      </c>
      <c r="F135" s="20" t="s">
        <v>191</v>
      </c>
      <c r="G135" s="8" t="str">
        <f t="shared" si="2"/>
        <v>SMITH MICHAEL</v>
      </c>
    </row>
    <row r="136" spans="1:7" x14ac:dyDescent="0.25">
      <c r="A136" s="8">
        <v>42983.569456018522</v>
      </c>
      <c r="B136" s="20" t="s">
        <v>508</v>
      </c>
      <c r="C136" s="20" t="s">
        <v>596</v>
      </c>
      <c r="D136" s="138">
        <v>1810000</v>
      </c>
      <c r="E136" s="20" t="s">
        <v>720</v>
      </c>
      <c r="F136" s="20" t="s">
        <v>441</v>
      </c>
      <c r="G136" s="8" t="str">
        <f t="shared" si="2"/>
        <v>NEWELL JAMES</v>
      </c>
    </row>
    <row r="137" spans="1:7" x14ac:dyDescent="0.25">
      <c r="A137" s="8">
        <v>42983.569803240738</v>
      </c>
      <c r="B137" s="20" t="s">
        <v>575</v>
      </c>
      <c r="C137" s="20" t="s">
        <v>728</v>
      </c>
      <c r="D137" s="138">
        <v>1180000</v>
      </c>
      <c r="E137" s="20" t="s">
        <v>474</v>
      </c>
      <c r="F137" s="20" t="s">
        <v>475</v>
      </c>
      <c r="G137" s="8" t="str">
        <f t="shared" si="2"/>
        <v>LEVERE CRAIG</v>
      </c>
    </row>
    <row r="138" spans="1:7" x14ac:dyDescent="0.25">
      <c r="A138" s="8">
        <v>42983.582048611112</v>
      </c>
      <c r="B138" s="20" t="s">
        <v>602</v>
      </c>
      <c r="C138" s="20" t="s">
        <v>729</v>
      </c>
      <c r="D138" s="138">
        <v>2630000</v>
      </c>
      <c r="E138" s="20" t="s">
        <v>472</v>
      </c>
      <c r="F138" s="20" t="s">
        <v>473</v>
      </c>
      <c r="G138" s="8" t="str">
        <f t="shared" si="2"/>
        <v>SAFIEF AEIMEN</v>
      </c>
    </row>
    <row r="139" spans="1:7" x14ac:dyDescent="0.25">
      <c r="A139" s="8">
        <v>42983.58421296296</v>
      </c>
      <c r="B139" s="20" t="s">
        <v>577</v>
      </c>
      <c r="C139" s="20" t="s">
        <v>730</v>
      </c>
      <c r="D139" s="138">
        <v>2970000</v>
      </c>
      <c r="E139" s="20" t="s">
        <v>515</v>
      </c>
      <c r="F139" s="20" t="s">
        <v>516</v>
      </c>
      <c r="G139" s="8" t="str">
        <f t="shared" si="2"/>
        <v>GUZMAN DANNY</v>
      </c>
    </row>
    <row r="140" spans="1:7" x14ac:dyDescent="0.25">
      <c r="A140" s="8">
        <v>42983.587291666663</v>
      </c>
      <c r="B140" s="20" t="s">
        <v>502</v>
      </c>
      <c r="C140" s="20" t="s">
        <v>731</v>
      </c>
      <c r="D140" s="138">
        <v>2140000</v>
      </c>
      <c r="E140" s="20" t="s">
        <v>694</v>
      </c>
      <c r="F140" s="20" t="s">
        <v>695</v>
      </c>
      <c r="G140" s="8" t="str">
        <f t="shared" si="2"/>
        <v>ROBINSON KADDIBA</v>
      </c>
    </row>
    <row r="141" spans="1:7" x14ac:dyDescent="0.25">
      <c r="A141" s="8">
        <v>42983.592372685183</v>
      </c>
      <c r="B141" s="20" t="s">
        <v>452</v>
      </c>
      <c r="C141" s="20" t="s">
        <v>732</v>
      </c>
      <c r="D141" s="138">
        <v>920000</v>
      </c>
      <c r="E141" s="20" t="s">
        <v>348</v>
      </c>
      <c r="F141" s="20" t="s">
        <v>191</v>
      </c>
      <c r="G141" s="8" t="str">
        <f t="shared" si="2"/>
        <v>DAVIS MICHAEL</v>
      </c>
    </row>
    <row r="142" spans="1:7" x14ac:dyDescent="0.25">
      <c r="A142" s="8">
        <v>42983.592997685184</v>
      </c>
      <c r="B142" s="20" t="s">
        <v>598</v>
      </c>
      <c r="C142" s="20" t="s">
        <v>618</v>
      </c>
      <c r="D142" s="138">
        <v>2350000</v>
      </c>
      <c r="E142" s="20" t="s">
        <v>518</v>
      </c>
      <c r="F142" s="20" t="s">
        <v>519</v>
      </c>
      <c r="G142" s="8" t="str">
        <f t="shared" si="2"/>
        <v>BERLING GARY</v>
      </c>
    </row>
    <row r="143" spans="1:7" x14ac:dyDescent="0.25">
      <c r="A143" s="8">
        <v>42983.593055555553</v>
      </c>
      <c r="B143" s="20" t="s">
        <v>392</v>
      </c>
      <c r="C143" s="20" t="s">
        <v>597</v>
      </c>
      <c r="D143" s="138">
        <v>1300000</v>
      </c>
      <c r="E143" s="20" t="s">
        <v>431</v>
      </c>
      <c r="F143" s="20" t="s">
        <v>432</v>
      </c>
      <c r="G143" s="8" t="str">
        <f t="shared" si="2"/>
        <v>LEVIN SCOTT</v>
      </c>
    </row>
    <row r="144" spans="1:7" x14ac:dyDescent="0.25">
      <c r="A144" s="8">
        <v>42983.599537037036</v>
      </c>
      <c r="B144" s="20" t="s">
        <v>507</v>
      </c>
      <c r="C144" s="20" t="s">
        <v>618</v>
      </c>
      <c r="D144" s="138">
        <v>2350000</v>
      </c>
      <c r="E144" s="20" t="s">
        <v>518</v>
      </c>
      <c r="F144" s="20" t="s">
        <v>519</v>
      </c>
      <c r="G144" s="8" t="str">
        <f t="shared" si="2"/>
        <v>BERLING GARY</v>
      </c>
    </row>
    <row r="145" spans="1:7" x14ac:dyDescent="0.25">
      <c r="A145" s="8">
        <v>42983.600219907406</v>
      </c>
      <c r="B145" s="20" t="s">
        <v>579</v>
      </c>
      <c r="C145" s="20" t="s">
        <v>733</v>
      </c>
      <c r="D145" s="138">
        <v>2230000</v>
      </c>
      <c r="E145" s="20" t="s">
        <v>517</v>
      </c>
      <c r="F145" s="20" t="s">
        <v>191</v>
      </c>
      <c r="G145" s="8" t="str">
        <f t="shared" si="2"/>
        <v>SMITH MICHAEL</v>
      </c>
    </row>
    <row r="146" spans="1:7" x14ac:dyDescent="0.25">
      <c r="A146" s="8">
        <v>42983.603136574071</v>
      </c>
      <c r="B146" s="20" t="s">
        <v>581</v>
      </c>
      <c r="C146" s="20" t="s">
        <v>734</v>
      </c>
      <c r="D146" s="138">
        <v>2970000</v>
      </c>
      <c r="E146" s="20" t="s">
        <v>515</v>
      </c>
      <c r="F146" s="20" t="s">
        <v>516</v>
      </c>
      <c r="G146" s="8" t="str">
        <f t="shared" si="2"/>
        <v>GUZMAN DANNY</v>
      </c>
    </row>
    <row r="147" spans="1:7" x14ac:dyDescent="0.25">
      <c r="A147" s="8">
        <v>42983.605879629627</v>
      </c>
      <c r="B147" s="20" t="s">
        <v>627</v>
      </c>
      <c r="C147" s="20" t="s">
        <v>735</v>
      </c>
      <c r="D147" s="138">
        <v>1180000</v>
      </c>
      <c r="E147" s="20" t="s">
        <v>474</v>
      </c>
      <c r="F147" s="20" t="s">
        <v>475</v>
      </c>
      <c r="G147" s="8" t="str">
        <f t="shared" si="2"/>
        <v>LEVERE CRAIG</v>
      </c>
    </row>
    <row r="148" spans="1:7" x14ac:dyDescent="0.25">
      <c r="A148" s="8">
        <v>42983.612129629626</v>
      </c>
      <c r="B148" s="20" t="s">
        <v>598</v>
      </c>
      <c r="C148" s="20" t="s">
        <v>599</v>
      </c>
      <c r="D148" s="138">
        <v>1770000</v>
      </c>
      <c r="E148" s="20" t="s">
        <v>702</v>
      </c>
      <c r="F148" s="20" t="s">
        <v>703</v>
      </c>
      <c r="G148" s="8" t="str">
        <f t="shared" si="2"/>
        <v>BRUDER RICHARD</v>
      </c>
    </row>
    <row r="149" spans="1:7" x14ac:dyDescent="0.25">
      <c r="A149" s="8">
        <v>42983.612407407411</v>
      </c>
      <c r="B149" s="20" t="s">
        <v>635</v>
      </c>
      <c r="C149" s="20" t="s">
        <v>736</v>
      </c>
      <c r="D149" s="138">
        <v>2630000</v>
      </c>
      <c r="E149" s="20" t="s">
        <v>472</v>
      </c>
      <c r="F149" s="20" t="s">
        <v>473</v>
      </c>
      <c r="G149" s="8" t="str">
        <f t="shared" si="2"/>
        <v>SAFIEF AEIMEN</v>
      </c>
    </row>
    <row r="150" spans="1:7" x14ac:dyDescent="0.25">
      <c r="A150" s="8">
        <v>42983.614849537036</v>
      </c>
      <c r="B150" s="20" t="s">
        <v>465</v>
      </c>
      <c r="C150" s="20" t="s">
        <v>737</v>
      </c>
      <c r="D150" s="138">
        <v>2350000</v>
      </c>
      <c r="E150" s="20" t="s">
        <v>518</v>
      </c>
      <c r="F150" s="20" t="s">
        <v>519</v>
      </c>
      <c r="G150" s="8" t="str">
        <f t="shared" si="2"/>
        <v>BERLING GARY</v>
      </c>
    </row>
    <row r="151" spans="1:7" x14ac:dyDescent="0.25">
      <c r="A151" s="8">
        <v>42983.615729166668</v>
      </c>
      <c r="B151" s="20" t="s">
        <v>465</v>
      </c>
      <c r="C151" s="20" t="s">
        <v>737</v>
      </c>
      <c r="D151" s="138">
        <v>2350000</v>
      </c>
      <c r="E151" s="20" t="s">
        <v>518</v>
      </c>
      <c r="F151" s="20" t="s">
        <v>519</v>
      </c>
      <c r="G151" s="8" t="str">
        <f t="shared" si="2"/>
        <v>BERLING GARY</v>
      </c>
    </row>
    <row r="152" spans="1:7" x14ac:dyDescent="0.25">
      <c r="A152" s="8">
        <v>42983.6171412037</v>
      </c>
      <c r="B152" s="20" t="s">
        <v>465</v>
      </c>
      <c r="C152" s="20" t="s">
        <v>737</v>
      </c>
      <c r="D152" s="138">
        <v>2350000</v>
      </c>
      <c r="E152" s="20" t="s">
        <v>518</v>
      </c>
      <c r="F152" s="20" t="s">
        <v>519</v>
      </c>
      <c r="G152" s="8" t="str">
        <f t="shared" si="2"/>
        <v>BERLING GARY</v>
      </c>
    </row>
    <row r="153" spans="1:7" x14ac:dyDescent="0.25">
      <c r="A153" s="8">
        <v>42983.62127314815</v>
      </c>
      <c r="B153" s="20" t="s">
        <v>506</v>
      </c>
      <c r="C153" s="20" t="s">
        <v>738</v>
      </c>
      <c r="D153" s="138">
        <v>2040000</v>
      </c>
      <c r="E153" s="20" t="s">
        <v>739</v>
      </c>
      <c r="F153" s="20" t="s">
        <v>740</v>
      </c>
      <c r="G153" s="8" t="str">
        <f t="shared" si="2"/>
        <v>MOSES BRADLEY</v>
      </c>
    </row>
    <row r="154" spans="1:7" x14ac:dyDescent="0.25">
      <c r="A154" s="8">
        <v>42983.627372685187</v>
      </c>
      <c r="B154" s="20" t="s">
        <v>467</v>
      </c>
      <c r="C154" s="20" t="s">
        <v>737</v>
      </c>
      <c r="D154" s="138">
        <v>2350000</v>
      </c>
      <c r="E154" s="20" t="s">
        <v>518</v>
      </c>
      <c r="F154" s="20" t="s">
        <v>519</v>
      </c>
      <c r="G154" s="8" t="str">
        <f t="shared" si="2"/>
        <v>BERLING GARY</v>
      </c>
    </row>
    <row r="155" spans="1:7" x14ac:dyDescent="0.25">
      <c r="A155" s="8">
        <v>42983.629467592589</v>
      </c>
      <c r="B155" s="20" t="s">
        <v>577</v>
      </c>
      <c r="C155" s="20" t="s">
        <v>741</v>
      </c>
      <c r="D155" s="138">
        <v>2450000</v>
      </c>
      <c r="E155" s="20" t="s">
        <v>742</v>
      </c>
      <c r="F155" s="20" t="s">
        <v>743</v>
      </c>
      <c r="G155" s="8" t="str">
        <f t="shared" si="2"/>
        <v>NELSON ARIANE</v>
      </c>
    </row>
    <row r="156" spans="1:7" x14ac:dyDescent="0.25">
      <c r="A156" s="8">
        <v>42983.630543981482</v>
      </c>
      <c r="B156" s="20" t="s">
        <v>391</v>
      </c>
      <c r="C156" s="20" t="s">
        <v>744</v>
      </c>
      <c r="D156" s="138">
        <v>2150000</v>
      </c>
      <c r="E156" s="20" t="s">
        <v>513</v>
      </c>
      <c r="F156" s="20" t="s">
        <v>514</v>
      </c>
      <c r="G156" s="8" t="str">
        <f t="shared" si="2"/>
        <v>SWANSON BRYCE</v>
      </c>
    </row>
    <row r="157" spans="1:7" x14ac:dyDescent="0.25">
      <c r="A157" s="8">
        <v>42983.631226851852</v>
      </c>
      <c r="B157" s="20" t="s">
        <v>588</v>
      </c>
      <c r="C157" s="20" t="s">
        <v>745</v>
      </c>
      <c r="D157" s="138">
        <v>2230000</v>
      </c>
      <c r="E157" s="20" t="s">
        <v>517</v>
      </c>
      <c r="F157" s="20" t="s">
        <v>191</v>
      </c>
      <c r="G157" s="8" t="str">
        <f t="shared" si="2"/>
        <v>SMITH MICHAEL</v>
      </c>
    </row>
    <row r="158" spans="1:7" x14ac:dyDescent="0.25">
      <c r="A158" s="8">
        <v>42983.63208333333</v>
      </c>
      <c r="B158" s="20" t="s">
        <v>466</v>
      </c>
      <c r="C158" s="20" t="s">
        <v>601</v>
      </c>
      <c r="D158" s="138">
        <v>920000</v>
      </c>
      <c r="E158" s="20" t="s">
        <v>348</v>
      </c>
      <c r="F158" s="20" t="s">
        <v>191</v>
      </c>
      <c r="G158" s="8" t="str">
        <f t="shared" si="2"/>
        <v>DAVIS MICHAEL</v>
      </c>
    </row>
    <row r="159" spans="1:7" x14ac:dyDescent="0.25">
      <c r="A159" s="8">
        <v>42983.637592592589</v>
      </c>
      <c r="B159" s="20" t="s">
        <v>573</v>
      </c>
      <c r="C159" s="20" t="s">
        <v>600</v>
      </c>
      <c r="D159" s="138">
        <v>3490000</v>
      </c>
      <c r="E159" s="20" t="s">
        <v>387</v>
      </c>
      <c r="F159" s="20" t="s">
        <v>388</v>
      </c>
      <c r="G159" s="8" t="str">
        <f t="shared" si="2"/>
        <v>WEST BRYAN</v>
      </c>
    </row>
    <row r="160" spans="1:7" x14ac:dyDescent="0.25">
      <c r="A160" s="8">
        <v>42983.643275462964</v>
      </c>
      <c r="B160" s="20" t="s">
        <v>575</v>
      </c>
      <c r="C160" s="20" t="s">
        <v>746</v>
      </c>
      <c r="D160" s="138">
        <v>1180000</v>
      </c>
      <c r="E160" s="20" t="s">
        <v>474</v>
      </c>
      <c r="F160" s="20" t="s">
        <v>475</v>
      </c>
      <c r="G160" s="8" t="str">
        <f t="shared" si="2"/>
        <v>LEVERE CRAIG</v>
      </c>
    </row>
    <row r="161" spans="1:7" x14ac:dyDescent="0.25">
      <c r="A161" s="8">
        <v>42983.64949074074</v>
      </c>
      <c r="B161" s="20" t="s">
        <v>569</v>
      </c>
      <c r="C161" s="20" t="s">
        <v>747</v>
      </c>
      <c r="D161" s="138">
        <v>3490000</v>
      </c>
      <c r="E161" s="20" t="s">
        <v>387</v>
      </c>
      <c r="F161" s="20" t="s">
        <v>388</v>
      </c>
      <c r="G161" s="8" t="str">
        <f t="shared" si="2"/>
        <v>WEST BRYAN</v>
      </c>
    </row>
    <row r="162" spans="1:7" x14ac:dyDescent="0.25">
      <c r="A162" s="8">
        <v>42983.650995370372</v>
      </c>
      <c r="B162" s="20" t="s">
        <v>581</v>
      </c>
      <c r="C162" s="20" t="s">
        <v>748</v>
      </c>
      <c r="D162" s="138">
        <v>2450000</v>
      </c>
      <c r="E162" s="20" t="s">
        <v>742</v>
      </c>
      <c r="F162" s="20" t="s">
        <v>743</v>
      </c>
      <c r="G162" s="8" t="str">
        <f t="shared" si="2"/>
        <v>NELSON ARIANE</v>
      </c>
    </row>
    <row r="163" spans="1:7" x14ac:dyDescent="0.25">
      <c r="A163" s="8">
        <v>42983.651666666665</v>
      </c>
      <c r="B163" s="20" t="s">
        <v>507</v>
      </c>
      <c r="C163" s="20" t="s">
        <v>604</v>
      </c>
      <c r="D163" s="138">
        <v>1770000</v>
      </c>
      <c r="E163" s="20" t="s">
        <v>702</v>
      </c>
      <c r="F163" s="20" t="s">
        <v>703</v>
      </c>
      <c r="G163" s="8" t="str">
        <f t="shared" si="2"/>
        <v>BRUDER RICHARD</v>
      </c>
    </row>
    <row r="164" spans="1:7" x14ac:dyDescent="0.25">
      <c r="A164" s="8">
        <v>42983.653078703705</v>
      </c>
      <c r="B164" s="20" t="s">
        <v>602</v>
      </c>
      <c r="C164" s="20" t="s">
        <v>603</v>
      </c>
      <c r="D164" s="138">
        <v>2630000</v>
      </c>
      <c r="E164" s="20" t="s">
        <v>472</v>
      </c>
      <c r="F164" s="20" t="s">
        <v>473</v>
      </c>
      <c r="G164" s="8" t="str">
        <f t="shared" si="2"/>
        <v>SAFIEF AEIMEN</v>
      </c>
    </row>
    <row r="165" spans="1:7" x14ac:dyDescent="0.25">
      <c r="A165" s="8">
        <v>42983.660219907404</v>
      </c>
      <c r="B165" s="20" t="s">
        <v>502</v>
      </c>
      <c r="C165" s="20" t="s">
        <v>749</v>
      </c>
      <c r="D165" s="138">
        <v>2040000</v>
      </c>
      <c r="E165" s="20" t="s">
        <v>739</v>
      </c>
      <c r="F165" s="20" t="s">
        <v>740</v>
      </c>
      <c r="G165" s="8" t="str">
        <f t="shared" si="2"/>
        <v>MOSES BRADLEY</v>
      </c>
    </row>
    <row r="166" spans="1:7" x14ac:dyDescent="0.25">
      <c r="A166" s="8">
        <v>42983.664861111109</v>
      </c>
      <c r="B166" s="20" t="s">
        <v>452</v>
      </c>
      <c r="C166" s="20" t="s">
        <v>606</v>
      </c>
      <c r="D166" s="138">
        <v>920000</v>
      </c>
      <c r="E166" s="20" t="s">
        <v>348</v>
      </c>
      <c r="F166" s="20" t="s">
        <v>191</v>
      </c>
      <c r="G166" s="8" t="str">
        <f t="shared" si="2"/>
        <v>DAVIS MICHAEL</v>
      </c>
    </row>
    <row r="167" spans="1:7" x14ac:dyDescent="0.25">
      <c r="A167" s="8">
        <v>42983.665567129632</v>
      </c>
      <c r="B167" s="20" t="s">
        <v>573</v>
      </c>
      <c r="C167" s="20" t="s">
        <v>605</v>
      </c>
      <c r="D167" s="138">
        <v>3490000</v>
      </c>
      <c r="E167" s="20" t="s">
        <v>387</v>
      </c>
      <c r="F167" s="20" t="s">
        <v>388</v>
      </c>
      <c r="G167" s="8" t="str">
        <f t="shared" si="2"/>
        <v>WEST BRYAN</v>
      </c>
    </row>
    <row r="168" spans="1:7" x14ac:dyDescent="0.25">
      <c r="A168" s="8">
        <v>42983.666342592594</v>
      </c>
      <c r="B168" s="20" t="s">
        <v>392</v>
      </c>
      <c r="C168" s="20" t="s">
        <v>750</v>
      </c>
      <c r="D168" s="138">
        <v>2150000</v>
      </c>
      <c r="E168" s="20" t="s">
        <v>513</v>
      </c>
      <c r="F168" s="20" t="s">
        <v>514</v>
      </c>
      <c r="G168" s="8" t="str">
        <f t="shared" si="2"/>
        <v>SWANSON BRYCE</v>
      </c>
    </row>
    <row r="169" spans="1:7" x14ac:dyDescent="0.25">
      <c r="A169" s="8">
        <v>42983.669618055559</v>
      </c>
      <c r="B169" s="20" t="s">
        <v>577</v>
      </c>
      <c r="C169" s="20" t="s">
        <v>751</v>
      </c>
      <c r="D169" s="138">
        <v>2970000</v>
      </c>
      <c r="E169" s="20" t="s">
        <v>515</v>
      </c>
      <c r="F169" s="20" t="s">
        <v>516</v>
      </c>
      <c r="G169" s="8" t="str">
        <f t="shared" si="2"/>
        <v>GUZMAN DANNY</v>
      </c>
    </row>
    <row r="170" spans="1:7" x14ac:dyDescent="0.25">
      <c r="A170" s="8">
        <v>42983.672465277778</v>
      </c>
      <c r="B170" s="20" t="s">
        <v>579</v>
      </c>
      <c r="C170" s="20" t="s">
        <v>752</v>
      </c>
      <c r="D170" s="138">
        <v>2230000</v>
      </c>
      <c r="E170" s="20" t="s">
        <v>517</v>
      </c>
      <c r="F170" s="20" t="s">
        <v>191</v>
      </c>
      <c r="G170" s="8" t="str">
        <f t="shared" si="2"/>
        <v>SMITH MICHAEL</v>
      </c>
    </row>
    <row r="171" spans="1:7" x14ac:dyDescent="0.25">
      <c r="A171" s="8">
        <v>42983.678518518522</v>
      </c>
      <c r="B171" s="20" t="s">
        <v>627</v>
      </c>
      <c r="C171" s="20" t="s">
        <v>753</v>
      </c>
      <c r="D171" s="138">
        <v>1180000</v>
      </c>
      <c r="E171" s="20" t="s">
        <v>474</v>
      </c>
      <c r="F171" s="20" t="s">
        <v>475</v>
      </c>
      <c r="G171" s="8" t="str">
        <f t="shared" si="2"/>
        <v>LEVERE CRAIG</v>
      </c>
    </row>
    <row r="172" spans="1:7" x14ac:dyDescent="0.25">
      <c r="A172" s="8">
        <v>42983.683541666665</v>
      </c>
      <c r="B172" s="20" t="s">
        <v>465</v>
      </c>
      <c r="C172" s="20" t="s">
        <v>754</v>
      </c>
      <c r="D172" s="138">
        <v>2350000</v>
      </c>
      <c r="E172" s="20" t="s">
        <v>518</v>
      </c>
      <c r="F172" s="20" t="s">
        <v>519</v>
      </c>
      <c r="G172" s="8" t="str">
        <f t="shared" si="2"/>
        <v>BERLING GARY</v>
      </c>
    </row>
    <row r="173" spans="1:7" x14ac:dyDescent="0.25">
      <c r="A173" s="8">
        <v>42983.68378472222</v>
      </c>
      <c r="B173" s="20" t="s">
        <v>598</v>
      </c>
      <c r="C173" s="20" t="s">
        <v>755</v>
      </c>
      <c r="D173" s="138">
        <v>1770000</v>
      </c>
      <c r="E173" s="20" t="s">
        <v>702</v>
      </c>
      <c r="F173" s="20" t="s">
        <v>703</v>
      </c>
      <c r="G173" s="8" t="str">
        <f t="shared" si="2"/>
        <v>BRUDER RICHARD</v>
      </c>
    </row>
    <row r="174" spans="1:7" x14ac:dyDescent="0.25">
      <c r="A174" s="8">
        <v>42983.685023148151</v>
      </c>
      <c r="B174" s="20" t="s">
        <v>581</v>
      </c>
      <c r="C174" s="20" t="s">
        <v>756</v>
      </c>
      <c r="D174" s="138">
        <v>2970000</v>
      </c>
      <c r="E174" s="20" t="s">
        <v>515</v>
      </c>
      <c r="F174" s="20" t="s">
        <v>516</v>
      </c>
      <c r="G174" s="8" t="str">
        <f t="shared" si="2"/>
        <v>GUZMAN DANNY</v>
      </c>
    </row>
    <row r="175" spans="1:7" x14ac:dyDescent="0.25">
      <c r="A175" s="8">
        <v>42983.689502314817</v>
      </c>
      <c r="B175" s="20" t="s">
        <v>635</v>
      </c>
      <c r="C175" s="20" t="s">
        <v>757</v>
      </c>
      <c r="D175" s="138">
        <v>2630000</v>
      </c>
      <c r="E175" s="20" t="s">
        <v>472</v>
      </c>
      <c r="F175" s="20" t="s">
        <v>473</v>
      </c>
      <c r="G175" s="8" t="str">
        <f t="shared" si="2"/>
        <v>SAFIEF AEIMEN</v>
      </c>
    </row>
    <row r="176" spans="1:7" x14ac:dyDescent="0.25">
      <c r="A176" s="8">
        <v>42983.690937500003</v>
      </c>
      <c r="B176" s="20" t="s">
        <v>569</v>
      </c>
      <c r="C176" s="20" t="s">
        <v>758</v>
      </c>
      <c r="D176" s="138">
        <v>3490000</v>
      </c>
      <c r="E176" s="20" t="s">
        <v>387</v>
      </c>
      <c r="F176" s="20" t="s">
        <v>388</v>
      </c>
      <c r="G176" s="8" t="str">
        <f t="shared" si="2"/>
        <v>WEST BRYAN</v>
      </c>
    </row>
    <row r="177" spans="1:7" x14ac:dyDescent="0.25">
      <c r="A177" s="8">
        <v>42983.691481481481</v>
      </c>
      <c r="B177" s="20" t="s">
        <v>506</v>
      </c>
      <c r="C177" s="20" t="s">
        <v>607</v>
      </c>
      <c r="D177" s="138">
        <v>2140000</v>
      </c>
      <c r="E177" s="20" t="s">
        <v>694</v>
      </c>
      <c r="F177" s="20" t="s">
        <v>695</v>
      </c>
      <c r="G177" s="8" t="str">
        <f t="shared" si="2"/>
        <v>ROBINSON KADDIBA</v>
      </c>
    </row>
    <row r="178" spans="1:7" x14ac:dyDescent="0.25">
      <c r="A178" s="8">
        <v>42983.704386574071</v>
      </c>
      <c r="B178" s="20" t="s">
        <v>588</v>
      </c>
      <c r="C178" s="20" t="s">
        <v>610</v>
      </c>
      <c r="D178" s="138">
        <v>2230000</v>
      </c>
      <c r="E178" s="20" t="s">
        <v>517</v>
      </c>
      <c r="F178" s="20" t="s">
        <v>191</v>
      </c>
      <c r="G178" s="8" t="str">
        <f t="shared" si="2"/>
        <v>SMITH MICHAEL</v>
      </c>
    </row>
    <row r="179" spans="1:7" x14ac:dyDescent="0.25">
      <c r="A179" s="8">
        <v>42983.705127314817</v>
      </c>
      <c r="B179" s="20" t="s">
        <v>391</v>
      </c>
      <c r="C179" s="20" t="s">
        <v>759</v>
      </c>
      <c r="D179" s="138">
        <v>1300000</v>
      </c>
      <c r="E179" s="20" t="s">
        <v>431</v>
      </c>
      <c r="F179" s="20" t="s">
        <v>432</v>
      </c>
      <c r="G179" s="8" t="str">
        <f t="shared" si="2"/>
        <v>LEVIN SCOTT</v>
      </c>
    </row>
    <row r="180" spans="1:7" x14ac:dyDescent="0.25">
      <c r="A180" s="8">
        <v>42983.705208333333</v>
      </c>
      <c r="B180" s="20" t="s">
        <v>466</v>
      </c>
      <c r="C180" s="20" t="s">
        <v>760</v>
      </c>
      <c r="D180" s="138">
        <v>920000</v>
      </c>
      <c r="E180" s="20" t="s">
        <v>348</v>
      </c>
      <c r="F180" s="20" t="s">
        <v>191</v>
      </c>
      <c r="G180" s="8" t="str">
        <f t="shared" si="2"/>
        <v>DAVIS MICHAEL</v>
      </c>
    </row>
    <row r="181" spans="1:7" x14ac:dyDescent="0.25">
      <c r="A181" s="8">
        <v>42983.705578703702</v>
      </c>
      <c r="B181" s="20" t="s">
        <v>573</v>
      </c>
      <c r="C181" s="20" t="s">
        <v>761</v>
      </c>
      <c r="D181" s="138">
        <v>3490000</v>
      </c>
      <c r="E181" s="20" t="s">
        <v>387</v>
      </c>
      <c r="F181" s="20" t="s">
        <v>388</v>
      </c>
      <c r="G181" s="8" t="str">
        <f t="shared" si="2"/>
        <v>WEST BRYAN</v>
      </c>
    </row>
    <row r="182" spans="1:7" x14ac:dyDescent="0.25">
      <c r="A182" s="8">
        <v>42983.710682870369</v>
      </c>
      <c r="B182" s="20" t="s">
        <v>577</v>
      </c>
      <c r="C182" s="20" t="s">
        <v>608</v>
      </c>
      <c r="D182" s="138">
        <v>2970000</v>
      </c>
      <c r="E182" s="20" t="s">
        <v>515</v>
      </c>
      <c r="F182" s="20" t="s">
        <v>516</v>
      </c>
      <c r="G182" s="8" t="str">
        <f t="shared" si="2"/>
        <v>GUZMAN DANNY</v>
      </c>
    </row>
    <row r="183" spans="1:7" x14ac:dyDescent="0.25">
      <c r="A183" s="8">
        <v>42983.713784722226</v>
      </c>
      <c r="B183" s="20" t="s">
        <v>575</v>
      </c>
      <c r="C183" s="20" t="s">
        <v>609</v>
      </c>
      <c r="D183" s="138">
        <v>1180000</v>
      </c>
      <c r="E183" s="20" t="s">
        <v>474</v>
      </c>
      <c r="F183" s="20" t="s">
        <v>475</v>
      </c>
      <c r="G183" s="8" t="str">
        <f t="shared" si="2"/>
        <v>LEVERE CRAIG</v>
      </c>
    </row>
    <row r="184" spans="1:7" x14ac:dyDescent="0.25">
      <c r="A184" s="8">
        <v>42983.724363425928</v>
      </c>
      <c r="B184" s="20" t="s">
        <v>507</v>
      </c>
      <c r="C184" s="20" t="s">
        <v>762</v>
      </c>
      <c r="D184" s="138">
        <v>1770000</v>
      </c>
      <c r="E184" s="20" t="s">
        <v>702</v>
      </c>
      <c r="F184" s="20" t="s">
        <v>703</v>
      </c>
      <c r="G184" s="8" t="str">
        <f t="shared" si="2"/>
        <v>BRUDER RICHARD</v>
      </c>
    </row>
    <row r="185" spans="1:7" x14ac:dyDescent="0.25">
      <c r="A185" s="8">
        <v>42983.725763888891</v>
      </c>
      <c r="B185" s="20" t="s">
        <v>602</v>
      </c>
      <c r="C185" s="20" t="s">
        <v>611</v>
      </c>
      <c r="D185" s="138">
        <v>3130000</v>
      </c>
      <c r="E185" s="20" t="s">
        <v>763</v>
      </c>
      <c r="F185" s="20" t="s">
        <v>764</v>
      </c>
      <c r="G185" s="8" t="str">
        <f t="shared" si="2"/>
        <v>ZEWDU DEREJE</v>
      </c>
    </row>
    <row r="186" spans="1:7" x14ac:dyDescent="0.25">
      <c r="A186" s="8">
        <v>42983.729016203702</v>
      </c>
      <c r="B186" s="20" t="s">
        <v>511</v>
      </c>
      <c r="C186" s="20" t="s">
        <v>765</v>
      </c>
      <c r="D186" s="138">
        <v>2450000</v>
      </c>
      <c r="E186" s="20" t="s">
        <v>742</v>
      </c>
      <c r="F186" s="20" t="s">
        <v>743</v>
      </c>
      <c r="G186" s="8" t="str">
        <f t="shared" si="2"/>
        <v>NELSON ARIANE</v>
      </c>
    </row>
    <row r="187" spans="1:7" x14ac:dyDescent="0.25">
      <c r="A187" s="8">
        <v>42983.729212962964</v>
      </c>
      <c r="B187" s="20" t="s">
        <v>581</v>
      </c>
      <c r="C187" s="20" t="s">
        <v>766</v>
      </c>
      <c r="D187" s="138">
        <v>2970000</v>
      </c>
      <c r="E187" s="20" t="s">
        <v>515</v>
      </c>
      <c r="F187" s="20" t="s">
        <v>516</v>
      </c>
      <c r="G187" s="8" t="str">
        <f t="shared" si="2"/>
        <v>GUZMAN DANNY</v>
      </c>
    </row>
    <row r="188" spans="1:7" x14ac:dyDescent="0.25">
      <c r="A188" s="8">
        <v>42983.73164351852</v>
      </c>
      <c r="B188" s="20" t="s">
        <v>569</v>
      </c>
      <c r="C188" s="20" t="s">
        <v>612</v>
      </c>
      <c r="D188" s="138">
        <v>3490000</v>
      </c>
      <c r="E188" s="20" t="s">
        <v>387</v>
      </c>
      <c r="F188" s="20" t="s">
        <v>388</v>
      </c>
      <c r="G188" s="8" t="str">
        <f t="shared" si="2"/>
        <v>WEST BRYAN</v>
      </c>
    </row>
    <row r="189" spans="1:7" x14ac:dyDescent="0.25">
      <c r="A189" s="8">
        <v>42983.734409722223</v>
      </c>
      <c r="B189" s="20" t="s">
        <v>502</v>
      </c>
      <c r="C189" s="20" t="s">
        <v>767</v>
      </c>
      <c r="D189" s="138">
        <v>2140000</v>
      </c>
      <c r="E189" s="20" t="s">
        <v>694</v>
      </c>
      <c r="F189" s="20" t="s">
        <v>695</v>
      </c>
      <c r="G189" s="8" t="str">
        <f t="shared" si="2"/>
        <v>ROBINSON KADDIBA</v>
      </c>
    </row>
    <row r="190" spans="1:7" x14ac:dyDescent="0.25">
      <c r="A190" s="8">
        <v>42983.737847222219</v>
      </c>
      <c r="B190" s="20" t="s">
        <v>512</v>
      </c>
      <c r="C190" s="20" t="s">
        <v>768</v>
      </c>
      <c r="D190" s="138">
        <v>3310000</v>
      </c>
      <c r="E190" s="20" t="s">
        <v>520</v>
      </c>
      <c r="F190" s="20" t="s">
        <v>521</v>
      </c>
      <c r="G190" s="8" t="str">
        <f t="shared" si="2"/>
        <v>ANDERS STEVEN</v>
      </c>
    </row>
    <row r="191" spans="1:7" x14ac:dyDescent="0.25">
      <c r="A191" s="8">
        <v>42983.73814814815</v>
      </c>
      <c r="B191" s="20" t="s">
        <v>392</v>
      </c>
      <c r="C191" s="20" t="s">
        <v>769</v>
      </c>
      <c r="D191" s="138">
        <v>1300000</v>
      </c>
      <c r="E191" s="20" t="s">
        <v>431</v>
      </c>
      <c r="F191" s="20" t="s">
        <v>432</v>
      </c>
      <c r="G191" s="8" t="str">
        <f t="shared" si="2"/>
        <v>LEVIN SCOTT</v>
      </c>
    </row>
    <row r="192" spans="1:7" x14ac:dyDescent="0.25">
      <c r="A192" s="8">
        <v>42983.73982638889</v>
      </c>
      <c r="B192" s="20" t="s">
        <v>452</v>
      </c>
      <c r="C192" s="20" t="s">
        <v>770</v>
      </c>
      <c r="D192" s="138">
        <v>890000</v>
      </c>
      <c r="E192" s="20" t="s">
        <v>385</v>
      </c>
      <c r="F192" s="20" t="s">
        <v>386</v>
      </c>
      <c r="G192" s="8" t="str">
        <f t="shared" si="2"/>
        <v>LOZA FIDEL</v>
      </c>
    </row>
    <row r="193" spans="1:7" x14ac:dyDescent="0.25">
      <c r="A193" s="8">
        <v>42983.747615740744</v>
      </c>
      <c r="B193" s="20" t="s">
        <v>579</v>
      </c>
      <c r="C193" s="20" t="s">
        <v>771</v>
      </c>
      <c r="D193" s="138">
        <v>2230000</v>
      </c>
      <c r="E193" s="20" t="s">
        <v>517</v>
      </c>
      <c r="F193" s="20" t="s">
        <v>191</v>
      </c>
      <c r="G193" s="8" t="str">
        <f t="shared" si="2"/>
        <v>SMITH MICHAEL</v>
      </c>
    </row>
    <row r="194" spans="1:7" x14ac:dyDescent="0.25">
      <c r="A194" s="8">
        <v>42983.749895833331</v>
      </c>
      <c r="B194" s="20" t="s">
        <v>573</v>
      </c>
      <c r="C194" s="20" t="s">
        <v>772</v>
      </c>
      <c r="D194" s="138">
        <v>3490000</v>
      </c>
      <c r="E194" s="20" t="s">
        <v>387</v>
      </c>
      <c r="F194" s="20" t="s">
        <v>388</v>
      </c>
      <c r="G194" s="8" t="str">
        <f t="shared" si="2"/>
        <v>WEST BRYAN</v>
      </c>
    </row>
    <row r="195" spans="1:7" x14ac:dyDescent="0.25">
      <c r="A195" s="8">
        <v>42983.750694444447</v>
      </c>
      <c r="B195" s="20" t="s">
        <v>577</v>
      </c>
      <c r="C195" s="20" t="s">
        <v>773</v>
      </c>
      <c r="D195" s="138">
        <v>2970000</v>
      </c>
      <c r="E195" s="20" t="s">
        <v>515</v>
      </c>
      <c r="F195" s="20" t="s">
        <v>516</v>
      </c>
      <c r="G195" s="8" t="str">
        <f t="shared" ref="G195:G258" si="3">E195&amp;" "&amp;F195</f>
        <v>GUZMAN DANNY</v>
      </c>
    </row>
    <row r="196" spans="1:7" x14ac:dyDescent="0.25">
      <c r="A196" s="8">
        <v>42983.753194444442</v>
      </c>
      <c r="B196" s="20" t="s">
        <v>627</v>
      </c>
      <c r="C196" s="20" t="s">
        <v>774</v>
      </c>
      <c r="D196" s="138">
        <v>1180000</v>
      </c>
      <c r="E196" s="20" t="s">
        <v>474</v>
      </c>
      <c r="F196" s="20" t="s">
        <v>475</v>
      </c>
      <c r="G196" s="8" t="str">
        <f t="shared" si="3"/>
        <v>LEVERE CRAIG</v>
      </c>
    </row>
    <row r="197" spans="1:7" x14ac:dyDescent="0.25">
      <c r="A197" s="8">
        <v>42983.757395833331</v>
      </c>
      <c r="B197" s="20" t="s">
        <v>598</v>
      </c>
      <c r="C197" s="20" t="s">
        <v>613</v>
      </c>
      <c r="D197" s="138">
        <v>2620000</v>
      </c>
      <c r="E197" s="20" t="s">
        <v>775</v>
      </c>
      <c r="F197" s="20" t="s">
        <v>776</v>
      </c>
      <c r="G197" s="8" t="str">
        <f t="shared" si="3"/>
        <v>PERKINS DARREN</v>
      </c>
    </row>
    <row r="198" spans="1:7" x14ac:dyDescent="0.25">
      <c r="A198" s="8">
        <v>42983.765706018516</v>
      </c>
      <c r="B198" s="20" t="s">
        <v>635</v>
      </c>
      <c r="C198" s="20" t="s">
        <v>777</v>
      </c>
      <c r="D198" s="138">
        <v>3130000</v>
      </c>
      <c r="E198" s="20" t="s">
        <v>763</v>
      </c>
      <c r="F198" s="20" t="s">
        <v>764</v>
      </c>
      <c r="G198" s="8" t="str">
        <f t="shared" si="3"/>
        <v>ZEWDU DEREJE</v>
      </c>
    </row>
    <row r="199" spans="1:7" x14ac:dyDescent="0.25">
      <c r="A199" s="8">
        <v>42983.768993055557</v>
      </c>
      <c r="B199" s="20" t="s">
        <v>506</v>
      </c>
      <c r="C199" s="20" t="s">
        <v>778</v>
      </c>
      <c r="D199" s="138">
        <v>3190000</v>
      </c>
      <c r="E199" s="20" t="s">
        <v>779</v>
      </c>
      <c r="F199" s="20" t="s">
        <v>780</v>
      </c>
      <c r="G199" s="8" t="str">
        <f t="shared" si="3"/>
        <v>HART KEVIN</v>
      </c>
    </row>
    <row r="200" spans="1:7" x14ac:dyDescent="0.25">
      <c r="A200" s="8">
        <v>42983.769062500003</v>
      </c>
      <c r="B200" s="20" t="s">
        <v>581</v>
      </c>
      <c r="C200" s="20" t="s">
        <v>781</v>
      </c>
      <c r="D200" s="138">
        <v>2970000</v>
      </c>
      <c r="E200" s="20" t="s">
        <v>515</v>
      </c>
      <c r="F200" s="20" t="s">
        <v>516</v>
      </c>
      <c r="G200" s="8" t="str">
        <f t="shared" si="3"/>
        <v>GUZMAN DANNY</v>
      </c>
    </row>
    <row r="201" spans="1:7" x14ac:dyDescent="0.25">
      <c r="A201" s="8">
        <v>42983.773460648146</v>
      </c>
      <c r="B201" s="20" t="s">
        <v>569</v>
      </c>
      <c r="C201" s="20" t="s">
        <v>782</v>
      </c>
      <c r="D201" s="138">
        <v>3490000</v>
      </c>
      <c r="E201" s="20" t="s">
        <v>387</v>
      </c>
      <c r="F201" s="20" t="s">
        <v>388</v>
      </c>
      <c r="G201" s="8" t="str">
        <f t="shared" si="3"/>
        <v>WEST BRYAN</v>
      </c>
    </row>
    <row r="202" spans="1:7" x14ac:dyDescent="0.25">
      <c r="A202" s="26">
        <v>42983.776678240742</v>
      </c>
      <c r="B202" s="20" t="s">
        <v>466</v>
      </c>
      <c r="C202" s="20" t="s">
        <v>783</v>
      </c>
      <c r="D202" s="138">
        <v>890000</v>
      </c>
      <c r="E202" s="20" t="s">
        <v>385</v>
      </c>
      <c r="F202" s="20" t="s">
        <v>386</v>
      </c>
      <c r="G202" s="8" t="str">
        <f t="shared" si="3"/>
        <v>LOZA FIDEL</v>
      </c>
    </row>
    <row r="203" spans="1:7" x14ac:dyDescent="0.25">
      <c r="A203" s="8">
        <v>42983.777118055557</v>
      </c>
      <c r="B203" s="20" t="s">
        <v>391</v>
      </c>
      <c r="C203" s="20" t="s">
        <v>784</v>
      </c>
      <c r="D203" s="138">
        <v>1300000</v>
      </c>
      <c r="E203" s="20" t="s">
        <v>431</v>
      </c>
      <c r="F203" s="20" t="s">
        <v>432</v>
      </c>
      <c r="G203" s="8" t="str">
        <f t="shared" si="3"/>
        <v>LEVIN SCOTT</v>
      </c>
    </row>
    <row r="204" spans="1:7" x14ac:dyDescent="0.25">
      <c r="A204" s="8">
        <v>42983.777349537035</v>
      </c>
      <c r="B204" s="20" t="s">
        <v>588</v>
      </c>
      <c r="C204" s="20" t="s">
        <v>785</v>
      </c>
      <c r="D204" s="138">
        <v>2230000</v>
      </c>
      <c r="E204" s="20" t="s">
        <v>517</v>
      </c>
      <c r="F204" s="20" t="s">
        <v>191</v>
      </c>
      <c r="G204" s="8" t="str">
        <f t="shared" si="3"/>
        <v>SMITH MICHAEL</v>
      </c>
    </row>
    <row r="205" spans="1:7" x14ac:dyDescent="0.25">
      <c r="A205" s="8">
        <v>42983.788888888892</v>
      </c>
      <c r="B205" s="20" t="s">
        <v>507</v>
      </c>
      <c r="C205" s="20" t="s">
        <v>786</v>
      </c>
      <c r="D205" s="138">
        <v>2620000</v>
      </c>
      <c r="E205" s="20" t="s">
        <v>775</v>
      </c>
      <c r="F205" s="20" t="s">
        <v>776</v>
      </c>
      <c r="G205" s="8" t="str">
        <f t="shared" si="3"/>
        <v>PERKINS DARREN</v>
      </c>
    </row>
    <row r="206" spans="1:7" x14ac:dyDescent="0.25">
      <c r="A206" s="8">
        <v>42983.789004629631</v>
      </c>
      <c r="B206" s="20" t="s">
        <v>575</v>
      </c>
      <c r="C206" s="20" t="s">
        <v>787</v>
      </c>
      <c r="D206" s="138">
        <v>2680000</v>
      </c>
      <c r="E206" s="20" t="s">
        <v>509</v>
      </c>
      <c r="F206" s="20" t="s">
        <v>510</v>
      </c>
      <c r="G206" s="8" t="str">
        <f t="shared" si="3"/>
        <v>DUNCAN SHEILA</v>
      </c>
    </row>
    <row r="207" spans="1:7" x14ac:dyDescent="0.25">
      <c r="A207" s="8">
        <v>42983.789201388892</v>
      </c>
      <c r="B207" s="20" t="s">
        <v>573</v>
      </c>
      <c r="C207" s="20" t="s">
        <v>788</v>
      </c>
      <c r="D207" s="138">
        <v>3490000</v>
      </c>
      <c r="E207" s="20" t="s">
        <v>387</v>
      </c>
      <c r="F207" s="20" t="s">
        <v>388</v>
      </c>
      <c r="G207" s="8" t="str">
        <f t="shared" si="3"/>
        <v>WEST BRYAN</v>
      </c>
    </row>
    <row r="208" spans="1:7" x14ac:dyDescent="0.25">
      <c r="A208" s="8">
        <v>42983.795289351852</v>
      </c>
      <c r="B208" s="20" t="s">
        <v>577</v>
      </c>
      <c r="C208" s="20" t="s">
        <v>789</v>
      </c>
      <c r="D208" s="138">
        <v>2970000</v>
      </c>
      <c r="E208" s="20" t="s">
        <v>515</v>
      </c>
      <c r="F208" s="20" t="s">
        <v>516</v>
      </c>
      <c r="G208" s="8" t="str">
        <f t="shared" si="3"/>
        <v>GUZMAN DANNY</v>
      </c>
    </row>
    <row r="209" spans="1:7" x14ac:dyDescent="0.25">
      <c r="A209" s="8">
        <v>42983.801238425927</v>
      </c>
      <c r="B209" s="20" t="s">
        <v>602</v>
      </c>
      <c r="C209" s="20" t="s">
        <v>790</v>
      </c>
      <c r="D209" s="138">
        <v>2630000</v>
      </c>
      <c r="E209" s="20" t="s">
        <v>472</v>
      </c>
      <c r="F209" s="20" t="s">
        <v>473</v>
      </c>
      <c r="G209" s="8" t="str">
        <f t="shared" si="3"/>
        <v>SAFIEF AEIMEN</v>
      </c>
    </row>
    <row r="210" spans="1:7" x14ac:dyDescent="0.25">
      <c r="A210" s="8">
        <v>42983.807673611111</v>
      </c>
      <c r="B210" s="20" t="s">
        <v>502</v>
      </c>
      <c r="C210" s="20" t="s">
        <v>791</v>
      </c>
      <c r="D210" s="138">
        <v>3190000</v>
      </c>
      <c r="E210" s="20" t="s">
        <v>779</v>
      </c>
      <c r="F210" s="20" t="s">
        <v>780</v>
      </c>
      <c r="G210" s="8" t="str">
        <f t="shared" si="3"/>
        <v>HART KEVIN</v>
      </c>
    </row>
    <row r="211" spans="1:7" x14ac:dyDescent="0.25">
      <c r="A211" s="8">
        <v>42983.808206018519</v>
      </c>
      <c r="B211" s="20" t="s">
        <v>452</v>
      </c>
      <c r="C211" s="20" t="s">
        <v>792</v>
      </c>
      <c r="D211" s="138">
        <v>3280000</v>
      </c>
      <c r="E211" s="20" t="s">
        <v>793</v>
      </c>
      <c r="F211" s="20" t="s">
        <v>794</v>
      </c>
      <c r="G211" s="8" t="str">
        <f t="shared" si="3"/>
        <v>BIRKHOLZ NADINE</v>
      </c>
    </row>
    <row r="212" spans="1:7" x14ac:dyDescent="0.25">
      <c r="A212" s="8">
        <v>42983.809618055559</v>
      </c>
      <c r="B212" s="20" t="s">
        <v>581</v>
      </c>
      <c r="C212" s="20" t="s">
        <v>795</v>
      </c>
      <c r="D212" s="138">
        <v>2970000</v>
      </c>
      <c r="E212" s="20" t="s">
        <v>515</v>
      </c>
      <c r="F212" s="20" t="s">
        <v>516</v>
      </c>
      <c r="G212" s="8" t="str">
        <f t="shared" si="3"/>
        <v>GUZMAN DANNY</v>
      </c>
    </row>
    <row r="213" spans="1:7" x14ac:dyDescent="0.25">
      <c r="A213" s="8">
        <v>42983.818287037036</v>
      </c>
      <c r="B213" s="20" t="s">
        <v>579</v>
      </c>
      <c r="C213" s="20" t="s">
        <v>796</v>
      </c>
      <c r="D213" s="138">
        <v>2230000</v>
      </c>
      <c r="E213" s="20" t="s">
        <v>517</v>
      </c>
      <c r="F213" s="20" t="s">
        <v>191</v>
      </c>
      <c r="G213" s="8" t="str">
        <f t="shared" si="3"/>
        <v>SMITH MICHAEL</v>
      </c>
    </row>
    <row r="214" spans="1:7" x14ac:dyDescent="0.25">
      <c r="A214" s="8">
        <v>42983.825775462959</v>
      </c>
      <c r="B214" s="20" t="s">
        <v>627</v>
      </c>
      <c r="C214" s="20" t="s">
        <v>797</v>
      </c>
      <c r="D214" s="138">
        <v>2680000</v>
      </c>
      <c r="E214" s="20" t="s">
        <v>509</v>
      </c>
      <c r="F214" s="20" t="s">
        <v>510</v>
      </c>
      <c r="G214" s="8" t="str">
        <f t="shared" si="3"/>
        <v>DUNCAN SHEILA</v>
      </c>
    </row>
    <row r="215" spans="1:7" x14ac:dyDescent="0.25">
      <c r="A215" s="8">
        <v>42983.829050925924</v>
      </c>
      <c r="B215" s="20" t="s">
        <v>598</v>
      </c>
      <c r="C215" s="20" t="s">
        <v>798</v>
      </c>
      <c r="D215" s="138">
        <v>2620000</v>
      </c>
      <c r="E215" s="20" t="s">
        <v>775</v>
      </c>
      <c r="F215" s="20" t="s">
        <v>776</v>
      </c>
      <c r="G215" s="8" t="str">
        <f t="shared" si="3"/>
        <v>PERKINS DARREN</v>
      </c>
    </row>
    <row r="216" spans="1:7" x14ac:dyDescent="0.25">
      <c r="A216" s="8">
        <v>42983.8358912037</v>
      </c>
      <c r="B216" s="20" t="s">
        <v>577</v>
      </c>
      <c r="C216" s="20" t="s">
        <v>799</v>
      </c>
      <c r="D216" s="138">
        <v>3310000</v>
      </c>
      <c r="E216" s="20" t="s">
        <v>520</v>
      </c>
      <c r="F216" s="20" t="s">
        <v>521</v>
      </c>
      <c r="G216" s="8" t="str">
        <f t="shared" si="3"/>
        <v>ANDERS STEVEN</v>
      </c>
    </row>
    <row r="217" spans="1:7" x14ac:dyDescent="0.25">
      <c r="A217" s="8">
        <v>42983.844201388885</v>
      </c>
      <c r="B217" s="20" t="s">
        <v>466</v>
      </c>
      <c r="C217" s="20" t="s">
        <v>800</v>
      </c>
      <c r="D217" s="138">
        <v>3280000</v>
      </c>
      <c r="E217" s="20" t="s">
        <v>793</v>
      </c>
      <c r="F217" s="20" t="s">
        <v>794</v>
      </c>
      <c r="G217" s="8" t="str">
        <f t="shared" si="3"/>
        <v>BIRKHOLZ NADINE</v>
      </c>
    </row>
    <row r="218" spans="1:7" x14ac:dyDescent="0.25">
      <c r="A218" s="8">
        <v>42983.851504629631</v>
      </c>
      <c r="B218" s="20" t="s">
        <v>506</v>
      </c>
      <c r="C218" s="20" t="s">
        <v>801</v>
      </c>
      <c r="D218" s="138">
        <v>3190000</v>
      </c>
      <c r="E218" s="20" t="s">
        <v>779</v>
      </c>
      <c r="F218" s="20" t="s">
        <v>780</v>
      </c>
      <c r="G218" s="8" t="str">
        <f t="shared" si="3"/>
        <v>HART KEVIN</v>
      </c>
    </row>
    <row r="219" spans="1:7" x14ac:dyDescent="0.25">
      <c r="A219" s="8">
        <v>42983.860682870371</v>
      </c>
      <c r="B219" s="20" t="s">
        <v>575</v>
      </c>
      <c r="C219" s="20" t="s">
        <v>802</v>
      </c>
      <c r="D219" s="138">
        <v>3340000</v>
      </c>
      <c r="E219" s="20" t="s">
        <v>477</v>
      </c>
      <c r="F219" s="20" t="s">
        <v>478</v>
      </c>
      <c r="G219" s="8" t="str">
        <f t="shared" si="3"/>
        <v>ELBAUM MIKE</v>
      </c>
    </row>
    <row r="220" spans="1:7" x14ac:dyDescent="0.25">
      <c r="A220" s="8">
        <v>42983.860821759263</v>
      </c>
      <c r="B220" s="20" t="s">
        <v>581</v>
      </c>
      <c r="C220" s="20" t="s">
        <v>803</v>
      </c>
      <c r="D220" s="138">
        <v>3310000</v>
      </c>
      <c r="E220" s="20" t="s">
        <v>520</v>
      </c>
      <c r="F220" s="20" t="s">
        <v>521</v>
      </c>
      <c r="G220" s="8" t="str">
        <f t="shared" si="3"/>
        <v>ANDERS STEVEN</v>
      </c>
    </row>
    <row r="221" spans="1:7" x14ac:dyDescent="0.25">
      <c r="A221" s="8">
        <v>42983.861990740741</v>
      </c>
      <c r="B221" s="20" t="s">
        <v>507</v>
      </c>
      <c r="C221" s="20" t="s">
        <v>804</v>
      </c>
      <c r="D221" s="138">
        <v>2620000</v>
      </c>
      <c r="E221" s="20" t="s">
        <v>775</v>
      </c>
      <c r="F221" s="20" t="s">
        <v>776</v>
      </c>
      <c r="G221" s="8" t="str">
        <f t="shared" si="3"/>
        <v>PERKINS DARREN</v>
      </c>
    </row>
    <row r="222" spans="1:7" x14ac:dyDescent="0.25">
      <c r="A222" s="8">
        <v>42983.877627314818</v>
      </c>
      <c r="B222" s="20" t="s">
        <v>577</v>
      </c>
      <c r="C222" s="20" t="s">
        <v>614</v>
      </c>
      <c r="D222" s="138">
        <v>3490000</v>
      </c>
      <c r="E222" s="20" t="s">
        <v>387</v>
      </c>
      <c r="F222" s="20" t="s">
        <v>388</v>
      </c>
      <c r="G222" s="8" t="str">
        <f t="shared" si="3"/>
        <v>WEST BRYAN</v>
      </c>
    </row>
    <row r="223" spans="1:7" x14ac:dyDescent="0.25">
      <c r="A223" s="8">
        <v>42983.888009259259</v>
      </c>
      <c r="B223" s="20" t="s">
        <v>452</v>
      </c>
      <c r="C223" s="20" t="s">
        <v>805</v>
      </c>
      <c r="D223" s="138">
        <v>890000</v>
      </c>
      <c r="E223" s="20" t="s">
        <v>385</v>
      </c>
      <c r="F223" s="20" t="s">
        <v>386</v>
      </c>
      <c r="G223" s="8" t="str">
        <f t="shared" si="3"/>
        <v>LOZA FIDEL</v>
      </c>
    </row>
    <row r="224" spans="1:7" x14ac:dyDescent="0.25">
      <c r="A224" s="8">
        <v>42983.891215277778</v>
      </c>
      <c r="B224" t="s">
        <v>502</v>
      </c>
      <c r="C224" t="s">
        <v>806</v>
      </c>
      <c r="D224" s="138">
        <v>3190000</v>
      </c>
      <c r="E224" t="s">
        <v>779</v>
      </c>
      <c r="F224" s="20" t="s">
        <v>780</v>
      </c>
      <c r="G224" s="8" t="str">
        <f t="shared" si="3"/>
        <v>HART KEVIN</v>
      </c>
    </row>
    <row r="225" spans="1:7" x14ac:dyDescent="0.25">
      <c r="A225" s="8">
        <v>42983.893726851849</v>
      </c>
      <c r="B225" t="s">
        <v>581</v>
      </c>
      <c r="C225" t="s">
        <v>807</v>
      </c>
      <c r="D225" s="138">
        <v>3490000</v>
      </c>
      <c r="E225" t="s">
        <v>387</v>
      </c>
      <c r="F225" s="20" t="s">
        <v>388</v>
      </c>
      <c r="G225" s="8" t="str">
        <f t="shared" si="3"/>
        <v>WEST BRYAN</v>
      </c>
    </row>
    <row r="226" spans="1:7" x14ac:dyDescent="0.25">
      <c r="A226" s="8">
        <v>42983.903449074074</v>
      </c>
      <c r="B226" t="s">
        <v>598</v>
      </c>
      <c r="C226" t="s">
        <v>808</v>
      </c>
      <c r="D226" s="138">
        <v>2620000</v>
      </c>
      <c r="E226" t="s">
        <v>775</v>
      </c>
      <c r="F226" s="20" t="s">
        <v>776</v>
      </c>
      <c r="G226" s="8" t="str">
        <f t="shared" si="3"/>
        <v>PERKINS DARREN</v>
      </c>
    </row>
    <row r="227" spans="1:7" x14ac:dyDescent="0.25">
      <c r="A227" s="8">
        <v>42983.90384259259</v>
      </c>
      <c r="B227" t="s">
        <v>627</v>
      </c>
      <c r="C227" t="s">
        <v>809</v>
      </c>
      <c r="D227" s="138">
        <v>3340000</v>
      </c>
      <c r="E227" t="s">
        <v>477</v>
      </c>
      <c r="F227" s="20" t="s">
        <v>478</v>
      </c>
      <c r="G227" s="8" t="str">
        <f t="shared" si="3"/>
        <v>ELBAUM MIKE</v>
      </c>
    </row>
    <row r="228" spans="1:7" x14ac:dyDescent="0.25">
      <c r="A228" s="8">
        <v>42983.921423611115</v>
      </c>
      <c r="B228" t="s">
        <v>577</v>
      </c>
      <c r="C228" t="s">
        <v>615</v>
      </c>
      <c r="D228" s="138">
        <v>3490000</v>
      </c>
      <c r="E228" t="s">
        <v>387</v>
      </c>
      <c r="F228" s="20" t="s">
        <v>388</v>
      </c>
      <c r="G228" s="8" t="str">
        <f t="shared" si="3"/>
        <v>WEST BRYAN</v>
      </c>
    </row>
    <row r="229" spans="1:7" x14ac:dyDescent="0.25">
      <c r="A229" s="8">
        <v>42983.93309027778</v>
      </c>
      <c r="B229" t="s">
        <v>506</v>
      </c>
      <c r="C229" t="s">
        <v>810</v>
      </c>
      <c r="D229" s="138">
        <v>3220000</v>
      </c>
      <c r="E229" t="s">
        <v>402</v>
      </c>
      <c r="F229" s="20" t="s">
        <v>403</v>
      </c>
      <c r="G229" s="8" t="str">
        <f t="shared" si="3"/>
        <v>RESPASS AARON</v>
      </c>
    </row>
    <row r="230" spans="1:7" x14ac:dyDescent="0.25">
      <c r="A230" s="8">
        <v>42983.933935185189</v>
      </c>
      <c r="B230" t="s">
        <v>466</v>
      </c>
      <c r="C230" t="s">
        <v>811</v>
      </c>
      <c r="D230" s="138">
        <v>890000</v>
      </c>
      <c r="E230" t="s">
        <v>385</v>
      </c>
      <c r="F230" s="20" t="s">
        <v>386</v>
      </c>
      <c r="G230" s="8" t="str">
        <f t="shared" si="3"/>
        <v>LOZA FIDEL</v>
      </c>
    </row>
    <row r="231" spans="1:7" x14ac:dyDescent="0.25">
      <c r="A231" s="8">
        <v>42983.935370370367</v>
      </c>
      <c r="B231" t="s">
        <v>581</v>
      </c>
      <c r="C231" t="s">
        <v>616</v>
      </c>
      <c r="D231" s="138">
        <v>3490000</v>
      </c>
      <c r="E231" t="s">
        <v>387</v>
      </c>
      <c r="F231" s="20" t="s">
        <v>388</v>
      </c>
      <c r="G231" s="8" t="str">
        <f t="shared" si="3"/>
        <v>WEST BRYAN</v>
      </c>
    </row>
    <row r="232" spans="1:7" x14ac:dyDescent="0.25">
      <c r="A232" s="8">
        <v>42983.943055555559</v>
      </c>
      <c r="B232" t="s">
        <v>575</v>
      </c>
      <c r="C232" t="s">
        <v>812</v>
      </c>
      <c r="D232" s="138">
        <v>2680000</v>
      </c>
      <c r="E232" t="s">
        <v>509</v>
      </c>
      <c r="F232" s="20" t="s">
        <v>510</v>
      </c>
      <c r="G232" s="8" t="str">
        <f t="shared" si="3"/>
        <v>DUNCAN SHEILA</v>
      </c>
    </row>
    <row r="233" spans="1:7" x14ac:dyDescent="0.25">
      <c r="A233" s="8">
        <v>42983.944155092591</v>
      </c>
      <c r="B233" t="s">
        <v>507</v>
      </c>
      <c r="C233" t="s">
        <v>813</v>
      </c>
      <c r="D233" s="138">
        <v>2620000</v>
      </c>
      <c r="E233" t="s">
        <v>775</v>
      </c>
      <c r="F233" s="20" t="s">
        <v>776</v>
      </c>
      <c r="G233" s="8" t="str">
        <f t="shared" si="3"/>
        <v>PERKINS DARREN</v>
      </c>
    </row>
    <row r="234" spans="1:7" x14ac:dyDescent="0.25">
      <c r="A234" s="8">
        <v>42983.961030092592</v>
      </c>
      <c r="B234" t="s">
        <v>577</v>
      </c>
      <c r="C234" t="s">
        <v>814</v>
      </c>
      <c r="D234" s="138">
        <v>3490000</v>
      </c>
      <c r="E234" t="s">
        <v>387</v>
      </c>
      <c r="F234" s="20" t="s">
        <v>388</v>
      </c>
      <c r="G234" s="8" t="str">
        <f t="shared" si="3"/>
        <v>WEST BRYAN</v>
      </c>
    </row>
    <row r="235" spans="1:7" x14ac:dyDescent="0.25">
      <c r="A235" s="8">
        <v>42983.968078703707</v>
      </c>
      <c r="B235" t="s">
        <v>452</v>
      </c>
      <c r="C235" t="s">
        <v>815</v>
      </c>
      <c r="D235" s="138">
        <v>890000</v>
      </c>
      <c r="E235" t="s">
        <v>385</v>
      </c>
      <c r="F235" s="20" t="s">
        <v>386</v>
      </c>
      <c r="G235" s="8" t="str">
        <f t="shared" si="3"/>
        <v>LOZA FIDEL</v>
      </c>
    </row>
    <row r="236" spans="1:7" x14ac:dyDescent="0.25">
      <c r="A236" s="8">
        <v>42983.974606481483</v>
      </c>
      <c r="B236" t="s">
        <v>502</v>
      </c>
      <c r="C236" t="s">
        <v>816</v>
      </c>
      <c r="D236" s="138">
        <v>3220000</v>
      </c>
      <c r="E236" t="s">
        <v>402</v>
      </c>
      <c r="F236" s="20" t="s">
        <v>403</v>
      </c>
      <c r="G236" s="8" t="str">
        <f t="shared" si="3"/>
        <v>RESPASS AARON</v>
      </c>
    </row>
    <row r="237" spans="1:7" x14ac:dyDescent="0.25">
      <c r="A237" s="8">
        <v>42983.976493055554</v>
      </c>
      <c r="B237" t="s">
        <v>581</v>
      </c>
      <c r="C237" t="s">
        <v>817</v>
      </c>
      <c r="D237" s="138">
        <v>3490000</v>
      </c>
      <c r="E237" t="s">
        <v>387</v>
      </c>
      <c r="F237" s="20" t="s">
        <v>388</v>
      </c>
      <c r="G237" s="8" t="str">
        <f t="shared" si="3"/>
        <v>WEST BRYAN</v>
      </c>
    </row>
    <row r="238" spans="1:7" x14ac:dyDescent="0.25">
      <c r="A238" s="8">
        <v>42983.985601851855</v>
      </c>
      <c r="B238" t="s">
        <v>627</v>
      </c>
      <c r="C238" t="s">
        <v>818</v>
      </c>
      <c r="D238" s="138">
        <v>2680000</v>
      </c>
      <c r="E238" t="s">
        <v>509</v>
      </c>
      <c r="F238" s="20" t="s">
        <v>510</v>
      </c>
      <c r="G238" s="8" t="str">
        <f t="shared" si="3"/>
        <v>DUNCAN SHEILA</v>
      </c>
    </row>
    <row r="239" spans="1:7" x14ac:dyDescent="0.25">
      <c r="A239" s="8">
        <v>42983.986701388887</v>
      </c>
      <c r="B239" t="s">
        <v>598</v>
      </c>
      <c r="C239" t="s">
        <v>819</v>
      </c>
      <c r="D239" s="138">
        <v>2620000</v>
      </c>
      <c r="E239" t="s">
        <v>775</v>
      </c>
      <c r="F239" s="20" t="s">
        <v>776</v>
      </c>
      <c r="G239" s="8" t="str">
        <f t="shared" si="3"/>
        <v>PERKINS DARREN</v>
      </c>
    </row>
    <row r="240" spans="1:7" x14ac:dyDescent="0.25">
      <c r="A240" s="8">
        <v>42984.017083333332</v>
      </c>
      <c r="B240" t="s">
        <v>466</v>
      </c>
      <c r="C240" t="s">
        <v>820</v>
      </c>
      <c r="D240" s="138">
        <v>890000</v>
      </c>
      <c r="E240" t="s">
        <v>385</v>
      </c>
      <c r="F240" s="20" t="s">
        <v>386</v>
      </c>
      <c r="G240" s="8" t="str">
        <f t="shared" si="3"/>
        <v>LOZA FIDEL</v>
      </c>
    </row>
    <row r="241" spans="1:7" x14ac:dyDescent="0.25">
      <c r="A241" s="8">
        <v>42984.019282407404</v>
      </c>
      <c r="B241" t="s">
        <v>506</v>
      </c>
      <c r="C241" t="s">
        <v>821</v>
      </c>
      <c r="D241" s="138">
        <v>3190000</v>
      </c>
      <c r="E241" t="s">
        <v>779</v>
      </c>
      <c r="F241" s="20" t="s">
        <v>780</v>
      </c>
      <c r="G241" s="8" t="str">
        <f t="shared" si="3"/>
        <v>HART KEVIN</v>
      </c>
    </row>
    <row r="242" spans="1:7" x14ac:dyDescent="0.25">
      <c r="A242" s="8">
        <v>42984.026875000003</v>
      </c>
      <c r="B242" t="s">
        <v>507</v>
      </c>
      <c r="C242" t="s">
        <v>822</v>
      </c>
      <c r="D242" s="138">
        <v>2620000</v>
      </c>
      <c r="E242" t="s">
        <v>775</v>
      </c>
      <c r="F242" s="20" t="s">
        <v>776</v>
      </c>
      <c r="G242" s="8" t="str">
        <f t="shared" si="3"/>
        <v>PERKINS DARREN</v>
      </c>
    </row>
    <row r="243" spans="1:7" x14ac:dyDescent="0.25">
      <c r="A243" s="8">
        <v>42984.027465277781</v>
      </c>
      <c r="B243" t="s">
        <v>575</v>
      </c>
      <c r="C243" t="s">
        <v>823</v>
      </c>
      <c r="D243" s="138">
        <v>2680000</v>
      </c>
      <c r="E243" t="s">
        <v>509</v>
      </c>
      <c r="F243" s="20" t="s">
        <v>510</v>
      </c>
      <c r="G243" s="8" t="str">
        <f t="shared" si="3"/>
        <v>DUNCAN SHEILA</v>
      </c>
    </row>
    <row r="244" spans="1:7" x14ac:dyDescent="0.25">
      <c r="A244" s="8">
        <v>42984.046886574077</v>
      </c>
      <c r="B244" t="s">
        <v>452</v>
      </c>
      <c r="C244" t="s">
        <v>824</v>
      </c>
      <c r="D244" s="138">
        <v>890000</v>
      </c>
      <c r="E244" t="s">
        <v>385</v>
      </c>
      <c r="F244" s="20" t="s">
        <v>386</v>
      </c>
      <c r="G244" s="8" t="str">
        <f t="shared" si="3"/>
        <v>LOZA FIDEL</v>
      </c>
    </row>
    <row r="245" spans="1:7" x14ac:dyDescent="0.25">
      <c r="A245" s="8">
        <v>42984.047835648147</v>
      </c>
      <c r="B245" t="s">
        <v>452</v>
      </c>
      <c r="C245" t="s">
        <v>824</v>
      </c>
      <c r="D245" s="138">
        <v>890000</v>
      </c>
      <c r="E245" t="s">
        <v>385</v>
      </c>
      <c r="F245" s="20" t="s">
        <v>386</v>
      </c>
      <c r="G245" s="8" t="str">
        <f t="shared" si="3"/>
        <v>LOZA FIDEL</v>
      </c>
    </row>
    <row r="246" spans="1:7" x14ac:dyDescent="0.25">
      <c r="A246" s="8">
        <v>42984.048888888887</v>
      </c>
      <c r="B246" t="s">
        <v>452</v>
      </c>
      <c r="C246" t="s">
        <v>824</v>
      </c>
      <c r="D246" s="138">
        <v>890000</v>
      </c>
      <c r="E246" t="s">
        <v>385</v>
      </c>
      <c r="F246" s="20" t="s">
        <v>386</v>
      </c>
      <c r="G246" s="8" t="str">
        <f t="shared" si="3"/>
        <v>LOZA FIDEL</v>
      </c>
    </row>
    <row r="247" spans="1:7" x14ac:dyDescent="0.25">
      <c r="A247" s="8">
        <v>42984.050069444442</v>
      </c>
      <c r="B247" t="s">
        <v>452</v>
      </c>
      <c r="C247" t="s">
        <v>824</v>
      </c>
      <c r="D247" s="138">
        <v>890000</v>
      </c>
      <c r="E247" t="s">
        <v>385</v>
      </c>
      <c r="F247" s="20" t="s">
        <v>386</v>
      </c>
      <c r="G247" s="8" t="str">
        <f t="shared" si="3"/>
        <v>LOZA FIDEL</v>
      </c>
    </row>
    <row r="248" spans="1:7" x14ac:dyDescent="0.25">
      <c r="A248" s="8">
        <v>42984.058668981481</v>
      </c>
      <c r="B248" t="s">
        <v>502</v>
      </c>
      <c r="C248" t="s">
        <v>825</v>
      </c>
      <c r="D248" s="138">
        <v>3190000</v>
      </c>
      <c r="E248" t="s">
        <v>779</v>
      </c>
      <c r="F248" s="20" t="s">
        <v>780</v>
      </c>
      <c r="G248" s="8" t="str">
        <f t="shared" si="3"/>
        <v>HART KEVIN</v>
      </c>
    </row>
    <row r="249" spans="1:7" x14ac:dyDescent="0.25">
      <c r="A249" s="8">
        <v>42984.067453703705</v>
      </c>
      <c r="B249" t="s">
        <v>598</v>
      </c>
      <c r="C249" t="s">
        <v>826</v>
      </c>
      <c r="D249" s="138">
        <v>2620000</v>
      </c>
      <c r="E249" t="s">
        <v>775</v>
      </c>
      <c r="F249" s="20" t="s">
        <v>776</v>
      </c>
      <c r="G249" s="8" t="str">
        <f t="shared" si="3"/>
        <v>PERKINS DARREN</v>
      </c>
    </row>
    <row r="250" spans="1:7" x14ac:dyDescent="0.25">
      <c r="A250" s="8">
        <v>42984.087291666663</v>
      </c>
      <c r="B250" t="s">
        <v>506</v>
      </c>
      <c r="C250" t="s">
        <v>827</v>
      </c>
      <c r="D250" s="138">
        <v>3190000</v>
      </c>
      <c r="E250" t="s">
        <v>779</v>
      </c>
      <c r="F250" s="20" t="s">
        <v>780</v>
      </c>
      <c r="G250" s="8" t="str">
        <f t="shared" si="3"/>
        <v>HART KEVIN</v>
      </c>
    </row>
    <row r="251" spans="1:7" x14ac:dyDescent="0.25">
      <c r="A251" s="8">
        <v>42984.112488425926</v>
      </c>
      <c r="B251" t="s">
        <v>505</v>
      </c>
      <c r="C251" t="s">
        <v>828</v>
      </c>
      <c r="D251" s="138">
        <v>940000</v>
      </c>
      <c r="E251" t="s">
        <v>427</v>
      </c>
      <c r="F251" s="20" t="s">
        <v>428</v>
      </c>
      <c r="G251" s="8" t="str">
        <f t="shared" si="3"/>
        <v>BONDS REYNALDO</v>
      </c>
    </row>
    <row r="252" spans="1:7" x14ac:dyDescent="0.25">
      <c r="A252" s="8">
        <v>42970.986562500002</v>
      </c>
      <c r="B252" t="s">
        <v>383</v>
      </c>
      <c r="C252" t="s">
        <v>406</v>
      </c>
      <c r="D252" s="138">
        <v>3490000</v>
      </c>
      <c r="E252" t="s">
        <v>387</v>
      </c>
      <c r="F252" s="20" t="s">
        <v>388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400</v>
      </c>
      <c r="C253" t="s">
        <v>407</v>
      </c>
      <c r="D253" s="138">
        <v>3220000</v>
      </c>
      <c r="E253" t="s">
        <v>402</v>
      </c>
      <c r="F253" s="20" t="s">
        <v>403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391</v>
      </c>
      <c r="C254" t="s">
        <v>408</v>
      </c>
      <c r="D254" s="138">
        <v>3090000</v>
      </c>
      <c r="E254" t="s">
        <v>404</v>
      </c>
      <c r="F254" s="20" t="s">
        <v>405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401</v>
      </c>
      <c r="C255" t="s">
        <v>409</v>
      </c>
      <c r="D255" s="138">
        <v>3000000</v>
      </c>
      <c r="E255" t="s">
        <v>393</v>
      </c>
      <c r="F255" s="20" t="s">
        <v>394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382</v>
      </c>
      <c r="C256" t="s">
        <v>410</v>
      </c>
      <c r="D256" s="138">
        <v>3490000</v>
      </c>
      <c r="E256" t="s">
        <v>387</v>
      </c>
      <c r="F256" s="20" t="s">
        <v>388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384</v>
      </c>
      <c r="C257" t="s">
        <v>411</v>
      </c>
      <c r="D257" s="138">
        <v>3220000</v>
      </c>
      <c r="E257" t="s">
        <v>402</v>
      </c>
      <c r="F257" s="20" t="s">
        <v>403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392</v>
      </c>
      <c r="C258" t="s">
        <v>412</v>
      </c>
      <c r="D258" s="138">
        <v>3090000</v>
      </c>
      <c r="E258" t="s">
        <v>404</v>
      </c>
      <c r="F258" s="20" t="s">
        <v>405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383</v>
      </c>
      <c r="C259" t="s">
        <v>413</v>
      </c>
      <c r="D259" s="138">
        <v>3490000</v>
      </c>
      <c r="E259" t="s">
        <v>387</v>
      </c>
      <c r="F259" s="20" t="s">
        <v>388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391</v>
      </c>
      <c r="C260" t="s">
        <v>414</v>
      </c>
      <c r="D260" s="138">
        <v>3090000</v>
      </c>
      <c r="E260" t="s">
        <v>404</v>
      </c>
      <c r="F260" s="20" t="s">
        <v>405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352</v>
      </c>
      <c r="O1" s="168" t="s">
        <v>156</v>
      </c>
      <c r="P1" s="168" t="s">
        <v>163</v>
      </c>
      <c r="Q1" s="168" t="s">
        <v>353</v>
      </c>
      <c r="R1" s="168" t="s">
        <v>160</v>
      </c>
      <c r="S1"/>
    </row>
    <row r="2" spans="1:19" x14ac:dyDescent="0.25">
      <c r="A2" s="169">
        <v>62.8</v>
      </c>
      <c r="B2" s="169">
        <v>0.79</v>
      </c>
      <c r="C2" s="169">
        <v>45.3</v>
      </c>
      <c r="D2" s="8">
        <v>42983</v>
      </c>
      <c r="E2" s="169">
        <v>0.53</v>
      </c>
      <c r="F2" s="169" t="s">
        <v>455</v>
      </c>
      <c r="G2" s="169">
        <v>281.74</v>
      </c>
      <c r="H2" s="169">
        <v>0</v>
      </c>
      <c r="I2" s="169">
        <v>0</v>
      </c>
      <c r="J2" s="169">
        <v>1022.95</v>
      </c>
      <c r="K2" s="169" t="s">
        <v>527</v>
      </c>
      <c r="L2" s="169">
        <v>62.8</v>
      </c>
      <c r="M2" s="169">
        <v>1504591200</v>
      </c>
      <c r="N2" s="169">
        <v>0</v>
      </c>
      <c r="O2" s="169">
        <v>3.34</v>
      </c>
      <c r="P2" s="169">
        <v>47</v>
      </c>
      <c r="Q2" s="169">
        <v>4.8899999999999997</v>
      </c>
      <c r="R2" s="169">
        <v>1.72</v>
      </c>
      <c r="S2"/>
    </row>
    <row r="3" spans="1:19" x14ac:dyDescent="0.25">
      <c r="A3" s="169">
        <v>61.72</v>
      </c>
      <c r="B3" s="169">
        <v>0.94</v>
      </c>
      <c r="C3" s="169">
        <v>44.96</v>
      </c>
      <c r="D3" s="8">
        <v>42983.041666666664</v>
      </c>
      <c r="E3" s="169">
        <v>0.54</v>
      </c>
      <c r="F3" s="169" t="s">
        <v>528</v>
      </c>
      <c r="G3" s="169">
        <v>281.85000000000002</v>
      </c>
      <c r="H3" s="169">
        <v>0</v>
      </c>
      <c r="I3" s="169">
        <v>0</v>
      </c>
      <c r="J3" s="169">
        <v>1022.96</v>
      </c>
      <c r="K3" s="169" t="s">
        <v>529</v>
      </c>
      <c r="L3" s="169">
        <v>61.72</v>
      </c>
      <c r="M3" s="169">
        <v>1504594800</v>
      </c>
      <c r="N3" s="169">
        <v>0</v>
      </c>
      <c r="O3" s="169">
        <v>3.66</v>
      </c>
      <c r="P3" s="169">
        <v>52</v>
      </c>
      <c r="Q3" s="169">
        <v>6.17</v>
      </c>
      <c r="R3" s="169">
        <v>1.83</v>
      </c>
      <c r="S3"/>
    </row>
    <row r="4" spans="1:19" x14ac:dyDescent="0.25">
      <c r="A4" s="169">
        <v>61.07</v>
      </c>
      <c r="B4" s="169">
        <v>0.97</v>
      </c>
      <c r="C4" s="169">
        <v>44.85</v>
      </c>
      <c r="D4" s="8">
        <v>42983.083333333336</v>
      </c>
      <c r="E4" s="169">
        <v>0.55000000000000004</v>
      </c>
      <c r="F4" s="169" t="s">
        <v>528</v>
      </c>
      <c r="G4" s="169">
        <v>281.60000000000002</v>
      </c>
      <c r="H4" s="169">
        <v>0</v>
      </c>
      <c r="I4" s="169">
        <v>0</v>
      </c>
      <c r="J4" s="169">
        <v>1022.98</v>
      </c>
      <c r="K4" s="169" t="s">
        <v>529</v>
      </c>
      <c r="L4" s="169">
        <v>61.07</v>
      </c>
      <c r="M4" s="169">
        <v>1504598400</v>
      </c>
      <c r="N4" s="169">
        <v>0</v>
      </c>
      <c r="O4" s="169">
        <v>3.52</v>
      </c>
      <c r="P4" s="169">
        <v>66</v>
      </c>
      <c r="Q4" s="169">
        <v>4.79</v>
      </c>
      <c r="R4" s="169">
        <v>1.8</v>
      </c>
      <c r="S4"/>
    </row>
    <row r="5" spans="1:19" x14ac:dyDescent="0.25">
      <c r="A5" s="169">
        <v>60.37</v>
      </c>
      <c r="B5" s="169">
        <v>0.94</v>
      </c>
      <c r="C5" s="169">
        <v>44.49</v>
      </c>
      <c r="D5" s="8">
        <v>42983.125</v>
      </c>
      <c r="E5" s="169">
        <v>0.56000000000000005</v>
      </c>
      <c r="F5" s="169" t="s">
        <v>528</v>
      </c>
      <c r="G5" s="169">
        <v>281.24</v>
      </c>
      <c r="H5" s="169">
        <v>0</v>
      </c>
      <c r="I5" s="169">
        <v>0</v>
      </c>
      <c r="J5" s="169">
        <v>1023.08</v>
      </c>
      <c r="K5" s="169" t="s">
        <v>529</v>
      </c>
      <c r="L5" s="169">
        <v>60.37</v>
      </c>
      <c r="M5" s="169">
        <v>1504602000</v>
      </c>
      <c r="N5" s="169">
        <v>0</v>
      </c>
      <c r="O5" s="169">
        <v>3.66</v>
      </c>
      <c r="P5" s="169">
        <v>57</v>
      </c>
      <c r="Q5" s="169">
        <v>6.58</v>
      </c>
      <c r="R5" s="169">
        <v>2.14</v>
      </c>
      <c r="S5"/>
    </row>
    <row r="6" spans="1:19" x14ac:dyDescent="0.25">
      <c r="A6" s="169">
        <v>58.47</v>
      </c>
      <c r="B6" s="169">
        <v>0.91</v>
      </c>
      <c r="C6" s="169">
        <v>43.04</v>
      </c>
      <c r="D6" s="8">
        <v>42983.166666666664</v>
      </c>
      <c r="E6" s="169">
        <v>0.56000000000000005</v>
      </c>
      <c r="F6" s="169" t="s">
        <v>455</v>
      </c>
      <c r="G6" s="169">
        <v>280.77</v>
      </c>
      <c r="H6" s="169">
        <v>0</v>
      </c>
      <c r="I6" s="169">
        <v>0</v>
      </c>
      <c r="J6" s="169">
        <v>1023.51</v>
      </c>
      <c r="K6" s="169" t="s">
        <v>527</v>
      </c>
      <c r="L6" s="169">
        <v>58.47</v>
      </c>
      <c r="M6" s="169">
        <v>1504605600</v>
      </c>
      <c r="N6" s="169">
        <v>0</v>
      </c>
      <c r="O6" s="169">
        <v>3.52</v>
      </c>
      <c r="P6" s="169">
        <v>41</v>
      </c>
      <c r="Q6" s="169">
        <v>6.58</v>
      </c>
      <c r="R6" s="169">
        <v>2.44</v>
      </c>
      <c r="S6"/>
    </row>
    <row r="7" spans="1:19" x14ac:dyDescent="0.25">
      <c r="A7" s="169">
        <v>57.75</v>
      </c>
      <c r="B7" s="169">
        <v>0.97</v>
      </c>
      <c r="C7" s="169">
        <v>43.14</v>
      </c>
      <c r="D7" s="8">
        <v>42983.208333333336</v>
      </c>
      <c r="E7" s="169">
        <v>0.57999999999999996</v>
      </c>
      <c r="F7" s="169" t="s">
        <v>528</v>
      </c>
      <c r="G7" s="169">
        <v>280.19</v>
      </c>
      <c r="H7" s="169">
        <v>0</v>
      </c>
      <c r="I7" s="169">
        <v>0</v>
      </c>
      <c r="J7" s="169">
        <v>1023.64</v>
      </c>
      <c r="K7" s="169" t="s">
        <v>529</v>
      </c>
      <c r="L7" s="169">
        <v>57.75</v>
      </c>
      <c r="M7" s="169">
        <v>1504609200</v>
      </c>
      <c r="N7" s="169">
        <v>0</v>
      </c>
      <c r="O7" s="169">
        <v>3.52</v>
      </c>
      <c r="P7" s="169">
        <v>39</v>
      </c>
      <c r="Q7" s="169">
        <v>4.6900000000000004</v>
      </c>
      <c r="R7" s="169">
        <v>1.88</v>
      </c>
      <c r="S7"/>
    </row>
    <row r="8" spans="1:19" x14ac:dyDescent="0.25">
      <c r="A8" s="169">
        <v>57.51</v>
      </c>
      <c r="B8" s="169">
        <v>0.86</v>
      </c>
      <c r="C8" s="169">
        <v>43.16</v>
      </c>
      <c r="D8" s="8">
        <v>42983.25</v>
      </c>
      <c r="E8" s="169">
        <v>0.59</v>
      </c>
      <c r="F8" s="169" t="s">
        <v>455</v>
      </c>
      <c r="G8" s="169">
        <v>279.83999999999997</v>
      </c>
      <c r="H8" s="169">
        <v>0</v>
      </c>
      <c r="I8" s="169">
        <v>0</v>
      </c>
      <c r="J8" s="169">
        <v>1024.01</v>
      </c>
      <c r="K8" s="169" t="s">
        <v>527</v>
      </c>
      <c r="L8" s="169">
        <v>57.51</v>
      </c>
      <c r="M8" s="169">
        <v>1504612800</v>
      </c>
      <c r="N8" s="169">
        <v>0</v>
      </c>
      <c r="O8" s="169">
        <v>3.52</v>
      </c>
      <c r="P8" s="169">
        <v>34</v>
      </c>
      <c r="Q8" s="169">
        <v>3.74</v>
      </c>
      <c r="R8" s="169">
        <v>1.44</v>
      </c>
      <c r="S8"/>
    </row>
    <row r="9" spans="1:19" x14ac:dyDescent="0.25">
      <c r="A9" s="169">
        <v>57.19</v>
      </c>
      <c r="B9" s="169">
        <v>0.9</v>
      </c>
      <c r="C9" s="169">
        <v>43.01</v>
      </c>
      <c r="D9" s="8">
        <v>42983.291666666664</v>
      </c>
      <c r="E9" s="169">
        <v>0.59</v>
      </c>
      <c r="F9" s="169" t="s">
        <v>453</v>
      </c>
      <c r="G9" s="169">
        <v>279.95999999999998</v>
      </c>
      <c r="H9" s="169">
        <v>0</v>
      </c>
      <c r="I9" s="169">
        <v>0</v>
      </c>
      <c r="J9" s="169">
        <v>1024.43</v>
      </c>
      <c r="K9" s="169" t="s">
        <v>527</v>
      </c>
      <c r="L9" s="169">
        <v>57.19</v>
      </c>
      <c r="M9" s="169">
        <v>1504616400</v>
      </c>
      <c r="N9" s="169">
        <v>0</v>
      </c>
      <c r="O9" s="169">
        <v>3.75</v>
      </c>
      <c r="P9" s="169">
        <v>18</v>
      </c>
      <c r="Q9" s="169">
        <v>5.41</v>
      </c>
      <c r="R9" s="169">
        <v>1.91</v>
      </c>
      <c r="S9"/>
    </row>
    <row r="10" spans="1:19" x14ac:dyDescent="0.25">
      <c r="A10" s="169">
        <v>56.86</v>
      </c>
      <c r="B10" s="169">
        <v>0.79</v>
      </c>
      <c r="C10" s="169">
        <v>42.99</v>
      </c>
      <c r="D10" s="8">
        <v>42983.333333333336</v>
      </c>
      <c r="E10" s="169">
        <v>0.6</v>
      </c>
      <c r="F10" s="169" t="s">
        <v>453</v>
      </c>
      <c r="G10" s="169">
        <v>280.44</v>
      </c>
      <c r="H10" s="169">
        <v>0</v>
      </c>
      <c r="I10" s="169">
        <v>0</v>
      </c>
      <c r="J10" s="169">
        <v>1025.1199999999999</v>
      </c>
      <c r="K10" s="169" t="s">
        <v>527</v>
      </c>
      <c r="L10" s="169">
        <v>56.86</v>
      </c>
      <c r="M10" s="169">
        <v>1504620000</v>
      </c>
      <c r="N10" s="169">
        <v>1</v>
      </c>
      <c r="O10" s="169">
        <v>3.88</v>
      </c>
      <c r="P10" s="169">
        <v>12</v>
      </c>
      <c r="Q10" s="169">
        <v>7.1</v>
      </c>
      <c r="R10" s="169">
        <v>3.08</v>
      </c>
      <c r="S10"/>
    </row>
    <row r="11" spans="1:19" x14ac:dyDescent="0.25">
      <c r="A11" s="169">
        <v>57.64</v>
      </c>
      <c r="B11" s="169">
        <v>0.86</v>
      </c>
      <c r="C11" s="169">
        <v>43.32</v>
      </c>
      <c r="D11" s="8">
        <v>42983.375</v>
      </c>
      <c r="E11" s="169">
        <v>0.59</v>
      </c>
      <c r="F11" s="169" t="s">
        <v>453</v>
      </c>
      <c r="G11" s="169">
        <v>280.91000000000003</v>
      </c>
      <c r="H11" s="169">
        <v>0</v>
      </c>
      <c r="I11" s="169">
        <v>0</v>
      </c>
      <c r="J11" s="169">
        <v>1025.3800000000001</v>
      </c>
      <c r="K11" s="169" t="s">
        <v>527</v>
      </c>
      <c r="L11" s="169">
        <v>57.64</v>
      </c>
      <c r="M11" s="169">
        <v>1504623600</v>
      </c>
      <c r="N11" s="169">
        <v>1</v>
      </c>
      <c r="O11" s="169">
        <v>3.71</v>
      </c>
      <c r="P11" s="169">
        <v>23</v>
      </c>
      <c r="Q11" s="169">
        <v>6.2</v>
      </c>
      <c r="R11" s="169">
        <v>2.95</v>
      </c>
      <c r="S11"/>
    </row>
    <row r="12" spans="1:19" x14ac:dyDescent="0.25">
      <c r="A12" s="169">
        <v>58.93</v>
      </c>
      <c r="B12" s="169">
        <v>0.86</v>
      </c>
      <c r="C12" s="169">
        <v>43.2</v>
      </c>
      <c r="D12" s="8">
        <v>42983.416666666664</v>
      </c>
      <c r="E12" s="169">
        <v>0.56000000000000005</v>
      </c>
      <c r="F12" s="169" t="s">
        <v>453</v>
      </c>
      <c r="G12" s="169">
        <v>281.38</v>
      </c>
      <c r="H12" s="169">
        <v>0</v>
      </c>
      <c r="I12" s="169">
        <v>0</v>
      </c>
      <c r="J12" s="169">
        <v>1025.51</v>
      </c>
      <c r="K12" s="169" t="s">
        <v>527</v>
      </c>
      <c r="L12" s="169">
        <v>58.93</v>
      </c>
      <c r="M12" s="169">
        <v>1504627200</v>
      </c>
      <c r="N12" s="169">
        <v>2</v>
      </c>
      <c r="O12" s="169">
        <v>3.61</v>
      </c>
      <c r="P12" s="169">
        <v>25</v>
      </c>
      <c r="Q12" s="169">
        <v>6.5</v>
      </c>
      <c r="R12" s="169">
        <v>2.12</v>
      </c>
      <c r="S12"/>
    </row>
    <row r="13" spans="1:19" x14ac:dyDescent="0.25">
      <c r="A13" s="169">
        <v>61.39</v>
      </c>
      <c r="B13" s="169">
        <v>0.79</v>
      </c>
      <c r="C13" s="169">
        <v>43.4</v>
      </c>
      <c r="D13" s="8">
        <v>42983.458333333336</v>
      </c>
      <c r="E13" s="169">
        <v>0.52</v>
      </c>
      <c r="F13" s="169" t="s">
        <v>453</v>
      </c>
      <c r="G13" s="169">
        <v>281.85000000000002</v>
      </c>
      <c r="H13" s="169">
        <v>0</v>
      </c>
      <c r="I13" s="169">
        <v>0</v>
      </c>
      <c r="J13" s="169">
        <v>1024.98</v>
      </c>
      <c r="K13" s="169" t="s">
        <v>527</v>
      </c>
      <c r="L13" s="169">
        <v>61.39</v>
      </c>
      <c r="M13" s="169">
        <v>1504630800</v>
      </c>
      <c r="N13" s="169">
        <v>4</v>
      </c>
      <c r="O13" s="169">
        <v>3.71</v>
      </c>
      <c r="P13" s="169">
        <v>42</v>
      </c>
      <c r="Q13" s="169">
        <v>6.2</v>
      </c>
      <c r="R13" s="169">
        <v>1.28</v>
      </c>
      <c r="S13"/>
    </row>
    <row r="14" spans="1:19" x14ac:dyDescent="0.25">
      <c r="A14" s="169">
        <v>64.290000000000006</v>
      </c>
      <c r="B14" s="169">
        <v>0.47</v>
      </c>
      <c r="C14" s="169">
        <v>44.02</v>
      </c>
      <c r="D14" s="8">
        <v>42983.5</v>
      </c>
      <c r="E14" s="169">
        <v>0.48</v>
      </c>
      <c r="F14" s="169" t="s">
        <v>453</v>
      </c>
      <c r="G14" s="169">
        <v>279.49</v>
      </c>
      <c r="H14" s="169">
        <v>0</v>
      </c>
      <c r="I14" s="169">
        <v>0</v>
      </c>
      <c r="J14" s="169">
        <v>1023.5</v>
      </c>
      <c r="K14" s="169" t="s">
        <v>454</v>
      </c>
      <c r="L14" s="169">
        <v>64.290000000000006</v>
      </c>
      <c r="M14" s="169">
        <v>1504634400</v>
      </c>
      <c r="N14" s="169">
        <v>6</v>
      </c>
      <c r="O14" s="169">
        <v>3.68</v>
      </c>
      <c r="P14" s="169">
        <v>33</v>
      </c>
      <c r="Q14" s="169">
        <v>6.14</v>
      </c>
      <c r="R14" s="169">
        <v>1.46</v>
      </c>
      <c r="S14"/>
    </row>
    <row r="15" spans="1:19" x14ac:dyDescent="0.25">
      <c r="A15" s="169">
        <v>66.209999999999994</v>
      </c>
      <c r="B15" s="169">
        <v>0.16</v>
      </c>
      <c r="C15" s="169">
        <v>44.6</v>
      </c>
      <c r="D15" s="8">
        <v>42983.541666666664</v>
      </c>
      <c r="E15" s="169">
        <v>0.46</v>
      </c>
      <c r="F15" s="169" t="s">
        <v>373</v>
      </c>
      <c r="G15" s="169">
        <v>279.73</v>
      </c>
      <c r="H15" s="169">
        <v>0</v>
      </c>
      <c r="I15" s="169">
        <v>0</v>
      </c>
      <c r="J15" s="169">
        <v>1022.66</v>
      </c>
      <c r="K15" s="169" t="s">
        <v>374</v>
      </c>
      <c r="L15" s="169">
        <v>66.209999999999994</v>
      </c>
      <c r="M15" s="169">
        <v>1504638000</v>
      </c>
      <c r="N15" s="169">
        <v>8</v>
      </c>
      <c r="O15" s="169">
        <v>3.92</v>
      </c>
      <c r="P15" s="169">
        <v>38</v>
      </c>
      <c r="Q15" s="169">
        <v>6.28</v>
      </c>
      <c r="R15" s="169">
        <v>1.7</v>
      </c>
      <c r="S15"/>
    </row>
    <row r="16" spans="1:19" x14ac:dyDescent="0.25">
      <c r="A16" s="169">
        <v>67.91</v>
      </c>
      <c r="B16" s="169">
        <v>0.16</v>
      </c>
      <c r="C16" s="169">
        <v>45.05</v>
      </c>
      <c r="D16" s="8">
        <v>42983.583333333336</v>
      </c>
      <c r="E16" s="169">
        <v>0.44</v>
      </c>
      <c r="F16" s="169" t="s">
        <v>373</v>
      </c>
      <c r="G16" s="169">
        <v>280.2</v>
      </c>
      <c r="H16" s="169">
        <v>0</v>
      </c>
      <c r="I16" s="169">
        <v>0</v>
      </c>
      <c r="J16" s="169">
        <v>1021.84</v>
      </c>
      <c r="K16" s="169" t="s">
        <v>374</v>
      </c>
      <c r="L16" s="169">
        <v>67.91</v>
      </c>
      <c r="M16" s="169">
        <v>1504641600</v>
      </c>
      <c r="N16" s="169">
        <v>7</v>
      </c>
      <c r="O16" s="169">
        <v>3.96</v>
      </c>
      <c r="P16" s="169">
        <v>20</v>
      </c>
      <c r="Q16" s="169">
        <v>7.54</v>
      </c>
      <c r="R16" s="169">
        <v>1.38</v>
      </c>
      <c r="S16"/>
    </row>
    <row r="17" spans="1:19" x14ac:dyDescent="0.25">
      <c r="A17" s="169">
        <v>69.08</v>
      </c>
      <c r="B17" s="169">
        <v>0.13</v>
      </c>
      <c r="C17" s="169">
        <v>45.2</v>
      </c>
      <c r="D17" s="8">
        <v>42983.625</v>
      </c>
      <c r="E17" s="169">
        <v>0.42</v>
      </c>
      <c r="F17" s="169" t="s">
        <v>373</v>
      </c>
      <c r="G17" s="169">
        <v>280.56</v>
      </c>
      <c r="H17" s="169">
        <v>0</v>
      </c>
      <c r="I17" s="169">
        <v>0</v>
      </c>
      <c r="J17" s="169">
        <v>1021.36</v>
      </c>
      <c r="K17" s="169" t="s">
        <v>374</v>
      </c>
      <c r="L17" s="169">
        <v>69.08</v>
      </c>
      <c r="M17" s="169">
        <v>1504645200</v>
      </c>
      <c r="N17" s="169">
        <v>5</v>
      </c>
      <c r="O17" s="169">
        <v>3.71</v>
      </c>
      <c r="P17" s="169">
        <v>32</v>
      </c>
      <c r="Q17" s="169">
        <v>7.98</v>
      </c>
      <c r="R17" s="169">
        <v>2.54</v>
      </c>
      <c r="S17"/>
    </row>
    <row r="18" spans="1:19" x14ac:dyDescent="0.25">
      <c r="A18" s="169">
        <v>69.53</v>
      </c>
      <c r="B18" s="169">
        <v>0.04</v>
      </c>
      <c r="C18" s="169">
        <v>45.1</v>
      </c>
      <c r="D18" s="8">
        <v>42983.666666666664</v>
      </c>
      <c r="E18" s="169">
        <v>0.41</v>
      </c>
      <c r="F18" s="169" t="s">
        <v>373</v>
      </c>
      <c r="G18" s="169">
        <v>280.67</v>
      </c>
      <c r="H18" s="169">
        <v>0</v>
      </c>
      <c r="I18" s="169">
        <v>0</v>
      </c>
      <c r="J18" s="169">
        <v>1021.03</v>
      </c>
      <c r="K18" s="169" t="s">
        <v>374</v>
      </c>
      <c r="L18" s="169">
        <v>69.53</v>
      </c>
      <c r="M18" s="169">
        <v>1504648800</v>
      </c>
      <c r="N18" s="169">
        <v>3</v>
      </c>
      <c r="O18" s="169">
        <v>3.53</v>
      </c>
      <c r="P18" s="169">
        <v>27</v>
      </c>
      <c r="Q18" s="169">
        <v>7.5</v>
      </c>
      <c r="R18" s="169">
        <v>2.2799999999999998</v>
      </c>
      <c r="S18"/>
    </row>
    <row r="19" spans="1:19" x14ac:dyDescent="0.25">
      <c r="A19" s="169">
        <v>69.260000000000005</v>
      </c>
      <c r="B19" s="169">
        <v>0.05</v>
      </c>
      <c r="C19" s="169">
        <v>44.84</v>
      </c>
      <c r="D19" s="8">
        <v>42983.708333333336</v>
      </c>
      <c r="E19" s="169">
        <v>0.41</v>
      </c>
      <c r="F19" s="169" t="s">
        <v>373</v>
      </c>
      <c r="G19" s="169">
        <v>280.67</v>
      </c>
      <c r="H19" s="169">
        <v>0</v>
      </c>
      <c r="I19" s="169">
        <v>0</v>
      </c>
      <c r="J19" s="169">
        <v>1020.9</v>
      </c>
      <c r="K19" s="169" t="s">
        <v>374</v>
      </c>
      <c r="L19" s="169">
        <v>69.260000000000005</v>
      </c>
      <c r="M19" s="169">
        <v>1504652400</v>
      </c>
      <c r="N19" s="169">
        <v>2</v>
      </c>
      <c r="O19" s="169">
        <v>3.84</v>
      </c>
      <c r="P19" s="169">
        <v>28</v>
      </c>
      <c r="Q19" s="169">
        <v>6.71</v>
      </c>
      <c r="R19" s="169">
        <v>2.5499999999999998</v>
      </c>
      <c r="S19"/>
    </row>
    <row r="20" spans="1:19" x14ac:dyDescent="0.25">
      <c r="A20" s="169">
        <v>68.150000000000006</v>
      </c>
      <c r="B20" s="169">
        <v>0.02</v>
      </c>
      <c r="C20" s="169">
        <v>44.6</v>
      </c>
      <c r="D20" s="8">
        <v>42983.75</v>
      </c>
      <c r="E20" s="169">
        <v>0.43</v>
      </c>
      <c r="F20" s="169" t="s">
        <v>373</v>
      </c>
      <c r="G20" s="169">
        <v>282.55</v>
      </c>
      <c r="H20" s="169">
        <v>0</v>
      </c>
      <c r="I20" s="169">
        <v>0</v>
      </c>
      <c r="J20" s="169">
        <v>1021.29</v>
      </c>
      <c r="K20" s="169" t="s">
        <v>374</v>
      </c>
      <c r="L20" s="169">
        <v>68.150000000000006</v>
      </c>
      <c r="M20" s="169">
        <v>1504656000</v>
      </c>
      <c r="N20" s="169">
        <v>1</v>
      </c>
      <c r="O20" s="169">
        <v>3.61</v>
      </c>
      <c r="P20" s="169">
        <v>22</v>
      </c>
      <c r="Q20" s="169">
        <v>5.92</v>
      </c>
      <c r="R20" s="169">
        <v>2.2400000000000002</v>
      </c>
      <c r="S20"/>
    </row>
    <row r="21" spans="1:19" x14ac:dyDescent="0.25">
      <c r="A21" s="169">
        <v>65.819999999999993</v>
      </c>
      <c r="B21" s="169">
        <v>7.0000000000000007E-2</v>
      </c>
      <c r="C21" s="169">
        <v>44.28</v>
      </c>
      <c r="D21" s="8">
        <v>42983.791666666664</v>
      </c>
      <c r="E21" s="169">
        <v>0.46</v>
      </c>
      <c r="F21" s="169" t="s">
        <v>373</v>
      </c>
      <c r="G21" s="169">
        <v>282.77999999999997</v>
      </c>
      <c r="H21" s="169">
        <v>0</v>
      </c>
      <c r="I21" s="169">
        <v>0</v>
      </c>
      <c r="J21" s="169">
        <v>1021.67</v>
      </c>
      <c r="K21" s="169" t="s">
        <v>374</v>
      </c>
      <c r="L21" s="169">
        <v>65.819999999999993</v>
      </c>
      <c r="M21" s="169">
        <v>1504659600</v>
      </c>
      <c r="N21" s="169">
        <v>0</v>
      </c>
      <c r="O21" s="169">
        <v>3.71</v>
      </c>
      <c r="P21" s="169">
        <v>33</v>
      </c>
      <c r="Q21" s="169">
        <v>4.32</v>
      </c>
      <c r="R21" s="169">
        <v>1.77</v>
      </c>
      <c r="S21"/>
    </row>
    <row r="22" spans="1:19" x14ac:dyDescent="0.25">
      <c r="A22" s="169">
        <v>62.48</v>
      </c>
      <c r="B22" s="169">
        <v>0.02</v>
      </c>
      <c r="C22" s="169">
        <v>44.29</v>
      </c>
      <c r="D22" s="8">
        <v>42983.833333333336</v>
      </c>
      <c r="E22" s="169">
        <v>0.51</v>
      </c>
      <c r="F22" s="169" t="s">
        <v>375</v>
      </c>
      <c r="G22" s="169">
        <v>282.89999999999998</v>
      </c>
      <c r="H22" s="169">
        <v>0</v>
      </c>
      <c r="I22" s="169">
        <v>0</v>
      </c>
      <c r="J22" s="169">
        <v>1022.46</v>
      </c>
      <c r="K22" s="169" t="s">
        <v>374</v>
      </c>
      <c r="L22" s="169">
        <v>62.48</v>
      </c>
      <c r="M22" s="169">
        <v>1504663200</v>
      </c>
      <c r="N22" s="169">
        <v>0</v>
      </c>
      <c r="O22" s="169">
        <v>3.71</v>
      </c>
      <c r="P22" s="169">
        <v>55</v>
      </c>
      <c r="Q22" s="169">
        <v>2.4300000000000002</v>
      </c>
      <c r="R22" s="169">
        <v>1</v>
      </c>
      <c r="S22"/>
    </row>
    <row r="23" spans="1:19" x14ac:dyDescent="0.25">
      <c r="A23" s="169">
        <v>59.15</v>
      </c>
      <c r="B23" s="169">
        <v>0.06</v>
      </c>
      <c r="C23" s="169">
        <v>44.75</v>
      </c>
      <c r="D23" s="8">
        <v>42983.875</v>
      </c>
      <c r="E23" s="169">
        <v>0.59</v>
      </c>
      <c r="F23" s="169" t="s">
        <v>375</v>
      </c>
      <c r="G23" s="169">
        <v>283.13</v>
      </c>
      <c r="H23" s="169">
        <v>0</v>
      </c>
      <c r="I23" s="169">
        <v>0</v>
      </c>
      <c r="J23" s="169">
        <v>1023.22</v>
      </c>
      <c r="K23" s="169" t="s">
        <v>374</v>
      </c>
      <c r="L23" s="169">
        <v>59.15</v>
      </c>
      <c r="M23" s="169">
        <v>1504666800</v>
      </c>
      <c r="N23" s="169">
        <v>0</v>
      </c>
      <c r="O23" s="169">
        <v>5.12</v>
      </c>
      <c r="P23" s="169">
        <v>99</v>
      </c>
      <c r="Q23" s="169">
        <v>1.73</v>
      </c>
      <c r="R23" s="169">
        <v>0.57999999999999996</v>
      </c>
      <c r="S23"/>
    </row>
    <row r="24" spans="1:19" x14ac:dyDescent="0.25">
      <c r="A24" s="169">
        <v>57.06</v>
      </c>
      <c r="B24" s="169">
        <v>0</v>
      </c>
      <c r="C24" s="169">
        <v>44.81</v>
      </c>
      <c r="D24" s="8">
        <v>42983.916666666664</v>
      </c>
      <c r="E24" s="169">
        <v>0.64</v>
      </c>
      <c r="F24" s="169" t="s">
        <v>375</v>
      </c>
      <c r="G24" s="169">
        <v>283.37</v>
      </c>
      <c r="H24" s="169">
        <v>0</v>
      </c>
      <c r="I24" s="169">
        <v>0</v>
      </c>
      <c r="J24" s="169">
        <v>1023.32</v>
      </c>
      <c r="K24" s="169" t="s">
        <v>374</v>
      </c>
      <c r="L24" s="169">
        <v>57.06</v>
      </c>
      <c r="M24" s="169">
        <v>1504670400</v>
      </c>
      <c r="N24" s="169">
        <v>0</v>
      </c>
      <c r="O24" s="169">
        <v>4.62</v>
      </c>
      <c r="P24" s="169">
        <v>136</v>
      </c>
      <c r="Q24" s="169">
        <v>1.77</v>
      </c>
      <c r="R24" s="169">
        <v>0.68</v>
      </c>
      <c r="S24"/>
    </row>
    <row r="25" spans="1:19" x14ac:dyDescent="0.25">
      <c r="A25" s="169">
        <v>56.24</v>
      </c>
      <c r="B25" s="169">
        <v>0</v>
      </c>
      <c r="C25" s="169">
        <v>44.78</v>
      </c>
      <c r="D25" s="8">
        <v>42983.958333333336</v>
      </c>
      <c r="E25" s="169">
        <v>0.65</v>
      </c>
      <c r="F25" s="169" t="s">
        <v>375</v>
      </c>
      <c r="G25" s="169">
        <v>283.83</v>
      </c>
      <c r="H25" s="169">
        <v>0</v>
      </c>
      <c r="I25" s="169">
        <v>0</v>
      </c>
      <c r="J25" s="169">
        <v>1023.2</v>
      </c>
      <c r="K25" s="169" t="s">
        <v>374</v>
      </c>
      <c r="L25" s="169">
        <v>56.24</v>
      </c>
      <c r="M25" s="169">
        <v>1504674000</v>
      </c>
      <c r="N25" s="169">
        <v>0</v>
      </c>
      <c r="O25" s="169">
        <v>3.23</v>
      </c>
      <c r="P25" s="169">
        <v>166</v>
      </c>
      <c r="Q25" s="169">
        <v>2.0699999999999998</v>
      </c>
      <c r="R25" s="169">
        <v>0.67</v>
      </c>
      <c r="S25"/>
    </row>
    <row r="26" spans="1:19" x14ac:dyDescent="0.25">
      <c r="A26" s="169">
        <v>54.53</v>
      </c>
      <c r="B26" s="169">
        <v>0</v>
      </c>
      <c r="C26" s="169">
        <v>44.6</v>
      </c>
      <c r="D26" s="8">
        <v>42984</v>
      </c>
      <c r="E26" s="169">
        <v>0.69</v>
      </c>
      <c r="F26" s="169" t="s">
        <v>375</v>
      </c>
      <c r="G26" s="169">
        <v>283.95</v>
      </c>
      <c r="H26" s="169">
        <v>0</v>
      </c>
      <c r="I26" s="169">
        <v>0</v>
      </c>
      <c r="J26" s="169">
        <v>1022.55</v>
      </c>
      <c r="K26" s="169" t="s">
        <v>374</v>
      </c>
      <c r="L26" s="169">
        <v>54.53</v>
      </c>
      <c r="M26" s="169">
        <v>1504677600</v>
      </c>
      <c r="N26" s="169">
        <v>0</v>
      </c>
      <c r="O26" s="169">
        <v>3.43</v>
      </c>
      <c r="P26" s="169">
        <v>137</v>
      </c>
      <c r="Q26" s="169">
        <v>1.76</v>
      </c>
      <c r="R26" s="169">
        <v>0.68</v>
      </c>
      <c r="S26"/>
    </row>
    <row r="27" spans="1:19" x14ac:dyDescent="0.25">
      <c r="A27" s="169">
        <v>53.62</v>
      </c>
      <c r="B27" s="169">
        <v>0.01</v>
      </c>
      <c r="C27" s="169">
        <v>44.46</v>
      </c>
      <c r="D27" s="8">
        <v>42984.041666666664</v>
      </c>
      <c r="E27" s="169">
        <v>0.71</v>
      </c>
      <c r="F27" s="169" t="s">
        <v>375</v>
      </c>
      <c r="G27" s="169">
        <v>283.95</v>
      </c>
      <c r="H27" s="169">
        <v>0</v>
      </c>
      <c r="I27" s="169">
        <v>0</v>
      </c>
      <c r="J27" s="169">
        <v>1022.12</v>
      </c>
      <c r="K27" s="169" t="s">
        <v>374</v>
      </c>
      <c r="L27" s="169">
        <v>53.62</v>
      </c>
      <c r="M27" s="169">
        <v>1504681200</v>
      </c>
      <c r="N27" s="169">
        <v>0</v>
      </c>
      <c r="O27" s="169">
        <v>3.61</v>
      </c>
      <c r="P27" s="169">
        <v>158</v>
      </c>
      <c r="Q27" s="169">
        <v>1.84</v>
      </c>
      <c r="R27" s="169">
        <v>0.57999999999999996</v>
      </c>
      <c r="S27"/>
    </row>
    <row r="28" spans="1:19" x14ac:dyDescent="0.25">
      <c r="A28" s="169">
        <v>52.8</v>
      </c>
      <c r="B28" s="169">
        <v>0.06</v>
      </c>
      <c r="C28" s="169">
        <v>44.46</v>
      </c>
      <c r="D28" s="8">
        <v>42984.083333333336</v>
      </c>
      <c r="E28" s="169">
        <v>0.73</v>
      </c>
      <c r="F28" s="169" t="s">
        <v>375</v>
      </c>
      <c r="G28" s="169">
        <v>283.60000000000002</v>
      </c>
      <c r="H28" s="169">
        <v>0</v>
      </c>
      <c r="I28" s="169">
        <v>0</v>
      </c>
      <c r="J28" s="169">
        <v>1021.71</v>
      </c>
      <c r="K28" s="169" t="s">
        <v>374</v>
      </c>
      <c r="L28" s="169">
        <v>52.8</v>
      </c>
      <c r="M28" s="169">
        <v>1504684800</v>
      </c>
      <c r="N28" s="169">
        <v>0</v>
      </c>
      <c r="O28" s="169">
        <v>3.53</v>
      </c>
      <c r="P28" s="169">
        <v>239</v>
      </c>
      <c r="Q28" s="169">
        <v>1.88</v>
      </c>
      <c r="R28" s="169">
        <v>0.54</v>
      </c>
      <c r="S28"/>
    </row>
    <row r="29" spans="1:19" x14ac:dyDescent="0.25">
      <c r="A29" s="169">
        <v>51.89</v>
      </c>
      <c r="B29" s="169">
        <v>0.01</v>
      </c>
      <c r="C29" s="169">
        <v>44.21</v>
      </c>
      <c r="D29" s="8">
        <v>42984.125</v>
      </c>
      <c r="E29" s="169">
        <v>0.75</v>
      </c>
      <c r="F29" s="169" t="s">
        <v>375</v>
      </c>
      <c r="G29" s="169">
        <v>283.49</v>
      </c>
      <c r="H29" s="169">
        <v>0</v>
      </c>
      <c r="I29" s="169">
        <v>0</v>
      </c>
      <c r="J29" s="169">
        <v>1021.38</v>
      </c>
      <c r="K29" s="169" t="s">
        <v>374</v>
      </c>
      <c r="L29" s="169">
        <v>51.89</v>
      </c>
      <c r="M29" s="169">
        <v>1504688400</v>
      </c>
      <c r="N29" s="169">
        <v>0</v>
      </c>
      <c r="O29" s="169">
        <v>3.53</v>
      </c>
      <c r="P29" s="169">
        <v>180</v>
      </c>
      <c r="Q29" s="169">
        <v>2.2200000000000002</v>
      </c>
      <c r="R29" s="169">
        <v>0.32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356</v>
      </c>
      <c r="AE2" s="56" t="s">
        <v>359</v>
      </c>
      <c r="AF2" s="56" t="s">
        <v>360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361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976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977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981</v>
      </c>
      <c r="J25" s="140" t="s">
        <v>146</v>
      </c>
      <c r="M25" s="154" t="b">
        <v>1</v>
      </c>
    </row>
    <row r="26" spans="3:24" x14ac:dyDescent="0.25">
      <c r="C26" t="s">
        <v>982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C:\Users\stu\Documents\GitHub\eaglep3-reporting\EC\2017-09-05-refined-times.txt</v>
      </c>
    </row>
    <row r="27" spans="3:24" x14ac:dyDescent="0.25">
      <c r="C27" t="s">
        <v>983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C:\Users\stu\Documents\GitHub\eaglep3-reporting\EC\2017-09-05-Enforcements.txt</v>
      </c>
    </row>
    <row r="28" spans="3:24" x14ac:dyDescent="0.25">
      <c r="C28" t="s">
        <v>565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C:\Users\stu\Documents\GitHub\eaglep3-reporting\EC\2017-09-05-Runs-refined.txt</v>
      </c>
    </row>
    <row r="29" spans="3:24" x14ac:dyDescent="0.25">
      <c r="C29" t="s">
        <v>984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C:\Users\stu\Documents\GitHub\eaglep3-reporting\EC\2017-09-05-Trips.txt</v>
      </c>
    </row>
    <row r="30" spans="3:24" x14ac:dyDescent="0.25">
      <c r="C30" t="s">
        <v>985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C:\Users\stu\Documents\GitHub\eaglep3-reporting\EC\2017-09-05-Weather.txt</v>
      </c>
    </row>
    <row r="31" spans="3:24" x14ac:dyDescent="0.25">
      <c r="C31" t="s">
        <v>986</v>
      </c>
      <c r="J31" s="140" t="s">
        <v>193</v>
      </c>
      <c r="M31" s="154" t="s">
        <v>194</v>
      </c>
    </row>
    <row r="32" spans="3:24" x14ac:dyDescent="0.25">
      <c r="C32" t="s">
        <v>987</v>
      </c>
    </row>
    <row r="33" spans="3:3" x14ac:dyDescent="0.25">
      <c r="C33" t="s">
        <v>988</v>
      </c>
    </row>
    <row r="34" spans="3:3" x14ac:dyDescent="0.25">
      <c r="C34" t="s">
        <v>989</v>
      </c>
    </row>
    <row r="35" spans="3:3" x14ac:dyDescent="0.25">
      <c r="C35" t="s">
        <v>990</v>
      </c>
    </row>
    <row r="36" spans="3:3" x14ac:dyDescent="0.25">
      <c r="C36" t="s">
        <v>991</v>
      </c>
    </row>
    <row r="37" spans="3:3" x14ac:dyDescent="0.25">
      <c r="C37" t="s">
        <v>992</v>
      </c>
    </row>
    <row r="38" spans="3:3" x14ac:dyDescent="0.25">
      <c r="C38" t="s">
        <v>993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2017-09-06T15:41:11Z</dcterms:modified>
</cp:coreProperties>
</file>