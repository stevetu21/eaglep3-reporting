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mcdowell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Enforcements!$A$6:$AC$39</definedName>
    <definedName name="_xlnm._FilterDatabase" localSheetId="2" hidden="1">'Missing Trips'!$A$2:$J$26</definedName>
    <definedName name="_xlnm._FilterDatabase" localSheetId="0" hidden="1">'Train Runs'!$A$12:$AG$411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Runs'!$A$12:$J$80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11" i="1" l="1"/>
  <c r="L211" i="1"/>
  <c r="M211" i="1"/>
  <c r="N211" i="1" s="1"/>
  <c r="V211" i="1"/>
  <c r="AA211" i="1"/>
  <c r="AB211" i="1"/>
  <c r="AC211" i="1"/>
  <c r="AD211" i="1"/>
  <c r="T211" i="1" s="1"/>
  <c r="AE211" i="1"/>
  <c r="AF211" i="1"/>
  <c r="AH211" i="1"/>
  <c r="AM211" i="1"/>
  <c r="AN211" i="1"/>
  <c r="AO211" i="1"/>
  <c r="K207" i="1"/>
  <c r="L207" i="1"/>
  <c r="M207" i="1"/>
  <c r="N207" i="1" s="1"/>
  <c r="V207" i="1"/>
  <c r="AA207" i="1"/>
  <c r="AB207" i="1"/>
  <c r="AC207" i="1"/>
  <c r="AD207" i="1"/>
  <c r="T207" i="1" s="1"/>
  <c r="AE207" i="1"/>
  <c r="AF207" i="1"/>
  <c r="AH207" i="1"/>
  <c r="AM207" i="1"/>
  <c r="AN207" i="1"/>
  <c r="AO207" i="1"/>
  <c r="K201" i="1"/>
  <c r="L201" i="1"/>
  <c r="M201" i="1"/>
  <c r="N201" i="1" s="1"/>
  <c r="V201" i="1"/>
  <c r="AA201" i="1"/>
  <c r="AB201" i="1"/>
  <c r="AC201" i="1"/>
  <c r="AD201" i="1"/>
  <c r="T201" i="1" s="1"/>
  <c r="AE201" i="1"/>
  <c r="AF201" i="1"/>
  <c r="AH201" i="1"/>
  <c r="AM201" i="1"/>
  <c r="AN201" i="1"/>
  <c r="AO201" i="1"/>
  <c r="K195" i="1"/>
  <c r="L195" i="1"/>
  <c r="M195" i="1"/>
  <c r="N195" i="1" s="1"/>
  <c r="V195" i="1"/>
  <c r="AA195" i="1"/>
  <c r="AB195" i="1"/>
  <c r="AC195" i="1"/>
  <c r="AD195" i="1"/>
  <c r="T195" i="1" s="1"/>
  <c r="AE195" i="1"/>
  <c r="AF195" i="1"/>
  <c r="AH195" i="1"/>
  <c r="AM195" i="1"/>
  <c r="AN195" i="1"/>
  <c r="AO195" i="1"/>
  <c r="K191" i="1"/>
  <c r="L191" i="1"/>
  <c r="M191" i="1"/>
  <c r="N191" i="1" s="1"/>
  <c r="V191" i="1"/>
  <c r="AA191" i="1"/>
  <c r="AB191" i="1"/>
  <c r="AC191" i="1"/>
  <c r="AD191" i="1"/>
  <c r="T191" i="1" s="1"/>
  <c r="AE191" i="1"/>
  <c r="AF191" i="1"/>
  <c r="AH191" i="1"/>
  <c r="AM191" i="1"/>
  <c r="AN191" i="1"/>
  <c r="AO191" i="1"/>
  <c r="K151" i="1"/>
  <c r="L151" i="1"/>
  <c r="M151" i="1"/>
  <c r="N151" i="1" s="1"/>
  <c r="V151" i="1"/>
  <c r="AA151" i="1"/>
  <c r="AB151" i="1"/>
  <c r="AC151" i="1"/>
  <c r="AD151" i="1"/>
  <c r="T151" i="1" s="1"/>
  <c r="AE151" i="1"/>
  <c r="AF151" i="1"/>
  <c r="AH151" i="1"/>
  <c r="AM151" i="1"/>
  <c r="AN151" i="1"/>
  <c r="AO151" i="1"/>
  <c r="K150" i="1"/>
  <c r="L150" i="1"/>
  <c r="M150" i="1"/>
  <c r="N150" i="1"/>
  <c r="V150" i="1"/>
  <c r="Y150" i="1"/>
  <c r="Z150" i="1"/>
  <c r="AA150" i="1" s="1"/>
  <c r="AB150" i="1"/>
  <c r="AC150" i="1"/>
  <c r="AD150" i="1"/>
  <c r="T150" i="1" s="1"/>
  <c r="AE150" i="1"/>
  <c r="AF150" i="1"/>
  <c r="AG211" i="1"/>
  <c r="AG207" i="1"/>
  <c r="AG201" i="1"/>
  <c r="AG195" i="1"/>
  <c r="AG191" i="1"/>
  <c r="AG151" i="1"/>
  <c r="AG150" i="1"/>
  <c r="AI211" i="1" l="1"/>
  <c r="U211" i="1"/>
  <c r="S211" i="1" s="1"/>
  <c r="W211" i="1"/>
  <c r="AI207" i="1"/>
  <c r="U207" i="1"/>
  <c r="S207" i="1" s="1"/>
  <c r="W207" i="1"/>
  <c r="AI201" i="1"/>
  <c r="U201" i="1"/>
  <c r="S201" i="1" s="1"/>
  <c r="W201" i="1"/>
  <c r="AI195" i="1"/>
  <c r="U195" i="1"/>
  <c r="S195" i="1" s="1"/>
  <c r="W195" i="1"/>
  <c r="AI191" i="1"/>
  <c r="U191" i="1"/>
  <c r="S191" i="1" s="1"/>
  <c r="W191" i="1"/>
  <c r="U151" i="1"/>
  <c r="S151" i="1" s="1"/>
  <c r="AI151" i="1"/>
  <c r="W151" i="1"/>
  <c r="X151" i="1"/>
  <c r="U150" i="1"/>
  <c r="S150" i="1" s="1"/>
  <c r="W150" i="1"/>
  <c r="X150" i="1"/>
  <c r="AH150" i="1"/>
  <c r="AI150" i="1"/>
  <c r="AM150" i="1"/>
  <c r="AN150" i="1"/>
  <c r="AO150" i="1"/>
  <c r="K148" i="1"/>
  <c r="L148" i="1"/>
  <c r="M148" i="1"/>
  <c r="N148" i="1" s="1"/>
  <c r="V148" i="1"/>
  <c r="AA148" i="1"/>
  <c r="AB148" i="1"/>
  <c r="AC148" i="1"/>
  <c r="AD148" i="1"/>
  <c r="T148" i="1" s="1"/>
  <c r="AE148" i="1"/>
  <c r="AF148" i="1"/>
  <c r="AH148" i="1"/>
  <c r="AM148" i="1"/>
  <c r="AN148" i="1"/>
  <c r="AO148" i="1"/>
  <c r="K135" i="1"/>
  <c r="L135" i="1"/>
  <c r="M135" i="1"/>
  <c r="N135" i="1" s="1"/>
  <c r="V135" i="1"/>
  <c r="AA135" i="1"/>
  <c r="AB135" i="1"/>
  <c r="AC135" i="1"/>
  <c r="AD135" i="1"/>
  <c r="T135" i="1" s="1"/>
  <c r="AE135" i="1"/>
  <c r="AF135" i="1"/>
  <c r="AH135" i="1"/>
  <c r="AM135" i="1"/>
  <c r="AN135" i="1"/>
  <c r="AO135" i="1"/>
  <c r="K107" i="1"/>
  <c r="L107" i="1"/>
  <c r="M107" i="1"/>
  <c r="N107" i="1" s="1"/>
  <c r="V107" i="1"/>
  <c r="AA107" i="1"/>
  <c r="AB107" i="1"/>
  <c r="AC107" i="1"/>
  <c r="AD107" i="1"/>
  <c r="T107" i="1" s="1"/>
  <c r="AE107" i="1"/>
  <c r="AF107" i="1"/>
  <c r="AH107" i="1"/>
  <c r="AM107" i="1"/>
  <c r="AN107" i="1"/>
  <c r="AO107" i="1"/>
  <c r="P92" i="1"/>
  <c r="K14" i="1"/>
  <c r="L14" i="1"/>
  <c r="M14" i="1"/>
  <c r="N14" i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A17" i="1" s="1"/>
  <c r="AB17" i="1"/>
  <c r="AC17" i="1"/>
  <c r="AD17" i="1"/>
  <c r="T17" i="1" s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AO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AO22" i="1"/>
  <c r="K23" i="1"/>
  <c r="L23" i="1"/>
  <c r="M23" i="1"/>
  <c r="N23" i="1" s="1"/>
  <c r="V23" i="1"/>
  <c r="S13" i="3" s="1"/>
  <c r="Y23" i="1"/>
  <c r="Z23" i="1"/>
  <c r="AB23" i="1"/>
  <c r="AC23" i="1"/>
  <c r="AD23" i="1"/>
  <c r="AE23" i="1"/>
  <c r="R13" i="3" s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AO26" i="1"/>
  <c r="K27" i="1"/>
  <c r="L27" i="1"/>
  <c r="M27" i="1"/>
  <c r="N27" i="1"/>
  <c r="V27" i="1"/>
  <c r="Y27" i="1"/>
  <c r="Z27" i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/>
  <c r="V28" i="1"/>
  <c r="Y28" i="1"/>
  <c r="Z28" i="1"/>
  <c r="AA28" i="1"/>
  <c r="AB28" i="1"/>
  <c r="AC28" i="1"/>
  <c r="AD28" i="1"/>
  <c r="T28" i="1" s="1"/>
  <c r="AE28" i="1"/>
  <c r="R10" i="3" s="1"/>
  <c r="AF28" i="1"/>
  <c r="AH28" i="1"/>
  <c r="AM28" i="1"/>
  <c r="AN28" i="1"/>
  <c r="AO28" i="1"/>
  <c r="K29" i="1"/>
  <c r="L29" i="1"/>
  <c r="M29" i="1"/>
  <c r="N29" i="1" s="1"/>
  <c r="V29" i="1"/>
  <c r="Y29" i="1"/>
  <c r="Z29" i="1"/>
  <c r="AA29" i="1" s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 s="1"/>
  <c r="V34" i="1"/>
  <c r="S16" i="3" s="1"/>
  <c r="X34" i="1"/>
  <c r="Y34" i="1"/>
  <c r="Z34" i="1"/>
  <c r="AB34" i="1"/>
  <c r="AC34" i="1"/>
  <c r="AD34" i="1"/>
  <c r="T34" i="1" s="1"/>
  <c r="AE34" i="1"/>
  <c r="R16" i="3" s="1"/>
  <c r="AF34" i="1"/>
  <c r="AH34" i="1"/>
  <c r="AM34" i="1"/>
  <c r="AN34" i="1"/>
  <c r="AO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AH36" i="1"/>
  <c r="AM36" i="1"/>
  <c r="AN36" i="1"/>
  <c r="AO36" i="1"/>
  <c r="K37" i="1"/>
  <c r="L37" i="1"/>
  <c r="M37" i="1"/>
  <c r="P37" i="1" s="1"/>
  <c r="V37" i="1"/>
  <c r="Y37" i="1"/>
  <c r="Z37" i="1"/>
  <c r="AB37" i="1"/>
  <c r="AC37" i="1"/>
  <c r="AD37" i="1"/>
  <c r="AE37" i="1"/>
  <c r="AF37" i="1"/>
  <c r="AH37" i="1"/>
  <c r="AM37" i="1"/>
  <c r="AN37" i="1"/>
  <c r="AO37" i="1"/>
  <c r="K38" i="1"/>
  <c r="L38" i="1"/>
  <c r="M38" i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AO38" i="1"/>
  <c r="K39" i="1"/>
  <c r="L39" i="1"/>
  <c r="M39" i="1"/>
  <c r="N39" i="1"/>
  <c r="V39" i="1"/>
  <c r="S22" i="3" s="1"/>
  <c r="Y39" i="1"/>
  <c r="Z39" i="1"/>
  <c r="AB39" i="1"/>
  <c r="AC39" i="1"/>
  <c r="AD39" i="1"/>
  <c r="AE39" i="1"/>
  <c r="AF39" i="1"/>
  <c r="AH39" i="1"/>
  <c r="AM39" i="1"/>
  <c r="AN39" i="1"/>
  <c r="AO39" i="1"/>
  <c r="K40" i="1"/>
  <c r="L40" i="1"/>
  <c r="M40" i="1"/>
  <c r="N40" i="1"/>
  <c r="V40" i="1"/>
  <c r="Y40" i="1"/>
  <c r="Z40" i="1"/>
  <c r="AB40" i="1"/>
  <c r="AC40" i="1"/>
  <c r="AD40" i="1"/>
  <c r="T40" i="1" s="1"/>
  <c r="AE40" i="1"/>
  <c r="AF40" i="1"/>
  <c r="AH40" i="1"/>
  <c r="AM40" i="1"/>
  <c r="AN40" i="1"/>
  <c r="AO40" i="1"/>
  <c r="K41" i="1"/>
  <c r="L41" i="1"/>
  <c r="M41" i="1"/>
  <c r="N41" i="1"/>
  <c r="V41" i="1"/>
  <c r="Y41" i="1"/>
  <c r="Z41" i="1"/>
  <c r="AB41" i="1"/>
  <c r="AC41" i="1"/>
  <c r="AD41" i="1"/>
  <c r="AE41" i="1"/>
  <c r="AF41" i="1"/>
  <c r="AH41" i="1"/>
  <c r="AM41" i="1"/>
  <c r="AN41" i="1"/>
  <c r="AO41" i="1"/>
  <c r="K42" i="1"/>
  <c r="L42" i="1"/>
  <c r="M42" i="1"/>
  <c r="N42" i="1"/>
  <c r="V42" i="1"/>
  <c r="Y42" i="1"/>
  <c r="Z42" i="1"/>
  <c r="AB42" i="1"/>
  <c r="AC42" i="1"/>
  <c r="AD42" i="1"/>
  <c r="X42" i="1" s="1"/>
  <c r="AE42" i="1"/>
  <c r="AF42" i="1"/>
  <c r="AH42" i="1"/>
  <c r="AM42" i="1"/>
  <c r="AN42" i="1"/>
  <c r="AO42" i="1"/>
  <c r="K43" i="1"/>
  <c r="L43" i="1"/>
  <c r="M43" i="1"/>
  <c r="N43" i="1" s="1"/>
  <c r="V43" i="1"/>
  <c r="S19" i="3" s="1"/>
  <c r="Y43" i="1"/>
  <c r="Z43" i="1"/>
  <c r="AB43" i="1"/>
  <c r="AC43" i="1"/>
  <c r="AD43" i="1"/>
  <c r="AE43" i="1"/>
  <c r="R19" i="3" s="1"/>
  <c r="AF43" i="1"/>
  <c r="AH43" i="1"/>
  <c r="AM43" i="1"/>
  <c r="AN43" i="1"/>
  <c r="AO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AM44" i="1"/>
  <c r="AN44" i="1"/>
  <c r="AO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A46" i="1"/>
  <c r="AB46" i="1"/>
  <c r="AC46" i="1"/>
  <c r="AD46" i="1"/>
  <c r="T46" i="1" s="1"/>
  <c r="AE46" i="1"/>
  <c r="AF46" i="1"/>
  <c r="AH46" i="1"/>
  <c r="AM46" i="1"/>
  <c r="AN46" i="1"/>
  <c r="AO46" i="1"/>
  <c r="K47" i="1"/>
  <c r="L47" i="1"/>
  <c r="M47" i="1"/>
  <c r="N47" i="1" s="1"/>
  <c r="V47" i="1"/>
  <c r="Y47" i="1"/>
  <c r="Z47" i="1"/>
  <c r="AB47" i="1"/>
  <c r="AC47" i="1"/>
  <c r="AD47" i="1"/>
  <c r="AE47" i="1"/>
  <c r="R7" i="3" s="1"/>
  <c r="AF47" i="1"/>
  <c r="AH47" i="1"/>
  <c r="AM47" i="1"/>
  <c r="AN47" i="1"/>
  <c r="AO47" i="1"/>
  <c r="K48" i="1"/>
  <c r="L48" i="1"/>
  <c r="M48" i="1"/>
  <c r="N48" i="1" s="1"/>
  <c r="V48" i="1"/>
  <c r="X48" i="1"/>
  <c r="Y48" i="1"/>
  <c r="Z48" i="1"/>
  <c r="AB48" i="1"/>
  <c r="AC48" i="1"/>
  <c r="AD48" i="1"/>
  <c r="T48" i="1" s="1"/>
  <c r="AE48" i="1"/>
  <c r="AF48" i="1"/>
  <c r="AH48" i="1"/>
  <c r="AM48" i="1"/>
  <c r="AN48" i="1"/>
  <c r="AO48" i="1"/>
  <c r="K49" i="1"/>
  <c r="L49" i="1"/>
  <c r="M49" i="1"/>
  <c r="N49" i="1"/>
  <c r="V49" i="1"/>
  <c r="Y49" i="1"/>
  <c r="Z49" i="1"/>
  <c r="AA49" i="1" s="1"/>
  <c r="AB49" i="1"/>
  <c r="AC49" i="1"/>
  <c r="AD49" i="1"/>
  <c r="AE49" i="1"/>
  <c r="AF49" i="1"/>
  <c r="AH49" i="1"/>
  <c r="AM49" i="1"/>
  <c r="AN49" i="1"/>
  <c r="AO49" i="1"/>
  <c r="K50" i="1"/>
  <c r="L50" i="1"/>
  <c r="M50" i="1"/>
  <c r="N50" i="1"/>
  <c r="V50" i="1"/>
  <c r="Y50" i="1"/>
  <c r="Z50" i="1"/>
  <c r="AA50" i="1" s="1"/>
  <c r="AB50" i="1"/>
  <c r="AC50" i="1"/>
  <c r="AD50" i="1"/>
  <c r="T50" i="1" s="1"/>
  <c r="AE50" i="1"/>
  <c r="AF50" i="1"/>
  <c r="AH50" i="1"/>
  <c r="AM50" i="1"/>
  <c r="AN50" i="1"/>
  <c r="AO50" i="1"/>
  <c r="K51" i="1"/>
  <c r="L51" i="1"/>
  <c r="M51" i="1"/>
  <c r="N51" i="1" s="1"/>
  <c r="V51" i="1"/>
  <c r="Y51" i="1"/>
  <c r="Z51" i="1"/>
  <c r="AB51" i="1"/>
  <c r="AC51" i="1"/>
  <c r="AD51" i="1"/>
  <c r="X51" i="1" s="1"/>
  <c r="AE51" i="1"/>
  <c r="AF51" i="1"/>
  <c r="AH51" i="1"/>
  <c r="AM51" i="1"/>
  <c r="AN51" i="1"/>
  <c r="AO51" i="1"/>
  <c r="K52" i="1"/>
  <c r="L52" i="1"/>
  <c r="M52" i="1"/>
  <c r="N52" i="1" s="1"/>
  <c r="V52" i="1"/>
  <c r="Y52" i="1"/>
  <c r="Z52" i="1"/>
  <c r="AB52" i="1"/>
  <c r="AC52" i="1"/>
  <c r="AD52" i="1"/>
  <c r="X52" i="1" s="1"/>
  <c r="AE52" i="1"/>
  <c r="AF52" i="1"/>
  <c r="AH52" i="1"/>
  <c r="AM52" i="1"/>
  <c r="AN52" i="1"/>
  <c r="AO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AO53" i="1"/>
  <c r="K54" i="1"/>
  <c r="L54" i="1"/>
  <c r="M54" i="1"/>
  <c r="N54" i="1" s="1"/>
  <c r="V54" i="1"/>
  <c r="Y54" i="1"/>
  <c r="Z54" i="1"/>
  <c r="AB54" i="1"/>
  <c r="AC54" i="1"/>
  <c r="AD54" i="1"/>
  <c r="X54" i="1" s="1"/>
  <c r="AE54" i="1"/>
  <c r="AF54" i="1"/>
  <c r="AH54" i="1"/>
  <c r="AM54" i="1"/>
  <c r="AN54" i="1"/>
  <c r="AO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AO55" i="1"/>
  <c r="K56" i="1"/>
  <c r="L56" i="1"/>
  <c r="M56" i="1"/>
  <c r="N56" i="1" s="1"/>
  <c r="V56" i="1"/>
  <c r="Y56" i="1"/>
  <c r="Z56" i="1"/>
  <c r="AB56" i="1"/>
  <c r="AC56" i="1"/>
  <c r="AD56" i="1"/>
  <c r="X56" i="1" s="1"/>
  <c r="AE56" i="1"/>
  <c r="AF56" i="1"/>
  <c r="AH56" i="1"/>
  <c r="AM56" i="1"/>
  <c r="AN56" i="1"/>
  <c r="AO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AM57" i="1"/>
  <c r="AN57" i="1"/>
  <c r="AO57" i="1"/>
  <c r="K58" i="1"/>
  <c r="L58" i="1"/>
  <c r="M58" i="1"/>
  <c r="N58" i="1" s="1"/>
  <c r="V58" i="1"/>
  <c r="Y58" i="1"/>
  <c r="Z58" i="1"/>
  <c r="AA58" i="1" s="1"/>
  <c r="AB58" i="1"/>
  <c r="AC58" i="1"/>
  <c r="AD58" i="1"/>
  <c r="T58" i="1" s="1"/>
  <c r="AE58" i="1"/>
  <c r="AF58" i="1"/>
  <c r="AH58" i="1"/>
  <c r="AM58" i="1"/>
  <c r="AN58" i="1"/>
  <c r="AO58" i="1"/>
  <c r="K59" i="1"/>
  <c r="L59" i="1"/>
  <c r="M59" i="1"/>
  <c r="N59" i="1" s="1"/>
  <c r="V59" i="1"/>
  <c r="Y59" i="1"/>
  <c r="Z59" i="1"/>
  <c r="AA59" i="1" s="1"/>
  <c r="AB59" i="1"/>
  <c r="AC59" i="1"/>
  <c r="AD59" i="1"/>
  <c r="AE59" i="1"/>
  <c r="AF59" i="1"/>
  <c r="AH59" i="1"/>
  <c r="AM59" i="1"/>
  <c r="AN59" i="1"/>
  <c r="AO59" i="1"/>
  <c r="K60" i="1"/>
  <c r="L60" i="1"/>
  <c r="M60" i="1"/>
  <c r="N60" i="1" s="1"/>
  <c r="V60" i="1"/>
  <c r="X60" i="1"/>
  <c r="Y60" i="1"/>
  <c r="Z60" i="1"/>
  <c r="AB60" i="1"/>
  <c r="AC60" i="1"/>
  <c r="AD60" i="1"/>
  <c r="T60" i="1" s="1"/>
  <c r="AE60" i="1"/>
  <c r="AF60" i="1"/>
  <c r="AH60" i="1"/>
  <c r="AM60" i="1"/>
  <c r="AN60" i="1"/>
  <c r="AO60" i="1"/>
  <c r="K61" i="1"/>
  <c r="L61" i="1"/>
  <c r="M61" i="1"/>
  <c r="N61" i="1" s="1"/>
  <c r="T61" i="1"/>
  <c r="V61" i="1"/>
  <c r="Y61" i="1"/>
  <c r="Z61" i="1"/>
  <c r="AB61" i="1"/>
  <c r="AC61" i="1"/>
  <c r="AD61" i="1"/>
  <c r="X61" i="1" s="1"/>
  <c r="AE61" i="1"/>
  <c r="AF61" i="1"/>
  <c r="AH61" i="1"/>
  <c r="AM61" i="1"/>
  <c r="AN61" i="1"/>
  <c r="AO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AO62" i="1"/>
  <c r="K63" i="1"/>
  <c r="L63" i="1"/>
  <c r="M63" i="1"/>
  <c r="N63" i="1"/>
  <c r="V63" i="1"/>
  <c r="Y63" i="1"/>
  <c r="Z63" i="1"/>
  <c r="AA63" i="1"/>
  <c r="AB63" i="1"/>
  <c r="AC63" i="1"/>
  <c r="AD63" i="1"/>
  <c r="AE63" i="1"/>
  <c r="AF63" i="1"/>
  <c r="AH63" i="1"/>
  <c r="AM63" i="1"/>
  <c r="AN63" i="1"/>
  <c r="AO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AO64" i="1"/>
  <c r="K65" i="1"/>
  <c r="L65" i="1"/>
  <c r="M65" i="1"/>
  <c r="N65" i="1" s="1"/>
  <c r="V65" i="1"/>
  <c r="S20" i="3" s="1"/>
  <c r="Y65" i="1"/>
  <c r="Z65" i="1"/>
  <c r="AB65" i="1"/>
  <c r="AC65" i="1"/>
  <c r="AD65" i="1"/>
  <c r="X65" i="1" s="1"/>
  <c r="AE65" i="1"/>
  <c r="R8" i="3" s="1"/>
  <c r="AF65" i="1"/>
  <c r="AH65" i="1"/>
  <c r="AM65" i="1"/>
  <c r="AN65" i="1"/>
  <c r="AO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AO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AM67" i="1"/>
  <c r="AN67" i="1"/>
  <c r="AO67" i="1"/>
  <c r="K68" i="1"/>
  <c r="L68" i="1"/>
  <c r="M68" i="1"/>
  <c r="P68" i="1" s="1"/>
  <c r="V68" i="1"/>
  <c r="S12" i="3" s="1"/>
  <c r="Y68" i="1"/>
  <c r="Z68" i="1"/>
  <c r="AB68" i="1"/>
  <c r="AC68" i="1"/>
  <c r="AD68" i="1"/>
  <c r="X68" i="1" s="1"/>
  <c r="AE68" i="1"/>
  <c r="R12" i="3" s="1"/>
  <c r="AF68" i="1"/>
  <c r="AH68" i="1"/>
  <c r="AM68" i="1"/>
  <c r="AN68" i="1"/>
  <c r="AO68" i="1"/>
  <c r="K69" i="1"/>
  <c r="L69" i="1"/>
  <c r="M69" i="1"/>
  <c r="V69" i="1"/>
  <c r="Y69" i="1"/>
  <c r="Z69" i="1"/>
  <c r="AB69" i="1"/>
  <c r="AC69" i="1"/>
  <c r="AD69" i="1"/>
  <c r="X69" i="1" s="1"/>
  <c r="AE69" i="1"/>
  <c r="AF69" i="1"/>
  <c r="AH69" i="1"/>
  <c r="AM69" i="1"/>
  <c r="AN69" i="1"/>
  <c r="AO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AM70" i="1"/>
  <c r="AN70" i="1"/>
  <c r="AO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AO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AO72" i="1"/>
  <c r="K73" i="1"/>
  <c r="L73" i="1"/>
  <c r="M73" i="1"/>
  <c r="N73" i="1" s="1"/>
  <c r="V73" i="1"/>
  <c r="Y73" i="1"/>
  <c r="AA73" i="1" s="1"/>
  <c r="Z73" i="1"/>
  <c r="AB73" i="1"/>
  <c r="AC73" i="1"/>
  <c r="AD73" i="1"/>
  <c r="T73" i="1" s="1"/>
  <c r="AE73" i="1"/>
  <c r="AF73" i="1"/>
  <c r="AH73" i="1"/>
  <c r="AM73" i="1"/>
  <c r="AN73" i="1"/>
  <c r="AO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AO75" i="1"/>
  <c r="K76" i="1"/>
  <c r="L76" i="1"/>
  <c r="M76" i="1"/>
  <c r="N76" i="1"/>
  <c r="V76" i="1"/>
  <c r="Y76" i="1"/>
  <c r="Z76" i="1"/>
  <c r="AA76" i="1"/>
  <c r="AB76" i="1"/>
  <c r="AC76" i="1"/>
  <c r="AD76" i="1"/>
  <c r="T76" i="1" s="1"/>
  <c r="AE76" i="1"/>
  <c r="AF76" i="1"/>
  <c r="AH76" i="1"/>
  <c r="AM76" i="1"/>
  <c r="AN76" i="1"/>
  <c r="AO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AO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AO78" i="1"/>
  <c r="K79" i="1"/>
  <c r="L79" i="1"/>
  <c r="M79" i="1"/>
  <c r="N79" i="1" s="1"/>
  <c r="V79" i="1"/>
  <c r="Y79" i="1"/>
  <c r="AA79" i="1" s="1"/>
  <c r="Z79" i="1"/>
  <c r="AB79" i="1"/>
  <c r="AC79" i="1"/>
  <c r="AD79" i="1"/>
  <c r="AE79" i="1"/>
  <c r="AF79" i="1"/>
  <c r="AH79" i="1"/>
  <c r="AM79" i="1"/>
  <c r="AN79" i="1"/>
  <c r="AO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AO80" i="1"/>
  <c r="K81" i="1"/>
  <c r="L81" i="1"/>
  <c r="M81" i="1"/>
  <c r="N81" i="1" s="1"/>
  <c r="V81" i="1"/>
  <c r="Y81" i="1"/>
  <c r="Z81" i="1"/>
  <c r="AA81" i="1" s="1"/>
  <c r="AB81" i="1"/>
  <c r="AC81" i="1"/>
  <c r="AD81" i="1"/>
  <c r="AE81" i="1"/>
  <c r="AF81" i="1"/>
  <c r="AH81" i="1"/>
  <c r="AM81" i="1"/>
  <c r="AN81" i="1"/>
  <c r="AO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AO82" i="1"/>
  <c r="K83" i="1"/>
  <c r="L83" i="1"/>
  <c r="M83" i="1"/>
  <c r="N83" i="1" s="1"/>
  <c r="V83" i="1"/>
  <c r="Y83" i="1"/>
  <c r="Z83" i="1"/>
  <c r="AA83" i="1" s="1"/>
  <c r="AB83" i="1"/>
  <c r="AC83" i="1"/>
  <c r="AD83" i="1"/>
  <c r="AE83" i="1"/>
  <c r="AF83" i="1"/>
  <c r="AH83" i="1"/>
  <c r="AM83" i="1"/>
  <c r="AN83" i="1"/>
  <c r="AO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AO84" i="1"/>
  <c r="K85" i="1"/>
  <c r="L85" i="1"/>
  <c r="M85" i="1"/>
  <c r="N85" i="1" s="1"/>
  <c r="V85" i="1"/>
  <c r="Y85" i="1"/>
  <c r="Z85" i="1"/>
  <c r="AA85" i="1" s="1"/>
  <c r="AB85" i="1"/>
  <c r="AC85" i="1"/>
  <c r="AD85" i="1"/>
  <c r="AE85" i="1"/>
  <c r="AF85" i="1"/>
  <c r="AH85" i="1"/>
  <c r="AM85" i="1"/>
  <c r="AN85" i="1"/>
  <c r="AO85" i="1"/>
  <c r="K86" i="1"/>
  <c r="L86" i="1"/>
  <c r="M86" i="1"/>
  <c r="N86" i="1" s="1"/>
  <c r="V86" i="1"/>
  <c r="S11" i="3" s="1"/>
  <c r="Y86" i="1"/>
  <c r="Z86" i="1"/>
  <c r="AB86" i="1"/>
  <c r="AC86" i="1"/>
  <c r="AD86" i="1"/>
  <c r="AE86" i="1"/>
  <c r="R11" i="3" s="1"/>
  <c r="AF86" i="1"/>
  <c r="AH86" i="1"/>
  <c r="AM86" i="1"/>
  <c r="AN86" i="1"/>
  <c r="AO86" i="1"/>
  <c r="K87" i="1"/>
  <c r="L87" i="1"/>
  <c r="M87" i="1"/>
  <c r="N87" i="1" s="1"/>
  <c r="V87" i="1"/>
  <c r="Y87" i="1"/>
  <c r="AA87" i="1" s="1"/>
  <c r="Z87" i="1"/>
  <c r="AB87" i="1"/>
  <c r="AC87" i="1"/>
  <c r="AD87" i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AO88" i="1"/>
  <c r="K89" i="1"/>
  <c r="L89" i="1"/>
  <c r="M89" i="1"/>
  <c r="N89" i="1" s="1"/>
  <c r="V89" i="1"/>
  <c r="Y89" i="1"/>
  <c r="Z89" i="1"/>
  <c r="AA89" i="1" s="1"/>
  <c r="AB89" i="1"/>
  <c r="AC89" i="1"/>
  <c r="AD89" i="1"/>
  <c r="AE89" i="1"/>
  <c r="AF89" i="1"/>
  <c r="AH89" i="1"/>
  <c r="AM89" i="1"/>
  <c r="AN89" i="1"/>
  <c r="AO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AO90" i="1"/>
  <c r="K91" i="1"/>
  <c r="L91" i="1"/>
  <c r="M91" i="1"/>
  <c r="N91" i="1" s="1"/>
  <c r="V91" i="1"/>
  <c r="Y91" i="1"/>
  <c r="Z91" i="1"/>
  <c r="AA91" i="1"/>
  <c r="AB91" i="1"/>
  <c r="AC91" i="1"/>
  <c r="AD91" i="1"/>
  <c r="AE91" i="1"/>
  <c r="AF91" i="1"/>
  <c r="AH91" i="1"/>
  <c r="AM91" i="1"/>
  <c r="AN91" i="1"/>
  <c r="AO91" i="1"/>
  <c r="K92" i="1"/>
  <c r="L92" i="1"/>
  <c r="M92" i="1"/>
  <c r="V92" i="1"/>
  <c r="Y92" i="1"/>
  <c r="AA92" i="1" s="1"/>
  <c r="Z92" i="1"/>
  <c r="AB92" i="1"/>
  <c r="AC92" i="1"/>
  <c r="AD92" i="1"/>
  <c r="AE92" i="1"/>
  <c r="AF92" i="1"/>
  <c r="AH92" i="1"/>
  <c r="AM92" i="1"/>
  <c r="AN92" i="1"/>
  <c r="AO92" i="1"/>
  <c r="K93" i="1"/>
  <c r="L93" i="1"/>
  <c r="M93" i="1"/>
  <c r="V93" i="1"/>
  <c r="Y93" i="1"/>
  <c r="Z93" i="1"/>
  <c r="AB93" i="1"/>
  <c r="AC93" i="1"/>
  <c r="AD93" i="1"/>
  <c r="AE93" i="1"/>
  <c r="AF93" i="1"/>
  <c r="AH93" i="1"/>
  <c r="AM93" i="1"/>
  <c r="AN93" i="1"/>
  <c r="AO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AM94" i="1"/>
  <c r="AN94" i="1"/>
  <c r="AO94" i="1"/>
  <c r="K95" i="1"/>
  <c r="L95" i="1"/>
  <c r="M95" i="1"/>
  <c r="N95" i="1" s="1"/>
  <c r="V95" i="1"/>
  <c r="Y95" i="1"/>
  <c r="Z95" i="1"/>
  <c r="AA95" i="1" s="1"/>
  <c r="AB95" i="1"/>
  <c r="AC95" i="1"/>
  <c r="AD95" i="1"/>
  <c r="AE95" i="1"/>
  <c r="AF95" i="1"/>
  <c r="AH95" i="1"/>
  <c r="AM95" i="1"/>
  <c r="AN95" i="1"/>
  <c r="AO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AO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97" i="1"/>
  <c r="AM97" i="1"/>
  <c r="AN97" i="1"/>
  <c r="AO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AM98" i="1"/>
  <c r="AN98" i="1"/>
  <c r="AO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99" i="1"/>
  <c r="AM99" i="1"/>
  <c r="AN99" i="1"/>
  <c r="AO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00" i="1"/>
  <c r="AM100" i="1"/>
  <c r="AN100" i="1"/>
  <c r="AO100" i="1"/>
  <c r="K101" i="1"/>
  <c r="L101" i="1"/>
  <c r="M101" i="1"/>
  <c r="N101" i="1" s="1"/>
  <c r="V101" i="1"/>
  <c r="S21" i="3" s="1"/>
  <c r="Y101" i="1"/>
  <c r="Z101" i="1"/>
  <c r="AB101" i="1"/>
  <c r="AC101" i="1"/>
  <c r="AD101" i="1"/>
  <c r="AE101" i="1"/>
  <c r="R21" i="3" s="1"/>
  <c r="AF101" i="1"/>
  <c r="AH101" i="1"/>
  <c r="AM101" i="1"/>
  <c r="AN101" i="1"/>
  <c r="AO101" i="1"/>
  <c r="K102" i="1"/>
  <c r="L102" i="1"/>
  <c r="M102" i="1"/>
  <c r="N102" i="1" s="1"/>
  <c r="V102" i="1"/>
  <c r="Y102" i="1"/>
  <c r="AA102" i="1" s="1"/>
  <c r="Z102" i="1"/>
  <c r="AB102" i="1"/>
  <c r="AC102" i="1"/>
  <c r="AD102" i="1"/>
  <c r="AE102" i="1"/>
  <c r="AF102" i="1"/>
  <c r="AH102" i="1"/>
  <c r="AM102" i="1"/>
  <c r="AN102" i="1"/>
  <c r="AO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AM103" i="1"/>
  <c r="AN103" i="1"/>
  <c r="AO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04" i="1"/>
  <c r="AM104" i="1"/>
  <c r="AN104" i="1"/>
  <c r="AO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05" i="1"/>
  <c r="AM105" i="1"/>
  <c r="AN105" i="1"/>
  <c r="AO105" i="1"/>
  <c r="K106" i="1"/>
  <c r="L106" i="1"/>
  <c r="M106" i="1"/>
  <c r="N106" i="1" s="1"/>
  <c r="V106" i="1"/>
  <c r="Y106" i="1"/>
  <c r="AA106" i="1" s="1"/>
  <c r="Z106" i="1"/>
  <c r="AB106" i="1"/>
  <c r="AC106" i="1"/>
  <c r="AD106" i="1"/>
  <c r="AE106" i="1"/>
  <c r="AF106" i="1"/>
  <c r="AH106" i="1"/>
  <c r="AM106" i="1"/>
  <c r="AN106" i="1"/>
  <c r="AO106" i="1"/>
  <c r="K108" i="1"/>
  <c r="L108" i="1"/>
  <c r="M108" i="1"/>
  <c r="N108" i="1" s="1"/>
  <c r="V108" i="1"/>
  <c r="Y108" i="1"/>
  <c r="Z108" i="1"/>
  <c r="AA108" i="1" s="1"/>
  <c r="AB108" i="1"/>
  <c r="AC108" i="1"/>
  <c r="AD108" i="1"/>
  <c r="X108" i="1" s="1"/>
  <c r="AE108" i="1"/>
  <c r="AF108" i="1"/>
  <c r="AH108" i="1"/>
  <c r="AM108" i="1"/>
  <c r="AN108" i="1"/>
  <c r="AO108" i="1"/>
  <c r="K109" i="1"/>
  <c r="L109" i="1"/>
  <c r="M109" i="1"/>
  <c r="N109" i="1" s="1"/>
  <c r="V109" i="1"/>
  <c r="S14" i="3" s="1"/>
  <c r="Y109" i="1"/>
  <c r="Z109" i="1"/>
  <c r="AB109" i="1"/>
  <c r="AC109" i="1"/>
  <c r="AD109" i="1"/>
  <c r="AE109" i="1"/>
  <c r="R14" i="3" s="1"/>
  <c r="AF109" i="1"/>
  <c r="AH109" i="1"/>
  <c r="AM109" i="1"/>
  <c r="AN109" i="1"/>
  <c r="AO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AM110" i="1"/>
  <c r="AN110" i="1"/>
  <c r="AO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AM111" i="1"/>
  <c r="AN111" i="1"/>
  <c r="AO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AM112" i="1"/>
  <c r="AN112" i="1"/>
  <c r="AO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13" i="1"/>
  <c r="AM113" i="1"/>
  <c r="AN113" i="1"/>
  <c r="AO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14" i="1"/>
  <c r="AM114" i="1"/>
  <c r="AN114" i="1"/>
  <c r="AO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15" i="1"/>
  <c r="AM115" i="1"/>
  <c r="AN115" i="1"/>
  <c r="AO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16" i="1"/>
  <c r="AM116" i="1"/>
  <c r="AN116" i="1"/>
  <c r="AO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17" i="1"/>
  <c r="AM117" i="1"/>
  <c r="AN117" i="1"/>
  <c r="AO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AM118" i="1"/>
  <c r="AN118" i="1"/>
  <c r="AO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AM119" i="1"/>
  <c r="AN119" i="1"/>
  <c r="AO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20" i="1"/>
  <c r="AM120" i="1"/>
  <c r="AN120" i="1"/>
  <c r="AO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AM121" i="1"/>
  <c r="AN121" i="1"/>
  <c r="AO121" i="1"/>
  <c r="K122" i="1"/>
  <c r="L122" i="1"/>
  <c r="M122" i="1"/>
  <c r="N122" i="1" s="1"/>
  <c r="V122" i="1"/>
  <c r="Y122" i="1"/>
  <c r="AA122" i="1" s="1"/>
  <c r="Z122" i="1"/>
  <c r="AB122" i="1"/>
  <c r="AC122" i="1"/>
  <c r="AD122" i="1"/>
  <c r="AE122" i="1"/>
  <c r="AF122" i="1"/>
  <c r="AH122" i="1"/>
  <c r="AM122" i="1"/>
  <c r="AN122" i="1"/>
  <c r="AO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AO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AM124" i="1"/>
  <c r="AN124" i="1"/>
  <c r="AO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AM125" i="1"/>
  <c r="AN125" i="1"/>
  <c r="AO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AM126" i="1"/>
  <c r="AN126" i="1"/>
  <c r="AO126" i="1"/>
  <c r="K127" i="1"/>
  <c r="L127" i="1"/>
  <c r="M127" i="1"/>
  <c r="N127" i="1"/>
  <c r="V127" i="1"/>
  <c r="Y127" i="1"/>
  <c r="AA127" i="1" s="1"/>
  <c r="Z127" i="1"/>
  <c r="AB127" i="1"/>
  <c r="AC127" i="1"/>
  <c r="AD127" i="1"/>
  <c r="AE127" i="1"/>
  <c r="AF127" i="1"/>
  <c r="AH127" i="1"/>
  <c r="AM127" i="1"/>
  <c r="AN127" i="1"/>
  <c r="AO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28" i="1"/>
  <c r="AM128" i="1"/>
  <c r="AN128" i="1"/>
  <c r="AO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AM129" i="1"/>
  <c r="AN129" i="1"/>
  <c r="AO129" i="1"/>
  <c r="K130" i="1"/>
  <c r="L130" i="1"/>
  <c r="M130" i="1"/>
  <c r="N130" i="1" s="1"/>
  <c r="V130" i="1"/>
  <c r="Y130" i="1"/>
  <c r="Z130" i="1"/>
  <c r="AA130" i="1" s="1"/>
  <c r="AB130" i="1"/>
  <c r="AC130" i="1"/>
  <c r="AD130" i="1"/>
  <c r="AE130" i="1"/>
  <c r="AF130" i="1"/>
  <c r="AH130" i="1"/>
  <c r="AM130" i="1"/>
  <c r="AN130" i="1"/>
  <c r="AO130" i="1"/>
  <c r="K131" i="1"/>
  <c r="L131" i="1"/>
  <c r="M131" i="1"/>
  <c r="N131" i="1" s="1"/>
  <c r="V131" i="1"/>
  <c r="Y131" i="1"/>
  <c r="AA131" i="1" s="1"/>
  <c r="Z131" i="1"/>
  <c r="AB131" i="1"/>
  <c r="AC131" i="1"/>
  <c r="AD131" i="1"/>
  <c r="AE131" i="1"/>
  <c r="AF131" i="1"/>
  <c r="AH131" i="1"/>
  <c r="AM131" i="1"/>
  <c r="AN131" i="1"/>
  <c r="AO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AM132" i="1"/>
  <c r="AN132" i="1"/>
  <c r="AO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33" i="1"/>
  <c r="AM133" i="1"/>
  <c r="AN133" i="1"/>
  <c r="AO133" i="1"/>
  <c r="K134" i="1"/>
  <c r="L134" i="1"/>
  <c r="M134" i="1"/>
  <c r="N134" i="1" s="1"/>
  <c r="V134" i="1"/>
  <c r="Y134" i="1"/>
  <c r="Z134" i="1"/>
  <c r="AA134" i="1" s="1"/>
  <c r="AB134" i="1"/>
  <c r="AC134" i="1"/>
  <c r="AD134" i="1"/>
  <c r="AE134" i="1"/>
  <c r="AF134" i="1"/>
  <c r="AH134" i="1"/>
  <c r="AM134" i="1"/>
  <c r="AN134" i="1"/>
  <c r="AO134" i="1"/>
  <c r="K136" i="1"/>
  <c r="L136" i="1"/>
  <c r="M136" i="1"/>
  <c r="N136" i="1" s="1"/>
  <c r="V136" i="1"/>
  <c r="Y136" i="1"/>
  <c r="AA136" i="1" s="1"/>
  <c r="Z136" i="1"/>
  <c r="AB136" i="1"/>
  <c r="AC136" i="1"/>
  <c r="AD136" i="1"/>
  <c r="X136" i="1" s="1"/>
  <c r="AE136" i="1"/>
  <c r="AF136" i="1"/>
  <c r="AH136" i="1"/>
  <c r="AM136" i="1"/>
  <c r="AN136" i="1"/>
  <c r="AO136" i="1"/>
  <c r="K137" i="1"/>
  <c r="L137" i="1"/>
  <c r="M137" i="1"/>
  <c r="N137" i="1" s="1"/>
  <c r="V137" i="1"/>
  <c r="Y137" i="1"/>
  <c r="Z137" i="1"/>
  <c r="AB137" i="1"/>
  <c r="AC137" i="1"/>
  <c r="AD137" i="1"/>
  <c r="X137" i="1" s="1"/>
  <c r="AE137" i="1"/>
  <c r="AF137" i="1"/>
  <c r="AH137" i="1"/>
  <c r="AM137" i="1"/>
  <c r="AN137" i="1"/>
  <c r="AO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AM138" i="1"/>
  <c r="AN138" i="1"/>
  <c r="AO138" i="1"/>
  <c r="K139" i="1"/>
  <c r="L139" i="1"/>
  <c r="M139" i="1"/>
  <c r="N139" i="1" s="1"/>
  <c r="V139" i="1"/>
  <c r="Y139" i="1"/>
  <c r="Z139" i="1"/>
  <c r="AA139" i="1" s="1"/>
  <c r="AB139" i="1"/>
  <c r="AC139" i="1"/>
  <c r="AD139" i="1"/>
  <c r="AE139" i="1"/>
  <c r="AF139" i="1"/>
  <c r="AH139" i="1"/>
  <c r="AM139" i="1"/>
  <c r="AN139" i="1"/>
  <c r="AO139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40" i="1"/>
  <c r="AM140" i="1"/>
  <c r="AN140" i="1"/>
  <c r="AO14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41" i="1"/>
  <c r="AM141" i="1"/>
  <c r="AN141" i="1"/>
  <c r="AO141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42" i="1"/>
  <c r="AM142" i="1"/>
  <c r="AN142" i="1"/>
  <c r="AO142" i="1"/>
  <c r="K143" i="1"/>
  <c r="L143" i="1"/>
  <c r="M143" i="1"/>
  <c r="N143" i="1" s="1"/>
  <c r="V143" i="1"/>
  <c r="Y143" i="1"/>
  <c r="Z143" i="1"/>
  <c r="AA143" i="1" s="1"/>
  <c r="AB143" i="1"/>
  <c r="AC143" i="1"/>
  <c r="AD143" i="1"/>
  <c r="AE143" i="1"/>
  <c r="AF143" i="1"/>
  <c r="AH143" i="1"/>
  <c r="AM143" i="1"/>
  <c r="AN143" i="1"/>
  <c r="AO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44" i="1"/>
  <c r="AM144" i="1"/>
  <c r="AN144" i="1"/>
  <c r="AO144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45" i="1"/>
  <c r="AM145" i="1"/>
  <c r="AN145" i="1"/>
  <c r="AO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46" i="1"/>
  <c r="AM146" i="1"/>
  <c r="AN146" i="1"/>
  <c r="AO146" i="1"/>
  <c r="K147" i="1"/>
  <c r="L147" i="1"/>
  <c r="M147" i="1"/>
  <c r="N147" i="1" s="1"/>
  <c r="V147" i="1"/>
  <c r="Y147" i="1"/>
  <c r="Z147" i="1"/>
  <c r="AA147" i="1" s="1"/>
  <c r="AB147" i="1"/>
  <c r="AC147" i="1"/>
  <c r="AD147" i="1"/>
  <c r="AE147" i="1"/>
  <c r="AF147" i="1"/>
  <c r="AH147" i="1"/>
  <c r="AM147" i="1"/>
  <c r="AN147" i="1"/>
  <c r="AO147" i="1"/>
  <c r="K149" i="1"/>
  <c r="L149" i="1"/>
  <c r="M149" i="1"/>
  <c r="N149" i="1" s="1"/>
  <c r="V149" i="1"/>
  <c r="Y149" i="1"/>
  <c r="Z149" i="1"/>
  <c r="AB149" i="1"/>
  <c r="AC149" i="1"/>
  <c r="AD149" i="1"/>
  <c r="X149" i="1" s="1"/>
  <c r="AE149" i="1"/>
  <c r="AF149" i="1"/>
  <c r="AH149" i="1"/>
  <c r="AM149" i="1"/>
  <c r="AN149" i="1"/>
  <c r="AO149" i="1"/>
  <c r="K152" i="1"/>
  <c r="L152" i="1"/>
  <c r="M152" i="1"/>
  <c r="N152" i="1" s="1"/>
  <c r="V152" i="1"/>
  <c r="S9" i="3" s="1"/>
  <c r="Y152" i="1"/>
  <c r="Z152" i="1"/>
  <c r="AB152" i="1"/>
  <c r="AC152" i="1"/>
  <c r="AD152" i="1"/>
  <c r="X152" i="1" s="1"/>
  <c r="AE152" i="1"/>
  <c r="R9" i="3" s="1"/>
  <c r="AF152" i="1"/>
  <c r="AH152" i="1"/>
  <c r="AM152" i="1"/>
  <c r="AN152" i="1"/>
  <c r="AO152" i="1"/>
  <c r="K153" i="1"/>
  <c r="L153" i="1"/>
  <c r="M153" i="1"/>
  <c r="N153" i="1" s="1"/>
  <c r="V153" i="1"/>
  <c r="Y153" i="1"/>
  <c r="Z153" i="1"/>
  <c r="AA153" i="1" s="1"/>
  <c r="AB153" i="1"/>
  <c r="AC153" i="1"/>
  <c r="AD153" i="1"/>
  <c r="AE153" i="1"/>
  <c r="AF153" i="1"/>
  <c r="AH153" i="1"/>
  <c r="AM153" i="1"/>
  <c r="AN153" i="1"/>
  <c r="AO153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54" i="1"/>
  <c r="AM154" i="1"/>
  <c r="AN154" i="1"/>
  <c r="AO154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55" i="1"/>
  <c r="AM155" i="1"/>
  <c r="AN155" i="1"/>
  <c r="AO155" i="1"/>
  <c r="K156" i="1"/>
  <c r="L156" i="1"/>
  <c r="M156" i="1"/>
  <c r="N156" i="1" s="1"/>
  <c r="V156" i="1"/>
  <c r="S23" i="3" s="1"/>
  <c r="Y156" i="1"/>
  <c r="Z156" i="1"/>
  <c r="AB156" i="1"/>
  <c r="AC156" i="1"/>
  <c r="AD156" i="1"/>
  <c r="AE156" i="1"/>
  <c r="R23" i="3" s="1"/>
  <c r="AF156" i="1"/>
  <c r="AH156" i="1"/>
  <c r="AM156" i="1"/>
  <c r="AN156" i="1"/>
  <c r="AO156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57" i="1"/>
  <c r="AM157" i="1"/>
  <c r="AN157" i="1"/>
  <c r="AO157" i="1"/>
  <c r="K158" i="1"/>
  <c r="L158" i="1"/>
  <c r="M158" i="1"/>
  <c r="N158" i="1" s="1"/>
  <c r="V158" i="1"/>
  <c r="S17" i="3" s="1"/>
  <c r="Y158" i="1"/>
  <c r="Z158" i="1"/>
  <c r="AA158" i="1"/>
  <c r="AB158" i="1"/>
  <c r="AC158" i="1"/>
  <c r="AD158" i="1"/>
  <c r="AE158" i="1"/>
  <c r="R17" i="3" s="1"/>
  <c r="AF158" i="1"/>
  <c r="AH158" i="1"/>
  <c r="AM158" i="1"/>
  <c r="AN158" i="1"/>
  <c r="AO158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159" i="1"/>
  <c r="AM159" i="1"/>
  <c r="AN159" i="1"/>
  <c r="AO159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160" i="1"/>
  <c r="AM160" i="1"/>
  <c r="AN160" i="1"/>
  <c r="AO160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161" i="1"/>
  <c r="AM161" i="1"/>
  <c r="AN161" i="1"/>
  <c r="AO161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162" i="1"/>
  <c r="AM162" i="1"/>
  <c r="AN162" i="1"/>
  <c r="AO162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163" i="1"/>
  <c r="AM163" i="1"/>
  <c r="AN163" i="1"/>
  <c r="AO163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164" i="1"/>
  <c r="AM164" i="1"/>
  <c r="AN164" i="1"/>
  <c r="AO164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165" i="1"/>
  <c r="AM165" i="1"/>
  <c r="AN165" i="1"/>
  <c r="AO165" i="1"/>
  <c r="K219" i="1"/>
  <c r="L219" i="1"/>
  <c r="M219" i="1"/>
  <c r="N219" i="1" s="1"/>
  <c r="V219" i="1"/>
  <c r="Y219" i="1"/>
  <c r="Z219" i="1"/>
  <c r="AA219" i="1" s="1"/>
  <c r="AB219" i="1"/>
  <c r="AC219" i="1"/>
  <c r="AD219" i="1"/>
  <c r="AE219" i="1"/>
  <c r="AF219" i="1"/>
  <c r="AH166" i="1"/>
  <c r="AM166" i="1"/>
  <c r="AN166" i="1"/>
  <c r="AO166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AH167" i="1"/>
  <c r="AM167" i="1"/>
  <c r="AN167" i="1"/>
  <c r="AO167" i="1"/>
  <c r="K221" i="1"/>
  <c r="L221" i="1"/>
  <c r="M221" i="1"/>
  <c r="N221" i="1" s="1"/>
  <c r="V221" i="1"/>
  <c r="Y221" i="1"/>
  <c r="Z221" i="1"/>
  <c r="AA221" i="1" s="1"/>
  <c r="AB221" i="1"/>
  <c r="AC221" i="1"/>
  <c r="AD221" i="1"/>
  <c r="AE221" i="1"/>
  <c r="AF221" i="1"/>
  <c r="AH168" i="1"/>
  <c r="AM168" i="1"/>
  <c r="AN168" i="1"/>
  <c r="AO168" i="1"/>
  <c r="K222" i="1"/>
  <c r="L222" i="1"/>
  <c r="M222" i="1"/>
  <c r="N222" i="1"/>
  <c r="V222" i="1"/>
  <c r="Y222" i="1"/>
  <c r="Z222" i="1"/>
  <c r="AB222" i="1"/>
  <c r="AC222" i="1"/>
  <c r="AD222" i="1"/>
  <c r="AE222" i="1"/>
  <c r="AF222" i="1"/>
  <c r="AH169" i="1"/>
  <c r="AM169" i="1"/>
  <c r="AN169" i="1"/>
  <c r="AO169" i="1"/>
  <c r="K223" i="1"/>
  <c r="L223" i="1"/>
  <c r="M223" i="1"/>
  <c r="N223" i="1" s="1"/>
  <c r="V223" i="1"/>
  <c r="Y223" i="1"/>
  <c r="Z223" i="1"/>
  <c r="AB223" i="1"/>
  <c r="AC223" i="1"/>
  <c r="AD223" i="1"/>
  <c r="AE223" i="1"/>
  <c r="AF223" i="1"/>
  <c r="AH170" i="1"/>
  <c r="AM170" i="1"/>
  <c r="AN170" i="1"/>
  <c r="AO170" i="1"/>
  <c r="K224" i="1"/>
  <c r="L224" i="1"/>
  <c r="M224" i="1"/>
  <c r="N224" i="1"/>
  <c r="V224" i="1"/>
  <c r="Y224" i="1"/>
  <c r="Z224" i="1"/>
  <c r="AB224" i="1"/>
  <c r="AC224" i="1"/>
  <c r="AD224" i="1"/>
  <c r="AE224" i="1"/>
  <c r="AF224" i="1"/>
  <c r="AH171" i="1"/>
  <c r="AM171" i="1"/>
  <c r="AN171" i="1"/>
  <c r="AO171" i="1"/>
  <c r="K225" i="1"/>
  <c r="L225" i="1"/>
  <c r="M225" i="1"/>
  <c r="N225" i="1" s="1"/>
  <c r="V225" i="1"/>
  <c r="Y225" i="1"/>
  <c r="Z225" i="1"/>
  <c r="AB225" i="1"/>
  <c r="AC225" i="1"/>
  <c r="AD225" i="1"/>
  <c r="AE225" i="1"/>
  <c r="AF225" i="1"/>
  <c r="AH172" i="1"/>
  <c r="AM172" i="1"/>
  <c r="AN172" i="1"/>
  <c r="AO172" i="1"/>
  <c r="K226" i="1"/>
  <c r="L226" i="1"/>
  <c r="M226" i="1"/>
  <c r="N226" i="1" s="1"/>
  <c r="V226" i="1"/>
  <c r="Y226" i="1"/>
  <c r="Z226" i="1"/>
  <c r="AB226" i="1"/>
  <c r="AC226" i="1"/>
  <c r="AD226" i="1"/>
  <c r="AE226" i="1"/>
  <c r="AF226" i="1"/>
  <c r="AH173" i="1"/>
  <c r="AM173" i="1"/>
  <c r="AN173" i="1"/>
  <c r="AO173" i="1"/>
  <c r="K233" i="1"/>
  <c r="L233" i="1"/>
  <c r="M233" i="1"/>
  <c r="N233" i="1" s="1"/>
  <c r="V233" i="1"/>
  <c r="Y233" i="1"/>
  <c r="Z233" i="1"/>
  <c r="AA233" i="1" s="1"/>
  <c r="AB233" i="1"/>
  <c r="AC233" i="1"/>
  <c r="AD233" i="1"/>
  <c r="AE233" i="1"/>
  <c r="AF233" i="1"/>
  <c r="AH174" i="1"/>
  <c r="AM174" i="1"/>
  <c r="AN174" i="1"/>
  <c r="AO174" i="1"/>
  <c r="K234" i="1"/>
  <c r="L234" i="1"/>
  <c r="M234" i="1"/>
  <c r="N234" i="1" s="1"/>
  <c r="V234" i="1"/>
  <c r="Y234" i="1"/>
  <c r="Z234" i="1"/>
  <c r="AB234" i="1"/>
  <c r="AC234" i="1"/>
  <c r="AD234" i="1"/>
  <c r="AE234" i="1"/>
  <c r="AF234" i="1"/>
  <c r="AH175" i="1"/>
  <c r="AM175" i="1"/>
  <c r="AN175" i="1"/>
  <c r="AO175" i="1"/>
  <c r="K235" i="1"/>
  <c r="L235" i="1"/>
  <c r="M235" i="1"/>
  <c r="N235" i="1" s="1"/>
  <c r="V235" i="1"/>
  <c r="S45" i="3" s="1"/>
  <c r="Y235" i="1"/>
  <c r="Z235" i="1"/>
  <c r="AA235" i="1" s="1"/>
  <c r="AB235" i="1"/>
  <c r="AC235" i="1"/>
  <c r="AD235" i="1"/>
  <c r="AE235" i="1"/>
  <c r="R45" i="3" s="1"/>
  <c r="AF235" i="1"/>
  <c r="AH176" i="1"/>
  <c r="AM176" i="1"/>
  <c r="AN176" i="1"/>
  <c r="AO176" i="1"/>
  <c r="K236" i="1"/>
  <c r="L236" i="1"/>
  <c r="M236" i="1"/>
  <c r="N236" i="1"/>
  <c r="V236" i="1"/>
  <c r="Y236" i="1"/>
  <c r="Z236" i="1"/>
  <c r="AB236" i="1"/>
  <c r="AC236" i="1"/>
  <c r="AD236" i="1"/>
  <c r="AE236" i="1"/>
  <c r="AF236" i="1"/>
  <c r="AH177" i="1"/>
  <c r="AM177" i="1"/>
  <c r="AN177" i="1"/>
  <c r="AO177" i="1"/>
  <c r="K237" i="1"/>
  <c r="L237" i="1"/>
  <c r="M237" i="1"/>
  <c r="N237" i="1" s="1"/>
  <c r="V237" i="1"/>
  <c r="Y237" i="1"/>
  <c r="AA237" i="1" s="1"/>
  <c r="Z237" i="1"/>
  <c r="AB237" i="1"/>
  <c r="AC237" i="1"/>
  <c r="AD237" i="1"/>
  <c r="AE237" i="1"/>
  <c r="AF237" i="1"/>
  <c r="AH178" i="1"/>
  <c r="AM178" i="1"/>
  <c r="AN178" i="1"/>
  <c r="AO178" i="1"/>
  <c r="K238" i="1"/>
  <c r="L238" i="1"/>
  <c r="M238" i="1"/>
  <c r="N238" i="1"/>
  <c r="V238" i="1"/>
  <c r="Y238" i="1"/>
  <c r="Z238" i="1"/>
  <c r="AB238" i="1"/>
  <c r="AC238" i="1"/>
  <c r="AD238" i="1"/>
  <c r="AE238" i="1"/>
  <c r="AF238" i="1"/>
  <c r="AH179" i="1"/>
  <c r="AM179" i="1"/>
  <c r="AN179" i="1"/>
  <c r="AO179" i="1"/>
  <c r="K239" i="1"/>
  <c r="L239" i="1"/>
  <c r="M239" i="1"/>
  <c r="N239" i="1" s="1"/>
  <c r="V239" i="1"/>
  <c r="Y239" i="1"/>
  <c r="Z239" i="1"/>
  <c r="AA239" i="1" s="1"/>
  <c r="AB239" i="1"/>
  <c r="AC239" i="1"/>
  <c r="AD239" i="1"/>
  <c r="AE239" i="1"/>
  <c r="AF239" i="1"/>
  <c r="AH180" i="1"/>
  <c r="AM180" i="1"/>
  <c r="AN180" i="1"/>
  <c r="AO180" i="1"/>
  <c r="K240" i="1"/>
  <c r="L240" i="1"/>
  <c r="M240" i="1"/>
  <c r="N240" i="1" s="1"/>
  <c r="V240" i="1"/>
  <c r="Y240" i="1"/>
  <c r="Z240" i="1"/>
  <c r="AB240" i="1"/>
  <c r="AC240" i="1"/>
  <c r="AD240" i="1"/>
  <c r="AE240" i="1"/>
  <c r="AF240" i="1"/>
  <c r="AH181" i="1"/>
  <c r="AM181" i="1"/>
  <c r="AN181" i="1"/>
  <c r="AO181" i="1"/>
  <c r="K241" i="1"/>
  <c r="L241" i="1"/>
  <c r="M241" i="1"/>
  <c r="N241" i="1" s="1"/>
  <c r="V241" i="1"/>
  <c r="Y241" i="1"/>
  <c r="Z241" i="1"/>
  <c r="AA241" i="1" s="1"/>
  <c r="AB241" i="1"/>
  <c r="AC241" i="1"/>
  <c r="AD241" i="1"/>
  <c r="AE241" i="1"/>
  <c r="AF241" i="1"/>
  <c r="AH182" i="1"/>
  <c r="AM182" i="1"/>
  <c r="AN182" i="1"/>
  <c r="AO182" i="1"/>
  <c r="K242" i="1"/>
  <c r="L242" i="1"/>
  <c r="M242" i="1"/>
  <c r="N242" i="1" s="1"/>
  <c r="V242" i="1"/>
  <c r="Y242" i="1"/>
  <c r="Z242" i="1"/>
  <c r="AB242" i="1"/>
  <c r="AC242" i="1"/>
  <c r="AD242" i="1"/>
  <c r="AE242" i="1"/>
  <c r="AF242" i="1"/>
  <c r="AH183" i="1"/>
  <c r="AM183" i="1"/>
  <c r="AN183" i="1"/>
  <c r="AO183" i="1"/>
  <c r="K243" i="1"/>
  <c r="L243" i="1"/>
  <c r="M243" i="1"/>
  <c r="N243" i="1" s="1"/>
  <c r="V243" i="1"/>
  <c r="Y243" i="1"/>
  <c r="Z243" i="1"/>
  <c r="AB243" i="1"/>
  <c r="AC243" i="1"/>
  <c r="AD243" i="1"/>
  <c r="AE243" i="1"/>
  <c r="AF243" i="1"/>
  <c r="AH184" i="1"/>
  <c r="AM184" i="1"/>
  <c r="AN184" i="1"/>
  <c r="AO184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185" i="1"/>
  <c r="AM185" i="1"/>
  <c r="AN185" i="1"/>
  <c r="AO185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186" i="1"/>
  <c r="AM186" i="1"/>
  <c r="AN186" i="1"/>
  <c r="AO186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187" i="1"/>
  <c r="AM187" i="1"/>
  <c r="AN187" i="1"/>
  <c r="AO187" i="1"/>
  <c r="K163" i="1"/>
  <c r="L163" i="1"/>
  <c r="M163" i="1"/>
  <c r="N163" i="1" s="1"/>
  <c r="V163" i="1"/>
  <c r="S25" i="3" s="1"/>
  <c r="Y163" i="1"/>
  <c r="Z163" i="1"/>
  <c r="AB163" i="1"/>
  <c r="AC163" i="1"/>
  <c r="AD163" i="1"/>
  <c r="AE163" i="1"/>
  <c r="R25" i="3" s="1"/>
  <c r="AF163" i="1"/>
  <c r="AH188" i="1"/>
  <c r="AM188" i="1"/>
  <c r="AN188" i="1"/>
  <c r="AO188" i="1"/>
  <c r="K164" i="1"/>
  <c r="L164" i="1"/>
  <c r="M164" i="1"/>
  <c r="N164" i="1"/>
  <c r="V164" i="1"/>
  <c r="S33" i="3" s="1"/>
  <c r="Y164" i="1"/>
  <c r="Z164" i="1"/>
  <c r="AB164" i="1"/>
  <c r="AC164" i="1"/>
  <c r="AD164" i="1"/>
  <c r="AE164" i="1"/>
  <c r="R33" i="3" s="1"/>
  <c r="AF164" i="1"/>
  <c r="AH189" i="1"/>
  <c r="AM189" i="1"/>
  <c r="AN189" i="1"/>
  <c r="AO189" i="1"/>
  <c r="K165" i="1"/>
  <c r="L165" i="1"/>
  <c r="M165" i="1"/>
  <c r="N165" i="1" s="1"/>
  <c r="V165" i="1"/>
  <c r="Y165" i="1"/>
  <c r="AA165" i="1" s="1"/>
  <c r="Z165" i="1"/>
  <c r="AB165" i="1"/>
  <c r="AC165" i="1"/>
  <c r="AD165" i="1"/>
  <c r="AE165" i="1"/>
  <c r="AF165" i="1"/>
  <c r="AH190" i="1"/>
  <c r="AM190" i="1"/>
  <c r="AN190" i="1"/>
  <c r="AO190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192" i="1"/>
  <c r="AM192" i="1"/>
  <c r="AN192" i="1"/>
  <c r="AO192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193" i="1"/>
  <c r="AM193" i="1"/>
  <c r="AN193" i="1"/>
  <c r="AO193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194" i="1"/>
  <c r="AM194" i="1"/>
  <c r="AN194" i="1"/>
  <c r="AO194" i="1"/>
  <c r="K169" i="1"/>
  <c r="L169" i="1"/>
  <c r="M169" i="1"/>
  <c r="N169" i="1" s="1"/>
  <c r="V169" i="1"/>
  <c r="S26" i="3" s="1"/>
  <c r="Y169" i="1"/>
  <c r="Z169" i="1"/>
  <c r="AB169" i="1"/>
  <c r="AC169" i="1"/>
  <c r="AD169" i="1"/>
  <c r="AE169" i="1"/>
  <c r="R26" i="3" s="1"/>
  <c r="AF169" i="1"/>
  <c r="AH196" i="1"/>
  <c r="AM196" i="1"/>
  <c r="AN196" i="1"/>
  <c r="AO196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197" i="1"/>
  <c r="AM197" i="1"/>
  <c r="AN197" i="1"/>
  <c r="AO197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198" i="1"/>
  <c r="AM198" i="1"/>
  <c r="AN198" i="1"/>
  <c r="AO198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199" i="1"/>
  <c r="AM199" i="1"/>
  <c r="AN199" i="1"/>
  <c r="AO199" i="1"/>
  <c r="K173" i="1"/>
  <c r="L173" i="1"/>
  <c r="M173" i="1"/>
  <c r="V173" i="1"/>
  <c r="Y173" i="1"/>
  <c r="AA173" i="1" s="1"/>
  <c r="Z173" i="1"/>
  <c r="AB173" i="1"/>
  <c r="AC173" i="1"/>
  <c r="AD173" i="1"/>
  <c r="AE173" i="1"/>
  <c r="AF173" i="1"/>
  <c r="AH200" i="1"/>
  <c r="AM200" i="1"/>
  <c r="AN200" i="1"/>
  <c r="AO200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202" i="1"/>
  <c r="AM202" i="1"/>
  <c r="AN202" i="1"/>
  <c r="AO202" i="1"/>
  <c r="K175" i="1"/>
  <c r="L175" i="1"/>
  <c r="M175" i="1"/>
  <c r="V175" i="1"/>
  <c r="Y175" i="1"/>
  <c r="Z175" i="1"/>
  <c r="AB175" i="1"/>
  <c r="AC175" i="1"/>
  <c r="AD175" i="1"/>
  <c r="AE175" i="1"/>
  <c r="AF175" i="1"/>
  <c r="AH203" i="1"/>
  <c r="AM203" i="1"/>
  <c r="AN203" i="1"/>
  <c r="AO203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204" i="1"/>
  <c r="AM204" i="1"/>
  <c r="AN204" i="1"/>
  <c r="AO204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205" i="1"/>
  <c r="AM205" i="1"/>
  <c r="AN205" i="1"/>
  <c r="AO205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206" i="1"/>
  <c r="AM206" i="1"/>
  <c r="AN206" i="1"/>
  <c r="AO206" i="1"/>
  <c r="K179" i="1"/>
  <c r="L179" i="1"/>
  <c r="M179" i="1"/>
  <c r="V179" i="1"/>
  <c r="Y179" i="1"/>
  <c r="Z179" i="1"/>
  <c r="AB179" i="1"/>
  <c r="AC179" i="1"/>
  <c r="AD179" i="1"/>
  <c r="AE179" i="1"/>
  <c r="AF179" i="1"/>
  <c r="AH208" i="1"/>
  <c r="AM208" i="1"/>
  <c r="AN208" i="1"/>
  <c r="AO208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209" i="1"/>
  <c r="AM209" i="1"/>
  <c r="AN209" i="1"/>
  <c r="AO209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210" i="1"/>
  <c r="AM210" i="1"/>
  <c r="AN210" i="1"/>
  <c r="AO210" i="1"/>
  <c r="K182" i="1"/>
  <c r="L182" i="1"/>
  <c r="M182" i="1"/>
  <c r="N182" i="1"/>
  <c r="V182" i="1"/>
  <c r="Y182" i="1"/>
  <c r="Z182" i="1"/>
  <c r="AB182" i="1"/>
  <c r="AC182" i="1"/>
  <c r="AD182" i="1"/>
  <c r="AE182" i="1"/>
  <c r="AF182" i="1"/>
  <c r="AH212" i="1"/>
  <c r="AM212" i="1"/>
  <c r="AN212" i="1"/>
  <c r="AO212" i="1"/>
  <c r="K183" i="1"/>
  <c r="L183" i="1"/>
  <c r="M183" i="1"/>
  <c r="N183" i="1" s="1"/>
  <c r="V183" i="1"/>
  <c r="Y183" i="1"/>
  <c r="AA183" i="1" s="1"/>
  <c r="Z183" i="1"/>
  <c r="AB183" i="1"/>
  <c r="AC183" i="1"/>
  <c r="AD183" i="1"/>
  <c r="AE183" i="1"/>
  <c r="AF183" i="1"/>
  <c r="AH213" i="1"/>
  <c r="AM213" i="1"/>
  <c r="AN213" i="1"/>
  <c r="AO213" i="1"/>
  <c r="K184" i="1"/>
  <c r="L184" i="1"/>
  <c r="M184" i="1"/>
  <c r="P184" i="1" s="1"/>
  <c r="V184" i="1"/>
  <c r="S32" i="3" s="1"/>
  <c r="Y184" i="1"/>
  <c r="Z184" i="1"/>
  <c r="AB184" i="1"/>
  <c r="AC184" i="1"/>
  <c r="AD184" i="1"/>
  <c r="AE184" i="1"/>
  <c r="R32" i="3" s="1"/>
  <c r="AF184" i="1"/>
  <c r="AH214" i="1"/>
  <c r="AM214" i="1"/>
  <c r="AN214" i="1"/>
  <c r="AO214" i="1"/>
  <c r="K185" i="1"/>
  <c r="L185" i="1"/>
  <c r="M185" i="1"/>
  <c r="V185" i="1"/>
  <c r="Y185" i="1"/>
  <c r="Z185" i="1"/>
  <c r="AB185" i="1"/>
  <c r="AC185" i="1"/>
  <c r="AD185" i="1"/>
  <c r="AE185" i="1"/>
  <c r="AF185" i="1"/>
  <c r="AH215" i="1"/>
  <c r="AM215" i="1"/>
  <c r="AN215" i="1"/>
  <c r="AO215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216" i="1"/>
  <c r="AM216" i="1"/>
  <c r="AN216" i="1"/>
  <c r="AO216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217" i="1"/>
  <c r="AM217" i="1"/>
  <c r="AN217" i="1"/>
  <c r="AO217" i="1"/>
  <c r="K188" i="1"/>
  <c r="L188" i="1"/>
  <c r="M188" i="1"/>
  <c r="N188" i="1"/>
  <c r="V188" i="1"/>
  <c r="S31" i="3" s="1"/>
  <c r="Y188" i="1"/>
  <c r="Z188" i="1"/>
  <c r="AB188" i="1"/>
  <c r="AC188" i="1"/>
  <c r="AD188" i="1"/>
  <c r="AE188" i="1"/>
  <c r="R31" i="3" s="1"/>
  <c r="AF188" i="1"/>
  <c r="AH218" i="1"/>
  <c r="AM218" i="1"/>
  <c r="AN218" i="1"/>
  <c r="AO218" i="1"/>
  <c r="K189" i="1"/>
  <c r="L189" i="1"/>
  <c r="M189" i="1"/>
  <c r="N189" i="1" s="1"/>
  <c r="V189" i="1"/>
  <c r="Y189" i="1"/>
  <c r="AA189" i="1" s="1"/>
  <c r="Z189" i="1"/>
  <c r="AB189" i="1"/>
  <c r="AC189" i="1"/>
  <c r="AD189" i="1"/>
  <c r="AE189" i="1"/>
  <c r="AF189" i="1"/>
  <c r="AH219" i="1"/>
  <c r="AM219" i="1"/>
  <c r="AN219" i="1"/>
  <c r="AO219" i="1"/>
  <c r="K190" i="1"/>
  <c r="L190" i="1"/>
  <c r="M190" i="1"/>
  <c r="N190" i="1" s="1"/>
  <c r="V190" i="1"/>
  <c r="Y190" i="1"/>
  <c r="Z190" i="1"/>
  <c r="AB190" i="1"/>
  <c r="AC190" i="1"/>
  <c r="AD190" i="1"/>
  <c r="X191" i="1" s="1"/>
  <c r="AE190" i="1"/>
  <c r="AF190" i="1"/>
  <c r="AH220" i="1"/>
  <c r="AM220" i="1"/>
  <c r="AN220" i="1"/>
  <c r="AO220" i="1"/>
  <c r="K192" i="1"/>
  <c r="L192" i="1"/>
  <c r="M192" i="1"/>
  <c r="N192" i="1" s="1"/>
  <c r="V192" i="1"/>
  <c r="Y192" i="1"/>
  <c r="Z192" i="1"/>
  <c r="AB192" i="1"/>
  <c r="AC192" i="1"/>
  <c r="AD192" i="1"/>
  <c r="X192" i="1" s="1"/>
  <c r="AE192" i="1"/>
  <c r="AF192" i="1"/>
  <c r="AH221" i="1"/>
  <c r="AM221" i="1"/>
  <c r="AN221" i="1"/>
  <c r="AO221" i="1"/>
  <c r="K193" i="1"/>
  <c r="L193" i="1"/>
  <c r="M193" i="1"/>
  <c r="N193" i="1" s="1"/>
  <c r="V193" i="1"/>
  <c r="S38" i="3" s="1"/>
  <c r="Y193" i="1"/>
  <c r="Z193" i="1"/>
  <c r="AB193" i="1"/>
  <c r="AC193" i="1"/>
  <c r="AD193" i="1"/>
  <c r="AE193" i="1"/>
  <c r="R38" i="3" s="1"/>
  <c r="AF193" i="1"/>
  <c r="AH222" i="1"/>
  <c r="AM222" i="1"/>
  <c r="AN222" i="1"/>
  <c r="AO222" i="1"/>
  <c r="K194" i="1"/>
  <c r="L194" i="1"/>
  <c r="M194" i="1"/>
  <c r="N194" i="1" s="1"/>
  <c r="V194" i="1"/>
  <c r="Y194" i="1"/>
  <c r="Z194" i="1"/>
  <c r="AB194" i="1"/>
  <c r="AC194" i="1"/>
  <c r="AD194" i="1"/>
  <c r="X195" i="1" s="1"/>
  <c r="AE194" i="1"/>
  <c r="AF194" i="1"/>
  <c r="AH223" i="1"/>
  <c r="AM223" i="1"/>
  <c r="AN223" i="1"/>
  <c r="AO223" i="1"/>
  <c r="K196" i="1"/>
  <c r="L196" i="1"/>
  <c r="M196" i="1"/>
  <c r="N196" i="1" s="1"/>
  <c r="V196" i="1"/>
  <c r="Y196" i="1"/>
  <c r="Z196" i="1"/>
  <c r="AB196" i="1"/>
  <c r="AC196" i="1"/>
  <c r="AD196" i="1"/>
  <c r="X196" i="1" s="1"/>
  <c r="AE196" i="1"/>
  <c r="AF196" i="1"/>
  <c r="AH224" i="1"/>
  <c r="AM224" i="1"/>
  <c r="AN224" i="1"/>
  <c r="AO224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225" i="1"/>
  <c r="AM225" i="1"/>
  <c r="AN225" i="1"/>
  <c r="AO225" i="1"/>
  <c r="K198" i="1"/>
  <c r="L198" i="1"/>
  <c r="M198" i="1"/>
  <c r="N198" i="1" s="1"/>
  <c r="V198" i="1"/>
  <c r="Y198" i="1"/>
  <c r="Z198" i="1"/>
  <c r="AB198" i="1"/>
  <c r="AC198" i="1"/>
  <c r="AD198" i="1"/>
  <c r="X198" i="1" s="1"/>
  <c r="AE198" i="1"/>
  <c r="AF198" i="1"/>
  <c r="AH226" i="1"/>
  <c r="AM226" i="1"/>
  <c r="AN226" i="1"/>
  <c r="AO226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227" i="1"/>
  <c r="AM227" i="1"/>
  <c r="AN227" i="1"/>
  <c r="AO227" i="1"/>
  <c r="K200" i="1"/>
  <c r="L200" i="1"/>
  <c r="M200" i="1"/>
  <c r="N200" i="1"/>
  <c r="V200" i="1"/>
  <c r="S34" i="3" s="1"/>
  <c r="Y200" i="1"/>
  <c r="Z200" i="1"/>
  <c r="AB200" i="1"/>
  <c r="AC200" i="1"/>
  <c r="AD200" i="1"/>
  <c r="X201" i="1" s="1"/>
  <c r="AE200" i="1"/>
  <c r="R34" i="3" s="1"/>
  <c r="AF200" i="1"/>
  <c r="AH228" i="1"/>
  <c r="AM228" i="1"/>
  <c r="AN228" i="1"/>
  <c r="AO228" i="1"/>
  <c r="K202" i="1"/>
  <c r="L202" i="1"/>
  <c r="M202" i="1"/>
  <c r="N202" i="1" s="1"/>
  <c r="V202" i="1"/>
  <c r="Y202" i="1"/>
  <c r="Z202" i="1"/>
  <c r="AB202" i="1"/>
  <c r="AC202" i="1"/>
  <c r="AD202" i="1"/>
  <c r="X202" i="1" s="1"/>
  <c r="AE202" i="1"/>
  <c r="AF202" i="1"/>
  <c r="AH229" i="1"/>
  <c r="AM229" i="1"/>
  <c r="AN229" i="1"/>
  <c r="AO229" i="1"/>
  <c r="K203" i="1"/>
  <c r="L203" i="1"/>
  <c r="M203" i="1"/>
  <c r="N203" i="1" s="1"/>
  <c r="V203" i="1"/>
  <c r="S27" i="3" s="1"/>
  <c r="Y203" i="1"/>
  <c r="AA203" i="1" s="1"/>
  <c r="Z203" i="1"/>
  <c r="AB203" i="1"/>
  <c r="AC203" i="1"/>
  <c r="AD203" i="1"/>
  <c r="X203" i="1" s="1"/>
  <c r="AE203" i="1"/>
  <c r="R27" i="3" s="1"/>
  <c r="AF203" i="1"/>
  <c r="AH230" i="1"/>
  <c r="AM230" i="1"/>
  <c r="AN230" i="1"/>
  <c r="AO230" i="1"/>
  <c r="K204" i="1"/>
  <c r="L204" i="1"/>
  <c r="M204" i="1"/>
  <c r="N204" i="1" s="1"/>
  <c r="V204" i="1"/>
  <c r="Y204" i="1"/>
  <c r="Z204" i="1"/>
  <c r="AA204" i="1" s="1"/>
  <c r="AB204" i="1"/>
  <c r="AC204" i="1"/>
  <c r="AD204" i="1"/>
  <c r="AE204" i="1"/>
  <c r="AF204" i="1"/>
  <c r="AH231" i="1"/>
  <c r="AM231" i="1"/>
  <c r="AN231" i="1"/>
  <c r="AO231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AH232" i="1"/>
  <c r="AM232" i="1"/>
  <c r="AN232" i="1"/>
  <c r="AO232" i="1"/>
  <c r="K206" i="1"/>
  <c r="L206" i="1"/>
  <c r="M206" i="1"/>
  <c r="N206" i="1" s="1"/>
  <c r="V206" i="1"/>
  <c r="Y206" i="1"/>
  <c r="Z206" i="1"/>
  <c r="AB206" i="1"/>
  <c r="AC206" i="1"/>
  <c r="AD206" i="1"/>
  <c r="X207" i="1" s="1"/>
  <c r="AE206" i="1"/>
  <c r="AF206" i="1"/>
  <c r="AH233" i="1"/>
  <c r="AM233" i="1"/>
  <c r="AN233" i="1"/>
  <c r="AO233" i="1"/>
  <c r="K208" i="1"/>
  <c r="L208" i="1"/>
  <c r="M208" i="1"/>
  <c r="N208" i="1" s="1"/>
  <c r="V208" i="1"/>
  <c r="Y208" i="1"/>
  <c r="Z208" i="1"/>
  <c r="AB208" i="1"/>
  <c r="AC208" i="1"/>
  <c r="AD208" i="1"/>
  <c r="X208" i="1" s="1"/>
  <c r="AE208" i="1"/>
  <c r="AF208" i="1"/>
  <c r="AH234" i="1"/>
  <c r="AM234" i="1"/>
  <c r="AN234" i="1"/>
  <c r="AO234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235" i="1"/>
  <c r="AM235" i="1"/>
  <c r="AN235" i="1"/>
  <c r="AO235" i="1"/>
  <c r="K210" i="1"/>
  <c r="L210" i="1"/>
  <c r="M210" i="1"/>
  <c r="N210" i="1" s="1"/>
  <c r="V210" i="1"/>
  <c r="S36" i="3" s="1"/>
  <c r="Y210" i="1"/>
  <c r="Z210" i="1"/>
  <c r="AB210" i="1"/>
  <c r="AC210" i="1"/>
  <c r="AD210" i="1"/>
  <c r="X211" i="1" s="1"/>
  <c r="AE210" i="1"/>
  <c r="R36" i="3" s="1"/>
  <c r="AF210" i="1"/>
  <c r="AH236" i="1"/>
  <c r="AM236" i="1"/>
  <c r="AN236" i="1"/>
  <c r="AO236" i="1"/>
  <c r="K212" i="1"/>
  <c r="L212" i="1"/>
  <c r="M212" i="1"/>
  <c r="N212" i="1" s="1"/>
  <c r="V212" i="1"/>
  <c r="S24" i="3" s="1"/>
  <c r="Y212" i="1"/>
  <c r="Z212" i="1"/>
  <c r="AB212" i="1"/>
  <c r="AC212" i="1"/>
  <c r="AD212" i="1"/>
  <c r="X212" i="1" s="1"/>
  <c r="AE212" i="1"/>
  <c r="R24" i="3" s="1"/>
  <c r="AF212" i="1"/>
  <c r="AH237" i="1"/>
  <c r="AM237" i="1"/>
  <c r="AN237" i="1"/>
  <c r="AO237" i="1"/>
  <c r="K244" i="1"/>
  <c r="L244" i="1"/>
  <c r="M244" i="1"/>
  <c r="N244" i="1" s="1"/>
  <c r="V244" i="1"/>
  <c r="Y244" i="1"/>
  <c r="Z244" i="1"/>
  <c r="AB244" i="1"/>
  <c r="AC244" i="1"/>
  <c r="AD244" i="1"/>
  <c r="AE244" i="1"/>
  <c r="AF244" i="1"/>
  <c r="AH238" i="1"/>
  <c r="AM238" i="1"/>
  <c r="AN238" i="1"/>
  <c r="AO238" i="1"/>
  <c r="K245" i="1"/>
  <c r="L245" i="1"/>
  <c r="M245" i="1"/>
  <c r="N245" i="1" s="1"/>
  <c r="V245" i="1"/>
  <c r="Y245" i="1"/>
  <c r="Z245" i="1"/>
  <c r="AA245" i="1" s="1"/>
  <c r="AB245" i="1"/>
  <c r="AC245" i="1"/>
  <c r="AD245" i="1"/>
  <c r="AE245" i="1"/>
  <c r="AF245" i="1"/>
  <c r="AH239" i="1"/>
  <c r="AM239" i="1"/>
  <c r="AN239" i="1"/>
  <c r="AO239" i="1"/>
  <c r="K227" i="1"/>
  <c r="L227" i="1"/>
  <c r="M227" i="1"/>
  <c r="N227" i="1" s="1"/>
  <c r="V227" i="1"/>
  <c r="Y227" i="1"/>
  <c r="Z227" i="1"/>
  <c r="AB227" i="1"/>
  <c r="AC227" i="1"/>
  <c r="AD227" i="1"/>
  <c r="AE227" i="1"/>
  <c r="AF227" i="1"/>
  <c r="AH240" i="1"/>
  <c r="AM240" i="1"/>
  <c r="AN240" i="1"/>
  <c r="AO240" i="1"/>
  <c r="K228" i="1"/>
  <c r="L228" i="1"/>
  <c r="M228" i="1"/>
  <c r="N228" i="1" s="1"/>
  <c r="V228" i="1"/>
  <c r="S43" i="3" s="1"/>
  <c r="Y228" i="1"/>
  <c r="Z228" i="1"/>
  <c r="AB228" i="1"/>
  <c r="AC228" i="1"/>
  <c r="AD228" i="1"/>
  <c r="AE228" i="1"/>
  <c r="R43" i="3" s="1"/>
  <c r="AF228" i="1"/>
  <c r="AH241" i="1"/>
  <c r="AM241" i="1"/>
  <c r="AN241" i="1"/>
  <c r="AO241" i="1"/>
  <c r="K229" i="1"/>
  <c r="L229" i="1"/>
  <c r="M229" i="1"/>
  <c r="N229" i="1" s="1"/>
  <c r="V229" i="1"/>
  <c r="S41" i="3" s="1"/>
  <c r="Y229" i="1"/>
  <c r="AA229" i="1" s="1"/>
  <c r="Z229" i="1"/>
  <c r="AB229" i="1"/>
  <c r="AC229" i="1"/>
  <c r="AD229" i="1"/>
  <c r="AE229" i="1"/>
  <c r="R41" i="3" s="1"/>
  <c r="AF229" i="1"/>
  <c r="AH242" i="1"/>
  <c r="AM242" i="1"/>
  <c r="AN242" i="1"/>
  <c r="AO242" i="1"/>
  <c r="K230" i="1"/>
  <c r="L230" i="1"/>
  <c r="M230" i="1"/>
  <c r="N230" i="1" s="1"/>
  <c r="V230" i="1"/>
  <c r="Y230" i="1"/>
  <c r="Z230" i="1"/>
  <c r="AB230" i="1"/>
  <c r="AC230" i="1"/>
  <c r="AD230" i="1"/>
  <c r="AE230" i="1"/>
  <c r="AF230" i="1"/>
  <c r="AH243" i="1"/>
  <c r="AM243" i="1"/>
  <c r="AN243" i="1"/>
  <c r="AO243" i="1"/>
  <c r="K231" i="1"/>
  <c r="L231" i="1"/>
  <c r="M231" i="1"/>
  <c r="N231" i="1" s="1"/>
  <c r="V231" i="1"/>
  <c r="S44" i="3" s="1"/>
  <c r="Y231" i="1"/>
  <c r="Z231" i="1"/>
  <c r="AB231" i="1"/>
  <c r="AC231" i="1"/>
  <c r="AD231" i="1"/>
  <c r="AE231" i="1"/>
  <c r="R44" i="3" s="1"/>
  <c r="AF231" i="1"/>
  <c r="AH244" i="1"/>
  <c r="AM244" i="1"/>
  <c r="AN244" i="1"/>
  <c r="AO244" i="1"/>
  <c r="K232" i="1"/>
  <c r="L232" i="1"/>
  <c r="M232" i="1"/>
  <c r="N232" i="1" s="1"/>
  <c r="V232" i="1"/>
  <c r="Y232" i="1"/>
  <c r="Z232" i="1"/>
  <c r="AB232" i="1"/>
  <c r="AC232" i="1"/>
  <c r="AD232" i="1"/>
  <c r="AE232" i="1"/>
  <c r="AF232" i="1"/>
  <c r="AH245" i="1"/>
  <c r="AM245" i="1"/>
  <c r="AN245" i="1"/>
  <c r="AO245" i="1"/>
  <c r="M13" i="3"/>
  <c r="U13" i="3"/>
  <c r="T13" i="3" s="1"/>
  <c r="V13" i="3"/>
  <c r="X13" i="3"/>
  <c r="M43" i="3"/>
  <c r="U43" i="3"/>
  <c r="AC43" i="3" s="1"/>
  <c r="V43" i="3"/>
  <c r="X43" i="3"/>
  <c r="M25" i="3"/>
  <c r="U25" i="3"/>
  <c r="AC25" i="3" s="1"/>
  <c r="V25" i="3"/>
  <c r="X25" i="3"/>
  <c r="M10" i="3"/>
  <c r="S10" i="3"/>
  <c r="U10" i="3"/>
  <c r="T10" i="3" s="1"/>
  <c r="V10" i="3"/>
  <c r="X10" i="3"/>
  <c r="M18" i="3"/>
  <c r="R18" i="3"/>
  <c r="S18" i="3"/>
  <c r="U18" i="3"/>
  <c r="T18" i="3" s="1"/>
  <c r="V18" i="3"/>
  <c r="X18" i="3"/>
  <c r="M33" i="3"/>
  <c r="U33" i="3"/>
  <c r="V33" i="3"/>
  <c r="X33" i="3"/>
  <c r="M16" i="3"/>
  <c r="U16" i="3"/>
  <c r="AC16" i="3" s="1"/>
  <c r="V16" i="3"/>
  <c r="X16" i="3"/>
  <c r="M26" i="3"/>
  <c r="U26" i="3"/>
  <c r="V26" i="3"/>
  <c r="X26" i="3"/>
  <c r="M41" i="3"/>
  <c r="U41" i="3"/>
  <c r="T41" i="3" s="1"/>
  <c r="V41" i="3"/>
  <c r="X41" i="3"/>
  <c r="M22" i="3"/>
  <c r="R22" i="3"/>
  <c r="U22" i="3"/>
  <c r="V22" i="3"/>
  <c r="X22" i="3"/>
  <c r="M19" i="3"/>
  <c r="U19" i="3"/>
  <c r="AC19" i="3" s="1"/>
  <c r="V19" i="3"/>
  <c r="X19" i="3"/>
  <c r="M30" i="3"/>
  <c r="U30" i="3"/>
  <c r="T30" i="3" s="1"/>
  <c r="V30" i="3"/>
  <c r="X30" i="3"/>
  <c r="M7" i="3"/>
  <c r="S7" i="3"/>
  <c r="U7" i="3"/>
  <c r="AC7" i="3" s="1"/>
  <c r="V7" i="3"/>
  <c r="X7" i="3"/>
  <c r="M12" i="3"/>
  <c r="U12" i="3"/>
  <c r="AC12" i="3" s="1"/>
  <c r="V12" i="3"/>
  <c r="X12" i="3"/>
  <c r="M45" i="3"/>
  <c r="U45" i="3"/>
  <c r="T45" i="3" s="1"/>
  <c r="V45" i="3"/>
  <c r="X45" i="3"/>
  <c r="M8" i="3"/>
  <c r="U8" i="3"/>
  <c r="T8" i="3" s="1"/>
  <c r="V8" i="3"/>
  <c r="X8" i="3"/>
  <c r="M20" i="3"/>
  <c r="R20" i="3"/>
  <c r="U20" i="3"/>
  <c r="AD20" i="3" s="1"/>
  <c r="V20" i="3"/>
  <c r="X20" i="3"/>
  <c r="M32" i="3"/>
  <c r="U32" i="3"/>
  <c r="AC32" i="3" s="1"/>
  <c r="V32" i="3"/>
  <c r="X32" i="3"/>
  <c r="M11" i="3"/>
  <c r="U11" i="3"/>
  <c r="T11" i="3" s="1"/>
  <c r="V11" i="3"/>
  <c r="X11" i="3"/>
  <c r="M31" i="3"/>
  <c r="U31" i="3"/>
  <c r="T31" i="3" s="1"/>
  <c r="V31" i="3"/>
  <c r="X31" i="3"/>
  <c r="M44" i="3"/>
  <c r="U44" i="3"/>
  <c r="V44" i="3"/>
  <c r="X44" i="3"/>
  <c r="M28" i="3"/>
  <c r="R28" i="3"/>
  <c r="S28" i="3"/>
  <c r="U28" i="3"/>
  <c r="AC28" i="3" s="1"/>
  <c r="V28" i="3"/>
  <c r="X28" i="3"/>
  <c r="M21" i="3"/>
  <c r="U21" i="3"/>
  <c r="V21" i="3"/>
  <c r="X21" i="3"/>
  <c r="M37" i="3"/>
  <c r="R37" i="3"/>
  <c r="S37" i="3"/>
  <c r="U37" i="3"/>
  <c r="T37" i="3" s="1"/>
  <c r="V37" i="3"/>
  <c r="X37" i="3"/>
  <c r="M38" i="3"/>
  <c r="U38" i="3"/>
  <c r="AD38" i="3" s="1"/>
  <c r="V38" i="3"/>
  <c r="X38" i="3"/>
  <c r="M14" i="3"/>
  <c r="U14" i="3"/>
  <c r="AC14" i="3" s="1"/>
  <c r="V14" i="3"/>
  <c r="X14" i="3"/>
  <c r="M39" i="3"/>
  <c r="R39" i="3"/>
  <c r="S39" i="3"/>
  <c r="U39" i="3"/>
  <c r="T39" i="3" s="1"/>
  <c r="V39" i="3"/>
  <c r="X39" i="3"/>
  <c r="M34" i="3"/>
  <c r="U34" i="3"/>
  <c r="T34" i="3" s="1"/>
  <c r="V34" i="3"/>
  <c r="X34" i="3"/>
  <c r="M35" i="3"/>
  <c r="U35" i="3"/>
  <c r="AC35" i="3" s="1"/>
  <c r="V35" i="3"/>
  <c r="X35" i="3"/>
  <c r="M27" i="3"/>
  <c r="U27" i="3"/>
  <c r="AC27" i="3" s="1"/>
  <c r="V27" i="3"/>
  <c r="X27" i="3"/>
  <c r="M40" i="3"/>
  <c r="R40" i="3"/>
  <c r="S40" i="3"/>
  <c r="U40" i="3"/>
  <c r="T40" i="3" s="1"/>
  <c r="V40" i="3"/>
  <c r="X40" i="3"/>
  <c r="M29" i="3"/>
  <c r="R29" i="3"/>
  <c r="S29" i="3"/>
  <c r="U29" i="3"/>
  <c r="T29" i="3" s="1"/>
  <c r="V29" i="3"/>
  <c r="X29" i="3"/>
  <c r="M36" i="3"/>
  <c r="U36" i="3"/>
  <c r="V36" i="3"/>
  <c r="X36" i="3"/>
  <c r="M24" i="3"/>
  <c r="U24" i="3"/>
  <c r="AC24" i="3" s="1"/>
  <c r="V24" i="3"/>
  <c r="X24" i="3"/>
  <c r="M9" i="3"/>
  <c r="U9" i="3"/>
  <c r="V9" i="3"/>
  <c r="X9" i="3"/>
  <c r="M15" i="3"/>
  <c r="R15" i="3"/>
  <c r="S15" i="3"/>
  <c r="U15" i="3"/>
  <c r="T15" i="3" s="1"/>
  <c r="V15" i="3"/>
  <c r="X15" i="3"/>
  <c r="M23" i="3"/>
  <c r="U23" i="3"/>
  <c r="V23" i="3"/>
  <c r="X23" i="3"/>
  <c r="M17" i="3"/>
  <c r="U17" i="3"/>
  <c r="AC17" i="3" s="1"/>
  <c r="V17" i="3"/>
  <c r="X17" i="3"/>
  <c r="AG148" i="1"/>
  <c r="AG135" i="1"/>
  <c r="AG107" i="1"/>
  <c r="AG14" i="1"/>
  <c r="AG18" i="1"/>
  <c r="AG22" i="1"/>
  <c r="AG26" i="1"/>
  <c r="AG30" i="1"/>
  <c r="AG34" i="1"/>
  <c r="AG15" i="1"/>
  <c r="AG20" i="1"/>
  <c r="AG25" i="1"/>
  <c r="AG31" i="1"/>
  <c r="AG36" i="1"/>
  <c r="AG40" i="1"/>
  <c r="AG44" i="1"/>
  <c r="AG48" i="1"/>
  <c r="AG56" i="1"/>
  <c r="AG60" i="1"/>
  <c r="AG64" i="1"/>
  <c r="AG72" i="1"/>
  <c r="AG82" i="1"/>
  <c r="AG98" i="1"/>
  <c r="AG142" i="1"/>
  <c r="AG156" i="1"/>
  <c r="AG93" i="1"/>
  <c r="AG110" i="1"/>
  <c r="AG126" i="1"/>
  <c r="AG152" i="1"/>
  <c r="AG175" i="1"/>
  <c r="AG245" i="1"/>
  <c r="AG219" i="1"/>
  <c r="AG165" i="1"/>
  <c r="AG187" i="1"/>
  <c r="AG214" i="1"/>
  <c r="AG159" i="1"/>
  <c r="AG188" i="1"/>
  <c r="AG244" i="1"/>
  <c r="AG162" i="1"/>
  <c r="AG16" i="1"/>
  <c r="AG21" i="1"/>
  <c r="AG27" i="1"/>
  <c r="AG32" i="1"/>
  <c r="AG37" i="1"/>
  <c r="AG41" i="1"/>
  <c r="AG45" i="1"/>
  <c r="AG49" i="1"/>
  <c r="AG53" i="1"/>
  <c r="AG57" i="1"/>
  <c r="AG61" i="1"/>
  <c r="AG65" i="1"/>
  <c r="AG69" i="1"/>
  <c r="AG73" i="1"/>
  <c r="AG77" i="1"/>
  <c r="AG84" i="1"/>
  <c r="AG92" i="1"/>
  <c r="AG100" i="1"/>
  <c r="AG109" i="1"/>
  <c r="AG138" i="1"/>
  <c r="AG143" i="1"/>
  <c r="AG79" i="1"/>
  <c r="AG87" i="1"/>
  <c r="AG95" i="1"/>
  <c r="AG103" i="1"/>
  <c r="AG112" i="1"/>
  <c r="AG120" i="1"/>
  <c r="AG128" i="1"/>
  <c r="AG141" i="1"/>
  <c r="AG155" i="1"/>
  <c r="AG119" i="1"/>
  <c r="AG181" i="1"/>
  <c r="AG202" i="1"/>
  <c r="AG228" i="1"/>
  <c r="AG213" i="1"/>
  <c r="AG221" i="1"/>
  <c r="AG235" i="1"/>
  <c r="AG243" i="1"/>
  <c r="AG167" i="1"/>
  <c r="AG177" i="1"/>
  <c r="AG189" i="1"/>
  <c r="AG206" i="1"/>
  <c r="AG222" i="1"/>
  <c r="AG176" i="1"/>
  <c r="AG220" i="1"/>
  <c r="AG157" i="1"/>
  <c r="AG164" i="1"/>
  <c r="AG198" i="1"/>
  <c r="AG200" i="1"/>
  <c r="AG133" i="1"/>
  <c r="AG216" i="1"/>
  <c r="AG170" i="1"/>
  <c r="AG234" i="1"/>
  <c r="AG23" i="1"/>
  <c r="AG28" i="1"/>
  <c r="AG38" i="1"/>
  <c r="AG46" i="1"/>
  <c r="AG54" i="1"/>
  <c r="AG58" i="1"/>
  <c r="AG66" i="1"/>
  <c r="AG74" i="1"/>
  <c r="AG86" i="1"/>
  <c r="AG102" i="1"/>
  <c r="AG139" i="1"/>
  <c r="AG153" i="1"/>
  <c r="AG89" i="1"/>
  <c r="AG105" i="1"/>
  <c r="AG122" i="1"/>
  <c r="AG144" i="1"/>
  <c r="AG127" i="1"/>
  <c r="AG209" i="1"/>
  <c r="AG215" i="1"/>
  <c r="AG237" i="1"/>
  <c r="AG169" i="1"/>
  <c r="AG179" i="1"/>
  <c r="AG230" i="1"/>
  <c r="AG184" i="1"/>
  <c r="AG218" i="1"/>
  <c r="AG208" i="1"/>
  <c r="AG205" i="1"/>
  <c r="AG178" i="1"/>
  <c r="AG166" i="1"/>
  <c r="AG19" i="1"/>
  <c r="AG24" i="1"/>
  <c r="AG29" i="1"/>
  <c r="AG35" i="1"/>
  <c r="AG39" i="1"/>
  <c r="AG51" i="1"/>
  <c r="AG55" i="1"/>
  <c r="AG59" i="1"/>
  <c r="AG67" i="1"/>
  <c r="AG80" i="1"/>
  <c r="AG96" i="1"/>
  <c r="AG140" i="1"/>
  <c r="AG154" i="1"/>
  <c r="AG91" i="1"/>
  <c r="AG116" i="1"/>
  <c r="AG147" i="1"/>
  <c r="AG136" i="1"/>
  <c r="AG212" i="1"/>
  <c r="AG225" i="1"/>
  <c r="AG171" i="1"/>
  <c r="AG199" i="1"/>
  <c r="AG160" i="1"/>
  <c r="AG226" i="1"/>
  <c r="AG229" i="1"/>
  <c r="AG238" i="1"/>
  <c r="AG174" i="1"/>
  <c r="AG137" i="1"/>
  <c r="AG241" i="1"/>
  <c r="AG240" i="1"/>
  <c r="AG210" i="1"/>
  <c r="AG17" i="1"/>
  <c r="AG33" i="1"/>
  <c r="AG42" i="1"/>
  <c r="AG50" i="1"/>
  <c r="AG62" i="1"/>
  <c r="AG70" i="1"/>
  <c r="AG78" i="1"/>
  <c r="AG94" i="1"/>
  <c r="AG111" i="1"/>
  <c r="AG145" i="1"/>
  <c r="AG81" i="1"/>
  <c r="AG97" i="1"/>
  <c r="AG114" i="1"/>
  <c r="AG130" i="1"/>
  <c r="AG115" i="1"/>
  <c r="AG185" i="1"/>
  <c r="AG121" i="1"/>
  <c r="AG223" i="1"/>
  <c r="AG161" i="1"/>
  <c r="AG194" i="1"/>
  <c r="AG236" i="1"/>
  <c r="AG242" i="1"/>
  <c r="AG172" i="1"/>
  <c r="AG231" i="1"/>
  <c r="AG224" i="1"/>
  <c r="AG43" i="1"/>
  <c r="AG71" i="1"/>
  <c r="AG104" i="1"/>
  <c r="AG83" i="1"/>
  <c r="AG108" i="1"/>
  <c r="AG123" i="1"/>
  <c r="AG129" i="1"/>
  <c r="AG239" i="1"/>
  <c r="AG183" i="1"/>
  <c r="AG193" i="1"/>
  <c r="AG180" i="1"/>
  <c r="AG227" i="1"/>
  <c r="AG52" i="1"/>
  <c r="AG68" i="1"/>
  <c r="AG76" i="1"/>
  <c r="AG90" i="1"/>
  <c r="AG106" i="1"/>
  <c r="AG149" i="1"/>
  <c r="AG85" i="1"/>
  <c r="AG101" i="1"/>
  <c r="AG118" i="1"/>
  <c r="AG134" i="1"/>
  <c r="AG131" i="1"/>
  <c r="AG197" i="1"/>
  <c r="AG158" i="1"/>
  <c r="AG233" i="1"/>
  <c r="AG173" i="1"/>
  <c r="AG204" i="1"/>
  <c r="AG168" i="1"/>
  <c r="AG125" i="1"/>
  <c r="AG196" i="1"/>
  <c r="AG117" i="1"/>
  <c r="AG190" i="1"/>
  <c r="AG47" i="1"/>
  <c r="AG63" i="1"/>
  <c r="AG75" i="1"/>
  <c r="AG88" i="1"/>
  <c r="AG113" i="1"/>
  <c r="AG146" i="1"/>
  <c r="AG99" i="1"/>
  <c r="AG124" i="1"/>
  <c r="AG132" i="1"/>
  <c r="AG192" i="1"/>
  <c r="AG217" i="1"/>
  <c r="AG163" i="1"/>
  <c r="AG232" i="1"/>
  <c r="AG182" i="1"/>
  <c r="AG203" i="1"/>
  <c r="AG186" i="1"/>
  <c r="W43" i="3"/>
  <c r="W20" i="3"/>
  <c r="W36" i="3"/>
  <c r="W11" i="3"/>
  <c r="W8" i="3"/>
  <c r="W12" i="3"/>
  <c r="W24" i="3"/>
  <c r="W34" i="3"/>
  <c r="W26" i="3"/>
  <c r="W13" i="3"/>
  <c r="W33" i="3"/>
  <c r="W44" i="3"/>
  <c r="W23" i="3"/>
  <c r="W21" i="3"/>
  <c r="W25" i="3"/>
  <c r="W32" i="3"/>
  <c r="W40" i="3"/>
  <c r="W29" i="3"/>
  <c r="W18" i="3"/>
  <c r="W7" i="3"/>
  <c r="W35" i="3"/>
  <c r="W17" i="3"/>
  <c r="W30" i="3"/>
  <c r="W19" i="3"/>
  <c r="W14" i="3"/>
  <c r="W37" i="3"/>
  <c r="W10" i="3"/>
  <c r="W39" i="3"/>
  <c r="W22" i="3"/>
  <c r="W38" i="3"/>
  <c r="W27" i="3"/>
  <c r="W9" i="3"/>
  <c r="W16" i="3"/>
  <c r="W28" i="3"/>
  <c r="W31" i="3"/>
  <c r="W15" i="3"/>
  <c r="W45" i="3"/>
  <c r="W41" i="3"/>
  <c r="AA230" i="1" l="1"/>
  <c r="W230" i="1" s="1"/>
  <c r="AA225" i="1"/>
  <c r="W225" i="1" s="1"/>
  <c r="X213" i="1"/>
  <c r="AA145" i="1"/>
  <c r="AA141" i="1"/>
  <c r="AA137" i="1"/>
  <c r="W137" i="1" s="1"/>
  <c r="AA52" i="1"/>
  <c r="AA44" i="1"/>
  <c r="AA36" i="1"/>
  <c r="W36" i="1" s="1"/>
  <c r="AA31" i="1"/>
  <c r="W31" i="1" s="1"/>
  <c r="AA133" i="1"/>
  <c r="AA94" i="1"/>
  <c r="X70" i="1"/>
  <c r="X66" i="1"/>
  <c r="X45" i="1"/>
  <c r="X209" i="1"/>
  <c r="X197" i="1"/>
  <c r="AA192" i="1"/>
  <c r="W192" i="1" s="1"/>
  <c r="AA175" i="1"/>
  <c r="AA215" i="1"/>
  <c r="AA129" i="1"/>
  <c r="AA232" i="1"/>
  <c r="W232" i="1" s="1"/>
  <c r="AA228" i="1"/>
  <c r="AA212" i="1"/>
  <c r="AA206" i="1"/>
  <c r="W206" i="1" s="1"/>
  <c r="AA200" i="1"/>
  <c r="W200" i="1" s="1"/>
  <c r="X193" i="1"/>
  <c r="AA181" i="1"/>
  <c r="AA167" i="1"/>
  <c r="W167" i="1" s="1"/>
  <c r="AA243" i="1"/>
  <c r="W243" i="1" s="1"/>
  <c r="AA223" i="1"/>
  <c r="AA217" i="1"/>
  <c r="AA213" i="1"/>
  <c r="W213" i="1" s="1"/>
  <c r="AA155" i="1"/>
  <c r="W155" i="1" s="1"/>
  <c r="AA104" i="1"/>
  <c r="AA82" i="1"/>
  <c r="AA78" i="1"/>
  <c r="AA75" i="1"/>
  <c r="W75" i="1" s="1"/>
  <c r="AA71" i="1"/>
  <c r="X67" i="1"/>
  <c r="X63" i="1"/>
  <c r="AA56" i="1"/>
  <c r="W56" i="1" s="1"/>
  <c r="X47" i="1"/>
  <c r="AA38" i="1"/>
  <c r="AA35" i="1"/>
  <c r="W35" i="1" s="1"/>
  <c r="AA30" i="1"/>
  <c r="W30" i="1" s="1"/>
  <c r="AE38" i="3"/>
  <c r="AD43" i="3"/>
  <c r="AD30" i="3"/>
  <c r="AI148" i="1"/>
  <c r="U148" i="1"/>
  <c r="S148" i="1" s="1"/>
  <c r="W148" i="1"/>
  <c r="X148" i="1"/>
  <c r="R35" i="3"/>
  <c r="AC10" i="3"/>
  <c r="X135" i="1"/>
  <c r="U135" i="1"/>
  <c r="S135" i="1" s="1"/>
  <c r="AI135" i="1"/>
  <c r="W135" i="1"/>
  <c r="R30" i="3"/>
  <c r="AD39" i="3"/>
  <c r="AD44" i="3"/>
  <c r="AE30" i="3"/>
  <c r="AD25" i="3"/>
  <c r="AC45" i="3"/>
  <c r="X107" i="1"/>
  <c r="AI107" i="1"/>
  <c r="U107" i="1"/>
  <c r="S107" i="1" s="1"/>
  <c r="W107" i="1"/>
  <c r="AD35" i="3"/>
  <c r="S8" i="3"/>
  <c r="AC40" i="3"/>
  <c r="S35" i="3"/>
  <c r="AD29" i="3"/>
  <c r="AD32" i="3"/>
  <c r="AD16" i="3"/>
  <c r="AC13" i="3"/>
  <c r="AD34" i="3"/>
  <c r="AC11" i="3"/>
  <c r="AC20" i="3"/>
  <c r="AD13" i="3"/>
  <c r="AA205" i="1"/>
  <c r="W205" i="1" s="1"/>
  <c r="AA194" i="1"/>
  <c r="AA185" i="1"/>
  <c r="AA177" i="1"/>
  <c r="W177" i="1" s="1"/>
  <c r="AA169" i="1"/>
  <c r="W169" i="1" s="1"/>
  <c r="AA161" i="1"/>
  <c r="AA220" i="1"/>
  <c r="AA159" i="1"/>
  <c r="AA154" i="1"/>
  <c r="W154" i="1" s="1"/>
  <c r="AA149" i="1"/>
  <c r="AA144" i="1"/>
  <c r="AA140" i="1"/>
  <c r="W140" i="1" s="1"/>
  <c r="AA126" i="1"/>
  <c r="W126" i="1" s="1"/>
  <c r="AA125" i="1"/>
  <c r="AA120" i="1"/>
  <c r="AA119" i="1"/>
  <c r="AA115" i="1"/>
  <c r="W115" i="1" s="1"/>
  <c r="AA111" i="1"/>
  <c r="AA96" i="1"/>
  <c r="AA84" i="1"/>
  <c r="W84" i="1" s="1"/>
  <c r="AA77" i="1"/>
  <c r="AA74" i="1"/>
  <c r="AA64" i="1"/>
  <c r="AA61" i="1"/>
  <c r="X44" i="1"/>
  <c r="X38" i="1"/>
  <c r="AA32" i="1"/>
  <c r="AA208" i="1"/>
  <c r="AA197" i="1"/>
  <c r="W197" i="1" s="1"/>
  <c r="AA187" i="1"/>
  <c r="AA179" i="1"/>
  <c r="AA171" i="1"/>
  <c r="W171" i="1" s="1"/>
  <c r="AA163" i="1"/>
  <c r="W163" i="1" s="1"/>
  <c r="X64" i="1"/>
  <c r="AA62" i="1"/>
  <c r="X58" i="1"/>
  <c r="AA47" i="1"/>
  <c r="W47" i="1" s="1"/>
  <c r="AA202" i="1"/>
  <c r="AA216" i="1"/>
  <c r="AA156" i="1"/>
  <c r="W156" i="1" s="1"/>
  <c r="AA152" i="1"/>
  <c r="AA146" i="1"/>
  <c r="AA142" i="1"/>
  <c r="AA138" i="1"/>
  <c r="W138" i="1" s="1"/>
  <c r="AA118" i="1"/>
  <c r="W118" i="1" s="1"/>
  <c r="AA117" i="1"/>
  <c r="AA113" i="1"/>
  <c r="AA99" i="1"/>
  <c r="AA98" i="1"/>
  <c r="W98" i="1" s="1"/>
  <c r="AA93" i="1"/>
  <c r="AA80" i="1"/>
  <c r="AA72" i="1"/>
  <c r="T70" i="1"/>
  <c r="T69" i="1"/>
  <c r="T68" i="1"/>
  <c r="T67" i="1"/>
  <c r="U67" i="1" s="1"/>
  <c r="S67" i="1" s="1"/>
  <c r="T66" i="1"/>
  <c r="T65" i="1"/>
  <c r="X62" i="1"/>
  <c r="AA60" i="1"/>
  <c r="W60" i="1" s="1"/>
  <c r="X59" i="1"/>
  <c r="AA54" i="1"/>
  <c r="AA48" i="1"/>
  <c r="AA42" i="1"/>
  <c r="W42" i="1" s="1"/>
  <c r="AA40" i="1"/>
  <c r="W40" i="1" s="1"/>
  <c r="AA39" i="1"/>
  <c r="AA34" i="1"/>
  <c r="X26" i="1"/>
  <c r="AA244" i="1"/>
  <c r="AA231" i="1"/>
  <c r="AA210" i="1"/>
  <c r="AA227" i="1"/>
  <c r="AA209" i="1"/>
  <c r="W209" i="1" s="1"/>
  <c r="S30" i="3"/>
  <c r="AA114" i="1"/>
  <c r="T56" i="1"/>
  <c r="T54" i="1"/>
  <c r="T52" i="1"/>
  <c r="T42" i="1"/>
  <c r="AA199" i="1"/>
  <c r="AA198" i="1"/>
  <c r="W198" i="1" s="1"/>
  <c r="AA196" i="1"/>
  <c r="AA193" i="1"/>
  <c r="AA190" i="1"/>
  <c r="AA188" i="1"/>
  <c r="W188" i="1" s="1"/>
  <c r="AA186" i="1"/>
  <c r="AA184" i="1"/>
  <c r="AA182" i="1"/>
  <c r="W182" i="1" s="1"/>
  <c r="AA180" i="1"/>
  <c r="AA178" i="1"/>
  <c r="AA176" i="1"/>
  <c r="AA174" i="1"/>
  <c r="AA172" i="1"/>
  <c r="W172" i="1" s="1"/>
  <c r="AA170" i="1"/>
  <c r="AA168" i="1"/>
  <c r="AA166" i="1"/>
  <c r="W166" i="1" s="1"/>
  <c r="AA164" i="1"/>
  <c r="AA162" i="1"/>
  <c r="AA160" i="1"/>
  <c r="AA242" i="1"/>
  <c r="AA240" i="1"/>
  <c r="W240" i="1" s="1"/>
  <c r="AA238" i="1"/>
  <c r="AA236" i="1"/>
  <c r="AA234" i="1"/>
  <c r="W234" i="1" s="1"/>
  <c r="AA226" i="1"/>
  <c r="AA224" i="1"/>
  <c r="AA222" i="1"/>
  <c r="AA124" i="1"/>
  <c r="AA123" i="1"/>
  <c r="W123" i="1" s="1"/>
  <c r="AA121" i="1"/>
  <c r="AA110" i="1"/>
  <c r="AA109" i="1"/>
  <c r="W109" i="1" s="1"/>
  <c r="AA101" i="1"/>
  <c r="AA100" i="1"/>
  <c r="AA90" i="1"/>
  <c r="AA88" i="1"/>
  <c r="W88" i="1" s="1"/>
  <c r="AA86" i="1"/>
  <c r="W86" i="1" s="1"/>
  <c r="X50" i="1"/>
  <c r="X40" i="1"/>
  <c r="X18" i="1"/>
  <c r="X16" i="1"/>
  <c r="AA15" i="1"/>
  <c r="AA128" i="1"/>
  <c r="AA112" i="1"/>
  <c r="AA103" i="1"/>
  <c r="W103" i="1" s="1"/>
  <c r="AA55" i="1"/>
  <c r="AA53" i="1"/>
  <c r="AA51" i="1"/>
  <c r="W51" i="1" s="1"/>
  <c r="T45" i="1"/>
  <c r="U45" i="1" s="1"/>
  <c r="S45" i="1" s="1"/>
  <c r="AA41" i="1"/>
  <c r="X36" i="1"/>
  <c r="AA27" i="1"/>
  <c r="W27" i="1" s="1"/>
  <c r="AA26" i="1"/>
  <c r="W26" i="1" s="1"/>
  <c r="AA132" i="1"/>
  <c r="AA116" i="1"/>
  <c r="AA105" i="1"/>
  <c r="AA97" i="1"/>
  <c r="W97" i="1" s="1"/>
  <c r="AA57" i="1"/>
  <c r="X55" i="1"/>
  <c r="X53" i="1"/>
  <c r="X46" i="1"/>
  <c r="AA45" i="1"/>
  <c r="AA43" i="1"/>
  <c r="AA37" i="1"/>
  <c r="AA33" i="1"/>
  <c r="AA25" i="1"/>
  <c r="AA24" i="1"/>
  <c r="AA23" i="1"/>
  <c r="AA22" i="1"/>
  <c r="AA21" i="1"/>
  <c r="AA20" i="1"/>
  <c r="AA19" i="1"/>
  <c r="AA18" i="1"/>
  <c r="W18" i="1" s="1"/>
  <c r="X17" i="1"/>
  <c r="AA16" i="1"/>
  <c r="X15" i="1"/>
  <c r="AA14" i="1"/>
  <c r="AI220" i="1"/>
  <c r="AI202" i="1"/>
  <c r="AI192" i="1"/>
  <c r="AI175" i="1"/>
  <c r="AI236" i="1"/>
  <c r="AI216" i="1"/>
  <c r="AI206" i="1"/>
  <c r="AI197" i="1"/>
  <c r="AI187" i="1"/>
  <c r="AI179" i="1"/>
  <c r="AI171" i="1"/>
  <c r="AI163" i="1"/>
  <c r="AI117" i="1"/>
  <c r="W117" i="1"/>
  <c r="AI240" i="1"/>
  <c r="W227" i="1"/>
  <c r="AI232" i="1"/>
  <c r="AI133" i="1"/>
  <c r="W133" i="1"/>
  <c r="AI238" i="1"/>
  <c r="AI230" i="1"/>
  <c r="AI244" i="1"/>
  <c r="AI228" i="1"/>
  <c r="AI224" i="1"/>
  <c r="AI242" i="1"/>
  <c r="AI234" i="1"/>
  <c r="AI226" i="1"/>
  <c r="AI218" i="1"/>
  <c r="AI209" i="1"/>
  <c r="AI199" i="1"/>
  <c r="AI189" i="1"/>
  <c r="AI181" i="1"/>
  <c r="AI173" i="1"/>
  <c r="AI165" i="1"/>
  <c r="AI157" i="1"/>
  <c r="AI125" i="1"/>
  <c r="W125" i="1"/>
  <c r="AI212" i="1"/>
  <c r="AI183" i="1"/>
  <c r="AI167" i="1"/>
  <c r="AI159" i="1"/>
  <c r="AI222" i="1"/>
  <c r="AI214" i="1"/>
  <c r="AI204" i="1"/>
  <c r="AI194" i="1"/>
  <c r="AI185" i="1"/>
  <c r="AI177" i="1"/>
  <c r="AI169" i="1"/>
  <c r="AI161" i="1"/>
  <c r="AI245" i="1"/>
  <c r="AI243" i="1"/>
  <c r="AI233" i="1"/>
  <c r="AI231" i="1"/>
  <c r="AI227" i="1"/>
  <c r="AI223" i="1"/>
  <c r="AI219" i="1"/>
  <c r="AI217" i="1"/>
  <c r="AI213" i="1"/>
  <c r="AI208" i="1"/>
  <c r="AI205" i="1"/>
  <c r="AI200" i="1"/>
  <c r="AI198" i="1"/>
  <c r="AI196" i="1"/>
  <c r="AI193" i="1"/>
  <c r="AI190" i="1"/>
  <c r="AI188" i="1"/>
  <c r="AI186" i="1"/>
  <c r="AI184" i="1"/>
  <c r="AI182" i="1"/>
  <c r="AI180" i="1"/>
  <c r="AI178" i="1"/>
  <c r="AI176" i="1"/>
  <c r="AI174" i="1"/>
  <c r="AI172" i="1"/>
  <c r="AI170" i="1"/>
  <c r="AI168" i="1"/>
  <c r="AI166" i="1"/>
  <c r="AI164" i="1"/>
  <c r="AI162" i="1"/>
  <c r="AI160" i="1"/>
  <c r="AI158" i="1"/>
  <c r="AI129" i="1"/>
  <c r="W129" i="1"/>
  <c r="AI121" i="1"/>
  <c r="W121" i="1"/>
  <c r="AI241" i="1"/>
  <c r="AI239" i="1"/>
  <c r="AI237" i="1"/>
  <c r="AI235" i="1"/>
  <c r="AI229" i="1"/>
  <c r="AI225" i="1"/>
  <c r="AI221" i="1"/>
  <c r="AI215" i="1"/>
  <c r="AI210" i="1"/>
  <c r="AI203" i="1"/>
  <c r="AI136" i="1"/>
  <c r="AI127" i="1"/>
  <c r="AI119" i="1"/>
  <c r="AI131" i="1"/>
  <c r="AI123" i="1"/>
  <c r="AI115" i="1"/>
  <c r="AI155" i="1"/>
  <c r="AI152" i="1"/>
  <c r="AI147" i="1"/>
  <c r="AI144" i="1"/>
  <c r="AI141" i="1"/>
  <c r="AI134" i="1"/>
  <c r="AI132" i="1"/>
  <c r="AI130" i="1"/>
  <c r="AI128" i="1"/>
  <c r="AI126" i="1"/>
  <c r="AI124" i="1"/>
  <c r="AI122" i="1"/>
  <c r="AI120" i="1"/>
  <c r="AI118" i="1"/>
  <c r="AI116" i="1"/>
  <c r="AI114" i="1"/>
  <c r="AI112" i="1"/>
  <c r="AI110" i="1"/>
  <c r="AI108" i="1"/>
  <c r="AI105" i="1"/>
  <c r="AI103" i="1"/>
  <c r="AI101" i="1"/>
  <c r="AI99" i="1"/>
  <c r="AI97" i="1"/>
  <c r="AI95" i="1"/>
  <c r="AI93" i="1"/>
  <c r="AI91" i="1"/>
  <c r="AI89" i="1"/>
  <c r="AI87" i="1"/>
  <c r="AI85" i="1"/>
  <c r="AI83" i="1"/>
  <c r="AI81" i="1"/>
  <c r="AI79" i="1"/>
  <c r="AI156" i="1"/>
  <c r="AI154" i="1"/>
  <c r="AI153" i="1"/>
  <c r="AI149" i="1"/>
  <c r="AI146" i="1"/>
  <c r="AI145" i="1"/>
  <c r="AI143" i="1"/>
  <c r="AI142" i="1"/>
  <c r="AI140" i="1"/>
  <c r="AI139" i="1"/>
  <c r="AI138" i="1"/>
  <c r="AI137" i="1"/>
  <c r="AI113" i="1"/>
  <c r="AI111" i="1"/>
  <c r="AI109" i="1"/>
  <c r="AI106" i="1"/>
  <c r="W106" i="1"/>
  <c r="AI104" i="1"/>
  <c r="AI102" i="1"/>
  <c r="AI100" i="1"/>
  <c r="AI98" i="1"/>
  <c r="AI96" i="1"/>
  <c r="AI94" i="1"/>
  <c r="AI92" i="1"/>
  <c r="AI90" i="1"/>
  <c r="AI88" i="1"/>
  <c r="AI86" i="1"/>
  <c r="AI84" i="1"/>
  <c r="AI82" i="1"/>
  <c r="AI80" i="1"/>
  <c r="AI78" i="1"/>
  <c r="AI77" i="1"/>
  <c r="U76" i="1"/>
  <c r="S76" i="1" s="1"/>
  <c r="AI76" i="1"/>
  <c r="U75" i="1"/>
  <c r="S75" i="1" s="1"/>
  <c r="AI75" i="1"/>
  <c r="U74" i="1"/>
  <c r="S74" i="1" s="1"/>
  <c r="W74" i="1"/>
  <c r="AI74" i="1"/>
  <c r="U73" i="1"/>
  <c r="S73" i="1" s="1"/>
  <c r="W73" i="1"/>
  <c r="AI73" i="1"/>
  <c r="U72" i="1"/>
  <c r="S72" i="1" s="1"/>
  <c r="AI72" i="1"/>
  <c r="U71" i="1"/>
  <c r="S71" i="1" s="1"/>
  <c r="AI71" i="1"/>
  <c r="AI70" i="1"/>
  <c r="U70" i="1"/>
  <c r="S70" i="1" s="1"/>
  <c r="AI69" i="1"/>
  <c r="U69" i="1"/>
  <c r="AI68" i="1"/>
  <c r="U68" i="1"/>
  <c r="AI67" i="1"/>
  <c r="AI66" i="1"/>
  <c r="U66" i="1"/>
  <c r="S66" i="1" s="1"/>
  <c r="AI65" i="1"/>
  <c r="U65" i="1"/>
  <c r="S65" i="1" s="1"/>
  <c r="U64" i="1"/>
  <c r="S64" i="1" s="1"/>
  <c r="AI64" i="1"/>
  <c r="AI63" i="1"/>
  <c r="U62" i="1"/>
  <c r="S62" i="1" s="1"/>
  <c r="AI62" i="1"/>
  <c r="U61" i="1"/>
  <c r="S61" i="1" s="1"/>
  <c r="AI61" i="1"/>
  <c r="U60" i="1"/>
  <c r="S60" i="1" s="1"/>
  <c r="AI60" i="1"/>
  <c r="AI59" i="1"/>
  <c r="U58" i="1"/>
  <c r="S58" i="1" s="1"/>
  <c r="AI58" i="1"/>
  <c r="AI57" i="1"/>
  <c r="U56" i="1"/>
  <c r="S56" i="1" s="1"/>
  <c r="AI56" i="1"/>
  <c r="U55" i="1"/>
  <c r="S55" i="1" s="1"/>
  <c r="AI55" i="1"/>
  <c r="U54" i="1"/>
  <c r="S54" i="1" s="1"/>
  <c r="AI54" i="1"/>
  <c r="U53" i="1"/>
  <c r="S53" i="1" s="1"/>
  <c r="AI53" i="1"/>
  <c r="U52" i="1"/>
  <c r="S52" i="1" s="1"/>
  <c r="AI52" i="1"/>
  <c r="AI51" i="1"/>
  <c r="U50" i="1"/>
  <c r="S50" i="1" s="1"/>
  <c r="AI50" i="1"/>
  <c r="AI49" i="1"/>
  <c r="U48" i="1"/>
  <c r="S48" i="1" s="1"/>
  <c r="AI48" i="1"/>
  <c r="AI47" i="1"/>
  <c r="U46" i="1"/>
  <c r="S46" i="1" s="1"/>
  <c r="AI46" i="1"/>
  <c r="AI45" i="1"/>
  <c r="U44" i="1"/>
  <c r="S44" i="1" s="1"/>
  <c r="AI44" i="1"/>
  <c r="AI43" i="1"/>
  <c r="U42" i="1"/>
  <c r="S42" i="1" s="1"/>
  <c r="AI42" i="1"/>
  <c r="AI41" i="1"/>
  <c r="U40" i="1"/>
  <c r="S40" i="1" s="1"/>
  <c r="AI40" i="1"/>
  <c r="AI39" i="1"/>
  <c r="U38" i="1"/>
  <c r="AI38" i="1"/>
  <c r="AI37" i="1"/>
  <c r="U36" i="1"/>
  <c r="S36" i="1" s="1"/>
  <c r="AI36" i="1"/>
  <c r="AI35" i="1"/>
  <c r="U34" i="1"/>
  <c r="S34" i="1" s="1"/>
  <c r="AI34" i="1"/>
  <c r="AI33" i="1"/>
  <c r="U32" i="1"/>
  <c r="S32" i="1" s="1"/>
  <c r="AI32" i="1"/>
  <c r="AI31" i="1"/>
  <c r="U30" i="1"/>
  <c r="S30" i="1" s="1"/>
  <c r="AI30" i="1"/>
  <c r="AI29" i="1"/>
  <c r="U28" i="1"/>
  <c r="S28" i="1" s="1"/>
  <c r="AI28" i="1"/>
  <c r="AI27" i="1"/>
  <c r="U26" i="1"/>
  <c r="S26" i="1" s="1"/>
  <c r="AI26" i="1"/>
  <c r="AI25" i="1"/>
  <c r="U24" i="1"/>
  <c r="S24" i="1" s="1"/>
  <c r="AI24" i="1"/>
  <c r="AI23" i="1"/>
  <c r="AI22" i="1"/>
  <c r="U22" i="1"/>
  <c r="S22" i="1" s="1"/>
  <c r="AI21" i="1"/>
  <c r="AI20" i="1"/>
  <c r="U20" i="1"/>
  <c r="S20" i="1" s="1"/>
  <c r="AI19" i="1"/>
  <c r="AI18" i="1"/>
  <c r="U18" i="1"/>
  <c r="S18" i="1" s="1"/>
  <c r="AI17" i="1"/>
  <c r="U17" i="1"/>
  <c r="S17" i="1" s="1"/>
  <c r="AI16" i="1"/>
  <c r="U16" i="1"/>
  <c r="S16" i="1" s="1"/>
  <c r="AI15" i="1"/>
  <c r="U15" i="1"/>
  <c r="S15" i="1" s="1"/>
  <c r="AI14" i="1"/>
  <c r="U14" i="1"/>
  <c r="S14" i="1" s="1"/>
  <c r="W203" i="1"/>
  <c r="W208" i="1"/>
  <c r="W229" i="1"/>
  <c r="W244" i="1"/>
  <c r="W210" i="1"/>
  <c r="W231" i="1"/>
  <c r="W199" i="1"/>
  <c r="T230" i="1"/>
  <c r="U230" i="1" s="1"/>
  <c r="S230" i="1" s="1"/>
  <c r="X230" i="1"/>
  <c r="T209" i="1"/>
  <c r="U209" i="1" s="1"/>
  <c r="S209" i="1" s="1"/>
  <c r="W184" i="1"/>
  <c r="W160" i="1"/>
  <c r="W222" i="1"/>
  <c r="W216" i="1"/>
  <c r="T228" i="1"/>
  <c r="U228" i="1" s="1"/>
  <c r="S228" i="1" s="1"/>
  <c r="X228" i="1"/>
  <c r="W212" i="1"/>
  <c r="W194" i="1"/>
  <c r="W185" i="1"/>
  <c r="W180" i="1"/>
  <c r="W164" i="1"/>
  <c r="W161" i="1"/>
  <c r="W237" i="1"/>
  <c r="W226" i="1"/>
  <c r="W223" i="1"/>
  <c r="W220" i="1"/>
  <c r="W215" i="1"/>
  <c r="W159" i="1"/>
  <c r="T155" i="1"/>
  <c r="U155" i="1" s="1"/>
  <c r="S155" i="1" s="1"/>
  <c r="X155" i="1"/>
  <c r="T153" i="1"/>
  <c r="U153" i="1" s="1"/>
  <c r="S153" i="1" s="1"/>
  <c r="X153" i="1"/>
  <c r="T147" i="1"/>
  <c r="U147" i="1" s="1"/>
  <c r="S147" i="1" s="1"/>
  <c r="X147" i="1"/>
  <c r="T145" i="1"/>
  <c r="U145" i="1" s="1"/>
  <c r="S145" i="1" s="1"/>
  <c r="X145" i="1"/>
  <c r="T143" i="1"/>
  <c r="U143" i="1" s="1"/>
  <c r="S143" i="1" s="1"/>
  <c r="X143" i="1"/>
  <c r="T141" i="1"/>
  <c r="U141" i="1" s="1"/>
  <c r="S141" i="1" s="1"/>
  <c r="X141" i="1"/>
  <c r="T139" i="1"/>
  <c r="U139" i="1" s="1"/>
  <c r="S139" i="1" s="1"/>
  <c r="X139" i="1"/>
  <c r="T137" i="1"/>
  <c r="U137" i="1" s="1"/>
  <c r="S137" i="1" s="1"/>
  <c r="W124" i="1"/>
  <c r="W102" i="1"/>
  <c r="W100" i="1"/>
  <c r="T97" i="1"/>
  <c r="U97" i="1" s="1"/>
  <c r="S97" i="1" s="1"/>
  <c r="X97" i="1"/>
  <c r="W228" i="1"/>
  <c r="T199" i="1"/>
  <c r="U199" i="1" s="1"/>
  <c r="S199" i="1" s="1"/>
  <c r="X199" i="1"/>
  <c r="W189" i="1"/>
  <c r="W181" i="1"/>
  <c r="W173" i="1"/>
  <c r="W165" i="1"/>
  <c r="W241" i="1"/>
  <c r="W233" i="1"/>
  <c r="W219" i="1"/>
  <c r="W158" i="1"/>
  <c r="T156" i="1"/>
  <c r="U156" i="1" s="1"/>
  <c r="S156" i="1" s="1"/>
  <c r="X156" i="1"/>
  <c r="T154" i="1"/>
  <c r="U154" i="1" s="1"/>
  <c r="S154" i="1" s="1"/>
  <c r="X154" i="1"/>
  <c r="T152" i="1"/>
  <c r="U152" i="1" s="1"/>
  <c r="S152" i="1" s="1"/>
  <c r="T149" i="1"/>
  <c r="U149" i="1" s="1"/>
  <c r="S149" i="1" s="1"/>
  <c r="T146" i="1"/>
  <c r="U146" i="1" s="1"/>
  <c r="S146" i="1" s="1"/>
  <c r="X146" i="1"/>
  <c r="T144" i="1"/>
  <c r="U144" i="1" s="1"/>
  <c r="S144" i="1" s="1"/>
  <c r="X144" i="1"/>
  <c r="T142" i="1"/>
  <c r="U142" i="1" s="1"/>
  <c r="S142" i="1" s="1"/>
  <c r="X142" i="1"/>
  <c r="T140" i="1"/>
  <c r="U140" i="1" s="1"/>
  <c r="S140" i="1" s="1"/>
  <c r="X140" i="1"/>
  <c r="T138" i="1"/>
  <c r="U138" i="1" s="1"/>
  <c r="S138" i="1" s="1"/>
  <c r="X138" i="1"/>
  <c r="W134" i="1"/>
  <c r="T120" i="1"/>
  <c r="U120" i="1" s="1"/>
  <c r="S120" i="1" s="1"/>
  <c r="X120" i="1"/>
  <c r="W112" i="1"/>
  <c r="W111" i="1"/>
  <c r="T105" i="1"/>
  <c r="U105" i="1" s="1"/>
  <c r="S105" i="1" s="1"/>
  <c r="X105" i="1"/>
  <c r="W95" i="1"/>
  <c r="W245" i="1"/>
  <c r="W204" i="1"/>
  <c r="T245" i="1"/>
  <c r="U245" i="1" s="1"/>
  <c r="S245" i="1" s="1"/>
  <c r="X245" i="1"/>
  <c r="T204" i="1"/>
  <c r="U204" i="1" s="1"/>
  <c r="S204" i="1" s="1"/>
  <c r="X204" i="1"/>
  <c r="W202" i="1"/>
  <c r="T232" i="1"/>
  <c r="U232" i="1" s="1"/>
  <c r="S232" i="1" s="1"/>
  <c r="X232" i="1"/>
  <c r="T212" i="1"/>
  <c r="U212" i="1" s="1"/>
  <c r="S212" i="1" s="1"/>
  <c r="T202" i="1"/>
  <c r="U202" i="1" s="1"/>
  <c r="S202" i="1" s="1"/>
  <c r="W190" i="1"/>
  <c r="W187" i="1"/>
  <c r="W179" i="1"/>
  <c r="W174" i="1"/>
  <c r="W242" i="1"/>
  <c r="W239" i="1"/>
  <c r="W217" i="1"/>
  <c r="AA214" i="1"/>
  <c r="W214" i="1" s="1"/>
  <c r="W152" i="1"/>
  <c r="W149" i="1"/>
  <c r="W146" i="1"/>
  <c r="W144" i="1"/>
  <c r="W142" i="1"/>
  <c r="W132" i="1"/>
  <c r="W131" i="1"/>
  <c r="W120" i="1"/>
  <c r="W119" i="1"/>
  <c r="W104" i="1"/>
  <c r="W193" i="1"/>
  <c r="W176" i="1"/>
  <c r="W168" i="1"/>
  <c r="W236" i="1"/>
  <c r="W128" i="1"/>
  <c r="W127" i="1"/>
  <c r="W92" i="1"/>
  <c r="T206" i="1"/>
  <c r="U206" i="1" s="1"/>
  <c r="S206" i="1" s="1"/>
  <c r="X206" i="1"/>
  <c r="W196" i="1"/>
  <c r="W186" i="1"/>
  <c r="W183" i="1"/>
  <c r="W178" i="1"/>
  <c r="W175" i="1"/>
  <c r="W170" i="1"/>
  <c r="W162" i="1"/>
  <c r="W238" i="1"/>
  <c r="W235" i="1"/>
  <c r="W224" i="1"/>
  <c r="W221" i="1"/>
  <c r="AA218" i="1"/>
  <c r="W218" i="1" s="1"/>
  <c r="AA157" i="1"/>
  <c r="W157" i="1" s="1"/>
  <c r="W153" i="1"/>
  <c r="W147" i="1"/>
  <c r="W145" i="1"/>
  <c r="W143" i="1"/>
  <c r="W141" i="1"/>
  <c r="W139" i="1"/>
  <c r="W136" i="1"/>
  <c r="T128" i="1"/>
  <c r="U128" i="1" s="1"/>
  <c r="S128" i="1" s="1"/>
  <c r="X128" i="1"/>
  <c r="W116" i="1"/>
  <c r="W113" i="1"/>
  <c r="W96" i="1"/>
  <c r="T189" i="1"/>
  <c r="U189" i="1" s="1"/>
  <c r="S189" i="1" s="1"/>
  <c r="X189" i="1"/>
  <c r="T175" i="1"/>
  <c r="U175" i="1" s="1"/>
  <c r="X175" i="1"/>
  <c r="T132" i="1"/>
  <c r="U132" i="1" s="1"/>
  <c r="S132" i="1" s="1"/>
  <c r="X132" i="1"/>
  <c r="W130" i="1"/>
  <c r="T124" i="1"/>
  <c r="U124" i="1" s="1"/>
  <c r="S124" i="1" s="1"/>
  <c r="X124" i="1"/>
  <c r="W122" i="1"/>
  <c r="T116" i="1"/>
  <c r="U116" i="1" s="1"/>
  <c r="S116" i="1" s="1"/>
  <c r="X116" i="1"/>
  <c r="W114" i="1"/>
  <c r="T110" i="1"/>
  <c r="U110" i="1" s="1"/>
  <c r="S110" i="1" s="1"/>
  <c r="X110" i="1"/>
  <c r="W108" i="1"/>
  <c r="T101" i="1"/>
  <c r="U101" i="1" s="1"/>
  <c r="S101" i="1" s="1"/>
  <c r="X101" i="1"/>
  <c r="W99" i="1"/>
  <c r="W91" i="1"/>
  <c r="W89" i="1"/>
  <c r="W87" i="1"/>
  <c r="W85" i="1"/>
  <c r="W83" i="1"/>
  <c r="W82" i="1"/>
  <c r="W81" i="1"/>
  <c r="W80" i="1"/>
  <c r="W79" i="1"/>
  <c r="W78" i="1"/>
  <c r="W77" i="1"/>
  <c r="W76" i="1"/>
  <c r="T194" i="1"/>
  <c r="U194" i="1" s="1"/>
  <c r="S194" i="1" s="1"/>
  <c r="X194" i="1"/>
  <c r="T192" i="1"/>
  <c r="U192" i="1" s="1"/>
  <c r="S192" i="1" s="1"/>
  <c r="T185" i="1"/>
  <c r="U185" i="1" s="1"/>
  <c r="X185" i="1"/>
  <c r="T183" i="1"/>
  <c r="U183" i="1" s="1"/>
  <c r="S183" i="1" s="1"/>
  <c r="X183" i="1"/>
  <c r="T179" i="1"/>
  <c r="U179" i="1" s="1"/>
  <c r="X179" i="1"/>
  <c r="T177" i="1"/>
  <c r="U177" i="1" s="1"/>
  <c r="S177" i="1" s="1"/>
  <c r="X177" i="1"/>
  <c r="T231" i="1"/>
  <c r="U231" i="1" s="1"/>
  <c r="S231" i="1" s="1"/>
  <c r="X231" i="1"/>
  <c r="T229" i="1"/>
  <c r="U229" i="1" s="1"/>
  <c r="S229" i="1" s="1"/>
  <c r="X229" i="1"/>
  <c r="T227" i="1"/>
  <c r="U227" i="1" s="1"/>
  <c r="S227" i="1" s="1"/>
  <c r="X227" i="1"/>
  <c r="T244" i="1"/>
  <c r="U244" i="1" s="1"/>
  <c r="S244" i="1" s="1"/>
  <c r="X244" i="1"/>
  <c r="T210" i="1"/>
  <c r="U210" i="1" s="1"/>
  <c r="S210" i="1" s="1"/>
  <c r="X210" i="1"/>
  <c r="T208" i="1"/>
  <c r="U208" i="1" s="1"/>
  <c r="S208" i="1" s="1"/>
  <c r="T205" i="1"/>
  <c r="U205" i="1" s="1"/>
  <c r="S205" i="1" s="1"/>
  <c r="X205" i="1"/>
  <c r="T203" i="1"/>
  <c r="U203" i="1" s="1"/>
  <c r="S203" i="1" s="1"/>
  <c r="T200" i="1"/>
  <c r="U200" i="1" s="1"/>
  <c r="S200" i="1" s="1"/>
  <c r="X200" i="1"/>
  <c r="T198" i="1"/>
  <c r="U198" i="1" s="1"/>
  <c r="S198" i="1" s="1"/>
  <c r="T196" i="1"/>
  <c r="U196" i="1" s="1"/>
  <c r="S196" i="1" s="1"/>
  <c r="T193" i="1"/>
  <c r="U193" i="1" s="1"/>
  <c r="S193" i="1" s="1"/>
  <c r="T190" i="1"/>
  <c r="U190" i="1" s="1"/>
  <c r="S190" i="1" s="1"/>
  <c r="X190" i="1"/>
  <c r="T188" i="1"/>
  <c r="U188" i="1" s="1"/>
  <c r="S188" i="1" s="1"/>
  <c r="X188" i="1"/>
  <c r="T186" i="1"/>
  <c r="U186" i="1" s="1"/>
  <c r="S186" i="1" s="1"/>
  <c r="X186" i="1"/>
  <c r="T184" i="1"/>
  <c r="U184" i="1" s="1"/>
  <c r="S184" i="1" s="1"/>
  <c r="X184" i="1"/>
  <c r="T182" i="1"/>
  <c r="U182" i="1" s="1"/>
  <c r="S182" i="1" s="1"/>
  <c r="X182" i="1"/>
  <c r="T180" i="1"/>
  <c r="U180" i="1" s="1"/>
  <c r="S180" i="1" s="1"/>
  <c r="X180" i="1"/>
  <c r="T178" i="1"/>
  <c r="U178" i="1" s="1"/>
  <c r="X178" i="1"/>
  <c r="T176" i="1"/>
  <c r="U176" i="1" s="1"/>
  <c r="S176" i="1" s="1"/>
  <c r="X176" i="1"/>
  <c r="T174" i="1"/>
  <c r="U174" i="1" s="1"/>
  <c r="S174" i="1" s="1"/>
  <c r="X174" i="1"/>
  <c r="T172" i="1"/>
  <c r="U172" i="1" s="1"/>
  <c r="X172" i="1"/>
  <c r="T170" i="1"/>
  <c r="U170" i="1" s="1"/>
  <c r="S170" i="1" s="1"/>
  <c r="X170" i="1"/>
  <c r="T168" i="1"/>
  <c r="U168" i="1" s="1"/>
  <c r="S168" i="1" s="1"/>
  <c r="X168" i="1"/>
  <c r="T166" i="1"/>
  <c r="U166" i="1" s="1"/>
  <c r="S166" i="1" s="1"/>
  <c r="X166" i="1"/>
  <c r="T164" i="1"/>
  <c r="U164" i="1" s="1"/>
  <c r="S164" i="1" s="1"/>
  <c r="X164" i="1"/>
  <c r="T162" i="1"/>
  <c r="U162" i="1" s="1"/>
  <c r="S162" i="1" s="1"/>
  <c r="X162" i="1"/>
  <c r="T160" i="1"/>
  <c r="U160" i="1" s="1"/>
  <c r="S160" i="1" s="1"/>
  <c r="X160" i="1"/>
  <c r="T242" i="1"/>
  <c r="U242" i="1" s="1"/>
  <c r="S242" i="1" s="1"/>
  <c r="X242" i="1"/>
  <c r="T240" i="1"/>
  <c r="U240" i="1" s="1"/>
  <c r="S240" i="1" s="1"/>
  <c r="X240" i="1"/>
  <c r="T238" i="1"/>
  <c r="U238" i="1" s="1"/>
  <c r="S238" i="1" s="1"/>
  <c r="X238" i="1"/>
  <c r="T236" i="1"/>
  <c r="U236" i="1" s="1"/>
  <c r="S236" i="1" s="1"/>
  <c r="X236" i="1"/>
  <c r="T234" i="1"/>
  <c r="U234" i="1" s="1"/>
  <c r="S234" i="1" s="1"/>
  <c r="X234" i="1"/>
  <c r="T226" i="1"/>
  <c r="U226" i="1" s="1"/>
  <c r="S226" i="1" s="1"/>
  <c r="X226" i="1"/>
  <c r="T224" i="1"/>
  <c r="U224" i="1" s="1"/>
  <c r="S224" i="1" s="1"/>
  <c r="X224" i="1"/>
  <c r="T222" i="1"/>
  <c r="U222" i="1" s="1"/>
  <c r="S222" i="1" s="1"/>
  <c r="X222" i="1"/>
  <c r="T220" i="1"/>
  <c r="U220" i="1" s="1"/>
  <c r="S220" i="1" s="1"/>
  <c r="X220" i="1"/>
  <c r="T218" i="1"/>
  <c r="U218" i="1" s="1"/>
  <c r="S218" i="1" s="1"/>
  <c r="X218" i="1"/>
  <c r="T216" i="1"/>
  <c r="U216" i="1" s="1"/>
  <c r="S216" i="1" s="1"/>
  <c r="X216" i="1"/>
  <c r="T214" i="1"/>
  <c r="U214" i="1" s="1"/>
  <c r="S214" i="1" s="1"/>
  <c r="X214" i="1"/>
  <c r="T159" i="1"/>
  <c r="U159" i="1" s="1"/>
  <c r="S159" i="1" s="1"/>
  <c r="X159" i="1"/>
  <c r="T157" i="1"/>
  <c r="U157" i="1" s="1"/>
  <c r="S157" i="1" s="1"/>
  <c r="X157" i="1"/>
  <c r="T130" i="1"/>
  <c r="U130" i="1" s="1"/>
  <c r="S130" i="1" s="1"/>
  <c r="X130" i="1"/>
  <c r="T122" i="1"/>
  <c r="U122" i="1" s="1"/>
  <c r="S122" i="1" s="1"/>
  <c r="X122" i="1"/>
  <c r="T114" i="1"/>
  <c r="U114" i="1" s="1"/>
  <c r="S114" i="1" s="1"/>
  <c r="X114" i="1"/>
  <c r="T108" i="1"/>
  <c r="U108" i="1" s="1"/>
  <c r="S108" i="1" s="1"/>
  <c r="W105" i="1"/>
  <c r="T99" i="1"/>
  <c r="U99" i="1" s="1"/>
  <c r="S99" i="1" s="1"/>
  <c r="X99" i="1"/>
  <c r="W93" i="1"/>
  <c r="W90" i="1"/>
  <c r="W72" i="1"/>
  <c r="W71" i="1"/>
  <c r="W48" i="1"/>
  <c r="T197" i="1"/>
  <c r="U197" i="1" s="1"/>
  <c r="S197" i="1" s="1"/>
  <c r="T187" i="1"/>
  <c r="U187" i="1" s="1"/>
  <c r="S187" i="1" s="1"/>
  <c r="X187" i="1"/>
  <c r="T181" i="1"/>
  <c r="U181" i="1" s="1"/>
  <c r="S181" i="1" s="1"/>
  <c r="X181" i="1"/>
  <c r="T173" i="1"/>
  <c r="U173" i="1" s="1"/>
  <c r="X173" i="1"/>
  <c r="T171" i="1"/>
  <c r="U171" i="1" s="1"/>
  <c r="S171" i="1" s="1"/>
  <c r="X171" i="1"/>
  <c r="T169" i="1"/>
  <c r="U169" i="1" s="1"/>
  <c r="S169" i="1" s="1"/>
  <c r="X169" i="1"/>
  <c r="T167" i="1"/>
  <c r="U167" i="1" s="1"/>
  <c r="S167" i="1" s="1"/>
  <c r="X167" i="1"/>
  <c r="T165" i="1"/>
  <c r="U165" i="1" s="1"/>
  <c r="S165" i="1" s="1"/>
  <c r="X165" i="1"/>
  <c r="T163" i="1"/>
  <c r="U163" i="1" s="1"/>
  <c r="S163" i="1" s="1"/>
  <c r="X163" i="1"/>
  <c r="T161" i="1"/>
  <c r="U161" i="1" s="1"/>
  <c r="S161" i="1" s="1"/>
  <c r="X161" i="1"/>
  <c r="T243" i="1"/>
  <c r="U243" i="1" s="1"/>
  <c r="S243" i="1" s="1"/>
  <c r="X243" i="1"/>
  <c r="T241" i="1"/>
  <c r="U241" i="1" s="1"/>
  <c r="S241" i="1" s="1"/>
  <c r="X241" i="1"/>
  <c r="T239" i="1"/>
  <c r="U239" i="1" s="1"/>
  <c r="S239" i="1" s="1"/>
  <c r="X239" i="1"/>
  <c r="T237" i="1"/>
  <c r="U237" i="1" s="1"/>
  <c r="S237" i="1" s="1"/>
  <c r="X237" i="1"/>
  <c r="T235" i="1"/>
  <c r="U235" i="1" s="1"/>
  <c r="S235" i="1" s="1"/>
  <c r="X235" i="1"/>
  <c r="T233" i="1"/>
  <c r="U233" i="1" s="1"/>
  <c r="S233" i="1" s="1"/>
  <c r="X233" i="1"/>
  <c r="T225" i="1"/>
  <c r="U225" i="1" s="1"/>
  <c r="S225" i="1" s="1"/>
  <c r="X225" i="1"/>
  <c r="T223" i="1"/>
  <c r="U223" i="1" s="1"/>
  <c r="S223" i="1" s="1"/>
  <c r="X223" i="1"/>
  <c r="T221" i="1"/>
  <c r="U221" i="1" s="1"/>
  <c r="S221" i="1" s="1"/>
  <c r="X221" i="1"/>
  <c r="T219" i="1"/>
  <c r="U219" i="1" s="1"/>
  <c r="S219" i="1" s="1"/>
  <c r="X219" i="1"/>
  <c r="T217" i="1"/>
  <c r="U217" i="1" s="1"/>
  <c r="S217" i="1" s="1"/>
  <c r="X217" i="1"/>
  <c r="T215" i="1"/>
  <c r="U215" i="1" s="1"/>
  <c r="S215" i="1" s="1"/>
  <c r="X215" i="1"/>
  <c r="T213" i="1"/>
  <c r="U213" i="1" s="1"/>
  <c r="S213" i="1" s="1"/>
  <c r="T158" i="1"/>
  <c r="U158" i="1" s="1"/>
  <c r="S158" i="1" s="1"/>
  <c r="X158" i="1"/>
  <c r="T134" i="1"/>
  <c r="U134" i="1" s="1"/>
  <c r="S134" i="1" s="1"/>
  <c r="X134" i="1"/>
  <c r="T126" i="1"/>
  <c r="U126" i="1" s="1"/>
  <c r="S126" i="1" s="1"/>
  <c r="X126" i="1"/>
  <c r="T118" i="1"/>
  <c r="U118" i="1" s="1"/>
  <c r="S118" i="1" s="1"/>
  <c r="X118" i="1"/>
  <c r="T112" i="1"/>
  <c r="U112" i="1" s="1"/>
  <c r="S112" i="1" s="1"/>
  <c r="X112" i="1"/>
  <c r="W110" i="1"/>
  <c r="T103" i="1"/>
  <c r="U103" i="1" s="1"/>
  <c r="S103" i="1" s="1"/>
  <c r="X103" i="1"/>
  <c r="W101" i="1"/>
  <c r="W94" i="1"/>
  <c r="X57" i="1"/>
  <c r="T57" i="1"/>
  <c r="U57" i="1" s="1"/>
  <c r="S57" i="1" s="1"/>
  <c r="W54" i="1"/>
  <c r="W52" i="1"/>
  <c r="W46" i="1"/>
  <c r="W44" i="1"/>
  <c r="T136" i="1"/>
  <c r="U136" i="1" s="1"/>
  <c r="S136" i="1" s="1"/>
  <c r="T133" i="1"/>
  <c r="U133" i="1" s="1"/>
  <c r="S133" i="1" s="1"/>
  <c r="X133" i="1"/>
  <c r="T131" i="1"/>
  <c r="U131" i="1" s="1"/>
  <c r="S131" i="1" s="1"/>
  <c r="X131" i="1"/>
  <c r="T129" i="1"/>
  <c r="U129" i="1" s="1"/>
  <c r="S129" i="1" s="1"/>
  <c r="X129" i="1"/>
  <c r="T127" i="1"/>
  <c r="U127" i="1" s="1"/>
  <c r="S127" i="1" s="1"/>
  <c r="X127" i="1"/>
  <c r="T125" i="1"/>
  <c r="U125" i="1" s="1"/>
  <c r="S125" i="1" s="1"/>
  <c r="X125" i="1"/>
  <c r="T123" i="1"/>
  <c r="U123" i="1" s="1"/>
  <c r="S123" i="1" s="1"/>
  <c r="X123" i="1"/>
  <c r="T121" i="1"/>
  <c r="U121" i="1" s="1"/>
  <c r="S121" i="1" s="1"/>
  <c r="X121" i="1"/>
  <c r="T119" i="1"/>
  <c r="U119" i="1" s="1"/>
  <c r="S119" i="1" s="1"/>
  <c r="X119" i="1"/>
  <c r="T117" i="1"/>
  <c r="U117" i="1" s="1"/>
  <c r="S117" i="1" s="1"/>
  <c r="X117" i="1"/>
  <c r="T115" i="1"/>
  <c r="U115" i="1" s="1"/>
  <c r="S115" i="1" s="1"/>
  <c r="X115" i="1"/>
  <c r="T113" i="1"/>
  <c r="U113" i="1" s="1"/>
  <c r="S113" i="1" s="1"/>
  <c r="X113" i="1"/>
  <c r="T111" i="1"/>
  <c r="U111" i="1" s="1"/>
  <c r="S111" i="1" s="1"/>
  <c r="X111" i="1"/>
  <c r="T109" i="1"/>
  <c r="U109" i="1" s="1"/>
  <c r="S109" i="1" s="1"/>
  <c r="X109" i="1"/>
  <c r="T106" i="1"/>
  <c r="U106" i="1" s="1"/>
  <c r="S106" i="1" s="1"/>
  <c r="X106" i="1"/>
  <c r="T104" i="1"/>
  <c r="U104" i="1" s="1"/>
  <c r="S104" i="1" s="1"/>
  <c r="X104" i="1"/>
  <c r="T102" i="1"/>
  <c r="U102" i="1" s="1"/>
  <c r="S102" i="1" s="1"/>
  <c r="X102" i="1"/>
  <c r="T100" i="1"/>
  <c r="U100" i="1" s="1"/>
  <c r="S100" i="1" s="1"/>
  <c r="X100" i="1"/>
  <c r="T98" i="1"/>
  <c r="U98" i="1" s="1"/>
  <c r="S98" i="1" s="1"/>
  <c r="X98" i="1"/>
  <c r="T96" i="1"/>
  <c r="U96" i="1" s="1"/>
  <c r="S96" i="1" s="1"/>
  <c r="X96" i="1"/>
  <c r="T94" i="1"/>
  <c r="U94" i="1" s="1"/>
  <c r="S94" i="1" s="1"/>
  <c r="X94" i="1"/>
  <c r="T92" i="1"/>
  <c r="U92" i="1" s="1"/>
  <c r="X92" i="1"/>
  <c r="T90" i="1"/>
  <c r="U90" i="1" s="1"/>
  <c r="S90" i="1" s="1"/>
  <c r="X90" i="1"/>
  <c r="T88" i="1"/>
  <c r="U88" i="1" s="1"/>
  <c r="S88" i="1" s="1"/>
  <c r="X88" i="1"/>
  <c r="T86" i="1"/>
  <c r="U86" i="1" s="1"/>
  <c r="S86" i="1" s="1"/>
  <c r="X86" i="1"/>
  <c r="T84" i="1"/>
  <c r="U84" i="1" s="1"/>
  <c r="S84" i="1" s="1"/>
  <c r="X84" i="1"/>
  <c r="T82" i="1"/>
  <c r="U82" i="1" s="1"/>
  <c r="S82" i="1" s="1"/>
  <c r="X82" i="1"/>
  <c r="T80" i="1"/>
  <c r="U80" i="1" s="1"/>
  <c r="S80" i="1" s="1"/>
  <c r="X80" i="1"/>
  <c r="T78" i="1"/>
  <c r="U78" i="1" s="1"/>
  <c r="S78" i="1" s="1"/>
  <c r="X78" i="1"/>
  <c r="X49" i="1"/>
  <c r="T49" i="1"/>
  <c r="U49" i="1" s="1"/>
  <c r="S49" i="1" s="1"/>
  <c r="T77" i="1"/>
  <c r="U77" i="1" s="1"/>
  <c r="S77" i="1" s="1"/>
  <c r="X77" i="1"/>
  <c r="W63" i="1"/>
  <c r="W59" i="1"/>
  <c r="W58" i="1"/>
  <c r="T95" i="1"/>
  <c r="U95" i="1" s="1"/>
  <c r="S95" i="1" s="1"/>
  <c r="X95" i="1"/>
  <c r="T93" i="1"/>
  <c r="U93" i="1" s="1"/>
  <c r="X93" i="1"/>
  <c r="T91" i="1"/>
  <c r="U91" i="1" s="1"/>
  <c r="S91" i="1" s="1"/>
  <c r="X91" i="1"/>
  <c r="T89" i="1"/>
  <c r="U89" i="1" s="1"/>
  <c r="S89" i="1" s="1"/>
  <c r="X89" i="1"/>
  <c r="T87" i="1"/>
  <c r="U87" i="1" s="1"/>
  <c r="S87" i="1" s="1"/>
  <c r="X87" i="1"/>
  <c r="T85" i="1"/>
  <c r="U85" i="1" s="1"/>
  <c r="S85" i="1" s="1"/>
  <c r="X85" i="1"/>
  <c r="T83" i="1"/>
  <c r="U83" i="1" s="1"/>
  <c r="S83" i="1" s="1"/>
  <c r="X83" i="1"/>
  <c r="T81" i="1"/>
  <c r="U81" i="1" s="1"/>
  <c r="S81" i="1" s="1"/>
  <c r="X81" i="1"/>
  <c r="T79" i="1"/>
  <c r="U79" i="1" s="1"/>
  <c r="S79" i="1" s="1"/>
  <c r="X79" i="1"/>
  <c r="W64" i="1"/>
  <c r="W62" i="1"/>
  <c r="W50" i="1"/>
  <c r="W43" i="1"/>
  <c r="W55" i="1"/>
  <c r="T41" i="1"/>
  <c r="U41" i="1" s="1"/>
  <c r="S41" i="1" s="1"/>
  <c r="X41" i="1"/>
  <c r="W39" i="1"/>
  <c r="W38" i="1"/>
  <c r="W37" i="1"/>
  <c r="W34" i="1"/>
  <c r="W33" i="1"/>
  <c r="W32" i="1"/>
  <c r="W29" i="1"/>
  <c r="W28" i="1"/>
  <c r="T25" i="1"/>
  <c r="U25" i="1" s="1"/>
  <c r="S25" i="1" s="1"/>
  <c r="X25" i="1"/>
  <c r="X23" i="1"/>
  <c r="T23" i="1"/>
  <c r="U23" i="1" s="1"/>
  <c r="S23" i="1" s="1"/>
  <c r="X21" i="1"/>
  <c r="T21" i="1"/>
  <c r="U21" i="1" s="1"/>
  <c r="S21" i="1" s="1"/>
  <c r="X19" i="1"/>
  <c r="T19" i="1"/>
  <c r="U19" i="1" s="1"/>
  <c r="S19" i="1" s="1"/>
  <c r="X76" i="1"/>
  <c r="X75" i="1"/>
  <c r="X74" i="1"/>
  <c r="X73" i="1"/>
  <c r="X72" i="1"/>
  <c r="X71" i="1"/>
  <c r="AA70" i="1"/>
  <c r="W70" i="1" s="1"/>
  <c r="AA69" i="1"/>
  <c r="W69" i="1" s="1"/>
  <c r="AA68" i="1"/>
  <c r="W68" i="1" s="1"/>
  <c r="AA67" i="1"/>
  <c r="W67" i="1" s="1"/>
  <c r="AA66" i="1"/>
  <c r="W66" i="1" s="1"/>
  <c r="AA65" i="1"/>
  <c r="W65" i="1" s="1"/>
  <c r="T59" i="1"/>
  <c r="U59" i="1" s="1"/>
  <c r="S59" i="1" s="1"/>
  <c r="W57" i="1"/>
  <c r="T51" i="1"/>
  <c r="U51" i="1" s="1"/>
  <c r="S51" i="1" s="1"/>
  <c r="W49" i="1"/>
  <c r="T39" i="1"/>
  <c r="U39" i="1" s="1"/>
  <c r="S39" i="1" s="1"/>
  <c r="X39" i="1"/>
  <c r="T37" i="1"/>
  <c r="U37" i="1" s="1"/>
  <c r="S37" i="1" s="1"/>
  <c r="X37" i="1"/>
  <c r="T35" i="1"/>
  <c r="U35" i="1" s="1"/>
  <c r="S35" i="1" s="1"/>
  <c r="X35" i="1"/>
  <c r="T33" i="1"/>
  <c r="U33" i="1" s="1"/>
  <c r="S33" i="1" s="1"/>
  <c r="X33" i="1"/>
  <c r="T31" i="1"/>
  <c r="U31" i="1" s="1"/>
  <c r="S31" i="1" s="1"/>
  <c r="X31" i="1"/>
  <c r="T29" i="1"/>
  <c r="U29" i="1" s="1"/>
  <c r="S29" i="1" s="1"/>
  <c r="X29" i="1"/>
  <c r="T27" i="1"/>
  <c r="U27" i="1" s="1"/>
  <c r="S27" i="1" s="1"/>
  <c r="X27" i="1"/>
  <c r="T63" i="1"/>
  <c r="U63" i="1" s="1"/>
  <c r="S63" i="1" s="1"/>
  <c r="W61" i="1"/>
  <c r="W53" i="1"/>
  <c r="T47" i="1"/>
  <c r="U47" i="1" s="1"/>
  <c r="S47" i="1" s="1"/>
  <c r="W45" i="1"/>
  <c r="T43" i="1"/>
  <c r="U43" i="1" s="1"/>
  <c r="S43" i="1" s="1"/>
  <c r="X43" i="1"/>
  <c r="W41" i="1"/>
  <c r="X32" i="1"/>
  <c r="X30" i="1"/>
  <c r="X28" i="1"/>
  <c r="W25" i="1"/>
  <c r="X24" i="1"/>
  <c r="W23" i="1"/>
  <c r="X22" i="1"/>
  <c r="W21" i="1"/>
  <c r="X20" i="1"/>
  <c r="W19" i="1"/>
  <c r="W17" i="1"/>
  <c r="W15" i="1"/>
  <c r="W24" i="1"/>
  <c r="W22" i="1"/>
  <c r="W20" i="1"/>
  <c r="W16" i="1"/>
  <c r="W14" i="1"/>
  <c r="AD36" i="3"/>
  <c r="AD28" i="3"/>
  <c r="AD27" i="3"/>
  <c r="AE27" i="3"/>
  <c r="AC30" i="3"/>
  <c r="AE19" i="3"/>
  <c r="AC41" i="3"/>
  <c r="AD15" i="3"/>
  <c r="AD31" i="3"/>
  <c r="AD24" i="3"/>
  <c r="AE23" i="3"/>
  <c r="AD19" i="3"/>
  <c r="AD40" i="3"/>
  <c r="AC34" i="3"/>
  <c r="AE34" i="3"/>
  <c r="AC37" i="3"/>
  <c r="AD23" i="3"/>
  <c r="AD21" i="3"/>
  <c r="AD17" i="3"/>
  <c r="AD12" i="3"/>
  <c r="AD11" i="3"/>
  <c r="AE11" i="3"/>
  <c r="AD9" i="3"/>
  <c r="AE15" i="3"/>
  <c r="AD8" i="3"/>
  <c r="AC9" i="3"/>
  <c r="T9" i="3"/>
  <c r="AC36" i="3"/>
  <c r="AC29" i="3"/>
  <c r="AC21" i="3"/>
  <c r="T21" i="3"/>
  <c r="AC44" i="3"/>
  <c r="AC8" i="3"/>
  <c r="AC26" i="3"/>
  <c r="T26" i="3"/>
  <c r="AC33" i="3"/>
  <c r="AC23" i="3"/>
  <c r="AC15" i="3"/>
  <c r="AC39" i="3"/>
  <c r="AC38" i="3"/>
  <c r="AC31" i="3"/>
  <c r="AC22" i="3"/>
  <c r="AC18" i="3"/>
  <c r="Y41" i="3"/>
  <c r="Y18" i="3"/>
  <c r="Y13" i="3"/>
  <c r="Y39" i="3"/>
  <c r="Y45" i="3"/>
  <c r="Y26" i="3"/>
  <c r="Y10" i="3"/>
  <c r="Y15" i="3"/>
  <c r="Y29" i="3"/>
  <c r="Y34" i="3"/>
  <c r="Y37" i="3"/>
  <c r="Y31" i="3"/>
  <c r="Y40" i="3"/>
  <c r="Y24" i="3"/>
  <c r="Y14" i="3"/>
  <c r="Y28" i="3"/>
  <c r="Y32" i="3"/>
  <c r="Y12" i="3"/>
  <c r="Y19" i="3"/>
  <c r="Y16" i="3"/>
  <c r="Y25" i="3"/>
  <c r="Y8" i="3"/>
  <c r="Y30" i="3"/>
  <c r="Y9" i="3"/>
  <c r="Y21" i="3"/>
  <c r="Y11" i="3"/>
  <c r="Y17" i="3"/>
  <c r="Y27" i="3"/>
  <c r="Y23" i="3"/>
  <c r="Y36" i="3"/>
  <c r="Y35" i="3"/>
  <c r="Y38" i="3"/>
  <c r="Y44" i="3"/>
  <c r="Y20" i="3"/>
  <c r="Y7" i="3"/>
  <c r="Y22" i="3"/>
  <c r="Y33" i="3"/>
  <c r="Y43" i="3"/>
  <c r="AE45" i="3"/>
  <c r="AE41" i="3"/>
  <c r="T24" i="3"/>
  <c r="T28" i="3"/>
  <c r="AE26" i="3"/>
  <c r="T32" i="3"/>
  <c r="AE22" i="3"/>
  <c r="T12" i="3"/>
  <c r="AE18" i="3"/>
  <c r="T19" i="3"/>
  <c r="AE14" i="3"/>
  <c r="T16" i="3"/>
  <c r="AE10" i="3"/>
  <c r="T25" i="3"/>
  <c r="T17" i="3"/>
  <c r="AE33" i="3"/>
  <c r="T14" i="3"/>
  <c r="AE44" i="3"/>
  <c r="T23" i="3"/>
  <c r="AD41" i="3"/>
  <c r="AE36" i="3"/>
  <c r="T35" i="3"/>
  <c r="AD33" i="3"/>
  <c r="AE29" i="3"/>
  <c r="T44" i="3"/>
  <c r="AD26" i="3"/>
  <c r="AE25" i="3"/>
  <c r="T20" i="3"/>
  <c r="AD22" i="3"/>
  <c r="AE21" i="3"/>
  <c r="T7" i="3"/>
  <c r="AD18" i="3"/>
  <c r="AE17" i="3"/>
  <c r="T22" i="3"/>
  <c r="AD14" i="3"/>
  <c r="AE13" i="3"/>
  <c r="T33" i="3"/>
  <c r="AD10" i="3"/>
  <c r="AE9" i="3"/>
  <c r="T43" i="3"/>
  <c r="AE37" i="3"/>
  <c r="T27" i="3"/>
  <c r="AD45" i="3"/>
  <c r="AE40" i="3"/>
  <c r="T36" i="3"/>
  <c r="AD37" i="3"/>
  <c r="AE32" i="3"/>
  <c r="T38" i="3"/>
  <c r="AE43" i="3"/>
  <c r="AE39" i="3"/>
  <c r="AE35" i="3"/>
  <c r="AE31" i="3"/>
  <c r="AE28" i="3"/>
  <c r="AE24" i="3"/>
  <c r="AE20" i="3"/>
  <c r="AE16" i="3"/>
  <c r="AE12" i="3"/>
  <c r="AE8" i="3"/>
  <c r="M42" i="3"/>
  <c r="R42" i="3"/>
  <c r="U42" i="3"/>
  <c r="AD42" i="3" s="1"/>
  <c r="V42" i="3"/>
  <c r="X42" i="3"/>
  <c r="S178" i="1" l="1"/>
  <c r="S172" i="1"/>
  <c r="S92" i="1"/>
  <c r="S68" i="1"/>
  <c r="AE42" i="3"/>
  <c r="W42" i="3"/>
  <c r="S42" i="3" l="1"/>
  <c r="AC42" i="3"/>
  <c r="T42" i="3"/>
  <c r="Y42" i="3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B5" i="6" l="1"/>
  <c r="D5" i="6" s="1"/>
  <c r="B4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D4" i="6" s="1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N29" i="3" s="1"/>
  <c r="G228" i="4"/>
  <c r="G229" i="4"/>
  <c r="N36" i="3" s="1"/>
  <c r="G230" i="4"/>
  <c r="G231" i="4"/>
  <c r="N9" i="3" s="1"/>
  <c r="G232" i="4"/>
  <c r="G233" i="4"/>
  <c r="N24" i="3" s="1"/>
  <c r="G234" i="4"/>
  <c r="G235" i="4"/>
  <c r="G236" i="4"/>
  <c r="N15" i="3" s="1"/>
  <c r="G237" i="4"/>
  <c r="G238" i="4"/>
  <c r="G239" i="4"/>
  <c r="G240" i="4"/>
  <c r="N23" i="3" s="1"/>
  <c r="G241" i="4"/>
  <c r="N17" i="3" s="1"/>
  <c r="G242" i="4"/>
  <c r="G243" i="4"/>
  <c r="G244" i="4"/>
  <c r="G245" i="4"/>
  <c r="G246" i="4"/>
  <c r="G247" i="4"/>
  <c r="G248" i="4"/>
  <c r="G249" i="4"/>
  <c r="K13" i="1" l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M23" i="5" l="1"/>
  <c r="V13" i="1" l="1"/>
  <c r="AO13" i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N13" i="3" s="1"/>
  <c r="G24" i="4"/>
  <c r="G25" i="4"/>
  <c r="G26" i="4"/>
  <c r="G27" i="4"/>
  <c r="G28" i="4"/>
  <c r="G29" i="4"/>
  <c r="G30" i="4"/>
  <c r="G31" i="4"/>
  <c r="G32" i="4"/>
  <c r="G33" i="4"/>
  <c r="N43" i="3" s="1"/>
  <c r="G34" i="4"/>
  <c r="G35" i="4"/>
  <c r="G36" i="4"/>
  <c r="N25" i="3" s="1"/>
  <c r="G37" i="4"/>
  <c r="N18" i="3" s="1"/>
  <c r="G38" i="4"/>
  <c r="G39" i="4"/>
  <c r="G40" i="4"/>
  <c r="N10" i="3" s="1"/>
  <c r="G41" i="4"/>
  <c r="G42" i="4"/>
  <c r="N33" i="3" s="1"/>
  <c r="G43" i="4"/>
  <c r="G44" i="4"/>
  <c r="G45" i="4"/>
  <c r="G46" i="4"/>
  <c r="G47" i="4"/>
  <c r="G48" i="4"/>
  <c r="G49" i="4"/>
  <c r="G50" i="4"/>
  <c r="N16" i="3" s="1"/>
  <c r="G51" i="4"/>
  <c r="G52" i="4"/>
  <c r="G53" i="4"/>
  <c r="G54" i="4"/>
  <c r="G55" i="4"/>
  <c r="G56" i="4"/>
  <c r="G57" i="4"/>
  <c r="G58" i="4"/>
  <c r="N26" i="3" s="1"/>
  <c r="G59" i="4"/>
  <c r="G60" i="4"/>
  <c r="N22" i="3" s="1"/>
  <c r="G61" i="4"/>
  <c r="G62" i="4"/>
  <c r="G63" i="4"/>
  <c r="G64" i="4"/>
  <c r="G65" i="4"/>
  <c r="G66" i="4"/>
  <c r="G67" i="4"/>
  <c r="N19" i="3" s="1"/>
  <c r="G68" i="4"/>
  <c r="G69" i="4"/>
  <c r="G70" i="4"/>
  <c r="G71" i="4"/>
  <c r="N41" i="3" s="1"/>
  <c r="G72" i="4"/>
  <c r="G73" i="4"/>
  <c r="G74" i="4"/>
  <c r="G75" i="4"/>
  <c r="G76" i="4"/>
  <c r="G77" i="4"/>
  <c r="N7" i="3" s="1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N12" i="3" s="1"/>
  <c r="G99" i="4"/>
  <c r="G100" i="4"/>
  <c r="G101" i="4"/>
  <c r="G102" i="4"/>
  <c r="N45" i="3" s="1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N32" i="3" s="1"/>
  <c r="G127" i="4"/>
  <c r="G128" i="4"/>
  <c r="G129" i="4"/>
  <c r="N11" i="3" s="1"/>
  <c r="G130" i="4"/>
  <c r="G131" i="4"/>
  <c r="G132" i="4"/>
  <c r="G133" i="4"/>
  <c r="G134" i="4"/>
  <c r="G135" i="4"/>
  <c r="G136" i="4"/>
  <c r="G137" i="4"/>
  <c r="G138" i="4"/>
  <c r="G139" i="4"/>
  <c r="G140" i="4"/>
  <c r="G141" i="4"/>
  <c r="N31" i="3" s="1"/>
  <c r="G142" i="4"/>
  <c r="G143" i="4"/>
  <c r="G144" i="4"/>
  <c r="G145" i="4"/>
  <c r="G146" i="4"/>
  <c r="G147" i="4"/>
  <c r="G148" i="4"/>
  <c r="N21" i="3" s="1"/>
  <c r="G149" i="4"/>
  <c r="G150" i="4"/>
  <c r="N44" i="3" s="1"/>
  <c r="G151" i="4"/>
  <c r="G152" i="4"/>
  <c r="G153" i="4"/>
  <c r="G154" i="4"/>
  <c r="G155" i="4"/>
  <c r="G156" i="4"/>
  <c r="G157" i="4"/>
  <c r="G158" i="4"/>
  <c r="G159" i="4"/>
  <c r="G160" i="4"/>
  <c r="N38" i="3" s="1"/>
  <c r="G161" i="4"/>
  <c r="N14" i="3" s="1"/>
  <c r="G162" i="4"/>
  <c r="G163" i="4"/>
  <c r="G164" i="4"/>
  <c r="G165" i="4"/>
  <c r="G166" i="4"/>
  <c r="G167" i="4"/>
  <c r="G168" i="4"/>
  <c r="N39" i="3" s="1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N27" i="3" s="1"/>
  <c r="G199" i="4"/>
  <c r="G200" i="4"/>
  <c r="G201" i="4"/>
  <c r="G202" i="4"/>
  <c r="G203" i="4"/>
  <c r="N40" i="3" s="1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" i="4"/>
  <c r="N37" i="3" l="1"/>
  <c r="N28" i="3"/>
  <c r="N20" i="3"/>
  <c r="N8" i="3"/>
  <c r="N30" i="3"/>
  <c r="N34" i="3"/>
  <c r="N35" i="3"/>
  <c r="N42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4" i="6" l="1"/>
  <c r="G4" i="6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D3" i="6" l="1"/>
  <c r="I5" i="6"/>
  <c r="G5" i="6"/>
  <c r="F5" i="6"/>
  <c r="H5" i="6"/>
  <c r="J5" i="6"/>
  <c r="G3" i="6" l="1"/>
  <c r="F3" i="6"/>
  <c r="H3" i="6"/>
  <c r="I3" i="6"/>
  <c r="J3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<sst xmlns="http://schemas.openxmlformats.org/spreadsheetml/2006/main" count="2930" uniqueCount="1086">
  <si>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</si>
  <si>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</si>
  <si>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</si>
  <si>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</si>
  <si>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</si>
  <si>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</si>
  <si>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</si>
  <si>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</si>
  <si>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</si>
  <si>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</si>
  <si>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</si>
  <si>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</si>
  <si>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</si>
  <si>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</si>
  <si>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</si>
  <si>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</si>
  <si>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</si>
  <si>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</si>
  <si>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</si>
  <si>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</si>
  <si>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</si>
  <si>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</si>
  <si>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</si>
  <si>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</si>
  <si>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</si>
  <si>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</si>
  <si>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</si>
  <si>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</si>
  <si>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</si>
  <si>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</si>
  <si>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</si>
  <si>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</si>
  <si>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</si>
  <si>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</si>
  <si>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</si>
  <si>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</si>
  <si>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</si>
  <si>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</si>
  <si>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</si>
  <si>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</si>
  <si>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</si>
  <si>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</si>
  <si>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</si>
  <si>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</si>
  <si>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</si>
  <si>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</si>
  <si>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</si>
  <si>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</si>
  <si>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</si>
  <si>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</si>
  <si>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</si>
  <si>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</si>
  <si>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</si>
  <si>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</si>
  <si>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</si>
  <si>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</si>
  <si>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</si>
  <si>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</si>
  <si>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</si>
  <si>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</si>
  <si>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</si>
  <si>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</si>
  <si>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</si>
  <si>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</si>
  <si>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</si>
  <si>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</si>
  <si>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</si>
  <si>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</si>
  <si>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</si>
  <si>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</si>
  <si>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</si>
  <si>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</si>
  <si>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</si>
  <si>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</si>
  <si>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</si>
  <si>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</si>
  <si>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</si>
  <si>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</si>
  <si>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</si>
  <si>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</si>
  <si>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</si>
  <si>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</si>
  <si>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</si>
  <si>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</si>
  <si>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</si>
  <si>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</si>
  <si>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</si>
  <si>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</si>
  <si>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</si>
  <si>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</si>
  <si>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</si>
  <si>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</si>
  <si>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</si>
  <si>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</si>
  <si>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</si>
  <si>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</si>
  <si>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</si>
  <si>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</si>
  <si>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</si>
  <si>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</si>
  <si>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</si>
  <si>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</si>
  <si>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</si>
  <si>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</si>
  <si>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</si>
  <si>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</si>
  <si>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</si>
  <si>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</si>
  <si>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</si>
  <si>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</si>
  <si>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</si>
  <si>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</si>
  <si>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</si>
  <si>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</si>
  <si>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</si>
  <si>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</si>
  <si>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</si>
  <si>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</si>
  <si>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</si>
  <si>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</si>
  <si>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</si>
  <si>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</si>
  <si>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</si>
  <si>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</si>
  <si>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</si>
  <si>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</si>
  <si>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</si>
  <si>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</si>
  <si>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</si>
  <si>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</si>
  <si>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</si>
  <si>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</si>
  <si>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</si>
  <si>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</si>
  <si>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</si>
  <si>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</si>
  <si>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</si>
  <si>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</si>
  <si>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</si>
  <si>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</si>
  <si>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</si>
  <si>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</si>
  <si>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</si>
  <si>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</si>
  <si>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</si>
  <si>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</si>
  <si>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</si>
  <si>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</si>
  <si>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</si>
  <si>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</si>
  <si>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</si>
  <si>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</si>
  <si>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</si>
  <si>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</si>
  <si>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</si>
  <si>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</si>
  <si>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</si>
  <si>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</si>
  <si>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</si>
  <si>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</si>
  <si>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</si>
  <si>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</si>
  <si>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</si>
  <si>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</si>
  <si>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</si>
  <si>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</si>
  <si>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</si>
  <si>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</si>
  <si>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</si>
  <si>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</si>
  <si>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</si>
  <si>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</si>
  <si>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</si>
  <si>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</si>
  <si>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</si>
  <si>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</si>
  <si>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</si>
  <si>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</si>
  <si>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</si>
  <si>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</si>
  <si>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</si>
  <si>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</si>
  <si>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</si>
  <si>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</si>
  <si>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</si>
  <si>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</si>
  <si>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</si>
  <si>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</si>
  <si>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</si>
  <si>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</si>
  <si>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</si>
  <si>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</si>
  <si>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</si>
  <si>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</si>
  <si>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</si>
  <si>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</si>
  <si>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</si>
  <si>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</si>
  <si>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</si>
  <si>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</si>
  <si>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</si>
  <si>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</si>
  <si>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</si>
  <si>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</si>
  <si>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</si>
  <si>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</si>
  <si>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</si>
  <si>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</si>
  <si>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</si>
  <si>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</si>
  <si>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</si>
  <si>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</si>
  <si>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</si>
  <si>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</si>
  <si>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</si>
  <si>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</si>
  <si>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</si>
  <si>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</si>
  <si>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</si>
  <si>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</si>
  <si>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</si>
  <si>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</si>
  <si>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</si>
  <si>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</si>
  <si>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</si>
  <si>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</si>
  <si>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</si>
  <si>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</si>
  <si>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</si>
  <si>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</si>
  <si>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</si>
  <si>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</si>
  <si>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</si>
  <si>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</si>
  <si>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</si>
  <si>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</si>
  <si>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</si>
  <si>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</si>
  <si>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</si>
  <si>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</si>
  <si>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</si>
  <si>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</si>
  <si>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</si>
  <si>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</si>
  <si>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</si>
  <si>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</si>
  <si>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</si>
  <si>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</si>
  <si>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</si>
  <si>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</si>
  <si>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</si>
  <si>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</si>
  <si>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</si>
  <si>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</si>
  <si>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</si>
  <si>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</si>
  <si>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</si>
  <si>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</si>
  <si>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</si>
  <si>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</si>
  <si>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</si>
  <si>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</si>
  <si>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</si>
  <si>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</si>
  <si>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</si>
  <si>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</si>
  <si>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</si>
  <si>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</si>
  <si>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</si>
  <si>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</si>
  <si>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</si>
  <si>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</si>
  <si>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</si>
  <si>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</si>
  <si>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</si>
  <si>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</si>
  <si>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</si>
  <si>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</si>
  <si>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</si>
  <si>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</si>
  <si>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</si>
  <si>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</si>
  <si>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</si>
  <si>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</si>
  <si>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</si>
  <si>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</si>
  <si>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</si>
  <si>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</si>
  <si>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</si>
  <si>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</si>
  <si>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</si>
  <si>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</si>
  <si>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</si>
  <si>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</si>
  <si>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</si>
  <si>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</si>
  <si>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</si>
  <si>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</si>
  <si>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</si>
  <si>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</si>
  <si>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</si>
  <si>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</si>
  <si>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</si>
  <si>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</si>
  <si>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</si>
  <si>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</si>
  <si>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</si>
  <si>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</si>
  <si>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</si>
  <si>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</si>
  <si>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</si>
  <si>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</si>
  <si>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</si>
  <si>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</si>
  <si>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</si>
  <si>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</si>
  <si>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</si>
  <si>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</si>
  <si>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</si>
  <si>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</si>
  <si>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</si>
  <si>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</si>
  <si>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</si>
  <si>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</si>
  <si>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</si>
  <si>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</si>
  <si>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</si>
  <si>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</si>
  <si>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</si>
  <si>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</si>
  <si>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</si>
  <si>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</si>
  <si>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</si>
  <si>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</si>
  <si>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</si>
  <si>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</si>
  <si>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</si>
  <si>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</si>
  <si>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204:453</t>
  </si>
  <si>
    <t>204:147</t>
  </si>
  <si>
    <t>:.+((SYSTEM_STATE.+slice.+state.+changed )|(ment ac)|(multiple cpu faults)|(system.+state.+changed )|(\[timeout)|(PRM\|1\|D)|(kpr)|(kdp)|(train st.+moving)|(\|lc)|(penalty))</t>
  </si>
  <si>
    <t>M - F = 49 trips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</si>
  <si>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</si>
  <si>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</si>
  <si>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</si>
  <si>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</si>
  <si>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</si>
  <si>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</si>
  <si>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</si>
  <si>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</si>
  <si>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</si>
  <si>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</si>
  <si>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</si>
  <si>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204:458</t>
  </si>
  <si>
    <t>204:152</t>
  </si>
  <si>
    <t>204:145</t>
  </si>
  <si>
    <t>Early Arrival</t>
  </si>
  <si>
    <t>204:156</t>
  </si>
  <si>
    <t>LOZA</t>
  </si>
  <si>
    <t>FIDEL</t>
  </si>
  <si>
    <t>204:161</t>
  </si>
  <si>
    <t>JAMES</t>
  </si>
  <si>
    <t>204:460</t>
  </si>
  <si>
    <t>204:158</t>
  </si>
  <si>
    <t>DUNCAN</t>
  </si>
  <si>
    <t>SHEILA</t>
  </si>
  <si>
    <t>204:139</t>
  </si>
  <si>
    <t>204:451</t>
  </si>
  <si>
    <t>204:233312</t>
  </si>
  <si>
    <t>204:471</t>
  </si>
  <si>
    <t>STAMBAUGH</t>
  </si>
  <si>
    <t>204:154</t>
  </si>
  <si>
    <t>204:447</t>
  </si>
  <si>
    <t>YORK</t>
  </si>
  <si>
    <t>EDGAR</t>
  </si>
  <si>
    <t>Y</t>
  </si>
  <si>
    <t>204:457</t>
  </si>
  <si>
    <t>Sat - Sun = 36 Trips</t>
  </si>
  <si>
    <t>"Summary View"</t>
  </si>
  <si>
    <t>rtdc.l.rtdc.4040:itc</t>
  </si>
  <si>
    <t>ANDERS</t>
  </si>
  <si>
    <t>STEVEN</t>
  </si>
  <si>
    <t>204:233291</t>
  </si>
  <si>
    <t>204:467</t>
  </si>
  <si>
    <t>204:473</t>
  </si>
  <si>
    <t>rtdc.l.rtdc.4055:itc</t>
  </si>
  <si>
    <t>MICHAEL</t>
  </si>
  <si>
    <t>clear-night</t>
  </si>
  <si>
    <t>Clear</t>
  </si>
  <si>
    <t>rtdc.l.rtdc.4066:itc</t>
  </si>
  <si>
    <t>rtdc.l.rtdc.4065:itc</t>
  </si>
  <si>
    <t>MCREYNOLDS</t>
  </si>
  <si>
    <t>KYLE</t>
  </si>
  <si>
    <t>204:233314</t>
  </si>
  <si>
    <t>%REDMINEAPIKEY%</t>
  </si>
  <si>
    <t>204:464</t>
  </si>
  <si>
    <t>204:232991</t>
  </si>
  <si>
    <t>rtdc.l.rtdc.4052:itc</t>
  </si>
  <si>
    <t>rtdc.l.rtdc.4051:itc</t>
  </si>
  <si>
    <t>STEWART</t>
  </si>
  <si>
    <t>204:232985</t>
  </si>
  <si>
    <t>204:232994</t>
  </si>
  <si>
    <t>clear-day</t>
  </si>
  <si>
    <t>204:442</t>
  </si>
  <si>
    <t>204:462</t>
  </si>
  <si>
    <t>204:232989</t>
  </si>
  <si>
    <t>300:23346</t>
  </si>
  <si>
    <t>SIGNAL</t>
  </si>
  <si>
    <t>Signal based authority (5)</t>
  </si>
  <si>
    <t>204:138</t>
  </si>
  <si>
    <t>204:440</t>
  </si>
  <si>
    <t>204:136</t>
  </si>
  <si>
    <t>204:141</t>
  </si>
  <si>
    <t>Wi-MAX data drop</t>
  </si>
  <si>
    <t>rtdc.l.rtdc.4008:itc</t>
  </si>
  <si>
    <t>204:233297</t>
  </si>
  <si>
    <t>rtdc.l.rtdc.4060:itc</t>
  </si>
  <si>
    <t>rtdc.l.rtdc.4059:itc</t>
  </si>
  <si>
    <t>rtdc.l.rtdc.4009:itc</t>
  </si>
  <si>
    <t>rtdc.l.rtdc.4010:itc</t>
  </si>
  <si>
    <t>LEVERE</t>
  </si>
  <si>
    <t>CRAIG</t>
  </si>
  <si>
    <t>LEVIN</t>
  </si>
  <si>
    <t>SCOTT</t>
  </si>
  <si>
    <t>204:232996</t>
  </si>
  <si>
    <t>204:469</t>
  </si>
  <si>
    <t>204:233293</t>
  </si>
  <si>
    <t>204:232998</t>
  </si>
  <si>
    <t>204:232980</t>
  </si>
  <si>
    <t>ROBINSON</t>
  </si>
  <si>
    <t>KADDIBA</t>
  </si>
  <si>
    <t>BIRKHOLZ</t>
  </si>
  <si>
    <t>NADINE</t>
  </si>
  <si>
    <t>204:233002</t>
  </si>
  <si>
    <t>204:232988</t>
  </si>
  <si>
    <t>rtdc.l.rtdc.4018:itc</t>
  </si>
  <si>
    <t>rtdc.l.rtdc.4005:itc</t>
  </si>
  <si>
    <t>rtdc.l.rtdc.4007:itc</t>
  </si>
  <si>
    <t>Track device (7)</t>
  </si>
  <si>
    <t>rtdc.l.rtdc.4017:itc</t>
  </si>
  <si>
    <t>SWITCH UNKNOWN</t>
  </si>
  <si>
    <t>rtdc.l.rtdc.4043:itc</t>
  </si>
  <si>
    <t>rtdc.l.rtdc.4044:itc</t>
  </si>
  <si>
    <t>DAVIS</t>
  </si>
  <si>
    <t>rtdc.l.rtdc.4006:itc</t>
  </si>
  <si>
    <t>BERLING</t>
  </si>
  <si>
    <t>GARY</t>
  </si>
  <si>
    <t>HOLCOMB</t>
  </si>
  <si>
    <t>KAMDEN</t>
  </si>
  <si>
    <t>ZEWDU</t>
  </si>
  <si>
    <t>DEREJE</t>
  </si>
  <si>
    <t>204:134</t>
  </si>
  <si>
    <t>204:233309</t>
  </si>
  <si>
    <t>204:233013</t>
  </si>
  <si>
    <t>204:232986</t>
  </si>
  <si>
    <t>204:233334</t>
  </si>
  <si>
    <t>204:233318</t>
  </si>
  <si>
    <t>204:232984</t>
  </si>
  <si>
    <t>204:163</t>
  </si>
  <si>
    <t>204:233307</t>
  </si>
  <si>
    <t>204:233308</t>
  </si>
  <si>
    <t>204:466</t>
  </si>
  <si>
    <t>204:233317</t>
  </si>
  <si>
    <t>204:484</t>
  </si>
  <si>
    <t>204:701</t>
  </si>
  <si>
    <t>204:703</t>
  </si>
  <si>
    <t>300:58615</t>
  </si>
  <si>
    <t>300:58626</t>
  </si>
  <si>
    <t>rtdc.l.rtdc.4015:itc</t>
  </si>
  <si>
    <t>rtdc.l.rtdc.4058:itc</t>
  </si>
  <si>
    <t>rtdc.l.rtdc.4024:itc</t>
  </si>
  <si>
    <t>rtdc.l.rtdc.4023:itc</t>
  </si>
  <si>
    <t>rtdc.l.rtdc.4057:itc</t>
  </si>
  <si>
    <t>rtdc.l.rtdc.4031:itc</t>
  </si>
  <si>
    <t>837-19</t>
  </si>
  <si>
    <t>216-19</t>
  </si>
  <si>
    <t>226-19</t>
  </si>
  <si>
    <t>MAELZER</t>
  </si>
  <si>
    <t>KURT</t>
  </si>
  <si>
    <t>WILLIAMS</t>
  </si>
  <si>
    <t>DONTE</t>
  </si>
  <si>
    <t>rtdc.l.rtdc.4016:itc</t>
  </si>
  <si>
    <t>rtdc.l.rtdc.4013:itc</t>
  </si>
  <si>
    <t>rtdc.l.rtdc.4014:itc</t>
  </si>
  <si>
    <t>GONZALEZ</t>
  </si>
  <si>
    <t>ARMANDO</t>
  </si>
  <si>
    <t>BADERTSCHER</t>
  </si>
  <si>
    <t>DIANE</t>
  </si>
  <si>
    <t>DAVID</t>
  </si>
  <si>
    <t>rtdc.l.rtdc.4032:itc</t>
  </si>
  <si>
    <t>75-19</t>
  </si>
  <si>
    <t>79-19</t>
  </si>
  <si>
    <t>NICHOLSON</t>
  </si>
  <si>
    <t>WESLEY</t>
  </si>
  <si>
    <t>208-19</t>
  </si>
  <si>
    <t>215-19</t>
  </si>
  <si>
    <t>836-19</t>
  </si>
  <si>
    <t>210-19</t>
  </si>
  <si>
    <t>217-19</t>
  </si>
  <si>
    <t>ELBAUM</t>
  </si>
  <si>
    <t>MIKE</t>
  </si>
  <si>
    <t>212-19</t>
  </si>
  <si>
    <t>219-19</t>
  </si>
  <si>
    <t>838-19</t>
  </si>
  <si>
    <t>839-19</t>
  </si>
  <si>
    <t>214-19</t>
  </si>
  <si>
    <t>301-19</t>
  </si>
  <si>
    <t>218-19</t>
  </si>
  <si>
    <t>221-19</t>
  </si>
  <si>
    <t>SANTIZO</t>
  </si>
  <si>
    <t>D. EDY</t>
  </si>
  <si>
    <t>906-19</t>
  </si>
  <si>
    <t>840-19</t>
  </si>
  <si>
    <t>DAVIDSON</t>
  </si>
  <si>
    <t>841-19</t>
  </si>
  <si>
    <t>303-19</t>
  </si>
  <si>
    <t>220-19</t>
  </si>
  <si>
    <t>223-19</t>
  </si>
  <si>
    <t>222-19</t>
  </si>
  <si>
    <t>305-19</t>
  </si>
  <si>
    <t>225-19</t>
  </si>
  <si>
    <t>843-19</t>
  </si>
  <si>
    <t>224-19</t>
  </si>
  <si>
    <t>227-19</t>
  </si>
  <si>
    <t>842-19</t>
  </si>
  <si>
    <t>229-19</t>
  </si>
  <si>
    <t>845-19</t>
  </si>
  <si>
    <t>LOPES</t>
  </si>
  <si>
    <t>KIMBERLY</t>
  </si>
  <si>
    <t>231-19</t>
  </si>
  <si>
    <t>228-19</t>
  </si>
  <si>
    <t>844-19</t>
  </si>
  <si>
    <t>233-19</t>
  </si>
  <si>
    <t>230-19</t>
  </si>
  <si>
    <t>847-19</t>
  </si>
  <si>
    <t>232-19</t>
  </si>
  <si>
    <t>235-19</t>
  </si>
  <si>
    <t>846-19</t>
  </si>
  <si>
    <t>234-19</t>
  </si>
  <si>
    <t>237-19</t>
  </si>
  <si>
    <t>849-19</t>
  </si>
  <si>
    <t>236-19</t>
  </si>
  <si>
    <t>908-19</t>
  </si>
  <si>
    <t>239-19</t>
  </si>
  <si>
    <t>241-19</t>
  </si>
  <si>
    <t>238-19</t>
  </si>
  <si>
    <t>243-19</t>
  </si>
  <si>
    <t>240-19</t>
  </si>
  <si>
    <t>313-19</t>
  </si>
  <si>
    <t>242-19</t>
  </si>
  <si>
    <t>307-19</t>
  </si>
  <si>
    <t>244-19</t>
  </si>
  <si>
    <t>309-19</t>
  </si>
  <si>
    <t>311-19</t>
  </si>
  <si>
    <t>300-20</t>
  </si>
  <si>
    <t>204:449</t>
  </si>
  <si>
    <t>204:233340</t>
  </si>
  <si>
    <t>204:435</t>
  </si>
  <si>
    <t>204:232969</t>
  </si>
  <si>
    <t>204:233304</t>
  </si>
  <si>
    <t>204:233305</t>
  </si>
  <si>
    <t>204:167</t>
  </si>
  <si>
    <t>204:233319</t>
  </si>
  <si>
    <t>204:233264</t>
  </si>
  <si>
    <t>204:129</t>
  </si>
  <si>
    <t>204:233336</t>
  </si>
  <si>
    <t>204:967</t>
  </si>
  <si>
    <t>300:58935</t>
  </si>
  <si>
    <t>300:58600</t>
  </si>
  <si>
    <t>300:58624</t>
  </si>
  <si>
    <t>rtdc.l.rtdc.4025:itc</t>
  </si>
  <si>
    <t>rtdc.l.rtdc.4028:itc</t>
  </si>
  <si>
    <t>rtdc.l.rtdc.4050:itc</t>
  </si>
  <si>
    <t>rtdc.l.rtdc.4026:itc</t>
  </si>
  <si>
    <t>BARRON</t>
  </si>
  <si>
    <t>PERLA</t>
  </si>
  <si>
    <t>MACDONALD</t>
  </si>
  <si>
    <t>THOMAS</t>
  </si>
  <si>
    <t>LAMAR</t>
  </si>
  <si>
    <t>NEKESHA</t>
  </si>
  <si>
    <t>BROWN</t>
  </si>
  <si>
    <t>JACOB</t>
  </si>
  <si>
    <t>ROMERO</t>
  </si>
  <si>
    <t>CHAD</t>
  </si>
  <si>
    <t>SAFIEF</t>
  </si>
  <si>
    <t>AEIMEN</t>
  </si>
  <si>
    <t>GUZMAN</t>
  </si>
  <si>
    <t>DANNY</t>
  </si>
  <si>
    <t>SMITH</t>
  </si>
  <si>
    <t>CASSIDY</t>
  </si>
  <si>
    <t>BRANDON</t>
  </si>
  <si>
    <t>244-22</t>
  </si>
  <si>
    <t>307-22</t>
  </si>
  <si>
    <t>309-22</t>
  </si>
  <si>
    <t>311-22</t>
  </si>
  <si>
    <t>204:759</t>
  </si>
  <si>
    <t>204:233324</t>
  </si>
  <si>
    <t>204:232975</t>
  </si>
  <si>
    <t>204:233011</t>
  </si>
  <si>
    <t>204:233338</t>
  </si>
  <si>
    <t>204:233270</t>
  </si>
  <si>
    <t>204:478</t>
  </si>
  <si>
    <t>204:232946</t>
  </si>
  <si>
    <t>204:170</t>
  </si>
  <si>
    <t>204:169</t>
  </si>
  <si>
    <t>204:233015</t>
  </si>
  <si>
    <t>204:232993</t>
  </si>
  <si>
    <t>204:475</t>
  </si>
  <si>
    <t>204:233323</t>
  </si>
  <si>
    <t>204:233325</t>
  </si>
  <si>
    <t>204:233010</t>
  </si>
  <si>
    <t>204:232964</t>
  </si>
  <si>
    <t>204:233289</t>
  </si>
  <si>
    <t>300:58598</t>
  </si>
  <si>
    <t>300:58912</t>
  </si>
  <si>
    <t>204:741</t>
  </si>
  <si>
    <t>300:58907</t>
  </si>
  <si>
    <t>300:58928</t>
  </si>
  <si>
    <t>204:755</t>
  </si>
  <si>
    <t>300:58920</t>
  </si>
  <si>
    <t>300:57246</t>
  </si>
  <si>
    <t>204:976</t>
  </si>
  <si>
    <t>300:58649</t>
  </si>
  <si>
    <t>204:689</t>
  </si>
  <si>
    <t>300:58933</t>
  </si>
  <si>
    <t>204:233004</t>
  </si>
  <si>
    <t>204:233306</t>
  </si>
  <si>
    <t>204:232959</t>
  </si>
  <si>
    <t>204:233300</t>
  </si>
  <si>
    <t>204:233006</t>
  </si>
  <si>
    <t>204:233329</t>
  </si>
  <si>
    <t>204:233342</t>
  </si>
  <si>
    <t>300:23310</t>
  </si>
  <si>
    <t>204:1162</t>
  </si>
  <si>
    <t>204:1170</t>
  </si>
  <si>
    <t>204:1473</t>
  </si>
  <si>
    <t>start /low /b %USERPROFILE%\Documents\GitHub\eaglep3\Utilities\DownloadLogsFromS3.py --loco 4015 --day 2017-10-23</t>
  </si>
  <si>
    <t>306-23</t>
  </si>
  <si>
    <t>rtdc.l.rtdc.4034:itc</t>
  </si>
  <si>
    <t>111-23</t>
  </si>
  <si>
    <t>902-23</t>
  </si>
  <si>
    <t>803-23</t>
  </si>
  <si>
    <t>rtdc.l.rtdc.4045:itc</t>
  </si>
  <si>
    <t>116-23</t>
  </si>
  <si>
    <t>rtdc.l.rtdc.4033:itc</t>
  </si>
  <si>
    <t>112-23</t>
  </si>
  <si>
    <t>804-23</t>
  </si>
  <si>
    <t>122-23</t>
  </si>
  <si>
    <t>809-23</t>
  </si>
  <si>
    <t>903-23</t>
  </si>
  <si>
    <t>126-23</t>
  </si>
  <si>
    <t>130-23</t>
  </si>
  <si>
    <t>813-23</t>
  </si>
  <si>
    <t>rtdc.l.rtdc.4049:itc</t>
  </si>
  <si>
    <t>134-23</t>
  </si>
  <si>
    <t>155-23</t>
  </si>
  <si>
    <t>53-23</t>
  </si>
  <si>
    <t>152-23</t>
  </si>
  <si>
    <t>821-23</t>
  </si>
  <si>
    <t>172-23</t>
  </si>
  <si>
    <t>824-23</t>
  </si>
  <si>
    <t>rtdc.l.rtdc.4039:itc</t>
  </si>
  <si>
    <t>904-23</t>
  </si>
  <si>
    <t>827-23</t>
  </si>
  <si>
    <t>186-23</t>
  </si>
  <si>
    <t>829-23</t>
  </si>
  <si>
    <t>194-23</t>
  </si>
  <si>
    <t>831-23</t>
  </si>
  <si>
    <t>836-23</t>
  </si>
  <si>
    <t>839-23</t>
  </si>
  <si>
    <t>906-23</t>
  </si>
  <si>
    <t>847-23</t>
  </si>
  <si>
    <t>846-23</t>
  </si>
  <si>
    <t>849-23</t>
  </si>
  <si>
    <t>rtdc.l.rtdc.4042:itc</t>
  </si>
  <si>
    <t>237-23</t>
  </si>
  <si>
    <t>236-23</t>
  </si>
  <si>
    <t>241-23</t>
  </si>
  <si>
    <t>243-23</t>
  </si>
  <si>
    <t>rtdc.l.rtdc.4003:itc</t>
  </si>
  <si>
    <t>300-23</t>
  </si>
  <si>
    <t>THOMPSON</t>
  </si>
  <si>
    <t>LESTER</t>
  </si>
  <si>
    <t>101-23</t>
  </si>
  <si>
    <t>rtdc.l.rtdc.4004:itc</t>
  </si>
  <si>
    <t>51-23</t>
  </si>
  <si>
    <t>STARKS</t>
  </si>
  <si>
    <t>ANGELINA</t>
  </si>
  <si>
    <t>302-23</t>
  </si>
  <si>
    <t>BONDS</t>
  </si>
  <si>
    <t>REYNALDO</t>
  </si>
  <si>
    <t>52-23</t>
  </si>
  <si>
    <t>rtdc.l.rtdc.4046:itc</t>
  </si>
  <si>
    <t>103-23</t>
  </si>
  <si>
    <t>304-23</t>
  </si>
  <si>
    <t>105-23</t>
  </si>
  <si>
    <t>102-23</t>
  </si>
  <si>
    <t>rtdc.l.rtdc.4041:itc</t>
  </si>
  <si>
    <t>308-23</t>
  </si>
  <si>
    <t>107-23</t>
  </si>
  <si>
    <t>104-23</t>
  </si>
  <si>
    <t>109-23</t>
  </si>
  <si>
    <t>rtdc.l.rtdc.4063:itc</t>
  </si>
  <si>
    <t>310-23</t>
  </si>
  <si>
    <t>YANG</t>
  </si>
  <si>
    <t>JAN</t>
  </si>
  <si>
    <t>901-23</t>
  </si>
  <si>
    <t>106-23</t>
  </si>
  <si>
    <t>800-23</t>
  </si>
  <si>
    <t>108-23</t>
  </si>
  <si>
    <t>rtdc.l.rtdc.4064:itc</t>
  </si>
  <si>
    <t>113-23</t>
  </si>
  <si>
    <t>312-23</t>
  </si>
  <si>
    <t>115-23</t>
  </si>
  <si>
    <t>110-23</t>
  </si>
  <si>
    <t>801-23</t>
  </si>
  <si>
    <t>117-23</t>
  </si>
  <si>
    <t>YANAI</t>
  </si>
  <si>
    <t>IAN</t>
  </si>
  <si>
    <t>119-23</t>
  </si>
  <si>
    <t>802-23</t>
  </si>
  <si>
    <t>114-23</t>
  </si>
  <si>
    <t>121-23</t>
  </si>
  <si>
    <t>LANGERAK</t>
  </si>
  <si>
    <t>WILLIAM</t>
  </si>
  <si>
    <t>123-23</t>
  </si>
  <si>
    <t>120-23</t>
  </si>
  <si>
    <t>805-23</t>
  </si>
  <si>
    <t>118-23</t>
  </si>
  <si>
    <t>125-23</t>
  </si>
  <si>
    <t>806-23</t>
  </si>
  <si>
    <t>127-23</t>
  </si>
  <si>
    <t>807-23</t>
  </si>
  <si>
    <t>129-23</t>
  </si>
  <si>
    <t>55-23</t>
  </si>
  <si>
    <t>124-23</t>
  </si>
  <si>
    <t>56-23</t>
  </si>
  <si>
    <t>808-23</t>
  </si>
  <si>
    <t>131-23</t>
  </si>
  <si>
    <t>133-23</t>
  </si>
  <si>
    <t>135-23</t>
  </si>
  <si>
    <t>810-23</t>
  </si>
  <si>
    <t>811-23</t>
  </si>
  <si>
    <t>128-23</t>
  </si>
  <si>
    <t>137-23</t>
  </si>
  <si>
    <t>61-23</t>
  </si>
  <si>
    <t>ACKERMAN</t>
  </si>
  <si>
    <t>JARED</t>
  </si>
  <si>
    <t>132-23</t>
  </si>
  <si>
    <t>62-23</t>
  </si>
  <si>
    <t>812-23</t>
  </si>
  <si>
    <t>139-23</t>
  </si>
  <si>
    <t>141-23</t>
  </si>
  <si>
    <t>136-23</t>
  </si>
  <si>
    <t>138-23</t>
  </si>
  <si>
    <t>143-23</t>
  </si>
  <si>
    <t>140-23</t>
  </si>
  <si>
    <t>145-23</t>
  </si>
  <si>
    <t>814-23</t>
  </si>
  <si>
    <t>147-23</t>
  </si>
  <si>
    <t>142-23</t>
  </si>
  <si>
    <t>149-23</t>
  </si>
  <si>
    <t>144-23</t>
  </si>
  <si>
    <t>151-23</t>
  </si>
  <si>
    <t>815-23</t>
  </si>
  <si>
    <t>146-23</t>
  </si>
  <si>
    <t>153-23</t>
  </si>
  <si>
    <t>148-23</t>
  </si>
  <si>
    <t>150-23</t>
  </si>
  <si>
    <t>816-23</t>
  </si>
  <si>
    <t>157-23</t>
  </si>
  <si>
    <t>159-23</t>
  </si>
  <si>
    <t>817-23</t>
  </si>
  <si>
    <t>154-23</t>
  </si>
  <si>
    <t>161-23</t>
  </si>
  <si>
    <t>156-23</t>
  </si>
  <si>
    <t>163-23</t>
  </si>
  <si>
    <t>818-23</t>
  </si>
  <si>
    <t>158-23</t>
  </si>
  <si>
    <t>165-23</t>
  </si>
  <si>
    <t>160-23</t>
  </si>
  <si>
    <t>819-23</t>
  </si>
  <si>
    <t>167-23</t>
  </si>
  <si>
    <t>162-23</t>
  </si>
  <si>
    <t>169-23</t>
  </si>
  <si>
    <t>164-23</t>
  </si>
  <si>
    <t>820-23</t>
  </si>
  <si>
    <t>171-23</t>
  </si>
  <si>
    <t>166-23</t>
  </si>
  <si>
    <t>173-23</t>
  </si>
  <si>
    <t>168-23</t>
  </si>
  <si>
    <t>175-23</t>
  </si>
  <si>
    <t>170-23</t>
  </si>
  <si>
    <t>177-23</t>
  </si>
  <si>
    <t>179-23</t>
  </si>
  <si>
    <t>822-23</t>
  </si>
  <si>
    <t>174-23</t>
  </si>
  <si>
    <t>181-23</t>
  </si>
  <si>
    <t>183-23</t>
  </si>
  <si>
    <t>176-23</t>
  </si>
  <si>
    <t>823-23</t>
  </si>
  <si>
    <t>178-23</t>
  </si>
  <si>
    <t>185-23</t>
  </si>
  <si>
    <t>180-23</t>
  </si>
  <si>
    <t>187-23</t>
  </si>
  <si>
    <t>182-23</t>
  </si>
  <si>
    <t>184-23</t>
  </si>
  <si>
    <t>189-23</t>
  </si>
  <si>
    <t>191-23</t>
  </si>
  <si>
    <t>825-23</t>
  </si>
  <si>
    <t>193-23</t>
  </si>
  <si>
    <t>188-23</t>
  </si>
  <si>
    <t>195-23</t>
  </si>
  <si>
    <t>826-23</t>
  </si>
  <si>
    <t>197-23</t>
  </si>
  <si>
    <t>190-23</t>
  </si>
  <si>
    <t>192-23</t>
  </si>
  <si>
    <t>199-23</t>
  </si>
  <si>
    <t>828-23</t>
  </si>
  <si>
    <t>201-23</t>
  </si>
  <si>
    <t>196-23</t>
  </si>
  <si>
    <t>830-23</t>
  </si>
  <si>
    <t>75-23</t>
  </si>
  <si>
    <t>RESPASS</t>
  </si>
  <si>
    <t>AARON</t>
  </si>
  <si>
    <t>203-23</t>
  </si>
  <si>
    <t>198-23</t>
  </si>
  <si>
    <t>205-23</t>
  </si>
  <si>
    <t>200-23</t>
  </si>
  <si>
    <t>207-23</t>
  </si>
  <si>
    <t>832-23</t>
  </si>
  <si>
    <t>202-23</t>
  </si>
  <si>
    <t>833-23</t>
  </si>
  <si>
    <t>77-23</t>
  </si>
  <si>
    <t>209-23</t>
  </si>
  <si>
    <t>204-23</t>
  </si>
  <si>
    <t>211-23</t>
  </si>
  <si>
    <t>834-23</t>
  </si>
  <si>
    <t>835-23</t>
  </si>
  <si>
    <t>206-23</t>
  </si>
  <si>
    <t>54-23</t>
  </si>
  <si>
    <t>GUNTHIER</t>
  </si>
  <si>
    <t>ERIC</t>
  </si>
  <si>
    <t>213-23</t>
  </si>
  <si>
    <t>208-23</t>
  </si>
  <si>
    <t>215-23</t>
  </si>
  <si>
    <t>210-23</t>
  </si>
  <si>
    <t>837-23</t>
  </si>
  <si>
    <t>212-23</t>
  </si>
  <si>
    <t>217-23</t>
  </si>
  <si>
    <t>219-23</t>
  </si>
  <si>
    <t>838-23</t>
  </si>
  <si>
    <t>214-23</t>
  </si>
  <si>
    <t>301-23</t>
  </si>
  <si>
    <t>216-23</t>
  </si>
  <si>
    <t>221-23</t>
  </si>
  <si>
    <t>841-23</t>
  </si>
  <si>
    <t>218-23</t>
  </si>
  <si>
    <t>303-23</t>
  </si>
  <si>
    <t>220-23</t>
  </si>
  <si>
    <t>223-23</t>
  </si>
  <si>
    <t>840-23</t>
  </si>
  <si>
    <t>222-23</t>
  </si>
  <si>
    <t>305-23</t>
  </si>
  <si>
    <t>225-23</t>
  </si>
  <si>
    <t>843-23</t>
  </si>
  <si>
    <t>227-23</t>
  </si>
  <si>
    <t>224-23</t>
  </si>
  <si>
    <t>842-23</t>
  </si>
  <si>
    <t>229-23</t>
  </si>
  <si>
    <t>226-23</t>
  </si>
  <si>
    <t>845-23</t>
  </si>
  <si>
    <t>71-23</t>
  </si>
  <si>
    <t>231-23</t>
  </si>
  <si>
    <t>228-23</t>
  </si>
  <si>
    <t>844-23</t>
  </si>
  <si>
    <t>230-23</t>
  </si>
  <si>
    <t>233-23</t>
  </si>
  <si>
    <t>MAGEE</t>
  </si>
  <si>
    <t>KENYA</t>
  </si>
  <si>
    <t>235-23</t>
  </si>
  <si>
    <t>232-23</t>
  </si>
  <si>
    <t>234-23</t>
  </si>
  <si>
    <t>239-23</t>
  </si>
  <si>
    <t>89-23</t>
  </si>
  <si>
    <t>88-23</t>
  </si>
  <si>
    <t>908-23</t>
  </si>
  <si>
    <t>238-23</t>
  </si>
  <si>
    <t>240-23</t>
  </si>
  <si>
    <t>313-23</t>
  </si>
  <si>
    <t>242-23</t>
  </si>
  <si>
    <t>307-23</t>
  </si>
  <si>
    <t>244-23</t>
  </si>
  <si>
    <t>309-23</t>
  </si>
  <si>
    <t>311-23</t>
  </si>
  <si>
    <t>partly-cloudy-night</t>
  </si>
  <si>
    <t>Partly Cloudy</t>
  </si>
  <si>
    <t>partly-cloudy-day</t>
  </si>
  <si>
    <t>Mostly Cloudy</t>
  </si>
  <si>
    <t>204:232971</t>
  </si>
  <si>
    <t>204:233287</t>
  </si>
  <si>
    <t>204:233282</t>
  </si>
  <si>
    <t>204:482</t>
  </si>
  <si>
    <t>204:232979</t>
  </si>
  <si>
    <t>204:233268</t>
  </si>
  <si>
    <t>204:232963</t>
  </si>
  <si>
    <t>204:232983</t>
  </si>
  <si>
    <t>204:232967</t>
  </si>
  <si>
    <t>204:437</t>
  </si>
  <si>
    <t>204:61510</t>
  </si>
  <si>
    <t>204:64669</t>
  </si>
  <si>
    <t>204:939</t>
  </si>
  <si>
    <t>204:233315</t>
  </si>
  <si>
    <t>204:233274</t>
  </si>
  <si>
    <t>204:176</t>
  </si>
  <si>
    <t>204:233310</t>
  </si>
  <si>
    <t>204:232952</t>
  </si>
  <si>
    <t>204:233303</t>
  </si>
  <si>
    <t>204:438</t>
  </si>
  <si>
    <t>204:105</t>
  </si>
  <si>
    <t>204:233328</t>
  </si>
  <si>
    <t>204:232990</t>
  </si>
  <si>
    <t>204:477</t>
  </si>
  <si>
    <t>204:232970</t>
  </si>
  <si>
    <t>204:160</t>
  </si>
  <si>
    <t>204:233295</t>
  </si>
  <si>
    <t>204:232</t>
  </si>
  <si>
    <t>204:433</t>
  </si>
  <si>
    <t>204:233263</t>
  </si>
  <si>
    <t>204:400</t>
  </si>
  <si>
    <t>204:5543</t>
  </si>
  <si>
    <t>204:19126</t>
  </si>
  <si>
    <t>204:232977</t>
  </si>
  <si>
    <t>204:488</t>
  </si>
  <si>
    <t>204:232981</t>
  </si>
  <si>
    <t>204:568</t>
  </si>
  <si>
    <t>204:233316</t>
  </si>
  <si>
    <t>204:233008</t>
  </si>
  <si>
    <t>204:233021</t>
  </si>
  <si>
    <t>204:127864</t>
  </si>
  <si>
    <t>204:233025</t>
  </si>
  <si>
    <t>204:233330</t>
  </si>
  <si>
    <t>204:233001</t>
  </si>
  <si>
    <t>204:233017</t>
  </si>
  <si>
    <t>204:233007</t>
  </si>
  <si>
    <t>204:233034</t>
  </si>
  <si>
    <t>204:233241</t>
  </si>
  <si>
    <t>204:233298</t>
  </si>
  <si>
    <t>204:233376</t>
  </si>
  <si>
    <t>204:233051</t>
  </si>
  <si>
    <t>204:127</t>
  </si>
  <si>
    <t>204:1788</t>
  </si>
  <si>
    <t>204:233036</t>
  </si>
  <si>
    <t>204:1904</t>
  </si>
  <si>
    <t>204:233247</t>
  </si>
  <si>
    <t>204:491</t>
  </si>
  <si>
    <t>204:233403</t>
  </si>
  <si>
    <t>204:233086</t>
  </si>
  <si>
    <t>204:233344</t>
  </si>
  <si>
    <t>300:23464</t>
  </si>
  <si>
    <t>300:23299</t>
  </si>
  <si>
    <t>300:23497</t>
  </si>
  <si>
    <t>300:23074</t>
  </si>
  <si>
    <t>300:23308</t>
  </si>
  <si>
    <t>300:23542</t>
  </si>
  <si>
    <t>300:23302</t>
  </si>
  <si>
    <t>300:19643</t>
  </si>
  <si>
    <t>300:23553</t>
  </si>
  <si>
    <t>300:22628</t>
  </si>
  <si>
    <t>300:23304</t>
  </si>
  <si>
    <t>204:3558</t>
  </si>
  <si>
    <t>204:3221</t>
  </si>
  <si>
    <t>204:1158</t>
  </si>
  <si>
    <t>300:24233</t>
  </si>
  <si>
    <t>300:30673</t>
  </si>
  <si>
    <t>204:2072</t>
  </si>
  <si>
    <t>204:1154</t>
  </si>
  <si>
    <t>204:3562</t>
  </si>
  <si>
    <t>204:3441</t>
  </si>
  <si>
    <t>204:3108</t>
  </si>
  <si>
    <t>204:1143</t>
  </si>
  <si>
    <t>204:3473</t>
  </si>
  <si>
    <t>204:3163</t>
  </si>
  <si>
    <t>204:1492</t>
  </si>
  <si>
    <t>300:23295</t>
  </si>
  <si>
    <t>204:1147</t>
  </si>
  <si>
    <t>300:23301</t>
  </si>
  <si>
    <t>300:58594</t>
  </si>
  <si>
    <t>204:1039</t>
  </si>
  <si>
    <t>300:58589</t>
  </si>
  <si>
    <t>204:715</t>
  </si>
  <si>
    <t>300:58922</t>
  </si>
  <si>
    <t>204:750</t>
  </si>
  <si>
    <t>204:990</t>
  </si>
  <si>
    <t>300:58911</t>
  </si>
  <si>
    <t>300:58592</t>
  </si>
  <si>
    <t>204:740</t>
  </si>
  <si>
    <t>204:1028</t>
  </si>
  <si>
    <t>300:58924</t>
  </si>
  <si>
    <t>300:58608</t>
  </si>
  <si>
    <t>204:1025</t>
  </si>
  <si>
    <t>204:981</t>
  </si>
  <si>
    <t>300:58929</t>
  </si>
  <si>
    <t>300:58609</t>
  </si>
  <si>
    <t>300:57244</t>
  </si>
  <si>
    <t>204:694</t>
  </si>
  <si>
    <t>204:1902</t>
  </si>
  <si>
    <t>204:997</t>
  </si>
  <si>
    <t>204:1918</t>
  </si>
  <si>
    <t>300:58604</t>
  </si>
  <si>
    <t>204:971</t>
  </si>
  <si>
    <t>300:58926</t>
  </si>
  <si>
    <t>300:57248</t>
  </si>
  <si>
    <t>300:58606</t>
  </si>
  <si>
    <t>204:957</t>
  </si>
  <si>
    <t>204:685</t>
  </si>
  <si>
    <t>300:5044</t>
  </si>
  <si>
    <t>204:3382</t>
  </si>
  <si>
    <t>300:58619</t>
  </si>
  <si>
    <t>204:664</t>
  </si>
  <si>
    <t>204:960</t>
  </si>
  <si>
    <t>300:58931</t>
  </si>
  <si>
    <t>204:4486</t>
  </si>
  <si>
    <t>204:936</t>
  </si>
  <si>
    <t>300:58941</t>
  </si>
  <si>
    <t>204:643</t>
  </si>
  <si>
    <t>204:670</t>
  </si>
  <si>
    <t>204:934</t>
  </si>
  <si>
    <t>300:58943</t>
  </si>
  <si>
    <t>204:699</t>
  </si>
  <si>
    <t>300:58640</t>
  </si>
  <si>
    <t>204:698</t>
  </si>
  <si>
    <t>300:58613</t>
  </si>
  <si>
    <t>204:946</t>
  </si>
  <si>
    <t>300:58948</t>
  </si>
  <si>
    <t>300:58630</t>
  </si>
  <si>
    <t>204:748</t>
  </si>
  <si>
    <t>300:58617</t>
  </si>
  <si>
    <t>204:1056</t>
  </si>
  <si>
    <t>204:668</t>
  </si>
  <si>
    <t>204:937</t>
  </si>
  <si>
    <t>204:645</t>
  </si>
  <si>
    <t>300:58638</t>
  </si>
  <si>
    <t>204:647</t>
  </si>
  <si>
    <t>204:915</t>
  </si>
  <si>
    <t>300:58961</t>
  </si>
  <si>
    <t>300:58634</t>
  </si>
  <si>
    <t>204:649</t>
  </si>
  <si>
    <t>204:3350</t>
  </si>
  <si>
    <t>204:1156</t>
  </si>
  <si>
    <t>204:3667</t>
  </si>
  <si>
    <t>300:29708</t>
  </si>
  <si>
    <t>300:23705</t>
  </si>
  <si>
    <t>204:691</t>
  </si>
  <si>
    <t>204:1899</t>
  </si>
  <si>
    <t>300:24214</t>
  </si>
  <si>
    <t>204:1041</t>
  </si>
  <si>
    <t>204:1913</t>
  </si>
  <si>
    <t>300:23697</t>
  </si>
  <si>
    <t>204:680</t>
  </si>
  <si>
    <t>300:58623</t>
  </si>
  <si>
    <t>300:28772</t>
  </si>
  <si>
    <t>start /low /b %USERPROFILE%\Documents\GitHub\eaglep3\Utilities\DownloadLogsFromS3.py --loco 4034 --day 2017-10-23</t>
  </si>
  <si>
    <t>start /low /b %USERPROFILE%\Documents\GitHub\eaglep3\Utilities\DownloadLogsFromS3.py --loco 4008 --day 2017-10-23</t>
  </si>
  <si>
    <t>start /low /b %USERPROFILE%\Documents\GitHub\eaglep3\Utilities\DownloadLogsFromS3.py --loco 4017 --day 2017-10-23</t>
  </si>
  <si>
    <t>start /low /b %USERPROFILE%\Documents\GitHub\eaglep3\Utilities\DownloadLogsFromS3.py --loco 4059 --day 2017-10-23</t>
  </si>
  <si>
    <t>start /low /b %USERPROFILE%\Documents\GitHub\eaglep3\Utilities\DownloadLogsFromS3.py --loco 4060 --day 2017-10-23</t>
  </si>
  <si>
    <t>start /low /b %USERPROFILE%\Documents\GitHub\eaglep3\Utilities\DownloadLogsFromS3.py --loco 4049 --day 2017-10-23</t>
  </si>
  <si>
    <t>start /low /b %USERPROFILE%\Documents\GitHub\eaglep3\Utilities\DownloadLogsFromS3.py --loco 4042 --day 2017-10-24</t>
  </si>
  <si>
    <t>start /low /b %USERPROFILE%\Documents\GitHub\eaglep3\Utilities\DownloadLogsFromS3.py --loco 4045 --day 2017-10-23</t>
  </si>
  <si>
    <t>start /low /b %USERPROFILE%\Documents\GitHub\eaglep3\Utilities\DownloadLogsFromS3.py --loco 4017 --day 2017-10-24</t>
  </si>
  <si>
    <t>start /low /b %USERPROFILE%\Documents\GitHub\eaglep3\Utilities\DownloadLogsFromS3.py --loco 4018 --day 2017-10-24</t>
  </si>
  <si>
    <t>start /low /b %USERPROFILE%\Documents\GitHub\eaglep3\Utilities\DownloadLogsFromS3.py --loco 4033 --day 2017-10-23</t>
  </si>
  <si>
    <t>start /low /b %USERPROFILE%\Documents\GitHub\eaglep3\Utilities\DownloadLogsFromS3.py --loco 4050 --day 2017-10-24</t>
  </si>
  <si>
    <t>start /low /b %USERPROFILE%\Documents\GitHub\eaglep3\Utilities\DownloadLogsFromS3.py --loco 4060 --day 2017-10-24</t>
  </si>
  <si>
    <t>start /low /b %USERPROFILE%\Documents\GitHub\eaglep3\Utilities\DownloadLogsFromS3.py --loco 4040 --day 2017-10-23</t>
  </si>
  <si>
    <t>start /low /b %USERPROFILE%\Documents\GitHub\eaglep3\Utilities\DownloadLogsFromS3.py --loco 4040 --day 2017-10-24</t>
  </si>
  <si>
    <t>start /low /b %USERPROFILE%\Documents\GitHub\eaglep3\Utilities\DownloadLogsFromS3.py --loco 4039 --day 2017-10-24</t>
  </si>
  <si>
    <t>start /low /b %USERPROFILE%\Documents\GitHub\eaglep3\Utilities\DownloadLogsFromS3.py --loco 4059 --day 2017-10-24</t>
  </si>
  <si>
    <t>Onboard en route failure</t>
  </si>
  <si>
    <t>Cascade delay due to crossing gate issue at Ulster (Incident 55851, 55855)</t>
  </si>
  <si>
    <t>Poor GPS at DUS</t>
  </si>
  <si>
    <t>Operator hard cut-out, then re-initialized</t>
  </si>
  <si>
    <t>Poor GPS under Wewatta St. overpass</t>
  </si>
  <si>
    <t>40th 4S Stop</t>
  </si>
  <si>
    <t>Operator reports PTC required depature 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</si>
</sst>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2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9" fontId="0" fillId="0" borderId="5" xfId="2" applyNumberFormat="1" applyFont="1" applyFill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0" fontId="0" fillId="0" borderId="5" xfId="0" applyNumberFormat="1" applyBorder="1" applyAlignment="1">
      <alignment horizontal="left"/>
    </xf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556260</xdr:colOff>
          <xdr:row>2</xdr:row>
          <xdr:rowOff>38100</xdr:rowOff>
        </xdr:from>
        <xdr:to>
          <xdr:col>26</xdr:col>
          <xdr:colOff>464820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350520</xdr:colOff>
          <xdr:row>1</xdr:row>
          <xdr:rowOff>30480</xdr:rowOff>
        </xdr:from>
        <xdr:to>
          <xdr:col>15</xdr:col>
          <xdr:colOff>1150620</xdr:colOff>
          <xdr:row>3</xdr:row>
          <xdr:rowOff>68580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5</xdr:row>
          <xdr:rowOff>45720</xdr:rowOff>
        </xdr:from>
        <xdr:to>
          <xdr:col>0</xdr:col>
          <xdr:colOff>1630680</xdr:colOff>
          <xdr:row>8</xdr:row>
          <xdr:rowOff>68580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83820</xdr:rowOff>
        </xdr:from>
        <xdr:to>
          <xdr:col>0</xdr:col>
          <xdr:colOff>1554480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12</xdr:row>
          <xdr:rowOff>144780</xdr:rowOff>
        </xdr:from>
        <xdr:to>
          <xdr:col>0</xdr:col>
          <xdr:colOff>1546860</xdr:colOff>
          <xdr:row>15</xdr:row>
          <xdr:rowOff>99060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416"/>
  <sheetViews>
    <sheetView tabSelected="1" zoomScaleNormal="100" workbookViewId="0"/>
  </sheetViews>
  <sheetFormatPr defaultRowHeight="14.4" x14ac:dyDescent="0.3"/>
  <cols>
    <col min="1" max="1" width="8" style="34" customWidth="1"/>
    <col min="2" max="2" width="6.109375" style="36" customWidth="1"/>
    <col min="3" max="3" width="13.5546875" style="27" hidden="1" customWidth="1"/>
    <col min="4" max="4" width="16.109375" style="27" hidden="1" customWidth="1"/>
    <col min="5" max="5" width="19.5546875" style="33" hidden="1" customWidth="1"/>
    <col min="6" max="6" width="18.33203125" style="33" customWidth="1"/>
    <col min="7" max="7" width="4.88671875" style="36" hidden="1" customWidth="1"/>
    <col min="8" max="8" width="22.109375" style="33" hidden="1" customWidth="1"/>
    <col min="9" max="9" width="18.5546875" style="33" customWidth="1"/>
    <col min="10" max="10" width="7.33203125" style="36" customWidth="1"/>
    <col min="11" max="11" width="10.44140625" style="27" customWidth="1"/>
    <col min="12" max="12" width="16.33203125" style="169" customWidth="1"/>
    <col min="13" max="13" width="7.44140625" style="35" customWidth="1"/>
    <col min="14" max="14" width="3" style="36" customWidth="1"/>
    <col min="15" max="15" width="3" style="2" customWidth="1"/>
    <col min="16" max="16" width="2.88671875" style="2" customWidth="1"/>
    <col min="17" max="17" width="3.6640625" hidden="1" customWidth="1"/>
    <col min="18" max="18" width="28.44140625" style="161" customWidth="1"/>
    <col min="19" max="19" width="6" style="219" customWidth="1"/>
    <col min="20" max="20" width="3.88671875" style="168" customWidth="1"/>
    <col min="21" max="21" width="5" style="196" customWidth="1"/>
    <col min="22" max="22" width="5.6640625" style="217" customWidth="1"/>
    <col min="23" max="23" width="3.88671875" style="202" customWidth="1"/>
    <col min="24" max="24" width="6.5546875" style="202" customWidth="1"/>
    <col min="25" max="25" width="8.88671875" style="202" customWidth="1"/>
    <col min="26" max="26" width="7.33203125" style="202" customWidth="1"/>
    <col min="27" max="27" width="9.109375" style="202"/>
    <col min="28" max="28" width="10.6640625" style="52" hidden="1" customWidth="1"/>
    <col min="29" max="29" width="9.44140625" style="49" hidden="1" customWidth="1"/>
    <col min="30" max="30" width="7.88671875" style="2" customWidth="1"/>
    <col min="31" max="31" width="4.5546875" style="75" customWidth="1"/>
    <col min="32" max="32" width="6.33203125" style="72" customWidth="1"/>
    <col min="33" max="33" width="3.6640625" style="168" customWidth="1"/>
    <col min="34" max="34" width="5" style="78" customWidth="1"/>
    <col min="35" max="35" width="5.6640625" style="91" customWidth="1"/>
    <col min="36" max="36" width="9.88671875" customWidth="1"/>
    <col min="37" max="37" width="5" customWidth="1"/>
    <col min="38" max="38" width="4.109375" customWidth="1"/>
    <col min="39" max="39" width="9.109375" style="142"/>
    <col min="41" max="41" width="3.6640625" style="168" customWidth="1"/>
  </cols>
  <sheetData>
    <row r="1" spans="1:91" s="20" customFormat="1" ht="15" thickBot="1" x14ac:dyDescent="0.35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9"/>
      <c r="M1" s="35"/>
      <c r="N1" s="36"/>
      <c r="O1" s="2"/>
      <c r="P1" s="2"/>
      <c r="R1" s="160" t="s">
        <v>103</v>
      </c>
      <c r="S1" s="123"/>
      <c r="T1" s="169"/>
      <c r="U1" s="192"/>
      <c r="V1" s="208"/>
      <c r="W1" s="192"/>
      <c r="X1" s="196"/>
      <c r="Y1" s="202"/>
      <c r="Z1" s="202"/>
      <c r="AA1" s="202"/>
      <c r="AB1" s="52"/>
      <c r="AC1" s="49"/>
      <c r="AD1" s="2"/>
      <c r="AE1" s="1"/>
      <c r="AF1" s="1"/>
      <c r="AG1" s="182"/>
      <c r="AH1" s="47"/>
      <c r="AI1" s="1"/>
      <c r="AM1" s="142"/>
      <c r="AO1" s="168"/>
    </row>
    <row r="2" spans="1:91" s="20" customFormat="1" ht="15" thickBot="1" x14ac:dyDescent="0.35">
      <c r="A2" s="34"/>
      <c r="B2" s="36"/>
      <c r="C2" s="27"/>
      <c r="D2" s="27"/>
      <c r="E2" s="33"/>
      <c r="F2" s="33"/>
      <c r="G2" s="36"/>
      <c r="H2" s="33"/>
      <c r="I2" s="57">
        <f>Variables!$A$2</f>
        <v>43031</v>
      </c>
      <c r="J2" s="58"/>
      <c r="K2" s="59"/>
      <c r="L2" s="170"/>
      <c r="M2" s="60" t="s">
        <v>8</v>
      </c>
      <c r="N2" s="61"/>
      <c r="O2" s="62"/>
      <c r="P2" s="2"/>
      <c r="R2" s="57">
        <f>Variables!$A$2</f>
        <v>43031</v>
      </c>
      <c r="S2" s="205"/>
      <c r="T2" s="170"/>
      <c r="U2" s="193"/>
      <c r="V2" s="209" t="s">
        <v>8</v>
      </c>
      <c r="W2" s="210"/>
      <c r="X2" s="199"/>
      <c r="Y2" s="202"/>
      <c r="Z2" s="202"/>
      <c r="AA2" s="202"/>
      <c r="AB2" s="52"/>
      <c r="AC2" s="49"/>
      <c r="AD2" s="2"/>
      <c r="AE2" s="1"/>
      <c r="AF2" s="1"/>
      <c r="AG2" s="182"/>
      <c r="AH2" s="47"/>
      <c r="AI2" s="1"/>
      <c r="AM2" s="142"/>
      <c r="AO2" s="168"/>
    </row>
    <row r="3" spans="1:91" s="20" customFormat="1" ht="15" thickBot="1" x14ac:dyDescent="0.35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1"/>
      <c r="M3" s="37" t="s">
        <v>11</v>
      </c>
      <c r="N3" s="38" t="s">
        <v>12</v>
      </c>
      <c r="O3" s="3" t="s">
        <v>13</v>
      </c>
      <c r="P3" s="2"/>
      <c r="R3" s="162" t="s">
        <v>10</v>
      </c>
      <c r="S3" s="206"/>
      <c r="T3" s="171"/>
      <c r="U3" s="194"/>
      <c r="V3" s="211" t="s">
        <v>11</v>
      </c>
      <c r="W3" s="212" t="s">
        <v>12</v>
      </c>
      <c r="X3" s="200" t="s">
        <v>13</v>
      </c>
      <c r="Y3" s="202"/>
      <c r="Z3" s="202"/>
      <c r="AA3" s="202"/>
      <c r="AB3" s="52"/>
      <c r="AC3" s="49"/>
      <c r="AD3" s="2"/>
      <c r="AE3" s="1"/>
      <c r="AF3" s="1"/>
      <c r="AG3" s="182"/>
      <c r="AH3" s="47"/>
      <c r="AI3" s="1"/>
      <c r="AM3" s="142"/>
      <c r="AO3" s="168"/>
    </row>
    <row r="4" spans="1:91" s="20" customFormat="1" ht="15" thickBot="1" x14ac:dyDescent="0.35">
      <c r="A4" s="34"/>
      <c r="B4" s="36"/>
      <c r="C4" s="27"/>
      <c r="D4" s="27"/>
      <c r="E4" s="33"/>
      <c r="F4" s="160"/>
      <c r="G4" s="36"/>
      <c r="H4" s="33"/>
      <c r="I4" s="66" t="s">
        <v>14</v>
      </c>
      <c r="J4" s="48">
        <f>SUM(J5:J7)</f>
        <v>144</v>
      </c>
      <c r="K4" s="39"/>
      <c r="L4" s="172"/>
      <c r="M4" s="40" t="s">
        <v>15</v>
      </c>
      <c r="N4" s="38" t="s">
        <v>15</v>
      </c>
      <c r="O4" s="3" t="s">
        <v>15</v>
      </c>
      <c r="P4" s="2"/>
      <c r="R4" s="163" t="s">
        <v>14</v>
      </c>
      <c r="S4" s="207">
        <f>SUM(S5:S7)</f>
        <v>49</v>
      </c>
      <c r="T4" s="172"/>
      <c r="U4" s="195"/>
      <c r="V4" s="211" t="s">
        <v>15</v>
      </c>
      <c r="W4" s="212" t="s">
        <v>15</v>
      </c>
      <c r="X4" s="200" t="s">
        <v>15</v>
      </c>
      <c r="Y4" s="202"/>
      <c r="Z4" s="202"/>
      <c r="AA4" s="202"/>
      <c r="AB4" s="52"/>
      <c r="AC4" s="49"/>
      <c r="AD4" s="2"/>
      <c r="AE4" s="1"/>
      <c r="AF4" s="1"/>
      <c r="AG4" s="182"/>
      <c r="AH4" s="47"/>
      <c r="AI4" s="1"/>
      <c r="AM4" s="142"/>
      <c r="AO4" s="168"/>
    </row>
    <row r="5" spans="1:91" s="20" customFormat="1" ht="15" thickBot="1" x14ac:dyDescent="0.35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COUNTIFS($N$13:$N$9459,"&gt;0",$AG$13:$AG$9459,I1)</f>
        <v>141</v>
      </c>
      <c r="K5" s="39"/>
      <c r="L5" s="172"/>
      <c r="M5" s="40">
        <f>AVERAGEIFS($N$13:$N$9459,$AG$13:$AG$9459,I1)</f>
        <v>39.277068558099501</v>
      </c>
      <c r="N5" s="38">
        <f t="array" ref="N5">MIN(IF($AG$13:$AG$9459=I1,IF(ISNUMBER($N$13:$N$9459),IF($N$13:$N$9459&gt;0,$N$13:$N$9459))))</f>
        <v>34.349999993573874</v>
      </c>
      <c r="O5" s="3">
        <f t="array" ref="O5">MAX(IF($AG$13:$AG$9459=I1,IF(ISNUMBER($N$13:$N$9459),IF($N$13:$N$9459&gt;0,$N$13:$N$9459))))</f>
        <v>56.616666658082977</v>
      </c>
      <c r="P5" s="2"/>
      <c r="R5" s="163" t="s">
        <v>17</v>
      </c>
      <c r="S5" s="207">
        <f>COUNTIFS($N$13:$N$9459,"&gt;0",$AG$13:$AG$9459,R1)</f>
        <v>48</v>
      </c>
      <c r="T5" s="172"/>
      <c r="U5" s="195"/>
      <c r="V5" s="211">
        <f>AVERAGEIFS($N$13:$N$9459,$AG$13:$AG$9459,R1)</f>
        <v>13.347569445395493</v>
      </c>
      <c r="W5" s="212">
        <f t="array" ref="W5">MIN(IF($AG$13:$AG$9459=R1,IF(ISNUMBER($N$13:$N$9459),IF($N$13:$N$9459&gt;0,$N$13:$N$9459))))</f>
        <v>10.033333342289552</v>
      </c>
      <c r="X5" s="200">
        <f t="array" ref="X5">MAX(IF($AG$13:$AG$9459=R1,IF(ISNUMBER($N$13:$N$9459),IF($N$13:$N$9459&gt;0,$N$13:$N$9459))))</f>
        <v>23.550000004470348</v>
      </c>
      <c r="Y5" s="202"/>
      <c r="Z5" s="202"/>
      <c r="AA5" s="202"/>
      <c r="AB5" s="52"/>
      <c r="AC5" s="49"/>
      <c r="AD5" s="2"/>
      <c r="AE5" s="1"/>
      <c r="AF5" s="1"/>
      <c r="AG5" s="182"/>
      <c r="AH5" s="47"/>
      <c r="AI5" s="1"/>
      <c r="AM5" s="142"/>
      <c r="AO5" s="168"/>
    </row>
    <row r="6" spans="1:91" s="20" customFormat="1" ht="15" thickBot="1" x14ac:dyDescent="0.35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COUNT($O$13:$O$217)</f>
        <v>0</v>
      </c>
      <c r="K6" s="39"/>
      <c r="L6" s="172"/>
      <c r="M6" s="40">
        <f>IFERROR(AVERAGE($O$13:$O$217),0)</f>
        <v>0</v>
      </c>
      <c r="N6" s="38">
        <f>MIN($O$13:$O$217)</f>
        <v>0</v>
      </c>
      <c r="O6" s="3">
        <f>MAX($O$13:$O$217)</f>
        <v>0</v>
      </c>
      <c r="P6" s="2"/>
      <c r="R6" s="164" t="s">
        <v>43</v>
      </c>
      <c r="S6" s="207">
        <f>COUNT($O$13:$O$217)</f>
        <v>0</v>
      </c>
      <c r="T6" s="172"/>
      <c r="U6" s="195"/>
      <c r="V6" s="211">
        <f>IFERROR(AVERAGE($O$13:$O$217),0)</f>
        <v>0</v>
      </c>
      <c r="W6" s="212">
        <f>MIN($O$13:$O$217)</f>
        <v>0</v>
      </c>
      <c r="X6" s="200">
        <f>MAX($O$13:$O$217)</f>
        <v>0</v>
      </c>
      <c r="Y6" s="202"/>
      <c r="Z6" s="202"/>
      <c r="AA6" s="202"/>
      <c r="AB6" s="52"/>
      <c r="AC6" s="49"/>
      <c r="AD6" s="2"/>
      <c r="AE6" s="1"/>
      <c r="AF6" s="1"/>
      <c r="AG6" s="182"/>
      <c r="AH6" s="47"/>
      <c r="AI6" s="1"/>
      <c r="AM6" s="142"/>
      <c r="AO6" s="168"/>
    </row>
    <row r="7" spans="1:91" s="20" customFormat="1" ht="15" thickBot="1" x14ac:dyDescent="0.35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COUNTIFS($P$13:$P$9459,"&gt;0",$AG$13:$AG$9459,I1)</f>
        <v>3</v>
      </c>
      <c r="K7" s="39"/>
      <c r="L7" s="172"/>
      <c r="M7" s="38" t="s">
        <v>15</v>
      </c>
      <c r="N7" s="38" t="s">
        <v>15</v>
      </c>
      <c r="O7" s="3" t="s">
        <v>15</v>
      </c>
      <c r="P7" s="2"/>
      <c r="R7" s="165" t="s">
        <v>9</v>
      </c>
      <c r="S7" s="207">
        <f>COUNTIFS($P$13:$P$9459,"&gt;0",$AG$13:$AG$9459,R1)</f>
        <v>1</v>
      </c>
      <c r="T7" s="172"/>
      <c r="U7" s="195"/>
      <c r="V7" s="211" t="s">
        <v>15</v>
      </c>
      <c r="W7" s="212" t="s">
        <v>15</v>
      </c>
      <c r="X7" s="200" t="s">
        <v>15</v>
      </c>
      <c r="Y7" s="202"/>
      <c r="Z7" s="202"/>
      <c r="AA7" s="202"/>
      <c r="AB7" s="52"/>
      <c r="AC7" s="49"/>
      <c r="AD7" s="2"/>
      <c r="AE7" s="1"/>
      <c r="AF7" s="1"/>
      <c r="AG7" s="182"/>
      <c r="AH7" s="47"/>
      <c r="AI7" s="1"/>
      <c r="AM7" s="142"/>
      <c r="AO7" s="168"/>
    </row>
    <row r="8" spans="1:91" s="20" customFormat="1" ht="15" thickBot="1" x14ac:dyDescent="0.35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141</v>
      </c>
      <c r="K8" s="39"/>
      <c r="L8" s="172"/>
      <c r="M8" s="40">
        <f>M5</f>
        <v>39.277068558099501</v>
      </c>
      <c r="N8" s="38">
        <f>N5</f>
        <v>34.349999993573874</v>
      </c>
      <c r="O8" s="3">
        <f>O5</f>
        <v>56.616666658082977</v>
      </c>
      <c r="P8" s="2"/>
      <c r="R8" s="163" t="s">
        <v>16</v>
      </c>
      <c r="S8" s="207">
        <f>S5</f>
        <v>48</v>
      </c>
      <c r="T8" s="172"/>
      <c r="U8" s="195"/>
      <c r="V8" s="211">
        <f>V5</f>
        <v>13.347569445395493</v>
      </c>
      <c r="W8" s="212">
        <f>W5</f>
        <v>10.033333342289552</v>
      </c>
      <c r="X8" s="200">
        <f>X5</f>
        <v>23.550000004470348</v>
      </c>
      <c r="Y8" s="202"/>
      <c r="Z8" s="202"/>
      <c r="AA8" s="202"/>
      <c r="AB8" s="52"/>
      <c r="AC8" s="49"/>
      <c r="AD8" s="2"/>
      <c r="AE8" s="1"/>
      <c r="AF8" s="1"/>
      <c r="AG8" s="182"/>
      <c r="AH8" s="47"/>
      <c r="AI8" s="1"/>
      <c r="AM8" s="142"/>
      <c r="AO8" s="168"/>
    </row>
    <row r="9" spans="1:91" s="20" customFormat="1" ht="15" thickBot="1" x14ac:dyDescent="0.35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0.97916666666666663</v>
      </c>
      <c r="K9" s="41"/>
      <c r="L9" s="169"/>
      <c r="M9" s="69"/>
      <c r="N9" s="36"/>
      <c r="O9" s="70"/>
      <c r="P9" s="2"/>
      <c r="R9" s="163" t="s">
        <v>19</v>
      </c>
      <c r="S9" s="123">
        <f>S8/S4</f>
        <v>0.97959183673469385</v>
      </c>
      <c r="T9" s="169"/>
      <c r="U9" s="192"/>
      <c r="V9" s="213"/>
      <c r="W9" s="192"/>
      <c r="X9" s="201"/>
      <c r="Y9" s="202"/>
      <c r="Z9" s="202"/>
      <c r="AA9" s="202"/>
      <c r="AB9" s="52"/>
      <c r="AC9" s="49"/>
      <c r="AD9" s="2"/>
      <c r="AE9" s="1"/>
      <c r="AF9" s="1"/>
      <c r="AG9" s="182"/>
      <c r="AH9" s="47"/>
      <c r="AI9" s="1"/>
      <c r="AM9" s="142"/>
      <c r="AO9" s="168"/>
    </row>
    <row r="10" spans="1:91" s="20" customFormat="1" x14ac:dyDescent="0.3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9"/>
      <c r="M10" s="35"/>
      <c r="N10" s="36"/>
      <c r="O10" s="2"/>
      <c r="P10" s="2"/>
      <c r="R10" s="161"/>
      <c r="S10" s="219"/>
      <c r="T10" s="168"/>
      <c r="U10" s="196"/>
      <c r="V10" s="214"/>
      <c r="W10" s="202"/>
      <c r="X10" s="202"/>
      <c r="Y10" s="202"/>
      <c r="Z10" s="202"/>
      <c r="AA10" s="202"/>
      <c r="AB10" s="52"/>
      <c r="AC10" s="49"/>
      <c r="AD10" s="2"/>
      <c r="AE10" s="1"/>
      <c r="AF10" s="1"/>
      <c r="AG10" s="182"/>
      <c r="AH10" s="47"/>
      <c r="AI10" s="1"/>
      <c r="AM10" s="142"/>
      <c r="AO10" s="168"/>
    </row>
    <row r="11" spans="1:91" ht="16.2" thickBot="1" x14ac:dyDescent="0.35">
      <c r="A11" s="226" t="str">
        <f>"Eagle P3 System Performance - "&amp;TEXT(Variables!A2,"yyyy-mm-dd")</f>
        <v>Eagle P3 System Performance - 2017-10-23</v>
      </c>
      <c r="B11" s="226"/>
      <c r="C11" s="226"/>
      <c r="D11" s="226"/>
      <c r="E11" s="226"/>
      <c r="F11" s="226"/>
      <c r="G11" s="226"/>
      <c r="H11" s="226"/>
      <c r="I11" s="226"/>
      <c r="J11" s="226"/>
      <c r="K11" s="226"/>
      <c r="L11" s="226"/>
      <c r="M11" s="226"/>
      <c r="N11" s="226"/>
      <c r="O11" s="226"/>
      <c r="P11" s="226"/>
      <c r="S11" s="219">
        <f>AVERAGE(S13:S117)</f>
        <v>0.99918300653594772</v>
      </c>
      <c r="V11" s="214"/>
      <c r="AE11" s="1"/>
      <c r="AF11" s="1"/>
      <c r="AG11" s="182"/>
      <c r="AH11" s="47"/>
      <c r="AI11" s="1"/>
    </row>
    <row r="12" spans="1:91" s="5" customFormat="1" ht="69" customHeight="1" thickBot="1" x14ac:dyDescent="0.35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4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6" t="s">
        <v>24</v>
      </c>
      <c r="S12" s="220" t="s">
        <v>63</v>
      </c>
      <c r="T12" s="173" t="s">
        <v>64</v>
      </c>
      <c r="U12" s="197" t="s">
        <v>65</v>
      </c>
      <c r="V12" s="215" t="s">
        <v>45</v>
      </c>
      <c r="W12" s="203" t="s">
        <v>23</v>
      </c>
      <c r="X12" s="203" t="s">
        <v>48</v>
      </c>
      <c r="Y12" s="203" t="s">
        <v>20</v>
      </c>
      <c r="Z12" s="203" t="s">
        <v>21</v>
      </c>
      <c r="AA12" s="203" t="s">
        <v>22</v>
      </c>
      <c r="AB12" s="53" t="s">
        <v>39</v>
      </c>
      <c r="AC12" s="50" t="s">
        <v>40</v>
      </c>
      <c r="AD12" s="178" t="s">
        <v>82</v>
      </c>
      <c r="AE12" s="76" t="s">
        <v>89</v>
      </c>
      <c r="AF12" s="73" t="s">
        <v>93</v>
      </c>
      <c r="AG12" s="177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3" t="s">
        <v>189</v>
      </c>
      <c r="AN12" s="46" t="s">
        <v>331</v>
      </c>
      <c r="AO12" s="177" t="s">
        <v>378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3">
      <c r="A13" s="32" t="s">
        <v>683</v>
      </c>
      <c r="B13" s="7">
        <v>4034</v>
      </c>
      <c r="C13" s="21" t="s">
        <v>194</v>
      </c>
      <c r="D13" s="21" t="s">
        <v>618</v>
      </c>
      <c r="E13" s="13">
        <v>43031.131805555553</v>
      </c>
      <c r="F13" s="13">
        <v>43031.135752314818</v>
      </c>
      <c r="G13" s="7">
        <v>70</v>
      </c>
      <c r="H13" s="21" t="s">
        <v>612</v>
      </c>
      <c r="I13" s="13">
        <v>43031.161446759259</v>
      </c>
      <c r="J13" s="7">
        <v>0</v>
      </c>
      <c r="K13" s="89" t="str">
        <f>IF(ISEVEN(B13),(B13-1)&amp;"/"&amp;B13,B13&amp;"/"&amp;(B13+1))</f>
        <v>4033/4034</v>
      </c>
      <c r="L13" s="185" t="str">
        <f>VLOOKUP(A13,'Trips&amp;Operators'!$C$1:$G$99911,5,FALSE)</f>
        <v>THOMPSON LESTER</v>
      </c>
      <c r="M13" s="6">
        <f>I13-F13</f>
        <v>2.569444444088731E-2</v>
      </c>
      <c r="N13" s="7">
        <f>24*60*SUM($M13:$M13)</f>
        <v>36.999999994877726</v>
      </c>
      <c r="O13" s="7"/>
      <c r="P13" s="7"/>
      <c r="Q13" s="22"/>
      <c r="R13" s="167"/>
      <c r="S13" s="221">
        <f>1/IF(AG13="EC",12,1)*SUM(U13:U13)</f>
        <v>1</v>
      </c>
      <c r="T13" s="174" t="str">
        <f>IF(ISEVEN(LEFT(AD13,4)),"Southbound","NorthBound")</f>
        <v>NorthBound</v>
      </c>
      <c r="U13" s="198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6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-10-23T02:09:48-0600',mode:absolute,to:'2017-10-23T04:52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3" s="204" t="str">
        <f>IF(AA13&lt;VLOOKUP(AG13,Variables!$AC$3:$AD$8,2,FALSE),"Y","N")</f>
        <v>N</v>
      </c>
      <c r="X13" s="204" t="e">
        <f>VALUE(LEFT(AD13,4))-VALUE(LEFT(AD12,4))</f>
        <v>#VALUE!</v>
      </c>
      <c r="Y13" s="204">
        <f>RIGHT(D13,LEN(D13)-4)/10000</f>
        <v>7.5499999999999998E-2</v>
      </c>
      <c r="Z13" s="204">
        <f>RIGHT(H13,LEN(H13)-4)/10000</f>
        <v>23.328900000000001</v>
      </c>
      <c r="AA13" s="204">
        <f>ABS(Z13-Y13)</f>
        <v>23.253399999999999</v>
      </c>
      <c r="AB13" s="54" t="e">
        <f>VLOOKUP(A13,Enforcements!$C$7:$K$11,8,0)</f>
        <v>#N/A</v>
      </c>
      <c r="AC13" s="51" t="e">
        <f>VLOOKUP(A13,Enforcements!$C$7:$E$11,3,0)</f>
        <v>#N/A</v>
      </c>
      <c r="AD13" s="179">
        <f>VALUE(LEFT(A13,LEN(A13)-3))</f>
        <v>101</v>
      </c>
      <c r="AE13" s="77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s3://rtdc.mdm.uploadarchive.raw/RTDC4034/ "%USERPROFILE%\AppData\Local\Temp\OnboardLogs"\RTDC4034\2017-10-23 --exclude "*" --recursive --include "*20171023*" &amp; "%USERPROFILE%\Documents\GitHub\mrs-test-scripts\Headless Mode &amp; Sideloading\WalkAndUnGZ.bat" "%USERPROFILE%\AppData\Local\Temp\OnboardLogs"\RTDC4034\2017-10-23 &amp; aws s3 cp s3://rtdc.mdm.uploadarchive.raw/RTDC4034/ "%USERPROFILE%\AppData\Local\Temp\OnboardLogs"\RTDC4034\2017-10-24 --exclude "*" --recursive --include "*20171024*" &amp; "%USERPROFILE%\Documents\GitHub\mrs-test-scripts\Headless Mode &amp; Sideloading\WalkAndUnGZ.bat" "%USERPROFILE%\AppData\Local\Temp\OnboardLogs"\RTDC4034\2017-10-24</v>
      </c>
      <c r="AF13" s="74" t="str">
        <f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/stypes="app*4034*20171023*" /stext=" 09:.+((SYSTEM_STATE.+slice.+state.+changed )|(ment ac)|(multiple cpu faults)|(system.+state.+changed )|(\[timeout)|(PRM\|1\|D)|(kpr)|(kdp)|(train st.+moving)|(\|lc)|(penalty))"</v>
      </c>
      <c r="AG13" s="182" t="str">
        <f>DetSubdiv(A13)</f>
        <v>EC</v>
      </c>
      <c r="AH13" s="78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101-23 --locoid 4034 --swversion DE.1.0.9.0 --startMP 204:755 --initTime 2017-10-23T03:09:48 --startdatetime 2017-10-23T03:15:29 --delay 70 --endMP 204:233289 --enddatetime 2017-10-23T03:52:29 --enforcementcount 0 &gt;&gt;%USERPROFILE%\Documents\GitHub\eaglep3-reporting\EC\2017-10-23-refined-times.txt</v>
      </c>
      <c r="AI13" s="96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{"issue":{"subject":"","project_id":79,"tracker_id":40,"status_id":1,"priority_id":2,"assigned_to_id":338,"start_date":"2017-10-23","description":"","custom_fields":[{"id":1,"name":"Subdivision","value":"EC"},{"id":4,"name":"Milepost","value":"23.3289"},{"id":17,"name":"Train ID","value":"101-23"},{"id":16,"name":"Locomotive ID","value":"4034"},{"id":130,"name":"Impact","value":""},{"id":150,"name":"Time of Event (Mountain Time)","value":"03:52:29"},{"id":151,"name":"Denver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2" t="str">
        <f t="shared" ref="AM13" si="2">"start /low /b "&amp;dls3logs&amp;" --loco "&amp;B13&amp;" --day "&amp;TEXT(F13,"YYYY-MM-DD")</f>
        <v>start /low /b %USERPROFILE%\Documents\GitHub\eaglep3\Utilities\DownloadLogsFromS3.py --loco 4034 --day 2017-10-23</v>
      </c>
      <c r="AN13" s="151" t="str">
        <f t="shared" ref="AN13" si="3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09:52:29"},{"id":29,"name":"Sharepoint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8" t="str">
        <f t="shared" ref="AO13" si="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-10-23T02:09:48-0600',mode:absolute,to:'2017-10-23T04:52:29-0600'))&amp;_a=(columns:!('Message%20ID',Summary),filters:!(),index:'emp_*',interval:auto,query:(query_string:(analyze_wildcard:!t,query:'%22rtdc.l.rtdc.4034%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3">
      <c r="A14" s="32" t="s">
        <v>696</v>
      </c>
      <c r="B14" s="7">
        <v>4033</v>
      </c>
      <c r="C14" s="21" t="s">
        <v>194</v>
      </c>
      <c r="D14" s="21" t="s">
        <v>899</v>
      </c>
      <c r="E14" s="13">
        <v>43031.172800925924</v>
      </c>
      <c r="F14" s="13">
        <v>43031.17528935185</v>
      </c>
      <c r="G14" s="7">
        <v>115</v>
      </c>
      <c r="H14" s="21" t="s">
        <v>335</v>
      </c>
      <c r="I14" s="13">
        <v>43031.202800925923</v>
      </c>
      <c r="J14" s="7">
        <v>0</v>
      </c>
      <c r="K14" s="89" t="str">
        <f>IF(ISEVEN(B14),(B14-1)&amp;"/"&amp;B14,B14&amp;"/"&amp;(B14+1))</f>
        <v>4033/4034</v>
      </c>
      <c r="L14" s="185" t="str">
        <f>VLOOKUP(A14,'Trips&amp;Operators'!$C$1:$G$99911,5,FALSE)</f>
        <v>THOMPSON LESTER</v>
      </c>
      <c r="M14" s="6">
        <f>I14-F14</f>
        <v>2.7511574073287193E-2</v>
      </c>
      <c r="N14" s="7">
        <f>24*60*SUM($M14:$M14)</f>
        <v>39.616666665533558</v>
      </c>
      <c r="O14" s="7"/>
      <c r="P14" s="7"/>
      <c r="Q14" s="22"/>
      <c r="R14" s="174"/>
      <c r="S14" s="221">
        <f>1/IF(AG14="EC",12,1)*SUM(U14:U14)</f>
        <v>1</v>
      </c>
      <c r="T14" s="174" t="str">
        <f>IF(ISEVEN(LEFT(AD14,4)),"Southbound","NorthBound")</f>
        <v>Southbound</v>
      </c>
      <c r="U14" s="198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16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-10-23T03:08:50-0600',mode:absolute,to:'2017-10-23T05:52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4" s="204" t="str">
        <f>IF(AA14&lt;VLOOKUP(AG14,Variables!$AC$3:$AD$8,2,FALSE),"Y","N")</f>
        <v>N</v>
      </c>
      <c r="X14" s="204">
        <f>VALUE(LEFT(AD14,4))-VALUE(LEFT(AD13,4))</f>
        <v>1</v>
      </c>
      <c r="Y14" s="204">
        <f>RIGHT(D14,LEN(D14)-4)/10000</f>
        <v>23.2971</v>
      </c>
      <c r="Z14" s="204">
        <f>RIGHT(H14,LEN(H14)-4)/10000</f>
        <v>1.4999999999999999E-2</v>
      </c>
      <c r="AA14" s="204">
        <f>ABS(Z14-Y14)</f>
        <v>23.2821</v>
      </c>
      <c r="AB14" s="54" t="e">
        <f>VLOOKUP(A14,Enforcements!$C$7:$K$11,8,0)</f>
        <v>#N/A</v>
      </c>
      <c r="AC14" s="51" t="e">
        <f>VLOOKUP(A14,Enforcements!$C$7:$E$11,3,0)</f>
        <v>#N/A</v>
      </c>
      <c r="AD14" s="179">
        <f>VALUE(LEFT(A14,LEN(A14)-3))</f>
        <v>102</v>
      </c>
      <c r="AE14" s="77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s3://rtdc.mdm.uploadarchive.raw/RTDC4033/ "%USERPROFILE%\AppData\Local\Temp\OnboardLogs"\RTDC4033\2017-10-23 --exclude "*" --recursive --include "*20171023*" &amp; "%USERPROFILE%\Documents\GitHub\mrs-test-scripts\Headless Mode &amp; Sideloading\WalkAndUnGZ.bat" "%USERPROFILE%\AppData\Local\Temp\OnboardLogs"\RTDC4033\2017-10-23 &amp; aws s3 cp s3://rtdc.mdm.uploadarchive.raw/RTDC4033/ "%USERPROFILE%\AppData\Local\Temp\OnboardLogs"\RTDC4033\2017-10-24 --exclude "*" --recursive --include "*20171024*" &amp; "%USERPROFILE%\Documents\GitHub\mrs-test-scripts\Headless Mode &amp; Sideloading\WalkAndUnGZ.bat" "%USERPROFILE%\AppData\Local\Temp\OnboardLogs"\RTDC4033\2017-10-24</v>
      </c>
      <c r="AF14" s="74" t="str">
        <f>astrogrep_path&amp;" /e /r /s /spath="&amp;search_path&amp;" /stypes=""app*"&amp;B14&amp;"*"&amp;TEXT(I14-utc_offset/24,"YYYYMMDD")&amp;"*"" /stext="" "&amp;TEXT(I14-utc_offset/24,"HH")&amp;search_regexp&amp;""""</f>
        <v>"C:\Program Files (x86)\AstroGrep\AstroGrep.exe" /e /r /s /spath="%USERPROFILE%\AppData\Local\Temp\OnboardLogs" /stypes="app*4033*20171023*" /stext=" 10:.+((SYSTEM_STATE.+slice.+state.+changed )|(ment ac)|(multiple cpu faults)|(system.+state.+changed )|(\[timeout)|(PRM\|1\|D)|(kpr)|(kdp)|(train st.+moving)|(\|lc)|(penalty))"</v>
      </c>
      <c r="AG14" s="182" t="str">
        <f>DetSubdiv(A14)</f>
        <v>EC</v>
      </c>
      <c r="AH14" s="78" t="str">
        <f t="shared" ref="AH14:AH77" si="5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102-23 --locoid 4033 --swversion DE.1.0.9.0 --startMP 204:232971 --initTime 2017-10-23T04:08:50 --startdatetime 2017-10-23T04:12:25 --delay 115 --endMP 204:150 --enddatetime 2017-10-23T04:52:02 --enforcementcount 0 &gt;&gt;%USERPROFILE%\Documents\GitHub\eaglep3-reporting\EC\2017-10-23-refined-times.txt</v>
      </c>
      <c r="AI14" s="96" t="str">
        <f t="shared" ref="AI14:AI77" si="6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{"issue":{"subject":"","project_id":79,"tracker_id":40,"status_id":1,"priority_id":2,"assigned_to_id":338,"start_date":"2017-10-23","description":"","custom_fields":[{"id":1,"name":"Subdivision","value":"EC"},{"id":4,"name":"Milepost","value":"0.015"},{"id":17,"name":"Train ID","value":"102-23"},{"id":16,"name":"Locomotive ID","value":"4033"},{"id":130,"name":"Impact","value":""},{"id":150,"name":"Time of Event (Mountain Time)","value":"04:52:02"},{"id":151,"name":"Denver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0"/>
      <c r="AK14" s="47"/>
      <c r="AL14" s="47"/>
      <c r="AM14" s="142" t="str">
        <f t="shared" ref="AM14:AM77" si="7">"start /low /b "&amp;dls3logs&amp;" --loco "&amp;B14&amp;" --day "&amp;TEXT(F14,"YYYY-MM-DD")</f>
        <v>start /low /b %USERPROFILE%\Documents\GitHub\eaglep3\Utilities\DownloadLogsFromS3.py --loco 4033 --day 2017-10-23</v>
      </c>
      <c r="AN14" s="151" t="str">
        <f t="shared" ref="AN14:AN77" si="8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10:52:02"},{"id":29,"name":"Sharepoint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168" t="str">
        <f t="shared" ref="AO14:AO77" si="9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-10-23T03:08:50-0600',mode:absolute,to:'2017-10-23T05:52:02-0600'))&amp;_a=(columns:!('Message%20ID',Summary),filters:!(),index:'emp_*',interval:auto,query:(query_string:(analyze_wildcard:!t,query:'%22rtdc.l.rtdc.4033%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3">
      <c r="A15" s="32" t="s">
        <v>693</v>
      </c>
      <c r="B15" s="7">
        <v>4046</v>
      </c>
      <c r="C15" s="21" t="s">
        <v>194</v>
      </c>
      <c r="D15" s="21" t="s">
        <v>338</v>
      </c>
      <c r="E15" s="13">
        <v>43031.15221064815</v>
      </c>
      <c r="F15" s="13">
        <v>43031.156423611108</v>
      </c>
      <c r="G15" s="7">
        <v>66</v>
      </c>
      <c r="H15" s="21" t="s">
        <v>563</v>
      </c>
      <c r="I15" s="13">
        <v>43031.181574074071</v>
      </c>
      <c r="J15" s="7">
        <v>0</v>
      </c>
      <c r="K15" s="89" t="str">
        <f>IF(ISEVEN(B15),(B15-1)&amp;"/"&amp;B15,B15&amp;"/"&amp;(B15+1))</f>
        <v>4045/4046</v>
      </c>
      <c r="L15" s="185" t="str">
        <f>VLOOKUP(A15,'Trips&amp;Operators'!$C$1:$G$99911,5,FALSE)</f>
        <v>BONDS REYNALDO</v>
      </c>
      <c r="M15" s="6">
        <f>I15-F15</f>
        <v>2.5150462963210884E-2</v>
      </c>
      <c r="N15" s="7">
        <f>24*60*SUM($M15:$M15)</f>
        <v>36.216666667023674</v>
      </c>
      <c r="O15" s="7"/>
      <c r="P15" s="7"/>
      <c r="Q15" s="22"/>
      <c r="R15" s="174"/>
      <c r="S15" s="221">
        <f>1/IF(AG15="EC",12,1)*SUM(U15:U15)</f>
        <v>1</v>
      </c>
      <c r="T15" s="174" t="str">
        <f>IF(ISEVEN(LEFT(AD15,4)),"Southbound","NorthBound")</f>
        <v>NorthBound</v>
      </c>
      <c r="U15" s="198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16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-10-23T02:39:11-0600',mode:absolute,to:'2017-10-23T05:21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" s="204" t="str">
        <f>IF(AA15&lt;VLOOKUP(AG15,Variables!$AC$3:$AD$8,2,FALSE),"Y","N")</f>
        <v>N</v>
      </c>
      <c r="X15" s="204">
        <f>VALUE(LEFT(AD15,4))-VALUE(LEFT(AD14,4))</f>
        <v>1</v>
      </c>
      <c r="Y15" s="204">
        <f>RIGHT(D15,LEN(D15)-4)/10000</f>
        <v>4.53E-2</v>
      </c>
      <c r="Z15" s="204">
        <f>RIGHT(H15,LEN(H15)-4)/10000</f>
        <v>23.3264</v>
      </c>
      <c r="AA15" s="204">
        <f>ABS(Z15-Y15)</f>
        <v>23.281099999999999</v>
      </c>
      <c r="AB15" s="54" t="e">
        <f>VLOOKUP(A15,Enforcements!$C$7:$K$11,8,0)</f>
        <v>#N/A</v>
      </c>
      <c r="AC15" s="51" t="e">
        <f>VLOOKUP(A15,Enforcements!$C$7:$E$11,3,0)</f>
        <v>#N/A</v>
      </c>
      <c r="AD15" s="179">
        <f>VALUE(LEFT(A15,LEN(A15)-3))</f>
        <v>103</v>
      </c>
      <c r="AE15" s="77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s3://rtdc.mdm.uploadarchive.raw/RTDC4046/ "%USERPROFILE%\AppData\Local\Temp\OnboardLogs"\RTDC4046\2017-10-23 --exclude "*" --recursive --include "*20171023*" &amp; "%USERPROFILE%\Documents\GitHub\mrs-test-scripts\Headless Mode &amp; Sideloading\WalkAndUnGZ.bat" "%USERPROFILE%\AppData\Local\Temp\OnboardLogs"\RTDC4046\2017-10-23 &amp; aws s3 cp s3://rtdc.mdm.uploadarchive.raw/RTDC4046/ "%USERPROFILE%\AppData\Local\Temp\OnboardLogs"\RTDC4046\2017-10-24 --exclude "*" --recursive --include "*20171024*" &amp; "%USERPROFILE%\Documents\GitHub\mrs-test-scripts\Headless Mode &amp; Sideloading\WalkAndUnGZ.bat" "%USERPROFILE%\AppData\Local\Temp\OnboardLogs"\RTDC4046\2017-10-24</v>
      </c>
      <c r="AF15" s="74" t="str">
        <f>astrogrep_path&amp;" /e /r /s /spath="&amp;search_path&amp;" /stypes=""app*"&amp;B15&amp;"*"&amp;TEXT(I15-utc_offset/24,"YYYYMMDD")&amp;"*"" /stext="" "&amp;TEXT(I15-utc_offset/24,"HH")&amp;search_regexp&amp;""""</f>
        <v>"C:\Program Files (x86)\AstroGrep\AstroGrep.exe" /e /r /s /spath="%USERPROFILE%\AppData\Local\Temp\OnboardLogs" /stypes="app*4046*20171023*" /stext=" 10:.+((SYSTEM_STATE.+slice.+state.+changed )|(ment ac)|(multiple cpu faults)|(system.+state.+changed )|(\[timeout)|(PRM\|1\|D)|(kpr)|(kdp)|(train st.+moving)|(\|lc)|(penalty))"</v>
      </c>
      <c r="AG15" s="182" t="str">
        <f>DetSubdiv(A15)</f>
        <v>EC</v>
      </c>
      <c r="AH15" s="78" t="str">
        <f t="shared" si="5"/>
        <v>"%USERPROFILE%\Documents\GitHub\eaglep3\Utilities\RefineRTDCRunTimes.py" --tripid 103-23 --locoid 4046 --swversion DE.1.0.9.0 --startMP 204:453 --initTime 2017-10-23T03:39:11 --startdatetime 2017-10-23T03:45:15 --delay 66 --endMP 204:233264 --enddatetime 2017-10-23T04:21:28 --enforcementcount 0 &gt;&gt;%USERPROFILE%\Documents\GitHub\eaglep3-reporting\EC\2017-10-23-refined-times.txt</v>
      </c>
      <c r="AI15" s="96" t="str">
        <f t="shared" si="6"/>
        <v>echo {"issue":{"subject":"","project_id":79,"tracker_id":40,"status_id":1,"priority_id":2,"assigned_to_id":338,"start_date":"2017-10-23","description":"","custom_fields":[{"id":1,"name":"Subdivision","value":"EC"},{"id":4,"name":"Milepost","value":"23.3264"},{"id":17,"name":"Train ID","value":"103-23"},{"id":16,"name":"Locomotive ID","value":"4046"},{"id":130,"name":"Impact","value":""},{"id":150,"name":"Time of Event (Mountain Time)","value":"04:21:28"},{"id":151,"name":"Denver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0"/>
      <c r="AK15" s="47"/>
      <c r="AL15" s="47"/>
      <c r="AM15" s="142" t="str">
        <f t="shared" si="7"/>
        <v>start /low /b %USERPROFILE%\Documents\GitHub\eaglep3\Utilities\DownloadLogsFromS3.py --loco 4046 --day 2017-10-23</v>
      </c>
      <c r="AN15" s="151" t="str">
        <f t="shared" si="8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10:21:28"},{"id":29,"name":"Sharepoint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168" t="str">
        <f t="shared" si="9"/>
        <v>https://d0f6bd738d7f1b3e5a7ca70fe4ff75f0.us-east-1.aws.found.io/app/kibana#/discover/Steve-Slow-Train-Analysis-(2080s-and-2083s)?_g=(refreshInterval:(display:Off,pause:!f,section:0,value:0),time:(from:'2017-10-23T02:39:11-0600',mode:absolute,to:'2017-10-23T05:21:28-0600'))&amp;_a=(columns:!('Message%20ID',Summary),filters:!(),index:'emp_*',interval:auto,query:(query_string:(analyze_wildcard:!t,query:'%22rtdc.l.rtdc.4046%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3">
      <c r="A16" s="32" t="s">
        <v>700</v>
      </c>
      <c r="B16" s="7">
        <v>4045</v>
      </c>
      <c r="C16" s="21" t="s">
        <v>194</v>
      </c>
      <c r="D16" s="21" t="s">
        <v>396</v>
      </c>
      <c r="E16" s="13">
        <v>43031.192627314813</v>
      </c>
      <c r="F16" s="13">
        <v>43031.19604166667</v>
      </c>
      <c r="G16" s="7">
        <v>56</v>
      </c>
      <c r="H16" s="21" t="s">
        <v>335</v>
      </c>
      <c r="I16" s="13">
        <v>43031.222187500003</v>
      </c>
      <c r="J16" s="7">
        <v>0</v>
      </c>
      <c r="K16" s="89" t="str">
        <f>IF(ISEVEN(B16),(B16-1)&amp;"/"&amp;B16,B16&amp;"/"&amp;(B16+1))</f>
        <v>4045/4046</v>
      </c>
      <c r="L16" s="185" t="str">
        <f>VLOOKUP(A16,'Trips&amp;Operators'!$C$1:$G$99911,5,FALSE)</f>
        <v>BONDS REYNALDO</v>
      </c>
      <c r="M16" s="6">
        <f>I16-F16</f>
        <v>2.6145833333430346E-2</v>
      </c>
      <c r="N16" s="7">
        <f>24*60*SUM($M16:$M16)</f>
        <v>37.650000000139698</v>
      </c>
      <c r="O16" s="7"/>
      <c r="P16" s="7"/>
      <c r="Q16" s="22"/>
      <c r="R16" s="174"/>
      <c r="S16" s="221">
        <f>1/IF(AG16="EC",12,1)*SUM(U16:U16)</f>
        <v>1</v>
      </c>
      <c r="T16" s="174" t="str">
        <f>IF(ISEVEN(LEFT(AD16,4)),"Southbound","NorthBound")</f>
        <v>Southbound</v>
      </c>
      <c r="U16" s="198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16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-10-23T03:37:23-0600',mode:absolute,to:'2017-10-23T06:19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6" s="204" t="str">
        <f>IF(AA16&lt;VLOOKUP(AG16,Variables!$AC$3:$AD$8,2,FALSE),"Y","N")</f>
        <v>N</v>
      </c>
      <c r="X16" s="204">
        <f>VALUE(LEFT(AD16,4))-VALUE(LEFT(AD15,4))</f>
        <v>1</v>
      </c>
      <c r="Y16" s="204">
        <f>RIGHT(D16,LEN(D16)-4)/10000</f>
        <v>23.299099999999999</v>
      </c>
      <c r="Z16" s="204">
        <f>RIGHT(H16,LEN(H16)-4)/10000</f>
        <v>1.4999999999999999E-2</v>
      </c>
      <c r="AA16" s="204">
        <f>ABS(Z16-Y16)</f>
        <v>23.284099999999999</v>
      </c>
      <c r="AB16" s="54" t="e">
        <f>VLOOKUP(A16,Enforcements!$C$7:$K$11,8,0)</f>
        <v>#N/A</v>
      </c>
      <c r="AC16" s="51" t="e">
        <f>VLOOKUP(A16,Enforcements!$C$7:$E$11,3,0)</f>
        <v>#N/A</v>
      </c>
      <c r="AD16" s="179">
        <f>VALUE(LEFT(A16,LEN(A16)-3))</f>
        <v>104</v>
      </c>
      <c r="AE16" s="77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s3://rtdc.mdm.uploadarchive.raw/RTDC4045/ "%USERPROFILE%\AppData\Local\Temp\OnboardLogs"\RTDC4045\2017-10-23 --exclude "*" --recursive --include "*20171023*" &amp; "%USERPROFILE%\Documents\GitHub\mrs-test-scripts\Headless Mode &amp; Sideloading\WalkAndUnGZ.bat" "%USERPROFILE%\AppData\Local\Temp\OnboardLogs"\RTDC4045\2017-10-23 &amp; aws s3 cp s3://rtdc.mdm.uploadarchive.raw/RTDC4045/ "%USERPROFILE%\AppData\Local\Temp\OnboardLogs"\RTDC4045\2017-10-24 --exclude "*" --recursive --include "*20171024*" &amp; "%USERPROFILE%\Documents\GitHub\mrs-test-scripts\Headless Mode &amp; Sideloading\WalkAndUnGZ.bat" "%USERPROFILE%\AppData\Local\Temp\OnboardLogs"\RTDC4045\2017-10-24</v>
      </c>
      <c r="AF16" s="74" t="str">
        <f>astrogrep_path&amp;" /e /r /s /spath="&amp;search_path&amp;" /stypes=""app*"&amp;B16&amp;"*"&amp;TEXT(I16-utc_offset/24,"YYYYMMDD")&amp;"*"" /stext="" "&amp;TEXT(I16-utc_offset/24,"HH")&amp;search_regexp&amp;""""</f>
        <v>"C:\Program Files (x86)\AstroGrep\AstroGrep.exe" /e /r /s /spath="%USERPROFILE%\AppData\Local\Temp\OnboardLogs" /stypes="app*4045*20171023*" /stext=" 11:.+((SYSTEM_STATE.+slice.+state.+changed )|(ment ac)|(multiple cpu faults)|(system.+state.+changed )|(\[timeout)|(PRM\|1\|D)|(kpr)|(kdp)|(train st.+moving)|(\|lc)|(penalty))"</v>
      </c>
      <c r="AG16" s="182" t="str">
        <f>DetSubdiv(A16)</f>
        <v>EC</v>
      </c>
      <c r="AH16" s="78" t="str">
        <f t="shared" si="5"/>
        <v>"%USERPROFILE%\Documents\GitHub\eaglep3\Utilities\RefineRTDCRunTimes.py" --tripid 104-23 --locoid 4045 --swversion DE.1.0.9.0 --startMP 204:232991 --initTime 2017-10-23T04:37:23 --startdatetime 2017-10-23T04:42:18 --delay 56 --endMP 204:150 --enddatetime 2017-10-23T05:19:57 --enforcementcount 0 &gt;&gt;%USERPROFILE%\Documents\GitHub\eaglep3-reporting\EC\2017-10-23-refined-times.txt</v>
      </c>
      <c r="AI16" s="96" t="str">
        <f t="shared" si="6"/>
        <v>echo {"issue":{"subject":"","project_id":79,"tracker_id":40,"status_id":1,"priority_id":2,"assigned_to_id":338,"start_date":"2017-10-23","description":"","custom_fields":[{"id":1,"name":"Subdivision","value":"EC"},{"id":4,"name":"Milepost","value":"0.015"},{"id":17,"name":"Train ID","value":"104-23"},{"id":16,"name":"Locomotive ID","value":"4045"},{"id":130,"name":"Impact","value":""},{"id":150,"name":"Time of Event (Mountain Time)","value":"05:19:57"},{"id":151,"name":"Denver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0"/>
      <c r="AK16" s="47"/>
      <c r="AL16" s="47"/>
      <c r="AM16" s="142" t="str">
        <f t="shared" si="7"/>
        <v>start /low /b %USERPROFILE%\Documents\GitHub\eaglep3\Utilities\DownloadLogsFromS3.py --loco 4045 --day 2017-10-23</v>
      </c>
      <c r="AN16" s="151" t="str">
        <f t="shared" si="8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11:19:57"},{"id":29,"name":"Sharepoint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168" t="str">
        <f t="shared" si="9"/>
        <v>https://d0f6bd738d7f1b3e5a7ca70fe4ff75f0.us-east-1.aws.found.io/app/kibana#/discover/Steve-Slow-Train-Analysis-(2080s-and-2083s)?_g=(refreshInterval:(display:Off,pause:!f,section:0,value:0),time:(from:'2017-10-23T03:37:23-0600',mode:absolute,to:'2017-10-23T06:19:57-0600'))&amp;_a=(columns:!('Message%20ID',Summary),filters:!(),index:'emp_*',interval:auto,query:(query_string:(analyze_wildcard:!t,query:'%22rtdc.l.rtdc.4045%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3">
      <c r="A17" s="32" t="s">
        <v>695</v>
      </c>
      <c r="B17" s="7">
        <v>4018</v>
      </c>
      <c r="C17" s="21" t="s">
        <v>194</v>
      </c>
      <c r="D17" s="21" t="s">
        <v>555</v>
      </c>
      <c r="E17" s="13">
        <v>43031.163854166669</v>
      </c>
      <c r="F17" s="13">
        <v>43031.177303240744</v>
      </c>
      <c r="G17" s="7">
        <v>49</v>
      </c>
      <c r="H17" s="21" t="s">
        <v>459</v>
      </c>
      <c r="I17" s="13">
        <v>43031.201157407406</v>
      </c>
      <c r="J17" s="7">
        <v>0</v>
      </c>
      <c r="K17" s="89" t="str">
        <f>IF(ISEVEN(B17),(B17-1)&amp;"/"&amp;B17,B17&amp;"/"&amp;(B17+1))</f>
        <v>4017/4018</v>
      </c>
      <c r="L17" s="185" t="str">
        <f>VLOOKUP(A17,'Trips&amp;Operators'!$C$1:$G$99911,5,FALSE)</f>
        <v>YORK EDGAR</v>
      </c>
      <c r="M17" s="6">
        <f>I17-F17</f>
        <v>2.3854166662204079E-2</v>
      </c>
      <c r="N17" s="7">
        <f>24*60*SUM($M17:$M17)</f>
        <v>34.349999993573874</v>
      </c>
      <c r="O17" s="7"/>
      <c r="P17" s="7"/>
      <c r="Q17" s="22"/>
      <c r="R17" s="174"/>
      <c r="S17" s="221">
        <f>1/IF(AG17="EC",12,1)*SUM(U17:U17)</f>
        <v>1</v>
      </c>
      <c r="T17" s="174" t="str">
        <f>IF(ISEVEN(LEFT(AD17,4)),"Southbound","NorthBound")</f>
        <v>NorthBound</v>
      </c>
      <c r="U17" s="198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16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2017-10-23T02:55:57-0600',mode:absolute,to:'2017-10-23T05:49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7" s="204" t="str">
        <f>IF(AA17&lt;VLOOKUP(AG17,Variables!$AC$3:$AD$8,2,FALSE),"Y","N")</f>
        <v>N</v>
      </c>
      <c r="X17" s="204">
        <f>VALUE(LEFT(AD17,4))-VALUE(LEFT(AD16,4))</f>
        <v>1</v>
      </c>
      <c r="Y17" s="204">
        <f>RIGHT(D17,LEN(D17)-4)/10000</f>
        <v>4.4900000000000002E-2</v>
      </c>
      <c r="Z17" s="204">
        <f>RIGHT(H17,LEN(H17)-4)/10000</f>
        <v>23.3307</v>
      </c>
      <c r="AA17" s="204">
        <f>ABS(Z17-Y17)</f>
        <v>23.285800000000002</v>
      </c>
      <c r="AB17" s="54" t="e">
        <f>VLOOKUP(A17,Enforcements!$C$7:$K$11,8,0)</f>
        <v>#N/A</v>
      </c>
      <c r="AC17" s="51" t="e">
        <f>VLOOKUP(A17,Enforcements!$C$7:$E$11,3,0)</f>
        <v>#N/A</v>
      </c>
      <c r="AD17" s="179">
        <f>VALUE(LEFT(A17,LEN(A17)-3))</f>
        <v>105</v>
      </c>
      <c r="AE17" s="77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s3://rtdc.mdm.uploadarchive.raw/RTDC4018/ "%USERPROFILE%\AppData\Local\Temp\OnboardLogs"\RTDC4018\2017-10-23 --exclude "*" --recursive --include "*20171023*" &amp; "%USERPROFILE%\Documents\GitHub\mrs-test-scripts\Headless Mode &amp; Sideloading\WalkAndUnGZ.bat" "%USERPROFILE%\AppData\Local\Temp\OnboardLogs"\RTDC4018\2017-10-23 &amp; aws s3 cp s3://rtdc.mdm.uploadarchive.raw/RTDC4018/ "%USERPROFILE%\AppData\Local\Temp\OnboardLogs"\RTDC4018\2017-10-24 --exclude "*" --recursive --include "*20171024*" &amp; "%USERPROFILE%\Documents\GitHub\mrs-test-scripts\Headless Mode &amp; Sideloading\WalkAndUnGZ.bat" "%USERPROFILE%\AppData\Local\Temp\OnboardLogs"\RTDC4018\2017-10-24</v>
      </c>
      <c r="AF17" s="74" t="str">
        <f>astrogrep_path&amp;" /e /r /s /spath="&amp;search_path&amp;" /stypes=""app*"&amp;B17&amp;"*"&amp;TEXT(I17-utc_offset/24,"YYYYMMDD")&amp;"*"" /stext="" "&amp;TEXT(I17-utc_offset/24,"HH")&amp;search_regexp&amp;""""</f>
        <v>"C:\Program Files (x86)\AstroGrep\AstroGrep.exe" /e /r /s /spath="%USERPROFILE%\AppData\Local\Temp\OnboardLogs" /stypes="app*4018*20171023*" /stext=" 10:.+((SYSTEM_STATE.+slice.+state.+changed )|(ment ac)|(multiple cpu faults)|(system.+state.+changed )|(\[timeout)|(PRM\|1\|D)|(kpr)|(kdp)|(train st.+moving)|(\|lc)|(penalty))"</v>
      </c>
      <c r="AG17" s="182" t="str">
        <f>DetSubdiv(A17)</f>
        <v>EC</v>
      </c>
      <c r="AH17" s="78" t="str">
        <f t="shared" si="5"/>
        <v>"%USERPROFILE%\Documents\GitHub\eaglep3\Utilities\RefineRTDCRunTimes.py" --tripid 105-23 --locoid 4018 --swversion DE.1.0.9.0 --startMP 204:449 --initTime 2017-10-23T03:55:57 --startdatetime 2017-10-23T04:15:19 --delay 49 --endMP 204:233307 --enddatetime 2017-10-23T04:49:40 --enforcementcount 0 &gt;&gt;%USERPROFILE%\Documents\GitHub\eaglep3-reporting\EC\2017-10-23-refined-times.txt</v>
      </c>
      <c r="AI17" s="96" t="str">
        <f t="shared" si="6"/>
        <v>echo {"issue":{"subject":"","project_id":79,"tracker_id":40,"status_id":1,"priority_id":2,"assigned_to_id":338,"start_date":"2017-10-23","description":"","custom_fields":[{"id":1,"name":"Subdivision","value":"EC"},{"id":4,"name":"Milepost","value":"23.3307"},{"id":17,"name":"Train ID","value":"105-23"},{"id":16,"name":"Locomotive ID","value":"4018"},{"id":130,"name":"Impact","value":""},{"id":150,"name":"Time of Event (Mountain Time)","value":"04:49:40"},{"id":151,"name":"Denver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0"/>
      <c r="AK17" s="47"/>
      <c r="AL17" s="47"/>
      <c r="AM17" s="142" t="str">
        <f t="shared" si="7"/>
        <v>start /low /b %USERPROFILE%\Documents\GitHub\eaglep3\Utilities\DownloadLogsFromS3.py --loco 4018 --day 2017-10-23</v>
      </c>
      <c r="AN17" s="151" t="str">
        <f t="shared" si="8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10:49:40"},{"id":29,"name":"Sharepoint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168" t="str">
        <f t="shared" si="9"/>
        <v>https://d0f6bd738d7f1b3e5a7ca70fe4ff75f0.us-east-1.aws.found.io/app/kibana#/discover/Steve-Slow-Train-Analysis-(2080s-and-2083s)?_g=(refreshInterval:(display:Off,pause:!f,section:0,value:0),time:(from:'2017-10-23T02:55:57-0600',mode:absolute,to:'2017-10-23T05:49:40-0600'))&amp;_a=(columns:!('Message%20ID',Summary),filters:!(),index:'emp_*',interval:auto,query:(query_string:(analyze_wildcard:!t,query:'%22rtdc.l.rtdc.4018%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3">
      <c r="A18" s="32" t="s">
        <v>707</v>
      </c>
      <c r="B18" s="7">
        <v>4017</v>
      </c>
      <c r="C18" s="21" t="s">
        <v>194</v>
      </c>
      <c r="D18" s="21" t="s">
        <v>899</v>
      </c>
      <c r="E18" s="13">
        <v>43031.202025462961</v>
      </c>
      <c r="F18" s="13">
        <v>43031.216932870368</v>
      </c>
      <c r="G18" s="7">
        <v>44</v>
      </c>
      <c r="H18" s="21" t="s">
        <v>335</v>
      </c>
      <c r="I18" s="13">
        <v>43031.242025462961</v>
      </c>
      <c r="J18" s="7">
        <v>0</v>
      </c>
      <c r="K18" s="89" t="str">
        <f>IF(ISEVEN(B18),(B18-1)&amp;"/"&amp;B18,B18&amp;"/"&amp;(B18+1))</f>
        <v>4017/4018</v>
      </c>
      <c r="L18" s="185" t="str">
        <f>VLOOKUP(A18,'Trips&amp;Operators'!$C$1:$G$99911,5,FALSE)</f>
        <v>YORK EDGAR</v>
      </c>
      <c r="M18" s="6">
        <f>I18-F18</f>
        <v>2.5092592593864538E-2</v>
      </c>
      <c r="N18" s="7">
        <f>24*60*SUM($M18:$M18)</f>
        <v>36.133333335164934</v>
      </c>
      <c r="O18" s="7"/>
      <c r="P18" s="7"/>
      <c r="Q18" s="22"/>
      <c r="R18" s="174"/>
      <c r="S18" s="221">
        <f>1/IF(AG18="EC",12,1)*SUM(U18:U18)</f>
        <v>1</v>
      </c>
      <c r="T18" s="174" t="str">
        <f>IF(ISEVEN(LEFT(AD18,4)),"Southbound","NorthBound")</f>
        <v>Southbound</v>
      </c>
      <c r="U18" s="198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16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2017-10-23T03:50:55-0600',mode:absolute,to:'2017-10-23T06:48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8" s="204" t="str">
        <f>IF(AA18&lt;VLOOKUP(AG18,Variables!$AC$3:$AD$8,2,FALSE),"Y","N")</f>
        <v>N</v>
      </c>
      <c r="X18" s="204">
        <f>VALUE(LEFT(AD18,4))-VALUE(LEFT(AD17,4))</f>
        <v>1</v>
      </c>
      <c r="Y18" s="204">
        <f>RIGHT(D18,LEN(D18)-4)/10000</f>
        <v>23.2971</v>
      </c>
      <c r="Z18" s="204">
        <f>RIGHT(H18,LEN(H18)-4)/10000</f>
        <v>1.4999999999999999E-2</v>
      </c>
      <c r="AA18" s="204">
        <f>ABS(Z18-Y18)</f>
        <v>23.2821</v>
      </c>
      <c r="AB18" s="54" t="e">
        <f>VLOOKUP(A18,Enforcements!$C$7:$K$11,8,0)</f>
        <v>#N/A</v>
      </c>
      <c r="AC18" s="51" t="e">
        <f>VLOOKUP(A18,Enforcements!$C$7:$E$11,3,0)</f>
        <v>#N/A</v>
      </c>
      <c r="AD18" s="179">
        <f>VALUE(LEFT(A18,LEN(A18)-3))</f>
        <v>106</v>
      </c>
      <c r="AE18" s="77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s3://rtdc.mdm.uploadarchive.raw/RTDC4017/ "%USERPROFILE%\AppData\Local\Temp\OnboardLogs"\RTDC4017\2017-10-23 --exclude "*" --recursive --include "*20171023*" &amp; "%USERPROFILE%\Documents\GitHub\mrs-test-scripts\Headless Mode &amp; Sideloading\WalkAndUnGZ.bat" "%USERPROFILE%\AppData\Local\Temp\OnboardLogs"\RTDC4017\2017-10-23 &amp; aws s3 cp s3://rtdc.mdm.uploadarchive.raw/RTDC4017/ "%USERPROFILE%\AppData\Local\Temp\OnboardLogs"\RTDC4017\2017-10-24 --exclude "*" --recursive --include "*20171024*" &amp; "%USERPROFILE%\Documents\GitHub\mrs-test-scripts\Headless Mode &amp; Sideloading\WalkAndUnGZ.bat" "%USERPROFILE%\AppData\Local\Temp\OnboardLogs"\RTDC4017\2017-10-24</v>
      </c>
      <c r="AF18" s="74" t="str">
        <f>astrogrep_path&amp;" /e /r /s /spath="&amp;search_path&amp;" /stypes=""app*"&amp;B18&amp;"*"&amp;TEXT(I18-utc_offset/24,"YYYYMMDD")&amp;"*"" /stext="" "&amp;TEXT(I18-utc_offset/24,"HH")&amp;search_regexp&amp;""""</f>
        <v>"C:\Program Files (x86)\AstroGrep\AstroGrep.exe" /e /r /s /spath="%USERPROFILE%\AppData\Local\Temp\OnboardLogs" /stypes="app*4017*20171023*" /stext=" 11:.+((SYSTEM_STATE.+slice.+state.+changed )|(ment ac)|(multiple cpu faults)|(system.+state.+changed )|(\[timeout)|(PRM\|1\|D)|(kpr)|(kdp)|(train st.+moving)|(\|lc)|(penalty))"</v>
      </c>
      <c r="AG18" s="182" t="str">
        <f>DetSubdiv(A18)</f>
        <v>EC</v>
      </c>
      <c r="AH18" s="78" t="str">
        <f t="shared" si="5"/>
        <v>"%USERPROFILE%\Documents\GitHub\eaglep3\Utilities\RefineRTDCRunTimes.py" --tripid 106-23 --locoid 4017 --swversion DE.1.0.9.0 --startMP 204:232971 --initTime 2017-10-23T04:50:55 --startdatetime 2017-10-23T05:12:23 --delay 44 --endMP 204:150 --enddatetime 2017-10-23T05:48:31 --enforcementcount 0 &gt;&gt;%USERPROFILE%\Documents\GitHub\eaglep3-reporting\EC\2017-10-23-refined-times.txt</v>
      </c>
      <c r="AI18" s="96" t="str">
        <f t="shared" si="6"/>
        <v>echo {"issue":{"subject":"","project_id":79,"tracker_id":40,"status_id":1,"priority_id":2,"assigned_to_id":338,"start_date":"2017-10-23","description":"","custom_fields":[{"id":1,"name":"Subdivision","value":"EC"},{"id":4,"name":"Milepost","value":"0.015"},{"id":17,"name":"Train ID","value":"106-23"},{"id":16,"name":"Locomotive ID","value":"4017"},{"id":130,"name":"Impact","value":""},{"id":150,"name":"Time of Event (Mountain Time)","value":"05:48:31"},{"id":151,"name":"Denver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0"/>
      <c r="AK18" s="47"/>
      <c r="AL18" s="47"/>
      <c r="AM18" s="142" t="str">
        <f t="shared" si="7"/>
        <v>start /low /b %USERPROFILE%\Documents\GitHub\eaglep3\Utilities\DownloadLogsFromS3.py --loco 4017 --day 2017-10-23</v>
      </c>
      <c r="AN18" s="151" t="str">
        <f t="shared" si="8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11:48:31"},{"id":29,"name":"Sharepoint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168" t="str">
        <f t="shared" si="9"/>
        <v>https://d0f6bd738d7f1b3e5a7ca70fe4ff75f0.us-east-1.aws.found.io/app/kibana#/discover/Steve-Slow-Train-Analysis-(2080s-and-2083s)?_g=(refreshInterval:(display:Off,pause:!f,section:0,value:0),time:(from:'2017-10-23T03:50:55-0600',mode:absolute,to:'2017-10-23T06:48:31-0600'))&amp;_a=(columns:!('Message%20ID',Summary),filters:!(),index:'emp_*',interval:auto,query:(query_string:(analyze_wildcard:!t,query:'%22rtdc.l.rtdc.4017%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3">
      <c r="A19" s="32" t="s">
        <v>699</v>
      </c>
      <c r="B19" s="7">
        <v>4016</v>
      </c>
      <c r="C19" s="21" t="s">
        <v>194</v>
      </c>
      <c r="D19" s="21" t="s">
        <v>383</v>
      </c>
      <c r="E19" s="13">
        <v>43031.186365740738</v>
      </c>
      <c r="F19" s="13">
        <v>43031.187893518516</v>
      </c>
      <c r="G19" s="7">
        <v>73</v>
      </c>
      <c r="H19" s="21" t="s">
        <v>900</v>
      </c>
      <c r="I19" s="13">
        <v>43031.212337962963</v>
      </c>
      <c r="J19" s="7">
        <v>0</v>
      </c>
      <c r="K19" s="89" t="str">
        <f>IF(ISEVEN(B19),(B19-1)&amp;"/"&amp;B19,B19&amp;"/"&amp;(B19+1))</f>
        <v>4015/4016</v>
      </c>
      <c r="L19" s="185" t="str">
        <f>VLOOKUP(A19,'Trips&amp;Operators'!$C$1:$G$99911,5,FALSE)</f>
        <v>BARRON PERLA</v>
      </c>
      <c r="M19" s="6">
        <f>I19-F19</f>
        <v>2.4444444446999114E-2</v>
      </c>
      <c r="N19" s="7">
        <f>24*60*SUM($M19:$M19)</f>
        <v>35.200000003678724</v>
      </c>
      <c r="O19" s="7"/>
      <c r="P19" s="7"/>
      <c r="Q19" s="22"/>
      <c r="R19" s="174"/>
      <c r="S19" s="221">
        <f>1/IF(AG19="EC",12,1)*SUM(U19:U19)</f>
        <v>1</v>
      </c>
      <c r="T19" s="174" t="str">
        <f>IF(ISEVEN(LEFT(AD19,4)),"Southbound","NorthBound")</f>
        <v>NorthBound</v>
      </c>
      <c r="U19" s="198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16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2017-10-23T03:28:22-0600',mode:absolute,to:'2017-10-23T06:05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" s="204" t="str">
        <f>IF(AA19&lt;VLOOKUP(AG19,Variables!$AC$3:$AD$8,2,FALSE),"Y","N")</f>
        <v>N</v>
      </c>
      <c r="X19" s="204">
        <f>VALUE(LEFT(AD19,4))-VALUE(LEFT(AD18,4))</f>
        <v>1</v>
      </c>
      <c r="Y19" s="204">
        <f>RIGHT(D19,LEN(D19)-4)/10000</f>
        <v>4.6699999999999998E-2</v>
      </c>
      <c r="Z19" s="204">
        <f>RIGHT(H19,LEN(H19)-4)/10000</f>
        <v>23.328700000000001</v>
      </c>
      <c r="AA19" s="204">
        <f>ABS(Z19-Y19)</f>
        <v>23.282</v>
      </c>
      <c r="AB19" s="54" t="e">
        <f>VLOOKUP(A19,Enforcements!$C$7:$K$11,8,0)</f>
        <v>#N/A</v>
      </c>
      <c r="AC19" s="51" t="e">
        <f>VLOOKUP(A19,Enforcements!$C$7:$E$11,3,0)</f>
        <v>#N/A</v>
      </c>
      <c r="AD19" s="179">
        <f>VALUE(LEFT(A19,LEN(A19)-3))</f>
        <v>107</v>
      </c>
      <c r="AE19" s="77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s3://rtdc.mdm.uploadarchive.raw/RTDC4016/ "%USERPROFILE%\AppData\Local\Temp\OnboardLogs"\RTDC4016\2017-10-23 --exclude "*" --recursive --include "*20171023*" &amp; "%USERPROFILE%\Documents\GitHub\mrs-test-scripts\Headless Mode &amp; Sideloading\WalkAndUnGZ.bat" "%USERPROFILE%\AppData\Local\Temp\OnboardLogs"\RTDC4016\2017-10-23 &amp; aws s3 cp s3://rtdc.mdm.uploadarchive.raw/RTDC4016/ "%USERPROFILE%\AppData\Local\Temp\OnboardLogs"\RTDC4016\2017-10-24 --exclude "*" --recursive --include "*20171024*" &amp; "%USERPROFILE%\Documents\GitHub\mrs-test-scripts\Headless Mode &amp; Sideloading\WalkAndUnGZ.bat" "%USERPROFILE%\AppData\Local\Temp\OnboardLogs"\RTDC4016\2017-10-24</v>
      </c>
      <c r="AF19" s="74" t="str">
        <f>astrogrep_path&amp;" /e /r /s /spath="&amp;search_path&amp;" /stypes=""app*"&amp;B19&amp;"*"&amp;TEXT(I19-utc_offset/24,"YYYYMMDD")&amp;"*"" /stext="" "&amp;TEXT(I19-utc_offset/24,"HH")&amp;search_regexp&amp;""""</f>
        <v>"C:\Program Files (x86)\AstroGrep\AstroGrep.exe" /e /r /s /spath="%USERPROFILE%\AppData\Local\Temp\OnboardLogs" /stypes="app*4016*20171023*" /stext=" 11:.+((SYSTEM_STATE.+slice.+state.+changed )|(ment ac)|(multiple cpu faults)|(system.+state.+changed )|(\[timeout)|(PRM\|1\|D)|(kpr)|(kdp)|(train st.+moving)|(\|lc)|(penalty))"</v>
      </c>
      <c r="AG19" s="182" t="str">
        <f>DetSubdiv(A19)</f>
        <v>EC</v>
      </c>
      <c r="AH19" s="78" t="str">
        <f t="shared" si="5"/>
        <v>"%USERPROFILE%\Documents\GitHub\eaglep3\Utilities\RefineRTDCRunTimes.py" --tripid 107-23 --locoid 4016 --swversion DE.1.0.9.0 --startMP 204:467 --initTime 2017-10-23T04:28:22 --startdatetime 2017-10-23T04:30:34 --delay 73 --endMP 204:233287 --enddatetime 2017-10-23T05:05:46 --enforcementcount 0 &gt;&gt;%USERPROFILE%\Documents\GitHub\eaglep3-reporting\EC\2017-10-23-refined-times.txt</v>
      </c>
      <c r="AI19" s="96" t="str">
        <f t="shared" si="6"/>
        <v>echo {"issue":{"subject":"","project_id":79,"tracker_id":40,"status_id":1,"priority_id":2,"assigned_to_id":338,"start_date":"2017-10-23","description":"","custom_fields":[{"id":1,"name":"Subdivision","value":"EC"},{"id":4,"name":"Milepost","value":"23.3287"},{"id":17,"name":"Train ID","value":"107-23"},{"id":16,"name":"Locomotive ID","value":"4016"},{"id":130,"name":"Impact","value":""},{"id":150,"name":"Time of Event (Mountain Time)","value":"05:05:46"},{"id":151,"name":"Denver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0"/>
      <c r="AK19" s="47"/>
      <c r="AL19" s="47"/>
      <c r="AM19" s="142" t="str">
        <f t="shared" si="7"/>
        <v>start /low /b %USERPROFILE%\Documents\GitHub\eaglep3\Utilities\DownloadLogsFromS3.py --loco 4016 --day 2017-10-23</v>
      </c>
      <c r="AN19" s="151" t="str">
        <f t="shared" si="8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11:05:46"},{"id":29,"name":"Sharepoint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168" t="str">
        <f t="shared" si="9"/>
        <v>https://d0f6bd738d7f1b3e5a7ca70fe4ff75f0.us-east-1.aws.found.io/app/kibana#/discover/Steve-Slow-Train-Analysis-(2080s-and-2083s)?_g=(refreshInterval:(display:Off,pause:!f,section:0,value:0),time:(from:'2017-10-23T03:28:22-0600',mode:absolute,to:'2017-10-23T06:05:46-0600'))&amp;_a=(columns:!('Message%20ID',Summary),filters:!(),index:'emp_*',interval:auto,query:(query_string:(analyze_wildcard:!t,query:'%22rtdc.l.rtdc.4016%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3">
      <c r="A20" s="32" t="s">
        <v>709</v>
      </c>
      <c r="B20" s="7">
        <v>4015</v>
      </c>
      <c r="C20" s="21" t="s">
        <v>194</v>
      </c>
      <c r="D20" s="21" t="s">
        <v>400</v>
      </c>
      <c r="E20" s="13">
        <v>43031.214224537034</v>
      </c>
      <c r="F20" s="13">
        <v>43031.22760416667</v>
      </c>
      <c r="G20" s="7">
        <v>66</v>
      </c>
      <c r="H20" s="21" t="s">
        <v>363</v>
      </c>
      <c r="I20" s="13">
        <v>43031.254120370373</v>
      </c>
      <c r="J20" s="7">
        <v>0</v>
      </c>
      <c r="K20" s="89" t="str">
        <f>IF(ISEVEN(B20),(B20-1)&amp;"/"&amp;B20,B20&amp;"/"&amp;(B20+1))</f>
        <v>4015/4016</v>
      </c>
      <c r="L20" s="185" t="str">
        <f>VLOOKUP(A20,'Trips&amp;Operators'!$C$1:$G$99911,5,FALSE)</f>
        <v>BARRON PERLA</v>
      </c>
      <c r="M20" s="6">
        <f>I20-F20</f>
        <v>2.6516203703067731E-2</v>
      </c>
      <c r="N20" s="7">
        <f>24*60*SUM($M20:$M20)</f>
        <v>38.183333332417533</v>
      </c>
      <c r="O20" s="7"/>
      <c r="P20" s="7"/>
      <c r="Q20" s="22"/>
      <c r="R20" s="174"/>
      <c r="S20" s="221">
        <f>1/IF(AG20="EC",12,1)*SUM(U20:U20)</f>
        <v>1</v>
      </c>
      <c r="T20" s="174" t="str">
        <f>IF(ISEVEN(LEFT(AD20,4)),"Southbound","NorthBound")</f>
        <v>Southbound</v>
      </c>
      <c r="U20" s="198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16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2017-10-23T04:08:29-0600',mode:absolute,to:'2017-10-23T07:05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" s="204" t="str">
        <f>IF(AA20&lt;VLOOKUP(AG20,Variables!$AC$3:$AD$8,2,FALSE),"Y","N")</f>
        <v>N</v>
      </c>
      <c r="X20" s="204">
        <f>VALUE(LEFT(AD20,4))-VALUE(LEFT(AD19,4))</f>
        <v>1</v>
      </c>
      <c r="Y20" s="204">
        <f>RIGHT(D20,LEN(D20)-4)/10000</f>
        <v>23.298500000000001</v>
      </c>
      <c r="Z20" s="204">
        <f>RIGHT(H20,LEN(H20)-4)/10000</f>
        <v>1.5800000000000002E-2</v>
      </c>
      <c r="AA20" s="204">
        <f>ABS(Z20-Y20)</f>
        <v>23.282700000000002</v>
      </c>
      <c r="AB20" s="54" t="e">
        <f>VLOOKUP(A20,Enforcements!$C$7:$K$11,8,0)</f>
        <v>#N/A</v>
      </c>
      <c r="AC20" s="51" t="e">
        <f>VLOOKUP(A20,Enforcements!$C$7:$E$11,3,0)</f>
        <v>#N/A</v>
      </c>
      <c r="AD20" s="179">
        <f>VALUE(LEFT(A20,LEN(A20)-3))</f>
        <v>108</v>
      </c>
      <c r="AE20" s="77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s3://rtdc.mdm.uploadarchive.raw/RTDC4015/ "%USERPROFILE%\AppData\Local\Temp\OnboardLogs"\RTDC4015\2017-10-23 --exclude "*" --recursive --include "*20171023*" &amp; "%USERPROFILE%\Documents\GitHub\mrs-test-scripts\Headless Mode &amp; Sideloading\WalkAndUnGZ.bat" "%USERPROFILE%\AppData\Local\Temp\OnboardLogs"\RTDC4015\2017-10-23 &amp; aws s3 cp s3://rtdc.mdm.uploadarchive.raw/RTDC4015/ "%USERPROFILE%\AppData\Local\Temp\OnboardLogs"\RTDC4015\2017-10-24 --exclude "*" --recursive --include "*20171024*" &amp; "%USERPROFILE%\Documents\GitHub\mrs-test-scripts\Headless Mode &amp; Sideloading\WalkAndUnGZ.bat" "%USERPROFILE%\AppData\Local\Temp\OnboardLogs"\RTDC4015\2017-10-24</v>
      </c>
      <c r="AF20" s="74" t="str">
        <f>astrogrep_path&amp;" /e /r /s /spath="&amp;search_path&amp;" /stypes=""app*"&amp;B20&amp;"*"&amp;TEXT(I20-utc_offset/24,"YYYYMMDD")&amp;"*"" /stext="" "&amp;TEXT(I20-utc_offset/24,"HH")&amp;search_regexp&amp;""""</f>
        <v>"C:\Program Files (x86)\AstroGrep\AstroGrep.exe" /e /r /s /spath="%USERPROFILE%\AppData\Local\Temp\OnboardLogs" /stypes="app*4015*20171023*" /stext=" 12:.+((SYSTEM_STATE.+slice.+state.+changed )|(ment ac)|(multiple cpu faults)|(system.+state.+changed )|(\[timeout)|(PRM\|1\|D)|(kpr)|(kdp)|(train st.+moving)|(\|lc)|(penalty))"</v>
      </c>
      <c r="AG20" s="182" t="str">
        <f>DetSubdiv(A20)</f>
        <v>EC</v>
      </c>
      <c r="AH20" s="78" t="str">
        <f t="shared" si="5"/>
        <v>"%USERPROFILE%\Documents\GitHub\eaglep3\Utilities\RefineRTDCRunTimes.py" --tripid 108-23 --locoid 4015 --swversion DE.1.0.9.0 --startMP 204:232985 --initTime 2017-10-23T05:08:29 --startdatetime 2017-10-23T05:27:45 --delay 66 --endMP 204:158 --enddatetime 2017-10-23T06:05:56 --enforcementcount 0 &gt;&gt;%USERPROFILE%\Documents\GitHub\eaglep3-reporting\EC\2017-10-23-refined-times.txt</v>
      </c>
      <c r="AI20" s="96" t="str">
        <f t="shared" si="6"/>
        <v>echo {"issue":{"subject":"","project_id":79,"tracker_id":40,"status_id":1,"priority_id":2,"assigned_to_id":338,"start_date":"2017-10-23","description":"","custom_fields":[{"id":1,"name":"Subdivision","value":"EC"},{"id":4,"name":"Milepost","value":"0.0158"},{"id":17,"name":"Train ID","value":"108-23"},{"id":16,"name":"Locomotive ID","value":"4015"},{"id":130,"name":"Impact","value":""},{"id":150,"name":"Time of Event (Mountain Time)","value":"06:05:56"},{"id":151,"name":"Denver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0"/>
      <c r="AK20" s="47"/>
      <c r="AL20" s="47"/>
      <c r="AM20" s="142" t="str">
        <f t="shared" si="7"/>
        <v>start /low /b %USERPROFILE%\Documents\GitHub\eaglep3\Utilities\DownloadLogsFromS3.py --loco 4015 --day 2017-10-23</v>
      </c>
      <c r="AN20" s="151" t="str">
        <f t="shared" si="8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12:05:56"},{"id":29,"name":"Sharepoint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168" t="str">
        <f t="shared" si="9"/>
        <v>https://d0f6bd738d7f1b3e5a7ca70fe4ff75f0.us-east-1.aws.found.io/app/kibana#/discover/Steve-Slow-Train-Analysis-(2080s-and-2083s)?_g=(refreshInterval:(display:Off,pause:!f,section:0,value:0),time:(from:'2017-10-23T04:08:29-0600',mode:absolute,to:'2017-10-23T07:05:56-0600'))&amp;_a=(columns:!('Message%20ID',Summary),filters:!(),index:'emp_*',interval:auto,query:(query_string:(analyze_wildcard:!t,query:'%22rtdc.l.rtdc.4015%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3">
      <c r="A21" s="32" t="s">
        <v>701</v>
      </c>
      <c r="B21" s="7">
        <v>4042</v>
      </c>
      <c r="C21" s="21" t="s">
        <v>194</v>
      </c>
      <c r="D21" s="21" t="s">
        <v>403</v>
      </c>
      <c r="E21" s="13">
        <v>43031.19462962963</v>
      </c>
      <c r="F21" s="13">
        <v>43031.198113425926</v>
      </c>
      <c r="G21" s="7">
        <v>74</v>
      </c>
      <c r="H21" s="21" t="s">
        <v>901</v>
      </c>
      <c r="I21" s="13">
        <v>43031.223090277781</v>
      </c>
      <c r="J21" s="7">
        <v>0</v>
      </c>
      <c r="K21" s="89" t="str">
        <f>IF(ISEVEN(B21),(B21-1)&amp;"/"&amp;B21,B21&amp;"/"&amp;(B21+1))</f>
        <v>4041/4042</v>
      </c>
      <c r="L21" s="185" t="str">
        <f>VLOOKUP(A21,'Trips&amp;Operators'!$C$1:$G$99911,5,FALSE)</f>
        <v>MAELZER KURT</v>
      </c>
      <c r="M21" s="6">
        <f>I21-F21</f>
        <v>2.4976851855171844E-2</v>
      </c>
      <c r="N21" s="7">
        <f>24*60*SUM($M21:$M21)</f>
        <v>35.966666671447456</v>
      </c>
      <c r="O21" s="7"/>
      <c r="P21" s="7"/>
      <c r="Q21" s="22"/>
      <c r="R21" s="174"/>
      <c r="S21" s="221">
        <f>1/IF(AG21="EC",12,1)*SUM(U21:U21)</f>
        <v>1</v>
      </c>
      <c r="T21" s="174" t="str">
        <f>IF(ISEVEN(LEFT(AD21,4)),"Southbound","NorthBound")</f>
        <v>NorthBound</v>
      </c>
      <c r="U21" s="198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16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2017-10-23T03:40:16-0600',mode:absolute,to:'2017-10-23T06:21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" s="204" t="str">
        <f>IF(AA21&lt;VLOOKUP(AG21,Variables!$AC$3:$AD$8,2,FALSE),"Y","N")</f>
        <v>N</v>
      </c>
      <c r="X21" s="204">
        <f>VALUE(LEFT(AD21,4))-VALUE(LEFT(AD20,4))</f>
        <v>1</v>
      </c>
      <c r="Y21" s="204">
        <f>RIGHT(D21,LEN(D21)-4)/10000</f>
        <v>4.4200000000000003E-2</v>
      </c>
      <c r="Z21" s="204">
        <f>RIGHT(H21,LEN(H21)-4)/10000</f>
        <v>23.328199999999999</v>
      </c>
      <c r="AA21" s="204">
        <f>ABS(Z21-Y21)</f>
        <v>23.283999999999999</v>
      </c>
      <c r="AB21" s="54" t="e">
        <f>VLOOKUP(A21,Enforcements!$C$7:$K$11,8,0)</f>
        <v>#N/A</v>
      </c>
      <c r="AC21" s="51" t="e">
        <f>VLOOKUP(A21,Enforcements!$C$7:$E$11,3,0)</f>
        <v>#N/A</v>
      </c>
      <c r="AD21" s="179">
        <f>VALUE(LEFT(A21,LEN(A21)-3))</f>
        <v>109</v>
      </c>
      <c r="AE21" s="77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s3://rtdc.mdm.uploadarchive.raw/RTDC4042/ "%USERPROFILE%\AppData\Local\Temp\OnboardLogs"\RTDC4042\2017-10-23 --exclude "*" --recursive --include "*20171023*" &amp; "%USERPROFILE%\Documents\GitHub\mrs-test-scripts\Headless Mode &amp; Sideloading\WalkAndUnGZ.bat" "%USERPROFILE%\AppData\Local\Temp\OnboardLogs"\RTDC4042\2017-10-23 &amp; aws s3 cp s3://rtdc.mdm.uploadarchive.raw/RTDC4042/ "%USERPROFILE%\AppData\Local\Temp\OnboardLogs"\RTDC4042\2017-10-24 --exclude "*" --recursive --include "*20171024*" &amp; "%USERPROFILE%\Documents\GitHub\mrs-test-scripts\Headless Mode &amp; Sideloading\WalkAndUnGZ.bat" "%USERPROFILE%\AppData\Local\Temp\OnboardLogs"\RTDC4042\2017-10-24</v>
      </c>
      <c r="AF21" s="74" t="str">
        <f>astrogrep_path&amp;" /e /r /s /spath="&amp;search_path&amp;" /stypes=""app*"&amp;B21&amp;"*"&amp;TEXT(I21-utc_offset/24,"YYYYMMDD")&amp;"*"" /stext="" "&amp;TEXT(I21-utc_offset/24,"HH")&amp;search_regexp&amp;""""</f>
        <v>"C:\Program Files (x86)\AstroGrep\AstroGrep.exe" /e /r /s /spath="%USERPROFILE%\AppData\Local\Temp\OnboardLogs" /stypes="app*4042*20171023*" /stext=" 11:.+((SYSTEM_STATE.+slice.+state.+changed )|(ment ac)|(multiple cpu faults)|(system.+state.+changed )|(\[timeout)|(PRM\|1\|D)|(kpr)|(kdp)|(train st.+moving)|(\|lc)|(penalty))"</v>
      </c>
      <c r="AG21" s="182" t="str">
        <f>DetSubdiv(A21)</f>
        <v>EC</v>
      </c>
      <c r="AH21" s="78" t="str">
        <f t="shared" si="5"/>
        <v>"%USERPROFILE%\Documents\GitHub\eaglep3\Utilities\RefineRTDCRunTimes.py" --tripid 109-23 --locoid 4042 --swversion DE.1.0.9.0 --startMP 204:442 --initTime 2017-10-23T04:40:16 --startdatetime 2017-10-23T04:45:17 --delay 74 --endMP 204:233282 --enddatetime 2017-10-23T05:21:15 --enforcementcount 0 &gt;&gt;%USERPROFILE%\Documents\GitHub\eaglep3-reporting\EC\2017-10-23-refined-times.txt</v>
      </c>
      <c r="AI21" s="96" t="str">
        <f t="shared" si="6"/>
        <v>echo {"issue":{"subject":"","project_id":79,"tracker_id":40,"status_id":1,"priority_id":2,"assigned_to_id":338,"start_date":"2017-10-23","description":"","custom_fields":[{"id":1,"name":"Subdivision","value":"EC"},{"id":4,"name":"Milepost","value":"23.3282"},{"id":17,"name":"Train ID","value":"109-23"},{"id":16,"name":"Locomotive ID","value":"4042"},{"id":130,"name":"Impact","value":""},{"id":150,"name":"Time of Event (Mountain Time)","value":"05:21:15"},{"id":151,"name":"Denver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0"/>
      <c r="AK21" s="47"/>
      <c r="AL21" s="47"/>
      <c r="AM21" s="142" t="str">
        <f t="shared" si="7"/>
        <v>start /low /b %USERPROFILE%\Documents\GitHub\eaglep3\Utilities\DownloadLogsFromS3.py --loco 4042 --day 2017-10-23</v>
      </c>
      <c r="AN21" s="151" t="str">
        <f t="shared" si="8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11:21:15"},{"id":29,"name":"Sharepoint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168" t="str">
        <f t="shared" si="9"/>
        <v>https://d0f6bd738d7f1b3e5a7ca70fe4ff75f0.us-east-1.aws.found.io/app/kibana#/discover/Steve-Slow-Train-Analysis-(2080s-and-2083s)?_g=(refreshInterval:(display:Off,pause:!f,section:0,value:0),time:(from:'2017-10-23T03:40:16-0600',mode:absolute,to:'2017-10-23T06:21:15-0600'))&amp;_a=(columns:!('Message%20ID',Summary),filters:!(),index:'emp_*',interval:auto,query:(query_string:(analyze_wildcard:!t,query:'%22rtdc.l.rtdc.4042%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3">
      <c r="A22" s="32" t="s">
        <v>714</v>
      </c>
      <c r="B22" s="7">
        <v>4041</v>
      </c>
      <c r="C22" s="21" t="s">
        <v>194</v>
      </c>
      <c r="D22" s="21" t="s">
        <v>597</v>
      </c>
      <c r="E22" s="13">
        <v>43031.228090277778</v>
      </c>
      <c r="F22" s="13">
        <v>43031.237708333334</v>
      </c>
      <c r="G22" s="7">
        <v>46</v>
      </c>
      <c r="H22" s="21" t="s">
        <v>412</v>
      </c>
      <c r="I22" s="13">
        <v>43031.264768518522</v>
      </c>
      <c r="J22" s="7">
        <v>0</v>
      </c>
      <c r="K22" s="89" t="str">
        <f>IF(ISEVEN(B22),(B22-1)&amp;"/"&amp;B22,B22&amp;"/"&amp;(B22+1))</f>
        <v>4041/4042</v>
      </c>
      <c r="L22" s="185" t="str">
        <f>VLOOKUP(A22,'Trips&amp;Operators'!$C$1:$G$99911,5,FALSE)</f>
        <v>MAELZER KURT</v>
      </c>
      <c r="M22" s="6">
        <f>I22-F22</f>
        <v>2.7060185188020114E-2</v>
      </c>
      <c r="N22" s="7">
        <f>24*60*SUM($M22:$M22)</f>
        <v>38.966666670748964</v>
      </c>
      <c r="O22" s="7"/>
      <c r="P22" s="7"/>
      <c r="Q22" s="22"/>
      <c r="R22" s="174"/>
      <c r="S22" s="221">
        <f>1/IF(AG22="EC",12,1)*SUM(U22:U22)</f>
        <v>1</v>
      </c>
      <c r="T22" s="174" t="str">
        <f>IF(ISEVEN(LEFT(AD22,4)),"Southbound","NorthBound")</f>
        <v>Southbound</v>
      </c>
      <c r="U22" s="198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16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2017-10-23T04:28:27-0600',mode:absolute,to:'2017-10-23T07:21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" s="204" t="str">
        <f>IF(AA22&lt;VLOOKUP(AG22,Variables!$AC$3:$AD$8,2,FALSE),"Y","N")</f>
        <v>N</v>
      </c>
      <c r="X22" s="204">
        <f>VALUE(LEFT(AD22,4))-VALUE(LEFT(AD21,4))</f>
        <v>1</v>
      </c>
      <c r="Y22" s="204">
        <f>RIGHT(D22,LEN(D22)-4)/10000</f>
        <v>23.297499999999999</v>
      </c>
      <c r="Z22" s="204">
        <f>RIGHT(H22,LEN(H22)-4)/10000</f>
        <v>1.41E-2</v>
      </c>
      <c r="AA22" s="204">
        <f>ABS(Z22-Y22)</f>
        <v>23.2834</v>
      </c>
      <c r="AB22" s="54" t="e">
        <f>VLOOKUP(A22,Enforcements!$C$7:$K$11,8,0)</f>
        <v>#N/A</v>
      </c>
      <c r="AC22" s="51" t="e">
        <f>VLOOKUP(A22,Enforcements!$C$7:$E$11,3,0)</f>
        <v>#N/A</v>
      </c>
      <c r="AD22" s="179">
        <f>VALUE(LEFT(A22,LEN(A22)-3))</f>
        <v>110</v>
      </c>
      <c r="AE22" s="77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s3://rtdc.mdm.uploadarchive.raw/RTDC4041/ "%USERPROFILE%\AppData\Local\Temp\OnboardLogs"\RTDC4041\2017-10-23 --exclude "*" --recursive --include "*20171023*" &amp; "%USERPROFILE%\Documents\GitHub\mrs-test-scripts\Headless Mode &amp; Sideloading\WalkAndUnGZ.bat" "%USERPROFILE%\AppData\Local\Temp\OnboardLogs"\RTDC4041\2017-10-23 &amp; aws s3 cp s3://rtdc.mdm.uploadarchive.raw/RTDC4041/ "%USERPROFILE%\AppData\Local\Temp\OnboardLogs"\RTDC4041\2017-10-24 --exclude "*" --recursive --include "*20171024*" &amp; "%USERPROFILE%\Documents\GitHub\mrs-test-scripts\Headless Mode &amp; Sideloading\WalkAndUnGZ.bat" "%USERPROFILE%\AppData\Local\Temp\OnboardLogs"\RTDC4041\2017-10-24</v>
      </c>
      <c r="AF22" s="74" t="str">
        <f>astrogrep_path&amp;" /e /r /s /spath="&amp;search_path&amp;" /stypes=""app*"&amp;B22&amp;"*"&amp;TEXT(I22-utc_offset/24,"YYYYMMDD")&amp;"*"" /stext="" "&amp;TEXT(I22-utc_offset/24,"HH")&amp;search_regexp&amp;""""</f>
        <v>"C:\Program Files (x86)\AstroGrep\AstroGrep.exe" /e /r /s /spath="%USERPROFILE%\AppData\Local\Temp\OnboardLogs" /stypes="app*4041*20171023*" /stext=" 12:.+((SYSTEM_STATE.+slice.+state.+changed )|(ment ac)|(multiple cpu faults)|(system.+state.+changed )|(\[timeout)|(PRM\|1\|D)|(kpr)|(kdp)|(train st.+moving)|(\|lc)|(penalty))"</v>
      </c>
      <c r="AG22" s="182" t="str">
        <f>DetSubdiv(A22)</f>
        <v>EC</v>
      </c>
      <c r="AH22" s="78" t="str">
        <f t="shared" si="5"/>
        <v>"%USERPROFILE%\Documents\GitHub\eaglep3\Utilities\RefineRTDCRunTimes.py" --tripid 110-23 --locoid 4041 --swversion DE.1.0.9.0 --startMP 204:232975 --initTime 2017-10-23T05:28:27 --startdatetime 2017-10-23T05:42:18 --delay 46 --endMP 204:141 --enddatetime 2017-10-23T06:21:16 --enforcementcount 0 &gt;&gt;%USERPROFILE%\Documents\GitHub\eaglep3-reporting\EC\2017-10-23-refined-times.txt</v>
      </c>
      <c r="AI22" s="96" t="str">
        <f t="shared" si="6"/>
        <v>echo {"issue":{"subject":"","project_id":79,"tracker_id":40,"status_id":1,"priority_id":2,"assigned_to_id":338,"start_date":"2017-10-23","description":"","custom_fields":[{"id":1,"name":"Subdivision","value":"EC"},{"id":4,"name":"Milepost","value":"0.0141"},{"id":17,"name":"Train ID","value":"110-23"},{"id":16,"name":"Locomotive ID","value":"4041"},{"id":130,"name":"Impact","value":""},{"id":150,"name":"Time of Event (Mountain Time)","value":"06:21:16"},{"id":151,"name":"Denver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0"/>
      <c r="AK22" s="47"/>
      <c r="AL22" s="47"/>
      <c r="AM22" s="142" t="str">
        <f t="shared" si="7"/>
        <v>start /low /b %USERPROFILE%\Documents\GitHub\eaglep3\Utilities\DownloadLogsFromS3.py --loco 4041 --day 2017-10-23</v>
      </c>
      <c r="AN22" s="151" t="str">
        <f t="shared" si="8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12:21:16"},{"id":29,"name":"Sharepoint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168" t="str">
        <f t="shared" si="9"/>
        <v>https://d0f6bd738d7f1b3e5a7ca70fe4ff75f0.us-east-1.aws.found.io/app/kibana#/discover/Steve-Slow-Train-Analysis-(2080s-and-2083s)?_g=(refreshInterval:(display:Off,pause:!f,section:0,value:0),time:(from:'2017-10-23T04:28:27-0600',mode:absolute,to:'2017-10-23T07:21:16-0600'))&amp;_a=(columns:!('Message%20ID',Summary),filters:!(),index:'emp_*',interval:auto,query:(query_string:(analyze_wildcard:!t,query:'%22rtdc.l.rtdc.4041%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3">
      <c r="A23" s="32" t="s">
        <v>639</v>
      </c>
      <c r="B23" s="7">
        <v>4034</v>
      </c>
      <c r="C23" s="21" t="s">
        <v>194</v>
      </c>
      <c r="D23" s="21" t="s">
        <v>344</v>
      </c>
      <c r="E23" s="13">
        <v>43031.206064814818</v>
      </c>
      <c r="F23" s="13">
        <v>43031.208622685182</v>
      </c>
      <c r="G23" s="7">
        <v>55</v>
      </c>
      <c r="H23" s="21" t="s">
        <v>415</v>
      </c>
      <c r="I23" s="13">
        <v>43031.242361111108</v>
      </c>
      <c r="J23" s="7">
        <v>0</v>
      </c>
      <c r="K23" s="89" t="str">
        <f>IF(ISEVEN(B23),(B23-1)&amp;"/"&amp;B23,B23&amp;"/"&amp;(B23+1))</f>
        <v>4033/4034</v>
      </c>
      <c r="L23" s="185" t="str">
        <f>VLOOKUP(A23,'Trips&amp;Operators'!$C$1:$G$99911,5,FALSE)</f>
        <v>THOMPSON LESTER</v>
      </c>
      <c r="M23" s="6">
        <f>I23-F23</f>
        <v>3.3738425925548654E-2</v>
      </c>
      <c r="N23" s="7">
        <f>24*60*SUM($M23:$M23)</f>
        <v>48.583333332790062</v>
      </c>
      <c r="O23" s="7"/>
      <c r="P23" s="7"/>
      <c r="Q23" s="22"/>
      <c r="R23" s="174"/>
      <c r="S23" s="221">
        <f>1/IF(AG23="EC",12,1)*SUM(U23:U23)</f>
        <v>1</v>
      </c>
      <c r="T23" s="174" t="str">
        <f>IF(ISEVEN(LEFT(AD23,4)),"Southbound","NorthBound")</f>
        <v>NorthBound</v>
      </c>
      <c r="U23" s="198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16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2017-10-23T03:56:44-0600',mode:absolute,to:'2017-10-23T06:49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3" s="204" t="str">
        <f>IF(AA23&lt;VLOOKUP(AG23,Variables!$AC$3:$AD$8,2,FALSE),"Y","N")</f>
        <v>N</v>
      </c>
      <c r="X23" s="204">
        <f>VALUE(LEFT(AD23,4))-VALUE(LEFT(AD22,4))</f>
        <v>1</v>
      </c>
      <c r="Y23" s="204">
        <f>RIGHT(D23,LEN(D23)-4)/10000</f>
        <v>4.5499999999999999E-2</v>
      </c>
      <c r="Z23" s="204">
        <f>RIGHT(H23,LEN(H23)-4)/10000</f>
        <v>23.329699999999999</v>
      </c>
      <c r="AA23" s="204">
        <f>ABS(Z23-Y23)</f>
        <v>23.284199999999998</v>
      </c>
      <c r="AB23" s="54" t="e">
        <f>VLOOKUP(A23,Enforcements!$C$7:$K$11,8,0)</f>
        <v>#N/A</v>
      </c>
      <c r="AC23" s="51" t="e">
        <f>VLOOKUP(A23,Enforcements!$C$7:$E$11,3,0)</f>
        <v>#N/A</v>
      </c>
      <c r="AD23" s="179">
        <f>VALUE(LEFT(A23,LEN(A23)-3))</f>
        <v>111</v>
      </c>
      <c r="AE23" s="77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s3://rtdc.mdm.uploadarchive.raw/RTDC4034/ "%USERPROFILE%\AppData\Local\Temp\OnboardLogs"\RTDC4034\2017-10-23 --exclude "*" --recursive --include "*20171023*" &amp; "%USERPROFILE%\Documents\GitHub\mrs-test-scripts\Headless Mode &amp; Sideloading\WalkAndUnGZ.bat" "%USERPROFILE%\AppData\Local\Temp\OnboardLogs"\RTDC4034\2017-10-23 &amp; aws s3 cp s3://rtdc.mdm.uploadarchive.raw/RTDC4034/ "%USERPROFILE%\AppData\Local\Temp\OnboardLogs"\RTDC4034\2017-10-24 --exclude "*" --recursive --include "*20171024*" &amp; "%USERPROFILE%\Documents\GitHub\mrs-test-scripts\Headless Mode &amp; Sideloading\WalkAndUnGZ.bat" "%USERPROFILE%\AppData\Local\Temp\OnboardLogs"\RTDC4034\2017-10-24</v>
      </c>
      <c r="AF23" s="74" t="str">
        <f>astrogrep_path&amp;" /e /r /s /spath="&amp;search_path&amp;" /stypes=""app*"&amp;B23&amp;"*"&amp;TEXT(I23-utc_offset/24,"YYYYMMDD")&amp;"*"" /stext="" "&amp;TEXT(I23-utc_offset/24,"HH")&amp;search_regexp&amp;""""</f>
        <v>"C:\Program Files (x86)\AstroGrep\AstroGrep.exe" /e /r /s /spath="%USERPROFILE%\AppData\Local\Temp\OnboardLogs" /stypes="app*4034*20171023*" /stext=" 11:.+((SYSTEM_STATE.+slice.+state.+changed )|(ment ac)|(multiple cpu faults)|(system.+state.+changed )|(\[timeout)|(PRM\|1\|D)|(kpr)|(kdp)|(train st.+moving)|(\|lc)|(penalty))"</v>
      </c>
      <c r="AG23" s="182" t="str">
        <f>DetSubdiv(A23)</f>
        <v>EC</v>
      </c>
      <c r="AH23" s="78" t="str">
        <f t="shared" si="5"/>
        <v>"%USERPROFILE%\Documents\GitHub\eaglep3\Utilities\RefineRTDCRunTimes.py" --tripid 111-23 --locoid 4034 --swversion DE.1.0.9.0 --startMP 204:455 --initTime 2017-10-23T04:56:44 --startdatetime 2017-10-23T05:00:25 --delay 55 --endMP 204:233297 --enddatetime 2017-10-23T05:49:00 --enforcementcount 0 &gt;&gt;%USERPROFILE%\Documents\GitHub\eaglep3-reporting\EC\2017-10-23-refined-times.txt</v>
      </c>
      <c r="AI23" s="96" t="str">
        <f t="shared" si="6"/>
        <v>echo {"issue":{"subject":"","project_id":79,"tracker_id":40,"status_id":1,"priority_id":2,"assigned_to_id":338,"start_date":"2017-10-23","description":"","custom_fields":[{"id":1,"name":"Subdivision","value":"EC"},{"id":4,"name":"Milepost","value":"23.3297"},{"id":17,"name":"Train ID","value":"111-23"},{"id":16,"name":"Locomotive ID","value":"4034"},{"id":130,"name":"Impact","value":""},{"id":150,"name":"Time of Event (Mountain Time)","value":"05:49:00"},{"id":151,"name":"Denver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0"/>
      <c r="AK23" s="47"/>
      <c r="AL23" s="47"/>
      <c r="AM23" s="142" t="str">
        <f t="shared" si="7"/>
        <v>start /low /b %USERPROFILE%\Documents\GitHub\eaglep3\Utilities\DownloadLogsFromS3.py --loco 4034 --day 2017-10-23</v>
      </c>
      <c r="AN23" s="151" t="str">
        <f t="shared" si="8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11:49:00"},{"id":29,"name":"Sharepoint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168" t="str">
        <f t="shared" si="9"/>
        <v>https://d0f6bd738d7f1b3e5a7ca70fe4ff75f0.us-east-1.aws.found.io/app/kibana#/discover/Steve-Slow-Train-Analysis-(2080s-and-2083s)?_g=(refreshInterval:(display:Off,pause:!f,section:0,value:0),time:(from:'2017-10-23T03:56:44-0600',mode:absolute,to:'2017-10-23T06:49:00-0600'))&amp;_a=(columns:!('Message%20ID',Summary),filters:!(),index:'emp_*',interval:auto,query:(query_string:(analyze_wildcard:!t,query:'%22rtdc.l.rtdc.4034%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3">
      <c r="A24" s="32" t="s">
        <v>645</v>
      </c>
      <c r="B24" s="7">
        <v>4033</v>
      </c>
      <c r="C24" s="21" t="s">
        <v>194</v>
      </c>
      <c r="D24" s="21" t="s">
        <v>611</v>
      </c>
      <c r="E24" s="13">
        <v>43031.247256944444</v>
      </c>
      <c r="F24" s="13">
        <v>43031.248564814814</v>
      </c>
      <c r="G24" s="7">
        <v>59</v>
      </c>
      <c r="H24" s="21" t="s">
        <v>354</v>
      </c>
      <c r="I24" s="13">
        <v>43031.277442129627</v>
      </c>
      <c r="J24" s="7">
        <v>0</v>
      </c>
      <c r="K24" s="89" t="str">
        <f>IF(ISEVEN(B24),(B24-1)&amp;"/"&amp;B24,B24&amp;"/"&amp;(B24+1))</f>
        <v>4033/4034</v>
      </c>
      <c r="L24" s="185" t="str">
        <f>VLOOKUP(A24,'Trips&amp;Operators'!$C$1:$G$99911,5,FALSE)</f>
        <v>THOMPSON LESTER</v>
      </c>
      <c r="M24" s="6">
        <f>I24-F24</f>
        <v>2.8877314813144039E-2</v>
      </c>
      <c r="N24" s="7">
        <f>24*60*SUM($M24:$M24)</f>
        <v>41.583333330927417</v>
      </c>
      <c r="O24" s="7"/>
      <c r="P24" s="7"/>
      <c r="Q24" s="22"/>
      <c r="R24" s="174"/>
      <c r="S24" s="221">
        <f>1/IF(AG24="EC",12,1)*SUM(U24:U24)</f>
        <v>1</v>
      </c>
      <c r="T24" s="174" t="str">
        <f>IF(ISEVEN(LEFT(AD24,4)),"Southbound","NorthBound")</f>
        <v>Southbound</v>
      </c>
      <c r="U24" s="198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16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2017-10-23T04:56:03-0600',mode:absolute,to:'2017-10-23T07:39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4" s="204" t="str">
        <f>IF(AA24&lt;VLOOKUP(AG24,Variables!$AC$3:$AD$8,2,FALSE),"Y","N")</f>
        <v>N</v>
      </c>
      <c r="X24" s="204">
        <f>VALUE(LEFT(AD24,4))-VALUE(LEFT(AD23,4))</f>
        <v>1</v>
      </c>
      <c r="Y24" s="204">
        <f>RIGHT(D24,LEN(D24)-4)/10000</f>
        <v>23.296399999999998</v>
      </c>
      <c r="Z24" s="204">
        <f>RIGHT(H24,LEN(H24)-4)/10000</f>
        <v>1.52E-2</v>
      </c>
      <c r="AA24" s="204">
        <f>ABS(Z24-Y24)</f>
        <v>23.281199999999998</v>
      </c>
      <c r="AB24" s="54" t="e">
        <f>VLOOKUP(A24,Enforcements!$C$7:$K$11,8,0)</f>
        <v>#N/A</v>
      </c>
      <c r="AC24" s="51" t="e">
        <f>VLOOKUP(A24,Enforcements!$C$7:$E$11,3,0)</f>
        <v>#N/A</v>
      </c>
      <c r="AD24" s="179">
        <f>VALUE(LEFT(A24,LEN(A24)-3))</f>
        <v>112</v>
      </c>
      <c r="AE24" s="77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s3://rtdc.mdm.uploadarchive.raw/RTDC4033/ "%USERPROFILE%\AppData\Local\Temp\OnboardLogs"\RTDC4033\2017-10-23 --exclude "*" --recursive --include "*20171023*" &amp; "%USERPROFILE%\Documents\GitHub\mrs-test-scripts\Headless Mode &amp; Sideloading\WalkAndUnGZ.bat" "%USERPROFILE%\AppData\Local\Temp\OnboardLogs"\RTDC4033\2017-10-23 &amp; aws s3 cp s3://rtdc.mdm.uploadarchive.raw/RTDC4033/ "%USERPROFILE%\AppData\Local\Temp\OnboardLogs"\RTDC4033\2017-10-24 --exclude "*" --recursive --include "*20171024*" &amp; "%USERPROFILE%\Documents\GitHub\mrs-test-scripts\Headless Mode &amp; Sideloading\WalkAndUnGZ.bat" "%USERPROFILE%\AppData\Local\Temp\OnboardLogs"\RTDC4033\2017-10-24</v>
      </c>
      <c r="AF24" s="74" t="str">
        <f>astrogrep_path&amp;" /e /r /s /spath="&amp;search_path&amp;" /stypes=""app*"&amp;B24&amp;"*"&amp;TEXT(I24-utc_offset/24,"YYYYMMDD")&amp;"*"" /stext="" "&amp;TEXT(I24-utc_offset/24,"HH")&amp;search_regexp&amp;""""</f>
        <v>"C:\Program Files (x86)\AstroGrep\AstroGrep.exe" /e /r /s /spath="%USERPROFILE%\AppData\Local\Temp\OnboardLogs" /stypes="app*4033*20171023*" /stext=" 12:.+((SYSTEM_STATE.+slice.+state.+changed )|(ment ac)|(multiple cpu faults)|(system.+state.+changed )|(\[timeout)|(PRM\|1\|D)|(kpr)|(kdp)|(train st.+moving)|(\|lc)|(penalty))"</v>
      </c>
      <c r="AG24" s="182" t="str">
        <f>DetSubdiv(A24)</f>
        <v>EC</v>
      </c>
      <c r="AH24" s="78" t="str">
        <f t="shared" si="5"/>
        <v>"%USERPROFILE%\Documents\GitHub\eaglep3\Utilities\RefineRTDCRunTimes.py" --tripid 112-23 --locoid 4033 --swversion DE.1.0.9.0 --startMP 204:232964 --initTime 2017-10-23T05:56:03 --startdatetime 2017-10-23T05:57:56 --delay 59 --endMP 204:152 --enddatetime 2017-10-23T06:39:31 --enforcementcount 0 &gt;&gt;%USERPROFILE%\Documents\GitHub\eaglep3-reporting\EC\2017-10-23-refined-times.txt</v>
      </c>
      <c r="AI24" s="96" t="str">
        <f t="shared" si="6"/>
        <v>echo {"issue":{"subject":"","project_id":79,"tracker_id":40,"status_id":1,"priority_id":2,"assigned_to_id":338,"start_date":"2017-10-23","description":"","custom_fields":[{"id":1,"name":"Subdivision","value":"EC"},{"id":4,"name":"Milepost","value":"0.0152"},{"id":17,"name":"Train ID","value":"112-23"},{"id":16,"name":"Locomotive ID","value":"4033"},{"id":130,"name":"Impact","value":""},{"id":150,"name":"Time of Event (Mountain Time)","value":"06:39:31"},{"id":151,"name":"Denver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0"/>
      <c r="AK24" s="47"/>
      <c r="AL24" s="47"/>
      <c r="AM24" s="142" t="str">
        <f t="shared" si="7"/>
        <v>start /low /b %USERPROFILE%\Documents\GitHub\eaglep3\Utilities\DownloadLogsFromS3.py --loco 4033 --day 2017-10-23</v>
      </c>
      <c r="AN24" s="151" t="str">
        <f t="shared" si="8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12:39:31"},{"id":29,"name":"Sharepoint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168" t="str">
        <f t="shared" si="9"/>
        <v>https://d0f6bd738d7f1b3e5a7ca70fe4ff75f0.us-east-1.aws.found.io/app/kibana#/discover/Steve-Slow-Train-Analysis-(2080s-and-2083s)?_g=(refreshInterval:(display:Off,pause:!f,section:0,value:0),time:(from:'2017-10-23T04:56:03-0600',mode:absolute,to:'2017-10-23T07:39:31-0600'))&amp;_a=(columns:!('Message%20ID',Summary),filters:!(),index:'emp_*',interval:auto,query:(query_string:(analyze_wildcard:!t,query:'%22rtdc.l.rtdc.4033%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3">
      <c r="A25" s="32" t="s">
        <v>711</v>
      </c>
      <c r="B25" s="7">
        <v>4064</v>
      </c>
      <c r="C25" s="21" t="s">
        <v>194</v>
      </c>
      <c r="D25" s="21" t="s">
        <v>383</v>
      </c>
      <c r="E25" s="13">
        <v>43031.21534722222</v>
      </c>
      <c r="F25" s="13">
        <v>43031.219236111108</v>
      </c>
      <c r="G25" s="7">
        <v>82</v>
      </c>
      <c r="H25" s="21" t="s">
        <v>560</v>
      </c>
      <c r="I25" s="13">
        <v>43031.245682870373</v>
      </c>
      <c r="J25" s="7">
        <v>0</v>
      </c>
      <c r="K25" s="89" t="str">
        <f>IF(ISEVEN(B25),(B25-1)&amp;"/"&amp;B25,B25&amp;"/"&amp;(B25+1))</f>
        <v>4063/4064</v>
      </c>
      <c r="L25" s="185" t="str">
        <f>VLOOKUP(A25,'Trips&amp;Operators'!$C$1:$G$99911,5,FALSE)</f>
        <v>YANG JAN</v>
      </c>
      <c r="M25" s="6">
        <f>I25-F25</f>
        <v>2.644675926421769E-2</v>
      </c>
      <c r="N25" s="7">
        <f>24*60*SUM($M25:$M25)</f>
        <v>38.083333340473473</v>
      </c>
      <c r="O25" s="7"/>
      <c r="P25" s="7"/>
      <c r="Q25" s="22"/>
      <c r="R25" s="174"/>
      <c r="S25" s="221">
        <f>1/IF(AG25="EC",12,1)*SUM(U25:U25)</f>
        <v>1</v>
      </c>
      <c r="T25" s="174" t="str">
        <f>IF(ISEVEN(LEFT(AD25,4)),"Southbound","NorthBound")</f>
        <v>NorthBound</v>
      </c>
      <c r="U25" s="198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16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2017-10-23T04:10:06-0600',mode:absolute,to:'2017-10-23T06:53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5" s="204" t="str">
        <f>IF(AA25&lt;VLOOKUP(AG25,Variables!$AC$3:$AD$8,2,FALSE),"Y","N")</f>
        <v>N</v>
      </c>
      <c r="X25" s="204">
        <f>VALUE(LEFT(AD25,4))-VALUE(LEFT(AD24,4))</f>
        <v>1</v>
      </c>
      <c r="Y25" s="204">
        <f>RIGHT(D25,LEN(D25)-4)/10000</f>
        <v>4.6699999999999998E-2</v>
      </c>
      <c r="Z25" s="204">
        <f>RIGHT(H25,LEN(H25)-4)/10000</f>
        <v>23.330500000000001</v>
      </c>
      <c r="AA25" s="204">
        <f>ABS(Z25-Y25)</f>
        <v>23.283799999999999</v>
      </c>
      <c r="AB25" s="54" t="e">
        <f>VLOOKUP(A25,Enforcements!$C$7:$K$11,8,0)</f>
        <v>#N/A</v>
      </c>
      <c r="AC25" s="51" t="e">
        <f>VLOOKUP(A25,Enforcements!$C$7:$E$11,3,0)</f>
        <v>#N/A</v>
      </c>
      <c r="AD25" s="179">
        <f>VALUE(LEFT(A25,LEN(A25)-3))</f>
        <v>113</v>
      </c>
      <c r="AE25" s="77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s3://rtdc.mdm.uploadarchive.raw/RTDC4064/ "%USERPROFILE%\AppData\Local\Temp\OnboardLogs"\RTDC4064\2017-10-23 --exclude "*" --recursive --include "*20171023*" &amp; "%USERPROFILE%\Documents\GitHub\mrs-test-scripts\Headless Mode &amp; Sideloading\WalkAndUnGZ.bat" "%USERPROFILE%\AppData\Local\Temp\OnboardLogs"\RTDC4064\2017-10-23 &amp; aws s3 cp s3://rtdc.mdm.uploadarchive.raw/RTDC4064/ "%USERPROFILE%\AppData\Local\Temp\OnboardLogs"\RTDC4064\2017-10-24 --exclude "*" --recursive --include "*20171024*" &amp; "%USERPROFILE%\Documents\GitHub\mrs-test-scripts\Headless Mode &amp; Sideloading\WalkAndUnGZ.bat" "%USERPROFILE%\AppData\Local\Temp\OnboardLogs"\RTDC4064\2017-10-24</v>
      </c>
      <c r="AF25" s="74" t="str">
        <f>astrogrep_path&amp;" /e /r /s /spath="&amp;search_path&amp;" /stypes=""app*"&amp;B25&amp;"*"&amp;TEXT(I25-utc_offset/24,"YYYYMMDD")&amp;"*"" /stext="" "&amp;TEXT(I25-utc_offset/24,"HH")&amp;search_regexp&amp;""""</f>
        <v>"C:\Program Files (x86)\AstroGrep\AstroGrep.exe" /e /r /s /spath="%USERPROFILE%\AppData\Local\Temp\OnboardLogs" /stypes="app*4064*20171023*" /stext=" 11:.+((SYSTEM_STATE.+slice.+state.+changed )|(ment ac)|(multiple cpu faults)|(system.+state.+changed )|(\[timeout)|(PRM\|1\|D)|(kpr)|(kdp)|(train st.+moving)|(\|lc)|(penalty))"</v>
      </c>
      <c r="AG25" s="182" t="str">
        <f>DetSubdiv(A25)</f>
        <v>EC</v>
      </c>
      <c r="AH25" s="78" t="str">
        <f t="shared" si="5"/>
        <v>"%USERPROFILE%\Documents\GitHub\eaglep3\Utilities\RefineRTDCRunTimes.py" --tripid 113-23 --locoid 4064 --swversion DE.1.0.9.0 --startMP 204:467 --initTime 2017-10-23T05:10:06 --startdatetime 2017-10-23T05:15:42 --delay 82 --endMP 204:233305 --enddatetime 2017-10-23T05:53:47 --enforcementcount 0 &gt;&gt;%USERPROFILE%\Documents\GitHub\eaglep3-reporting\EC\2017-10-23-refined-times.txt</v>
      </c>
      <c r="AI25" s="96" t="str">
        <f t="shared" si="6"/>
        <v>echo {"issue":{"subject":"","project_id":79,"tracker_id":40,"status_id":1,"priority_id":2,"assigned_to_id":338,"start_date":"2017-10-23","description":"","custom_fields":[{"id":1,"name":"Subdivision","value":"EC"},{"id":4,"name":"Milepost","value":"23.3305"},{"id":17,"name":"Train ID","value":"113-23"},{"id":16,"name":"Locomotive ID","value":"4064"},{"id":130,"name":"Impact","value":""},{"id":150,"name":"Time of Event (Mountain Time)","value":"05:53:47"},{"id":151,"name":"Denver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0"/>
      <c r="AK25" s="47"/>
      <c r="AL25" s="47"/>
      <c r="AM25" s="142" t="str">
        <f t="shared" si="7"/>
        <v>start /low /b %USERPROFILE%\Documents\GitHub\eaglep3\Utilities\DownloadLogsFromS3.py --loco 4064 --day 2017-10-23</v>
      </c>
      <c r="AN25" s="151" t="str">
        <f t="shared" si="8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11:53:47"},{"id":29,"name":"Sharepoint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168" t="str">
        <f t="shared" si="9"/>
        <v>https://d0f6bd738d7f1b3e5a7ca70fe4ff75f0.us-east-1.aws.found.io/app/kibana#/discover/Steve-Slow-Train-Analysis-(2080s-and-2083s)?_g=(refreshInterval:(display:Off,pause:!f,section:0,value:0),time:(from:'2017-10-23T04:10:06-0600',mode:absolute,to:'2017-10-23T06:53:47-0600'))&amp;_a=(columns:!('Message%20ID',Summary),filters:!(),index:'emp_*',interval:auto,query:(query_string:(analyze_wildcard:!t,query:'%22rtdc.l.rtdc.4064%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3">
      <c r="A26" s="32" t="s">
        <v>721</v>
      </c>
      <c r="B26" s="7">
        <v>4063</v>
      </c>
      <c r="C26" s="21" t="s">
        <v>194</v>
      </c>
      <c r="D26" s="21" t="s">
        <v>457</v>
      </c>
      <c r="E26" s="13">
        <v>43031.254513888889</v>
      </c>
      <c r="F26" s="13">
        <v>43031.258553240739</v>
      </c>
      <c r="G26" s="7">
        <v>50</v>
      </c>
      <c r="H26" s="21" t="s">
        <v>336</v>
      </c>
      <c r="I26" s="13">
        <v>43031.284513888888</v>
      </c>
      <c r="J26" s="7">
        <v>0</v>
      </c>
      <c r="K26" s="89" t="str">
        <f>IF(ISEVEN(B26),(B26-1)&amp;"/"&amp;B26,B26&amp;"/"&amp;(B26+1))</f>
        <v>4063/4064</v>
      </c>
      <c r="L26" s="185" t="str">
        <f>VLOOKUP(A26,'Trips&amp;Operators'!$C$1:$G$99911,5,FALSE)</f>
        <v>YANG JAN</v>
      </c>
      <c r="M26" s="6">
        <f>I26-F26</f>
        <v>2.5960648148611654E-2</v>
      </c>
      <c r="N26" s="7">
        <f>24*60*SUM($M26:$M26)</f>
        <v>37.383333334000781</v>
      </c>
      <c r="O26" s="7"/>
      <c r="P26" s="7"/>
      <c r="Q26" s="22"/>
      <c r="R26" s="174"/>
      <c r="S26" s="221">
        <f>1/IF(AG26="EC",12,1)*SUM(U26:U26)</f>
        <v>1</v>
      </c>
      <c r="T26" s="174" t="str">
        <f>IF(ISEVEN(LEFT(AD26,4)),"Southbound","NorthBound")</f>
        <v>Southbound</v>
      </c>
      <c r="U26" s="198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16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2017-10-23T05:06:30-0600',mode:absolute,to:'2017-10-23T07:49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6" s="204" t="str">
        <f>IF(AA26&lt;VLOOKUP(AG26,Variables!$AC$3:$AD$8,2,FALSE),"Y","N")</f>
        <v>N</v>
      </c>
      <c r="X26" s="204">
        <f>VALUE(LEFT(AD26,4))-VALUE(LEFT(AD25,4))</f>
        <v>1</v>
      </c>
      <c r="Y26" s="204">
        <f>RIGHT(D26,LEN(D26)-4)/10000</f>
        <v>23.298400000000001</v>
      </c>
      <c r="Z26" s="204">
        <f>RIGHT(H26,LEN(H26)-4)/10000</f>
        <v>1.49E-2</v>
      </c>
      <c r="AA26" s="204">
        <f>ABS(Z26-Y26)</f>
        <v>23.2835</v>
      </c>
      <c r="AB26" s="54" t="e">
        <f>VLOOKUP(A26,Enforcements!$C$7:$K$11,8,0)</f>
        <v>#N/A</v>
      </c>
      <c r="AC26" s="51" t="e">
        <f>VLOOKUP(A26,Enforcements!$C$7:$E$11,3,0)</f>
        <v>#N/A</v>
      </c>
      <c r="AD26" s="179">
        <f>VALUE(LEFT(A26,LEN(A26)-3))</f>
        <v>114</v>
      </c>
      <c r="AE26" s="77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s3://rtdc.mdm.uploadarchive.raw/RTDC4063/ "%USERPROFILE%\AppData\Local\Temp\OnboardLogs"\RTDC4063\2017-10-23 --exclude "*" --recursive --include "*20171023*" &amp; "%USERPROFILE%\Documents\GitHub\mrs-test-scripts\Headless Mode &amp; Sideloading\WalkAndUnGZ.bat" "%USERPROFILE%\AppData\Local\Temp\OnboardLogs"\RTDC4063\2017-10-23 &amp; aws s3 cp s3://rtdc.mdm.uploadarchive.raw/RTDC4063/ "%USERPROFILE%\AppData\Local\Temp\OnboardLogs"\RTDC4063\2017-10-24 --exclude "*" --recursive --include "*20171024*" &amp; "%USERPROFILE%\Documents\GitHub\mrs-test-scripts\Headless Mode &amp; Sideloading\WalkAndUnGZ.bat" "%USERPROFILE%\AppData\Local\Temp\OnboardLogs"\RTDC4063\2017-10-24</v>
      </c>
      <c r="AF26" s="74" t="str">
        <f>astrogrep_path&amp;" /e /r /s /spath="&amp;search_path&amp;" /stypes=""app*"&amp;B26&amp;"*"&amp;TEXT(I26-utc_offset/24,"YYYYMMDD")&amp;"*"" /stext="" "&amp;TEXT(I26-utc_offset/24,"HH")&amp;search_regexp&amp;""""</f>
        <v>"C:\Program Files (x86)\AstroGrep\AstroGrep.exe" /e /r /s /spath="%USERPROFILE%\AppData\Local\Temp\OnboardLogs" /stypes="app*4063*20171023*" /stext=" 12:.+((SYSTEM_STATE.+slice.+state.+changed )|(ment ac)|(multiple cpu faults)|(system.+state.+changed )|(\[timeout)|(PRM\|1\|D)|(kpr)|(kdp)|(train st.+moving)|(\|lc)|(penalty))"</v>
      </c>
      <c r="AG26" s="182" t="str">
        <f>DetSubdiv(A26)</f>
        <v>EC</v>
      </c>
      <c r="AH26" s="78" t="str">
        <f t="shared" si="5"/>
        <v>"%USERPROFILE%\Documents\GitHub\eaglep3\Utilities\RefineRTDCRunTimes.py" --tripid 114-23 --locoid 4063 --swversion DE.1.0.9.0 --startMP 204:232984 --initTime 2017-10-23T06:06:30 --startdatetime 2017-10-23T06:12:19 --delay 50 --endMP 204:149 --enddatetime 2017-10-23T06:49:42 --enforcementcount 0 &gt;&gt;%USERPROFILE%\Documents\GitHub\eaglep3-reporting\EC\2017-10-23-refined-times.txt</v>
      </c>
      <c r="AI26" s="96" t="str">
        <f t="shared" si="6"/>
        <v>echo {"issue":{"subject":"","project_id":79,"tracker_id":40,"status_id":1,"priority_id":2,"assigned_to_id":338,"start_date":"2017-10-23","description":"","custom_fields":[{"id":1,"name":"Subdivision","value":"EC"},{"id":4,"name":"Milepost","value":"0.0149"},{"id":17,"name":"Train ID","value":"114-23"},{"id":16,"name":"Locomotive ID","value":"4063"},{"id":130,"name":"Impact","value":""},{"id":150,"name":"Time of Event (Mountain Time)","value":"06:49:42"},{"id":151,"name":"Denver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0"/>
      <c r="AK26" s="47"/>
      <c r="AL26" s="47"/>
      <c r="AM26" s="142" t="str">
        <f t="shared" si="7"/>
        <v>start /low /b %USERPROFILE%\Documents\GitHub\eaglep3\Utilities\DownloadLogsFromS3.py --loco 4063 --day 2017-10-23</v>
      </c>
      <c r="AN26" s="151" t="str">
        <f t="shared" si="8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12:49:42"},{"id":29,"name":"Sharepoint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168" t="str">
        <f t="shared" si="9"/>
        <v>https://d0f6bd738d7f1b3e5a7ca70fe4ff75f0.us-east-1.aws.found.io/app/kibana#/discover/Steve-Slow-Train-Analysis-(2080s-and-2083s)?_g=(refreshInterval:(display:Off,pause:!f,section:0,value:0),time:(from:'2017-10-23T05:06:30-0600',mode:absolute,to:'2017-10-23T07:49:42-0600'))&amp;_a=(columns:!('Message%20ID',Summary),filters:!(),index:'emp_*',interval:auto,query:(query_string:(analyze_wildcard:!t,query:'%22rtdc.l.rtdc.4063%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3">
      <c r="A27" s="32" t="s">
        <v>713</v>
      </c>
      <c r="B27" s="7">
        <v>4046</v>
      </c>
      <c r="C27" s="21" t="s">
        <v>194</v>
      </c>
      <c r="D27" s="21" t="s">
        <v>902</v>
      </c>
      <c r="E27" s="13">
        <v>43031.224594907406</v>
      </c>
      <c r="F27" s="13">
        <v>43031.229351851849</v>
      </c>
      <c r="G27" s="7">
        <v>62</v>
      </c>
      <c r="H27" s="21" t="s">
        <v>608</v>
      </c>
      <c r="I27" s="13">
        <v>43031.25677083333</v>
      </c>
      <c r="J27" s="7">
        <v>0</v>
      </c>
      <c r="K27" s="89" t="str">
        <f>IF(ISEVEN(B27),(B27-1)&amp;"/"&amp;B27,B27&amp;"/"&amp;(B27+1))</f>
        <v>4045/4046</v>
      </c>
      <c r="L27" s="185" t="str">
        <f>VLOOKUP(A27,'Trips&amp;Operators'!$C$1:$G$99911,5,FALSE)</f>
        <v>BONDS REYNALDO</v>
      </c>
      <c r="M27" s="6">
        <f>I27-F27</f>
        <v>2.7418981480877846E-2</v>
      </c>
      <c r="N27" s="7">
        <f>24*60*SUM($M27:$M27)</f>
        <v>39.483333332464099</v>
      </c>
      <c r="O27" s="7"/>
      <c r="P27" s="7"/>
      <c r="Q27" s="22"/>
      <c r="R27" s="174"/>
      <c r="S27" s="221">
        <f>1/IF(AG27="EC",12,1)*SUM(U27:U27)</f>
        <v>1</v>
      </c>
      <c r="T27" s="174" t="str">
        <f>IF(ISEVEN(LEFT(AD27,4)),"Southbound","NorthBound")</f>
        <v>NorthBound</v>
      </c>
      <c r="U27" s="198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16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2017-10-23T04:23:25-0600',mode:absolute,to:'2017-10-23T07:09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7" s="204" t="str">
        <f>IF(AA27&lt;VLOOKUP(AG27,Variables!$AC$3:$AD$8,2,FALSE),"Y","N")</f>
        <v>N</v>
      </c>
      <c r="X27" s="204">
        <f>VALUE(LEFT(AD27,4))-VALUE(LEFT(AD26,4))</f>
        <v>1</v>
      </c>
      <c r="Y27" s="204">
        <f>RIGHT(D27,LEN(D27)-4)/10000</f>
        <v>4.82E-2</v>
      </c>
      <c r="Z27" s="204">
        <f>RIGHT(H27,LEN(H27)-4)/10000</f>
        <v>23.3323</v>
      </c>
      <c r="AA27" s="204">
        <f>ABS(Z27-Y27)</f>
        <v>23.284099999999999</v>
      </c>
      <c r="AB27" s="54" t="e">
        <f>VLOOKUP(A27,Enforcements!$C$7:$K$11,8,0)</f>
        <v>#N/A</v>
      </c>
      <c r="AC27" s="51" t="e">
        <f>VLOOKUP(A27,Enforcements!$C$7:$E$11,3,0)</f>
        <v>#N/A</v>
      </c>
      <c r="AD27" s="179">
        <f>VALUE(LEFT(A27,LEN(A27)-3))</f>
        <v>115</v>
      </c>
      <c r="AE27" s="77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s3://rtdc.mdm.uploadarchive.raw/RTDC4046/ "%USERPROFILE%\AppData\Local\Temp\OnboardLogs"\RTDC4046\2017-10-23 --exclude "*" --recursive --include "*20171023*" &amp; "%USERPROFILE%\Documents\GitHub\mrs-test-scripts\Headless Mode &amp; Sideloading\WalkAndUnGZ.bat" "%USERPROFILE%\AppData\Local\Temp\OnboardLogs"\RTDC4046\2017-10-23 &amp; aws s3 cp s3://rtdc.mdm.uploadarchive.raw/RTDC4046/ "%USERPROFILE%\AppData\Local\Temp\OnboardLogs"\RTDC4046\2017-10-24 --exclude "*" --recursive --include "*20171024*" &amp; "%USERPROFILE%\Documents\GitHub\mrs-test-scripts\Headless Mode &amp; Sideloading\WalkAndUnGZ.bat" "%USERPROFILE%\AppData\Local\Temp\OnboardLogs"\RTDC4046\2017-10-24</v>
      </c>
      <c r="AF27" s="74" t="str">
        <f>astrogrep_path&amp;" /e /r /s /spath="&amp;search_path&amp;" /stypes=""app*"&amp;B27&amp;"*"&amp;TEXT(I27-utc_offset/24,"YYYYMMDD")&amp;"*"" /stext="" "&amp;TEXT(I27-utc_offset/24,"HH")&amp;search_regexp&amp;""""</f>
        <v>"C:\Program Files (x86)\AstroGrep\AstroGrep.exe" /e /r /s /spath="%USERPROFILE%\AppData\Local\Temp\OnboardLogs" /stypes="app*4046*20171023*" /stext=" 12:.+((SYSTEM_STATE.+slice.+state.+changed )|(ment ac)|(multiple cpu faults)|(system.+state.+changed )|(\[timeout)|(PRM\|1\|D)|(kpr)|(kdp)|(train st.+moving)|(\|lc)|(penalty))"</v>
      </c>
      <c r="AG27" s="182" t="str">
        <f>DetSubdiv(A27)</f>
        <v>EC</v>
      </c>
      <c r="AH27" s="78" t="str">
        <f t="shared" si="5"/>
        <v>"%USERPROFILE%\Documents\GitHub\eaglep3\Utilities\RefineRTDCRunTimes.py" --tripid 115-23 --locoid 4046 --swversion DE.1.0.9.0 --startMP 204:482 --initTime 2017-10-23T05:23:25 --startdatetime 2017-10-23T05:30:16 --delay 62 --endMP 204:233323 --enddatetime 2017-10-23T06:09:45 --enforcementcount 0 &gt;&gt;%USERPROFILE%\Documents\GitHub\eaglep3-reporting\EC\2017-10-23-refined-times.txt</v>
      </c>
      <c r="AI27" s="96" t="str">
        <f t="shared" si="6"/>
        <v>echo {"issue":{"subject":"","project_id":79,"tracker_id":40,"status_id":1,"priority_id":2,"assigned_to_id":338,"start_date":"2017-10-23","description":"","custom_fields":[{"id":1,"name":"Subdivision","value":"EC"},{"id":4,"name":"Milepost","value":"23.3323"},{"id":17,"name":"Train ID","value":"115-23"},{"id":16,"name":"Locomotive ID","value":"4046"},{"id":130,"name":"Impact","value":""},{"id":150,"name":"Time of Event (Mountain Time)","value":"06:09:45"},{"id":151,"name":"Denver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0"/>
      <c r="AK27" s="47"/>
      <c r="AL27" s="47"/>
      <c r="AM27" s="142" t="str">
        <f t="shared" si="7"/>
        <v>start /low /b %USERPROFILE%\Documents\GitHub\eaglep3\Utilities\DownloadLogsFromS3.py --loco 4046 --day 2017-10-23</v>
      </c>
      <c r="AN27" s="151" t="str">
        <f t="shared" si="8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12:09:45"},{"id":29,"name":"Sharepoint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168" t="str">
        <f t="shared" si="9"/>
        <v>https://d0f6bd738d7f1b3e5a7ca70fe4ff75f0.us-east-1.aws.found.io/app/kibana#/discover/Steve-Slow-Train-Analysis-(2080s-and-2083s)?_g=(refreshInterval:(display:Off,pause:!f,section:0,value:0),time:(from:'2017-10-23T04:23:25-0600',mode:absolute,to:'2017-10-23T07:09:45-0600'))&amp;_a=(columns:!('Message%20ID',Summary),filters:!(),index:'emp_*',interval:auto,query:(query_string:(analyze_wildcard:!t,query:'%22rtdc.l.rtdc.4046%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3">
      <c r="A28" s="32" t="s">
        <v>643</v>
      </c>
      <c r="B28" s="7">
        <v>4045</v>
      </c>
      <c r="C28" s="21" t="s">
        <v>194</v>
      </c>
      <c r="D28" s="21" t="s">
        <v>903</v>
      </c>
      <c r="E28" s="13">
        <v>43031.267534722225</v>
      </c>
      <c r="F28" s="13">
        <v>43031.268958333334</v>
      </c>
      <c r="G28" s="7">
        <v>47</v>
      </c>
      <c r="H28" s="21" t="s">
        <v>339</v>
      </c>
      <c r="I28" s="13">
        <v>43031.295717592591</v>
      </c>
      <c r="J28" s="7">
        <v>0</v>
      </c>
      <c r="K28" s="89" t="str">
        <f>IF(ISEVEN(B28),(B28-1)&amp;"/"&amp;B28,B28&amp;"/"&amp;(B28+1))</f>
        <v>4045/4046</v>
      </c>
      <c r="L28" s="185" t="str">
        <f>VLOOKUP(A28,'Trips&amp;Operators'!$C$1:$G$99911,5,FALSE)</f>
        <v>BONDS REYNALDO</v>
      </c>
      <c r="M28" s="6">
        <f>I28-F28</f>
        <v>2.675925925723277E-2</v>
      </c>
      <c r="N28" s="7">
        <f>24*60*SUM($M28:$M28)</f>
        <v>38.533333330415189</v>
      </c>
      <c r="O28" s="7"/>
      <c r="P28" s="7"/>
      <c r="Q28" s="22"/>
      <c r="R28" s="174"/>
      <c r="S28" s="221">
        <f>1/IF(AG28="EC",12,1)*SUM(U28:U28)</f>
        <v>1</v>
      </c>
      <c r="T28" s="174" t="str">
        <f>IF(ISEVEN(LEFT(AD28,4)),"Southbound","NorthBound")</f>
        <v>Southbound</v>
      </c>
      <c r="U28" s="198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16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2017-10-23T05:25:15-0600',mode:absolute,to:'2017-10-23T08:05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8" s="204" t="str">
        <f>IF(AA28&lt;VLOOKUP(AG28,Variables!$AC$3:$AD$8,2,FALSE),"Y","N")</f>
        <v>N</v>
      </c>
      <c r="X28" s="204">
        <f>VALUE(LEFT(AD28,4))-VALUE(LEFT(AD27,4))</f>
        <v>1</v>
      </c>
      <c r="Y28" s="204">
        <f>RIGHT(D28,LEN(D28)-4)/10000</f>
        <v>23.297899999999998</v>
      </c>
      <c r="Z28" s="204">
        <f>RIGHT(H28,LEN(H28)-4)/10000</f>
        <v>1.47E-2</v>
      </c>
      <c r="AA28" s="204">
        <f>ABS(Z28-Y28)</f>
        <v>23.283199999999997</v>
      </c>
      <c r="AB28" s="54" t="str">
        <f>VLOOKUP(A28,Enforcements!$C$7:$K$11,8,0)</f>
        <v>Speed (6)</v>
      </c>
      <c r="AC28" s="51" t="str">
        <f>VLOOKUP(A28,Enforcements!$C$7:$E$11,3,0)</f>
        <v>PERMANENT SPEED RESTRICTION</v>
      </c>
      <c r="AD28" s="179">
        <f>VALUE(LEFT(A28,LEN(A28)-3))</f>
        <v>116</v>
      </c>
      <c r="AE28" s="77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s3://rtdc.mdm.uploadarchive.raw/RTDC4045/ "%USERPROFILE%\AppData\Local\Temp\OnboardLogs"\RTDC4045\2017-10-23 --exclude "*" --recursive --include "*20171023*" &amp; "%USERPROFILE%\Documents\GitHub\mrs-test-scripts\Headless Mode &amp; Sideloading\WalkAndUnGZ.bat" "%USERPROFILE%\AppData\Local\Temp\OnboardLogs"\RTDC4045\2017-10-23 &amp; aws s3 cp s3://rtdc.mdm.uploadarchive.raw/RTDC4045/ "%USERPROFILE%\AppData\Local\Temp\OnboardLogs"\RTDC4045\2017-10-24 --exclude "*" --recursive --include "*20171024*" &amp; "%USERPROFILE%\Documents\GitHub\mrs-test-scripts\Headless Mode &amp; Sideloading\WalkAndUnGZ.bat" "%USERPROFILE%\AppData\Local\Temp\OnboardLogs"\RTDC4045\2017-10-24</v>
      </c>
      <c r="AF28" s="74" t="str">
        <f>astrogrep_path&amp;" /e /r /s /spath="&amp;search_path&amp;" /stypes=""app*"&amp;B28&amp;"*"&amp;TEXT(I28-utc_offset/24,"YYYYMMDD")&amp;"*"" /stext="" "&amp;TEXT(I28-utc_offset/24,"HH")&amp;search_regexp&amp;""""</f>
        <v>"C:\Program Files (x86)\AstroGrep\AstroGrep.exe" /e /r /s /spath="%USERPROFILE%\AppData\Local\Temp\OnboardLogs" /stypes="app*4045*20171023*" /stext=" 13:.+((SYSTEM_STATE.+slice.+state.+changed )|(ment ac)|(multiple cpu faults)|(system.+state.+changed )|(\[timeout)|(PRM\|1\|D)|(kpr)|(kdp)|(train st.+moving)|(\|lc)|(penalty))"</v>
      </c>
      <c r="AG28" s="182" t="str">
        <f>DetSubdiv(A28)</f>
        <v>EC</v>
      </c>
      <c r="AH28" s="78" t="str">
        <f t="shared" si="5"/>
        <v>"%USERPROFILE%\Documents\GitHub\eaglep3\Utilities\RefineRTDCRunTimes.py" --tripid 116-23 --locoid 4045 --swversion DE.1.0.9.0 --startMP 204:232979 --initTime 2017-10-23T06:25:15 --startdatetime 2017-10-23T06:27:18 --delay 47 --endMP 204:147 --enddatetime 2017-10-23T07:05:50 --enforcementcount 0 &gt;&gt;%USERPROFILE%\Documents\GitHub\eaglep3-reporting\EC\2017-10-23-refined-times.txt</v>
      </c>
      <c r="AI28" s="96" t="str">
        <f t="shared" si="6"/>
        <v>echo {"issue":{"subject":"","project_id":79,"tracker_id":40,"status_id":1,"priority_id":2,"assigned_to_id":338,"start_date":"2017-10-23","description":"","custom_fields":[{"id":1,"name":"Subdivision","value":"EC"},{"id":4,"name":"Milepost","value":"0.0147"},{"id":17,"name":"Train ID","value":"116-23"},{"id":16,"name":"Locomotive ID","value":"4045"},{"id":130,"name":"Impact","value":""},{"id":150,"name":"Time of Event (Mountain Time)","value":"07:05:50"},{"id":151,"name":"Denver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0"/>
      <c r="AK28" s="47"/>
      <c r="AL28" s="47"/>
      <c r="AM28" s="142" t="str">
        <f t="shared" si="7"/>
        <v>start /low /b %USERPROFILE%\Documents\GitHub\eaglep3\Utilities\DownloadLogsFromS3.py --loco 4045 --day 2017-10-23</v>
      </c>
      <c r="AN28" s="151" t="str">
        <f t="shared" si="8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13:05:50"},{"id":29,"name":"Sharepoint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168" t="str">
        <f t="shared" si="9"/>
        <v>https://d0f6bd738d7f1b3e5a7ca70fe4ff75f0.us-east-1.aws.found.io/app/kibana#/discover/Steve-Slow-Train-Analysis-(2080s-and-2083s)?_g=(refreshInterval:(display:Off,pause:!f,section:0,value:0),time:(from:'2017-10-23T05:25:15-0600',mode:absolute,to:'2017-10-23T08:05:50-0600'))&amp;_a=(columns:!('Message%20ID',Summary),filters:!(),index:'emp_*',interval:auto,query:(query_string:(analyze_wildcard:!t,query:'%22rtdc.l.rtdc.4045%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3">
      <c r="A29" s="32" t="s">
        <v>716</v>
      </c>
      <c r="B29" s="7">
        <v>4050</v>
      </c>
      <c r="C29" s="21" t="s">
        <v>194</v>
      </c>
      <c r="D29" s="21" t="s">
        <v>362</v>
      </c>
      <c r="E29" s="13">
        <v>43031.236145833333</v>
      </c>
      <c r="F29" s="13">
        <v>43031.239768518521</v>
      </c>
      <c r="G29" s="7">
        <v>64</v>
      </c>
      <c r="H29" s="21" t="s">
        <v>904</v>
      </c>
      <c r="I29" s="13">
        <v>43031.265370370369</v>
      </c>
      <c r="J29" s="7">
        <v>0</v>
      </c>
      <c r="K29" s="89" t="str">
        <f>IF(ISEVEN(B29),(B29-1)&amp;"/"&amp;B29,B29&amp;"/"&amp;(B29+1))</f>
        <v>4049/4050</v>
      </c>
      <c r="L29" s="185" t="str">
        <f>VLOOKUP(A29,'Trips&amp;Operators'!$C$1:$G$99911,5,FALSE)</f>
        <v>LAMAR NEKESHA</v>
      </c>
      <c r="M29" s="6">
        <f>I29-F29</f>
        <v>2.5601851848477963E-2</v>
      </c>
      <c r="N29" s="7">
        <f>24*60*SUM($M29:$M29)</f>
        <v>36.866666661808267</v>
      </c>
      <c r="O29" s="7"/>
      <c r="P29" s="7"/>
      <c r="Q29" s="22"/>
      <c r="R29" s="174"/>
      <c r="S29" s="221">
        <f>1/IF(AG29="EC",12,1)*SUM(U29:U29)</f>
        <v>1</v>
      </c>
      <c r="T29" s="174" t="str">
        <f>IF(ISEVEN(LEFT(AD29,4)),"Southbound","NorthBound")</f>
        <v>NorthBound</v>
      </c>
      <c r="U29" s="198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16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2017-10-23T04:40:03-0600',mode:absolute,to:'2017-10-23T07:22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9" s="204" t="str">
        <f>IF(AA29&lt;VLOOKUP(AG29,Variables!$AC$3:$AD$8,2,FALSE),"Y","N")</f>
        <v>N</v>
      </c>
      <c r="X29" s="204">
        <f>VALUE(LEFT(AD29,4))-VALUE(LEFT(AD28,4))</f>
        <v>1</v>
      </c>
      <c r="Y29" s="204">
        <f>RIGHT(D29,LEN(D29)-4)/10000</f>
        <v>4.5999999999999999E-2</v>
      </c>
      <c r="Z29" s="204">
        <f>RIGHT(H29,LEN(H29)-4)/10000</f>
        <v>23.326799999999999</v>
      </c>
      <c r="AA29" s="204">
        <f>ABS(Z29-Y29)</f>
        <v>23.280799999999999</v>
      </c>
      <c r="AB29" s="54" t="e">
        <f>VLOOKUP(A29,Enforcements!$C$7:$K$11,8,0)</f>
        <v>#N/A</v>
      </c>
      <c r="AC29" s="51" t="e">
        <f>VLOOKUP(A29,Enforcements!$C$7:$E$11,3,0)</f>
        <v>#N/A</v>
      </c>
      <c r="AD29" s="179">
        <f>VALUE(LEFT(A29,LEN(A29)-3))</f>
        <v>117</v>
      </c>
      <c r="AE29" s="77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s3://rtdc.mdm.uploadarchive.raw/RTDC4050/ "%USERPROFILE%\AppData\Local\Temp\OnboardLogs"\RTDC4050\2017-10-23 --exclude "*" --recursive --include "*20171023*" &amp; "%USERPROFILE%\Documents\GitHub\mrs-test-scripts\Headless Mode &amp; Sideloading\WalkAndUnGZ.bat" "%USERPROFILE%\AppData\Local\Temp\OnboardLogs"\RTDC4050\2017-10-23 &amp; aws s3 cp s3://rtdc.mdm.uploadarchive.raw/RTDC4050/ "%USERPROFILE%\AppData\Local\Temp\OnboardLogs"\RTDC4050\2017-10-24 --exclude "*" --recursive --include "*20171024*" &amp; "%USERPROFILE%\Documents\GitHub\mrs-test-scripts\Headless Mode &amp; Sideloading\WalkAndUnGZ.bat" "%USERPROFILE%\AppData\Local\Temp\OnboardLogs"\RTDC4050\2017-10-24</v>
      </c>
      <c r="AF29" s="74" t="str">
        <f>astrogrep_path&amp;" /e /r /s /spath="&amp;search_path&amp;" /stypes=""app*"&amp;B29&amp;"*"&amp;TEXT(I29-utc_offset/24,"YYYYMMDD")&amp;"*"" /stext="" "&amp;TEXT(I29-utc_offset/24,"HH")&amp;search_regexp&amp;""""</f>
        <v>"C:\Program Files (x86)\AstroGrep\AstroGrep.exe" /e /r /s /spath="%USERPROFILE%\AppData\Local\Temp\OnboardLogs" /stypes="app*4050*20171023*" /stext=" 12:.+((SYSTEM_STATE.+slice.+state.+changed )|(ment ac)|(multiple cpu faults)|(system.+state.+changed )|(\[timeout)|(PRM\|1\|D)|(kpr)|(kdp)|(train st.+moving)|(\|lc)|(penalty))"</v>
      </c>
      <c r="AG29" s="182" t="str">
        <f>DetSubdiv(A29)</f>
        <v>EC</v>
      </c>
      <c r="AH29" s="78" t="str">
        <f t="shared" si="5"/>
        <v>"%USERPROFILE%\Documents\GitHub\eaglep3\Utilities\RefineRTDCRunTimes.py" --tripid 117-23 --locoid 4050 --swversion DE.1.0.9.0 --startMP 204:460 --initTime 2017-10-23T05:40:03 --startdatetime 2017-10-23T05:45:16 --delay 64 --endMP 204:233268 --enddatetime 2017-10-23T06:22:08 --enforcementcount 0 &gt;&gt;%USERPROFILE%\Documents\GitHub\eaglep3-reporting\EC\2017-10-23-refined-times.txt</v>
      </c>
      <c r="AI29" s="96" t="str">
        <f t="shared" si="6"/>
        <v>echo {"issue":{"subject":"","project_id":79,"tracker_id":40,"status_id":1,"priority_id":2,"assigned_to_id":338,"start_date":"2017-10-23","description":"","custom_fields":[{"id":1,"name":"Subdivision","value":"EC"},{"id":4,"name":"Milepost","value":"23.3268"},{"id":17,"name":"Train ID","value":"117-23"},{"id":16,"name":"Locomotive ID","value":"4050"},{"id":130,"name":"Impact","value":""},{"id":150,"name":"Time of Event (Mountain Time)","value":"06:22:08"},{"id":151,"name":"Denver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0"/>
      <c r="AK29" s="47"/>
      <c r="AL29" s="47"/>
      <c r="AM29" s="142" t="str">
        <f t="shared" si="7"/>
        <v>start /low /b %USERPROFILE%\Documents\GitHub\eaglep3\Utilities\DownloadLogsFromS3.py --loco 4050 --day 2017-10-23</v>
      </c>
      <c r="AN29" s="151" t="str">
        <f t="shared" si="8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12:22:08"},{"id":29,"name":"Sharepoint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168" t="str">
        <f t="shared" si="9"/>
        <v>https://d0f6bd738d7f1b3e5a7ca70fe4ff75f0.us-east-1.aws.found.io/app/kibana#/discover/Steve-Slow-Train-Analysis-(2080s-and-2083s)?_g=(refreshInterval:(display:Off,pause:!f,section:0,value:0),time:(from:'2017-10-23T04:40:03-0600',mode:absolute,to:'2017-10-23T07:22:08-0600'))&amp;_a=(columns:!('Message%20ID',Summary),filters:!(),index:'emp_*',interval:auto,query:(query_string:(analyze_wildcard:!t,query:'%22rtdc.l.rtdc.4050%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3">
      <c r="A30" s="32" t="s">
        <v>728</v>
      </c>
      <c r="B30" s="7">
        <v>4049</v>
      </c>
      <c r="C30" s="21" t="s">
        <v>194</v>
      </c>
      <c r="D30" s="21" t="s">
        <v>905</v>
      </c>
      <c r="E30" s="13">
        <v>43031.276886574073</v>
      </c>
      <c r="F30" s="13">
        <v>43031.279351851852</v>
      </c>
      <c r="G30" s="7">
        <v>49</v>
      </c>
      <c r="H30" s="21" t="s">
        <v>357</v>
      </c>
      <c r="I30" s="13">
        <v>43031.312511574077</v>
      </c>
      <c r="J30" s="7">
        <v>0</v>
      </c>
      <c r="K30" s="89" t="str">
        <f>IF(ISEVEN(B30),(B30-1)&amp;"/"&amp;B30,B30&amp;"/"&amp;(B30+1))</f>
        <v>4049/4050</v>
      </c>
      <c r="L30" s="185" t="str">
        <f>VLOOKUP(A30,'Trips&amp;Operators'!$C$1:$G$99911,5,FALSE)</f>
        <v>LAMAR NEKESHA</v>
      </c>
      <c r="M30" s="6">
        <f>I30-F30</f>
        <v>3.3159722224809229E-2</v>
      </c>
      <c r="N30" s="7">
        <f>24*60*SUM($M30:$M30)</f>
        <v>47.75000000372529</v>
      </c>
      <c r="O30" s="7"/>
      <c r="P30" s="7"/>
      <c r="Q30" s="22"/>
      <c r="R30" s="174"/>
      <c r="S30" s="221">
        <f>1/IF(AG30="EC",12,1)*SUM(U30:U30)</f>
        <v>1</v>
      </c>
      <c r="T30" s="174" t="str">
        <f>IF(ISEVEN(LEFT(AD30,4)),"Southbound","NorthBound")</f>
        <v>Southbound</v>
      </c>
      <c r="U30" s="198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16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2017-10-23T05:38:43-0600',mode:absolute,to:'2017-10-23T08:30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30" s="204" t="str">
        <f>IF(AA30&lt;VLOOKUP(AG30,Variables!$AC$3:$AD$8,2,FALSE),"Y","N")</f>
        <v>N</v>
      </c>
      <c r="X30" s="204">
        <f>VALUE(LEFT(AD30,4))-VALUE(LEFT(AD29,4))</f>
        <v>1</v>
      </c>
      <c r="Y30" s="204">
        <f>RIGHT(D30,LEN(D30)-4)/10000</f>
        <v>23.296299999999999</v>
      </c>
      <c r="Z30" s="204">
        <f>RIGHT(H30,LEN(H30)-4)/10000</f>
        <v>1.5599999999999999E-2</v>
      </c>
      <c r="AA30" s="204">
        <f>ABS(Z30-Y30)</f>
        <v>23.2807</v>
      </c>
      <c r="AB30" s="54" t="e">
        <f>VLOOKUP(A30,Enforcements!$C$7:$K$11,8,0)</f>
        <v>#N/A</v>
      </c>
      <c r="AC30" s="51" t="e">
        <f>VLOOKUP(A30,Enforcements!$C$7:$E$11,3,0)</f>
        <v>#N/A</v>
      </c>
      <c r="AD30" s="179">
        <f>VALUE(LEFT(A30,LEN(A30)-3))</f>
        <v>118</v>
      </c>
      <c r="AE30" s="77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s3://rtdc.mdm.uploadarchive.raw/RTDC4049/ "%USERPROFILE%\AppData\Local\Temp\OnboardLogs"\RTDC4049\2017-10-23 --exclude "*" --recursive --include "*20171023*" &amp; "%USERPROFILE%\Documents\GitHub\mrs-test-scripts\Headless Mode &amp; Sideloading\WalkAndUnGZ.bat" "%USERPROFILE%\AppData\Local\Temp\OnboardLogs"\RTDC4049\2017-10-23 &amp; aws s3 cp s3://rtdc.mdm.uploadarchive.raw/RTDC4049/ "%USERPROFILE%\AppData\Local\Temp\OnboardLogs"\RTDC4049\2017-10-24 --exclude "*" --recursive --include "*20171024*" &amp; "%USERPROFILE%\Documents\GitHub\mrs-test-scripts\Headless Mode &amp; Sideloading\WalkAndUnGZ.bat" "%USERPROFILE%\AppData\Local\Temp\OnboardLogs"\RTDC4049\2017-10-24</v>
      </c>
      <c r="AF30" s="74" t="str">
        <f>astrogrep_path&amp;" /e /r /s /spath="&amp;search_path&amp;" /stypes=""app*"&amp;B30&amp;"*"&amp;TEXT(I30-utc_offset/24,"YYYYMMDD")&amp;"*"" /stext="" "&amp;TEXT(I30-utc_offset/24,"HH")&amp;search_regexp&amp;""""</f>
        <v>"C:\Program Files (x86)\AstroGrep\AstroGrep.exe" /e /r /s /spath="%USERPROFILE%\AppData\Local\Temp\OnboardLogs" /stypes="app*4049*20171023*" /stext=" 13:.+((SYSTEM_STATE.+slice.+state.+changed )|(ment ac)|(multiple cpu faults)|(system.+state.+changed )|(\[timeout)|(PRM\|1\|D)|(kpr)|(kdp)|(train st.+moving)|(\|lc)|(penalty))"</v>
      </c>
      <c r="AG30" s="182" t="str">
        <f>DetSubdiv(A30)</f>
        <v>EC</v>
      </c>
      <c r="AH30" s="78" t="str">
        <f t="shared" si="5"/>
        <v>"%USERPROFILE%\Documents\GitHub\eaglep3\Utilities\RefineRTDCRunTimes.py" --tripid 118-23 --locoid 4049 --swversion DE.1.0.9.0 --startMP 204:232963 --initTime 2017-10-23T06:38:43 --startdatetime 2017-10-23T06:42:16 --delay 49 --endMP 204:156 --enddatetime 2017-10-23T07:30:01 --enforcementcount 0 &gt;&gt;%USERPROFILE%\Documents\GitHub\eaglep3-reporting\EC\2017-10-23-refined-times.txt</v>
      </c>
      <c r="AI30" s="96" t="str">
        <f t="shared" si="6"/>
        <v>echo {"issue":{"subject":"","project_id":79,"tracker_id":40,"status_id":1,"priority_id":2,"assigned_to_id":338,"start_date":"2017-10-23","description":"","custom_fields":[{"id":1,"name":"Subdivision","value":"EC"},{"id":4,"name":"Milepost","value":"0.0156"},{"id":17,"name":"Train ID","value":"118-23"},{"id":16,"name":"Locomotive ID","value":"4049"},{"id":130,"name":"Impact","value":""},{"id":150,"name":"Time of Event (Mountain Time)","value":"07:30:01"},{"id":151,"name":"Denver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0"/>
      <c r="AK30" s="47"/>
      <c r="AL30" s="47"/>
      <c r="AM30" s="142" t="str">
        <f t="shared" si="7"/>
        <v>start /low /b %USERPROFILE%\Documents\GitHub\eaglep3\Utilities\DownloadLogsFromS3.py --loco 4049 --day 2017-10-23</v>
      </c>
      <c r="AN30" s="151" t="str">
        <f t="shared" si="8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13:30:01"},{"id":29,"name":"Sharepoint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168" t="str">
        <f t="shared" si="9"/>
        <v>https://d0f6bd738d7f1b3e5a7ca70fe4ff75f0.us-east-1.aws.found.io/app/kibana#/discover/Steve-Slow-Train-Analysis-(2080s-and-2083s)?_g=(refreshInterval:(display:Off,pause:!f,section:0,value:0),time:(from:'2017-10-23T05:38:43-0600',mode:absolute,to:'2017-10-23T08:30:01-0600'))&amp;_a=(columns:!('Message%20ID',Summary),filters:!(),index:'emp_*',interval:auto,query:(query_string:(analyze_wildcard:!t,query:'%22rtdc.l.rtdc.4049%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3">
      <c r="A31" s="32" t="s">
        <v>719</v>
      </c>
      <c r="B31" s="7">
        <v>4018</v>
      </c>
      <c r="C31" s="21" t="s">
        <v>194</v>
      </c>
      <c r="D31" s="21" t="s">
        <v>338</v>
      </c>
      <c r="E31" s="13">
        <v>43031.24291666667</v>
      </c>
      <c r="F31" s="13">
        <v>43031.250243055554</v>
      </c>
      <c r="G31" s="7">
        <v>46</v>
      </c>
      <c r="H31" s="21" t="s">
        <v>415</v>
      </c>
      <c r="I31" s="13">
        <v>43031.274282407408</v>
      </c>
      <c r="J31" s="7">
        <v>0</v>
      </c>
      <c r="K31" s="89" t="str">
        <f>IF(ISEVEN(B31),(B31-1)&amp;"/"&amp;B31,B31&amp;"/"&amp;(B31+1))</f>
        <v>4017/4018</v>
      </c>
      <c r="L31" s="185" t="str">
        <f>VLOOKUP(A31,'Trips&amp;Operators'!$C$1:$G$99911,5,FALSE)</f>
        <v>YORK EDGAR</v>
      </c>
      <c r="M31" s="6">
        <f>I31-F31</f>
        <v>2.4039351854298729E-2</v>
      </c>
      <c r="N31" s="7">
        <f>24*60*SUM($M31:$M31)</f>
        <v>34.61666667019017</v>
      </c>
      <c r="O31" s="7"/>
      <c r="P31" s="7"/>
      <c r="Q31" s="22"/>
      <c r="R31" s="174"/>
      <c r="S31" s="221">
        <f>1/IF(AG31="EC",12,1)*SUM(U31:U31)</f>
        <v>1</v>
      </c>
      <c r="T31" s="174" t="str">
        <f>IF(ISEVEN(LEFT(AD31,4)),"Southbound","NorthBound")</f>
        <v>NorthBound</v>
      </c>
      <c r="U31" s="198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16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2017-10-23T04:49:48-0600',mode:absolute,to:'2017-10-23T07:34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31" s="204" t="str">
        <f>IF(AA31&lt;VLOOKUP(AG31,Variables!$AC$3:$AD$8,2,FALSE),"Y","N")</f>
        <v>N</v>
      </c>
      <c r="X31" s="204">
        <f>VALUE(LEFT(AD31,4))-VALUE(LEFT(AD30,4))</f>
        <v>1</v>
      </c>
      <c r="Y31" s="204">
        <f>RIGHT(D31,LEN(D31)-4)/10000</f>
        <v>4.53E-2</v>
      </c>
      <c r="Z31" s="204">
        <f>RIGHT(H31,LEN(H31)-4)/10000</f>
        <v>23.329699999999999</v>
      </c>
      <c r="AA31" s="204">
        <f>ABS(Z31-Y31)</f>
        <v>23.284399999999998</v>
      </c>
      <c r="AB31" s="54" t="e">
        <f>VLOOKUP(A31,Enforcements!$C$7:$K$11,8,0)</f>
        <v>#N/A</v>
      </c>
      <c r="AC31" s="51" t="e">
        <f>VLOOKUP(A31,Enforcements!$C$7:$E$11,3,0)</f>
        <v>#N/A</v>
      </c>
      <c r="AD31" s="179">
        <f>VALUE(LEFT(A31,LEN(A31)-3))</f>
        <v>119</v>
      </c>
      <c r="AE31" s="77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s3://rtdc.mdm.uploadarchive.raw/RTDC4018/ "%USERPROFILE%\AppData\Local\Temp\OnboardLogs"\RTDC4018\2017-10-23 --exclude "*" --recursive --include "*20171023*" &amp; "%USERPROFILE%\Documents\GitHub\mrs-test-scripts\Headless Mode &amp; Sideloading\WalkAndUnGZ.bat" "%USERPROFILE%\AppData\Local\Temp\OnboardLogs"\RTDC4018\2017-10-23 &amp; aws s3 cp s3://rtdc.mdm.uploadarchive.raw/RTDC4018/ "%USERPROFILE%\AppData\Local\Temp\OnboardLogs"\RTDC4018\2017-10-24 --exclude "*" --recursive --include "*20171024*" &amp; "%USERPROFILE%\Documents\GitHub\mrs-test-scripts\Headless Mode &amp; Sideloading\WalkAndUnGZ.bat" "%USERPROFILE%\AppData\Local\Temp\OnboardLogs"\RTDC4018\2017-10-24</v>
      </c>
      <c r="AF31" s="74" t="str">
        <f>astrogrep_path&amp;" /e /r /s /spath="&amp;search_path&amp;" /stypes=""app*"&amp;B31&amp;"*"&amp;TEXT(I31-utc_offset/24,"YYYYMMDD")&amp;"*"" /stext="" "&amp;TEXT(I31-utc_offset/24,"HH")&amp;search_regexp&amp;""""</f>
        <v>"C:\Program Files (x86)\AstroGrep\AstroGrep.exe" /e /r /s /spath="%USERPROFILE%\AppData\Local\Temp\OnboardLogs" /stypes="app*4018*20171023*" /stext=" 12:.+((SYSTEM_STATE.+slice.+state.+changed )|(ment ac)|(multiple cpu faults)|(system.+state.+changed )|(\[timeout)|(PRM\|1\|D)|(kpr)|(kdp)|(train st.+moving)|(\|lc)|(penalty))"</v>
      </c>
      <c r="AG31" s="182" t="str">
        <f>DetSubdiv(A31)</f>
        <v>EC</v>
      </c>
      <c r="AH31" s="78" t="str">
        <f t="shared" si="5"/>
        <v>"%USERPROFILE%\Documents\GitHub\eaglep3\Utilities\RefineRTDCRunTimes.py" --tripid 119-23 --locoid 4018 --swversion DE.1.0.9.0 --startMP 204:453 --initTime 2017-10-23T05:49:48 --startdatetime 2017-10-23T06:00:21 --delay 46 --endMP 204:233297 --enddatetime 2017-10-23T06:34:58 --enforcementcount 0 &gt;&gt;%USERPROFILE%\Documents\GitHub\eaglep3-reporting\EC\2017-10-23-refined-times.txt</v>
      </c>
      <c r="AI31" s="96" t="str">
        <f t="shared" si="6"/>
        <v>echo {"issue":{"subject":"","project_id":79,"tracker_id":40,"status_id":1,"priority_id":2,"assigned_to_id":338,"start_date":"2017-10-23","description":"","custom_fields":[{"id":1,"name":"Subdivision","value":"EC"},{"id":4,"name":"Milepost","value":"23.3297"},{"id":17,"name":"Train ID","value":"119-23"},{"id":16,"name":"Locomotive ID","value":"4018"},{"id":130,"name":"Impact","value":""},{"id":150,"name":"Time of Event (Mountain Time)","value":"06:34:58"},{"id":151,"name":"Denver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0"/>
      <c r="AK31" s="47"/>
      <c r="AL31" s="47"/>
      <c r="AM31" s="142" t="str">
        <f t="shared" si="7"/>
        <v>start /low /b %USERPROFILE%\Documents\GitHub\eaglep3\Utilities\DownloadLogsFromS3.py --loco 4018 --day 2017-10-23</v>
      </c>
      <c r="AN31" s="151" t="str">
        <f t="shared" si="8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12:34:58"},{"id":29,"name":"Sharepoint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168" t="str">
        <f t="shared" si="9"/>
        <v>https://d0f6bd738d7f1b3e5a7ca70fe4ff75f0.us-east-1.aws.found.io/app/kibana#/discover/Steve-Slow-Train-Analysis-(2080s-and-2083s)?_g=(refreshInterval:(display:Off,pause:!f,section:0,value:0),time:(from:'2017-10-23T04:49:48-0600',mode:absolute,to:'2017-10-23T07:34:58-0600'))&amp;_a=(columns:!('Message%20ID',Summary),filters:!(),index:'emp_*',interval:auto,query:(query_string:(analyze_wildcard:!t,query:'%22rtdc.l.rtdc.4018%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3">
      <c r="A32" s="32" t="s">
        <v>726</v>
      </c>
      <c r="B32" s="7">
        <v>4017</v>
      </c>
      <c r="C32" s="21" t="s">
        <v>194</v>
      </c>
      <c r="D32" s="21" t="s">
        <v>906</v>
      </c>
      <c r="E32" s="13">
        <v>43031.275254629632</v>
      </c>
      <c r="F32" s="13">
        <v>43031.290150462963</v>
      </c>
      <c r="G32" s="7">
        <v>44</v>
      </c>
      <c r="H32" s="21" t="s">
        <v>337</v>
      </c>
      <c r="I32" s="13">
        <v>43031.324016203704</v>
      </c>
      <c r="J32" s="7">
        <v>0</v>
      </c>
      <c r="K32" s="89" t="str">
        <f>IF(ISEVEN(B32),(B32-1)&amp;"/"&amp;B32,B32&amp;"/"&amp;(B32+1))</f>
        <v>4017/4018</v>
      </c>
      <c r="L32" s="185" t="str">
        <f>VLOOKUP(A32,'Trips&amp;Operators'!$C$1:$G$99911,5,FALSE)</f>
        <v>YORK EDGAR</v>
      </c>
      <c r="M32" s="6">
        <f>I32-F32</f>
        <v>3.3865740741021E-2</v>
      </c>
      <c r="N32" s="7">
        <f>24*60*SUM($M32:$M32)</f>
        <v>48.76666666707024</v>
      </c>
      <c r="O32" s="7"/>
      <c r="P32" s="7"/>
      <c r="Q32" s="22"/>
      <c r="R32" s="174"/>
      <c r="S32" s="221">
        <f>1/IF(AG32="EC",12,1)*SUM(U32:U32)</f>
        <v>1</v>
      </c>
      <c r="T32" s="174" t="str">
        <f>IF(ISEVEN(LEFT(AD32,4)),"Southbound","NorthBound")</f>
        <v>Southbound</v>
      </c>
      <c r="U32" s="198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16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2017-10-23T05:36:22-0600',mode:absolute,to:'2017-10-23T08:46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32" s="204" t="str">
        <f>IF(AA32&lt;VLOOKUP(AG32,Variables!$AC$3:$AD$8,2,FALSE),"Y","N")</f>
        <v>N</v>
      </c>
      <c r="X32" s="204">
        <f>VALUE(LEFT(AD32,4))-VALUE(LEFT(AD31,4))</f>
        <v>1</v>
      </c>
      <c r="Y32" s="204">
        <f>RIGHT(D32,LEN(D32)-4)/10000</f>
        <v>23.298300000000001</v>
      </c>
      <c r="Z32" s="204">
        <f>RIGHT(H32,LEN(H32)-4)/10000</f>
        <v>1.43E-2</v>
      </c>
      <c r="AA32" s="204">
        <f>ABS(Z32-Y32)</f>
        <v>23.284000000000002</v>
      </c>
      <c r="AB32" s="54" t="e">
        <f>VLOOKUP(A32,Enforcements!$C$7:$K$11,8,0)</f>
        <v>#N/A</v>
      </c>
      <c r="AC32" s="51" t="e">
        <f>VLOOKUP(A32,Enforcements!$C$7:$E$11,3,0)</f>
        <v>#N/A</v>
      </c>
      <c r="AD32" s="179">
        <f>VALUE(LEFT(A32,LEN(A32)-3))</f>
        <v>120</v>
      </c>
      <c r="AE32" s="77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s3://rtdc.mdm.uploadarchive.raw/RTDC4017/ "%USERPROFILE%\AppData\Local\Temp\OnboardLogs"\RTDC4017\2017-10-23 --exclude "*" --recursive --include "*20171023*" &amp; "%USERPROFILE%\Documents\GitHub\mrs-test-scripts\Headless Mode &amp; Sideloading\WalkAndUnGZ.bat" "%USERPROFILE%\AppData\Local\Temp\OnboardLogs"\RTDC4017\2017-10-23 &amp; aws s3 cp s3://rtdc.mdm.uploadarchive.raw/RTDC4017/ "%USERPROFILE%\AppData\Local\Temp\OnboardLogs"\RTDC4017\2017-10-24 --exclude "*" --recursive --include "*20171024*" &amp; "%USERPROFILE%\Documents\GitHub\mrs-test-scripts\Headless Mode &amp; Sideloading\WalkAndUnGZ.bat" "%USERPROFILE%\AppData\Local\Temp\OnboardLogs"\RTDC4017\2017-10-24</v>
      </c>
      <c r="AF32" s="74" t="str">
        <f>astrogrep_path&amp;" /e /r /s /spath="&amp;search_path&amp;" /stypes=""app*"&amp;B32&amp;"*"&amp;TEXT(I32-utc_offset/24,"YYYYMMDD")&amp;"*"" /stext="" "&amp;TEXT(I32-utc_offset/24,"HH")&amp;search_regexp&amp;""""</f>
        <v>"C:\Program Files (x86)\AstroGrep\AstroGrep.exe" /e /r /s /spath="%USERPROFILE%\AppData\Local\Temp\OnboardLogs" /stypes="app*4017*20171023*" /stext=" 13:.+((SYSTEM_STATE.+slice.+state.+changed )|(ment ac)|(multiple cpu faults)|(system.+state.+changed )|(\[timeout)|(PRM\|1\|D)|(kpr)|(kdp)|(train st.+moving)|(\|lc)|(penalty))"</v>
      </c>
      <c r="AG32" s="182" t="str">
        <f>DetSubdiv(A32)</f>
        <v>EC</v>
      </c>
      <c r="AH32" s="78" t="str">
        <f t="shared" si="5"/>
        <v>"%USERPROFILE%\Documents\GitHub\eaglep3\Utilities\RefineRTDCRunTimes.py" --tripid 120-23 --locoid 4017 --swversion DE.1.0.9.0 --startMP 204:232983 --initTime 2017-10-23T06:36:22 --startdatetime 2017-10-23T06:57:49 --delay 44 --endMP 204:143 --enddatetime 2017-10-23T07:46:35 --enforcementcount 0 &gt;&gt;%USERPROFILE%\Documents\GitHub\eaglep3-reporting\EC\2017-10-23-refined-times.txt</v>
      </c>
      <c r="AI32" s="96" t="str">
        <f t="shared" si="6"/>
        <v>echo {"issue":{"subject":"","project_id":79,"tracker_id":40,"status_id":1,"priority_id":2,"assigned_to_id":338,"start_date":"2017-10-23","description":"","custom_fields":[{"id":1,"name":"Subdivision","value":"EC"},{"id":4,"name":"Milepost","value":"0.0143"},{"id":17,"name":"Train ID","value":"120-23"},{"id":16,"name":"Locomotive ID","value":"4017"},{"id":130,"name":"Impact","value":""},{"id":150,"name":"Time of Event (Mountain Time)","value":"07:46:35"},{"id":151,"name":"Denver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0"/>
      <c r="AK32" s="47"/>
      <c r="AL32" s="47"/>
      <c r="AM32" s="142" t="str">
        <f t="shared" si="7"/>
        <v>start /low /b %USERPROFILE%\Documents\GitHub\eaglep3\Utilities\DownloadLogsFromS3.py --loco 4017 --day 2017-10-23</v>
      </c>
      <c r="AN32" s="151" t="str">
        <f t="shared" si="8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13:46:35"},{"id":29,"name":"Sharepoint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168" t="str">
        <f t="shared" si="9"/>
        <v>https://d0f6bd738d7f1b3e5a7ca70fe4ff75f0.us-east-1.aws.found.io/app/kibana#/discover/Steve-Slow-Train-Analysis-(2080s-and-2083s)?_g=(refreshInterval:(display:Off,pause:!f,section:0,value:0),time:(from:'2017-10-23T05:36:22-0600',mode:absolute,to:'2017-10-23T08:46:35-0600'))&amp;_a=(columns:!('Message%20ID',Summary),filters:!(),index:'emp_*',interval:auto,query:(query_string:(analyze_wildcard:!t,query:'%22rtdc.l.rtdc.4017%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3">
      <c r="A33" s="32" t="s">
        <v>722</v>
      </c>
      <c r="B33" s="7">
        <v>4016</v>
      </c>
      <c r="C33" s="21" t="s">
        <v>194</v>
      </c>
      <c r="D33" s="21" t="s">
        <v>601</v>
      </c>
      <c r="E33" s="13">
        <v>43031.255532407406</v>
      </c>
      <c r="F33" s="13">
        <v>43031.260578703703</v>
      </c>
      <c r="G33" s="7">
        <v>80</v>
      </c>
      <c r="H33" s="21" t="s">
        <v>901</v>
      </c>
      <c r="I33" s="13">
        <v>43031.287372685183</v>
      </c>
      <c r="J33" s="7">
        <v>0</v>
      </c>
      <c r="K33" s="89" t="str">
        <f>IF(ISEVEN(B33),(B33-1)&amp;"/"&amp;B33,B33&amp;"/"&amp;(B33+1))</f>
        <v>4015/4016</v>
      </c>
      <c r="L33" s="185" t="str">
        <f>VLOOKUP(A33,'Trips&amp;Operators'!$C$1:$G$99911,5,FALSE)</f>
        <v>LANGERAK WILLIAM</v>
      </c>
      <c r="M33" s="6">
        <f>I33-F33</f>
        <v>2.679398148029577E-2</v>
      </c>
      <c r="N33" s="7">
        <f>24*60*SUM($M33:$M33)</f>
        <v>38.583333331625909</v>
      </c>
      <c r="O33" s="7"/>
      <c r="P33" s="7"/>
      <c r="Q33" s="22"/>
      <c r="R33" s="174"/>
      <c r="S33" s="221">
        <f>1/IF(AG33="EC",12,1)*SUM(U33:U33)</f>
        <v>1</v>
      </c>
      <c r="T33" s="174" t="str">
        <f>IF(ISEVEN(LEFT(AD33,4)),"Southbound","NorthBound")</f>
        <v>NorthBound</v>
      </c>
      <c r="U33" s="198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16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2017-10-23T05:07:58-0600',mode:absolute,to:'2017-10-23T07:53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33" s="204" t="str">
        <f>IF(AA33&lt;VLOOKUP(AG33,Variables!$AC$3:$AD$8,2,FALSE),"Y","N")</f>
        <v>N</v>
      </c>
      <c r="X33" s="204">
        <f>VALUE(LEFT(AD33,4))-VALUE(LEFT(AD32,4))</f>
        <v>1</v>
      </c>
      <c r="Y33" s="204">
        <f>RIGHT(D33,LEN(D33)-4)/10000</f>
        <v>4.7800000000000002E-2</v>
      </c>
      <c r="Z33" s="204">
        <f>RIGHT(H33,LEN(H33)-4)/10000</f>
        <v>23.328199999999999</v>
      </c>
      <c r="AA33" s="204">
        <f>ABS(Z33-Y33)</f>
        <v>23.2804</v>
      </c>
      <c r="AB33" s="54" t="e">
        <f>VLOOKUP(A33,Enforcements!$C$7:$K$11,8,0)</f>
        <v>#N/A</v>
      </c>
      <c r="AC33" s="51" t="e">
        <f>VLOOKUP(A33,Enforcements!$C$7:$E$11,3,0)</f>
        <v>#N/A</v>
      </c>
      <c r="AD33" s="179">
        <f>VALUE(LEFT(A33,LEN(A33)-3))</f>
        <v>121</v>
      </c>
      <c r="AE33" s="77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s3://rtdc.mdm.uploadarchive.raw/RTDC4016/ "%USERPROFILE%\AppData\Local\Temp\OnboardLogs"\RTDC4016\2017-10-23 --exclude "*" --recursive --include "*20171023*" &amp; "%USERPROFILE%\Documents\GitHub\mrs-test-scripts\Headless Mode &amp; Sideloading\WalkAndUnGZ.bat" "%USERPROFILE%\AppData\Local\Temp\OnboardLogs"\RTDC4016\2017-10-23 &amp; aws s3 cp s3://rtdc.mdm.uploadarchive.raw/RTDC4016/ "%USERPROFILE%\AppData\Local\Temp\OnboardLogs"\RTDC4016\2017-10-24 --exclude "*" --recursive --include "*20171024*" &amp; "%USERPROFILE%\Documents\GitHub\mrs-test-scripts\Headless Mode &amp; Sideloading\WalkAndUnGZ.bat" "%USERPROFILE%\AppData\Local\Temp\OnboardLogs"\RTDC4016\2017-10-24</v>
      </c>
      <c r="AF33" s="74" t="str">
        <f>astrogrep_path&amp;" /e /r /s /spath="&amp;search_path&amp;" /stypes=""app*"&amp;B33&amp;"*"&amp;TEXT(I33-utc_offset/24,"YYYYMMDD")&amp;"*"" /stext="" "&amp;TEXT(I33-utc_offset/24,"HH")&amp;search_regexp&amp;""""</f>
        <v>"C:\Program Files (x86)\AstroGrep\AstroGrep.exe" /e /r /s /spath="%USERPROFILE%\AppData\Local\Temp\OnboardLogs" /stypes="app*4016*20171023*" /stext=" 12:.+((SYSTEM_STATE.+slice.+state.+changed )|(ment ac)|(multiple cpu faults)|(system.+state.+changed )|(\[timeout)|(PRM\|1\|D)|(kpr)|(kdp)|(train st.+moving)|(\|lc)|(penalty))"</v>
      </c>
      <c r="AG33" s="182" t="str">
        <f>DetSubdiv(A33)</f>
        <v>EC</v>
      </c>
      <c r="AH33" s="78" t="str">
        <f t="shared" si="5"/>
        <v>"%USERPROFILE%\Documents\GitHub\eaglep3\Utilities\RefineRTDCRunTimes.py" --tripid 121-23 --locoid 4016 --swversion DE.1.0.9.0 --startMP 204:478 --initTime 2017-10-23T06:07:58 --startdatetime 2017-10-23T06:15:14 --delay 80 --endMP 204:233282 --enddatetime 2017-10-23T06:53:49 --enforcementcount 0 &gt;&gt;%USERPROFILE%\Documents\GitHub\eaglep3-reporting\EC\2017-10-23-refined-times.txt</v>
      </c>
      <c r="AI33" s="96" t="str">
        <f t="shared" si="6"/>
        <v>echo {"issue":{"subject":"","project_id":79,"tracker_id":40,"status_id":1,"priority_id":2,"assigned_to_id":338,"start_date":"2017-10-23","description":"","custom_fields":[{"id":1,"name":"Subdivision","value":"EC"},{"id":4,"name":"Milepost","value":"23.3282"},{"id":17,"name":"Train ID","value":"121-23"},{"id":16,"name":"Locomotive ID","value":"4016"},{"id":130,"name":"Impact","value":""},{"id":150,"name":"Time of Event (Mountain Time)","value":"06:53:49"},{"id":151,"name":"Denver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0"/>
      <c r="AK33" s="47"/>
      <c r="AL33" s="47"/>
      <c r="AM33" s="142" t="str">
        <f t="shared" si="7"/>
        <v>start /low /b %USERPROFILE%\Documents\GitHub\eaglep3\Utilities\DownloadLogsFromS3.py --loco 4016 --day 2017-10-23</v>
      </c>
      <c r="AN33" s="151" t="str">
        <f t="shared" si="8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12:53:49"},{"id":29,"name":"Sharepoint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168" t="str">
        <f t="shared" si="9"/>
        <v>https://d0f6bd738d7f1b3e5a7ca70fe4ff75f0.us-east-1.aws.found.io/app/kibana#/discover/Steve-Slow-Train-Analysis-(2080s-and-2083s)?_g=(refreshInterval:(display:Off,pause:!f,section:0,value:0),time:(from:'2017-10-23T05:07:58-0600',mode:absolute,to:'2017-10-23T07:53:49-0600'))&amp;_a=(columns:!('Message%20ID',Summary),filters:!(),index:'emp_*',interval:auto,query:(query_string:(analyze_wildcard:!t,query:'%22rtdc.l.rtdc.4016%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3">
      <c r="A34" s="32" t="s">
        <v>647</v>
      </c>
      <c r="B34" s="7">
        <v>4015</v>
      </c>
      <c r="C34" s="21" t="s">
        <v>194</v>
      </c>
      <c r="D34" s="21" t="s">
        <v>907</v>
      </c>
      <c r="E34" s="13">
        <v>43031.294004629628</v>
      </c>
      <c r="F34" s="13">
        <v>43031.300532407404</v>
      </c>
      <c r="G34" s="7">
        <v>150</v>
      </c>
      <c r="H34" s="21" t="s">
        <v>604</v>
      </c>
      <c r="I34" s="13">
        <v>43031.334999999999</v>
      </c>
      <c r="J34" s="7">
        <v>0</v>
      </c>
      <c r="K34" s="89" t="str">
        <f>IF(ISEVEN(B34),(B34-1)&amp;"/"&amp;B34,B34&amp;"/"&amp;(B34+1))</f>
        <v>4015/4016</v>
      </c>
      <c r="L34" s="185" t="str">
        <f>VLOOKUP(A34,'Trips&amp;Operators'!$C$1:$G$99911,5,FALSE)</f>
        <v>LANGERAK WILLIAM</v>
      </c>
      <c r="M34" s="6">
        <f>I34-F34</f>
        <v>3.4467592595319729E-2</v>
      </c>
      <c r="N34" s="7">
        <f>24*60*SUM($M34:$M34)</f>
        <v>49.63333333726041</v>
      </c>
      <c r="O34" s="7"/>
      <c r="P34" s="7"/>
      <c r="Q34" s="22"/>
      <c r="R34" s="174"/>
      <c r="S34" s="221">
        <f>1/IF(AG34="EC",12,1)*SUM(U34:U34)</f>
        <v>1</v>
      </c>
      <c r="T34" s="174" t="str">
        <f>IF(ISEVEN(LEFT(AD34,4)),"Southbound","NorthBound")</f>
        <v>Southbound</v>
      </c>
      <c r="U34" s="198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16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2017-10-23T06:03:22-0600',mode:absolute,to:'2017-10-23T09:02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34" s="204" t="str">
        <f>IF(AA34&lt;VLOOKUP(AG34,Variables!$AC$3:$AD$8,2,FALSE),"Y","N")</f>
        <v>N</v>
      </c>
      <c r="X34" s="204">
        <f>VALUE(LEFT(AD34,4))-VALUE(LEFT(AD33,4))</f>
        <v>1</v>
      </c>
      <c r="Y34" s="204">
        <f>RIGHT(D34,LEN(D34)-4)/10000</f>
        <v>23.296700000000001</v>
      </c>
      <c r="Z34" s="204">
        <f>RIGHT(H34,LEN(H34)-4)/10000</f>
        <v>1.6899999999999998E-2</v>
      </c>
      <c r="AA34" s="204">
        <f>ABS(Z34-Y34)</f>
        <v>23.279800000000002</v>
      </c>
      <c r="AB34" s="54" t="e">
        <f>VLOOKUP(A34,Enforcements!$C$7:$K$11,8,0)</f>
        <v>#N/A</v>
      </c>
      <c r="AC34" s="51" t="e">
        <f>VLOOKUP(A34,Enforcements!$C$7:$E$11,3,0)</f>
        <v>#N/A</v>
      </c>
      <c r="AD34" s="179">
        <f>VALUE(LEFT(A34,LEN(A34)-3))</f>
        <v>122</v>
      </c>
      <c r="AE34" s="77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s3://rtdc.mdm.uploadarchive.raw/RTDC4015/ "%USERPROFILE%\AppData\Local\Temp\OnboardLogs"\RTDC4015\2017-10-23 --exclude "*" --recursive --include "*20171023*" &amp; "%USERPROFILE%\Documents\GitHub\mrs-test-scripts\Headless Mode &amp; Sideloading\WalkAndUnGZ.bat" "%USERPROFILE%\AppData\Local\Temp\OnboardLogs"\RTDC4015\2017-10-23 &amp; aws s3 cp s3://rtdc.mdm.uploadarchive.raw/RTDC4015/ "%USERPROFILE%\AppData\Local\Temp\OnboardLogs"\RTDC4015\2017-10-24 --exclude "*" --recursive --include "*20171024*" &amp; "%USERPROFILE%\Documents\GitHub\mrs-test-scripts\Headless Mode &amp; Sideloading\WalkAndUnGZ.bat" "%USERPROFILE%\AppData\Local\Temp\OnboardLogs"\RTDC4015\2017-10-24</v>
      </c>
      <c r="AF34" s="74" t="str">
        <f>astrogrep_path&amp;" /e /r /s /spath="&amp;search_path&amp;" /stypes=""app*"&amp;B34&amp;"*"&amp;TEXT(I34-utc_offset/24,"YYYYMMDD")&amp;"*"" /stext="" "&amp;TEXT(I34-utc_offset/24,"HH")&amp;search_regexp&amp;""""</f>
        <v>"C:\Program Files (x86)\AstroGrep\AstroGrep.exe" /e /r /s /spath="%USERPROFILE%\AppData\Local\Temp\OnboardLogs" /stypes="app*4015*20171023*" /stext=" 14:.+((SYSTEM_STATE.+slice.+state.+changed )|(ment ac)|(multiple cpu faults)|(system.+state.+changed )|(\[timeout)|(PRM\|1\|D)|(kpr)|(kdp)|(train st.+moving)|(\|lc)|(penalty))"</v>
      </c>
      <c r="AG34" s="182" t="str">
        <f>DetSubdiv(A34)</f>
        <v>EC</v>
      </c>
      <c r="AH34" s="78" t="str">
        <f t="shared" si="5"/>
        <v>"%USERPROFILE%\Documents\GitHub\eaglep3\Utilities\RefineRTDCRunTimes.py" --tripid 122-23 --locoid 4015 --swversion DE.1.0.9.0 --startMP 204:232967 --initTime 2017-10-23T07:03:22 --startdatetime 2017-10-23T07:12:46 --delay 150 --endMP 204:169 --enddatetime 2017-10-23T08:02:24 --enforcementcount 0 &gt;&gt;%USERPROFILE%\Documents\GitHub\eaglep3-reporting\EC\2017-10-23-refined-times.txt</v>
      </c>
      <c r="AI34" s="96" t="str">
        <f t="shared" si="6"/>
        <v>echo {"issue":{"subject":"","project_id":79,"tracker_id":40,"status_id":1,"priority_id":2,"assigned_to_id":338,"start_date":"2017-10-23","description":"","custom_fields":[{"id":1,"name":"Subdivision","value":"EC"},{"id":4,"name":"Milepost","value":"0.0169"},{"id":17,"name":"Train ID","value":"122-23"},{"id":16,"name":"Locomotive ID","value":"4015"},{"id":130,"name":"Impact","value":""},{"id":150,"name":"Time of Event (Mountain Time)","value":"08:02:24"},{"id":151,"name":"Denver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0"/>
      <c r="AK34" s="47"/>
      <c r="AL34" s="47"/>
      <c r="AM34" s="142" t="str">
        <f t="shared" si="7"/>
        <v>start /low /b %USERPROFILE%\Documents\GitHub\eaglep3\Utilities\DownloadLogsFromS3.py --loco 4015 --day 2017-10-23</v>
      </c>
      <c r="AN34" s="151" t="str">
        <f t="shared" si="8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14:02:24"},{"id":29,"name":"Sharepoint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168" t="str">
        <f t="shared" si="9"/>
        <v>https://d0f6bd738d7f1b3e5a7ca70fe4ff75f0.us-east-1.aws.found.io/app/kibana#/discover/Steve-Slow-Train-Analysis-(2080s-and-2083s)?_g=(refreshInterval:(display:Off,pause:!f,section:0,value:0),time:(from:'2017-10-23T06:03:22-0600',mode:absolute,to:'2017-10-23T09:02:24-0600'))&amp;_a=(columns:!('Message%20ID',Summary),filters:!(),index:'emp_*',interval:auto,query:(query_string:(analyze_wildcard:!t,query:'%22rtdc.l.rtdc.4015%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3">
      <c r="A35" s="32" t="s">
        <v>725</v>
      </c>
      <c r="B35" s="7">
        <v>4042</v>
      </c>
      <c r="C35" s="21" t="s">
        <v>194</v>
      </c>
      <c r="D35" s="21" t="s">
        <v>908</v>
      </c>
      <c r="E35" s="13">
        <v>43031.268113425926</v>
      </c>
      <c r="F35" s="13">
        <v>43031.271018518521</v>
      </c>
      <c r="G35" s="7">
        <v>49</v>
      </c>
      <c r="H35" s="21" t="s">
        <v>609</v>
      </c>
      <c r="I35" s="13">
        <v>43031.296238425923</v>
      </c>
      <c r="J35" s="7">
        <v>0</v>
      </c>
      <c r="K35" s="89" t="str">
        <f>IF(ISEVEN(B35),(B35-1)&amp;"/"&amp;B35,B35&amp;"/"&amp;(B35+1))</f>
        <v>4041/4042</v>
      </c>
      <c r="L35" s="185" t="str">
        <f>VLOOKUP(A35,'Trips&amp;Operators'!$C$1:$G$99911,5,FALSE)</f>
        <v>MAELZER KURT</v>
      </c>
      <c r="M35" s="6">
        <f>I35-F35</f>
        <v>2.5219907402060926E-2</v>
      </c>
      <c r="N35" s="7">
        <f>24*60*SUM($M35:$M35)</f>
        <v>36.316666658967733</v>
      </c>
      <c r="O35" s="7"/>
      <c r="P35" s="7"/>
      <c r="Q35" s="22"/>
      <c r="R35" s="174"/>
      <c r="S35" s="221">
        <f>1/IF(AG35="EC",12,1)*SUM(U35:U35)</f>
        <v>1</v>
      </c>
      <c r="T35" s="174" t="str">
        <f>IF(ISEVEN(LEFT(AD35,4)),"Southbound","NorthBound")</f>
        <v>NorthBound</v>
      </c>
      <c r="U35" s="198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16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2017-10-23T05:26:05-0600',mode:absolute,to:'2017-10-23T08:06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5" s="204" t="str">
        <f>IF(AA35&lt;VLOOKUP(AG35,Variables!$AC$3:$AD$8,2,FALSE),"Y","N")</f>
        <v>N</v>
      </c>
      <c r="X35" s="204">
        <f>VALUE(LEFT(AD35,4))-VALUE(LEFT(AD34,4))</f>
        <v>1</v>
      </c>
      <c r="Y35" s="204">
        <f>RIGHT(D35,LEN(D35)-4)/10000</f>
        <v>4.3700000000000003E-2</v>
      </c>
      <c r="Z35" s="204">
        <f>RIGHT(H35,LEN(H35)-4)/10000</f>
        <v>23.3325</v>
      </c>
      <c r="AA35" s="204">
        <f>ABS(Z35-Y35)</f>
        <v>23.288799999999998</v>
      </c>
      <c r="AB35" s="54" t="e">
        <f>VLOOKUP(A35,Enforcements!$C$7:$K$11,8,0)</f>
        <v>#N/A</v>
      </c>
      <c r="AC35" s="51" t="e">
        <f>VLOOKUP(A35,Enforcements!$C$7:$E$11,3,0)</f>
        <v>#N/A</v>
      </c>
      <c r="AD35" s="179">
        <f>VALUE(LEFT(A35,LEN(A35)-3))</f>
        <v>123</v>
      </c>
      <c r="AE35" s="77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s3://rtdc.mdm.uploadarchive.raw/RTDC4042/ "%USERPROFILE%\AppData\Local\Temp\OnboardLogs"\RTDC4042\2017-10-23 --exclude "*" --recursive --include "*20171023*" &amp; "%USERPROFILE%\Documents\GitHub\mrs-test-scripts\Headless Mode &amp; Sideloading\WalkAndUnGZ.bat" "%USERPROFILE%\AppData\Local\Temp\OnboardLogs"\RTDC4042\2017-10-23 &amp; aws s3 cp s3://rtdc.mdm.uploadarchive.raw/RTDC4042/ "%USERPROFILE%\AppData\Local\Temp\OnboardLogs"\RTDC4042\2017-10-24 --exclude "*" --recursive --include "*20171024*" &amp; "%USERPROFILE%\Documents\GitHub\mrs-test-scripts\Headless Mode &amp; Sideloading\WalkAndUnGZ.bat" "%USERPROFILE%\AppData\Local\Temp\OnboardLogs"\RTDC4042\2017-10-24</v>
      </c>
      <c r="AF35" s="74" t="str">
        <f>astrogrep_path&amp;" /e /r /s /spath="&amp;search_path&amp;" /stypes=""app*"&amp;B35&amp;"*"&amp;TEXT(I35-utc_offset/24,"YYYYMMDD")&amp;"*"" /stext="" "&amp;TEXT(I35-utc_offset/24,"HH")&amp;search_regexp&amp;""""</f>
        <v>"C:\Program Files (x86)\AstroGrep\AstroGrep.exe" /e /r /s /spath="%USERPROFILE%\AppData\Local\Temp\OnboardLogs" /stypes="app*4042*20171023*" /stext=" 13:.+((SYSTEM_STATE.+slice.+state.+changed )|(ment ac)|(multiple cpu faults)|(system.+state.+changed )|(\[timeout)|(PRM\|1\|D)|(kpr)|(kdp)|(train st.+moving)|(\|lc)|(penalty))"</v>
      </c>
      <c r="AG35" s="182" t="str">
        <f>DetSubdiv(A35)</f>
        <v>EC</v>
      </c>
      <c r="AH35" s="78" t="str">
        <f t="shared" si="5"/>
        <v>"%USERPROFILE%\Documents\GitHub\eaglep3\Utilities\RefineRTDCRunTimes.py" --tripid 123-23 --locoid 4042 --swversion DE.1.0.9.0 --startMP 204:437 --initTime 2017-10-23T06:26:05 --startdatetime 2017-10-23T06:30:16 --delay 49 --endMP 204:233325 --enddatetime 2017-10-23T07:06:35 --enforcementcount 0 &gt;&gt;%USERPROFILE%\Documents\GitHub\eaglep3-reporting\EC\2017-10-23-refined-times.txt</v>
      </c>
      <c r="AI35" s="96" t="str">
        <f t="shared" si="6"/>
        <v>echo {"issue":{"subject":"","project_id":79,"tracker_id":40,"status_id":1,"priority_id":2,"assigned_to_id":338,"start_date":"2017-10-23","description":"","custom_fields":[{"id":1,"name":"Subdivision","value":"EC"},{"id":4,"name":"Milepost","value":"23.3325"},{"id":17,"name":"Train ID","value":"123-23"},{"id":16,"name":"Locomotive ID","value":"4042"},{"id":130,"name":"Impact","value":""},{"id":150,"name":"Time of Event (Mountain Time)","value":"07:06:35"},{"id":151,"name":"Denver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0"/>
      <c r="AK35" s="47"/>
      <c r="AL35" s="47"/>
      <c r="AM35" s="142" t="str">
        <f t="shared" si="7"/>
        <v>start /low /b %USERPROFILE%\Documents\GitHub\eaglep3\Utilities\DownloadLogsFromS3.py --loco 4042 --day 2017-10-23</v>
      </c>
      <c r="AN35" s="151" t="str">
        <f t="shared" si="8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13:06:35"},{"id":29,"name":"Sharepoint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168" t="str">
        <f t="shared" si="9"/>
        <v>https://d0f6bd738d7f1b3e5a7ca70fe4ff75f0.us-east-1.aws.found.io/app/kibana#/discover/Steve-Slow-Train-Analysis-(2080s-and-2083s)?_g=(refreshInterval:(display:Off,pause:!f,section:0,value:0),time:(from:'2017-10-23T05:26:05-0600',mode:absolute,to:'2017-10-23T08:06:35-0600'))&amp;_a=(columns:!('Message%20ID',Summary),filters:!(),index:'emp_*',interval:auto,query:(query_string:(analyze_wildcard:!t,query:'%22rtdc.l.rtdc.4042%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3">
      <c r="A36" s="32" t="s">
        <v>735</v>
      </c>
      <c r="B36" s="7">
        <v>4041</v>
      </c>
      <c r="C36" s="21" t="s">
        <v>194</v>
      </c>
      <c r="D36" s="21" t="s">
        <v>400</v>
      </c>
      <c r="E36" s="13">
        <v>43031.304085648146</v>
      </c>
      <c r="F36" s="13">
        <v>43031.310752314814</v>
      </c>
      <c r="G36" s="7">
        <v>57</v>
      </c>
      <c r="H36" s="21" t="s">
        <v>451</v>
      </c>
      <c r="I36" s="13">
        <v>43031.34134259259</v>
      </c>
      <c r="J36" s="7">
        <v>0</v>
      </c>
      <c r="K36" s="89" t="str">
        <f>IF(ISEVEN(B36),(B36-1)&amp;"/"&amp;B36,B36&amp;"/"&amp;(B36+1))</f>
        <v>4041/4042</v>
      </c>
      <c r="L36" s="185" t="str">
        <f>VLOOKUP(A36,'Trips&amp;Operators'!$C$1:$G$99911,5,FALSE)</f>
        <v>MAELZER KURT</v>
      </c>
      <c r="M36" s="6">
        <f>I36-F36</f>
        <v>3.0590277776354924E-2</v>
      </c>
      <c r="N36" s="7">
        <f>24*60*SUM($M36:$M36)</f>
        <v>44.04999999795109</v>
      </c>
      <c r="O36" s="7"/>
      <c r="P36" s="7"/>
      <c r="Q36" s="22"/>
      <c r="R36" s="174"/>
      <c r="S36" s="221">
        <f>1/IF(AG36="EC",12,1)*SUM(U36:U36)</f>
        <v>1</v>
      </c>
      <c r="T36" s="174" t="str">
        <f>IF(ISEVEN(LEFT(AD36,4)),"Southbound","NorthBound")</f>
        <v>Southbound</v>
      </c>
      <c r="U36" s="198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16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2017-10-23T06:17:53-0600',mode:absolute,to:'2017-10-23T09:11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6" s="204" t="str">
        <f>IF(AA36&lt;VLOOKUP(AG36,Variables!$AC$3:$AD$8,2,FALSE),"Y","N")</f>
        <v>N</v>
      </c>
      <c r="X36" s="204">
        <f>VALUE(LEFT(AD36,4))-VALUE(LEFT(AD35,4))</f>
        <v>1</v>
      </c>
      <c r="Y36" s="204">
        <f>RIGHT(D36,LEN(D36)-4)/10000</f>
        <v>23.298500000000001</v>
      </c>
      <c r="Z36" s="204">
        <f>RIGHT(H36,LEN(H36)-4)/10000</f>
        <v>1.34E-2</v>
      </c>
      <c r="AA36" s="204">
        <f>ABS(Z36-Y36)</f>
        <v>23.2851</v>
      </c>
      <c r="AB36" s="54" t="e">
        <f>VLOOKUP(A36,Enforcements!$C$7:$K$11,8,0)</f>
        <v>#N/A</v>
      </c>
      <c r="AC36" s="51" t="e">
        <f>VLOOKUP(A36,Enforcements!$C$7:$E$11,3,0)</f>
        <v>#N/A</v>
      </c>
      <c r="AD36" s="179">
        <f>VALUE(LEFT(A36,LEN(A36)-3))</f>
        <v>124</v>
      </c>
      <c r="AE36" s="77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s3://rtdc.mdm.uploadarchive.raw/RTDC4041/ "%USERPROFILE%\AppData\Local\Temp\OnboardLogs"\RTDC4041\2017-10-23 --exclude "*" --recursive --include "*20171023*" &amp; "%USERPROFILE%\Documents\GitHub\mrs-test-scripts\Headless Mode &amp; Sideloading\WalkAndUnGZ.bat" "%USERPROFILE%\AppData\Local\Temp\OnboardLogs"\RTDC4041\2017-10-23 &amp; aws s3 cp s3://rtdc.mdm.uploadarchive.raw/RTDC4041/ "%USERPROFILE%\AppData\Local\Temp\OnboardLogs"\RTDC4041\2017-10-24 --exclude "*" --recursive --include "*20171024*" &amp; "%USERPROFILE%\Documents\GitHub\mrs-test-scripts\Headless Mode &amp; Sideloading\WalkAndUnGZ.bat" "%USERPROFILE%\AppData\Local\Temp\OnboardLogs"\RTDC4041\2017-10-24</v>
      </c>
      <c r="AF36" s="74" t="str">
        <f>astrogrep_path&amp;" /e /r /s /spath="&amp;search_path&amp;" /stypes=""app*"&amp;B36&amp;"*"&amp;TEXT(I36-utc_offset/24,"YYYYMMDD")&amp;"*"" /stext="" "&amp;TEXT(I36-utc_offset/24,"HH")&amp;search_regexp&amp;""""</f>
        <v>"C:\Program Files (x86)\AstroGrep\AstroGrep.exe" /e /r /s /spath="%USERPROFILE%\AppData\Local\Temp\OnboardLogs" /stypes="app*4041*20171023*" /stext=" 14:.+((SYSTEM_STATE.+slice.+state.+changed )|(ment ac)|(multiple cpu faults)|(system.+state.+changed )|(\[timeout)|(PRM\|1\|D)|(kpr)|(kdp)|(train st.+moving)|(\|lc)|(penalty))"</v>
      </c>
      <c r="AG36" s="182" t="str">
        <f>DetSubdiv(A36)</f>
        <v>EC</v>
      </c>
      <c r="AH36" s="78" t="str">
        <f t="shared" si="5"/>
        <v>"%USERPROFILE%\Documents\GitHub\eaglep3\Utilities\RefineRTDCRunTimes.py" --tripid 124-23 --locoid 4041 --swversion DE.1.0.9.0 --startMP 204:232985 --initTime 2017-10-23T07:17:53 --startdatetime 2017-10-23T07:27:29 --delay 57 --endMP 204:134 --enddatetime 2017-10-23T08:11:32 --enforcementcount 0 &gt;&gt;%USERPROFILE%\Documents\GitHub\eaglep3-reporting\EC\2017-10-23-refined-times.txt</v>
      </c>
      <c r="AI36" s="96" t="str">
        <f t="shared" si="6"/>
        <v>echo {"issue":{"subject":"","project_id":79,"tracker_id":40,"status_id":1,"priority_id":2,"assigned_to_id":338,"start_date":"2017-10-23","description":"","custom_fields":[{"id":1,"name":"Subdivision","value":"EC"},{"id":4,"name":"Milepost","value":"0.0134"},{"id":17,"name":"Train ID","value":"124-23"},{"id":16,"name":"Locomotive ID","value":"4041"},{"id":130,"name":"Impact","value":""},{"id":150,"name":"Time of Event (Mountain Time)","value":"08:11:32"},{"id":151,"name":"Denver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0"/>
      <c r="AK36" s="47"/>
      <c r="AL36" s="47"/>
      <c r="AM36" s="142" t="str">
        <f t="shared" si="7"/>
        <v>start /low /b %USERPROFILE%\Documents\GitHub\eaglep3\Utilities\DownloadLogsFromS3.py --loco 4041 --day 2017-10-23</v>
      </c>
      <c r="AN36" s="151" t="str">
        <f t="shared" si="8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14:11:32"},{"id":29,"name":"Sharepoint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168" t="str">
        <f t="shared" si="9"/>
        <v>https://d0f6bd738d7f1b3e5a7ca70fe4ff75f0.us-east-1.aws.found.io/app/kibana#/discover/Steve-Slow-Train-Analysis-(2080s-and-2083s)?_g=(refreshInterval:(display:Off,pause:!f,section:0,value:0),time:(from:'2017-10-23T06:17:53-0600',mode:absolute,to:'2017-10-23T09:11:32-0600'))&amp;_a=(columns:!('Message%20ID',Summary),filters:!(),index:'emp_*',interval:auto,query:(query_string:(analyze_wildcard:!t,query:'%22rtdc.l.rtdc.4041%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3">
      <c r="A37" s="32" t="s">
        <v>729</v>
      </c>
      <c r="B37" s="7">
        <v>4034</v>
      </c>
      <c r="C37" s="21" t="s">
        <v>194</v>
      </c>
      <c r="D37" s="21" t="s">
        <v>395</v>
      </c>
      <c r="E37" s="13">
        <v>43031.279050925928</v>
      </c>
      <c r="F37" s="13">
        <v>43031.303564814814</v>
      </c>
      <c r="G37" s="7">
        <v>61</v>
      </c>
      <c r="H37" s="21" t="s">
        <v>909</v>
      </c>
      <c r="I37" s="13">
        <v>43031.3202662037</v>
      </c>
      <c r="J37" s="7">
        <v>0</v>
      </c>
      <c r="K37" s="89" t="str">
        <f>IF(ISEVEN(B37),(B37-1)&amp;"/"&amp;B37,B37&amp;"/"&amp;(B37+1))</f>
        <v>4033/4034</v>
      </c>
      <c r="L37" s="185" t="str">
        <f>VLOOKUP(A37,'Trips&amp;Operators'!$C$1:$G$99911,5,FALSE)</f>
        <v>THOMPSON LESTER</v>
      </c>
      <c r="M37" s="6">
        <f>I37-F37</f>
        <v>1.6701388885849155E-2</v>
      </c>
      <c r="N37" s="7"/>
      <c r="O37" s="7"/>
      <c r="P37" s="7">
        <f>24*60*SUM($M37:$M37)</f>
        <v>24.049999995622784</v>
      </c>
      <c r="Q37" s="22"/>
      <c r="R37" s="174" t="s">
        <v>1079</v>
      </c>
      <c r="S37" s="221">
        <f>1/IF(AG37="EC",12,1)*SUM(U37:U38)</f>
        <v>0.91666666666666663</v>
      </c>
      <c r="T37" s="174" t="str">
        <f>IF(ISEVEN(LEFT(AD37,4)),"Southbound","NorthBound")</f>
        <v>NorthBound</v>
      </c>
      <c r="U37" s="198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8</v>
      </c>
      <c r="V37" s="216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2017-10-23T05:41:50-0600',mode:absolute,to:'2017-10-23T08:41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37" s="204" t="str">
        <f>IF(AA37&lt;VLOOKUP(AG37,Variables!$AC$3:$AD$8,2,FALSE),"Y","N")</f>
        <v>Y</v>
      </c>
      <c r="X37" s="204">
        <f>VALUE(LEFT(AD37,4))-VALUE(LEFT(AD36,4))</f>
        <v>1</v>
      </c>
      <c r="Y37" s="204">
        <f>RIGHT(D37,LEN(D37)-4)/10000</f>
        <v>4.6399999999999997E-2</v>
      </c>
      <c r="Z37" s="204">
        <f>RIGHT(H37,LEN(H37)-4)/10000</f>
        <v>6.1509999999999998</v>
      </c>
      <c r="AA37" s="204">
        <f>ABS(Z37-Y37)</f>
        <v>6.1045999999999996</v>
      </c>
      <c r="AB37" s="54" t="e">
        <f>VLOOKUP(A37,Enforcements!$C$7:$K$11,8,0)</f>
        <v>#N/A</v>
      </c>
      <c r="AC37" s="51" t="e">
        <f>VLOOKUP(A37,Enforcements!$C$7:$E$11,3,0)</f>
        <v>#N/A</v>
      </c>
      <c r="AD37" s="179">
        <f>VALUE(LEFT(A37,LEN(A37)-3))</f>
        <v>125</v>
      </c>
      <c r="AE37" s="77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s3://rtdc.mdm.uploadarchive.raw/RTDC4034/ "%USERPROFILE%\AppData\Local\Temp\OnboardLogs"\RTDC4034\2017-10-23 --exclude "*" --recursive --include "*20171023*" &amp; "%USERPROFILE%\Documents\GitHub\mrs-test-scripts\Headless Mode &amp; Sideloading\WalkAndUnGZ.bat" "%USERPROFILE%\AppData\Local\Temp\OnboardLogs"\RTDC4034\2017-10-23 &amp; aws s3 cp s3://rtdc.mdm.uploadarchive.raw/RTDC4034/ "%USERPROFILE%\AppData\Local\Temp\OnboardLogs"\RTDC4034\2017-10-24 --exclude "*" --recursive --include "*20171024*" &amp; "%USERPROFILE%\Documents\GitHub\mrs-test-scripts\Headless Mode &amp; Sideloading\WalkAndUnGZ.bat" "%USERPROFILE%\AppData\Local\Temp\OnboardLogs"\RTDC4034\2017-10-24</v>
      </c>
      <c r="AF37" s="74" t="str">
        <f>astrogrep_path&amp;" /e /r /s /spath="&amp;search_path&amp;" /stypes=""app*"&amp;B37&amp;"*"&amp;TEXT(I37-utc_offset/24,"YYYYMMDD")&amp;"*"" /stext="" "&amp;TEXT(I37-utc_offset/24,"HH")&amp;search_regexp&amp;""""</f>
        <v>"C:\Program Files (x86)\AstroGrep\AstroGrep.exe" /e /r /s /spath="%USERPROFILE%\AppData\Local\Temp\OnboardLogs" /stypes="app*4034*20171023*" /stext=" 13:.+((SYSTEM_STATE.+slice.+state.+changed )|(ment ac)|(multiple cpu faults)|(system.+state.+changed )|(\[timeout)|(PRM\|1\|D)|(kpr)|(kdp)|(train st.+moving)|(\|lc)|(penalty))"</v>
      </c>
      <c r="AG37" s="182" t="str">
        <f>DetSubdiv(A37)</f>
        <v>EC</v>
      </c>
      <c r="AH37" s="78" t="str">
        <f t="shared" si="5"/>
        <v>"%USERPROFILE%\Documents\GitHub\eaglep3\Utilities\RefineRTDCRunTimes.py" --tripid 125-23 --locoid 4034 --swversion DE.1.0.9.0 --startMP 204:464 --initTime 2017-10-23T06:41:50 --startdatetime 2017-10-23T07:17:08 --delay 61 --endMP 204:61510 --enddatetime 2017-10-23T07:41:11 --enforcementcount 0 &gt;&gt;%USERPROFILE%\Documents\GitHub\eaglep3-reporting\EC\2017-10-23-refined-times.txt</v>
      </c>
      <c r="AI37" s="96" t="str">
        <f t="shared" si="6"/>
        <v>echo {"issue":{"subject":"Onboard en route failure","project_id":79,"tracker_id":40,"status_id":1,"priority_id":2,"assigned_to_id":338,"start_date":"2017-10-23","description":"","custom_fields":[{"id":1,"name":"Subdivision","value":"EC"},{"id":4,"name":"Milepost","value":"6.151"},{"id":17,"name":"Train ID","value":"125-23"},{"id":16,"name":"Locomotive ID","value":"4034"},{"id":130,"name":"Impact","value":""},{"id":150,"name":"Time of Event (Mountain Time)","value":"07:41:11"},{"id":151,"name":"Denver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0"/>
      <c r="AK37" s="47"/>
      <c r="AL37" s="47"/>
      <c r="AM37" s="142" t="str">
        <f t="shared" si="7"/>
        <v>start /low /b %USERPROFILE%\Documents\GitHub\eaglep3\Utilities\DownloadLogsFromS3.py --loco 4034 --day 2017-10-23</v>
      </c>
      <c r="AN37" s="151" t="str">
        <f t="shared" si="8"/>
        <v>echo {"issue":{"subject":"Onboard en route failure","project_id":30,"tracker_id":4,"status_id":1,"priority_id":1,"assigned_to_id":10,"start_date":"2017-10-23","description":"","custom_fields":[{"id":30,"name":"Category","value":"Issue"},{"id":3,"name":"Functional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13:41:11"},{"id":29,"name":"Sharepoint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168" t="str">
        <f t="shared" si="9"/>
        <v>https://d0f6bd738d7f1b3e5a7ca70fe4ff75f0.us-east-1.aws.found.io/app/kibana#/discover/Steve-Slow-Train-Analysis-(2080s-and-2083s)?_g=(refreshInterval:(display:Off,pause:!f,section:0,value:0),time:(from:'2017-10-23T05:41:50-0600',mode:absolute,to:'2017-10-23T08:41:11-0600'))&amp;_a=(columns:!('Message%20ID',Summary),filters:!(),index:'emp_*',interval:auto,query:(query_string:(analyze_wildcard:!t,query:'%22rtdc.l.rtdc.4034%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3">
      <c r="A38" s="32" t="s">
        <v>729</v>
      </c>
      <c r="B38" s="7">
        <v>4034</v>
      </c>
      <c r="C38" s="21" t="s">
        <v>194</v>
      </c>
      <c r="D38" s="21" t="s">
        <v>910</v>
      </c>
      <c r="E38" s="13">
        <v>43031.300740740742</v>
      </c>
      <c r="F38" s="13">
        <v>43031.303564814814</v>
      </c>
      <c r="G38" s="7">
        <v>41</v>
      </c>
      <c r="H38" s="21" t="s">
        <v>612</v>
      </c>
      <c r="I38" s="13">
        <v>43031.3202662037</v>
      </c>
      <c r="J38" s="7">
        <v>0</v>
      </c>
      <c r="K38" s="89" t="str">
        <f>IF(ISEVEN(B38),(B38-1)&amp;"/"&amp;B38,B38&amp;"/"&amp;(B38+1))</f>
        <v>4033/4034</v>
      </c>
      <c r="L38" s="185" t="str">
        <f>VLOOKUP(A38,'Trips&amp;Operators'!$C$1:$G$99911,5,FALSE)</f>
        <v>THOMPSON LESTER</v>
      </c>
      <c r="M38" s="6">
        <f>I38-F38</f>
        <v>1.6701388885849155E-2</v>
      </c>
      <c r="N38" s="7"/>
      <c r="O38" s="7"/>
      <c r="P38" s="7"/>
      <c r="Q38" s="22"/>
      <c r="R38" s="174"/>
      <c r="S38" s="221"/>
      <c r="T38" s="174" t="str">
        <f>IF(ISEVEN(LEFT(AD38,4)),"Southbound","NorthBound")</f>
        <v>NorthBound</v>
      </c>
      <c r="U38" s="198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3</v>
      </c>
      <c r="V38" s="216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2017-10-23T06:13:04-0600',mode:absolute,to:'2017-10-23T08:41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38" s="204" t="str">
        <f>IF(AA38&lt;VLOOKUP(AG38,Variables!$AC$3:$AD$8,2,FALSE),"Y","N")</f>
        <v>Y</v>
      </c>
      <c r="X38" s="204">
        <f>VALUE(LEFT(AD38,4))-VALUE(LEFT(AD37,4))</f>
        <v>0</v>
      </c>
      <c r="Y38" s="204">
        <f>RIGHT(D38,LEN(D38)-4)/10000</f>
        <v>6.4668999999999999</v>
      </c>
      <c r="Z38" s="204">
        <f>RIGHT(H38,LEN(H38)-4)/10000</f>
        <v>23.328900000000001</v>
      </c>
      <c r="AA38" s="204">
        <f>ABS(Z38-Y38)</f>
        <v>16.862000000000002</v>
      </c>
      <c r="AB38" s="54" t="e">
        <f>VLOOKUP(A38,Enforcements!$C$7:$K$11,8,0)</f>
        <v>#N/A</v>
      </c>
      <c r="AC38" s="51" t="e">
        <f>VLOOKUP(A38,Enforcements!$C$7:$E$11,3,0)</f>
        <v>#N/A</v>
      </c>
      <c r="AD38" s="179">
        <f>VALUE(LEFT(A38,LEN(A38)-3))</f>
        <v>125</v>
      </c>
      <c r="AE38" s="77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s3://rtdc.mdm.uploadarchive.raw/RTDC4034/ "%USERPROFILE%\AppData\Local\Temp\OnboardLogs"\RTDC4034\2017-10-23 --exclude "*" --recursive --include "*20171023*" &amp; "%USERPROFILE%\Documents\GitHub\mrs-test-scripts\Headless Mode &amp; Sideloading\WalkAndUnGZ.bat" "%USERPROFILE%\AppData\Local\Temp\OnboardLogs"\RTDC4034\2017-10-23 &amp; aws s3 cp s3://rtdc.mdm.uploadarchive.raw/RTDC4034/ "%USERPROFILE%\AppData\Local\Temp\OnboardLogs"\RTDC4034\2017-10-24 --exclude "*" --recursive --include "*20171024*" &amp; "%USERPROFILE%\Documents\GitHub\mrs-test-scripts\Headless Mode &amp; Sideloading\WalkAndUnGZ.bat" "%USERPROFILE%\AppData\Local\Temp\OnboardLogs"\RTDC4034\2017-10-24</v>
      </c>
      <c r="AF38" s="74" t="str">
        <f>astrogrep_path&amp;" /e /r /s /spath="&amp;search_path&amp;" /stypes=""app*"&amp;B38&amp;"*"&amp;TEXT(I38-utc_offset/24,"YYYYMMDD")&amp;"*"" /stext="" "&amp;TEXT(I38-utc_offset/24,"HH")&amp;search_regexp&amp;""""</f>
        <v>"C:\Program Files (x86)\AstroGrep\AstroGrep.exe" /e /r /s /spath="%USERPROFILE%\AppData\Local\Temp\OnboardLogs" /stypes="app*4034*20171023*" /stext=" 13:.+((SYSTEM_STATE.+slice.+state.+changed )|(ment ac)|(multiple cpu faults)|(system.+state.+changed )|(\[timeout)|(PRM\|1\|D)|(kpr)|(kdp)|(train st.+moving)|(\|lc)|(penalty))"</v>
      </c>
      <c r="AG38" s="182" t="str">
        <f>DetSubdiv(A38)</f>
        <v>EC</v>
      </c>
      <c r="AH38" s="78" t="str">
        <f t="shared" si="5"/>
        <v>"%USERPROFILE%\Documents\GitHub\eaglep3\Utilities\RefineRTDCRunTimes.py" --tripid 125-23 --locoid 4034 --swversion DE.1.0.9.0 --startMP 204:64669 --initTime 2017-10-23T07:13:04 --startdatetime 2017-10-23T07:17:08 --delay 41 --endMP 204:233289 --enddatetime 2017-10-23T07:41:11 --enforcementcount 0 &gt;&gt;%USERPROFILE%\Documents\GitHub\eaglep3-reporting\EC\2017-10-23-refined-times.txt</v>
      </c>
      <c r="AI38" s="96" t="str">
        <f t="shared" si="6"/>
        <v>echo {"issue":{"subject":"","project_id":79,"tracker_id":40,"status_id":1,"priority_id":2,"assigned_to_id":338,"start_date":"2017-10-23","description":"","custom_fields":[{"id":1,"name":"Subdivision","value":"EC"},{"id":4,"name":"Milepost","value":"23.3289"},{"id":17,"name":"Train ID","value":"125-23"},{"id":16,"name":"Locomotive ID","value":"4034"},{"id":130,"name":"Impact","value":""},{"id":150,"name":"Time of Event (Mountain Time)","value":"07:41:11"},{"id":151,"name":"Denver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0"/>
      <c r="AK38" s="47"/>
      <c r="AL38" s="47"/>
      <c r="AM38" s="142" t="str">
        <f t="shared" si="7"/>
        <v>start /low /b %USERPROFILE%\Documents\GitHub\eaglep3\Utilities\DownloadLogsFromS3.py --loco 4034 --day 2017-10-23</v>
      </c>
      <c r="AN38" s="151" t="str">
        <f t="shared" si="8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13:41:11"},{"id":29,"name":"Sharepoint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168" t="str">
        <f t="shared" si="9"/>
        <v>https://d0f6bd738d7f1b3e5a7ca70fe4ff75f0.us-east-1.aws.found.io/app/kibana#/discover/Steve-Slow-Train-Analysis-(2080s-and-2083s)?_g=(refreshInterval:(display:Off,pause:!f,section:0,value:0),time:(from:'2017-10-23T06:13:04-0600',mode:absolute,to:'2017-10-23T08:41:11-0600'))&amp;_a=(columns:!('Message%20ID',Summary),filters:!(),index:'emp_*',interval:auto,query:(query_string:(analyze_wildcard:!t,query:'%22rtdc.l.rtdc.4034%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3">
      <c r="A39" s="32" t="s">
        <v>650</v>
      </c>
      <c r="B39" s="7">
        <v>4033</v>
      </c>
      <c r="C39" s="21" t="s">
        <v>194</v>
      </c>
      <c r="D39" s="21" t="s">
        <v>899</v>
      </c>
      <c r="E39" s="13">
        <v>43031.324155092596</v>
      </c>
      <c r="F39" s="13">
        <v>43031.326354166667</v>
      </c>
      <c r="G39" s="7">
        <v>74</v>
      </c>
      <c r="H39" s="21" t="s">
        <v>911</v>
      </c>
      <c r="I39" s="13">
        <v>43031.361516203702</v>
      </c>
      <c r="J39" s="7">
        <v>0</v>
      </c>
      <c r="K39" s="89" t="str">
        <f>IF(ISEVEN(B39),(B39-1)&amp;"/"&amp;B39,B39&amp;"/"&amp;(B39+1))</f>
        <v>4033/4034</v>
      </c>
      <c r="L39" s="185" t="str">
        <f>VLOOKUP(A39,'Trips&amp;Operators'!$C$1:$G$99911,5,FALSE)</f>
        <v>THOMPSON LESTER</v>
      </c>
      <c r="M39" s="6">
        <f>I39-F39</f>
        <v>3.5162037034751847E-2</v>
      </c>
      <c r="N39" s="7">
        <f>24*60*SUM($M39:$M39)</f>
        <v>50.63333333004266</v>
      </c>
      <c r="O39" s="7"/>
      <c r="P39" s="7"/>
      <c r="Q39" s="22"/>
      <c r="R39" s="174" t="s">
        <v>1080</v>
      </c>
      <c r="S39" s="221">
        <f>1/IF(AG39="EC",12,1)*SUM(U39:U39)</f>
        <v>1</v>
      </c>
      <c r="T39" s="174" t="str">
        <f>IF(ISEVEN(LEFT(AD39,4)),"Southbound","NorthBound")</f>
        <v>Southbound</v>
      </c>
      <c r="U39" s="198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16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2017-10-23T06:46:47-0600',mode:absolute,to:'2017-10-23T09:40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39" s="204" t="str">
        <f>IF(AA39&lt;VLOOKUP(AG39,Variables!$AC$3:$AD$8,2,FALSE),"Y","N")</f>
        <v>N</v>
      </c>
      <c r="X39" s="204">
        <f>VALUE(LEFT(AD39,4))-VALUE(LEFT(AD38,4))</f>
        <v>1</v>
      </c>
      <c r="Y39" s="204">
        <f>RIGHT(D39,LEN(D39)-4)/10000</f>
        <v>23.2971</v>
      </c>
      <c r="Z39" s="204">
        <f>RIGHT(H39,LEN(H39)-4)/10000</f>
        <v>9.3899999999999997E-2</v>
      </c>
      <c r="AA39" s="204">
        <f>ABS(Z39-Y39)</f>
        <v>23.203199999999999</v>
      </c>
      <c r="AB39" s="54" t="e">
        <f>VLOOKUP(A39,Enforcements!$C$7:$K$11,8,0)</f>
        <v>#N/A</v>
      </c>
      <c r="AC39" s="51" t="e">
        <f>VLOOKUP(A39,Enforcements!$C$7:$E$11,3,0)</f>
        <v>#N/A</v>
      </c>
      <c r="AD39" s="179">
        <f>VALUE(LEFT(A39,LEN(A39)-3))</f>
        <v>126</v>
      </c>
      <c r="AE39" s="77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s3://rtdc.mdm.uploadarchive.raw/RTDC4033/ "%USERPROFILE%\AppData\Local\Temp\OnboardLogs"\RTDC4033\2017-10-23 --exclude "*" --recursive --include "*20171023*" &amp; "%USERPROFILE%\Documents\GitHub\mrs-test-scripts\Headless Mode &amp; Sideloading\WalkAndUnGZ.bat" "%USERPROFILE%\AppData\Local\Temp\OnboardLogs"\RTDC4033\2017-10-23 &amp; aws s3 cp s3://rtdc.mdm.uploadarchive.raw/RTDC4033/ "%USERPROFILE%\AppData\Local\Temp\OnboardLogs"\RTDC4033\2017-10-24 --exclude "*" --recursive --include "*20171024*" &amp; "%USERPROFILE%\Documents\GitHub\mrs-test-scripts\Headless Mode &amp; Sideloading\WalkAndUnGZ.bat" "%USERPROFILE%\AppData\Local\Temp\OnboardLogs"\RTDC4033\2017-10-24</v>
      </c>
      <c r="AF39" s="74" t="str">
        <f>astrogrep_path&amp;" /e /r /s /spath="&amp;search_path&amp;" /stypes=""app*"&amp;B39&amp;"*"&amp;TEXT(I39-utc_offset/24,"YYYYMMDD")&amp;"*"" /stext="" "&amp;TEXT(I39-utc_offset/24,"HH")&amp;search_regexp&amp;""""</f>
        <v>"C:\Program Files (x86)\AstroGrep\AstroGrep.exe" /e /r /s /spath="%USERPROFILE%\AppData\Local\Temp\OnboardLogs" /stypes="app*4033*20171023*" /stext=" 14:.+((SYSTEM_STATE.+slice.+state.+changed )|(ment ac)|(multiple cpu faults)|(system.+state.+changed )|(\[timeout)|(PRM\|1\|D)|(kpr)|(kdp)|(train st.+moving)|(\|lc)|(penalty))"</v>
      </c>
      <c r="AG39" s="182" t="str">
        <f>DetSubdiv(A39)</f>
        <v>EC</v>
      </c>
      <c r="AH39" s="78" t="str">
        <f t="shared" si="5"/>
        <v>"%USERPROFILE%\Documents\GitHub\eaglep3\Utilities\RefineRTDCRunTimes.py" --tripid 126-23 --locoid 4033 --swversion DE.1.0.9.0 --startMP 204:232971 --initTime 2017-10-23T07:46:47 --startdatetime 2017-10-23T07:49:57 --delay 74 --endMP 204:939 --enddatetime 2017-10-23T08:40:35 --enforcementcount 0 &gt;&gt;%USERPROFILE%\Documents\GitHub\eaglep3-reporting\EC\2017-10-23-refined-times.txt</v>
      </c>
      <c r="AI39" s="96" t="str">
        <f t="shared" si="6"/>
        <v>echo {"issue":{"subject":"Cascade delay due to crossing gate issue at Ulster (Incident 55851, 55855)","project_id":79,"tracker_id":40,"status_id":1,"priority_id":2,"assigned_to_id":338,"start_date":"2017-10-23","description":"","custom_fields":[{"id":1,"name":"Subdivision","value":"EC"},{"id":4,"name":"Milepost","value":"0.0939"},{"id":17,"name":"Train ID","value":"126-23"},{"id":16,"name":"Locomotive ID","value":"4033"},{"id":130,"name":"Impact","value":""},{"id":150,"name":"Time of Event (Mountain Time)","value":"08:40:35"},{"id":151,"name":"Denver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0"/>
      <c r="AK39" s="47"/>
      <c r="AL39" s="47"/>
      <c r="AM39" s="142" t="str">
        <f t="shared" si="7"/>
        <v>start /low /b %USERPROFILE%\Documents\GitHub\eaglep3\Utilities\DownloadLogsFromS3.py --loco 4033 --day 2017-10-23</v>
      </c>
      <c r="AN39" s="151" t="str">
        <f t="shared" si="8"/>
        <v>echo {"issue":{"subject":"Cascade delay due to crossing gate issue at Ulster (Incident 55851, 55855)","project_id":30,"tracker_id":4,"status_id":1,"priority_id":1,"assigned_to_id":10,"start_date":"2017-10-23","description":"","custom_fields":[{"id":30,"name":"Category","value":"Issue"},{"id":3,"name":"Functional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14:40:35"},{"id":29,"name":"Sharepoint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168" t="str">
        <f t="shared" si="9"/>
        <v>https://d0f6bd738d7f1b3e5a7ca70fe4ff75f0.us-east-1.aws.found.io/app/kibana#/discover/Steve-Slow-Train-Analysis-(2080s-and-2083s)?_g=(refreshInterval:(display:Off,pause:!f,section:0,value:0),time:(from:'2017-10-23T06:46:47-0600',mode:absolute,to:'2017-10-23T09:40:35-0600'))&amp;_a=(columns:!('Message%20ID',Summary),filters:!(),index:'emp_*',interval:auto,query:(query_string:(analyze_wildcard:!t,query:'%22rtdc.l.rtdc.4033%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3">
      <c r="A40" s="32" t="s">
        <v>731</v>
      </c>
      <c r="B40" s="7">
        <v>4064</v>
      </c>
      <c r="C40" s="21" t="s">
        <v>194</v>
      </c>
      <c r="D40" s="21" t="s">
        <v>338</v>
      </c>
      <c r="E40" s="13">
        <v>43031.288472222222</v>
      </c>
      <c r="F40" s="13">
        <v>43031.292280092595</v>
      </c>
      <c r="G40" s="7">
        <v>74</v>
      </c>
      <c r="H40" s="21" t="s">
        <v>912</v>
      </c>
      <c r="I40" s="13">
        <v>43031.331597222219</v>
      </c>
      <c r="J40" s="7">
        <v>0</v>
      </c>
      <c r="K40" s="89" t="str">
        <f>IF(ISEVEN(B40),(B40-1)&amp;"/"&amp;B40,B40&amp;"/"&amp;(B40+1))</f>
        <v>4063/4064</v>
      </c>
      <c r="L40" s="185" t="str">
        <f>VLOOKUP(A40,'Trips&amp;Operators'!$C$1:$G$99911,5,FALSE)</f>
        <v>YANG JAN</v>
      </c>
      <c r="M40" s="6">
        <f>I40-F40</f>
        <v>3.9317129623668734E-2</v>
      </c>
      <c r="N40" s="7">
        <f>24*60*SUM($M40:$M40)</f>
        <v>56.616666658082977</v>
      </c>
      <c r="O40" s="7"/>
      <c r="P40" s="7"/>
      <c r="Q40" s="22"/>
      <c r="R40" s="174" t="s">
        <v>1080</v>
      </c>
      <c r="S40" s="221">
        <f>1/IF(AG40="EC",12,1)*SUM(U40:U40)</f>
        <v>1</v>
      </c>
      <c r="T40" s="174" t="str">
        <f>IF(ISEVEN(LEFT(AD40,4)),"Southbound","NorthBound")</f>
        <v>NorthBound</v>
      </c>
      <c r="U40" s="198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16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2017-10-23T05:55:24-0600',mode:absolute,to:'2017-10-23T08:57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40" s="204" t="str">
        <f>IF(AA40&lt;VLOOKUP(AG40,Variables!$AC$3:$AD$8,2,FALSE),"Y","N")</f>
        <v>N</v>
      </c>
      <c r="X40" s="204">
        <f>VALUE(LEFT(AD40,4))-VALUE(LEFT(AD39,4))</f>
        <v>1</v>
      </c>
      <c r="Y40" s="204">
        <f>RIGHT(D40,LEN(D40)-4)/10000</f>
        <v>4.53E-2</v>
      </c>
      <c r="Z40" s="204">
        <f>RIGHT(H40,LEN(H40)-4)/10000</f>
        <v>23.331499999999998</v>
      </c>
      <c r="AA40" s="204">
        <f>ABS(Z40-Y40)</f>
        <v>23.286199999999997</v>
      </c>
      <c r="AB40" s="54" t="e">
        <f>VLOOKUP(A40,Enforcements!$C$7:$K$11,8,0)</f>
        <v>#N/A</v>
      </c>
      <c r="AC40" s="51" t="e">
        <f>VLOOKUP(A40,Enforcements!$C$7:$E$11,3,0)</f>
        <v>#N/A</v>
      </c>
      <c r="AD40" s="179">
        <f>VALUE(LEFT(A40,LEN(A40)-3))</f>
        <v>127</v>
      </c>
      <c r="AE40" s="77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s3://rtdc.mdm.uploadarchive.raw/RTDC4064/ "%USERPROFILE%\AppData\Local\Temp\OnboardLogs"\RTDC4064\2017-10-23 --exclude "*" --recursive --include "*20171023*" &amp; "%USERPROFILE%\Documents\GitHub\mrs-test-scripts\Headless Mode &amp; Sideloading\WalkAndUnGZ.bat" "%USERPROFILE%\AppData\Local\Temp\OnboardLogs"\RTDC4064\2017-10-23 &amp; aws s3 cp s3://rtdc.mdm.uploadarchive.raw/RTDC4064/ "%USERPROFILE%\AppData\Local\Temp\OnboardLogs"\RTDC4064\2017-10-24 --exclude "*" --recursive --include "*20171024*" &amp; "%USERPROFILE%\Documents\GitHub\mrs-test-scripts\Headless Mode &amp; Sideloading\WalkAndUnGZ.bat" "%USERPROFILE%\AppData\Local\Temp\OnboardLogs"\RTDC4064\2017-10-24</v>
      </c>
      <c r="AF40" s="74" t="str">
        <f>astrogrep_path&amp;" /e /r /s /spath="&amp;search_path&amp;" /stypes=""app*"&amp;B40&amp;"*"&amp;TEXT(I40-utc_offset/24,"YYYYMMDD")&amp;"*"" /stext="" "&amp;TEXT(I40-utc_offset/24,"HH")&amp;search_regexp&amp;""""</f>
        <v>"C:\Program Files (x86)\AstroGrep\AstroGrep.exe" /e /r /s /spath="%USERPROFILE%\AppData\Local\Temp\OnboardLogs" /stypes="app*4064*20171023*" /stext=" 13:.+((SYSTEM_STATE.+slice.+state.+changed )|(ment ac)|(multiple cpu faults)|(system.+state.+changed )|(\[timeout)|(PRM\|1\|D)|(kpr)|(kdp)|(train st.+moving)|(\|lc)|(penalty))"</v>
      </c>
      <c r="AG40" s="182" t="str">
        <f>DetSubdiv(A40)</f>
        <v>EC</v>
      </c>
      <c r="AH40" s="78" t="str">
        <f t="shared" si="5"/>
        <v>"%USERPROFILE%\Documents\GitHub\eaglep3\Utilities\RefineRTDCRunTimes.py" --tripid 127-23 --locoid 4064 --swversion DE.1.0.9.0 --startMP 204:453 --initTime 2017-10-23T06:55:24 --startdatetime 2017-10-23T07:00:53 --delay 74 --endMP 204:233315 --enddatetime 2017-10-23T07:57:30 --enforcementcount 0 &gt;&gt;%USERPROFILE%\Documents\GitHub\eaglep3-reporting\EC\2017-10-23-refined-times.txt</v>
      </c>
      <c r="AI40" s="96" t="str">
        <f t="shared" si="6"/>
        <v>echo {"issue":{"subject":"Cascade delay due to crossing gate issue at Ulster (Incident 55851, 55855)","project_id":79,"tracker_id":40,"status_id":1,"priority_id":2,"assigned_to_id":338,"start_date":"2017-10-23","description":"","custom_fields":[{"id":1,"name":"Subdivision","value":"EC"},{"id":4,"name":"Milepost","value":"23.3315"},{"id":17,"name":"Train ID","value":"127-23"},{"id":16,"name":"Locomotive ID","value":"4064"},{"id":130,"name":"Impact","value":""},{"id":150,"name":"Time of Event (Mountain Time)","value":"07:57:30"},{"id":151,"name":"Denver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0"/>
      <c r="AK40" s="47"/>
      <c r="AL40" s="47"/>
      <c r="AM40" s="142" t="str">
        <f t="shared" si="7"/>
        <v>start /low /b %USERPROFILE%\Documents\GitHub\eaglep3\Utilities\DownloadLogsFromS3.py --loco 4064 --day 2017-10-23</v>
      </c>
      <c r="AN40" s="151" t="str">
        <f t="shared" si="8"/>
        <v>echo {"issue":{"subject":"Cascade delay due to crossing gate issue at Ulster (Incident 55851, 55855)","project_id":30,"tracker_id":4,"status_id":1,"priority_id":1,"assigned_to_id":10,"start_date":"2017-10-23","description":"","custom_fields":[{"id":30,"name":"Category","value":"Issue"},{"id":3,"name":"Functional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13:57:30"},{"id":29,"name":"Sharepoint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168" t="str">
        <f t="shared" si="9"/>
        <v>https://d0f6bd738d7f1b3e5a7ca70fe4ff75f0.us-east-1.aws.found.io/app/kibana#/discover/Steve-Slow-Train-Analysis-(2080s-and-2083s)?_g=(refreshInterval:(display:Off,pause:!f,section:0,value:0),time:(from:'2017-10-23T05:55:24-0600',mode:absolute,to:'2017-10-23T08:57:30-0600'))&amp;_a=(columns:!('Message%20ID',Summary),filters:!(),index:'emp_*',interval:auto,query:(query_string:(analyze_wildcard:!t,query:'%22rtdc.l.rtdc.4064%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3">
      <c r="A41" s="32" t="s">
        <v>743</v>
      </c>
      <c r="B41" s="7">
        <v>4063</v>
      </c>
      <c r="C41" s="21" t="s">
        <v>194</v>
      </c>
      <c r="D41" s="21" t="s">
        <v>400</v>
      </c>
      <c r="E41" s="13">
        <v>43031.334930555553</v>
      </c>
      <c r="F41" s="13">
        <v>43031.337037037039</v>
      </c>
      <c r="G41" s="7">
        <v>85</v>
      </c>
      <c r="H41" s="21" t="s">
        <v>633</v>
      </c>
      <c r="I41" s="13">
        <v>43031.3671412037</v>
      </c>
      <c r="J41" s="7">
        <v>0</v>
      </c>
      <c r="K41" s="89" t="str">
        <f>IF(ISEVEN(B41),(B41-1)&amp;"/"&amp;B41,B41&amp;"/"&amp;(B41+1))</f>
        <v>4063/4064</v>
      </c>
      <c r="L41" s="185" t="str">
        <f>VLOOKUP(A41,'Trips&amp;Operators'!$C$1:$G$99911,5,FALSE)</f>
        <v>YANG JAN</v>
      </c>
      <c r="M41" s="6">
        <f>I41-F41</f>
        <v>3.0104166660748888E-2</v>
      </c>
      <c r="N41" s="7">
        <f>24*60*SUM($M41:$M41)</f>
        <v>43.349999991478398</v>
      </c>
      <c r="O41" s="7"/>
      <c r="P41" s="7"/>
      <c r="Q41" s="22"/>
      <c r="R41" s="174"/>
      <c r="S41" s="221">
        <f>1/IF(AG41="EC",12,1)*SUM(U41:U41)</f>
        <v>1</v>
      </c>
      <c r="T41" s="174" t="str">
        <f>IF(ISEVEN(LEFT(AD41,4)),"Southbound","NorthBound")</f>
        <v>Southbound</v>
      </c>
      <c r="U41" s="198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16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2017-10-23T07:02:18-0600',mode:absolute,to:'2017-10-23T09:48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41" s="204" t="str">
        <f>IF(AA41&lt;VLOOKUP(AG41,Variables!$AC$3:$AD$8,2,FALSE),"Y","N")</f>
        <v>N</v>
      </c>
      <c r="X41" s="204">
        <f>VALUE(LEFT(AD41,4))-VALUE(LEFT(AD40,4))</f>
        <v>1</v>
      </c>
      <c r="Y41" s="204">
        <f>RIGHT(D41,LEN(D41)-4)/10000</f>
        <v>23.298500000000001</v>
      </c>
      <c r="Z41" s="204">
        <f>RIGHT(H41,LEN(H41)-4)/10000</f>
        <v>0.1162</v>
      </c>
      <c r="AA41" s="204">
        <f>ABS(Z41-Y41)</f>
        <v>23.182300000000001</v>
      </c>
      <c r="AB41" s="54" t="e">
        <f>VLOOKUP(A41,Enforcements!$C$7:$K$11,8,0)</f>
        <v>#N/A</v>
      </c>
      <c r="AC41" s="51" t="e">
        <f>VLOOKUP(A41,Enforcements!$C$7:$E$11,3,0)</f>
        <v>#N/A</v>
      </c>
      <c r="AD41" s="179">
        <f>VALUE(LEFT(A41,LEN(A41)-3))</f>
        <v>128</v>
      </c>
      <c r="AE41" s="77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s3://rtdc.mdm.uploadarchive.raw/RTDC4063/ "%USERPROFILE%\AppData\Local\Temp\OnboardLogs"\RTDC4063\2017-10-23 --exclude "*" --recursive --include "*20171023*" &amp; "%USERPROFILE%\Documents\GitHub\mrs-test-scripts\Headless Mode &amp; Sideloading\WalkAndUnGZ.bat" "%USERPROFILE%\AppData\Local\Temp\OnboardLogs"\RTDC4063\2017-10-23 &amp; aws s3 cp s3://rtdc.mdm.uploadarchive.raw/RTDC4063/ "%USERPROFILE%\AppData\Local\Temp\OnboardLogs"\RTDC4063\2017-10-24 --exclude "*" --recursive --include "*20171024*" &amp; "%USERPROFILE%\Documents\GitHub\mrs-test-scripts\Headless Mode &amp; Sideloading\WalkAndUnGZ.bat" "%USERPROFILE%\AppData\Local\Temp\OnboardLogs"\RTDC4063\2017-10-24</v>
      </c>
      <c r="AF41" s="74" t="str">
        <f>astrogrep_path&amp;" /e /r /s /spath="&amp;search_path&amp;" /stypes=""app*"&amp;B41&amp;"*"&amp;TEXT(I41-utc_offset/24,"YYYYMMDD")&amp;"*"" /stext="" "&amp;TEXT(I41-utc_offset/24,"HH")&amp;search_regexp&amp;""""</f>
        <v>"C:\Program Files (x86)\AstroGrep\AstroGrep.exe" /e /r /s /spath="%USERPROFILE%\AppData\Local\Temp\OnboardLogs" /stypes="app*4063*20171023*" /stext=" 14:.+((SYSTEM_STATE.+slice.+state.+changed )|(ment ac)|(multiple cpu faults)|(system.+state.+changed )|(\[timeout)|(PRM\|1\|D)|(kpr)|(kdp)|(train st.+moving)|(\|lc)|(penalty))"</v>
      </c>
      <c r="AG41" s="182" t="str">
        <f>DetSubdiv(A41)</f>
        <v>EC</v>
      </c>
      <c r="AH41" s="78" t="str">
        <f t="shared" si="5"/>
        <v>"%USERPROFILE%\Documents\GitHub\eaglep3\Utilities\RefineRTDCRunTimes.py" --tripid 128-23 --locoid 4063 --swversion DE.1.0.9.0 --startMP 204:232985 --initTime 2017-10-23T08:02:18 --startdatetime 2017-10-23T08:05:20 --delay 85 --endMP 204:1162 --enddatetime 2017-10-23T08:48:41 --enforcementcount 0 &gt;&gt;%USERPROFILE%\Documents\GitHub\eaglep3-reporting\EC\2017-10-23-refined-times.txt</v>
      </c>
      <c r="AI41" s="96" t="str">
        <f t="shared" si="6"/>
        <v>echo {"issue":{"subject":"","project_id":79,"tracker_id":40,"status_id":1,"priority_id":2,"assigned_to_id":338,"start_date":"2017-10-23","description":"","custom_fields":[{"id":1,"name":"Subdivision","value":"EC"},{"id":4,"name":"Milepost","value":"0.1162"},{"id":17,"name":"Train ID","value":"128-23"},{"id":16,"name":"Locomotive ID","value":"4063"},{"id":130,"name":"Impact","value":""},{"id":150,"name":"Time of Event (Mountain Time)","value":"08:48:41"},{"id":151,"name":"Denver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0"/>
      <c r="AK41" s="47"/>
      <c r="AL41" s="47"/>
      <c r="AM41" s="142" t="str">
        <f t="shared" si="7"/>
        <v>start /low /b %USERPROFILE%\Documents\GitHub\eaglep3\Utilities\DownloadLogsFromS3.py --loco 4063 --day 2017-10-23</v>
      </c>
      <c r="AN41" s="151" t="str">
        <f t="shared" si="8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14:48:41"},{"id":29,"name":"Sharepoint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168" t="str">
        <f t="shared" si="9"/>
        <v>https://d0f6bd738d7f1b3e5a7ca70fe4ff75f0.us-east-1.aws.found.io/app/kibana#/discover/Steve-Slow-Train-Analysis-(2080s-and-2083s)?_g=(refreshInterval:(display:Off,pause:!f,section:0,value:0),time:(from:'2017-10-23T07:02:18-0600',mode:absolute,to:'2017-10-23T09:48:41-0600'))&amp;_a=(columns:!('Message%20ID',Summary),filters:!(),index:'emp_*',interval:auto,query:(query_string:(analyze_wildcard:!t,query:'%22rtdc.l.rtdc.4063%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3">
      <c r="A42" s="32" t="s">
        <v>733</v>
      </c>
      <c r="B42" s="7">
        <v>4046</v>
      </c>
      <c r="C42" s="21" t="s">
        <v>194</v>
      </c>
      <c r="D42" s="21" t="s">
        <v>383</v>
      </c>
      <c r="E42" s="13">
        <v>43031.297280092593</v>
      </c>
      <c r="F42" s="13">
        <v>43031.302361111113</v>
      </c>
      <c r="G42" s="7">
        <v>94</v>
      </c>
      <c r="H42" s="21" t="s">
        <v>913</v>
      </c>
      <c r="I42" s="13">
        <v>43031.339733796296</v>
      </c>
      <c r="J42" s="7">
        <v>0</v>
      </c>
      <c r="K42" s="89" t="str">
        <f>IF(ISEVEN(B42),(B42-1)&amp;"/"&amp;B42,B42&amp;"/"&amp;(B42+1))</f>
        <v>4045/4046</v>
      </c>
      <c r="L42" s="185" t="str">
        <f>VLOOKUP(A42,'Trips&amp;Operators'!$C$1:$G$99911,5,FALSE)</f>
        <v>BONDS REYNALDO</v>
      </c>
      <c r="M42" s="6">
        <f>I42-F42</f>
        <v>3.7372685183072463E-2</v>
      </c>
      <c r="N42" s="7">
        <f>24*60*SUM($M42:$M42)</f>
        <v>53.816666663624346</v>
      </c>
      <c r="O42" s="7"/>
      <c r="P42" s="7"/>
      <c r="Q42" s="22"/>
      <c r="R42" s="174" t="s">
        <v>1080</v>
      </c>
      <c r="S42" s="221">
        <f>1/IF(AG42="EC",12,1)*SUM(U42:U42)</f>
        <v>1</v>
      </c>
      <c r="T42" s="174" t="str">
        <f>IF(ISEVEN(LEFT(AD42,4)),"Southbound","NorthBound")</f>
        <v>NorthBound</v>
      </c>
      <c r="U42" s="198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16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2017-10-23T06:08:05-0600',mode:absolute,to:'2017-10-23T09:09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42" s="204" t="str">
        <f>IF(AA42&lt;VLOOKUP(AG42,Variables!$AC$3:$AD$8,2,FALSE),"Y","N")</f>
        <v>N</v>
      </c>
      <c r="X42" s="204">
        <f>VALUE(LEFT(AD42,4))-VALUE(LEFT(AD41,4))</f>
        <v>1</v>
      </c>
      <c r="Y42" s="204">
        <f>RIGHT(D42,LEN(D42)-4)/10000</f>
        <v>4.6699999999999998E-2</v>
      </c>
      <c r="Z42" s="204">
        <f>RIGHT(H42,LEN(H42)-4)/10000</f>
        <v>23.327400000000001</v>
      </c>
      <c r="AA42" s="204">
        <f>ABS(Z42-Y42)</f>
        <v>23.2807</v>
      </c>
      <c r="AB42" s="54" t="e">
        <f>VLOOKUP(A42,Enforcements!$C$7:$K$11,8,0)</f>
        <v>#N/A</v>
      </c>
      <c r="AC42" s="51" t="e">
        <f>VLOOKUP(A42,Enforcements!$C$7:$E$11,3,0)</f>
        <v>#N/A</v>
      </c>
      <c r="AD42" s="179">
        <f>VALUE(LEFT(A42,LEN(A42)-3))</f>
        <v>129</v>
      </c>
      <c r="AE42" s="77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s3://rtdc.mdm.uploadarchive.raw/RTDC4046/ "%USERPROFILE%\AppData\Local\Temp\OnboardLogs"\RTDC4046\2017-10-23 --exclude "*" --recursive --include "*20171023*" &amp; "%USERPROFILE%\Documents\GitHub\mrs-test-scripts\Headless Mode &amp; Sideloading\WalkAndUnGZ.bat" "%USERPROFILE%\AppData\Local\Temp\OnboardLogs"\RTDC4046\2017-10-23 &amp; aws s3 cp s3://rtdc.mdm.uploadarchive.raw/RTDC4046/ "%USERPROFILE%\AppData\Local\Temp\OnboardLogs"\RTDC4046\2017-10-24 --exclude "*" --recursive --include "*20171024*" &amp; "%USERPROFILE%\Documents\GitHub\mrs-test-scripts\Headless Mode &amp; Sideloading\WalkAndUnGZ.bat" "%USERPROFILE%\AppData\Local\Temp\OnboardLogs"\RTDC4046\2017-10-24</v>
      </c>
      <c r="AF42" s="74" t="str">
        <f>astrogrep_path&amp;" /e /r /s /spath="&amp;search_path&amp;" /stypes=""app*"&amp;B42&amp;"*"&amp;TEXT(I42-utc_offset/24,"YYYYMMDD")&amp;"*"" /stext="" "&amp;TEXT(I42-utc_offset/24,"HH")&amp;search_regexp&amp;""""</f>
        <v>"C:\Program Files (x86)\AstroGrep\AstroGrep.exe" /e /r /s /spath="%USERPROFILE%\AppData\Local\Temp\OnboardLogs" /stypes="app*4046*20171023*" /stext=" 14:.+((SYSTEM_STATE.+slice.+state.+changed )|(ment ac)|(multiple cpu faults)|(system.+state.+changed )|(\[timeout)|(PRM\|1\|D)|(kpr)|(kdp)|(train st.+moving)|(\|lc)|(penalty))"</v>
      </c>
      <c r="AG42" s="182" t="str">
        <f>DetSubdiv(A42)</f>
        <v>EC</v>
      </c>
      <c r="AH42" s="78" t="str">
        <f t="shared" si="5"/>
        <v>"%USERPROFILE%\Documents\GitHub\eaglep3\Utilities\RefineRTDCRunTimes.py" --tripid 129-23 --locoid 4046 --swversion DE.1.0.9.0 --startMP 204:467 --initTime 2017-10-23T07:08:05 --startdatetime 2017-10-23T07:15:24 --delay 94 --endMP 204:233274 --enddatetime 2017-10-23T08:09:13 --enforcementcount 0 &gt;&gt;%USERPROFILE%\Documents\GitHub\eaglep3-reporting\EC\2017-10-23-refined-times.txt</v>
      </c>
      <c r="AI42" s="96" t="str">
        <f t="shared" si="6"/>
        <v>echo {"issue":{"subject":"Cascade delay due to crossing gate issue at Ulster (Incident 55851, 55855)","project_id":79,"tracker_id":40,"status_id":1,"priority_id":2,"assigned_to_id":338,"start_date":"2017-10-23","description":"","custom_fields":[{"id":1,"name":"Subdivision","value":"EC"},{"id":4,"name":"Milepost","value":"23.3274"},{"id":17,"name":"Train ID","value":"129-23"},{"id":16,"name":"Locomotive ID","value":"4046"},{"id":130,"name":"Impact","value":""},{"id":150,"name":"Time of Event (Mountain Time)","value":"08:09:13"},{"id":151,"name":"Denver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0"/>
      <c r="AK42" s="47"/>
      <c r="AL42" s="47"/>
      <c r="AM42" s="142" t="str">
        <f t="shared" si="7"/>
        <v>start /low /b %USERPROFILE%\Documents\GitHub\eaglep3\Utilities\DownloadLogsFromS3.py --loco 4046 --day 2017-10-23</v>
      </c>
      <c r="AN42" s="151" t="str">
        <f t="shared" si="8"/>
        <v>echo {"issue":{"subject":"Cascade delay due to crossing gate issue at Ulster (Incident 55851, 55855)","project_id":30,"tracker_id":4,"status_id":1,"priority_id":1,"assigned_to_id":10,"start_date":"2017-10-23","description":"","custom_fields":[{"id":30,"name":"Category","value":"Issue"},{"id":3,"name":"Functional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14:09:13"},{"id":29,"name":"Sharepoint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168" t="str">
        <f t="shared" si="9"/>
        <v>https://d0f6bd738d7f1b3e5a7ca70fe4ff75f0.us-east-1.aws.found.io/app/kibana#/discover/Steve-Slow-Train-Analysis-(2080s-and-2083s)?_g=(refreshInterval:(display:Off,pause:!f,section:0,value:0),time:(from:'2017-10-23T06:08:05-0600',mode:absolute,to:'2017-10-23T09:09:13-0600'))&amp;_a=(columns:!('Message%20ID',Summary),filters:!(),index:'emp_*',interval:auto,query:(query_string:(analyze_wildcard:!t,query:'%22rtdc.l.rtdc.4046%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3">
      <c r="A43" s="32" t="s">
        <v>651</v>
      </c>
      <c r="B43" s="7">
        <v>4045</v>
      </c>
      <c r="C43" s="21" t="s">
        <v>194</v>
      </c>
      <c r="D43" s="21" t="s">
        <v>434</v>
      </c>
      <c r="E43" s="13">
        <v>43031.34101851852</v>
      </c>
      <c r="F43" s="13">
        <v>43031.342465277776</v>
      </c>
      <c r="G43" s="7">
        <v>53</v>
      </c>
      <c r="H43" s="21" t="s">
        <v>914</v>
      </c>
      <c r="I43" s="13">
        <v>43031.375138888892</v>
      </c>
      <c r="J43" s="7">
        <v>0</v>
      </c>
      <c r="K43" s="89" t="str">
        <f>IF(ISEVEN(B43),(B43-1)&amp;"/"&amp;B43,B43&amp;"/"&amp;(B43+1))</f>
        <v>4045/4046</v>
      </c>
      <c r="L43" s="185" t="str">
        <f>VLOOKUP(A43,'Trips&amp;Operators'!$C$1:$G$99911,5,FALSE)</f>
        <v>BONDS REYNALDO</v>
      </c>
      <c r="M43" s="6">
        <f>I43-F43</f>
        <v>3.2673611116479151E-2</v>
      </c>
      <c r="N43" s="7">
        <f>24*60*SUM($M43:$M43)</f>
        <v>47.050000007729977</v>
      </c>
      <c r="O43" s="7"/>
      <c r="P43" s="7"/>
      <c r="Q43" s="22"/>
      <c r="R43" s="174"/>
      <c r="S43" s="221">
        <f>1/IF(AG43="EC",12,1)*SUM(U43:U43)</f>
        <v>1</v>
      </c>
      <c r="T43" s="174" t="str">
        <f>IF(ISEVEN(LEFT(AD43,4)),"Southbound","NorthBound")</f>
        <v>Southbound</v>
      </c>
      <c r="U43" s="198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16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2017-10-23T07:11:04-0600',mode:absolute,to:'2017-10-23T10:00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43" s="204" t="str">
        <f>IF(AA43&lt;VLOOKUP(AG43,Variables!$AC$3:$AD$8,2,FALSE),"Y","N")</f>
        <v>N</v>
      </c>
      <c r="X43" s="204">
        <f>VALUE(LEFT(AD43,4))-VALUE(LEFT(AD42,4))</f>
        <v>1</v>
      </c>
      <c r="Y43" s="204">
        <f>RIGHT(D43,LEN(D43)-4)/10000</f>
        <v>23.2988</v>
      </c>
      <c r="Z43" s="204">
        <f>RIGHT(H43,LEN(H43)-4)/10000</f>
        <v>1.7600000000000001E-2</v>
      </c>
      <c r="AA43" s="204">
        <f>ABS(Z43-Y43)</f>
        <v>23.281199999999998</v>
      </c>
      <c r="AB43" s="54" t="e">
        <f>VLOOKUP(A43,Enforcements!$C$7:$K$11,8,0)</f>
        <v>#N/A</v>
      </c>
      <c r="AC43" s="51" t="e">
        <f>VLOOKUP(A43,Enforcements!$C$7:$E$11,3,0)</f>
        <v>#N/A</v>
      </c>
      <c r="AD43" s="179">
        <f>VALUE(LEFT(A43,LEN(A43)-3))</f>
        <v>130</v>
      </c>
      <c r="AE43" s="77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s3://rtdc.mdm.uploadarchive.raw/RTDC4045/ "%USERPROFILE%\AppData\Local\Temp\OnboardLogs"\RTDC4045\2017-10-23 --exclude "*" --recursive --include "*20171023*" &amp; "%USERPROFILE%\Documents\GitHub\mrs-test-scripts\Headless Mode &amp; Sideloading\WalkAndUnGZ.bat" "%USERPROFILE%\AppData\Local\Temp\OnboardLogs"\RTDC4045\2017-10-23 &amp; aws s3 cp s3://rtdc.mdm.uploadarchive.raw/RTDC4045/ "%USERPROFILE%\AppData\Local\Temp\OnboardLogs"\RTDC4045\2017-10-24 --exclude "*" --recursive --include "*20171024*" &amp; "%USERPROFILE%\Documents\GitHub\mrs-test-scripts\Headless Mode &amp; Sideloading\WalkAndUnGZ.bat" "%USERPROFILE%\AppData\Local\Temp\OnboardLogs"\RTDC4045\2017-10-24</v>
      </c>
      <c r="AF43" s="74" t="str">
        <f>astrogrep_path&amp;" /e /r /s /spath="&amp;search_path&amp;" /stypes=""app*"&amp;B43&amp;"*"&amp;TEXT(I43-utc_offset/24,"YYYYMMDD")&amp;"*"" /stext="" "&amp;TEXT(I43-utc_offset/24,"HH")&amp;search_regexp&amp;""""</f>
        <v>"C:\Program Files (x86)\AstroGrep\AstroGrep.exe" /e /r /s /spath="%USERPROFILE%\AppData\Local\Temp\OnboardLogs" /stypes="app*4045*20171023*" /stext=" 15:.+((SYSTEM_STATE.+slice.+state.+changed )|(ment ac)|(multiple cpu faults)|(system.+state.+changed )|(\[timeout)|(PRM\|1\|D)|(kpr)|(kdp)|(train st.+moving)|(\|lc)|(penalty))"</v>
      </c>
      <c r="AG43" s="182" t="str">
        <f>DetSubdiv(A43)</f>
        <v>EC</v>
      </c>
      <c r="AH43" s="78" t="str">
        <f t="shared" si="5"/>
        <v>"%USERPROFILE%\Documents\GitHub\eaglep3\Utilities\RefineRTDCRunTimes.py" --tripid 130-23 --locoid 4045 --swversion DE.1.0.9.0 --startMP 204:232988 --initTime 2017-10-23T08:11:04 --startdatetime 2017-10-23T08:13:09 --delay 53 --endMP 204:176 --enddatetime 2017-10-23T09:00:12 --enforcementcount 0 &gt;&gt;%USERPROFILE%\Documents\GitHub\eaglep3-reporting\EC\2017-10-23-refined-times.txt</v>
      </c>
      <c r="AI43" s="96" t="str">
        <f t="shared" si="6"/>
        <v>echo {"issue":{"subject":"","project_id":79,"tracker_id":40,"status_id":1,"priority_id":2,"assigned_to_id":338,"start_date":"2017-10-23","description":"","custom_fields":[{"id":1,"name":"Subdivision","value":"EC"},{"id":4,"name":"Milepost","value":"0.0176"},{"id":17,"name":"Train ID","value":"130-23"},{"id":16,"name":"Locomotive ID","value":"4045"},{"id":130,"name":"Impact","value":""},{"id":150,"name":"Time of Event (Mountain Time)","value":"09:00:12"},{"id":151,"name":"Denver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0"/>
      <c r="AK43" s="47"/>
      <c r="AL43" s="47"/>
      <c r="AM43" s="142" t="str">
        <f t="shared" si="7"/>
        <v>start /low /b %USERPROFILE%\Documents\GitHub\eaglep3\Utilities\DownloadLogsFromS3.py --loco 4045 --day 2017-10-23</v>
      </c>
      <c r="AN43" s="151" t="str">
        <f t="shared" si="8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15:00:12"},{"id":29,"name":"Sharepoint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168" t="str">
        <f t="shared" si="9"/>
        <v>https://d0f6bd738d7f1b3e5a7ca70fe4ff75f0.us-east-1.aws.found.io/app/kibana#/discover/Steve-Slow-Train-Analysis-(2080s-and-2083s)?_g=(refreshInterval:(display:Off,pause:!f,section:0,value:0),time:(from:'2017-10-23T07:11:04-0600',mode:absolute,to:'2017-10-23T10:00:12-0600'))&amp;_a=(columns:!('Message%20ID',Summary),filters:!(),index:'emp_*',interval:auto,query:(query_string:(analyze_wildcard:!t,query:'%22rtdc.l.rtdc.4045%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3">
      <c r="A44" s="32" t="s">
        <v>738</v>
      </c>
      <c r="B44" s="7">
        <v>4004</v>
      </c>
      <c r="C44" s="21" t="s">
        <v>194</v>
      </c>
      <c r="D44" s="21" t="s">
        <v>369</v>
      </c>
      <c r="E44" s="13">
        <v>43031.308692129627</v>
      </c>
      <c r="F44" s="13">
        <v>43031.312754629631</v>
      </c>
      <c r="G44" s="7">
        <v>113</v>
      </c>
      <c r="H44" s="21" t="s">
        <v>915</v>
      </c>
      <c r="I44" s="13">
        <v>43031.346828703703</v>
      </c>
      <c r="J44" s="7">
        <v>0</v>
      </c>
      <c r="K44" s="89" t="str">
        <f>IF(ISEVEN(B44),(B44-1)&amp;"/"&amp;B44,B44&amp;"/"&amp;(B44+1))</f>
        <v>4003/4004</v>
      </c>
      <c r="L44" s="185" t="str">
        <f>VLOOKUP(A44,'Trips&amp;Operators'!$C$1:$G$99911,5,FALSE)</f>
        <v>BROWN JACOB</v>
      </c>
      <c r="M44" s="6">
        <f>I44-F44</f>
        <v>3.407407407212304E-2</v>
      </c>
      <c r="N44" s="7">
        <f>24*60*SUM($M44:$M44)</f>
        <v>49.066666663857177</v>
      </c>
      <c r="O44" s="7"/>
      <c r="P44" s="7"/>
      <c r="Q44" s="22"/>
      <c r="R44" s="174"/>
      <c r="S44" s="221">
        <f>1/IF(AG44="EC",12,1)*SUM(U44:U44)</f>
        <v>1</v>
      </c>
      <c r="T44" s="174" t="str">
        <f>IF(ISEVEN(LEFT(AD44,4)),"Southbound","NorthBound")</f>
        <v>NorthBound</v>
      </c>
      <c r="U44" s="198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16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2017-10-23T06:24:31-0600',mode:absolute,to:'2017-10-23T09:19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44" s="204" t="str">
        <f>IF(AA44&lt;VLOOKUP(AG44,Variables!$AC$3:$AD$8,2,FALSE),"Y","N")</f>
        <v>N</v>
      </c>
      <c r="X44" s="204">
        <f>VALUE(LEFT(AD44,4))-VALUE(LEFT(AD43,4))</f>
        <v>1</v>
      </c>
      <c r="Y44" s="204">
        <f>RIGHT(D44,LEN(D44)-4)/10000</f>
        <v>4.7100000000000003E-2</v>
      </c>
      <c r="Z44" s="204">
        <f>RIGHT(H44,LEN(H44)-4)/10000</f>
        <v>23.331</v>
      </c>
      <c r="AA44" s="204">
        <f>ABS(Z44-Y44)</f>
        <v>23.283899999999999</v>
      </c>
      <c r="AB44" s="54" t="e">
        <f>VLOOKUP(A44,Enforcements!$C$7:$K$11,8,0)</f>
        <v>#N/A</v>
      </c>
      <c r="AC44" s="51" t="e">
        <f>VLOOKUP(A44,Enforcements!$C$7:$E$11,3,0)</f>
        <v>#N/A</v>
      </c>
      <c r="AD44" s="179">
        <f>VALUE(LEFT(A44,LEN(A44)-3))</f>
        <v>131</v>
      </c>
      <c r="AE44" s="77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s3://rtdc.mdm.uploadarchive.raw/RTDC4004/ "%USERPROFILE%\AppData\Local\Temp\OnboardLogs"\RTDC4004\2017-10-23 --exclude "*" --recursive --include "*20171023*" &amp; "%USERPROFILE%\Documents\GitHub\mrs-test-scripts\Headless Mode &amp; Sideloading\WalkAndUnGZ.bat" "%USERPROFILE%\AppData\Local\Temp\OnboardLogs"\RTDC4004\2017-10-23 &amp; aws s3 cp s3://rtdc.mdm.uploadarchive.raw/RTDC4004/ "%USERPROFILE%\AppData\Local\Temp\OnboardLogs"\RTDC4004\2017-10-24 --exclude "*" --recursive --include "*20171024*" &amp; "%USERPROFILE%\Documents\GitHub\mrs-test-scripts\Headless Mode &amp; Sideloading\WalkAndUnGZ.bat" "%USERPROFILE%\AppData\Local\Temp\OnboardLogs"\RTDC4004\2017-10-24</v>
      </c>
      <c r="AF44" s="74" t="str">
        <f>astrogrep_path&amp;" /e /r /s /spath="&amp;search_path&amp;" /stypes=""app*"&amp;B44&amp;"*"&amp;TEXT(I44-utc_offset/24,"YYYYMMDD")&amp;"*"" /stext="" "&amp;TEXT(I44-utc_offset/24,"HH")&amp;search_regexp&amp;""""</f>
        <v>"C:\Program Files (x86)\AstroGrep\AstroGrep.exe" /e /r /s /spath="%USERPROFILE%\AppData\Local\Temp\OnboardLogs" /stypes="app*4004*20171023*" /stext=" 14:.+((SYSTEM_STATE.+slice.+state.+changed )|(ment ac)|(multiple cpu faults)|(system.+state.+changed )|(\[timeout)|(PRM\|1\|D)|(kpr)|(kdp)|(train st.+moving)|(\|lc)|(penalty))"</v>
      </c>
      <c r="AG44" s="182" t="str">
        <f>DetSubdiv(A44)</f>
        <v>EC</v>
      </c>
      <c r="AH44" s="78" t="str">
        <f t="shared" si="5"/>
        <v>"%USERPROFILE%\Documents\GitHub\eaglep3\Utilities\RefineRTDCRunTimes.py" --tripid 131-23 --locoid 4004 --swversion DE.1.0.9.0 --startMP 204:471 --initTime 2017-10-23T07:24:31 --startdatetime 2017-10-23T07:30:22 --delay 113 --endMP 204:233310 --enddatetime 2017-10-23T08:19:26 --enforcementcount 0 &gt;&gt;%USERPROFILE%\Documents\GitHub\eaglep3-reporting\EC\2017-10-23-refined-times.txt</v>
      </c>
      <c r="AI44" s="96" t="str">
        <f t="shared" si="6"/>
        <v>echo {"issue":{"subject":"","project_id":79,"tracker_id":40,"status_id":1,"priority_id":2,"assigned_to_id":338,"start_date":"2017-10-23","description":"","custom_fields":[{"id":1,"name":"Subdivision","value":"EC"},{"id":4,"name":"Milepost","value":"23.331"},{"id":17,"name":"Train ID","value":"131-23"},{"id":16,"name":"Locomotive ID","value":"4004"},{"id":130,"name":"Impact","value":""},{"id":150,"name":"Time of Event (Mountain Time)","value":"08:19:26"},{"id":151,"name":"Denver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0"/>
      <c r="AK44" s="47"/>
      <c r="AL44" s="47"/>
      <c r="AM44" s="142" t="str">
        <f t="shared" si="7"/>
        <v>start /low /b %USERPROFILE%\Documents\GitHub\eaglep3\Utilities\DownloadLogsFromS3.py --loco 4004 --day 2017-10-23</v>
      </c>
      <c r="AN44" s="151" t="str">
        <f t="shared" si="8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14:19:26"},{"id":29,"name":"Sharepoint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168" t="str">
        <f t="shared" si="9"/>
        <v>https://d0f6bd738d7f1b3e5a7ca70fe4ff75f0.us-east-1.aws.found.io/app/kibana#/discover/Steve-Slow-Train-Analysis-(2080s-and-2083s)?_g=(refreshInterval:(display:Off,pause:!f,section:0,value:0),time:(from:'2017-10-23T06:24:31-0600',mode:absolute,to:'2017-10-23T09:19:26-0600'))&amp;_a=(columns:!('Message%20ID',Summary),filters:!(),index:'emp_*',interval:auto,query:(query_string:(analyze_wildcard:!t,query:'%22rtdc.l.rtdc.4004%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3">
      <c r="A45" s="32" t="s">
        <v>748</v>
      </c>
      <c r="B45" s="7">
        <v>4003</v>
      </c>
      <c r="C45" s="21" t="s">
        <v>194</v>
      </c>
      <c r="D45" s="21" t="s">
        <v>606</v>
      </c>
      <c r="E45" s="13">
        <v>43031.348287037035</v>
      </c>
      <c r="F45" s="13">
        <v>43031.352418981478</v>
      </c>
      <c r="G45" s="7">
        <v>60</v>
      </c>
      <c r="H45" s="21" t="s">
        <v>366</v>
      </c>
      <c r="I45" s="13">
        <v>43031.385057870371</v>
      </c>
      <c r="J45" s="7">
        <v>0</v>
      </c>
      <c r="K45" s="89" t="str">
        <f>IF(ISEVEN(B45),(B45-1)&amp;"/"&amp;B45,B45&amp;"/"&amp;(B45+1))</f>
        <v>4003/4004</v>
      </c>
      <c r="L45" s="185" t="str">
        <f>VLOOKUP(A45,'Trips&amp;Operators'!$C$1:$G$99911,5,FALSE)</f>
        <v>BROWN JACOB</v>
      </c>
      <c r="M45" s="6">
        <f>I45-F45</f>
        <v>3.2638888893416151E-2</v>
      </c>
      <c r="N45" s="7">
        <f>24*60*SUM($M45:$M45)</f>
        <v>47.000000006519258</v>
      </c>
      <c r="O45" s="7"/>
      <c r="P45" s="7"/>
      <c r="Q45" s="22"/>
      <c r="R45" s="174"/>
      <c r="S45" s="221">
        <f>1/IF(AG45="EC",12,1)*SUM(U45:U45)</f>
        <v>1</v>
      </c>
      <c r="T45" s="174" t="str">
        <f>IF(ISEVEN(LEFT(AD45,4)),"Southbound","NorthBound")</f>
        <v>Southbound</v>
      </c>
      <c r="U45" s="198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16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-10-23T07:21:32-0600',mode:absolute,to:'2017-10-23T10:14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45" s="204" t="str">
        <f>IF(AA45&lt;VLOOKUP(AG45,Variables!$AC$3:$AD$8,2,FALSE),"Y","N")</f>
        <v>N</v>
      </c>
      <c r="X45" s="204">
        <f>VALUE(LEFT(AD45,4))-VALUE(LEFT(AD44,4))</f>
        <v>1</v>
      </c>
      <c r="Y45" s="204">
        <f>RIGHT(D45,LEN(D45)-4)/10000</f>
        <v>23.299299999999999</v>
      </c>
      <c r="Z45" s="204">
        <f>RIGHT(H45,LEN(H45)-4)/10000</f>
        <v>1.3899999999999999E-2</v>
      </c>
      <c r="AA45" s="204">
        <f>ABS(Z45-Y45)</f>
        <v>23.285399999999999</v>
      </c>
      <c r="AB45" s="54" t="e">
        <f>VLOOKUP(A45,Enforcements!$C$7:$K$11,8,0)</f>
        <v>#N/A</v>
      </c>
      <c r="AC45" s="51" t="e">
        <f>VLOOKUP(A45,Enforcements!$C$7:$E$11,3,0)</f>
        <v>#N/A</v>
      </c>
      <c r="AD45" s="179">
        <f>VALUE(LEFT(A45,LEN(A45)-3))</f>
        <v>132</v>
      </c>
      <c r="AE45" s="77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s3://rtdc.mdm.uploadarchive.raw/RTDC4003/ "%USERPROFILE%\AppData\Local\Temp\OnboardLogs"\RTDC4003\2017-10-23 --exclude "*" --recursive --include "*20171023*" &amp; "%USERPROFILE%\Documents\GitHub\mrs-test-scripts\Headless Mode &amp; Sideloading\WalkAndUnGZ.bat" "%USERPROFILE%\AppData\Local\Temp\OnboardLogs"\RTDC4003\2017-10-23 &amp; aws s3 cp s3://rtdc.mdm.uploadarchive.raw/RTDC4003/ "%USERPROFILE%\AppData\Local\Temp\OnboardLogs"\RTDC4003\2017-10-24 --exclude "*" --recursive --include "*20171024*" &amp; "%USERPROFILE%\Documents\GitHub\mrs-test-scripts\Headless Mode &amp; Sideloading\WalkAndUnGZ.bat" "%USERPROFILE%\AppData\Local\Temp\OnboardLogs"\RTDC4003\2017-10-24</v>
      </c>
      <c r="AF45" s="74" t="str">
        <f>astrogrep_path&amp;" /e /r /s /spath="&amp;search_path&amp;" /stypes=""app*"&amp;B45&amp;"*"&amp;TEXT(I45-utc_offset/24,"YYYYMMDD")&amp;"*"" /stext="" "&amp;TEXT(I45-utc_offset/24,"HH")&amp;search_regexp&amp;""""</f>
        <v>"C:\Program Files (x86)\AstroGrep\AstroGrep.exe" /e /r /s /spath="%USERPROFILE%\AppData\Local\Temp\OnboardLogs" /stypes="app*4003*20171023*" /stext=" 15:.+((SYSTEM_STATE.+slice.+state.+changed )|(ment ac)|(multiple cpu faults)|(system.+state.+changed )|(\[timeout)|(PRM\|1\|D)|(kpr)|(kdp)|(train st.+moving)|(\|lc)|(penalty))"</v>
      </c>
      <c r="AG45" s="182" t="str">
        <f>DetSubdiv(A45)</f>
        <v>EC</v>
      </c>
      <c r="AH45" s="78" t="str">
        <f t="shared" si="5"/>
        <v>"%USERPROFILE%\Documents\GitHub\eaglep3\Utilities\RefineRTDCRunTimes.py" --tripid 132-23 --locoid 4003 --swversion DE.1.0.9.0 --startMP 204:232993 --initTime 2017-10-23T08:21:32 --startdatetime 2017-10-23T08:27:29 --delay 60 --endMP 204:139 --enddatetime 2017-10-23T09:14:29 --enforcementcount 0 &gt;&gt;%USERPROFILE%\Documents\GitHub\eaglep3-reporting\EC\2017-10-23-refined-times.txt</v>
      </c>
      <c r="AI45" s="96" t="str">
        <f t="shared" si="6"/>
        <v>echo {"issue":{"subject":"","project_id":79,"tracker_id":40,"status_id":1,"priority_id":2,"assigned_to_id":338,"start_date":"2017-10-23","description":"","custom_fields":[{"id":1,"name":"Subdivision","value":"EC"},{"id":4,"name":"Milepost","value":"0.0139"},{"id":17,"name":"Train ID","value":"132-23"},{"id":16,"name":"Locomotive ID","value":"4003"},{"id":130,"name":"Impact","value":""},{"id":150,"name":"Time of Event (Mountain Time)","value":"09:14:29"},{"id":151,"name":"Denver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0"/>
      <c r="AK45" s="47"/>
      <c r="AL45" s="47"/>
      <c r="AM45" s="142" t="str">
        <f t="shared" si="7"/>
        <v>start /low /b %USERPROFILE%\Documents\GitHub\eaglep3\Utilities\DownloadLogsFromS3.py --loco 4003 --day 2017-10-23</v>
      </c>
      <c r="AN45" s="151" t="str">
        <f t="shared" si="8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15:14:29"},{"id":29,"name":"Sharepoint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168" t="str">
        <f t="shared" si="9"/>
        <v>https://d0f6bd738d7f1b3e5a7ca70fe4ff75f0.us-east-1.aws.found.io/app/kibana#/discover/Steve-Slow-Train-Analysis-(2080s-and-2083s)?_g=(refreshInterval:(display:Off,pause:!f,section:0,value:0),time:(from:'2017-10-23T07:21:32-0600',mode:absolute,to:'2017-10-23T10:14:29-0600'))&amp;_a=(columns:!('Message%20ID',Summary),filters:!(),index:'emp_*',interval:auto,query:(query_string:(analyze_wildcard:!t,query:'%22rtdc.l.rtdc.4003%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3">
      <c r="A46" s="32" t="s">
        <v>739</v>
      </c>
      <c r="B46" s="7">
        <v>4050</v>
      </c>
      <c r="C46" s="21" t="s">
        <v>194</v>
      </c>
      <c r="D46" s="21" t="s">
        <v>384</v>
      </c>
      <c r="E46" s="13">
        <v>43031.319085648145</v>
      </c>
      <c r="F46" s="13">
        <v>43031.324733796297</v>
      </c>
      <c r="G46" s="7">
        <v>58</v>
      </c>
      <c r="H46" s="21" t="s">
        <v>904</v>
      </c>
      <c r="I46" s="13">
        <v>43031.352824074071</v>
      </c>
      <c r="J46" s="7">
        <v>0</v>
      </c>
      <c r="K46" s="89" t="str">
        <f>IF(ISEVEN(B46),(B46-1)&amp;"/"&amp;B46,B46&amp;"/"&amp;(B46+1))</f>
        <v>4049/4050</v>
      </c>
      <c r="L46" s="185" t="str">
        <f>VLOOKUP(A46,'Trips&amp;Operators'!$C$1:$G$99911,5,FALSE)</f>
        <v>LAMAR NEKESHA</v>
      </c>
      <c r="M46" s="6">
        <f>I46-F46</f>
        <v>2.8090277774026617E-2</v>
      </c>
      <c r="N46" s="7">
        <f>24*60*SUM($M46:$M46)</f>
        <v>40.449999994598329</v>
      </c>
      <c r="O46" s="7"/>
      <c r="P46" s="7"/>
      <c r="Q46" s="22"/>
      <c r="R46" s="174"/>
      <c r="S46" s="221">
        <f>1/IF(AG46="EC",12,1)*SUM(U46:U46)</f>
        <v>1</v>
      </c>
      <c r="T46" s="174" t="str">
        <f>IF(ISEVEN(LEFT(AD46,4)),"Southbound","NorthBound")</f>
        <v>NorthBound</v>
      </c>
      <c r="U46" s="198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16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2017-10-23T06:39:29-0600',mode:absolute,to:'2017-10-23T09:28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46" s="204" t="str">
        <f>IF(AA46&lt;VLOOKUP(AG46,Variables!$AC$3:$AD$8,2,FALSE),"Y","N")</f>
        <v>N</v>
      </c>
      <c r="X46" s="204">
        <f>VALUE(LEFT(AD46,4))-VALUE(LEFT(AD45,4))</f>
        <v>1</v>
      </c>
      <c r="Y46" s="204">
        <f>RIGHT(D46,LEN(D46)-4)/10000</f>
        <v>4.7300000000000002E-2</v>
      </c>
      <c r="Z46" s="204">
        <f>RIGHT(H46,LEN(H46)-4)/10000</f>
        <v>23.326799999999999</v>
      </c>
      <c r="AA46" s="204">
        <f>ABS(Z46-Y46)</f>
        <v>23.279499999999999</v>
      </c>
      <c r="AB46" s="54" t="e">
        <f>VLOOKUP(A46,Enforcements!$C$7:$K$11,8,0)</f>
        <v>#N/A</v>
      </c>
      <c r="AC46" s="51" t="e">
        <f>VLOOKUP(A46,Enforcements!$C$7:$E$11,3,0)</f>
        <v>#N/A</v>
      </c>
      <c r="AD46" s="179">
        <f>VALUE(LEFT(A46,LEN(A46)-3))</f>
        <v>133</v>
      </c>
      <c r="AE46" s="77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s3://rtdc.mdm.uploadarchive.raw/RTDC4050/ "%USERPROFILE%\AppData\Local\Temp\OnboardLogs"\RTDC4050\2017-10-23 --exclude "*" --recursive --include "*20171023*" &amp; "%USERPROFILE%\Documents\GitHub\mrs-test-scripts\Headless Mode &amp; Sideloading\WalkAndUnGZ.bat" "%USERPROFILE%\AppData\Local\Temp\OnboardLogs"\RTDC4050\2017-10-23 &amp; aws s3 cp s3://rtdc.mdm.uploadarchive.raw/RTDC4050/ "%USERPROFILE%\AppData\Local\Temp\OnboardLogs"\RTDC4050\2017-10-24 --exclude "*" --recursive --include "*20171024*" &amp; "%USERPROFILE%\Documents\GitHub\mrs-test-scripts\Headless Mode &amp; Sideloading\WalkAndUnGZ.bat" "%USERPROFILE%\AppData\Local\Temp\OnboardLogs"\RTDC4050\2017-10-24</v>
      </c>
      <c r="AF46" s="74" t="str">
        <f>astrogrep_path&amp;" /e /r /s /spath="&amp;search_path&amp;" /stypes=""app*"&amp;B46&amp;"*"&amp;TEXT(I46-utc_offset/24,"YYYYMMDD")&amp;"*"" /stext="" "&amp;TEXT(I46-utc_offset/24,"HH")&amp;search_regexp&amp;""""</f>
        <v>"C:\Program Files (x86)\AstroGrep\AstroGrep.exe" /e /r /s /spath="%USERPROFILE%\AppData\Local\Temp\OnboardLogs" /stypes="app*4050*20171023*" /stext=" 14:.+((SYSTEM_STATE.+slice.+state.+changed )|(ment ac)|(multiple cpu faults)|(system.+state.+changed )|(\[timeout)|(PRM\|1\|D)|(kpr)|(kdp)|(train st.+moving)|(\|lc)|(penalty))"</v>
      </c>
      <c r="AG46" s="182" t="str">
        <f>DetSubdiv(A46)</f>
        <v>EC</v>
      </c>
      <c r="AH46" s="78" t="str">
        <f t="shared" si="5"/>
        <v>"%USERPROFILE%\Documents\GitHub\eaglep3\Utilities\RefineRTDCRunTimes.py" --tripid 133-23 --locoid 4050 --swversion DE.1.0.9.0 --startMP 204:473 --initTime 2017-10-23T07:39:29 --startdatetime 2017-10-23T07:47:37 --delay 58 --endMP 204:233268 --enddatetime 2017-10-23T08:28:04 --enforcementcount 0 &gt;&gt;%USERPROFILE%\Documents\GitHub\eaglep3-reporting\EC\2017-10-23-refined-times.txt</v>
      </c>
      <c r="AI46" s="96" t="str">
        <f t="shared" si="6"/>
        <v>echo {"issue":{"subject":"","project_id":79,"tracker_id":40,"status_id":1,"priority_id":2,"assigned_to_id":338,"start_date":"2017-10-23","description":"","custom_fields":[{"id":1,"name":"Subdivision","value":"EC"},{"id":4,"name":"Milepost","value":"23.3268"},{"id":17,"name":"Train ID","value":"133-23"},{"id":16,"name":"Locomotive ID","value":"4050"},{"id":130,"name":"Impact","value":""},{"id":150,"name":"Time of Event (Mountain Time)","value":"08:28:04"},{"id":151,"name":"Denver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0"/>
      <c r="AK46" s="47"/>
      <c r="AL46" s="47"/>
      <c r="AM46" s="142" t="str">
        <f t="shared" si="7"/>
        <v>start /low /b %USERPROFILE%\Documents\GitHub\eaglep3\Utilities\DownloadLogsFromS3.py --loco 4050 --day 2017-10-23</v>
      </c>
      <c r="AN46" s="151" t="str">
        <f t="shared" si="8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14:28:04"},{"id":29,"name":"Sharepoint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168" t="str">
        <f t="shared" si="9"/>
        <v>https://d0f6bd738d7f1b3e5a7ca70fe4ff75f0.us-east-1.aws.found.io/app/kibana#/discover/Steve-Slow-Train-Analysis-(2080s-and-2083s)?_g=(refreshInterval:(display:Off,pause:!f,section:0,value:0),time:(from:'2017-10-23T06:39:29-0600',mode:absolute,to:'2017-10-23T09:28:04-0600'))&amp;_a=(columns:!('Message%20ID',Summary),filters:!(),index:'emp_*',interval:auto,query:(query_string:(analyze_wildcard:!t,query:'%22rtdc.l.rtdc.4050%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3">
      <c r="A47" s="32" t="s">
        <v>654</v>
      </c>
      <c r="B47" s="7">
        <v>4049</v>
      </c>
      <c r="C47" s="21" t="s">
        <v>194</v>
      </c>
      <c r="D47" s="21" t="s">
        <v>916</v>
      </c>
      <c r="E47" s="13">
        <v>43031.359560185185</v>
      </c>
      <c r="F47" s="13">
        <v>43031.363865740743</v>
      </c>
      <c r="G47" s="7">
        <v>125</v>
      </c>
      <c r="H47" s="21" t="s">
        <v>357</v>
      </c>
      <c r="I47" s="13">
        <v>43031.395648148151</v>
      </c>
      <c r="J47" s="7">
        <v>0</v>
      </c>
      <c r="K47" s="89" t="str">
        <f>IF(ISEVEN(B47),(B47-1)&amp;"/"&amp;B47,B47&amp;"/"&amp;(B47+1))</f>
        <v>4049/4050</v>
      </c>
      <c r="L47" s="185" t="str">
        <f>VLOOKUP(A47,'Trips&amp;Operators'!$C$1:$G$99911,5,FALSE)</f>
        <v>LAMAR NEKESHA</v>
      </c>
      <c r="M47" s="6">
        <f>I47-F47</f>
        <v>3.178240740817273E-2</v>
      </c>
      <c r="N47" s="7">
        <f>24*60*SUM($M47:$M47)</f>
        <v>45.766666667768732</v>
      </c>
      <c r="O47" s="7"/>
      <c r="P47" s="7"/>
      <c r="Q47" s="22"/>
      <c r="R47" s="174"/>
      <c r="S47" s="221">
        <f>1/IF(AG47="EC",12,1)*SUM(U47:U47)</f>
        <v>1</v>
      </c>
      <c r="T47" s="174" t="str">
        <f>IF(ISEVEN(LEFT(AD47,4)),"Southbound","NorthBound")</f>
        <v>Southbound</v>
      </c>
      <c r="U47" s="198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16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2017-10-23T07:37:46-0600',mode:absolute,to:'2017-10-23T10:29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47" s="204" t="str">
        <f>IF(AA47&lt;VLOOKUP(AG47,Variables!$AC$3:$AD$8,2,FALSE),"Y","N")</f>
        <v>N</v>
      </c>
      <c r="X47" s="204">
        <f>VALUE(LEFT(AD47,4))-VALUE(LEFT(AD46,4))</f>
        <v>1</v>
      </c>
      <c r="Y47" s="204">
        <f>RIGHT(D47,LEN(D47)-4)/10000</f>
        <v>23.295200000000001</v>
      </c>
      <c r="Z47" s="204">
        <f>RIGHT(H47,LEN(H47)-4)/10000</f>
        <v>1.5599999999999999E-2</v>
      </c>
      <c r="AA47" s="204">
        <f>ABS(Z47-Y47)</f>
        <v>23.279600000000002</v>
      </c>
      <c r="AB47" s="54" t="str">
        <f>VLOOKUP(A47,Enforcements!$C$7:$K$11,8,0)</f>
        <v>Bulletin (2)</v>
      </c>
      <c r="AC47" s="51" t="str">
        <f>VLOOKUP(A47,Enforcements!$C$7:$E$11,3,0)</f>
        <v>GRADE CROSSING</v>
      </c>
      <c r="AD47" s="179">
        <f>VALUE(LEFT(A47,LEN(A47)-3))</f>
        <v>134</v>
      </c>
      <c r="AE47" s="77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s3://rtdc.mdm.uploadarchive.raw/RTDC4049/ "%USERPROFILE%\AppData\Local\Temp\OnboardLogs"\RTDC4049\2017-10-23 --exclude "*" --recursive --include "*20171023*" &amp; "%USERPROFILE%\Documents\GitHub\mrs-test-scripts\Headless Mode &amp; Sideloading\WalkAndUnGZ.bat" "%USERPROFILE%\AppData\Local\Temp\OnboardLogs"\RTDC4049\2017-10-23 &amp; aws s3 cp s3://rtdc.mdm.uploadarchive.raw/RTDC4049/ "%USERPROFILE%\AppData\Local\Temp\OnboardLogs"\RTDC4049\2017-10-24 --exclude "*" --recursive --include "*20171024*" &amp; "%USERPROFILE%\Documents\GitHub\mrs-test-scripts\Headless Mode &amp; Sideloading\WalkAndUnGZ.bat" "%USERPROFILE%\AppData\Local\Temp\OnboardLogs"\RTDC4049\2017-10-24</v>
      </c>
      <c r="AF47" s="74" t="str">
        <f>astrogrep_path&amp;" /e /r /s /spath="&amp;search_path&amp;" /stypes=""app*"&amp;B47&amp;"*"&amp;TEXT(I47-utc_offset/24,"YYYYMMDD")&amp;"*"" /stext="" "&amp;TEXT(I47-utc_offset/24,"HH")&amp;search_regexp&amp;""""</f>
        <v>"C:\Program Files (x86)\AstroGrep\AstroGrep.exe" /e /r /s /spath="%USERPROFILE%\AppData\Local\Temp\OnboardLogs" /stypes="app*4049*20171023*" /stext=" 15:.+((SYSTEM_STATE.+slice.+state.+changed )|(ment ac)|(multiple cpu faults)|(system.+state.+changed )|(\[timeout)|(PRM\|1\|D)|(kpr)|(kdp)|(train st.+moving)|(\|lc)|(penalty))"</v>
      </c>
      <c r="AG47" s="182" t="str">
        <f>DetSubdiv(A47)</f>
        <v>EC</v>
      </c>
      <c r="AH47" s="78" t="str">
        <f t="shared" si="5"/>
        <v>"%USERPROFILE%\Documents\GitHub\eaglep3\Utilities\RefineRTDCRunTimes.py" --tripid 134-23 --locoid 4049 --swversion DE.1.0.9.0 --startMP 204:232952 --initTime 2017-10-23T08:37:46 --startdatetime 2017-10-23T08:43:58 --delay 125 --endMP 204:156 --enddatetime 2017-10-23T09:29:44 --enforcementcount 0 &gt;&gt;%USERPROFILE%\Documents\GitHub\eaglep3-reporting\EC\2017-10-23-refined-times.txt</v>
      </c>
      <c r="AI47" s="96" t="str">
        <f t="shared" si="6"/>
        <v>echo {"issue":{"subject":"","project_id":79,"tracker_id":40,"status_id":1,"priority_id":2,"assigned_to_id":338,"start_date":"2017-10-23","description":"","custom_fields":[{"id":1,"name":"Subdivision","value":"EC"},{"id":4,"name":"Milepost","value":"0.0156"},{"id":17,"name":"Train ID","value":"134-23"},{"id":16,"name":"Locomotive ID","value":"4049"},{"id":130,"name":"Impact","value":""},{"id":150,"name":"Time of Event (Mountain Time)","value":"09:29:44"},{"id":151,"name":"Denver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0"/>
      <c r="AK47" s="47"/>
      <c r="AL47" s="47"/>
      <c r="AM47" s="142" t="str">
        <f t="shared" si="7"/>
        <v>start /low /b %USERPROFILE%\Documents\GitHub\eaglep3\Utilities\DownloadLogsFromS3.py --loco 4049 --day 2017-10-23</v>
      </c>
      <c r="AN47" s="151" t="str">
        <f t="shared" si="8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15:29:44"},{"id":29,"name":"Sharepoint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168" t="str">
        <f t="shared" si="9"/>
        <v>https://d0f6bd738d7f1b3e5a7ca70fe4ff75f0.us-east-1.aws.found.io/app/kibana#/discover/Steve-Slow-Train-Analysis-(2080s-and-2083s)?_g=(refreshInterval:(display:Off,pause:!f,section:0,value:0),time:(from:'2017-10-23T07:37:46-0600',mode:absolute,to:'2017-10-23T10:29:44-0600'))&amp;_a=(columns:!('Message%20ID',Summary),filters:!(),index:'emp_*',interval:auto,query:(query_string:(analyze_wildcard:!t,query:'%22rtdc.l.rtdc.4049%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3">
      <c r="A48" s="32" t="s">
        <v>740</v>
      </c>
      <c r="B48" s="7">
        <v>4018</v>
      </c>
      <c r="C48" s="21" t="s">
        <v>194</v>
      </c>
      <c r="D48" s="21" t="s">
        <v>557</v>
      </c>
      <c r="E48" s="13">
        <v>43031.32576388889</v>
      </c>
      <c r="F48" s="13">
        <v>43031.335185185184</v>
      </c>
      <c r="G48" s="7">
        <v>72</v>
      </c>
      <c r="H48" s="21" t="s">
        <v>460</v>
      </c>
      <c r="I48" s="13">
        <v>43031.363425925927</v>
      </c>
      <c r="J48" s="7">
        <v>0</v>
      </c>
      <c r="K48" s="89" t="str">
        <f>IF(ISEVEN(B48),(B48-1)&amp;"/"&amp;B48,B48&amp;"/"&amp;(B48+1))</f>
        <v>4017/4018</v>
      </c>
      <c r="L48" s="185" t="str">
        <f>VLOOKUP(A48,'Trips&amp;Operators'!$C$1:$G$99911,5,FALSE)</f>
        <v>YORK EDGAR</v>
      </c>
      <c r="M48" s="6">
        <f>I48-F48</f>
        <v>2.8240740743058268E-2</v>
      </c>
      <c r="N48" s="7">
        <f>24*60*SUM($M48:$M48)</f>
        <v>40.666666670003906</v>
      </c>
      <c r="O48" s="7"/>
      <c r="P48" s="7"/>
      <c r="Q48" s="22"/>
      <c r="R48" s="174"/>
      <c r="S48" s="221">
        <f>1/IF(AG48="EC",12,1)*SUM(U48:U48)</f>
        <v>1</v>
      </c>
      <c r="T48" s="174" t="str">
        <f>IF(ISEVEN(LEFT(AD48,4)),"Southbound","NorthBound")</f>
        <v>NorthBound</v>
      </c>
      <c r="U48" s="198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16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2017-10-23T06:49:06-0600',mode:absolute,to:'2017-10-23T09:43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48" s="204" t="str">
        <f>IF(AA48&lt;VLOOKUP(AG48,Variables!$AC$3:$AD$8,2,FALSE),"Y","N")</f>
        <v>N</v>
      </c>
      <c r="X48" s="204">
        <f>VALUE(LEFT(AD48,4))-VALUE(LEFT(AD47,4))</f>
        <v>1</v>
      </c>
      <c r="Y48" s="204">
        <f>RIGHT(D48,LEN(D48)-4)/10000</f>
        <v>4.3499999999999997E-2</v>
      </c>
      <c r="Z48" s="204">
        <f>RIGHT(H48,LEN(H48)-4)/10000</f>
        <v>23.3308</v>
      </c>
      <c r="AA48" s="204">
        <f>ABS(Z48-Y48)</f>
        <v>23.287299999999998</v>
      </c>
      <c r="AB48" s="54" t="e">
        <f>VLOOKUP(A48,Enforcements!$C$7:$K$11,8,0)</f>
        <v>#N/A</v>
      </c>
      <c r="AC48" s="51" t="e">
        <f>VLOOKUP(A48,Enforcements!$C$7:$E$11,3,0)</f>
        <v>#N/A</v>
      </c>
      <c r="AD48" s="179">
        <f>VALUE(LEFT(A48,LEN(A48)-3))</f>
        <v>135</v>
      </c>
      <c r="AE48" s="77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s3://rtdc.mdm.uploadarchive.raw/RTDC4018/ "%USERPROFILE%\AppData\Local\Temp\OnboardLogs"\RTDC4018\2017-10-23 --exclude "*" --recursive --include "*20171023*" &amp; "%USERPROFILE%\Documents\GitHub\mrs-test-scripts\Headless Mode &amp; Sideloading\WalkAndUnGZ.bat" "%USERPROFILE%\AppData\Local\Temp\OnboardLogs"\RTDC4018\2017-10-23 &amp; aws s3 cp s3://rtdc.mdm.uploadarchive.raw/RTDC4018/ "%USERPROFILE%\AppData\Local\Temp\OnboardLogs"\RTDC4018\2017-10-24 --exclude "*" --recursive --include "*20171024*" &amp; "%USERPROFILE%\Documents\GitHub\mrs-test-scripts\Headless Mode &amp; Sideloading\WalkAndUnGZ.bat" "%USERPROFILE%\AppData\Local\Temp\OnboardLogs"\RTDC4018\2017-10-24</v>
      </c>
      <c r="AF48" s="74" t="str">
        <f>astrogrep_path&amp;" /e /r /s /spath="&amp;search_path&amp;" /stypes=""app*"&amp;B48&amp;"*"&amp;TEXT(I48-utc_offset/24,"YYYYMMDD")&amp;"*"" /stext="" "&amp;TEXT(I48-utc_offset/24,"HH")&amp;search_regexp&amp;""""</f>
        <v>"C:\Program Files (x86)\AstroGrep\AstroGrep.exe" /e /r /s /spath="%USERPROFILE%\AppData\Local\Temp\OnboardLogs" /stypes="app*4018*20171023*" /stext=" 14:.+((SYSTEM_STATE.+slice.+state.+changed )|(ment ac)|(multiple cpu faults)|(system.+state.+changed )|(\[timeout)|(PRM\|1\|D)|(kpr)|(kdp)|(train st.+moving)|(\|lc)|(penalty))"</v>
      </c>
      <c r="AG48" s="182" t="str">
        <f>DetSubdiv(A48)</f>
        <v>EC</v>
      </c>
      <c r="AH48" s="78" t="str">
        <f t="shared" si="5"/>
        <v>"%USERPROFILE%\Documents\GitHub\eaglep3\Utilities\RefineRTDCRunTimes.py" --tripid 135-23 --locoid 4018 --swversion DE.1.0.9.0 --startMP 204:435 --initTime 2017-10-23T07:49:06 --startdatetime 2017-10-23T08:02:40 --delay 72 --endMP 204:233308 --enddatetime 2017-10-23T08:43:20 --enforcementcount 0 &gt;&gt;%USERPROFILE%\Documents\GitHub\eaglep3-reporting\EC\2017-10-23-refined-times.txt</v>
      </c>
      <c r="AI48" s="96" t="str">
        <f t="shared" si="6"/>
        <v>echo {"issue":{"subject":"","project_id":79,"tracker_id":40,"status_id":1,"priority_id":2,"assigned_to_id":338,"start_date":"2017-10-23","description":"","custom_fields":[{"id":1,"name":"Subdivision","value":"EC"},{"id":4,"name":"Milepost","value":"23.3308"},{"id":17,"name":"Train ID","value":"135-23"},{"id":16,"name":"Locomotive ID","value":"4018"},{"id":130,"name":"Impact","value":""},{"id":150,"name":"Time of Event (Mountain Time)","value":"08:43:20"},{"id":151,"name":"Denver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0"/>
      <c r="AK48" s="47"/>
      <c r="AL48" s="47"/>
      <c r="AM48" s="142" t="str">
        <f t="shared" si="7"/>
        <v>start /low /b %USERPROFILE%\Documents\GitHub\eaglep3\Utilities\DownloadLogsFromS3.py --loco 4018 --day 2017-10-23</v>
      </c>
      <c r="AN48" s="151" t="str">
        <f t="shared" si="8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14:43:20"},{"id":29,"name":"Sharepoint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168" t="str">
        <f t="shared" si="9"/>
        <v>https://d0f6bd738d7f1b3e5a7ca70fe4ff75f0.us-east-1.aws.found.io/app/kibana#/discover/Steve-Slow-Train-Analysis-(2080s-and-2083s)?_g=(refreshInterval:(display:Off,pause:!f,section:0,value:0),time:(from:'2017-10-23T06:49:06-0600',mode:absolute,to:'2017-10-23T09:43:20-0600'))&amp;_a=(columns:!('Message%20ID',Summary),filters:!(),index:'emp_*',interval:auto,query:(query_string:(analyze_wildcard:!t,query:'%22rtdc.l.rtdc.4018%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3">
      <c r="A49" s="32" t="s">
        <v>753</v>
      </c>
      <c r="B49" s="7">
        <v>4017</v>
      </c>
      <c r="C49" s="21" t="s">
        <v>194</v>
      </c>
      <c r="D49" s="21" t="s">
        <v>396</v>
      </c>
      <c r="E49" s="13">
        <v>43031.364305555559</v>
      </c>
      <c r="F49" s="13">
        <v>43031.373113425929</v>
      </c>
      <c r="G49" s="7">
        <v>62</v>
      </c>
      <c r="H49" s="21" t="s">
        <v>354</v>
      </c>
      <c r="I49" s="13">
        <v>43031.400717592594</v>
      </c>
      <c r="J49" s="7">
        <v>0</v>
      </c>
      <c r="K49" s="89" t="str">
        <f>IF(ISEVEN(B49),(B49-1)&amp;"/"&amp;B49,B49&amp;"/"&amp;(B49+1))</f>
        <v>4017/4018</v>
      </c>
      <c r="L49" s="185" t="str">
        <f>VLOOKUP(A49,'Trips&amp;Operators'!$C$1:$G$99911,5,FALSE)</f>
        <v>YORK EDGAR</v>
      </c>
      <c r="M49" s="6">
        <f>I49-F49</f>
        <v>2.7604166665696539E-2</v>
      </c>
      <c r="N49" s="7">
        <f>24*60*SUM($M49:$M49)</f>
        <v>39.749999998603016</v>
      </c>
      <c r="O49" s="7"/>
      <c r="P49" s="7"/>
      <c r="Q49" s="22"/>
      <c r="R49" s="174"/>
      <c r="S49" s="221">
        <f>1/IF(AG49="EC",12,1)*SUM(U49:U49)</f>
        <v>1</v>
      </c>
      <c r="T49" s="174" t="str">
        <f>IF(ISEVEN(LEFT(AD49,4)),"Southbound","NorthBound")</f>
        <v>Southbound</v>
      </c>
      <c r="U49" s="198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16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2017-10-23T07:44:36-0600',mode:absolute,to:'2017-10-23T10:37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9" s="204" t="str">
        <f>IF(AA49&lt;VLOOKUP(AG49,Variables!$AC$3:$AD$8,2,FALSE),"Y","N")</f>
        <v>N</v>
      </c>
      <c r="X49" s="204">
        <f>VALUE(LEFT(AD49,4))-VALUE(LEFT(AD48,4))</f>
        <v>1</v>
      </c>
      <c r="Y49" s="204">
        <f>RIGHT(D49,LEN(D49)-4)/10000</f>
        <v>23.299099999999999</v>
      </c>
      <c r="Z49" s="204">
        <f>RIGHT(H49,LEN(H49)-4)/10000</f>
        <v>1.52E-2</v>
      </c>
      <c r="AA49" s="204">
        <f>ABS(Z49-Y49)</f>
        <v>23.283899999999999</v>
      </c>
      <c r="AB49" s="54" t="e">
        <f>VLOOKUP(A49,Enforcements!$C$7:$K$11,8,0)</f>
        <v>#N/A</v>
      </c>
      <c r="AC49" s="51" t="e">
        <f>VLOOKUP(A49,Enforcements!$C$7:$E$11,3,0)</f>
        <v>#N/A</v>
      </c>
      <c r="AD49" s="179">
        <f>VALUE(LEFT(A49,LEN(A49)-3))</f>
        <v>136</v>
      </c>
      <c r="AE49" s="77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s3://rtdc.mdm.uploadarchive.raw/RTDC4017/ "%USERPROFILE%\AppData\Local\Temp\OnboardLogs"\RTDC4017\2017-10-23 --exclude "*" --recursive --include "*20171023*" &amp; "%USERPROFILE%\Documents\GitHub\mrs-test-scripts\Headless Mode &amp; Sideloading\WalkAndUnGZ.bat" "%USERPROFILE%\AppData\Local\Temp\OnboardLogs"\RTDC4017\2017-10-23 &amp; aws s3 cp s3://rtdc.mdm.uploadarchive.raw/RTDC4017/ "%USERPROFILE%\AppData\Local\Temp\OnboardLogs"\RTDC4017\2017-10-24 --exclude "*" --recursive --include "*20171024*" &amp; "%USERPROFILE%\Documents\GitHub\mrs-test-scripts\Headless Mode &amp; Sideloading\WalkAndUnGZ.bat" "%USERPROFILE%\AppData\Local\Temp\OnboardLogs"\RTDC4017\2017-10-24</v>
      </c>
      <c r="AF49" s="74" t="str">
        <f>astrogrep_path&amp;" /e /r /s /spath="&amp;search_path&amp;" /stypes=""app*"&amp;B49&amp;"*"&amp;TEXT(I49-utc_offset/24,"YYYYMMDD")&amp;"*"" /stext="" "&amp;TEXT(I49-utc_offset/24,"HH")&amp;search_regexp&amp;""""</f>
        <v>"C:\Program Files (x86)\AstroGrep\AstroGrep.exe" /e /r /s /spath="%USERPROFILE%\AppData\Local\Temp\OnboardLogs" /stypes="app*4017*20171023*" /stext=" 15:.+((SYSTEM_STATE.+slice.+state.+changed )|(ment ac)|(multiple cpu faults)|(system.+state.+changed )|(\[timeout)|(PRM\|1\|D)|(kpr)|(kdp)|(train st.+moving)|(\|lc)|(penalty))"</v>
      </c>
      <c r="AG49" s="182" t="str">
        <f>DetSubdiv(A49)</f>
        <v>EC</v>
      </c>
      <c r="AH49" s="78" t="str">
        <f t="shared" si="5"/>
        <v>"%USERPROFILE%\Documents\GitHub\eaglep3\Utilities\RefineRTDCRunTimes.py" --tripid 136-23 --locoid 4017 --swversion DE.1.0.9.0 --startMP 204:232991 --initTime 2017-10-23T08:44:36 --startdatetime 2017-10-23T08:57:17 --delay 62 --endMP 204:152 --enddatetime 2017-10-23T09:37:02 --enforcementcount 0 &gt;&gt;%USERPROFILE%\Documents\GitHub\eaglep3-reporting\EC\2017-10-23-refined-times.txt</v>
      </c>
      <c r="AI49" s="96" t="str">
        <f t="shared" si="6"/>
        <v>echo {"issue":{"subject":"","project_id":79,"tracker_id":40,"status_id":1,"priority_id":2,"assigned_to_id":338,"start_date":"2017-10-23","description":"","custom_fields":[{"id":1,"name":"Subdivision","value":"EC"},{"id":4,"name":"Milepost","value":"0.0152"},{"id":17,"name":"Train ID","value":"136-23"},{"id":16,"name":"Locomotive ID","value":"4017"},{"id":130,"name":"Impact","value":""},{"id":150,"name":"Time of Event (Mountain Time)","value":"09:37:02"},{"id":151,"name":"Denver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0"/>
      <c r="AK49" s="47"/>
      <c r="AL49" s="47"/>
      <c r="AM49" s="142" t="str">
        <f t="shared" si="7"/>
        <v>start /low /b %USERPROFILE%\Documents\GitHub\eaglep3\Utilities\DownloadLogsFromS3.py --loco 4017 --day 2017-10-23</v>
      </c>
      <c r="AN49" s="151" t="str">
        <f t="shared" si="8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15:37:02"},{"id":29,"name":"Sharepoint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168" t="str">
        <f t="shared" si="9"/>
        <v>https://d0f6bd738d7f1b3e5a7ca70fe4ff75f0.us-east-1.aws.found.io/app/kibana#/discover/Steve-Slow-Train-Analysis-(2080s-and-2083s)?_g=(refreshInterval:(display:Off,pause:!f,section:0,value:0),time:(from:'2017-10-23T07:44:36-0600',mode:absolute,to:'2017-10-23T10:37:02-0600'))&amp;_a=(columns:!('Message%20ID',Summary),filters:!(),index:'emp_*',interval:auto,query:(query_string:(analyze_wildcard:!t,query:'%22rtdc.l.rtdc.4017%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3">
      <c r="A50" s="32" t="s">
        <v>744</v>
      </c>
      <c r="B50" s="7">
        <v>4016</v>
      </c>
      <c r="C50" s="21" t="s">
        <v>194</v>
      </c>
      <c r="D50" s="21" t="s">
        <v>384</v>
      </c>
      <c r="E50" s="13">
        <v>43031.338865740741</v>
      </c>
      <c r="F50" s="13">
        <v>43031.344074074077</v>
      </c>
      <c r="G50" s="7">
        <v>68</v>
      </c>
      <c r="H50" s="21" t="s">
        <v>917</v>
      </c>
      <c r="I50" s="13">
        <v>43031.371215277781</v>
      </c>
      <c r="J50" s="7">
        <v>0</v>
      </c>
      <c r="K50" s="89" t="str">
        <f>IF(ISEVEN(B50),(B50-1)&amp;"/"&amp;B50,B50&amp;"/"&amp;(B50+1))</f>
        <v>4015/4016</v>
      </c>
      <c r="L50" s="185" t="str">
        <f>VLOOKUP(A50,'Trips&amp;Operators'!$C$1:$G$99911,5,FALSE)</f>
        <v>BARRON PERLA</v>
      </c>
      <c r="M50" s="6">
        <f>I50-F50</f>
        <v>2.7141203703649808E-2</v>
      </c>
      <c r="N50" s="7">
        <f>24*60*SUM($M50:$M50)</f>
        <v>39.083333333255723</v>
      </c>
      <c r="O50" s="7"/>
      <c r="P50" s="7"/>
      <c r="Q50" s="22"/>
      <c r="R50" s="174"/>
      <c r="S50" s="221">
        <f>1/IF(AG50="EC",12,1)*SUM(U50:U50)</f>
        <v>1</v>
      </c>
      <c r="T50" s="174" t="str">
        <f>IF(ISEVEN(LEFT(AD50,4)),"Southbound","NorthBound")</f>
        <v>NorthBound</v>
      </c>
      <c r="U50" s="198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16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2017-10-23T07:07:58-0600',mode:absolute,to:'2017-10-23T09:54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0" s="204" t="str">
        <f>IF(AA50&lt;VLOOKUP(AG50,Variables!$AC$3:$AD$8,2,FALSE),"Y","N")</f>
        <v>N</v>
      </c>
      <c r="X50" s="204">
        <f>VALUE(LEFT(AD50,4))-VALUE(LEFT(AD49,4))</f>
        <v>1</v>
      </c>
      <c r="Y50" s="204">
        <f>RIGHT(D50,LEN(D50)-4)/10000</f>
        <v>4.7300000000000002E-2</v>
      </c>
      <c r="Z50" s="204">
        <f>RIGHT(H50,LEN(H50)-4)/10000</f>
        <v>23.330300000000001</v>
      </c>
      <c r="AA50" s="204">
        <f>ABS(Z50-Y50)</f>
        <v>23.283000000000001</v>
      </c>
      <c r="AB50" s="54" t="e">
        <f>VLOOKUP(A50,Enforcements!$C$7:$K$11,8,0)</f>
        <v>#N/A</v>
      </c>
      <c r="AC50" s="51" t="e">
        <f>VLOOKUP(A50,Enforcements!$C$7:$E$11,3,0)</f>
        <v>#N/A</v>
      </c>
      <c r="AD50" s="179">
        <f>VALUE(LEFT(A50,LEN(A50)-3))</f>
        <v>137</v>
      </c>
      <c r="AE50" s="77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s3://rtdc.mdm.uploadarchive.raw/RTDC4016/ "%USERPROFILE%\AppData\Local\Temp\OnboardLogs"\RTDC4016\2017-10-23 --exclude "*" --recursive --include "*20171023*" &amp; "%USERPROFILE%\Documents\GitHub\mrs-test-scripts\Headless Mode &amp; Sideloading\WalkAndUnGZ.bat" "%USERPROFILE%\AppData\Local\Temp\OnboardLogs"\RTDC4016\2017-10-23 &amp; aws s3 cp s3://rtdc.mdm.uploadarchive.raw/RTDC4016/ "%USERPROFILE%\AppData\Local\Temp\OnboardLogs"\RTDC4016\2017-10-24 --exclude "*" --recursive --include "*20171024*" &amp; "%USERPROFILE%\Documents\GitHub\mrs-test-scripts\Headless Mode &amp; Sideloading\WalkAndUnGZ.bat" "%USERPROFILE%\AppData\Local\Temp\OnboardLogs"\RTDC4016\2017-10-24</v>
      </c>
      <c r="AF50" s="74" t="str">
        <f>astrogrep_path&amp;" /e /r /s /spath="&amp;search_path&amp;" /stypes=""app*"&amp;B50&amp;"*"&amp;TEXT(I50-utc_offset/24,"YYYYMMDD")&amp;"*"" /stext="" "&amp;TEXT(I50-utc_offset/24,"HH")&amp;search_regexp&amp;""""</f>
        <v>"C:\Program Files (x86)\AstroGrep\AstroGrep.exe" /e /r /s /spath="%USERPROFILE%\AppData\Local\Temp\OnboardLogs" /stypes="app*4016*20171023*" /stext=" 14:.+((SYSTEM_STATE.+slice.+state.+changed )|(ment ac)|(multiple cpu faults)|(system.+state.+changed )|(\[timeout)|(PRM\|1\|D)|(kpr)|(kdp)|(train st.+moving)|(\|lc)|(penalty))"</v>
      </c>
      <c r="AG50" s="182" t="str">
        <f>DetSubdiv(A50)</f>
        <v>EC</v>
      </c>
      <c r="AH50" s="78" t="str">
        <f t="shared" si="5"/>
        <v>"%USERPROFILE%\Documents\GitHub\eaglep3\Utilities\RefineRTDCRunTimes.py" --tripid 137-23 --locoid 4016 --swversion DE.1.0.9.0 --startMP 204:473 --initTime 2017-10-23T08:07:58 --startdatetime 2017-10-23T08:15:28 --delay 68 --endMP 204:233303 --enddatetime 2017-10-23T08:54:33 --enforcementcount 0 &gt;&gt;%USERPROFILE%\Documents\GitHub\eaglep3-reporting\EC\2017-10-23-refined-times.txt</v>
      </c>
      <c r="AI50" s="96" t="str">
        <f t="shared" si="6"/>
        <v>echo {"issue":{"subject":"","project_id":79,"tracker_id":40,"status_id":1,"priority_id":2,"assigned_to_id":338,"start_date":"2017-10-23","description":"","custom_fields":[{"id":1,"name":"Subdivision","value":"EC"},{"id":4,"name":"Milepost","value":"23.3303"},{"id":17,"name":"Train ID","value":"137-23"},{"id":16,"name":"Locomotive ID","value":"4016"},{"id":130,"name":"Impact","value":""},{"id":150,"name":"Time of Event (Mountain Time)","value":"08:54:33"},{"id":151,"name":"Denver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0"/>
      <c r="AK50" s="47"/>
      <c r="AL50" s="47"/>
      <c r="AM50" s="142" t="str">
        <f t="shared" si="7"/>
        <v>start /low /b %USERPROFILE%\Documents\GitHub\eaglep3\Utilities\DownloadLogsFromS3.py --loco 4016 --day 2017-10-23</v>
      </c>
      <c r="AN50" s="151" t="str">
        <f t="shared" si="8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14:54:33"},{"id":29,"name":"Sharepoint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168" t="str">
        <f t="shared" si="9"/>
        <v>https://d0f6bd738d7f1b3e5a7ca70fe4ff75f0.us-east-1.aws.found.io/app/kibana#/discover/Steve-Slow-Train-Analysis-(2080s-and-2083s)?_g=(refreshInterval:(display:Off,pause:!f,section:0,value:0),time:(from:'2017-10-23T07:07:58-0600',mode:absolute,to:'2017-10-23T09:54:33-0600'))&amp;_a=(columns:!('Message%20ID',Summary),filters:!(),index:'emp_*',interval:auto,query:(query_string:(analyze_wildcard:!t,query:'%22rtdc.l.rtdc.4016%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3">
      <c r="A51" s="32" t="s">
        <v>754</v>
      </c>
      <c r="B51" s="7">
        <v>4015</v>
      </c>
      <c r="C51" s="21" t="s">
        <v>194</v>
      </c>
      <c r="D51" s="21" t="s">
        <v>434</v>
      </c>
      <c r="E51" s="13">
        <v>43031.372650462959</v>
      </c>
      <c r="F51" s="13">
        <v>43031.38349537037</v>
      </c>
      <c r="G51" s="7">
        <v>69</v>
      </c>
      <c r="H51" s="21" t="s">
        <v>336</v>
      </c>
      <c r="I51" s="13">
        <v>43031.41265046296</v>
      </c>
      <c r="J51" s="7">
        <v>0</v>
      </c>
      <c r="K51" s="89" t="str">
        <f>IF(ISEVEN(B51),(B51-1)&amp;"/"&amp;B51,B51&amp;"/"&amp;(B51+1))</f>
        <v>4015/4016</v>
      </c>
      <c r="L51" s="185" t="str">
        <f>VLOOKUP(A51,'Trips&amp;Operators'!$C$1:$G$99911,5,FALSE)</f>
        <v>BARRON PERLA</v>
      </c>
      <c r="M51" s="6">
        <f>I51-F51</f>
        <v>2.9155092590372078E-2</v>
      </c>
      <c r="N51" s="7">
        <f>24*60*SUM($M51:$M51)</f>
        <v>41.983333330135792</v>
      </c>
      <c r="O51" s="7"/>
      <c r="P51" s="7"/>
      <c r="Q51" s="22"/>
      <c r="R51" s="174"/>
      <c r="S51" s="221">
        <f>1/IF(AG51="EC",12,1)*SUM(U51:U51)</f>
        <v>1</v>
      </c>
      <c r="T51" s="174" t="str">
        <f>IF(ISEVEN(LEFT(AD51,4)),"Southbound","NorthBound")</f>
        <v>Southbound</v>
      </c>
      <c r="U51" s="198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16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2017-10-23T07:56:37-0600',mode:absolute,to:'2017-10-23T10:54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1" s="204" t="str">
        <f>IF(AA51&lt;VLOOKUP(AG51,Variables!$AC$3:$AD$8,2,FALSE),"Y","N")</f>
        <v>N</v>
      </c>
      <c r="X51" s="204">
        <f>VALUE(LEFT(AD51,4))-VALUE(LEFT(AD50,4))</f>
        <v>1</v>
      </c>
      <c r="Y51" s="204">
        <f>RIGHT(D51,LEN(D51)-4)/10000</f>
        <v>23.2988</v>
      </c>
      <c r="Z51" s="204">
        <f>RIGHT(H51,LEN(H51)-4)/10000</f>
        <v>1.49E-2</v>
      </c>
      <c r="AA51" s="204">
        <f>ABS(Z51-Y51)</f>
        <v>23.283899999999999</v>
      </c>
      <c r="AB51" s="54" t="e">
        <f>VLOOKUP(A51,Enforcements!$C$7:$K$11,8,0)</f>
        <v>#N/A</v>
      </c>
      <c r="AC51" s="51" t="e">
        <f>VLOOKUP(A51,Enforcements!$C$7:$E$11,3,0)</f>
        <v>#N/A</v>
      </c>
      <c r="AD51" s="179">
        <f>VALUE(LEFT(A51,LEN(A51)-3))</f>
        <v>138</v>
      </c>
      <c r="AE51" s="77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s3://rtdc.mdm.uploadarchive.raw/RTDC4015/ "%USERPROFILE%\AppData\Local\Temp\OnboardLogs"\RTDC4015\2017-10-23 --exclude "*" --recursive --include "*20171023*" &amp; "%USERPROFILE%\Documents\GitHub\mrs-test-scripts\Headless Mode &amp; Sideloading\WalkAndUnGZ.bat" "%USERPROFILE%\AppData\Local\Temp\OnboardLogs"\RTDC4015\2017-10-23 &amp; aws s3 cp s3://rtdc.mdm.uploadarchive.raw/RTDC4015/ "%USERPROFILE%\AppData\Local\Temp\OnboardLogs"\RTDC4015\2017-10-24 --exclude "*" --recursive --include "*20171024*" &amp; "%USERPROFILE%\Documents\GitHub\mrs-test-scripts\Headless Mode &amp; Sideloading\WalkAndUnGZ.bat" "%USERPROFILE%\AppData\Local\Temp\OnboardLogs"\RTDC4015\2017-10-24</v>
      </c>
      <c r="AF51" s="74" t="str">
        <f>astrogrep_path&amp;" /e /r /s /spath="&amp;search_path&amp;" /stypes=""app*"&amp;B51&amp;"*"&amp;TEXT(I51-utc_offset/24,"YYYYMMDD")&amp;"*"" /stext="" "&amp;TEXT(I51-utc_offset/24,"HH")&amp;search_regexp&amp;""""</f>
        <v>"C:\Program Files (x86)\AstroGrep\AstroGrep.exe" /e /r /s /spath="%USERPROFILE%\AppData\Local\Temp\OnboardLogs" /stypes="app*4015*20171023*" /stext=" 15:.+((SYSTEM_STATE.+slice.+state.+changed )|(ment ac)|(multiple cpu faults)|(system.+state.+changed )|(\[timeout)|(PRM\|1\|D)|(kpr)|(kdp)|(train st.+moving)|(\|lc)|(penalty))"</v>
      </c>
      <c r="AG51" s="182" t="str">
        <f>DetSubdiv(A51)</f>
        <v>EC</v>
      </c>
      <c r="AH51" s="78" t="str">
        <f t="shared" si="5"/>
        <v>"%USERPROFILE%\Documents\GitHub\eaglep3\Utilities\RefineRTDCRunTimes.py" --tripid 138-23 --locoid 4015 --swversion DE.1.0.9.0 --startMP 204:232988 --initTime 2017-10-23T08:56:37 --startdatetime 2017-10-23T09:12:14 --delay 69 --endMP 204:149 --enddatetime 2017-10-23T09:54:13 --enforcementcount 0 &gt;&gt;%USERPROFILE%\Documents\GitHub\eaglep3-reporting\EC\2017-10-23-refined-times.txt</v>
      </c>
      <c r="AI51" s="96" t="str">
        <f t="shared" si="6"/>
        <v>echo {"issue":{"subject":"","project_id":79,"tracker_id":40,"status_id":1,"priority_id":2,"assigned_to_id":338,"start_date":"2017-10-23","description":"","custom_fields":[{"id":1,"name":"Subdivision","value":"EC"},{"id":4,"name":"Milepost","value":"0.0149"},{"id":17,"name":"Train ID","value":"138-23"},{"id":16,"name":"Locomotive ID","value":"4015"},{"id":130,"name":"Impact","value":""},{"id":150,"name":"Time of Event (Mountain Time)","value":"09:54:13"},{"id":151,"name":"Denver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0"/>
      <c r="AK51" s="47"/>
      <c r="AL51" s="47"/>
      <c r="AM51" s="142" t="str">
        <f t="shared" si="7"/>
        <v>start /low /b %USERPROFILE%\Documents\GitHub\eaglep3\Utilities\DownloadLogsFromS3.py --loco 4015 --day 2017-10-23</v>
      </c>
      <c r="AN51" s="151" t="str">
        <f t="shared" si="8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15:54:13"},{"id":29,"name":"Sharepoint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168" t="str">
        <f t="shared" si="9"/>
        <v>https://d0f6bd738d7f1b3e5a7ca70fe4ff75f0.us-east-1.aws.found.io/app/kibana#/discover/Steve-Slow-Train-Analysis-(2080s-and-2083s)?_g=(refreshInterval:(display:Off,pause:!f,section:0,value:0),time:(from:'2017-10-23T07:56:37-0600',mode:absolute,to:'2017-10-23T10:54:13-0600'))&amp;_a=(columns:!('Message%20ID',Summary),filters:!(),index:'emp_*',interval:auto,query:(query_string:(analyze_wildcard:!t,query:'%22rtdc.l.rtdc.4015%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3">
      <c r="A52" s="32" t="s">
        <v>751</v>
      </c>
      <c r="B52" s="7">
        <v>4042</v>
      </c>
      <c r="C52" s="21" t="s">
        <v>194</v>
      </c>
      <c r="D52" s="21" t="s">
        <v>395</v>
      </c>
      <c r="E52" s="13">
        <v>43031.352511574078</v>
      </c>
      <c r="F52" s="13">
        <v>43031.354456018518</v>
      </c>
      <c r="G52" s="7">
        <v>64</v>
      </c>
      <c r="H52" s="21" t="s">
        <v>599</v>
      </c>
      <c r="I52" s="13">
        <v>43031.380474537036</v>
      </c>
      <c r="J52" s="7">
        <v>0</v>
      </c>
      <c r="K52" s="89" t="str">
        <f>IF(ISEVEN(B52),(B52-1)&amp;"/"&amp;B52,B52&amp;"/"&amp;(B52+1))</f>
        <v>4041/4042</v>
      </c>
      <c r="L52" s="185" t="str">
        <f>VLOOKUP(A52,'Trips&amp;Operators'!$C$1:$G$99911,5,FALSE)</f>
        <v>MAELZER KURT</v>
      </c>
      <c r="M52" s="6">
        <f>I52-F52</f>
        <v>2.6018518517958E-2</v>
      </c>
      <c r="N52" s="7">
        <f>24*60*SUM($M52:$M52)</f>
        <v>37.46666666585952</v>
      </c>
      <c r="O52" s="7"/>
      <c r="P52" s="7"/>
      <c r="Q52" s="22"/>
      <c r="R52" s="174"/>
      <c r="S52" s="221">
        <f>1/IF(AG52="EC",12,1)*SUM(U52:U52)</f>
        <v>1</v>
      </c>
      <c r="T52" s="174" t="str">
        <f>IF(ISEVEN(LEFT(AD52,4)),"Southbound","NorthBound")</f>
        <v>NorthBound</v>
      </c>
      <c r="U52" s="198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16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2017-10-23T07:27:37-0600',mode:absolute,to:'2017-10-23T10:07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2" s="204" t="str">
        <f>IF(AA52&lt;VLOOKUP(AG52,Variables!$AC$3:$AD$8,2,FALSE),"Y","N")</f>
        <v>N</v>
      </c>
      <c r="X52" s="204">
        <f>VALUE(LEFT(AD52,4))-VALUE(LEFT(AD51,4))</f>
        <v>1</v>
      </c>
      <c r="Y52" s="204">
        <f>RIGHT(D52,LEN(D52)-4)/10000</f>
        <v>4.6399999999999997E-2</v>
      </c>
      <c r="Z52" s="204">
        <f>RIGHT(H52,LEN(H52)-4)/10000</f>
        <v>23.3338</v>
      </c>
      <c r="AA52" s="204">
        <f>ABS(Z52-Y52)</f>
        <v>23.287400000000002</v>
      </c>
      <c r="AB52" s="54" t="e">
        <f>VLOOKUP(A52,Enforcements!$C$7:$K$11,8,0)</f>
        <v>#N/A</v>
      </c>
      <c r="AC52" s="51" t="e">
        <f>VLOOKUP(A52,Enforcements!$C$7:$E$11,3,0)</f>
        <v>#N/A</v>
      </c>
      <c r="AD52" s="179">
        <f>VALUE(LEFT(A52,LEN(A52)-3))</f>
        <v>139</v>
      </c>
      <c r="AE52" s="77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s3://rtdc.mdm.uploadarchive.raw/RTDC4042/ "%USERPROFILE%\AppData\Local\Temp\OnboardLogs"\RTDC4042\2017-10-23 --exclude "*" --recursive --include "*20171023*" &amp; "%USERPROFILE%\Documents\GitHub\mrs-test-scripts\Headless Mode &amp; Sideloading\WalkAndUnGZ.bat" "%USERPROFILE%\AppData\Local\Temp\OnboardLogs"\RTDC4042\2017-10-23 &amp; aws s3 cp s3://rtdc.mdm.uploadarchive.raw/RTDC4042/ "%USERPROFILE%\AppData\Local\Temp\OnboardLogs"\RTDC4042\2017-10-24 --exclude "*" --recursive --include "*20171024*" &amp; "%USERPROFILE%\Documents\GitHub\mrs-test-scripts\Headless Mode &amp; Sideloading\WalkAndUnGZ.bat" "%USERPROFILE%\AppData\Local\Temp\OnboardLogs"\RTDC4042\2017-10-24</v>
      </c>
      <c r="AF52" s="74" t="str">
        <f>astrogrep_path&amp;" /e /r /s /spath="&amp;search_path&amp;" /stypes=""app*"&amp;B52&amp;"*"&amp;TEXT(I52-utc_offset/24,"YYYYMMDD")&amp;"*"" /stext="" "&amp;TEXT(I52-utc_offset/24,"HH")&amp;search_regexp&amp;""""</f>
        <v>"C:\Program Files (x86)\AstroGrep\AstroGrep.exe" /e /r /s /spath="%USERPROFILE%\AppData\Local\Temp\OnboardLogs" /stypes="app*4042*20171023*" /stext=" 15:.+((SYSTEM_STATE.+slice.+state.+changed )|(ment ac)|(multiple cpu faults)|(system.+state.+changed )|(\[timeout)|(PRM\|1\|D)|(kpr)|(kdp)|(train st.+moving)|(\|lc)|(penalty))"</v>
      </c>
      <c r="AG52" s="182" t="str">
        <f>DetSubdiv(A52)</f>
        <v>EC</v>
      </c>
      <c r="AH52" s="78" t="str">
        <f t="shared" si="5"/>
        <v>"%USERPROFILE%\Documents\GitHub\eaglep3\Utilities\RefineRTDCRunTimes.py" --tripid 139-23 --locoid 4042 --swversion DE.1.0.9.0 --startMP 204:464 --initTime 2017-10-23T08:27:37 --startdatetime 2017-10-23T08:30:25 --delay 64 --endMP 204:233338 --enddatetime 2017-10-23T09:07:53 --enforcementcount 0 &gt;&gt;%USERPROFILE%\Documents\GitHub\eaglep3-reporting\EC\2017-10-23-refined-times.txt</v>
      </c>
      <c r="AI52" s="96" t="str">
        <f t="shared" si="6"/>
        <v>echo {"issue":{"subject":"","project_id":79,"tracker_id":40,"status_id":1,"priority_id":2,"assigned_to_id":338,"start_date":"2017-10-23","description":"","custom_fields":[{"id":1,"name":"Subdivision","value":"EC"},{"id":4,"name":"Milepost","value":"23.3338"},{"id":17,"name":"Train ID","value":"139-23"},{"id":16,"name":"Locomotive ID","value":"4042"},{"id":130,"name":"Impact","value":""},{"id":150,"name":"Time of Event (Mountain Time)","value":"09:07:53"},{"id":151,"name":"Denver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0"/>
      <c r="AK52" s="47"/>
      <c r="AL52" s="47"/>
      <c r="AM52" s="142" t="str">
        <f t="shared" si="7"/>
        <v>start /low /b %USERPROFILE%\Documents\GitHub\eaglep3\Utilities\DownloadLogsFromS3.py --loco 4042 --day 2017-10-23</v>
      </c>
      <c r="AN52" s="151" t="str">
        <f t="shared" si="8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15:07:53"},{"id":29,"name":"Sharepoint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168" t="str">
        <f t="shared" si="9"/>
        <v>https://d0f6bd738d7f1b3e5a7ca70fe4ff75f0.us-east-1.aws.found.io/app/kibana#/discover/Steve-Slow-Train-Analysis-(2080s-and-2083s)?_g=(refreshInterval:(display:Off,pause:!f,section:0,value:0),time:(from:'2017-10-23T07:27:37-0600',mode:absolute,to:'2017-10-23T10:07:53-0600'))&amp;_a=(columns:!('Message%20ID',Summary),filters:!(),index:'emp_*',interval:auto,query:(query_string:(analyze_wildcard:!t,query:'%22rtdc.l.rtdc.4042%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3">
      <c r="A53" s="32" t="s">
        <v>756</v>
      </c>
      <c r="B53" s="7">
        <v>4041</v>
      </c>
      <c r="C53" s="21" t="s">
        <v>194</v>
      </c>
      <c r="D53" s="21" t="s">
        <v>629</v>
      </c>
      <c r="E53" s="13">
        <v>43031.385740740741</v>
      </c>
      <c r="F53" s="13">
        <v>43031.393993055557</v>
      </c>
      <c r="G53" s="7">
        <v>54</v>
      </c>
      <c r="H53" s="21" t="s">
        <v>355</v>
      </c>
      <c r="I53" s="13">
        <v>43031.424155092594</v>
      </c>
      <c r="J53" s="7">
        <v>0</v>
      </c>
      <c r="K53" s="89" t="str">
        <f>IF(ISEVEN(B53),(B53-1)&amp;"/"&amp;B53,B53&amp;"/"&amp;(B53+1))</f>
        <v>4041/4042</v>
      </c>
      <c r="L53" s="185" t="str">
        <f>VLOOKUP(A53,'Trips&amp;Operators'!$C$1:$G$99911,5,FALSE)</f>
        <v>MAELZER KURT</v>
      </c>
      <c r="M53" s="6">
        <f>I53-F53</f>
        <v>3.0162037037371192E-2</v>
      </c>
      <c r="N53" s="7">
        <f>24*60*SUM($M53:$M53)</f>
        <v>43.433333333814517</v>
      </c>
      <c r="O53" s="7"/>
      <c r="P53" s="7"/>
      <c r="Q53" s="22"/>
      <c r="R53" s="174"/>
      <c r="S53" s="221">
        <f>1/IF(AG53="EC",12,1)*SUM(U53:U53)</f>
        <v>1</v>
      </c>
      <c r="T53" s="174" t="str">
        <f>IF(ISEVEN(LEFT(AD53,4)),"Southbound","NorthBound")</f>
        <v>Southbound</v>
      </c>
      <c r="U53" s="198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16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2017-10-23T08:15:28-0600',mode:absolute,to:'2017-10-23T11:10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3" s="204" t="str">
        <f>IF(AA53&lt;VLOOKUP(AG53,Variables!$AC$3:$AD$8,2,FALSE),"Y","N")</f>
        <v>N</v>
      </c>
      <c r="X53" s="204">
        <f>VALUE(LEFT(AD53,4))-VALUE(LEFT(AD52,4))</f>
        <v>1</v>
      </c>
      <c r="Y53" s="204">
        <f>RIGHT(D53,LEN(D53)-4)/10000</f>
        <v>23.300599999999999</v>
      </c>
      <c r="Z53" s="204">
        <f>RIGHT(H53,LEN(H53)-4)/10000</f>
        <v>1.4500000000000001E-2</v>
      </c>
      <c r="AA53" s="204">
        <f>ABS(Z53-Y53)</f>
        <v>23.286099999999998</v>
      </c>
      <c r="AB53" s="54" t="e">
        <f>VLOOKUP(A53,Enforcements!$C$7:$K$11,8,0)</f>
        <v>#N/A</v>
      </c>
      <c r="AC53" s="51" t="e">
        <f>VLOOKUP(A53,Enforcements!$C$7:$E$11,3,0)</f>
        <v>#N/A</v>
      </c>
      <c r="AD53" s="179">
        <f>VALUE(LEFT(A53,LEN(A53)-3))</f>
        <v>140</v>
      </c>
      <c r="AE53" s="77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s3://rtdc.mdm.uploadarchive.raw/RTDC4041/ "%USERPROFILE%\AppData\Local\Temp\OnboardLogs"\RTDC4041\2017-10-23 --exclude "*" --recursive --include "*20171023*" &amp; "%USERPROFILE%\Documents\GitHub\mrs-test-scripts\Headless Mode &amp; Sideloading\WalkAndUnGZ.bat" "%USERPROFILE%\AppData\Local\Temp\OnboardLogs"\RTDC4041\2017-10-23 &amp; aws s3 cp s3://rtdc.mdm.uploadarchive.raw/RTDC4041/ "%USERPROFILE%\AppData\Local\Temp\OnboardLogs"\RTDC4041\2017-10-24 --exclude "*" --recursive --include "*20171024*" &amp; "%USERPROFILE%\Documents\GitHub\mrs-test-scripts\Headless Mode &amp; Sideloading\WalkAndUnGZ.bat" "%USERPROFILE%\AppData\Local\Temp\OnboardLogs"\RTDC4041\2017-10-24</v>
      </c>
      <c r="AF53" s="74" t="str">
        <f>astrogrep_path&amp;" /e /r /s /spath="&amp;search_path&amp;" /stypes=""app*"&amp;B53&amp;"*"&amp;TEXT(I53-utc_offset/24,"YYYYMMDD")&amp;"*"" /stext="" "&amp;TEXT(I53-utc_offset/24,"HH")&amp;search_regexp&amp;""""</f>
        <v>"C:\Program Files (x86)\AstroGrep\AstroGrep.exe" /e /r /s /spath="%USERPROFILE%\AppData\Local\Temp\OnboardLogs" /stypes="app*4041*20171023*" /stext=" 16:.+((SYSTEM_STATE.+slice.+state.+changed )|(ment ac)|(multiple cpu faults)|(system.+state.+changed )|(\[timeout)|(PRM\|1\|D)|(kpr)|(kdp)|(train st.+moving)|(\|lc)|(penalty))"</v>
      </c>
      <c r="AG53" s="182" t="str">
        <f>DetSubdiv(A53)</f>
        <v>EC</v>
      </c>
      <c r="AH53" s="78" t="str">
        <f t="shared" si="5"/>
        <v>"%USERPROFILE%\Documents\GitHub\eaglep3\Utilities\RefineRTDCRunTimes.py" --tripid 140-23 --locoid 4041 --swversion DE.1.0.9.0 --startMP 204:233006 --initTime 2017-10-23T09:15:28 --startdatetime 2017-10-23T09:27:21 --delay 54 --endMP 204:145 --enddatetime 2017-10-23T10:10:47 --enforcementcount 0 &gt;&gt;%USERPROFILE%\Documents\GitHub\eaglep3-reporting\EC\2017-10-23-refined-times.txt</v>
      </c>
      <c r="AI53" s="96" t="str">
        <f t="shared" si="6"/>
        <v>echo {"issue":{"subject":"","project_id":79,"tracker_id":40,"status_id":1,"priority_id":2,"assigned_to_id":338,"start_date":"2017-10-23","description":"","custom_fields":[{"id":1,"name":"Subdivision","value":"EC"},{"id":4,"name":"Milepost","value":"0.0145"},{"id":17,"name":"Train ID","value":"140-23"},{"id":16,"name":"Locomotive ID","value":"4041"},{"id":130,"name":"Impact","value":""},{"id":150,"name":"Time of Event (Mountain Time)","value":"10:10:47"},{"id":151,"name":"Denver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0"/>
      <c r="AK53" s="47"/>
      <c r="AL53" s="47"/>
      <c r="AM53" s="142" t="str">
        <f t="shared" si="7"/>
        <v>start /low /b %USERPROFILE%\Documents\GitHub\eaglep3\Utilities\DownloadLogsFromS3.py --loco 4041 --day 2017-10-23</v>
      </c>
      <c r="AN53" s="151" t="str">
        <f t="shared" si="8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16:10:47"},{"id":29,"name":"Sharepoint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168" t="str">
        <f t="shared" si="9"/>
        <v>https://d0f6bd738d7f1b3e5a7ca70fe4ff75f0.us-east-1.aws.found.io/app/kibana#/discover/Steve-Slow-Train-Analysis-(2080s-and-2083s)?_g=(refreshInterval:(display:Off,pause:!f,section:0,value:0),time:(from:'2017-10-23T08:15:28-0600',mode:absolute,to:'2017-10-23T11:10:47-0600'))&amp;_a=(columns:!('Message%20ID',Summary),filters:!(),index:'emp_*',interval:auto,query:(query_string:(analyze_wildcard:!t,query:'%22rtdc.l.rtdc.4041%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3">
      <c r="A54" s="32" t="s">
        <v>752</v>
      </c>
      <c r="B54" s="7">
        <v>4008</v>
      </c>
      <c r="C54" s="21" t="s">
        <v>194</v>
      </c>
      <c r="D54" s="21" t="s">
        <v>918</v>
      </c>
      <c r="E54" s="13">
        <v>43031.355428240742</v>
      </c>
      <c r="F54" s="13">
        <v>43031.367488425924</v>
      </c>
      <c r="G54" s="7">
        <v>62</v>
      </c>
      <c r="H54" s="21" t="s">
        <v>596</v>
      </c>
      <c r="I54" s="13">
        <v>43031.396585648145</v>
      </c>
      <c r="J54" s="7">
        <v>0</v>
      </c>
      <c r="K54" s="89" t="str">
        <f>IF(ISEVEN(B54),(B54-1)&amp;"/"&amp;B54,B54&amp;"/"&amp;(B54+1))</f>
        <v>4007/4008</v>
      </c>
      <c r="L54" s="185" t="str">
        <f>VLOOKUP(A54,'Trips&amp;Operators'!$C$1:$G$99911,5,FALSE)</f>
        <v>ACKERMAN JARED</v>
      </c>
      <c r="M54" s="6">
        <f>I54-F54</f>
        <v>2.9097222221025731E-2</v>
      </c>
      <c r="N54" s="7">
        <f>24*60*SUM($M54:$M54)</f>
        <v>41.899999998277053</v>
      </c>
      <c r="O54" s="7"/>
      <c r="P54" s="7"/>
      <c r="Q54" s="22"/>
      <c r="R54" s="174"/>
      <c r="S54" s="221">
        <f>1/IF(AG54="EC",12,1)*SUM(U54:U54)</f>
        <v>1</v>
      </c>
      <c r="T54" s="174" t="str">
        <f>IF(ISEVEN(LEFT(AD54,4)),"Southbound","NorthBound")</f>
        <v>NorthBound</v>
      </c>
      <c r="U54" s="198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16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2017-10-23T07:31:49-0600',mode:absolute,to:'2017-10-23T10:31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54" s="204" t="str">
        <f>IF(AA54&lt;VLOOKUP(AG54,Variables!$AC$3:$AD$8,2,FALSE),"Y","N")</f>
        <v>N</v>
      </c>
      <c r="X54" s="204">
        <f>VALUE(LEFT(AD54,4))-VALUE(LEFT(AD53,4))</f>
        <v>1</v>
      </c>
      <c r="Y54" s="204">
        <f>RIGHT(D54,LEN(D54)-4)/10000</f>
        <v>4.3799999999999999E-2</v>
      </c>
      <c r="Z54" s="204">
        <f>RIGHT(H54,LEN(H54)-4)/10000</f>
        <v>23.3324</v>
      </c>
      <c r="AA54" s="204">
        <f>ABS(Z54-Y54)</f>
        <v>23.288599999999999</v>
      </c>
      <c r="AB54" s="54" t="e">
        <f>VLOOKUP(A54,Enforcements!$C$7:$K$11,8,0)</f>
        <v>#N/A</v>
      </c>
      <c r="AC54" s="51" t="e">
        <f>VLOOKUP(A54,Enforcements!$C$7:$E$11,3,0)</f>
        <v>#N/A</v>
      </c>
      <c r="AD54" s="179">
        <f>VALUE(LEFT(A54,LEN(A54)-3))</f>
        <v>141</v>
      </c>
      <c r="AE54" s="77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s3://rtdc.mdm.uploadarchive.raw/RTDC4008/ "%USERPROFILE%\AppData\Local\Temp\OnboardLogs"\RTDC4008\2017-10-23 --exclude "*" --recursive --include "*20171023*" &amp; "%USERPROFILE%\Documents\GitHub\mrs-test-scripts\Headless Mode &amp; Sideloading\WalkAndUnGZ.bat" "%USERPROFILE%\AppData\Local\Temp\OnboardLogs"\RTDC4008\2017-10-23 &amp; aws s3 cp s3://rtdc.mdm.uploadarchive.raw/RTDC4008/ "%USERPROFILE%\AppData\Local\Temp\OnboardLogs"\RTDC4008\2017-10-24 --exclude "*" --recursive --include "*20171024*" &amp; "%USERPROFILE%\Documents\GitHub\mrs-test-scripts\Headless Mode &amp; Sideloading\WalkAndUnGZ.bat" "%USERPROFILE%\AppData\Local\Temp\OnboardLogs"\RTDC4008\2017-10-24</v>
      </c>
      <c r="AF54" s="74" t="str">
        <f>astrogrep_path&amp;" /e /r /s /spath="&amp;search_path&amp;" /stypes=""app*"&amp;B54&amp;"*"&amp;TEXT(I54-utc_offset/24,"YYYYMMDD")&amp;"*"" /stext="" "&amp;TEXT(I54-utc_offset/24,"HH")&amp;search_regexp&amp;""""</f>
        <v>"C:\Program Files (x86)\AstroGrep\AstroGrep.exe" /e /r /s /spath="%USERPROFILE%\AppData\Local\Temp\OnboardLogs" /stypes="app*4008*20171023*" /stext=" 15:.+((SYSTEM_STATE.+slice.+state.+changed )|(ment ac)|(multiple cpu faults)|(system.+state.+changed )|(\[timeout)|(PRM\|1\|D)|(kpr)|(kdp)|(train st.+moving)|(\|lc)|(penalty))"</v>
      </c>
      <c r="AG54" s="182" t="str">
        <f>DetSubdiv(A54)</f>
        <v>EC</v>
      </c>
      <c r="AH54" s="78" t="str">
        <f t="shared" si="5"/>
        <v>"%USERPROFILE%\Documents\GitHub\eaglep3\Utilities\RefineRTDCRunTimes.py" --tripid 141-23 --locoid 4008 --swversion DE.1.0.9.0 --startMP 204:438 --initTime 2017-10-23T08:31:49 --startdatetime 2017-10-23T08:49:11 --delay 62 --endMP 204:233324 --enddatetime 2017-10-23T09:31:05 --enforcementcount 0 &gt;&gt;%USERPROFILE%\Documents\GitHub\eaglep3-reporting\EC\2017-10-23-refined-times.txt</v>
      </c>
      <c r="AI54" s="96" t="str">
        <f t="shared" si="6"/>
        <v>echo {"issue":{"subject":"","project_id":79,"tracker_id":40,"status_id":1,"priority_id":2,"assigned_to_id":338,"start_date":"2017-10-23","description":"","custom_fields":[{"id":1,"name":"Subdivision","value":"EC"},{"id":4,"name":"Milepost","value":"23.3324"},{"id":17,"name":"Train ID","value":"141-23"},{"id":16,"name":"Locomotive ID","value":"4008"},{"id":130,"name":"Impact","value":""},{"id":150,"name":"Time of Event (Mountain Time)","value":"09:31:05"},{"id":151,"name":"Denver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0"/>
      <c r="AK54" s="47"/>
      <c r="AL54" s="47"/>
      <c r="AM54" s="142" t="str">
        <f t="shared" si="7"/>
        <v>start /low /b %USERPROFILE%\Documents\GitHub\eaglep3\Utilities\DownloadLogsFromS3.py --loco 4008 --day 2017-10-23</v>
      </c>
      <c r="AN54" s="151" t="str">
        <f t="shared" si="8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15:31:05"},{"id":29,"name":"Sharepoint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168" t="str">
        <f t="shared" si="9"/>
        <v>https://d0f6bd738d7f1b3e5a7ca70fe4ff75f0.us-east-1.aws.found.io/app/kibana#/discover/Steve-Slow-Train-Analysis-(2080s-and-2083s)?_g=(refreshInterval:(display:Off,pause:!f,section:0,value:0),time:(from:'2017-10-23T07:31:49-0600',mode:absolute,to:'2017-10-23T10:31:05-0600'))&amp;_a=(columns:!('Message%20ID',Summary),filters:!(),index:'emp_*',interval:auto,query:(query_string:(analyze_wildcard:!t,query:'%22rtdc.l.rtdc.4008%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3">
      <c r="A55" s="32" t="s">
        <v>760</v>
      </c>
      <c r="B55" s="7">
        <v>4007</v>
      </c>
      <c r="C55" s="21" t="s">
        <v>194</v>
      </c>
      <c r="D55" s="21" t="s">
        <v>401</v>
      </c>
      <c r="E55" s="13">
        <v>43031.399918981479</v>
      </c>
      <c r="F55" s="13">
        <v>43031.404456018521</v>
      </c>
      <c r="G55" s="7">
        <v>91</v>
      </c>
      <c r="H55" s="21" t="s">
        <v>919</v>
      </c>
      <c r="I55" s="13">
        <v>43031.434745370374</v>
      </c>
      <c r="J55" s="7">
        <v>0</v>
      </c>
      <c r="K55" s="89" t="str">
        <f>IF(ISEVEN(B55),(B55-1)&amp;"/"&amp;B55,B55&amp;"/"&amp;(B55+1))</f>
        <v>4007/4008</v>
      </c>
      <c r="L55" s="185" t="str">
        <f>VLOOKUP(A55,'Trips&amp;Operators'!$C$1:$G$99911,5,FALSE)</f>
        <v>ACKERMAN JARED</v>
      </c>
      <c r="M55" s="6">
        <f>I55-F55</f>
        <v>3.0289351852843538E-2</v>
      </c>
      <c r="N55" s="7">
        <f>24*60*SUM($M55:$M55)</f>
        <v>43.616666668094695</v>
      </c>
      <c r="O55" s="7"/>
      <c r="P55" s="7"/>
      <c r="Q55" s="22"/>
      <c r="R55" s="174"/>
      <c r="S55" s="221">
        <f>1/IF(AG55="EC",12,1)*SUM(U55:U55)</f>
        <v>1</v>
      </c>
      <c r="T55" s="174" t="str">
        <f>IF(ISEVEN(LEFT(AD55,4)),"Southbound","NorthBound")</f>
        <v>Southbound</v>
      </c>
      <c r="U55" s="198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16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2017-10-23T08:35:53-0600',mode:absolute,to:'2017-10-23T11:26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55" s="204" t="str">
        <f>IF(AA55&lt;VLOOKUP(AG55,Variables!$AC$3:$AD$8,2,FALSE),"Y","N")</f>
        <v>N</v>
      </c>
      <c r="X55" s="204">
        <f>VALUE(LEFT(AD55,4))-VALUE(LEFT(AD54,4))</f>
        <v>1</v>
      </c>
      <c r="Y55" s="204">
        <f>RIGHT(D55,LEN(D55)-4)/10000</f>
        <v>23.299399999999999</v>
      </c>
      <c r="Z55" s="204">
        <f>RIGHT(H55,LEN(H55)-4)/10000</f>
        <v>1.0500000000000001E-2</v>
      </c>
      <c r="AA55" s="204">
        <f>ABS(Z55-Y55)</f>
        <v>23.288899999999998</v>
      </c>
      <c r="AB55" s="54" t="e">
        <f>VLOOKUP(A55,Enforcements!$C$7:$K$11,8,0)</f>
        <v>#N/A</v>
      </c>
      <c r="AC55" s="51" t="e">
        <f>VLOOKUP(A55,Enforcements!$C$7:$E$11,3,0)</f>
        <v>#N/A</v>
      </c>
      <c r="AD55" s="179">
        <f>VALUE(LEFT(A55,LEN(A55)-3))</f>
        <v>142</v>
      </c>
      <c r="AE55" s="77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s3://rtdc.mdm.uploadarchive.raw/RTDC4007/ "%USERPROFILE%\AppData\Local\Temp\OnboardLogs"\RTDC4007\2017-10-23 --exclude "*" --recursive --include "*20171023*" &amp; "%USERPROFILE%\Documents\GitHub\mrs-test-scripts\Headless Mode &amp; Sideloading\WalkAndUnGZ.bat" "%USERPROFILE%\AppData\Local\Temp\OnboardLogs"\RTDC4007\2017-10-23 &amp; aws s3 cp s3://rtdc.mdm.uploadarchive.raw/RTDC4007/ "%USERPROFILE%\AppData\Local\Temp\OnboardLogs"\RTDC4007\2017-10-24 --exclude "*" --recursive --include "*20171024*" &amp; "%USERPROFILE%\Documents\GitHub\mrs-test-scripts\Headless Mode &amp; Sideloading\WalkAndUnGZ.bat" "%USERPROFILE%\AppData\Local\Temp\OnboardLogs"\RTDC4007\2017-10-24</v>
      </c>
      <c r="AF55" s="74" t="str">
        <f>astrogrep_path&amp;" /e /r /s /spath="&amp;search_path&amp;" /stypes=""app*"&amp;B55&amp;"*"&amp;TEXT(I55-utc_offset/24,"YYYYMMDD")&amp;"*"" /stext="" "&amp;TEXT(I55-utc_offset/24,"HH")&amp;search_regexp&amp;""""</f>
        <v>"C:\Program Files (x86)\AstroGrep\AstroGrep.exe" /e /r /s /spath="%USERPROFILE%\AppData\Local\Temp\OnboardLogs" /stypes="app*4007*20171023*" /stext=" 16:.+((SYSTEM_STATE.+slice.+state.+changed )|(ment ac)|(multiple cpu faults)|(system.+state.+changed )|(\[timeout)|(PRM\|1\|D)|(kpr)|(kdp)|(train st.+moving)|(\|lc)|(penalty))"</v>
      </c>
      <c r="AG55" s="182" t="str">
        <f>DetSubdiv(A55)</f>
        <v>EC</v>
      </c>
      <c r="AH55" s="78" t="str">
        <f t="shared" si="5"/>
        <v>"%USERPROFILE%\Documents\GitHub\eaglep3\Utilities\RefineRTDCRunTimes.py" --tripid 142-23 --locoid 4007 --swversion DE.1.0.9.0 --startMP 204:232994 --initTime 2017-10-23T09:35:53 --startdatetime 2017-10-23T09:42:25 --delay 91 --endMP 204:105 --enddatetime 2017-10-23T10:26:02 --enforcementcount 0 &gt;&gt;%USERPROFILE%\Documents\GitHub\eaglep3-reporting\EC\2017-10-23-refined-times.txt</v>
      </c>
      <c r="AI55" s="96" t="str">
        <f t="shared" si="6"/>
        <v>echo {"issue":{"subject":"","project_id":79,"tracker_id":40,"status_id":1,"priority_id":2,"assigned_to_id":338,"start_date":"2017-10-23","description":"","custom_fields":[{"id":1,"name":"Subdivision","value":"EC"},{"id":4,"name":"Milepost","value":"0.0105"},{"id":17,"name":"Train ID","value":"142-23"},{"id":16,"name":"Locomotive ID","value":"4007"},{"id":130,"name":"Impact","value":""},{"id":150,"name":"Time of Event (Mountain Time)","value":"10:26:02"},{"id":151,"name":"Denver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0"/>
      <c r="AK55" s="47"/>
      <c r="AL55" s="47"/>
      <c r="AM55" s="142" t="str">
        <f t="shared" si="7"/>
        <v>start /low /b %USERPROFILE%\Documents\GitHub\eaglep3\Utilities\DownloadLogsFromS3.py --loco 4007 --day 2017-10-23</v>
      </c>
      <c r="AN55" s="151" t="str">
        <f t="shared" si="8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16:26:02"},{"id":29,"name":"Sharepoint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168" t="str">
        <f t="shared" si="9"/>
        <v>https://d0f6bd738d7f1b3e5a7ca70fe4ff75f0.us-east-1.aws.found.io/app/kibana#/discover/Steve-Slow-Train-Analysis-(2080s-and-2083s)?_g=(refreshInterval:(display:Off,pause:!f,section:0,value:0),time:(from:'2017-10-23T08:35:53-0600',mode:absolute,to:'2017-10-23T11:26:02-0600'))&amp;_a=(columns:!('Message%20ID',Summary),filters:!(),index:'emp_*',interval:auto,query:(query_string:(analyze_wildcard:!t,query:'%22rtdc.l.rtdc.4007%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3">
      <c r="A56" s="32" t="s">
        <v>755</v>
      </c>
      <c r="B56" s="7">
        <v>4046</v>
      </c>
      <c r="C56" s="21" t="s">
        <v>194</v>
      </c>
      <c r="D56" s="21" t="s">
        <v>461</v>
      </c>
      <c r="E56" s="13">
        <v>43031.376597222225</v>
      </c>
      <c r="F56" s="13">
        <v>43031.378993055558</v>
      </c>
      <c r="G56" s="7">
        <v>136</v>
      </c>
      <c r="H56" s="21" t="s">
        <v>368</v>
      </c>
      <c r="I56" s="13">
        <v>43031.404618055552</v>
      </c>
      <c r="J56" s="7">
        <v>0</v>
      </c>
      <c r="K56" s="89" t="str">
        <f>IF(ISEVEN(B56),(B56-1)&amp;"/"&amp;B56,B56&amp;"/"&amp;(B56+1))</f>
        <v>4045/4046</v>
      </c>
      <c r="L56" s="185" t="str">
        <f>VLOOKUP(A56,'Trips&amp;Operators'!$C$1:$G$99911,5,FALSE)</f>
        <v>BONDS REYNALDO</v>
      </c>
      <c r="M56" s="6">
        <f>I56-F56</f>
        <v>2.5624999994761311E-2</v>
      </c>
      <c r="N56" s="7">
        <f>24*60*SUM($M56:$M56)</f>
        <v>36.899999992456287</v>
      </c>
      <c r="O56" s="7"/>
      <c r="P56" s="7"/>
      <c r="Q56" s="22"/>
      <c r="R56" s="174"/>
      <c r="S56" s="221">
        <f>1/IF(AG56="EC",12,1)*SUM(U56:U56)</f>
        <v>1</v>
      </c>
      <c r="T56" s="174" t="str">
        <f>IF(ISEVEN(LEFT(AD56,4)),"Southbound","NorthBound")</f>
        <v>NorthBound</v>
      </c>
      <c r="U56" s="198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16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2017-10-23T08:02:18-0600',mode:absolute,to:'2017-10-23T10:42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56" s="204" t="str">
        <f>IF(AA56&lt;VLOOKUP(AG56,Variables!$AC$3:$AD$8,2,FALSE),"Y","N")</f>
        <v>N</v>
      </c>
      <c r="X56" s="204">
        <f>VALUE(LEFT(AD56,4))-VALUE(LEFT(AD55,4))</f>
        <v>1</v>
      </c>
      <c r="Y56" s="204">
        <f>RIGHT(D56,LEN(D56)-4)/10000</f>
        <v>4.6600000000000003E-2</v>
      </c>
      <c r="Z56" s="204">
        <f>RIGHT(H56,LEN(H56)-4)/10000</f>
        <v>23.331199999999999</v>
      </c>
      <c r="AA56" s="204">
        <f>ABS(Z56-Y56)</f>
        <v>23.284599999999998</v>
      </c>
      <c r="AB56" s="54" t="e">
        <f>VLOOKUP(A56,Enforcements!$C$7:$K$11,8,0)</f>
        <v>#N/A</v>
      </c>
      <c r="AC56" s="51" t="e">
        <f>VLOOKUP(A56,Enforcements!$C$7:$E$11,3,0)</f>
        <v>#N/A</v>
      </c>
      <c r="AD56" s="179">
        <f>VALUE(LEFT(A56,LEN(A56)-3))</f>
        <v>143</v>
      </c>
      <c r="AE56" s="77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s3://rtdc.mdm.uploadarchive.raw/RTDC4046/ "%USERPROFILE%\AppData\Local\Temp\OnboardLogs"\RTDC4046\2017-10-23 --exclude "*" --recursive --include "*20171023*" &amp; "%USERPROFILE%\Documents\GitHub\mrs-test-scripts\Headless Mode &amp; Sideloading\WalkAndUnGZ.bat" "%USERPROFILE%\AppData\Local\Temp\OnboardLogs"\RTDC4046\2017-10-23 &amp; aws s3 cp s3://rtdc.mdm.uploadarchive.raw/RTDC4046/ "%USERPROFILE%\AppData\Local\Temp\OnboardLogs"\RTDC4046\2017-10-24 --exclude "*" --recursive --include "*20171024*" &amp; "%USERPROFILE%\Documents\GitHub\mrs-test-scripts\Headless Mode &amp; Sideloading\WalkAndUnGZ.bat" "%USERPROFILE%\AppData\Local\Temp\OnboardLogs"\RTDC4046\2017-10-24</v>
      </c>
      <c r="AF56" s="74" t="str">
        <f>astrogrep_path&amp;" /e /r /s /spath="&amp;search_path&amp;" /stypes=""app*"&amp;B56&amp;"*"&amp;TEXT(I56-utc_offset/24,"YYYYMMDD")&amp;"*"" /stext="" "&amp;TEXT(I56-utc_offset/24,"HH")&amp;search_regexp&amp;""""</f>
        <v>"C:\Program Files (x86)\AstroGrep\AstroGrep.exe" /e /r /s /spath="%USERPROFILE%\AppData\Local\Temp\OnboardLogs" /stypes="app*4046*20171023*" /stext=" 15:.+((SYSTEM_STATE.+slice.+state.+changed )|(ment ac)|(multiple cpu faults)|(system.+state.+changed )|(\[timeout)|(PRM\|1\|D)|(kpr)|(kdp)|(train st.+moving)|(\|lc)|(penalty))"</v>
      </c>
      <c r="AG56" s="182" t="str">
        <f>DetSubdiv(A56)</f>
        <v>EC</v>
      </c>
      <c r="AH56" s="78" t="str">
        <f t="shared" si="5"/>
        <v>"%USERPROFILE%\Documents\GitHub\eaglep3\Utilities\RefineRTDCRunTimes.py" --tripid 143-23 --locoid 4046 --swversion DE.1.0.9.0 --startMP 204:466 --initTime 2017-10-23T09:02:18 --startdatetime 2017-10-23T09:05:45 --delay 136 --endMP 204:233312 --enddatetime 2017-10-23T09:42:39 --enforcementcount 0 &gt;&gt;%USERPROFILE%\Documents\GitHub\eaglep3-reporting\EC\2017-10-23-refined-times.txt</v>
      </c>
      <c r="AI56" s="96" t="str">
        <f t="shared" si="6"/>
        <v>echo {"issue":{"subject":"","project_id":79,"tracker_id":40,"status_id":1,"priority_id":2,"assigned_to_id":338,"start_date":"2017-10-23","description":"","custom_fields":[{"id":1,"name":"Subdivision","value":"EC"},{"id":4,"name":"Milepost","value":"23.3312"},{"id":17,"name":"Train ID","value":"143-23"},{"id":16,"name":"Locomotive ID","value":"4046"},{"id":130,"name":"Impact","value":""},{"id":150,"name":"Time of Event (Mountain Time)","value":"09:42:39"},{"id":151,"name":"Denver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0"/>
      <c r="AK56" s="47"/>
      <c r="AL56" s="47"/>
      <c r="AM56" s="142" t="str">
        <f t="shared" si="7"/>
        <v>start /low /b %USERPROFILE%\Documents\GitHub\eaglep3\Utilities\DownloadLogsFromS3.py --loco 4046 --day 2017-10-23</v>
      </c>
      <c r="AN56" s="151" t="str">
        <f t="shared" si="8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15:42:39"},{"id":29,"name":"Sharepoint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168" t="str">
        <f t="shared" si="9"/>
        <v>https://d0f6bd738d7f1b3e5a7ca70fe4ff75f0.us-east-1.aws.found.io/app/kibana#/discover/Steve-Slow-Train-Analysis-(2080s-and-2083s)?_g=(refreshInterval:(display:Off,pause:!f,section:0,value:0),time:(from:'2017-10-23T08:02:18-0600',mode:absolute,to:'2017-10-23T10:42:39-0600'))&amp;_a=(columns:!('Message%20ID',Summary),filters:!(),index:'emp_*',interval:auto,query:(query_string:(analyze_wildcard:!t,query:'%22rtdc.l.rtdc.4046%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3">
      <c r="A57" s="32" t="s">
        <v>762</v>
      </c>
      <c r="B57" s="7">
        <v>4045</v>
      </c>
      <c r="C57" s="21" t="s">
        <v>194</v>
      </c>
      <c r="D57" s="21" t="s">
        <v>453</v>
      </c>
      <c r="E57" s="13">
        <v>43031.41202546296</v>
      </c>
      <c r="F57" s="13">
        <v>43031.414895833332</v>
      </c>
      <c r="G57" s="7">
        <v>60</v>
      </c>
      <c r="H57" s="21" t="s">
        <v>411</v>
      </c>
      <c r="I57" s="13">
        <v>43031.446504629632</v>
      </c>
      <c r="J57" s="7">
        <v>0</v>
      </c>
      <c r="K57" s="89" t="str">
        <f>IF(ISEVEN(B57),(B57-1)&amp;"/"&amp;B57,B57&amp;"/"&amp;(B57+1))</f>
        <v>4045/4046</v>
      </c>
      <c r="L57" s="185" t="str">
        <f>VLOOKUP(A57,'Trips&amp;Operators'!$C$1:$G$99911,5,FALSE)</f>
        <v>BONDS REYNALDO</v>
      </c>
      <c r="M57" s="6">
        <f>I57-F57</f>
        <v>3.160879630013369E-2</v>
      </c>
      <c r="N57" s="7">
        <f>24*60*SUM($M57:$M57)</f>
        <v>45.516666672192514</v>
      </c>
      <c r="O57" s="7"/>
      <c r="P57" s="7"/>
      <c r="Q57" s="22"/>
      <c r="R57" s="174"/>
      <c r="S57" s="221">
        <f>1/IF(AG57="EC",12,1)*SUM(U57:U57)</f>
        <v>1</v>
      </c>
      <c r="T57" s="174" t="str">
        <f>IF(ISEVEN(LEFT(AD57,4)),"Southbound","NorthBound")</f>
        <v>Southbound</v>
      </c>
      <c r="U57" s="198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16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2017-10-23T08:53:19-0600',mode:absolute,to:'2017-10-23T11:42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57" s="204" t="str">
        <f>IF(AA57&lt;VLOOKUP(AG57,Variables!$AC$3:$AD$8,2,FALSE),"Y","N")</f>
        <v>N</v>
      </c>
      <c r="X57" s="204">
        <f>VALUE(LEFT(AD57,4))-VALUE(LEFT(AD56,4))</f>
        <v>1</v>
      </c>
      <c r="Y57" s="204">
        <f>RIGHT(D57,LEN(D57)-4)/10000</f>
        <v>23.301300000000001</v>
      </c>
      <c r="Z57" s="204">
        <f>RIGHT(H57,LEN(H57)-4)/10000</f>
        <v>1.3599999999999999E-2</v>
      </c>
      <c r="AA57" s="204">
        <f>ABS(Z57-Y57)</f>
        <v>23.287700000000001</v>
      </c>
      <c r="AB57" s="54" t="e">
        <f>VLOOKUP(A57,Enforcements!$C$7:$K$11,8,0)</f>
        <v>#N/A</v>
      </c>
      <c r="AC57" s="51" t="e">
        <f>VLOOKUP(A57,Enforcements!$C$7:$E$11,3,0)</f>
        <v>#N/A</v>
      </c>
      <c r="AD57" s="179">
        <f>VALUE(LEFT(A57,LEN(A57)-3))</f>
        <v>144</v>
      </c>
      <c r="AE57" s="77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s3://rtdc.mdm.uploadarchive.raw/RTDC4045/ "%USERPROFILE%\AppData\Local\Temp\OnboardLogs"\RTDC4045\2017-10-23 --exclude "*" --recursive --include "*20171023*" &amp; "%USERPROFILE%\Documents\GitHub\mrs-test-scripts\Headless Mode &amp; Sideloading\WalkAndUnGZ.bat" "%USERPROFILE%\AppData\Local\Temp\OnboardLogs"\RTDC4045\2017-10-23 &amp; aws s3 cp s3://rtdc.mdm.uploadarchive.raw/RTDC4045/ "%USERPROFILE%\AppData\Local\Temp\OnboardLogs"\RTDC4045\2017-10-24 --exclude "*" --recursive --include "*20171024*" &amp; "%USERPROFILE%\Documents\GitHub\mrs-test-scripts\Headless Mode &amp; Sideloading\WalkAndUnGZ.bat" "%USERPROFILE%\AppData\Local\Temp\OnboardLogs"\RTDC4045\2017-10-24</v>
      </c>
      <c r="AF57" s="74" t="str">
        <f>astrogrep_path&amp;" /e /r /s /spath="&amp;search_path&amp;" /stypes=""app*"&amp;B57&amp;"*"&amp;TEXT(I57-utc_offset/24,"YYYYMMDD")&amp;"*"" /stext="" "&amp;TEXT(I57-utc_offset/24,"HH")&amp;search_regexp&amp;""""</f>
        <v>"C:\Program Files (x86)\AstroGrep\AstroGrep.exe" /e /r /s /spath="%USERPROFILE%\AppData\Local\Temp\OnboardLogs" /stypes="app*4045*20171023*" /stext=" 16:.+((SYSTEM_STATE.+slice.+state.+changed )|(ment ac)|(multiple cpu faults)|(system.+state.+changed )|(\[timeout)|(PRM\|1\|D)|(kpr)|(kdp)|(train st.+moving)|(\|lc)|(penalty))"</v>
      </c>
      <c r="AG57" s="182" t="str">
        <f>DetSubdiv(A57)</f>
        <v>EC</v>
      </c>
      <c r="AH57" s="78" t="str">
        <f t="shared" si="5"/>
        <v>"%USERPROFILE%\Documents\GitHub\eaglep3\Utilities\RefineRTDCRunTimes.py" --tripid 144-23 --locoid 4045 --swversion DE.1.0.9.0 --startMP 204:233013 --initTime 2017-10-23T09:53:19 --startdatetime 2017-10-23T09:57:27 --delay 60 --endMP 204:136 --enddatetime 2017-10-23T10:42:58 --enforcementcount 0 &gt;&gt;%USERPROFILE%\Documents\GitHub\eaglep3-reporting\EC\2017-10-23-refined-times.txt</v>
      </c>
      <c r="AI57" s="96" t="str">
        <f t="shared" si="6"/>
        <v>echo {"issue":{"subject":"","project_id":79,"tracker_id":40,"status_id":1,"priority_id":2,"assigned_to_id":338,"start_date":"2017-10-23","description":"","custom_fields":[{"id":1,"name":"Subdivision","value":"EC"},{"id":4,"name":"Milepost","value":"0.0136"},{"id":17,"name":"Train ID","value":"144-23"},{"id":16,"name":"Locomotive ID","value":"4045"},{"id":130,"name":"Impact","value":""},{"id":150,"name":"Time of Event (Mountain Time)","value":"10:42:58"},{"id":151,"name":"Denver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0"/>
      <c r="AK57" s="47"/>
      <c r="AL57" s="47"/>
      <c r="AM57" s="142" t="str">
        <f t="shared" si="7"/>
        <v>start /low /b %USERPROFILE%\Documents\GitHub\eaglep3\Utilities\DownloadLogsFromS3.py --loco 4045 --day 2017-10-23</v>
      </c>
      <c r="AN57" s="151" t="str">
        <f t="shared" si="8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16:42:58"},{"id":29,"name":"Sharepoint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168" t="str">
        <f t="shared" si="9"/>
        <v>https://d0f6bd738d7f1b3e5a7ca70fe4ff75f0.us-east-1.aws.found.io/app/kibana#/discover/Steve-Slow-Train-Analysis-(2080s-and-2083s)?_g=(refreshInterval:(display:Off,pause:!f,section:0,value:0),time:(from:'2017-10-23T08:53:19-0600',mode:absolute,to:'2017-10-23T11:42:58-0600'))&amp;_a=(columns:!('Message%20ID',Summary),filters:!(),index:'emp_*',interval:auto,query:(query_string:(analyze_wildcard:!t,query:'%22rtdc.l.rtdc.4045%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3">
      <c r="A58" s="32" t="s">
        <v>757</v>
      </c>
      <c r="B58" s="7">
        <v>4004</v>
      </c>
      <c r="C58" s="21" t="s">
        <v>194</v>
      </c>
      <c r="D58" s="21" t="s">
        <v>918</v>
      </c>
      <c r="E58" s="13">
        <v>43031.387094907404</v>
      </c>
      <c r="F58" s="13">
        <v>43031.389097222222</v>
      </c>
      <c r="G58" s="7">
        <v>79</v>
      </c>
      <c r="H58" s="21" t="s">
        <v>920</v>
      </c>
      <c r="I58" s="13">
        <v>43031.413611111115</v>
      </c>
      <c r="J58" s="7">
        <v>0</v>
      </c>
      <c r="K58" s="89" t="str">
        <f>IF(ISEVEN(B58),(B58-1)&amp;"/"&amp;B58,B58&amp;"/"&amp;(B58+1))</f>
        <v>4003/4004</v>
      </c>
      <c r="L58" s="185" t="str">
        <f>VLOOKUP(A58,'Trips&amp;Operators'!$C$1:$G$99911,5,FALSE)</f>
        <v>YANG JAN</v>
      </c>
      <c r="M58" s="6">
        <f>I58-F58</f>
        <v>2.4513888893125113E-2</v>
      </c>
      <c r="N58" s="7">
        <f>24*60*SUM($M58:$M58)</f>
        <v>35.300000006100163</v>
      </c>
      <c r="O58" s="7"/>
      <c r="P58" s="7"/>
      <c r="Q58" s="22"/>
      <c r="R58" s="174"/>
      <c r="S58" s="221">
        <f>1/IF(AG58="EC",12,1)*SUM(U58:U58)</f>
        <v>1</v>
      </c>
      <c r="T58" s="174" t="str">
        <f>IF(ISEVEN(LEFT(AD58,4)),"Southbound","NorthBound")</f>
        <v>NorthBound</v>
      </c>
      <c r="U58" s="198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16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2017-10-23T08:17:25-0600',mode:absolute,to:'2017-10-23T10:55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58" s="204" t="str">
        <f>IF(AA58&lt;VLOOKUP(AG58,Variables!$AC$3:$AD$8,2,FALSE),"Y","N")</f>
        <v>N</v>
      </c>
      <c r="X58" s="204">
        <f>VALUE(LEFT(AD58,4))-VALUE(LEFT(AD57,4))</f>
        <v>1</v>
      </c>
      <c r="Y58" s="204">
        <f>RIGHT(D58,LEN(D58)-4)/10000</f>
        <v>4.3799999999999999E-2</v>
      </c>
      <c r="Z58" s="204">
        <f>RIGHT(H58,LEN(H58)-4)/10000</f>
        <v>23.332799999999999</v>
      </c>
      <c r="AA58" s="204">
        <f>ABS(Z58-Y58)</f>
        <v>23.288999999999998</v>
      </c>
      <c r="AB58" s="54" t="e">
        <f>VLOOKUP(A58,Enforcements!$C$7:$K$11,8,0)</f>
        <v>#N/A</v>
      </c>
      <c r="AC58" s="51" t="e">
        <f>VLOOKUP(A58,Enforcements!$C$7:$E$11,3,0)</f>
        <v>#N/A</v>
      </c>
      <c r="AD58" s="179">
        <f>VALUE(LEFT(A58,LEN(A58)-3))</f>
        <v>145</v>
      </c>
      <c r="AE58" s="77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s3://rtdc.mdm.uploadarchive.raw/RTDC4004/ "%USERPROFILE%\AppData\Local\Temp\OnboardLogs"\RTDC4004\2017-10-23 --exclude "*" --recursive --include "*20171023*" &amp; "%USERPROFILE%\Documents\GitHub\mrs-test-scripts\Headless Mode &amp; Sideloading\WalkAndUnGZ.bat" "%USERPROFILE%\AppData\Local\Temp\OnboardLogs"\RTDC4004\2017-10-23 &amp; aws s3 cp s3://rtdc.mdm.uploadarchive.raw/RTDC4004/ "%USERPROFILE%\AppData\Local\Temp\OnboardLogs"\RTDC4004\2017-10-24 --exclude "*" --recursive --include "*20171024*" &amp; "%USERPROFILE%\Documents\GitHub\mrs-test-scripts\Headless Mode &amp; Sideloading\WalkAndUnGZ.bat" "%USERPROFILE%\AppData\Local\Temp\OnboardLogs"\RTDC4004\2017-10-24</v>
      </c>
      <c r="AF58" s="74" t="str">
        <f>astrogrep_path&amp;" /e /r /s /spath="&amp;search_path&amp;" /stypes=""app*"&amp;B58&amp;"*"&amp;TEXT(I58-utc_offset/24,"YYYYMMDD")&amp;"*"" /stext="" "&amp;TEXT(I58-utc_offset/24,"HH")&amp;search_regexp&amp;""""</f>
        <v>"C:\Program Files (x86)\AstroGrep\AstroGrep.exe" /e /r /s /spath="%USERPROFILE%\AppData\Local\Temp\OnboardLogs" /stypes="app*4004*20171023*" /stext=" 15:.+((SYSTEM_STATE.+slice.+state.+changed )|(ment ac)|(multiple cpu faults)|(system.+state.+changed )|(\[timeout)|(PRM\|1\|D)|(kpr)|(kdp)|(train st.+moving)|(\|lc)|(penalty))"</v>
      </c>
      <c r="AG58" s="182" t="str">
        <f>DetSubdiv(A58)</f>
        <v>EC</v>
      </c>
      <c r="AH58" s="78" t="str">
        <f t="shared" si="5"/>
        <v>"%USERPROFILE%\Documents\GitHub\eaglep3\Utilities\RefineRTDCRunTimes.py" --tripid 145-23 --locoid 4004 --swversion DE.1.0.9.0 --startMP 204:438 --initTime 2017-10-23T09:17:25 --startdatetime 2017-10-23T09:20:18 --delay 79 --endMP 204:233328 --enddatetime 2017-10-23T09:55:36 --enforcementcount 0 &gt;&gt;%USERPROFILE%\Documents\GitHub\eaglep3-reporting\EC\2017-10-23-refined-times.txt</v>
      </c>
      <c r="AI58" s="96" t="str">
        <f t="shared" si="6"/>
        <v>echo {"issue":{"subject":"","project_id":79,"tracker_id":40,"status_id":1,"priority_id":2,"assigned_to_id":338,"start_date":"2017-10-23","description":"","custom_fields":[{"id":1,"name":"Subdivision","value":"EC"},{"id":4,"name":"Milepost","value":"23.3328"},{"id":17,"name":"Train ID","value":"145-23"},{"id":16,"name":"Locomotive ID","value":"4004"},{"id":130,"name":"Impact","value":""},{"id":150,"name":"Time of Event (Mountain Time)","value":"09:55:36"},{"id":151,"name":"Denver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0"/>
      <c r="AK58" s="47"/>
      <c r="AL58" s="47"/>
      <c r="AM58" s="142" t="str">
        <f t="shared" si="7"/>
        <v>start /low /b %USERPROFILE%\Documents\GitHub\eaglep3\Utilities\DownloadLogsFromS3.py --loco 4004 --day 2017-10-23</v>
      </c>
      <c r="AN58" s="151" t="str">
        <f t="shared" si="8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15:55:36"},{"id":29,"name":"Sharepoint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168" t="str">
        <f t="shared" si="9"/>
        <v>https://d0f6bd738d7f1b3e5a7ca70fe4ff75f0.us-east-1.aws.found.io/app/kibana#/discover/Steve-Slow-Train-Analysis-(2080s-and-2083s)?_g=(refreshInterval:(display:Off,pause:!f,section:0,value:0),time:(from:'2017-10-23T08:17:25-0600',mode:absolute,to:'2017-10-23T10:55:36-0600'))&amp;_a=(columns:!('Message%20ID',Summary),filters:!(),index:'emp_*',interval:auto,query:(query_string:(analyze_wildcard:!t,query:'%22rtdc.l.rtdc.4004%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3">
      <c r="A59" s="32" t="s">
        <v>765</v>
      </c>
      <c r="B59" s="7">
        <v>4003</v>
      </c>
      <c r="C59" s="21" t="s">
        <v>194</v>
      </c>
      <c r="D59" s="21" t="s">
        <v>921</v>
      </c>
      <c r="E59" s="13">
        <v>43031.415694444448</v>
      </c>
      <c r="F59" s="13">
        <v>43031.425324074073</v>
      </c>
      <c r="G59" s="7">
        <v>93</v>
      </c>
      <c r="H59" s="21" t="s">
        <v>336</v>
      </c>
      <c r="I59" s="13">
        <v>43031.451365740744</v>
      </c>
      <c r="J59" s="7">
        <v>0</v>
      </c>
      <c r="K59" s="89" t="str">
        <f>IF(ISEVEN(B59),(B59-1)&amp;"/"&amp;B59,B59&amp;"/"&amp;(B59+1))</f>
        <v>4003/4004</v>
      </c>
      <c r="L59" s="185" t="str">
        <f>VLOOKUP(A59,'Trips&amp;Operators'!$C$1:$G$99911,5,FALSE)</f>
        <v>YANG JAN</v>
      </c>
      <c r="M59" s="6">
        <f>I59-F59</f>
        <v>2.6041666671517305E-2</v>
      </c>
      <c r="N59" s="7">
        <f>24*60*SUM($M59:$M59)</f>
        <v>37.500000006984919</v>
      </c>
      <c r="O59" s="7"/>
      <c r="P59" s="7"/>
      <c r="Q59" s="22"/>
      <c r="R59" s="174"/>
      <c r="S59" s="221">
        <f>1/IF(AG59="EC",12,1)*SUM(U59:U59)</f>
        <v>1</v>
      </c>
      <c r="T59" s="174" t="str">
        <f>IF(ISEVEN(LEFT(AD59,4)),"Southbound","NorthBound")</f>
        <v>Southbound</v>
      </c>
      <c r="U59" s="198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16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2017-10-23T08:58:36-0600',mode:absolute,to:'2017-10-23T11:49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59" s="204" t="str">
        <f>IF(AA59&lt;VLOOKUP(AG59,Variables!$AC$3:$AD$8,2,FALSE),"Y","N")</f>
        <v>N</v>
      </c>
      <c r="X59" s="204">
        <f>VALUE(LEFT(AD59,4))-VALUE(LEFT(AD58,4))</f>
        <v>1</v>
      </c>
      <c r="Y59" s="204">
        <f>RIGHT(D59,LEN(D59)-4)/10000</f>
        <v>23.298999999999999</v>
      </c>
      <c r="Z59" s="204">
        <f>RIGHT(H59,LEN(H59)-4)/10000</f>
        <v>1.49E-2</v>
      </c>
      <c r="AA59" s="204">
        <f>ABS(Z59-Y59)</f>
        <v>23.284099999999999</v>
      </c>
      <c r="AB59" s="54" t="e">
        <f>VLOOKUP(A59,Enforcements!$C$7:$K$11,8,0)</f>
        <v>#N/A</v>
      </c>
      <c r="AC59" s="51" t="e">
        <f>VLOOKUP(A59,Enforcements!$C$7:$E$11,3,0)</f>
        <v>#N/A</v>
      </c>
      <c r="AD59" s="179">
        <f>VALUE(LEFT(A59,LEN(A59)-3))</f>
        <v>146</v>
      </c>
      <c r="AE59" s="77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s3://rtdc.mdm.uploadarchive.raw/RTDC4003/ "%USERPROFILE%\AppData\Local\Temp\OnboardLogs"\RTDC4003\2017-10-23 --exclude "*" --recursive --include "*20171023*" &amp; "%USERPROFILE%\Documents\GitHub\mrs-test-scripts\Headless Mode &amp; Sideloading\WalkAndUnGZ.bat" "%USERPROFILE%\AppData\Local\Temp\OnboardLogs"\RTDC4003\2017-10-23 &amp; aws s3 cp s3://rtdc.mdm.uploadarchive.raw/RTDC4003/ "%USERPROFILE%\AppData\Local\Temp\OnboardLogs"\RTDC4003\2017-10-24 --exclude "*" --recursive --include "*20171024*" &amp; "%USERPROFILE%\Documents\GitHub\mrs-test-scripts\Headless Mode &amp; Sideloading\WalkAndUnGZ.bat" "%USERPROFILE%\AppData\Local\Temp\OnboardLogs"\RTDC4003\2017-10-24</v>
      </c>
      <c r="AF59" s="74" t="str">
        <f>astrogrep_path&amp;" /e /r /s /spath="&amp;search_path&amp;" /stypes=""app*"&amp;B59&amp;"*"&amp;TEXT(I59-utc_offset/24,"YYYYMMDD")&amp;"*"" /stext="" "&amp;TEXT(I59-utc_offset/24,"HH")&amp;search_regexp&amp;""""</f>
        <v>"C:\Program Files (x86)\AstroGrep\AstroGrep.exe" /e /r /s /spath="%USERPROFILE%\AppData\Local\Temp\OnboardLogs" /stypes="app*4003*20171023*" /stext=" 16:.+((SYSTEM_STATE.+slice.+state.+changed )|(ment ac)|(multiple cpu faults)|(system.+state.+changed )|(\[timeout)|(PRM\|1\|D)|(kpr)|(kdp)|(train st.+moving)|(\|lc)|(penalty))"</v>
      </c>
      <c r="AG59" s="182" t="str">
        <f>DetSubdiv(A59)</f>
        <v>EC</v>
      </c>
      <c r="AH59" s="78" t="str">
        <f t="shared" si="5"/>
        <v>"%USERPROFILE%\Documents\GitHub\eaglep3\Utilities\RefineRTDCRunTimes.py" --tripid 146-23 --locoid 4003 --swversion DE.1.0.9.0 --startMP 204:232990 --initTime 2017-10-23T09:58:36 --startdatetime 2017-10-23T10:12:28 --delay 93 --endMP 204:149 --enddatetime 2017-10-23T10:49:58 --enforcementcount 0 &gt;&gt;%USERPROFILE%\Documents\GitHub\eaglep3-reporting\EC\2017-10-23-refined-times.txt</v>
      </c>
      <c r="AI59" s="96" t="str">
        <f t="shared" si="6"/>
        <v>echo {"issue":{"subject":"","project_id":79,"tracker_id":40,"status_id":1,"priority_id":2,"assigned_to_id":338,"start_date":"2017-10-23","description":"","custom_fields":[{"id":1,"name":"Subdivision","value":"EC"},{"id":4,"name":"Milepost","value":"0.0149"},{"id":17,"name":"Train ID","value":"146-23"},{"id":16,"name":"Locomotive ID","value":"4003"},{"id":130,"name":"Impact","value":""},{"id":150,"name":"Time of Event (Mountain Time)","value":"10:49:58"},{"id":151,"name":"Denver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0"/>
      <c r="AK59" s="47"/>
      <c r="AL59" s="47"/>
      <c r="AM59" s="142" t="str">
        <f t="shared" si="7"/>
        <v>start /low /b %USERPROFILE%\Documents\GitHub\eaglep3\Utilities\DownloadLogsFromS3.py --loco 4003 --day 2017-10-23</v>
      </c>
      <c r="AN59" s="151" t="str">
        <f t="shared" si="8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16:49:58"},{"id":29,"name":"Sharepoint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168" t="str">
        <f t="shared" si="9"/>
        <v>https://d0f6bd738d7f1b3e5a7ca70fe4ff75f0.us-east-1.aws.found.io/app/kibana#/discover/Steve-Slow-Train-Analysis-(2080s-and-2083s)?_g=(refreshInterval:(display:Off,pause:!f,section:0,value:0),time:(from:'2017-10-23T08:58:36-0600',mode:absolute,to:'2017-10-23T11:49:58-0600'))&amp;_a=(columns:!('Message%20ID',Summary),filters:!(),index:'emp_*',interval:auto,query:(query_string:(analyze_wildcard:!t,query:'%22rtdc.l.rtdc.4003%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3">
      <c r="A60" s="32" t="s">
        <v>759</v>
      </c>
      <c r="B60" s="7">
        <v>4050</v>
      </c>
      <c r="C60" s="21" t="s">
        <v>194</v>
      </c>
      <c r="D60" s="21" t="s">
        <v>922</v>
      </c>
      <c r="E60" s="13">
        <v>43031.397939814815</v>
      </c>
      <c r="F60" s="13">
        <v>43031.400925925926</v>
      </c>
      <c r="G60" s="7">
        <v>65</v>
      </c>
      <c r="H60" s="21" t="s">
        <v>415</v>
      </c>
      <c r="I60" s="13">
        <v>43031.428229166668</v>
      </c>
      <c r="J60" s="7">
        <v>0</v>
      </c>
      <c r="K60" s="89" t="str">
        <f>IF(ISEVEN(B60),(B60-1)&amp;"/"&amp;B60,B60&amp;"/"&amp;(B60+1))</f>
        <v>4049/4050</v>
      </c>
      <c r="L60" s="185" t="str">
        <f>VLOOKUP(A60,'Trips&amp;Operators'!$C$1:$G$99911,5,FALSE)</f>
        <v>LAMAR NEKESHA</v>
      </c>
      <c r="M60" s="6">
        <f>I60-F60</f>
        <v>2.7303240742185153E-2</v>
      </c>
      <c r="N60" s="7">
        <f>24*60*SUM($M60:$M60)</f>
        <v>39.31666666874662</v>
      </c>
      <c r="O60" s="7"/>
      <c r="P60" s="7"/>
      <c r="Q60" s="22"/>
      <c r="R60" s="174"/>
      <c r="S60" s="221">
        <f>1/IF(AG60="EC",12,1)*SUM(U60:U60)</f>
        <v>1</v>
      </c>
      <c r="T60" s="174" t="str">
        <f>IF(ISEVEN(LEFT(AD60,4)),"Southbound","NorthBound")</f>
        <v>NorthBound</v>
      </c>
      <c r="U60" s="198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16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2017-10-23T08:33:02-0600',mode:absolute,to:'2017-10-23T11:16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60" s="204" t="str">
        <f>IF(AA60&lt;VLOOKUP(AG60,Variables!$AC$3:$AD$8,2,FALSE),"Y","N")</f>
        <v>N</v>
      </c>
      <c r="X60" s="204">
        <f>VALUE(LEFT(AD60,4))-VALUE(LEFT(AD59,4))</f>
        <v>1</v>
      </c>
      <c r="Y60" s="204">
        <f>RIGHT(D60,LEN(D60)-4)/10000</f>
        <v>4.7699999999999999E-2</v>
      </c>
      <c r="Z60" s="204">
        <f>RIGHT(H60,LEN(H60)-4)/10000</f>
        <v>23.329699999999999</v>
      </c>
      <c r="AA60" s="204">
        <f>ABS(Z60-Y60)</f>
        <v>23.282</v>
      </c>
      <c r="AB60" s="54" t="e">
        <f>VLOOKUP(A60,Enforcements!$C$7:$K$11,8,0)</f>
        <v>#N/A</v>
      </c>
      <c r="AC60" s="51" t="e">
        <f>VLOOKUP(A60,Enforcements!$C$7:$E$11,3,0)</f>
        <v>#N/A</v>
      </c>
      <c r="AD60" s="179">
        <f>VALUE(LEFT(A60,LEN(A60)-3))</f>
        <v>147</v>
      </c>
      <c r="AE60" s="77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s3://rtdc.mdm.uploadarchive.raw/RTDC4050/ "%USERPROFILE%\AppData\Local\Temp\OnboardLogs"\RTDC4050\2017-10-23 --exclude "*" --recursive --include "*20171023*" &amp; "%USERPROFILE%\Documents\GitHub\mrs-test-scripts\Headless Mode &amp; Sideloading\WalkAndUnGZ.bat" "%USERPROFILE%\AppData\Local\Temp\OnboardLogs"\RTDC4050\2017-10-23 &amp; aws s3 cp s3://rtdc.mdm.uploadarchive.raw/RTDC4050/ "%USERPROFILE%\AppData\Local\Temp\OnboardLogs"\RTDC4050\2017-10-24 --exclude "*" --recursive --include "*20171024*" &amp; "%USERPROFILE%\Documents\GitHub\mrs-test-scripts\Headless Mode &amp; Sideloading\WalkAndUnGZ.bat" "%USERPROFILE%\AppData\Local\Temp\OnboardLogs"\RTDC4050\2017-10-24</v>
      </c>
      <c r="AF60" s="74" t="str">
        <f>astrogrep_path&amp;" /e /r /s /spath="&amp;search_path&amp;" /stypes=""app*"&amp;B60&amp;"*"&amp;TEXT(I60-utc_offset/24,"YYYYMMDD")&amp;"*"" /stext="" "&amp;TEXT(I60-utc_offset/24,"HH")&amp;search_regexp&amp;""""</f>
        <v>"C:\Program Files (x86)\AstroGrep\AstroGrep.exe" /e /r /s /spath="%USERPROFILE%\AppData\Local\Temp\OnboardLogs" /stypes="app*4050*20171023*" /stext=" 16:.+((SYSTEM_STATE.+slice.+state.+changed )|(ment ac)|(multiple cpu faults)|(system.+state.+changed )|(\[timeout)|(PRM\|1\|D)|(kpr)|(kdp)|(train st.+moving)|(\|lc)|(penalty))"</v>
      </c>
      <c r="AG60" s="182" t="str">
        <f>DetSubdiv(A60)</f>
        <v>EC</v>
      </c>
      <c r="AH60" s="78" t="str">
        <f t="shared" si="5"/>
        <v>"%USERPROFILE%\Documents\GitHub\eaglep3\Utilities\RefineRTDCRunTimes.py" --tripid 147-23 --locoid 4050 --swversion DE.1.0.9.0 --startMP 204:477 --initTime 2017-10-23T09:33:02 --startdatetime 2017-10-23T09:37:20 --delay 65 --endMP 204:233297 --enddatetime 2017-10-23T10:16:39 --enforcementcount 0 &gt;&gt;%USERPROFILE%\Documents\GitHub\eaglep3-reporting\EC\2017-10-23-refined-times.txt</v>
      </c>
      <c r="AI60" s="96" t="str">
        <f t="shared" si="6"/>
        <v>echo {"issue":{"subject":"","project_id":79,"tracker_id":40,"status_id":1,"priority_id":2,"assigned_to_id":338,"start_date":"2017-10-23","description":"","custom_fields":[{"id":1,"name":"Subdivision","value":"EC"},{"id":4,"name":"Milepost","value":"23.3297"},{"id":17,"name":"Train ID","value":"147-23"},{"id":16,"name":"Locomotive ID","value":"4050"},{"id":130,"name":"Impact","value":""},{"id":150,"name":"Time of Event (Mountain Time)","value":"10:16:39"},{"id":151,"name":"Denver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0"/>
      <c r="AK60" s="47"/>
      <c r="AL60" s="47"/>
      <c r="AM60" s="142" t="str">
        <f t="shared" si="7"/>
        <v>start /low /b %USERPROFILE%\Documents\GitHub\eaglep3\Utilities\DownloadLogsFromS3.py --loco 4050 --day 2017-10-23</v>
      </c>
      <c r="AN60" s="151" t="str">
        <f t="shared" si="8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16:16:39"},{"id":29,"name":"Sharepoint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168" t="str">
        <f t="shared" si="9"/>
        <v>https://d0f6bd738d7f1b3e5a7ca70fe4ff75f0.us-east-1.aws.found.io/app/kibana#/discover/Steve-Slow-Train-Analysis-(2080s-and-2083s)?_g=(refreshInterval:(display:Off,pause:!f,section:0,value:0),time:(from:'2017-10-23T08:33:02-0600',mode:absolute,to:'2017-10-23T11:16:39-0600'))&amp;_a=(columns:!('Message%20ID',Summary),filters:!(),index:'emp_*',interval:auto,query:(query_string:(analyze_wildcard:!t,query:'%22rtdc.l.rtdc.4050%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3">
      <c r="A61" s="32" t="s">
        <v>767</v>
      </c>
      <c r="B61" s="7">
        <v>4049</v>
      </c>
      <c r="C61" s="21" t="s">
        <v>194</v>
      </c>
      <c r="D61" s="21" t="s">
        <v>923</v>
      </c>
      <c r="E61" s="13">
        <v>43031.432314814818</v>
      </c>
      <c r="F61" s="13">
        <v>43031.435590277775</v>
      </c>
      <c r="G61" s="7">
        <v>59</v>
      </c>
      <c r="H61" s="21" t="s">
        <v>360</v>
      </c>
      <c r="I61" s="13">
        <v>43031.46466435185</v>
      </c>
      <c r="J61" s="7">
        <v>0</v>
      </c>
      <c r="K61" s="89" t="str">
        <f>IF(ISEVEN(B61),(B61-1)&amp;"/"&amp;B61,B61&amp;"/"&amp;(B61+1))</f>
        <v>4049/4050</v>
      </c>
      <c r="L61" s="185" t="str">
        <f>VLOOKUP(A61,'Trips&amp;Operators'!$C$1:$G$99911,5,FALSE)</f>
        <v>LAMAR NEKESHA</v>
      </c>
      <c r="M61" s="6">
        <f>I61-F61</f>
        <v>2.9074074074742384E-2</v>
      </c>
      <c r="N61" s="7">
        <f>24*60*SUM($M61:$M61)</f>
        <v>41.866666667629033</v>
      </c>
      <c r="O61" s="7"/>
      <c r="P61" s="7"/>
      <c r="Q61" s="22"/>
      <c r="R61" s="174"/>
      <c r="S61" s="221">
        <f>1/IF(AG61="EC",12,1)*SUM(U61:U61)</f>
        <v>1</v>
      </c>
      <c r="T61" s="174" t="str">
        <f>IF(ISEVEN(LEFT(AD61,4)),"Southbound","NorthBound")</f>
        <v>Southbound</v>
      </c>
      <c r="U61" s="198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16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2017-10-23T09:22:32-0600',mode:absolute,to:'2017-10-23T12:09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61" s="204" t="str">
        <f>IF(AA61&lt;VLOOKUP(AG61,Variables!$AC$3:$AD$8,2,FALSE),"Y","N")</f>
        <v>N</v>
      </c>
      <c r="X61" s="204">
        <f>VALUE(LEFT(AD61,4))-VALUE(LEFT(AD60,4))</f>
        <v>1</v>
      </c>
      <c r="Y61" s="204">
        <f>RIGHT(D61,LEN(D61)-4)/10000</f>
        <v>23.297000000000001</v>
      </c>
      <c r="Z61" s="204">
        <f>RIGHT(H61,LEN(H61)-4)/10000</f>
        <v>1.61E-2</v>
      </c>
      <c r="AA61" s="204">
        <f>ABS(Z61-Y61)</f>
        <v>23.280899999999999</v>
      </c>
      <c r="AB61" s="54" t="e">
        <f>VLOOKUP(A61,Enforcements!$C$7:$K$11,8,0)</f>
        <v>#N/A</v>
      </c>
      <c r="AC61" s="51" t="e">
        <f>VLOOKUP(A61,Enforcements!$C$7:$E$11,3,0)</f>
        <v>#N/A</v>
      </c>
      <c r="AD61" s="179">
        <f>VALUE(LEFT(A61,LEN(A61)-3))</f>
        <v>148</v>
      </c>
      <c r="AE61" s="77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s3://rtdc.mdm.uploadarchive.raw/RTDC4049/ "%USERPROFILE%\AppData\Local\Temp\OnboardLogs"\RTDC4049\2017-10-23 --exclude "*" --recursive --include "*20171023*" &amp; "%USERPROFILE%\Documents\GitHub\mrs-test-scripts\Headless Mode &amp; Sideloading\WalkAndUnGZ.bat" "%USERPROFILE%\AppData\Local\Temp\OnboardLogs"\RTDC4049\2017-10-23 &amp; aws s3 cp s3://rtdc.mdm.uploadarchive.raw/RTDC4049/ "%USERPROFILE%\AppData\Local\Temp\OnboardLogs"\RTDC4049\2017-10-24 --exclude "*" --recursive --include "*20171024*" &amp; "%USERPROFILE%\Documents\GitHub\mrs-test-scripts\Headless Mode &amp; Sideloading\WalkAndUnGZ.bat" "%USERPROFILE%\AppData\Local\Temp\OnboardLogs"\RTDC4049\2017-10-24</v>
      </c>
      <c r="AF61" s="74" t="str">
        <f>astrogrep_path&amp;" /e /r /s /spath="&amp;search_path&amp;" /stypes=""app*"&amp;B61&amp;"*"&amp;TEXT(I61-utc_offset/24,"YYYYMMDD")&amp;"*"" /stext="" "&amp;TEXT(I61-utc_offset/24,"HH")&amp;search_regexp&amp;""""</f>
        <v>"C:\Program Files (x86)\AstroGrep\AstroGrep.exe" /e /r /s /spath="%USERPROFILE%\AppData\Local\Temp\OnboardLogs" /stypes="app*4049*20171023*" /stext=" 17:.+((SYSTEM_STATE.+slice.+state.+changed )|(ment ac)|(multiple cpu faults)|(system.+state.+changed )|(\[timeout)|(PRM\|1\|D)|(kpr)|(kdp)|(train st.+moving)|(\|lc)|(penalty))"</v>
      </c>
      <c r="AG61" s="182" t="str">
        <f>DetSubdiv(A61)</f>
        <v>EC</v>
      </c>
      <c r="AH61" s="78" t="str">
        <f t="shared" si="5"/>
        <v>"%USERPROFILE%\Documents\GitHub\eaglep3\Utilities\RefineRTDCRunTimes.py" --tripid 148-23 --locoid 4049 --swversion DE.1.0.9.0 --startMP 204:232970 --initTime 2017-10-23T10:22:32 --startdatetime 2017-10-23T10:27:15 --delay 59 --endMP 204:161 --enddatetime 2017-10-23T11:09:07 --enforcementcount 0 &gt;&gt;%USERPROFILE%\Documents\GitHub\eaglep3-reporting\EC\2017-10-23-refined-times.txt</v>
      </c>
      <c r="AI61" s="96" t="str">
        <f t="shared" si="6"/>
        <v>echo {"issue":{"subject":"","project_id":79,"tracker_id":40,"status_id":1,"priority_id":2,"assigned_to_id":338,"start_date":"2017-10-23","description":"","custom_fields":[{"id":1,"name":"Subdivision","value":"EC"},{"id":4,"name":"Milepost","value":"0.0161"},{"id":17,"name":"Train ID","value":"148-23"},{"id":16,"name":"Locomotive ID","value":"4049"},{"id":130,"name":"Impact","value":""},{"id":150,"name":"Time of Event (Mountain Time)","value":"11:09:07"},{"id":151,"name":"Denver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0"/>
      <c r="AK61" s="47"/>
      <c r="AL61" s="47"/>
      <c r="AM61" s="142" t="str">
        <f t="shared" si="7"/>
        <v>start /low /b %USERPROFILE%\Documents\GitHub\eaglep3\Utilities\DownloadLogsFromS3.py --loco 4049 --day 2017-10-23</v>
      </c>
      <c r="AN61" s="151" t="str">
        <f t="shared" si="8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17:09:07"},{"id":29,"name":"Sharepoint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168" t="str">
        <f t="shared" si="9"/>
        <v>https://d0f6bd738d7f1b3e5a7ca70fe4ff75f0.us-east-1.aws.found.io/app/kibana#/discover/Steve-Slow-Train-Analysis-(2080s-and-2083s)?_g=(refreshInterval:(display:Off,pause:!f,section:0,value:0),time:(from:'2017-10-23T09:22:32-0600',mode:absolute,to:'2017-10-23T12:09:07-0600'))&amp;_a=(columns:!('Message%20ID',Summary),filters:!(),index:'emp_*',interval:auto,query:(query_string:(analyze_wildcard:!t,query:'%22rtdc.l.rtdc.4049%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3">
      <c r="A62" s="32" t="s">
        <v>761</v>
      </c>
      <c r="B62" s="7">
        <v>4018</v>
      </c>
      <c r="C62" s="21" t="s">
        <v>194</v>
      </c>
      <c r="D62" s="21" t="s">
        <v>384</v>
      </c>
      <c r="E62" s="13">
        <v>43031.401979166665</v>
      </c>
      <c r="F62" s="13">
        <v>43031.4065625</v>
      </c>
      <c r="G62" s="7">
        <v>47</v>
      </c>
      <c r="H62" s="21" t="s">
        <v>382</v>
      </c>
      <c r="I62" s="13">
        <v>43031.432326388887</v>
      </c>
      <c r="J62" s="7">
        <v>0</v>
      </c>
      <c r="K62" s="89" t="str">
        <f>IF(ISEVEN(B62),(B62-1)&amp;"/"&amp;B62,B62&amp;"/"&amp;(B62+1))</f>
        <v>4017/4018</v>
      </c>
      <c r="L62" s="185" t="str">
        <f>VLOOKUP(A62,'Trips&amp;Operators'!$C$1:$G$99911,5,FALSE)</f>
        <v>YORK EDGAR</v>
      </c>
      <c r="M62" s="6">
        <f>I62-F62</f>
        <v>2.5763888887013309E-2</v>
      </c>
      <c r="N62" s="7">
        <f>24*60*SUM($M62:$M62)</f>
        <v>37.099999997299165</v>
      </c>
      <c r="O62" s="7"/>
      <c r="P62" s="7"/>
      <c r="Q62" s="22"/>
      <c r="R62" s="174"/>
      <c r="S62" s="221">
        <f>1/IF(AG62="EC",12,1)*SUM(U62:U62)</f>
        <v>1</v>
      </c>
      <c r="T62" s="174" t="str">
        <f>IF(ISEVEN(LEFT(AD62,4)),"Southbound","NorthBound")</f>
        <v>NorthBound</v>
      </c>
      <c r="U62" s="198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16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2017-10-23T08:38:51-0600',mode:absolute,to:'2017-10-23T11:22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62" s="204" t="str">
        <f>IF(AA62&lt;VLOOKUP(AG62,Variables!$AC$3:$AD$8,2,FALSE),"Y","N")</f>
        <v>N</v>
      </c>
      <c r="X62" s="204">
        <f>VALUE(LEFT(AD62,4))-VALUE(LEFT(AD61,4))</f>
        <v>1</v>
      </c>
      <c r="Y62" s="204">
        <f>RIGHT(D62,LEN(D62)-4)/10000</f>
        <v>4.7300000000000002E-2</v>
      </c>
      <c r="Z62" s="204">
        <f>RIGHT(H62,LEN(H62)-4)/10000</f>
        <v>23.3291</v>
      </c>
      <c r="AA62" s="204">
        <f>ABS(Z62-Y62)</f>
        <v>23.2818</v>
      </c>
      <c r="AB62" s="54" t="e">
        <f>VLOOKUP(A62,Enforcements!$C$7:$K$11,8,0)</f>
        <v>#N/A</v>
      </c>
      <c r="AC62" s="51" t="e">
        <f>VLOOKUP(A62,Enforcements!$C$7:$E$11,3,0)</f>
        <v>#N/A</v>
      </c>
      <c r="AD62" s="179">
        <f>VALUE(LEFT(A62,LEN(A62)-3))</f>
        <v>149</v>
      </c>
      <c r="AE62" s="77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s3://rtdc.mdm.uploadarchive.raw/RTDC4018/ "%USERPROFILE%\AppData\Local\Temp\OnboardLogs"\RTDC4018\2017-10-23 --exclude "*" --recursive --include "*20171023*" &amp; "%USERPROFILE%\Documents\GitHub\mrs-test-scripts\Headless Mode &amp; Sideloading\WalkAndUnGZ.bat" "%USERPROFILE%\AppData\Local\Temp\OnboardLogs"\RTDC4018\2017-10-23 &amp; aws s3 cp s3://rtdc.mdm.uploadarchive.raw/RTDC4018/ "%USERPROFILE%\AppData\Local\Temp\OnboardLogs"\RTDC4018\2017-10-24 --exclude "*" --recursive --include "*20171024*" &amp; "%USERPROFILE%\Documents\GitHub\mrs-test-scripts\Headless Mode &amp; Sideloading\WalkAndUnGZ.bat" "%USERPROFILE%\AppData\Local\Temp\OnboardLogs"\RTDC4018\2017-10-24</v>
      </c>
      <c r="AF62" s="74" t="str">
        <f>astrogrep_path&amp;" /e /r /s /spath="&amp;search_path&amp;" /stypes=""app*"&amp;B62&amp;"*"&amp;TEXT(I62-utc_offset/24,"YYYYMMDD")&amp;"*"" /stext="" "&amp;TEXT(I62-utc_offset/24,"HH")&amp;search_regexp&amp;""""</f>
        <v>"C:\Program Files (x86)\AstroGrep\AstroGrep.exe" /e /r /s /spath="%USERPROFILE%\AppData\Local\Temp\OnboardLogs" /stypes="app*4018*20171023*" /stext=" 16:.+((SYSTEM_STATE.+slice.+state.+changed )|(ment ac)|(multiple cpu faults)|(system.+state.+changed )|(\[timeout)|(PRM\|1\|D)|(kpr)|(kdp)|(train st.+moving)|(\|lc)|(penalty))"</v>
      </c>
      <c r="AG62" s="182" t="str">
        <f>DetSubdiv(A62)</f>
        <v>EC</v>
      </c>
      <c r="AH62" s="78" t="str">
        <f t="shared" si="5"/>
        <v>"%USERPROFILE%\Documents\GitHub\eaglep3\Utilities\RefineRTDCRunTimes.py" --tripid 149-23 --locoid 4018 --swversion DE.1.0.9.0 --startMP 204:473 --initTime 2017-10-23T09:38:51 --startdatetime 2017-10-23T09:45:27 --delay 47 --endMP 204:233291 --enddatetime 2017-10-23T10:22:33 --enforcementcount 0 &gt;&gt;%USERPROFILE%\Documents\GitHub\eaglep3-reporting\EC\2017-10-23-refined-times.txt</v>
      </c>
      <c r="AI62" s="96" t="str">
        <f t="shared" si="6"/>
        <v>echo {"issue":{"subject":"","project_id":79,"tracker_id":40,"status_id":1,"priority_id":2,"assigned_to_id":338,"start_date":"2017-10-23","description":"","custom_fields":[{"id":1,"name":"Subdivision","value":"EC"},{"id":4,"name":"Milepost","value":"23.3291"},{"id":17,"name":"Train ID","value":"149-23"},{"id":16,"name":"Locomotive ID","value":"4018"},{"id":130,"name":"Impact","value":""},{"id":150,"name":"Time of Event (Mountain Time)","value":"10:22:33"},{"id":151,"name":"Denver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0"/>
      <c r="AK62" s="47"/>
      <c r="AL62" s="47"/>
      <c r="AM62" s="142" t="str">
        <f t="shared" si="7"/>
        <v>start /low /b %USERPROFILE%\Documents\GitHub\eaglep3\Utilities\DownloadLogsFromS3.py --loco 4018 --day 2017-10-23</v>
      </c>
      <c r="AN62" s="151" t="str">
        <f t="shared" si="8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16:22:33"},{"id":29,"name":"Sharepoint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168" t="str">
        <f t="shared" si="9"/>
        <v>https://d0f6bd738d7f1b3e5a7ca70fe4ff75f0.us-east-1.aws.found.io/app/kibana#/discover/Steve-Slow-Train-Analysis-(2080s-and-2083s)?_g=(refreshInterval:(display:Off,pause:!f,section:0,value:0),time:(from:'2017-10-23T08:38:51-0600',mode:absolute,to:'2017-10-23T11:22:33-0600'))&amp;_a=(columns:!('Message%20ID',Summary),filters:!(),index:'emp_*',interval:auto,query:(query_string:(analyze_wildcard:!t,query:'%22rtdc.l.rtdc.4018%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3">
      <c r="A63" s="32" t="s">
        <v>768</v>
      </c>
      <c r="B63" s="7">
        <v>4017</v>
      </c>
      <c r="C63" s="21" t="s">
        <v>194</v>
      </c>
      <c r="D63" s="21" t="s">
        <v>907</v>
      </c>
      <c r="E63" s="13">
        <v>43031.433206018519</v>
      </c>
      <c r="F63" s="13">
        <v>43031.446076388886</v>
      </c>
      <c r="G63" s="7">
        <v>41</v>
      </c>
      <c r="H63" s="21" t="s">
        <v>924</v>
      </c>
      <c r="I63" s="13">
        <v>43031.470983796295</v>
      </c>
      <c r="J63" s="7">
        <v>0</v>
      </c>
      <c r="K63" s="89" t="str">
        <f>IF(ISEVEN(B63),(B63-1)&amp;"/"&amp;B63,B63&amp;"/"&amp;(B63+1))</f>
        <v>4017/4018</v>
      </c>
      <c r="L63" s="185" t="str">
        <f>VLOOKUP(A63,'Trips&amp;Operators'!$C$1:$G$99911,5,FALSE)</f>
        <v>YORK EDGAR</v>
      </c>
      <c r="M63" s="6">
        <f>I63-F63</f>
        <v>2.4907407409045845E-2</v>
      </c>
      <c r="N63" s="7">
        <f>24*60*SUM($M63:$M63)</f>
        <v>35.866666669026017</v>
      </c>
      <c r="O63" s="7"/>
      <c r="P63" s="7"/>
      <c r="Q63" s="22"/>
      <c r="R63" s="174"/>
      <c r="S63" s="221">
        <f>1/IF(AG63="EC",12,1)*SUM(U63:U63)</f>
        <v>1</v>
      </c>
      <c r="T63" s="174" t="str">
        <f>IF(ISEVEN(LEFT(AD63,4)),"Southbound","NorthBound")</f>
        <v>Southbound</v>
      </c>
      <c r="U63" s="198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16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2017-10-23T09:23:49-0600',mode:absolute,to:'2017-10-23T12:18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63" s="204" t="str">
        <f>IF(AA63&lt;VLOOKUP(AG63,Variables!$AC$3:$AD$8,2,FALSE),"Y","N")</f>
        <v>N</v>
      </c>
      <c r="X63" s="204">
        <f>VALUE(LEFT(AD63,4))-VALUE(LEFT(AD62,4))</f>
        <v>1</v>
      </c>
      <c r="Y63" s="204">
        <f>RIGHT(D63,LEN(D63)-4)/10000</f>
        <v>23.296700000000001</v>
      </c>
      <c r="Z63" s="204">
        <f>RIGHT(H63,LEN(H63)-4)/10000</f>
        <v>1.6E-2</v>
      </c>
      <c r="AA63" s="204">
        <f>ABS(Z63-Y63)</f>
        <v>23.280700000000003</v>
      </c>
      <c r="AB63" s="54" t="e">
        <f>VLOOKUP(A63,Enforcements!$C$7:$K$11,8,0)</f>
        <v>#N/A</v>
      </c>
      <c r="AC63" s="51" t="e">
        <f>VLOOKUP(A63,Enforcements!$C$7:$E$11,3,0)</f>
        <v>#N/A</v>
      </c>
      <c r="AD63" s="179">
        <f>VALUE(LEFT(A63,LEN(A63)-3))</f>
        <v>150</v>
      </c>
      <c r="AE63" s="77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s3://rtdc.mdm.uploadarchive.raw/RTDC4017/ "%USERPROFILE%\AppData\Local\Temp\OnboardLogs"\RTDC4017\2017-10-23 --exclude "*" --recursive --include "*20171023*" &amp; "%USERPROFILE%\Documents\GitHub\mrs-test-scripts\Headless Mode &amp; Sideloading\WalkAndUnGZ.bat" "%USERPROFILE%\AppData\Local\Temp\OnboardLogs"\RTDC4017\2017-10-23 &amp; aws s3 cp s3://rtdc.mdm.uploadarchive.raw/RTDC4017/ "%USERPROFILE%\AppData\Local\Temp\OnboardLogs"\RTDC4017\2017-10-24 --exclude "*" --recursive --include "*20171024*" &amp; "%USERPROFILE%\Documents\GitHub\mrs-test-scripts\Headless Mode &amp; Sideloading\WalkAndUnGZ.bat" "%USERPROFILE%\AppData\Local\Temp\OnboardLogs"\RTDC4017\2017-10-24</v>
      </c>
      <c r="AF63" s="74" t="str">
        <f>astrogrep_path&amp;" /e /r /s /spath="&amp;search_path&amp;" /stypes=""app*"&amp;B63&amp;"*"&amp;TEXT(I63-utc_offset/24,"YYYYMMDD")&amp;"*"" /stext="" "&amp;TEXT(I63-utc_offset/24,"HH")&amp;search_regexp&amp;""""</f>
        <v>"C:\Program Files (x86)\AstroGrep\AstroGrep.exe" /e /r /s /spath="%USERPROFILE%\AppData\Local\Temp\OnboardLogs" /stypes="app*4017*20171023*" /stext=" 17:.+((SYSTEM_STATE.+slice.+state.+changed )|(ment ac)|(multiple cpu faults)|(system.+state.+changed )|(\[timeout)|(PRM\|1\|D)|(kpr)|(kdp)|(train st.+moving)|(\|lc)|(penalty))"</v>
      </c>
      <c r="AG63" s="182" t="str">
        <f>DetSubdiv(A63)</f>
        <v>EC</v>
      </c>
      <c r="AH63" s="78" t="str">
        <f t="shared" si="5"/>
        <v>"%USERPROFILE%\Documents\GitHub\eaglep3\Utilities\RefineRTDCRunTimes.py" --tripid 150-23 --locoid 4017 --swversion DE.1.0.9.0 --startMP 204:232967 --initTime 2017-10-23T10:23:49 --startdatetime 2017-10-23T10:42:21 --delay 41 --endMP 204:160 --enddatetime 2017-10-23T11:18:13 --enforcementcount 0 &gt;&gt;%USERPROFILE%\Documents\GitHub\eaglep3-reporting\EC\2017-10-23-refined-times.txt</v>
      </c>
      <c r="AI63" s="96" t="str">
        <f t="shared" si="6"/>
        <v>echo {"issue":{"subject":"","project_id":79,"tracker_id":40,"status_id":1,"priority_id":2,"assigned_to_id":338,"start_date":"2017-10-23","description":"","custom_fields":[{"id":1,"name":"Subdivision","value":"EC"},{"id":4,"name":"Milepost","value":"0.016"},{"id":17,"name":"Train ID","value":"150-23"},{"id":16,"name":"Locomotive ID","value":"4017"},{"id":130,"name":"Impact","value":""},{"id":150,"name":"Time of Event (Mountain Time)","value":"11:18:13"},{"id":151,"name":"Denver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0"/>
      <c r="AK63" s="47"/>
      <c r="AL63" s="47"/>
      <c r="AM63" s="142" t="str">
        <f t="shared" si="7"/>
        <v>start /low /b %USERPROFILE%\Documents\GitHub\eaglep3\Utilities\DownloadLogsFromS3.py --loco 4017 --day 2017-10-23</v>
      </c>
      <c r="AN63" s="151" t="str">
        <f t="shared" si="8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17:18:13"},{"id":29,"name":"Sharepoint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168" t="str">
        <f t="shared" si="9"/>
        <v>https://d0f6bd738d7f1b3e5a7ca70fe4ff75f0.us-east-1.aws.found.io/app/kibana#/discover/Steve-Slow-Train-Analysis-(2080s-and-2083s)?_g=(refreshInterval:(display:Off,pause:!f,section:0,value:0),time:(from:'2017-10-23T09:23:49-0600',mode:absolute,to:'2017-10-23T12:18:13-0600'))&amp;_a=(columns:!('Message%20ID',Summary),filters:!(),index:'emp_*',interval:auto,query:(query_string:(analyze_wildcard:!t,query:'%22rtdc.l.rtdc.4017%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3">
      <c r="A64" s="32" t="s">
        <v>763</v>
      </c>
      <c r="B64" s="7">
        <v>4016</v>
      </c>
      <c r="C64" s="21" t="s">
        <v>194</v>
      </c>
      <c r="D64" s="21" t="s">
        <v>922</v>
      </c>
      <c r="E64" s="13">
        <v>43031.413726851853</v>
      </c>
      <c r="F64" s="13">
        <v>43031.416828703703</v>
      </c>
      <c r="G64" s="7">
        <v>64</v>
      </c>
      <c r="H64" s="21" t="s">
        <v>925</v>
      </c>
      <c r="I64" s="13">
        <v>43031.441724537035</v>
      </c>
      <c r="J64" s="7">
        <v>0</v>
      </c>
      <c r="K64" s="89" t="str">
        <f>IF(ISEVEN(B64),(B64-1)&amp;"/"&amp;B64,B64&amp;"/"&amp;(B64+1))</f>
        <v>4015/4016</v>
      </c>
      <c r="L64" s="185" t="str">
        <f>VLOOKUP(A64,'Trips&amp;Operators'!$C$1:$G$99911,5,FALSE)</f>
        <v>BARRON PERLA</v>
      </c>
      <c r="M64" s="6">
        <f>I64-F64</f>
        <v>2.4895833332266193E-2</v>
      </c>
      <c r="N64" s="7">
        <f>24*60*SUM($M64:$M64)</f>
        <v>35.849999998463318</v>
      </c>
      <c r="O64" s="7"/>
      <c r="P64" s="7"/>
      <c r="Q64" s="22"/>
      <c r="R64" s="174"/>
      <c r="S64" s="221">
        <f>1/IF(AG64="EC",12,1)*SUM(U64:U64)</f>
        <v>1</v>
      </c>
      <c r="T64" s="174" t="str">
        <f>IF(ISEVEN(LEFT(AD64,4)),"Southbound","NorthBound")</f>
        <v>NorthBound</v>
      </c>
      <c r="U64" s="198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16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2017-10-23T08:55:46-0600',mode:absolute,to:'2017-10-23T11:36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64" s="204" t="str">
        <f>IF(AA64&lt;VLOOKUP(AG64,Variables!$AC$3:$AD$8,2,FALSE),"Y","N")</f>
        <v>N</v>
      </c>
      <c r="X64" s="204">
        <f>VALUE(LEFT(AD64,4))-VALUE(LEFT(AD63,4))</f>
        <v>1</v>
      </c>
      <c r="Y64" s="204">
        <f>RIGHT(D64,LEN(D64)-4)/10000</f>
        <v>4.7699999999999999E-2</v>
      </c>
      <c r="Z64" s="204">
        <f>RIGHT(H64,LEN(H64)-4)/10000</f>
        <v>23.329499999999999</v>
      </c>
      <c r="AA64" s="204">
        <f>ABS(Z64-Y64)</f>
        <v>23.2818</v>
      </c>
      <c r="AB64" s="54" t="e">
        <f>VLOOKUP(A64,Enforcements!$C$7:$K$11,8,0)</f>
        <v>#N/A</v>
      </c>
      <c r="AC64" s="51" t="e">
        <f>VLOOKUP(A64,Enforcements!$C$7:$E$11,3,0)</f>
        <v>#N/A</v>
      </c>
      <c r="AD64" s="179">
        <f>VALUE(LEFT(A64,LEN(A64)-3))</f>
        <v>151</v>
      </c>
      <c r="AE64" s="77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s3://rtdc.mdm.uploadarchive.raw/RTDC4016/ "%USERPROFILE%\AppData\Local\Temp\OnboardLogs"\RTDC4016\2017-10-23 --exclude "*" --recursive --include "*20171023*" &amp; "%USERPROFILE%\Documents\GitHub\mrs-test-scripts\Headless Mode &amp; Sideloading\WalkAndUnGZ.bat" "%USERPROFILE%\AppData\Local\Temp\OnboardLogs"\RTDC4016\2017-10-23 &amp; aws s3 cp s3://rtdc.mdm.uploadarchive.raw/RTDC4016/ "%USERPROFILE%\AppData\Local\Temp\OnboardLogs"\RTDC4016\2017-10-24 --exclude "*" --recursive --include "*20171024*" &amp; "%USERPROFILE%\Documents\GitHub\mrs-test-scripts\Headless Mode &amp; Sideloading\WalkAndUnGZ.bat" "%USERPROFILE%\AppData\Local\Temp\OnboardLogs"\RTDC4016\2017-10-24</v>
      </c>
      <c r="AF64" s="74" t="str">
        <f>astrogrep_path&amp;" /e /r /s /spath="&amp;search_path&amp;" /stypes=""app*"&amp;B64&amp;"*"&amp;TEXT(I64-utc_offset/24,"YYYYMMDD")&amp;"*"" /stext="" "&amp;TEXT(I64-utc_offset/24,"HH")&amp;search_regexp&amp;""""</f>
        <v>"C:\Program Files (x86)\AstroGrep\AstroGrep.exe" /e /r /s /spath="%USERPROFILE%\AppData\Local\Temp\OnboardLogs" /stypes="app*4016*20171023*" /stext=" 16:.+((SYSTEM_STATE.+slice.+state.+changed )|(ment ac)|(multiple cpu faults)|(system.+state.+changed )|(\[timeout)|(PRM\|1\|D)|(kpr)|(kdp)|(train st.+moving)|(\|lc)|(penalty))"</v>
      </c>
      <c r="AG64" s="182" t="str">
        <f>DetSubdiv(A64)</f>
        <v>EC</v>
      </c>
      <c r="AH64" s="78" t="str">
        <f t="shared" si="5"/>
        <v>"%USERPROFILE%\Documents\GitHub\eaglep3\Utilities\RefineRTDCRunTimes.py" --tripid 151-23 --locoid 4016 --swversion DE.1.0.9.0 --startMP 204:477 --initTime 2017-10-23T09:55:46 --startdatetime 2017-10-23T10:00:14 --delay 64 --endMP 204:233295 --enddatetime 2017-10-23T10:36:05 --enforcementcount 0 &gt;&gt;%USERPROFILE%\Documents\GitHub\eaglep3-reporting\EC\2017-10-23-refined-times.txt</v>
      </c>
      <c r="AI64" s="96" t="str">
        <f t="shared" si="6"/>
        <v>echo {"issue":{"subject":"","project_id":79,"tracker_id":40,"status_id":1,"priority_id":2,"assigned_to_id":338,"start_date":"2017-10-23","description":"","custom_fields":[{"id":1,"name":"Subdivision","value":"EC"},{"id":4,"name":"Milepost","value":"23.3295"},{"id":17,"name":"Train ID","value":"151-23"},{"id":16,"name":"Locomotive ID","value":"4016"},{"id":130,"name":"Impact","value":""},{"id":150,"name":"Time of Event (Mountain Time)","value":"10:36:05"},{"id":151,"name":"Denver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0"/>
      <c r="AK64" s="47"/>
      <c r="AL64" s="47"/>
      <c r="AM64" s="142" t="str">
        <f t="shared" si="7"/>
        <v>start /low /b %USERPROFILE%\Documents\GitHub\eaglep3\Utilities\DownloadLogsFromS3.py --loco 4016 --day 2017-10-23</v>
      </c>
      <c r="AN64" s="151" t="str">
        <f t="shared" si="8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16:36:05"},{"id":29,"name":"Sharepoint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168" t="str">
        <f t="shared" si="9"/>
        <v>https://d0f6bd738d7f1b3e5a7ca70fe4ff75f0.us-east-1.aws.found.io/app/kibana#/discover/Steve-Slow-Train-Analysis-(2080s-and-2083s)?_g=(refreshInterval:(display:Off,pause:!f,section:0,value:0),time:(from:'2017-10-23T08:55:46-0600',mode:absolute,to:'2017-10-23T11:36:05-0600'))&amp;_a=(columns:!('Message%20ID',Summary),filters:!(),index:'emp_*',interval:auto,query:(query_string:(analyze_wildcard:!t,query:'%22rtdc.l.rtdc.4016%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3">
      <c r="A65" s="32" t="s">
        <v>657</v>
      </c>
      <c r="B65" s="7">
        <v>4015</v>
      </c>
      <c r="C65" s="21" t="s">
        <v>194</v>
      </c>
      <c r="D65" s="21" t="s">
        <v>606</v>
      </c>
      <c r="E65" s="13">
        <v>43031.444236111114</v>
      </c>
      <c r="F65" s="13">
        <v>43031.456550925926</v>
      </c>
      <c r="G65" s="7">
        <v>57</v>
      </c>
      <c r="H65" s="21" t="s">
        <v>926</v>
      </c>
      <c r="I65" s="13">
        <v>43031.48542824074</v>
      </c>
      <c r="J65" s="7">
        <v>0</v>
      </c>
      <c r="K65" s="89" t="str">
        <f>IF(ISEVEN(B65),(B65-1)&amp;"/"&amp;B65,B65&amp;"/"&amp;(B65+1))</f>
        <v>4015/4016</v>
      </c>
      <c r="L65" s="185" t="str">
        <f>VLOOKUP(A65,'Trips&amp;Operators'!$C$1:$G$99911,5,FALSE)</f>
        <v>BARRON PERLA</v>
      </c>
      <c r="M65" s="6">
        <f>I65-F65</f>
        <v>2.8877314813144039E-2</v>
      </c>
      <c r="N65" s="7">
        <f>24*60*SUM($M65:$M65)</f>
        <v>41.583333330927417</v>
      </c>
      <c r="O65" s="7"/>
      <c r="P65" s="7"/>
      <c r="Q65" s="22"/>
      <c r="R65" s="174"/>
      <c r="S65" s="221">
        <f>1/IF(AG65="EC",12,1)*SUM(U65:U65)</f>
        <v>1</v>
      </c>
      <c r="T65" s="174" t="str">
        <f>IF(ISEVEN(LEFT(AD65,4)),"Southbound","NorthBound")</f>
        <v>Southbound</v>
      </c>
      <c r="U65" s="198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16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2017-10-23T09:39:42-0600',mode:absolute,to:'2017-10-23T12:39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65" s="204" t="str">
        <f>IF(AA65&lt;VLOOKUP(AG65,Variables!$AC$3:$AD$8,2,FALSE),"Y","N")</f>
        <v>N</v>
      </c>
      <c r="X65" s="204">
        <f>VALUE(LEFT(AD65,4))-VALUE(LEFT(AD64,4))</f>
        <v>1</v>
      </c>
      <c r="Y65" s="204">
        <f>RIGHT(D65,LEN(D65)-4)/10000</f>
        <v>23.299299999999999</v>
      </c>
      <c r="Z65" s="204">
        <f>RIGHT(H65,LEN(H65)-4)/10000</f>
        <v>2.3199999999999998E-2</v>
      </c>
      <c r="AA65" s="204">
        <f>ABS(Z65-Y65)</f>
        <v>23.2761</v>
      </c>
      <c r="AB65" s="54" t="str">
        <f>VLOOKUP(A65,Enforcements!$C$7:$K$11,8,0)</f>
        <v>Bulletin (2)</v>
      </c>
      <c r="AC65" s="51" t="str">
        <f>VLOOKUP(A65,Enforcements!$C$7:$E$11,3,0)</f>
        <v>GRADE CROSSING</v>
      </c>
      <c r="AD65" s="179">
        <f>VALUE(LEFT(A65,LEN(A65)-3))</f>
        <v>152</v>
      </c>
      <c r="AE65" s="77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s3://rtdc.mdm.uploadarchive.raw/RTDC4015/ "%USERPROFILE%\AppData\Local\Temp\OnboardLogs"\RTDC4015\2017-10-23 --exclude "*" --recursive --include "*20171023*" &amp; "%USERPROFILE%\Documents\GitHub\mrs-test-scripts\Headless Mode &amp; Sideloading\WalkAndUnGZ.bat" "%USERPROFILE%\AppData\Local\Temp\OnboardLogs"\RTDC4015\2017-10-23 &amp; aws s3 cp s3://rtdc.mdm.uploadarchive.raw/RTDC4015/ "%USERPROFILE%\AppData\Local\Temp\OnboardLogs"\RTDC4015\2017-10-24 --exclude "*" --recursive --include "*20171024*" &amp; "%USERPROFILE%\Documents\GitHub\mrs-test-scripts\Headless Mode &amp; Sideloading\WalkAndUnGZ.bat" "%USERPROFILE%\AppData\Local\Temp\OnboardLogs"\RTDC4015\2017-10-24</v>
      </c>
      <c r="AF65" s="74" t="str">
        <f>astrogrep_path&amp;" /e /r /s /spath="&amp;search_path&amp;" /stypes=""app*"&amp;B65&amp;"*"&amp;TEXT(I65-utc_offset/24,"YYYYMMDD")&amp;"*"" /stext="" "&amp;TEXT(I65-utc_offset/24,"HH")&amp;search_regexp&amp;""""</f>
        <v>"C:\Program Files (x86)\AstroGrep\AstroGrep.exe" /e /r /s /spath="%USERPROFILE%\AppData\Local\Temp\OnboardLogs" /stypes="app*4015*20171023*" /stext=" 17:.+((SYSTEM_STATE.+slice.+state.+changed )|(ment ac)|(multiple cpu faults)|(system.+state.+changed )|(\[timeout)|(PRM\|1\|D)|(kpr)|(kdp)|(train st.+moving)|(\|lc)|(penalty))"</v>
      </c>
      <c r="AG65" s="182" t="str">
        <f>DetSubdiv(A65)</f>
        <v>EC</v>
      </c>
      <c r="AH65" s="78" t="str">
        <f t="shared" si="5"/>
        <v>"%USERPROFILE%\Documents\GitHub\eaglep3\Utilities\RefineRTDCRunTimes.py" --tripid 152-23 --locoid 4015 --swversion DE.1.0.9.0 --startMP 204:232993 --initTime 2017-10-23T10:39:42 --startdatetime 2017-10-23T10:57:26 --delay 57 --endMP 204:232 --enddatetime 2017-10-23T11:39:01 --enforcementcount 0 &gt;&gt;%USERPROFILE%\Documents\GitHub\eaglep3-reporting\EC\2017-10-23-refined-times.txt</v>
      </c>
      <c r="AI65" s="96" t="str">
        <f t="shared" si="6"/>
        <v>echo {"issue":{"subject":"","project_id":79,"tracker_id":40,"status_id":1,"priority_id":2,"assigned_to_id":338,"start_date":"2017-10-23","description":"","custom_fields":[{"id":1,"name":"Subdivision","value":"EC"},{"id":4,"name":"Milepost","value":"0.0232"},{"id":17,"name":"Train ID","value":"152-23"},{"id":16,"name":"Locomotive ID","value":"4015"},{"id":130,"name":"Impact","value":""},{"id":150,"name":"Time of Event (Mountain Time)","value":"11:39:01"},{"id":151,"name":"Denver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0"/>
      <c r="AK65" s="47"/>
      <c r="AL65" s="47"/>
      <c r="AM65" s="142" t="str">
        <f t="shared" si="7"/>
        <v>start /low /b %USERPROFILE%\Documents\GitHub\eaglep3\Utilities\DownloadLogsFromS3.py --loco 4015 --day 2017-10-23</v>
      </c>
      <c r="AN65" s="151" t="str">
        <f t="shared" si="8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17:39:01"},{"id":29,"name":"Sharepoint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168" t="str">
        <f t="shared" si="9"/>
        <v>https://d0f6bd738d7f1b3e5a7ca70fe4ff75f0.us-east-1.aws.found.io/app/kibana#/discover/Steve-Slow-Train-Analysis-(2080s-and-2083s)?_g=(refreshInterval:(display:Off,pause:!f,section:0,value:0),time:(from:'2017-10-23T09:39:42-0600',mode:absolute,to:'2017-10-23T12:39:01-0600'))&amp;_a=(columns:!('Message%20ID',Summary),filters:!(),index:'emp_*',interval:auto,query:(query_string:(analyze_wildcard:!t,query:'%22rtdc.l.rtdc.4015%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3">
      <c r="A66" s="32" t="s">
        <v>766</v>
      </c>
      <c r="B66" s="7">
        <v>4042</v>
      </c>
      <c r="C66" s="21" t="s">
        <v>194</v>
      </c>
      <c r="D66" s="21" t="s">
        <v>927</v>
      </c>
      <c r="E66" s="13">
        <v>43031.42523148148</v>
      </c>
      <c r="F66" s="13">
        <v>43031.427453703705</v>
      </c>
      <c r="G66" s="7">
        <v>75</v>
      </c>
      <c r="H66" s="21" t="s">
        <v>928</v>
      </c>
      <c r="I66" s="13">
        <v>43031.453321759262</v>
      </c>
      <c r="J66" s="7">
        <v>0</v>
      </c>
      <c r="K66" s="89" t="str">
        <f>IF(ISEVEN(B66),(B66-1)&amp;"/"&amp;B66,B66&amp;"/"&amp;(B66+1))</f>
        <v>4041/4042</v>
      </c>
      <c r="L66" s="185" t="str">
        <f>VLOOKUP(A66,'Trips&amp;Operators'!$C$1:$G$99911,5,FALSE)</f>
        <v>MACDONALD THOMAS</v>
      </c>
      <c r="M66" s="6">
        <f>I66-F66</f>
        <v>2.5868055556202307E-2</v>
      </c>
      <c r="N66" s="7">
        <f>24*60*SUM($M66:$M66)</f>
        <v>37.250000000931323</v>
      </c>
      <c r="O66" s="7"/>
      <c r="P66" s="7"/>
      <c r="Q66" s="22"/>
      <c r="R66" s="174"/>
      <c r="S66" s="221">
        <f>1/IF(AG66="EC",12,1)*SUM(U66:U66)</f>
        <v>1</v>
      </c>
      <c r="T66" s="174" t="str">
        <f>IF(ISEVEN(LEFT(AD66,4)),"Southbound","NorthBound")</f>
        <v>NorthBound</v>
      </c>
      <c r="U66" s="198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16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2017-10-23T09:12:20-0600',mode:absolute,to:'2017-10-23T11:52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6" s="204" t="str">
        <f>IF(AA66&lt;VLOOKUP(AG66,Variables!$AC$3:$AD$8,2,FALSE),"Y","N")</f>
        <v>N</v>
      </c>
      <c r="X66" s="204">
        <f>VALUE(LEFT(AD66,4))-VALUE(LEFT(AD65,4))</f>
        <v>1</v>
      </c>
      <c r="Y66" s="204">
        <f>RIGHT(D66,LEN(D66)-4)/10000</f>
        <v>4.3299999999999998E-2</v>
      </c>
      <c r="Z66" s="204">
        <f>RIGHT(H66,LEN(H66)-4)/10000</f>
        <v>23.3263</v>
      </c>
      <c r="AA66" s="204">
        <f>ABS(Z66-Y66)</f>
        <v>23.283000000000001</v>
      </c>
      <c r="AB66" s="54" t="e">
        <f>VLOOKUP(A66,Enforcements!$C$7:$K$11,8,0)</f>
        <v>#N/A</v>
      </c>
      <c r="AC66" s="51" t="e">
        <f>VLOOKUP(A66,Enforcements!$C$7:$E$11,3,0)</f>
        <v>#N/A</v>
      </c>
      <c r="AD66" s="179">
        <f>VALUE(LEFT(A66,LEN(A66)-3))</f>
        <v>153</v>
      </c>
      <c r="AE66" s="77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s3://rtdc.mdm.uploadarchive.raw/RTDC4042/ "%USERPROFILE%\AppData\Local\Temp\OnboardLogs"\RTDC4042\2017-10-23 --exclude "*" --recursive --include "*20171023*" &amp; "%USERPROFILE%\Documents\GitHub\mrs-test-scripts\Headless Mode &amp; Sideloading\WalkAndUnGZ.bat" "%USERPROFILE%\AppData\Local\Temp\OnboardLogs"\RTDC4042\2017-10-23 &amp; aws s3 cp s3://rtdc.mdm.uploadarchive.raw/RTDC4042/ "%USERPROFILE%\AppData\Local\Temp\OnboardLogs"\RTDC4042\2017-10-24 --exclude "*" --recursive --include "*20171024*" &amp; "%USERPROFILE%\Documents\GitHub\mrs-test-scripts\Headless Mode &amp; Sideloading\WalkAndUnGZ.bat" "%USERPROFILE%\AppData\Local\Temp\OnboardLogs"\RTDC4042\2017-10-24</v>
      </c>
      <c r="AF66" s="74" t="str">
        <f>astrogrep_path&amp;" /e /r /s /spath="&amp;search_path&amp;" /stypes=""app*"&amp;B66&amp;"*"&amp;TEXT(I66-utc_offset/24,"YYYYMMDD")&amp;"*"" /stext="" "&amp;TEXT(I66-utc_offset/24,"HH")&amp;search_regexp&amp;""""</f>
        <v>"C:\Program Files (x86)\AstroGrep\AstroGrep.exe" /e /r /s /spath="%USERPROFILE%\AppData\Local\Temp\OnboardLogs" /stypes="app*4042*20171023*" /stext=" 16:.+((SYSTEM_STATE.+slice.+state.+changed )|(ment ac)|(multiple cpu faults)|(system.+state.+changed )|(\[timeout)|(PRM\|1\|D)|(kpr)|(kdp)|(train st.+moving)|(\|lc)|(penalty))"</v>
      </c>
      <c r="AG66" s="182" t="str">
        <f>DetSubdiv(A66)</f>
        <v>EC</v>
      </c>
      <c r="AH66" s="78" t="str">
        <f t="shared" si="5"/>
        <v>"%USERPROFILE%\Documents\GitHub\eaglep3\Utilities\RefineRTDCRunTimes.py" --tripid 153-23 --locoid 4042 --swversion DE.1.0.9.0 --startMP 204:433 --initTime 2017-10-23T10:12:20 --startdatetime 2017-10-23T10:15:32 --delay 75 --endMP 204:233263 --enddatetime 2017-10-23T10:52:47 --enforcementcount 0 &gt;&gt;%USERPROFILE%\Documents\GitHub\eaglep3-reporting\EC\2017-10-23-refined-times.txt</v>
      </c>
      <c r="AI66" s="96" t="str">
        <f t="shared" si="6"/>
        <v>echo {"issue":{"subject":"","project_id":79,"tracker_id":40,"status_id":1,"priority_id":2,"assigned_to_id":338,"start_date":"2017-10-23","description":"","custom_fields":[{"id":1,"name":"Subdivision","value":"EC"},{"id":4,"name":"Milepost","value":"23.3263"},{"id":17,"name":"Train ID","value":"153-23"},{"id":16,"name":"Locomotive ID","value":"4042"},{"id":130,"name":"Impact","value":""},{"id":150,"name":"Time of Event (Mountain Time)","value":"10:52:47"},{"id":151,"name":"Denver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0"/>
      <c r="AK66" s="47"/>
      <c r="AL66" s="47"/>
      <c r="AM66" s="142" t="str">
        <f t="shared" si="7"/>
        <v>start /low /b %USERPROFILE%\Documents\GitHub\eaglep3\Utilities\DownloadLogsFromS3.py --loco 4042 --day 2017-10-23</v>
      </c>
      <c r="AN66" s="151" t="str">
        <f t="shared" si="8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16:52:47"},{"id":29,"name":"Sharepoint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168" t="str">
        <f t="shared" si="9"/>
        <v>https://d0f6bd738d7f1b3e5a7ca70fe4ff75f0.us-east-1.aws.found.io/app/kibana#/discover/Steve-Slow-Train-Analysis-(2080s-and-2083s)?_g=(refreshInterval:(display:Off,pause:!f,section:0,value:0),time:(from:'2017-10-23T09:12:20-0600',mode:absolute,to:'2017-10-23T11:52:47-0600'))&amp;_a=(columns:!('Message%20ID',Summary),filters:!(),index:'emp_*',interval:auto,query:(query_string:(analyze_wildcard:!t,query:'%22rtdc.l.rtdc.4042%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3">
      <c r="A67" s="32" t="s">
        <v>773</v>
      </c>
      <c r="B67" s="7">
        <v>4041</v>
      </c>
      <c r="C67" s="21" t="s">
        <v>194</v>
      </c>
      <c r="D67" s="21" t="s">
        <v>602</v>
      </c>
      <c r="E67" s="13">
        <v>43031.46402777778</v>
      </c>
      <c r="F67" s="13">
        <v>43031.467060185183</v>
      </c>
      <c r="G67" s="7">
        <v>186</v>
      </c>
      <c r="H67" s="21" t="s">
        <v>355</v>
      </c>
      <c r="I67" s="13">
        <v>43031.498148148145</v>
      </c>
      <c r="J67" s="7">
        <v>0</v>
      </c>
      <c r="K67" s="89" t="str">
        <f>IF(ISEVEN(B67),(B67-1)&amp;"/"&amp;B67,B67&amp;"/"&amp;(B67+1))</f>
        <v>4041/4042</v>
      </c>
      <c r="L67" s="185" t="str">
        <f>VLOOKUP(A67,'Trips&amp;Operators'!$C$1:$G$99911,5,FALSE)</f>
        <v>MACDONALD THOMAS</v>
      </c>
      <c r="M67" s="6">
        <f>I67-F67</f>
        <v>3.1087962961464655E-2</v>
      </c>
      <c r="N67" s="7">
        <f>24*60*SUM($M67:$M67)</f>
        <v>44.766666664509103</v>
      </c>
      <c r="O67" s="7"/>
      <c r="P67" s="7"/>
      <c r="Q67" s="22"/>
      <c r="R67" s="174"/>
      <c r="S67" s="221">
        <f>1/IF(AG67="EC",12,1)*SUM(U67:U67)</f>
        <v>1</v>
      </c>
      <c r="T67" s="174" t="str">
        <f>IF(ISEVEN(LEFT(AD67,4)),"Southbound","NorthBound")</f>
        <v>Southbound</v>
      </c>
      <c r="U67" s="198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16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2017-10-23T10:08:12-0600',mode:absolute,to:'2017-10-23T12:57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7" s="204" t="str">
        <f>IF(AA67&lt;VLOOKUP(AG67,Variables!$AC$3:$AD$8,2,FALSE),"Y","N")</f>
        <v>N</v>
      </c>
      <c r="X67" s="204">
        <f>VALUE(LEFT(AD67,4))-VALUE(LEFT(AD66,4))</f>
        <v>1</v>
      </c>
      <c r="Y67" s="204">
        <f>RIGHT(D67,LEN(D67)-4)/10000</f>
        <v>23.294599999999999</v>
      </c>
      <c r="Z67" s="204">
        <f>RIGHT(H67,LEN(H67)-4)/10000</f>
        <v>1.4500000000000001E-2</v>
      </c>
      <c r="AA67" s="204">
        <f>ABS(Z67-Y67)</f>
        <v>23.280099999999997</v>
      </c>
      <c r="AB67" s="54" t="e">
        <f>VLOOKUP(A67,Enforcements!$C$7:$K$11,8,0)</f>
        <v>#N/A</v>
      </c>
      <c r="AC67" s="51" t="e">
        <f>VLOOKUP(A67,Enforcements!$C$7:$E$11,3,0)</f>
        <v>#N/A</v>
      </c>
      <c r="AD67" s="179">
        <f>VALUE(LEFT(A67,LEN(A67)-3))</f>
        <v>154</v>
      </c>
      <c r="AE67" s="77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s3://rtdc.mdm.uploadarchive.raw/RTDC4041/ "%USERPROFILE%\AppData\Local\Temp\OnboardLogs"\RTDC4041\2017-10-23 --exclude "*" --recursive --include "*20171023*" &amp; "%USERPROFILE%\Documents\GitHub\mrs-test-scripts\Headless Mode &amp; Sideloading\WalkAndUnGZ.bat" "%USERPROFILE%\AppData\Local\Temp\OnboardLogs"\RTDC4041\2017-10-23 &amp; aws s3 cp s3://rtdc.mdm.uploadarchive.raw/RTDC4041/ "%USERPROFILE%\AppData\Local\Temp\OnboardLogs"\RTDC4041\2017-10-24 --exclude "*" --recursive --include "*20171024*" &amp; "%USERPROFILE%\Documents\GitHub\mrs-test-scripts\Headless Mode &amp; Sideloading\WalkAndUnGZ.bat" "%USERPROFILE%\AppData\Local\Temp\OnboardLogs"\RTDC4041\2017-10-24</v>
      </c>
      <c r="AF67" s="74" t="str">
        <f>astrogrep_path&amp;" /e /r /s /spath="&amp;search_path&amp;" /stypes=""app*"&amp;B67&amp;"*"&amp;TEXT(I67-utc_offset/24,"YYYYMMDD")&amp;"*"" /stext="" "&amp;TEXT(I67-utc_offset/24,"HH")&amp;search_regexp&amp;""""</f>
        <v>"C:\Program Files (x86)\AstroGrep\AstroGrep.exe" /e /r /s /spath="%USERPROFILE%\AppData\Local\Temp\OnboardLogs" /stypes="app*4041*20171023*" /stext=" 17:.+((SYSTEM_STATE.+slice.+state.+changed )|(ment ac)|(multiple cpu faults)|(system.+state.+changed )|(\[timeout)|(PRM\|1\|D)|(kpr)|(kdp)|(train st.+moving)|(\|lc)|(penalty))"</v>
      </c>
      <c r="AG67" s="182" t="str">
        <f>DetSubdiv(A67)</f>
        <v>EC</v>
      </c>
      <c r="AH67" s="78" t="str">
        <f t="shared" si="5"/>
        <v>"%USERPROFILE%\Documents\GitHub\eaglep3\Utilities\RefineRTDCRunTimes.py" --tripid 154-23 --locoid 4041 --swversion DE.1.0.9.0 --startMP 204:232946 --initTime 2017-10-23T11:08:12 --startdatetime 2017-10-23T11:12:34 --delay 186 --endMP 204:145 --enddatetime 2017-10-23T11:57:20 --enforcementcount 0 &gt;&gt;%USERPROFILE%\Documents\GitHub\eaglep3-reporting\EC\2017-10-23-refined-times.txt</v>
      </c>
      <c r="AI67" s="96" t="str">
        <f t="shared" si="6"/>
        <v>echo {"issue":{"subject":"","project_id":79,"tracker_id":40,"status_id":1,"priority_id":2,"assigned_to_id":338,"start_date":"2017-10-23","description":"","custom_fields":[{"id":1,"name":"Subdivision","value":"EC"},{"id":4,"name":"Milepost","value":"0.0145"},{"id":17,"name":"Train ID","value":"154-23"},{"id":16,"name":"Locomotive ID","value":"4041"},{"id":130,"name":"Impact","value":""},{"id":150,"name":"Time of Event (Mountain Time)","value":"11:57:20"},{"id":151,"name":"Denver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0"/>
      <c r="AK67" s="47"/>
      <c r="AL67" s="47"/>
      <c r="AM67" s="142" t="str">
        <f t="shared" si="7"/>
        <v>start /low /b %USERPROFILE%\Documents\GitHub\eaglep3\Utilities\DownloadLogsFromS3.py --loco 4041 --day 2017-10-23</v>
      </c>
      <c r="AN67" s="151" t="str">
        <f t="shared" si="8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17:57:20"},{"id":29,"name":"Sharepoint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168" t="str">
        <f t="shared" si="9"/>
        <v>https://d0f6bd738d7f1b3e5a7ca70fe4ff75f0.us-east-1.aws.found.io/app/kibana#/discover/Steve-Slow-Train-Analysis-(2080s-and-2083s)?_g=(refreshInterval:(display:Off,pause:!f,section:0,value:0),time:(from:'2017-10-23T10:08:12-0600',mode:absolute,to:'2017-10-23T12:57:20-0600'))&amp;_a=(columns:!('Message%20ID',Summary),filters:!(),index:'emp_*',interval:auto,query:(query_string:(analyze_wildcard:!t,query:'%22rtdc.l.rtdc.4041%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3">
      <c r="A68" s="32" t="s">
        <v>655</v>
      </c>
      <c r="B68" s="7">
        <v>4008</v>
      </c>
      <c r="C68" s="21" t="s">
        <v>194</v>
      </c>
      <c r="D68" s="21" t="s">
        <v>929</v>
      </c>
      <c r="E68" s="13">
        <v>43031.436354166668</v>
      </c>
      <c r="F68" s="13">
        <v>43031.444293981483</v>
      </c>
      <c r="G68" s="7">
        <v>146</v>
      </c>
      <c r="H68" s="21" t="s">
        <v>930</v>
      </c>
      <c r="I68" s="13">
        <v>43031.470729166664</v>
      </c>
      <c r="J68" s="7">
        <v>0</v>
      </c>
      <c r="K68" s="89" t="str">
        <f>IF(ISEVEN(B68),(B68-1)&amp;"/"&amp;B68,B68&amp;"/"&amp;(B68+1))</f>
        <v>4007/4008</v>
      </c>
      <c r="L68" s="185" t="str">
        <f>VLOOKUP(A68,'Trips&amp;Operators'!$C$1:$G$99911,5,FALSE)</f>
        <v>DAVIDSON DAVID</v>
      </c>
      <c r="M68" s="6">
        <f>I68-F68</f>
        <v>2.643518518016208E-2</v>
      </c>
      <c r="N68" s="7"/>
      <c r="O68" s="7"/>
      <c r="P68" s="7">
        <f>24*60*SUM($M68:$M68)</f>
        <v>38.066666659433395</v>
      </c>
      <c r="Q68" s="22"/>
      <c r="R68" s="174" t="s">
        <v>1081</v>
      </c>
      <c r="S68" s="221">
        <f>1/IF(AG68="EC",12,1)*SUM(U68:U69)</f>
        <v>1</v>
      </c>
      <c r="T68" s="174" t="str">
        <f>IF(ISEVEN(LEFT(AD68,4)),"Southbound","NorthBound")</f>
        <v>NorthBound</v>
      </c>
      <c r="U68" s="198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0</v>
      </c>
      <c r="V68" s="216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2017-10-23T09:28:21-0600',mode:absolute,to:'2017-10-23T12:17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68" s="204" t="str">
        <f>IF(AA68&lt;VLOOKUP(AG68,Variables!$AC$3:$AD$8,2,FALSE),"Y","N")</f>
        <v>Y</v>
      </c>
      <c r="X68" s="204">
        <f>VALUE(LEFT(AD68,4))-VALUE(LEFT(AD67,4))</f>
        <v>1</v>
      </c>
      <c r="Y68" s="204">
        <f>RIGHT(D68,LEN(D68)-4)/10000</f>
        <v>0.04</v>
      </c>
      <c r="Z68" s="204">
        <f>RIGHT(H68,LEN(H68)-4)/10000</f>
        <v>0.55430000000000001</v>
      </c>
      <c r="AA68" s="204">
        <f>ABS(Z68-Y68)</f>
        <v>0.51429999999999998</v>
      </c>
      <c r="AB68" s="54" t="e">
        <f>VLOOKUP(A68,Enforcements!$C$7:$K$11,8,0)</f>
        <v>#N/A</v>
      </c>
      <c r="AC68" s="51" t="e">
        <f>VLOOKUP(A68,Enforcements!$C$7:$E$11,3,0)</f>
        <v>#N/A</v>
      </c>
      <c r="AD68" s="179">
        <f>VALUE(LEFT(A68,LEN(A68)-3))</f>
        <v>155</v>
      </c>
      <c r="AE68" s="77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s3://rtdc.mdm.uploadarchive.raw/RTDC4008/ "%USERPROFILE%\AppData\Local\Temp\OnboardLogs"\RTDC4008\2017-10-23 --exclude "*" --recursive --include "*20171023*" &amp; "%USERPROFILE%\Documents\GitHub\mrs-test-scripts\Headless Mode &amp; Sideloading\WalkAndUnGZ.bat" "%USERPROFILE%\AppData\Local\Temp\OnboardLogs"\RTDC4008\2017-10-23 &amp; aws s3 cp s3://rtdc.mdm.uploadarchive.raw/RTDC4008/ "%USERPROFILE%\AppData\Local\Temp\OnboardLogs"\RTDC4008\2017-10-24 --exclude "*" --recursive --include "*20171024*" &amp; "%USERPROFILE%\Documents\GitHub\mrs-test-scripts\Headless Mode &amp; Sideloading\WalkAndUnGZ.bat" "%USERPROFILE%\AppData\Local\Temp\OnboardLogs"\RTDC4008\2017-10-24</v>
      </c>
      <c r="AF68" s="74" t="str">
        <f>astrogrep_path&amp;" /e /r /s /spath="&amp;search_path&amp;" /stypes=""app*"&amp;B68&amp;"*"&amp;TEXT(I68-utc_offset/24,"YYYYMMDD")&amp;"*"" /stext="" "&amp;TEXT(I68-utc_offset/24,"HH")&amp;search_regexp&amp;""""</f>
        <v>"C:\Program Files (x86)\AstroGrep\AstroGrep.exe" /e /r /s /spath="%USERPROFILE%\AppData\Local\Temp\OnboardLogs" /stypes="app*4008*20171023*" /stext=" 17:.+((SYSTEM_STATE.+slice.+state.+changed )|(ment ac)|(multiple cpu faults)|(system.+state.+changed )|(\[timeout)|(PRM\|1\|D)|(kpr)|(kdp)|(train st.+moving)|(\|lc)|(penalty))"</v>
      </c>
      <c r="AG68" s="182" t="str">
        <f>DetSubdiv(A68)</f>
        <v>EC</v>
      </c>
      <c r="AH68" s="78" t="str">
        <f t="shared" si="5"/>
        <v>"%USERPROFILE%\Documents\GitHub\eaglep3\Utilities\RefineRTDCRunTimes.py" --tripid 155-23 --locoid 4008 --swversion DE.1.0.9.0 --startMP 204:400 --initTime 2017-10-23T10:28:21 --startdatetime 2017-10-23T10:39:47 --delay 146 --endMP 204:5543 --enddatetime 2017-10-23T11:17:51 --enforcementcount 0 &gt;&gt;%USERPROFILE%\Documents\GitHub\eaglep3-reporting\EC\2017-10-23-refined-times.txt</v>
      </c>
      <c r="AI68" s="96" t="str">
        <f t="shared" si="6"/>
        <v>echo {"issue":{"subject":"Poor GPS at DUS","project_id":79,"tracker_id":40,"status_id":1,"priority_id":2,"assigned_to_id":338,"start_date":"2017-10-23","description":"","custom_fields":[{"id":1,"name":"Subdivision","value":"EC"},{"id":4,"name":"Milepost","value":"0.5543"},{"id":17,"name":"Train ID","value":"155-23"},{"id":16,"name":"Locomotive ID","value":"4008"},{"id":130,"name":"Impact","value":""},{"id":150,"name":"Time of Event (Mountain Time)","value":"11:17:51"},{"id":151,"name":"Denver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0"/>
      <c r="AK68" s="47"/>
      <c r="AL68" s="47"/>
      <c r="AM68" s="142" t="str">
        <f t="shared" si="7"/>
        <v>start /low /b %USERPROFILE%\Documents\GitHub\eaglep3\Utilities\DownloadLogsFromS3.py --loco 4008 --day 2017-10-23</v>
      </c>
      <c r="AN68" s="151" t="str">
        <f t="shared" si="8"/>
        <v>echo {"issue":{"subject":"Poor GPS at DUS","project_id":30,"tracker_id":4,"status_id":1,"priority_id":1,"assigned_to_id":10,"start_date":"2017-10-23","description":"","custom_fields":[{"id":30,"name":"Category","value":"Issue"},{"id":3,"name":"Functional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17:17:51"},{"id":29,"name":"Sharepoint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168" t="str">
        <f t="shared" si="9"/>
        <v>https://d0f6bd738d7f1b3e5a7ca70fe4ff75f0.us-east-1.aws.found.io/app/kibana#/discover/Steve-Slow-Train-Analysis-(2080s-and-2083s)?_g=(refreshInterval:(display:Off,pause:!f,section:0,value:0),time:(from:'2017-10-23T09:28:21-0600',mode:absolute,to:'2017-10-23T12:17:51-0600'))&amp;_a=(columns:!('Message%20ID',Summary),filters:!(),index:'emp_*',interval:auto,query:(query_string:(analyze_wildcard:!t,query:'%22rtdc.l.rtdc.4008%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3">
      <c r="A69" s="32" t="s">
        <v>655</v>
      </c>
      <c r="B69" s="7">
        <v>4008</v>
      </c>
      <c r="C69" s="21" t="s">
        <v>194</v>
      </c>
      <c r="D69" s="21" t="s">
        <v>931</v>
      </c>
      <c r="E69" s="13">
        <v>43031.443148148152</v>
      </c>
      <c r="F69" s="13">
        <v>43031.444293981483</v>
      </c>
      <c r="G69" s="7">
        <v>49</v>
      </c>
      <c r="H69" s="21" t="s">
        <v>559</v>
      </c>
      <c r="I69" s="13">
        <v>43031.470729166664</v>
      </c>
      <c r="J69" s="7">
        <v>0</v>
      </c>
      <c r="K69" s="89" t="str">
        <f>IF(ISEVEN(B69),(B69-1)&amp;"/"&amp;B69,B69&amp;"/"&amp;(B69+1))</f>
        <v>4007/4008</v>
      </c>
      <c r="L69" s="185" t="str">
        <f>VLOOKUP(A69,'Trips&amp;Operators'!$C$1:$G$99911,5,FALSE)</f>
        <v>DAVIDSON DAVID</v>
      </c>
      <c r="M69" s="6">
        <f>I69-F69</f>
        <v>2.643518518016208E-2</v>
      </c>
      <c r="N69" s="7"/>
      <c r="O69" s="7"/>
      <c r="P69" s="7"/>
      <c r="Q69" s="22"/>
      <c r="R69" s="174"/>
      <c r="S69" s="221"/>
      <c r="T69" s="174" t="str">
        <f>IF(ISEVEN(LEFT(AD69,4)),"Southbound","NorthBound")</f>
        <v>NorthBound</v>
      </c>
      <c r="U69" s="198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16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2017-10-23T09:38:08-0600',mode:absolute,to:'2017-10-23T12:17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69" s="204" t="str">
        <f>IF(AA69&lt;VLOOKUP(AG69,Variables!$AC$3:$AD$8,2,FALSE),"Y","N")</f>
        <v>Y</v>
      </c>
      <c r="X69" s="204">
        <f>VALUE(LEFT(AD69,4))-VALUE(LEFT(AD68,4))</f>
        <v>0</v>
      </c>
      <c r="Y69" s="204">
        <f>RIGHT(D69,LEN(D69)-4)/10000</f>
        <v>1.9126000000000001</v>
      </c>
      <c r="Z69" s="204">
        <f>RIGHT(H69,LEN(H69)-4)/10000</f>
        <v>23.330400000000001</v>
      </c>
      <c r="AA69" s="204">
        <f>ABS(Z69-Y69)</f>
        <v>21.4178</v>
      </c>
      <c r="AB69" s="54" t="e">
        <f>VLOOKUP(A69,Enforcements!$C$7:$K$11,8,0)</f>
        <v>#N/A</v>
      </c>
      <c r="AC69" s="51" t="e">
        <f>VLOOKUP(A69,Enforcements!$C$7:$E$11,3,0)</f>
        <v>#N/A</v>
      </c>
      <c r="AD69" s="179">
        <f>VALUE(LEFT(A69,LEN(A69)-3))</f>
        <v>155</v>
      </c>
      <c r="AE69" s="77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s3://rtdc.mdm.uploadarchive.raw/RTDC4008/ "%USERPROFILE%\AppData\Local\Temp\OnboardLogs"\RTDC4008\2017-10-23 --exclude "*" --recursive --include "*20171023*" &amp; "%USERPROFILE%\Documents\GitHub\mrs-test-scripts\Headless Mode &amp; Sideloading\WalkAndUnGZ.bat" "%USERPROFILE%\AppData\Local\Temp\OnboardLogs"\RTDC4008\2017-10-23 &amp; aws s3 cp s3://rtdc.mdm.uploadarchive.raw/RTDC4008/ "%USERPROFILE%\AppData\Local\Temp\OnboardLogs"\RTDC4008\2017-10-24 --exclude "*" --recursive --include "*20171024*" &amp; "%USERPROFILE%\Documents\GitHub\mrs-test-scripts\Headless Mode &amp; Sideloading\WalkAndUnGZ.bat" "%USERPROFILE%\AppData\Local\Temp\OnboardLogs"\RTDC4008\2017-10-24</v>
      </c>
      <c r="AF69" s="74" t="str">
        <f>astrogrep_path&amp;" /e /r /s /spath="&amp;search_path&amp;" /stypes=""app*"&amp;B69&amp;"*"&amp;TEXT(I69-utc_offset/24,"YYYYMMDD")&amp;"*"" /stext="" "&amp;TEXT(I69-utc_offset/24,"HH")&amp;search_regexp&amp;""""</f>
        <v>"C:\Program Files (x86)\AstroGrep\AstroGrep.exe" /e /r /s /spath="%USERPROFILE%\AppData\Local\Temp\OnboardLogs" /stypes="app*4008*20171023*" /stext=" 17:.+((SYSTEM_STATE.+slice.+state.+changed )|(ment ac)|(multiple cpu faults)|(system.+state.+changed )|(\[timeout)|(PRM\|1\|D)|(kpr)|(kdp)|(train st.+moving)|(\|lc)|(penalty))"</v>
      </c>
      <c r="AG69" s="182" t="str">
        <f>DetSubdiv(A69)</f>
        <v>EC</v>
      </c>
      <c r="AH69" s="78" t="str">
        <f t="shared" si="5"/>
        <v>"%USERPROFILE%\Documents\GitHub\eaglep3\Utilities\RefineRTDCRunTimes.py" --tripid 155-23 --locoid 4008 --swversion DE.1.0.9.0 --startMP 204:19126 --initTime 2017-10-23T10:38:08 --startdatetime 2017-10-23T10:39:47 --delay 49 --endMP 204:233304 --enddatetime 2017-10-23T11:17:51 --enforcementcount 0 &gt;&gt;%USERPROFILE%\Documents\GitHub\eaglep3-reporting\EC\2017-10-23-refined-times.txt</v>
      </c>
      <c r="AI69" s="96" t="str">
        <f t="shared" si="6"/>
        <v>echo {"issue":{"subject":"","project_id":79,"tracker_id":40,"status_id":1,"priority_id":2,"assigned_to_id":338,"start_date":"2017-10-23","description":"","custom_fields":[{"id":1,"name":"Subdivision","value":"EC"},{"id":4,"name":"Milepost","value":"23.3304"},{"id":17,"name":"Train ID","value":"155-23"},{"id":16,"name":"Locomotive ID","value":"4008"},{"id":130,"name":"Impact","value":""},{"id":150,"name":"Time of Event (Mountain Time)","value":"11:17:51"},{"id":151,"name":"Denver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0"/>
      <c r="AK69" s="47"/>
      <c r="AL69" s="47"/>
      <c r="AM69" s="142" t="str">
        <f t="shared" si="7"/>
        <v>start /low /b %USERPROFILE%\Documents\GitHub\eaglep3\Utilities\DownloadLogsFromS3.py --loco 4008 --day 2017-10-23</v>
      </c>
      <c r="AN69" s="151" t="str">
        <f t="shared" si="8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17:17:51"},{"id":29,"name":"Sharepoint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168" t="str">
        <f t="shared" si="9"/>
        <v>https://d0f6bd738d7f1b3e5a7ca70fe4ff75f0.us-east-1.aws.found.io/app/kibana#/discover/Steve-Slow-Train-Analysis-(2080s-and-2083s)?_g=(refreshInterval:(display:Off,pause:!f,section:0,value:0),time:(from:'2017-10-23T09:38:08-0600',mode:absolute,to:'2017-10-23T12:17:51-0600'))&amp;_a=(columns:!('Message%20ID',Summary),filters:!(),index:'emp_*',interval:auto,query:(query_string:(analyze_wildcard:!t,query:'%22rtdc.l.rtdc.4008%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3">
      <c r="A70" s="32" t="s">
        <v>775</v>
      </c>
      <c r="B70" s="7">
        <v>4007</v>
      </c>
      <c r="C70" s="21" t="s">
        <v>194</v>
      </c>
      <c r="D70" s="21" t="s">
        <v>903</v>
      </c>
      <c r="E70" s="13">
        <v>43031.472129629627</v>
      </c>
      <c r="F70" s="13">
        <v>43031.477337962962</v>
      </c>
      <c r="G70" s="7">
        <v>76</v>
      </c>
      <c r="H70" s="21" t="s">
        <v>355</v>
      </c>
      <c r="I70" s="13">
        <v>43031.507326388892</v>
      </c>
      <c r="J70" s="7">
        <v>0</v>
      </c>
      <c r="K70" s="89" t="str">
        <f>IF(ISEVEN(B70),(B70-1)&amp;"/"&amp;B70,B70&amp;"/"&amp;(B70+1))</f>
        <v>4007/4008</v>
      </c>
      <c r="L70" s="185" t="str">
        <f>VLOOKUP(A70,'Trips&amp;Operators'!$C$1:$G$99911,5,FALSE)</f>
        <v>DAVIDSON DAVID</v>
      </c>
      <c r="M70" s="6">
        <f>I70-F70</f>
        <v>2.9988425929332152E-2</v>
      </c>
      <c r="N70" s="7">
        <f>24*60*SUM($M70:$M70)</f>
        <v>43.183333338238299</v>
      </c>
      <c r="O70" s="7"/>
      <c r="P70" s="7"/>
      <c r="Q70" s="22"/>
      <c r="R70" s="174"/>
      <c r="S70" s="221">
        <f>1/IF(AG70="EC",12,1)*SUM(U70:U70)</f>
        <v>1</v>
      </c>
      <c r="T70" s="174" t="str">
        <f>IF(ISEVEN(LEFT(AD70,4)),"Southbound","NorthBound")</f>
        <v>Southbound</v>
      </c>
      <c r="U70" s="198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16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2017-10-23T10:19:52-0600',mode:absolute,to:'2017-10-23T13:10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70" s="204" t="str">
        <f>IF(AA70&lt;VLOOKUP(AG70,Variables!$AC$3:$AD$8,2,FALSE),"Y","N")</f>
        <v>N</v>
      </c>
      <c r="X70" s="204">
        <f>VALUE(LEFT(AD70,4))-VALUE(LEFT(AD69,4))</f>
        <v>1</v>
      </c>
      <c r="Y70" s="204">
        <f>RIGHT(D70,LEN(D70)-4)/10000</f>
        <v>23.297899999999998</v>
      </c>
      <c r="Z70" s="204">
        <f>RIGHT(H70,LEN(H70)-4)/10000</f>
        <v>1.4500000000000001E-2</v>
      </c>
      <c r="AA70" s="204">
        <f>ABS(Z70-Y70)</f>
        <v>23.283399999999997</v>
      </c>
      <c r="AB70" s="54" t="e">
        <f>VLOOKUP(A70,Enforcements!$C$7:$K$11,8,0)</f>
        <v>#N/A</v>
      </c>
      <c r="AC70" s="51" t="e">
        <f>VLOOKUP(A70,Enforcements!$C$7:$E$11,3,0)</f>
        <v>#N/A</v>
      </c>
      <c r="AD70" s="179">
        <f>VALUE(LEFT(A70,LEN(A70)-3))</f>
        <v>156</v>
      </c>
      <c r="AE70" s="77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s3://rtdc.mdm.uploadarchive.raw/RTDC4007/ "%USERPROFILE%\AppData\Local\Temp\OnboardLogs"\RTDC4007\2017-10-23 --exclude "*" --recursive --include "*20171023*" &amp; "%USERPROFILE%\Documents\GitHub\mrs-test-scripts\Headless Mode &amp; Sideloading\WalkAndUnGZ.bat" "%USERPROFILE%\AppData\Local\Temp\OnboardLogs"\RTDC4007\2017-10-23 &amp; aws s3 cp s3://rtdc.mdm.uploadarchive.raw/RTDC4007/ "%USERPROFILE%\AppData\Local\Temp\OnboardLogs"\RTDC4007\2017-10-24 --exclude "*" --recursive --include "*20171024*" &amp; "%USERPROFILE%\Documents\GitHub\mrs-test-scripts\Headless Mode &amp; Sideloading\WalkAndUnGZ.bat" "%USERPROFILE%\AppData\Local\Temp\OnboardLogs"\RTDC4007\2017-10-24</v>
      </c>
      <c r="AF70" s="74" t="str">
        <f>astrogrep_path&amp;" /e /r /s /spath="&amp;search_path&amp;" /stypes=""app*"&amp;B70&amp;"*"&amp;TEXT(I70-utc_offset/24,"YYYYMMDD")&amp;"*"" /stext="" "&amp;TEXT(I70-utc_offset/24,"HH")&amp;search_regexp&amp;""""</f>
        <v>"C:\Program Files (x86)\AstroGrep\AstroGrep.exe" /e /r /s /spath="%USERPROFILE%\AppData\Local\Temp\OnboardLogs" /stypes="app*4007*20171023*" /stext=" 18:.+((SYSTEM_STATE.+slice.+state.+changed )|(ment ac)|(multiple cpu faults)|(system.+state.+changed )|(\[timeout)|(PRM\|1\|D)|(kpr)|(kdp)|(train st.+moving)|(\|lc)|(penalty))"</v>
      </c>
      <c r="AG70" s="182" t="str">
        <f>DetSubdiv(A70)</f>
        <v>EC</v>
      </c>
      <c r="AH70" s="78" t="str">
        <f t="shared" si="5"/>
        <v>"%USERPROFILE%\Documents\GitHub\eaglep3\Utilities\RefineRTDCRunTimes.py" --tripid 156-23 --locoid 4007 --swversion DE.1.0.9.0 --startMP 204:232979 --initTime 2017-10-23T11:19:52 --startdatetime 2017-10-23T11:27:22 --delay 76 --endMP 204:145 --enddatetime 2017-10-23T12:10:33 --enforcementcount 0 &gt;&gt;%USERPROFILE%\Documents\GitHub\eaglep3-reporting\EC\2017-10-23-refined-times.txt</v>
      </c>
      <c r="AI70" s="96" t="str">
        <f t="shared" si="6"/>
        <v>echo {"issue":{"subject":"","project_id":79,"tracker_id":40,"status_id":1,"priority_id":2,"assigned_to_id":338,"start_date":"2017-10-23","description":"","custom_fields":[{"id":1,"name":"Subdivision","value":"EC"},{"id":4,"name":"Milepost","value":"0.0145"},{"id":17,"name":"Train ID","value":"156-23"},{"id":16,"name":"Locomotive ID","value":"4007"},{"id":130,"name":"Impact","value":""},{"id":150,"name":"Time of Event (Mountain Time)","value":"12:10:33"},{"id":151,"name":"Denver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0"/>
      <c r="AK70" s="47"/>
      <c r="AL70" s="47"/>
      <c r="AM70" s="142" t="str">
        <f t="shared" si="7"/>
        <v>start /low /b %USERPROFILE%\Documents\GitHub\eaglep3\Utilities\DownloadLogsFromS3.py --loco 4007 --day 2017-10-23</v>
      </c>
      <c r="AN70" s="151" t="str">
        <f t="shared" si="8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18:10:33"},{"id":29,"name":"Sharepoint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168" t="str">
        <f t="shared" si="9"/>
        <v>https://d0f6bd738d7f1b3e5a7ca70fe4ff75f0.us-east-1.aws.found.io/app/kibana#/discover/Steve-Slow-Train-Analysis-(2080s-and-2083s)?_g=(refreshInterval:(display:Off,pause:!f,section:0,value:0),time:(from:'2017-10-23T10:19:52-0600',mode:absolute,to:'2017-10-23T13:10:33-0600'))&amp;_a=(columns:!('Message%20ID',Summary),filters:!(),index:'emp_*',interval:auto,query:(query_string:(analyze_wildcard:!t,query:'%22rtdc.l.rtdc.4007%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3">
      <c r="A71" s="32" t="s">
        <v>770</v>
      </c>
      <c r="B71" s="7">
        <v>4046</v>
      </c>
      <c r="C71" s="21" t="s">
        <v>194</v>
      </c>
      <c r="D71" s="21" t="s">
        <v>404</v>
      </c>
      <c r="E71" s="13">
        <v>43031.448148148149</v>
      </c>
      <c r="F71" s="13">
        <v>43031.449803240743</v>
      </c>
      <c r="G71" s="7">
        <v>70</v>
      </c>
      <c r="H71" s="21" t="s">
        <v>426</v>
      </c>
      <c r="I71" s="13">
        <v>43031.476354166669</v>
      </c>
      <c r="J71" s="7">
        <v>0</v>
      </c>
      <c r="K71" s="89" t="str">
        <f>IF(ISEVEN(B71),(B71-1)&amp;"/"&amp;B71,B71&amp;"/"&amp;(B71+1))</f>
        <v>4045/4046</v>
      </c>
      <c r="L71" s="185" t="str">
        <f>VLOOKUP(A71,'Trips&amp;Operators'!$C$1:$G$99911,5,FALSE)</f>
        <v>BADERTSCHER DIANE</v>
      </c>
      <c r="M71" s="6">
        <f>I71-F71</f>
        <v>2.6550925926130731E-2</v>
      </c>
      <c r="N71" s="7">
        <f>24*60*SUM($M71:$M71)</f>
        <v>38.233333333628252</v>
      </c>
      <c r="O71" s="7"/>
      <c r="P71" s="7"/>
      <c r="Q71" s="22"/>
      <c r="R71" s="174"/>
      <c r="S71" s="221">
        <f>1/IF(AG71="EC",12,1)*SUM(U71:U71)</f>
        <v>1</v>
      </c>
      <c r="T71" s="174" t="str">
        <f>IF(ISEVEN(LEFT(AD71,4)),"Southbound","NorthBound")</f>
        <v>NorthBound</v>
      </c>
      <c r="U71" s="198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16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2017-10-23T09:45:20-0600',mode:absolute,to:'2017-10-23T12:25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71" s="204" t="str">
        <f>IF(AA71&lt;VLOOKUP(AG71,Variables!$AC$3:$AD$8,2,FALSE),"Y","N")</f>
        <v>N</v>
      </c>
      <c r="X71" s="204">
        <f>VALUE(LEFT(AD71,4))-VALUE(LEFT(AD70,4))</f>
        <v>1</v>
      </c>
      <c r="Y71" s="204">
        <f>RIGHT(D71,LEN(D71)-4)/10000</f>
        <v>4.6199999999999998E-2</v>
      </c>
      <c r="Z71" s="204">
        <f>RIGHT(H71,LEN(H71)-4)/10000</f>
        <v>23.3293</v>
      </c>
      <c r="AA71" s="204">
        <f>ABS(Z71-Y71)</f>
        <v>23.283100000000001</v>
      </c>
      <c r="AB71" s="54" t="e">
        <f>VLOOKUP(A71,Enforcements!$C$7:$K$11,8,0)</f>
        <v>#N/A</v>
      </c>
      <c r="AC71" s="51" t="e">
        <f>VLOOKUP(A71,Enforcements!$C$7:$E$11,3,0)</f>
        <v>#N/A</v>
      </c>
      <c r="AD71" s="179">
        <f>VALUE(LEFT(A71,LEN(A71)-3))</f>
        <v>157</v>
      </c>
      <c r="AE71" s="77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s3://rtdc.mdm.uploadarchive.raw/RTDC4046/ "%USERPROFILE%\AppData\Local\Temp\OnboardLogs"\RTDC4046\2017-10-23 --exclude "*" --recursive --include "*20171023*" &amp; "%USERPROFILE%\Documents\GitHub\mrs-test-scripts\Headless Mode &amp; Sideloading\WalkAndUnGZ.bat" "%USERPROFILE%\AppData\Local\Temp\OnboardLogs"\RTDC4046\2017-10-23 &amp; aws s3 cp s3://rtdc.mdm.uploadarchive.raw/RTDC4046/ "%USERPROFILE%\AppData\Local\Temp\OnboardLogs"\RTDC4046\2017-10-24 --exclude "*" --recursive --include "*20171024*" &amp; "%USERPROFILE%\Documents\GitHub\mrs-test-scripts\Headless Mode &amp; Sideloading\WalkAndUnGZ.bat" "%USERPROFILE%\AppData\Local\Temp\OnboardLogs"\RTDC4046\2017-10-24</v>
      </c>
      <c r="AF71" s="74" t="str">
        <f>astrogrep_path&amp;" /e /r /s /spath="&amp;search_path&amp;" /stypes=""app*"&amp;B71&amp;"*"&amp;TEXT(I71-utc_offset/24,"YYYYMMDD")&amp;"*"" /stext="" "&amp;TEXT(I71-utc_offset/24,"HH")&amp;search_regexp&amp;""""</f>
        <v>"C:\Program Files (x86)\AstroGrep\AstroGrep.exe" /e /r /s /spath="%USERPROFILE%\AppData\Local\Temp\OnboardLogs" /stypes="app*4046*20171023*" /stext=" 17:.+((SYSTEM_STATE.+slice.+state.+changed )|(ment ac)|(multiple cpu faults)|(system.+state.+changed )|(\[timeout)|(PRM\|1\|D)|(kpr)|(kdp)|(train st.+moving)|(\|lc)|(penalty))"</v>
      </c>
      <c r="AG71" s="182" t="str">
        <f>DetSubdiv(A71)</f>
        <v>EC</v>
      </c>
      <c r="AH71" s="78" t="str">
        <f t="shared" si="5"/>
        <v>"%USERPROFILE%\Documents\GitHub\eaglep3\Utilities\RefineRTDCRunTimes.py" --tripid 157-23 --locoid 4046 --swversion DE.1.0.9.0 --startMP 204:462 --initTime 2017-10-23T10:45:20 --startdatetime 2017-10-23T10:47:43 --delay 70 --endMP 204:233293 --enddatetime 2017-10-23T11:25:57 --enforcementcount 0 &gt;&gt;%USERPROFILE%\Documents\GitHub\eaglep3-reporting\EC\2017-10-23-refined-times.txt</v>
      </c>
      <c r="AI71" s="96" t="str">
        <f t="shared" si="6"/>
        <v>echo {"issue":{"subject":"","project_id":79,"tracker_id":40,"status_id":1,"priority_id":2,"assigned_to_id":338,"start_date":"2017-10-23","description":"","custom_fields":[{"id":1,"name":"Subdivision","value":"EC"},{"id":4,"name":"Milepost","value":"23.3293"},{"id":17,"name":"Train ID","value":"157-23"},{"id":16,"name":"Locomotive ID","value":"4046"},{"id":130,"name":"Impact","value":""},{"id":150,"name":"Time of Event (Mountain Time)","value":"11:25:57"},{"id":151,"name":"Denver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0"/>
      <c r="AK71" s="47"/>
      <c r="AL71" s="47"/>
      <c r="AM71" s="142" t="str">
        <f t="shared" si="7"/>
        <v>start /low /b %USERPROFILE%\Documents\GitHub\eaglep3\Utilities\DownloadLogsFromS3.py --loco 4046 --day 2017-10-23</v>
      </c>
      <c r="AN71" s="151" t="str">
        <f t="shared" si="8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17:25:57"},{"id":29,"name":"Sharepoint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168" t="str">
        <f t="shared" si="9"/>
        <v>https://d0f6bd738d7f1b3e5a7ca70fe4ff75f0.us-east-1.aws.found.io/app/kibana#/discover/Steve-Slow-Train-Analysis-(2080s-and-2083s)?_g=(refreshInterval:(display:Off,pause:!f,section:0,value:0),time:(from:'2017-10-23T09:45:20-0600',mode:absolute,to:'2017-10-23T12:25:57-0600'))&amp;_a=(columns:!('Message%20ID',Summary),filters:!(),index:'emp_*',interval:auto,query:(query_string:(analyze_wildcard:!t,query:'%22rtdc.l.rtdc.4046%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3">
      <c r="A72" s="32" t="s">
        <v>778</v>
      </c>
      <c r="B72" s="7">
        <v>4045</v>
      </c>
      <c r="C72" s="21" t="s">
        <v>194</v>
      </c>
      <c r="D72" s="21" t="s">
        <v>932</v>
      </c>
      <c r="E72" s="13">
        <v>43031.481446759259</v>
      </c>
      <c r="F72" s="13">
        <v>43031.487673611111</v>
      </c>
      <c r="G72" s="7">
        <v>79</v>
      </c>
      <c r="H72" s="21" t="s">
        <v>564</v>
      </c>
      <c r="I72" s="13">
        <v>43031.517731481479</v>
      </c>
      <c r="J72" s="7">
        <v>0</v>
      </c>
      <c r="K72" s="89" t="str">
        <f>IF(ISEVEN(B72),(B72-1)&amp;"/"&amp;B72,B72&amp;"/"&amp;(B72+1))</f>
        <v>4045/4046</v>
      </c>
      <c r="L72" s="185" t="str">
        <f>VLOOKUP(A72,'Trips&amp;Operators'!$C$1:$G$99911,5,FALSE)</f>
        <v>BADERTSCHER DIANE</v>
      </c>
      <c r="M72" s="6">
        <f>I72-F72</f>
        <v>3.0057870368182193E-2</v>
      </c>
      <c r="N72" s="7">
        <f>24*60*SUM($M72:$M72)</f>
        <v>43.283333330182359</v>
      </c>
      <c r="O72" s="7"/>
      <c r="P72" s="7"/>
      <c r="Q72" s="22"/>
      <c r="R72" s="174"/>
      <c r="S72" s="221">
        <f>1/IF(AG72="EC",12,1)*SUM(U72:U72)</f>
        <v>1</v>
      </c>
      <c r="T72" s="174" t="str">
        <f>IF(ISEVEN(LEFT(AD72,4)),"Southbound","NorthBound")</f>
        <v>Southbound</v>
      </c>
      <c r="U72" s="198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16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2017-10-23T10:33:17-0600',mode:absolute,to:'2017-10-23T13:25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72" s="204" t="str">
        <f>IF(AA72&lt;VLOOKUP(AG72,Variables!$AC$3:$AD$8,2,FALSE),"Y","N")</f>
        <v>N</v>
      </c>
      <c r="X72" s="204">
        <f>VALUE(LEFT(AD72,4))-VALUE(LEFT(AD71,4))</f>
        <v>1</v>
      </c>
      <c r="Y72" s="204">
        <f>RIGHT(D72,LEN(D72)-4)/10000</f>
        <v>23.297699999999999</v>
      </c>
      <c r="Z72" s="204">
        <f>RIGHT(H72,LEN(H72)-4)/10000</f>
        <v>1.29E-2</v>
      </c>
      <c r="AA72" s="204">
        <f>ABS(Z72-Y72)</f>
        <v>23.284800000000001</v>
      </c>
      <c r="AB72" s="54" t="e">
        <f>VLOOKUP(A72,Enforcements!$C$7:$K$11,8,0)</f>
        <v>#N/A</v>
      </c>
      <c r="AC72" s="51" t="e">
        <f>VLOOKUP(A72,Enforcements!$C$7:$E$11,3,0)</f>
        <v>#N/A</v>
      </c>
      <c r="AD72" s="179">
        <f>VALUE(LEFT(A72,LEN(A72)-3))</f>
        <v>158</v>
      </c>
      <c r="AE72" s="77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s3://rtdc.mdm.uploadarchive.raw/RTDC4045/ "%USERPROFILE%\AppData\Local\Temp\OnboardLogs"\RTDC4045\2017-10-23 --exclude "*" --recursive --include "*20171023*" &amp; "%USERPROFILE%\Documents\GitHub\mrs-test-scripts\Headless Mode &amp; Sideloading\WalkAndUnGZ.bat" "%USERPROFILE%\AppData\Local\Temp\OnboardLogs"\RTDC4045\2017-10-23 &amp; aws s3 cp s3://rtdc.mdm.uploadarchive.raw/RTDC4045/ "%USERPROFILE%\AppData\Local\Temp\OnboardLogs"\RTDC4045\2017-10-24 --exclude "*" --recursive --include "*20171024*" &amp; "%USERPROFILE%\Documents\GitHub\mrs-test-scripts\Headless Mode &amp; Sideloading\WalkAndUnGZ.bat" "%USERPROFILE%\AppData\Local\Temp\OnboardLogs"\RTDC4045\2017-10-24</v>
      </c>
      <c r="AF72" s="74" t="str">
        <f>astrogrep_path&amp;" /e /r /s /spath="&amp;search_path&amp;" /stypes=""app*"&amp;B72&amp;"*"&amp;TEXT(I72-utc_offset/24,"YYYYMMDD")&amp;"*"" /stext="" "&amp;TEXT(I72-utc_offset/24,"HH")&amp;search_regexp&amp;""""</f>
        <v>"C:\Program Files (x86)\AstroGrep\AstroGrep.exe" /e /r /s /spath="%USERPROFILE%\AppData\Local\Temp\OnboardLogs" /stypes="app*4045*20171023*" /stext=" 18:.+((SYSTEM_STATE.+slice.+state.+changed )|(ment ac)|(multiple cpu faults)|(system.+state.+changed )|(\[timeout)|(PRM\|1\|D)|(kpr)|(kdp)|(train st.+moving)|(\|lc)|(penalty))"</v>
      </c>
      <c r="AG72" s="182" t="str">
        <f>DetSubdiv(A72)</f>
        <v>EC</v>
      </c>
      <c r="AH72" s="78" t="str">
        <f t="shared" si="5"/>
        <v>"%USERPROFILE%\Documents\GitHub\eaglep3\Utilities\RefineRTDCRunTimes.py" --tripid 158-23 --locoid 4045 --swversion DE.1.0.9.0 --startMP 204:232977 --initTime 2017-10-23T11:33:17 --startdatetime 2017-10-23T11:42:15 --delay 79 --endMP 204:129 --enddatetime 2017-10-23T12:25:32 --enforcementcount 0 &gt;&gt;%USERPROFILE%\Documents\GitHub\eaglep3-reporting\EC\2017-10-23-refined-times.txt</v>
      </c>
      <c r="AI72" s="96" t="str">
        <f t="shared" si="6"/>
        <v>echo {"issue":{"subject":"","project_id":79,"tracker_id":40,"status_id":1,"priority_id":2,"assigned_to_id":338,"start_date":"2017-10-23","description":"","custom_fields":[{"id":1,"name":"Subdivision","value":"EC"},{"id":4,"name":"Milepost","value":"0.0129"},{"id":17,"name":"Train ID","value":"158-23"},{"id":16,"name":"Locomotive ID","value":"4045"},{"id":130,"name":"Impact","value":""},{"id":150,"name":"Time of Event (Mountain Time)","value":"12:25:32"},{"id":151,"name":"Denver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0"/>
      <c r="AK72" s="47"/>
      <c r="AL72" s="47"/>
      <c r="AM72" s="142" t="str">
        <f t="shared" si="7"/>
        <v>start /low /b %USERPROFILE%\Documents\GitHub\eaglep3\Utilities\DownloadLogsFromS3.py --loco 4045 --day 2017-10-23</v>
      </c>
      <c r="AN72" s="151" t="str">
        <f t="shared" si="8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18:25:32"},{"id":29,"name":"Sharepoint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168" t="str">
        <f t="shared" si="9"/>
        <v>https://d0f6bd738d7f1b3e5a7ca70fe4ff75f0.us-east-1.aws.found.io/app/kibana#/discover/Steve-Slow-Train-Analysis-(2080s-and-2083s)?_g=(refreshInterval:(display:Off,pause:!f,section:0,value:0),time:(from:'2017-10-23T10:33:17-0600',mode:absolute,to:'2017-10-23T13:25:32-0600'))&amp;_a=(columns:!('Message%20ID',Summary),filters:!(),index:'emp_*',interval:auto,query:(query_string:(analyze_wildcard:!t,query:'%22rtdc.l.rtdc.4045%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3">
      <c r="A73" s="32" t="s">
        <v>771</v>
      </c>
      <c r="B73" s="7">
        <v>4004</v>
      </c>
      <c r="C73" s="21" t="s">
        <v>194</v>
      </c>
      <c r="D73" s="21" t="s">
        <v>344</v>
      </c>
      <c r="E73" s="13">
        <v>43031.454942129632</v>
      </c>
      <c r="F73" s="13">
        <v>43031.458518518521</v>
      </c>
      <c r="G73" s="7">
        <v>73</v>
      </c>
      <c r="H73" s="21" t="s">
        <v>559</v>
      </c>
      <c r="I73" s="13">
        <v>43031.483784722222</v>
      </c>
      <c r="J73" s="7">
        <v>0</v>
      </c>
      <c r="K73" s="89" t="str">
        <f>IF(ISEVEN(B73),(B73-1)&amp;"/"&amp;B73,B73&amp;"/"&amp;(B73+1))</f>
        <v>4003/4004</v>
      </c>
      <c r="L73" s="185" t="str">
        <f>VLOOKUP(A73,'Trips&amp;Operators'!$C$1:$G$99911,5,FALSE)</f>
        <v>YANG JAN</v>
      </c>
      <c r="M73" s="6">
        <f>I73-F73</f>
        <v>2.5266203701903578E-2</v>
      </c>
      <c r="N73" s="7">
        <f>24*60*SUM($M73:$M73)</f>
        <v>36.383333330741152</v>
      </c>
      <c r="O73" s="7"/>
      <c r="P73" s="7"/>
      <c r="Q73" s="22"/>
      <c r="R73" s="174"/>
      <c r="S73" s="221">
        <f>1/IF(AG73="EC",12,1)*SUM(U73:U73)</f>
        <v>1</v>
      </c>
      <c r="T73" s="174" t="str">
        <f>IF(ISEVEN(LEFT(AD73,4)),"Southbound","NorthBound")</f>
        <v>NorthBound</v>
      </c>
      <c r="U73" s="198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16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2017-10-23T09:55:07-0600',mode:absolute,to:'2017-10-23T12:36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73" s="204" t="str">
        <f>IF(AA73&lt;VLOOKUP(AG73,Variables!$AC$3:$AD$8,2,FALSE),"Y","N")</f>
        <v>N</v>
      </c>
      <c r="X73" s="204">
        <f>VALUE(LEFT(AD73,4))-VALUE(LEFT(AD72,4))</f>
        <v>1</v>
      </c>
      <c r="Y73" s="204">
        <f>RIGHT(D73,LEN(D73)-4)/10000</f>
        <v>4.5499999999999999E-2</v>
      </c>
      <c r="Z73" s="204">
        <f>RIGHT(H73,LEN(H73)-4)/10000</f>
        <v>23.330400000000001</v>
      </c>
      <c r="AA73" s="204">
        <f>ABS(Z73-Y73)</f>
        <v>23.2849</v>
      </c>
      <c r="AB73" s="54" t="e">
        <f>VLOOKUP(A73,Enforcements!$C$7:$K$11,8,0)</f>
        <v>#N/A</v>
      </c>
      <c r="AC73" s="51" t="e">
        <f>VLOOKUP(A73,Enforcements!$C$7:$E$11,3,0)</f>
        <v>#N/A</v>
      </c>
      <c r="AD73" s="179">
        <f>VALUE(LEFT(A73,LEN(A73)-3))</f>
        <v>159</v>
      </c>
      <c r="AE73" s="77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s3://rtdc.mdm.uploadarchive.raw/RTDC4004/ "%USERPROFILE%\AppData\Local\Temp\OnboardLogs"\RTDC4004\2017-10-23 --exclude "*" --recursive --include "*20171023*" &amp; "%USERPROFILE%\Documents\GitHub\mrs-test-scripts\Headless Mode &amp; Sideloading\WalkAndUnGZ.bat" "%USERPROFILE%\AppData\Local\Temp\OnboardLogs"\RTDC4004\2017-10-23 &amp; aws s3 cp s3://rtdc.mdm.uploadarchive.raw/RTDC4004/ "%USERPROFILE%\AppData\Local\Temp\OnboardLogs"\RTDC4004\2017-10-24 --exclude "*" --recursive --include "*20171024*" &amp; "%USERPROFILE%\Documents\GitHub\mrs-test-scripts\Headless Mode &amp; Sideloading\WalkAndUnGZ.bat" "%USERPROFILE%\AppData\Local\Temp\OnboardLogs"\RTDC4004\2017-10-24</v>
      </c>
      <c r="AF73" s="74" t="str">
        <f>astrogrep_path&amp;" /e /r /s /spath="&amp;search_path&amp;" /stypes=""app*"&amp;B73&amp;"*"&amp;TEXT(I73-utc_offset/24,"YYYYMMDD")&amp;"*"" /stext="" "&amp;TEXT(I73-utc_offset/24,"HH")&amp;search_regexp&amp;""""</f>
        <v>"C:\Program Files (x86)\AstroGrep\AstroGrep.exe" /e /r /s /spath="%USERPROFILE%\AppData\Local\Temp\OnboardLogs" /stypes="app*4004*20171023*" /stext=" 17:.+((SYSTEM_STATE.+slice.+state.+changed )|(ment ac)|(multiple cpu faults)|(system.+state.+changed )|(\[timeout)|(PRM\|1\|D)|(kpr)|(kdp)|(train st.+moving)|(\|lc)|(penalty))"</v>
      </c>
      <c r="AG73" s="182" t="str">
        <f>DetSubdiv(A73)</f>
        <v>EC</v>
      </c>
      <c r="AH73" s="78" t="str">
        <f t="shared" si="5"/>
        <v>"%USERPROFILE%\Documents\GitHub\eaglep3\Utilities\RefineRTDCRunTimes.py" --tripid 159-23 --locoid 4004 --swversion DE.1.0.9.0 --startMP 204:455 --initTime 2017-10-23T10:55:07 --startdatetime 2017-10-23T11:00:16 --delay 73 --endMP 204:233304 --enddatetime 2017-10-23T11:36:39 --enforcementcount 0 &gt;&gt;%USERPROFILE%\Documents\GitHub\eaglep3-reporting\EC\2017-10-23-refined-times.txt</v>
      </c>
      <c r="AI73" s="96" t="str">
        <f t="shared" si="6"/>
        <v>echo {"issue":{"subject":"","project_id":79,"tracker_id":40,"status_id":1,"priority_id":2,"assigned_to_id":338,"start_date":"2017-10-23","description":"","custom_fields":[{"id":1,"name":"Subdivision","value":"EC"},{"id":4,"name":"Milepost","value":"23.3304"},{"id":17,"name":"Train ID","value":"159-23"},{"id":16,"name":"Locomotive ID","value":"4004"},{"id":130,"name":"Impact","value":""},{"id":150,"name":"Time of Event (Mountain Time)","value":"11:36:39"},{"id":151,"name":"Denver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0"/>
      <c r="AK73" s="47"/>
      <c r="AL73" s="47"/>
      <c r="AM73" s="142" t="str">
        <f t="shared" si="7"/>
        <v>start /low /b %USERPROFILE%\Documents\GitHub\eaglep3\Utilities\DownloadLogsFromS3.py --loco 4004 --day 2017-10-23</v>
      </c>
      <c r="AN73" s="151" t="str">
        <f t="shared" si="8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17:36:39"},{"id":29,"name":"Sharepoint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168" t="str">
        <f t="shared" si="9"/>
        <v>https://d0f6bd738d7f1b3e5a7ca70fe4ff75f0.us-east-1.aws.found.io/app/kibana#/discover/Steve-Slow-Train-Analysis-(2080s-and-2083s)?_g=(refreshInterval:(display:Off,pause:!f,section:0,value:0),time:(from:'2017-10-23T09:55:07-0600',mode:absolute,to:'2017-10-23T12:36:39-0600'))&amp;_a=(columns:!('Message%20ID',Summary),filters:!(),index:'emp_*',interval:auto,query:(query_string:(analyze_wildcard:!t,query:'%22rtdc.l.rtdc.4004%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3">
      <c r="A74" s="32" t="s">
        <v>780</v>
      </c>
      <c r="B74" s="7">
        <v>4003</v>
      </c>
      <c r="C74" s="21" t="s">
        <v>194</v>
      </c>
      <c r="D74" s="21" t="s">
        <v>427</v>
      </c>
      <c r="E74" s="13">
        <v>43031.492268518516</v>
      </c>
      <c r="F74" s="13">
        <v>43031.498148148145</v>
      </c>
      <c r="G74" s="7">
        <v>58</v>
      </c>
      <c r="H74" s="21" t="s">
        <v>355</v>
      </c>
      <c r="I74" s="13">
        <v>43031.524259259262</v>
      </c>
      <c r="J74" s="7">
        <v>0</v>
      </c>
      <c r="K74" s="89" t="str">
        <f>IF(ISEVEN(B74),(B74-1)&amp;"/"&amp;B74,B74&amp;"/"&amp;(B74+1))</f>
        <v>4003/4004</v>
      </c>
      <c r="L74" s="185" t="str">
        <f>VLOOKUP(A74,'Trips&amp;Operators'!$C$1:$G$99911,5,FALSE)</f>
        <v>YANG JAN</v>
      </c>
      <c r="M74" s="6">
        <f>I74-F74</f>
        <v>2.6111111117643304E-2</v>
      </c>
      <c r="N74" s="7">
        <f>24*60*SUM($M74:$M74)</f>
        <v>37.600000009406358</v>
      </c>
      <c r="O74" s="7"/>
      <c r="P74" s="7"/>
      <c r="Q74" s="22"/>
      <c r="R74" s="174"/>
      <c r="S74" s="221">
        <f>1/IF(AG74="EC",12,1)*SUM(U74:U74)</f>
        <v>1</v>
      </c>
      <c r="T74" s="174" t="str">
        <f>IF(ISEVEN(LEFT(AD74,4)),"Southbound","NorthBound")</f>
        <v>Southbound</v>
      </c>
      <c r="U74" s="198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16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2017-10-23T10:48:52-0600',mode:absolute,to:'2017-10-23T13:34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74" s="204" t="str">
        <f>IF(AA74&lt;VLOOKUP(AG74,Variables!$AC$3:$AD$8,2,FALSE),"Y","N")</f>
        <v>N</v>
      </c>
      <c r="X74" s="204">
        <f>VALUE(LEFT(AD74,4))-VALUE(LEFT(AD73,4))</f>
        <v>1</v>
      </c>
      <c r="Y74" s="204">
        <f>RIGHT(D74,LEN(D74)-4)/10000</f>
        <v>23.299800000000001</v>
      </c>
      <c r="Z74" s="204">
        <f>RIGHT(H74,LEN(H74)-4)/10000</f>
        <v>1.4500000000000001E-2</v>
      </c>
      <c r="AA74" s="204">
        <f>ABS(Z74-Y74)</f>
        <v>23.285299999999999</v>
      </c>
      <c r="AB74" s="54" t="e">
        <f>VLOOKUP(A74,Enforcements!$C$7:$K$11,8,0)</f>
        <v>#N/A</v>
      </c>
      <c r="AC74" s="51" t="e">
        <f>VLOOKUP(A74,Enforcements!$C$7:$E$11,3,0)</f>
        <v>#N/A</v>
      </c>
      <c r="AD74" s="179">
        <f>VALUE(LEFT(A74,LEN(A74)-3))</f>
        <v>160</v>
      </c>
      <c r="AE74" s="77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s3://rtdc.mdm.uploadarchive.raw/RTDC4003/ "%USERPROFILE%\AppData\Local\Temp\OnboardLogs"\RTDC4003\2017-10-23 --exclude "*" --recursive --include "*20171023*" &amp; "%USERPROFILE%\Documents\GitHub\mrs-test-scripts\Headless Mode &amp; Sideloading\WalkAndUnGZ.bat" "%USERPROFILE%\AppData\Local\Temp\OnboardLogs"\RTDC4003\2017-10-23 &amp; aws s3 cp s3://rtdc.mdm.uploadarchive.raw/RTDC4003/ "%USERPROFILE%\AppData\Local\Temp\OnboardLogs"\RTDC4003\2017-10-24 --exclude "*" --recursive --include "*20171024*" &amp; "%USERPROFILE%\Documents\GitHub\mrs-test-scripts\Headless Mode &amp; Sideloading\WalkAndUnGZ.bat" "%USERPROFILE%\AppData\Local\Temp\OnboardLogs"\RTDC4003\2017-10-24</v>
      </c>
      <c r="AF74" s="74" t="str">
        <f>astrogrep_path&amp;" /e /r /s /spath="&amp;search_path&amp;" /stypes=""app*"&amp;B74&amp;"*"&amp;TEXT(I74-utc_offset/24,"YYYYMMDD")&amp;"*"" /stext="" "&amp;TEXT(I74-utc_offset/24,"HH")&amp;search_regexp&amp;""""</f>
        <v>"C:\Program Files (x86)\AstroGrep\AstroGrep.exe" /e /r /s /spath="%USERPROFILE%\AppData\Local\Temp\OnboardLogs" /stypes="app*4003*20171023*" /stext=" 18:.+((SYSTEM_STATE.+slice.+state.+changed )|(ment ac)|(multiple cpu faults)|(system.+state.+changed )|(\[timeout)|(PRM\|1\|D)|(kpr)|(kdp)|(train st.+moving)|(\|lc)|(penalty))"</v>
      </c>
      <c r="AG74" s="182" t="str">
        <f>DetSubdiv(A74)</f>
        <v>EC</v>
      </c>
      <c r="AH74" s="78" t="str">
        <f t="shared" si="5"/>
        <v>"%USERPROFILE%\Documents\GitHub\eaglep3\Utilities\RefineRTDCRunTimes.py" --tripid 160-23 --locoid 4003 --swversion DE.1.0.9.0 --startMP 204:232998 --initTime 2017-10-23T11:48:52 --startdatetime 2017-10-23T11:57:20 --delay 58 --endMP 204:145 --enddatetime 2017-10-23T12:34:56 --enforcementcount 0 &gt;&gt;%USERPROFILE%\Documents\GitHub\eaglep3-reporting\EC\2017-10-23-refined-times.txt</v>
      </c>
      <c r="AI74" s="96" t="str">
        <f t="shared" si="6"/>
        <v>echo {"issue":{"subject":"","project_id":79,"tracker_id":40,"status_id":1,"priority_id":2,"assigned_to_id":338,"start_date":"2017-10-23","description":"","custom_fields":[{"id":1,"name":"Subdivision","value":"EC"},{"id":4,"name":"Milepost","value":"0.0145"},{"id":17,"name":"Train ID","value":"160-23"},{"id":16,"name":"Locomotive ID","value":"4003"},{"id":130,"name":"Impact","value":""},{"id":150,"name":"Time of Event (Mountain Time)","value":"12:34:56"},{"id":151,"name":"Denver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0"/>
      <c r="AK74" s="47"/>
      <c r="AL74" s="47"/>
      <c r="AM74" s="142" t="str">
        <f t="shared" si="7"/>
        <v>start /low /b %USERPROFILE%\Documents\GitHub\eaglep3\Utilities\DownloadLogsFromS3.py --loco 4003 --day 2017-10-23</v>
      </c>
      <c r="AN74" s="151" t="str">
        <f t="shared" si="8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18:34:56"},{"id":29,"name":"Sharepoint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168" t="str">
        <f t="shared" si="9"/>
        <v>https://d0f6bd738d7f1b3e5a7ca70fe4ff75f0.us-east-1.aws.found.io/app/kibana#/discover/Steve-Slow-Train-Analysis-(2080s-and-2083s)?_g=(refreshInterval:(display:Off,pause:!f,section:0,value:0),time:(from:'2017-10-23T10:48:52-0600',mode:absolute,to:'2017-10-23T13:34:56-0600'))&amp;_a=(columns:!('Message%20ID',Summary),filters:!(),index:'emp_*',interval:auto,query:(query_string:(analyze_wildcard:!t,query:'%22rtdc.l.rtdc.4003%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3">
      <c r="A75" s="32" t="s">
        <v>774</v>
      </c>
      <c r="B75" s="7">
        <v>4050</v>
      </c>
      <c r="C75" s="21" t="s">
        <v>194</v>
      </c>
      <c r="D75" s="21" t="s">
        <v>933</v>
      </c>
      <c r="E75" s="13">
        <v>43031.467326388891</v>
      </c>
      <c r="F75" s="13">
        <v>43031.469537037039</v>
      </c>
      <c r="G75" s="7">
        <v>101</v>
      </c>
      <c r="H75" s="21" t="s">
        <v>600</v>
      </c>
      <c r="I75" s="13">
        <v>43031.497175925928</v>
      </c>
      <c r="J75" s="7">
        <v>0</v>
      </c>
      <c r="K75" s="89" t="str">
        <f>IF(ISEVEN(B75),(B75-1)&amp;"/"&amp;B75,B75&amp;"/"&amp;(B75+1))</f>
        <v>4049/4050</v>
      </c>
      <c r="L75" s="185" t="str">
        <f>VLOOKUP(A75,'Trips&amp;Operators'!$C$1:$G$99911,5,FALSE)</f>
        <v>DAVIS MICHAEL</v>
      </c>
      <c r="M75" s="6">
        <f>I75-F75</f>
        <v>2.7638888888759539E-2</v>
      </c>
      <c r="N75" s="7">
        <f>24*60*SUM($M75:$M75)</f>
        <v>39.799999999813735</v>
      </c>
      <c r="O75" s="7"/>
      <c r="P75" s="7"/>
      <c r="Q75" s="22"/>
      <c r="R75" s="174"/>
      <c r="S75" s="221">
        <f>1/IF(AG75="EC",12,1)*SUM(U75:U75)</f>
        <v>1</v>
      </c>
      <c r="T75" s="174" t="str">
        <f>IF(ISEVEN(LEFT(AD75,4)),"Southbound","NorthBound")</f>
        <v>NorthBound</v>
      </c>
      <c r="U75" s="198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16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2017-10-23T10:12:57-0600',mode:absolute,to:'2017-10-23T12:55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75" s="204" t="str">
        <f>IF(AA75&lt;VLOOKUP(AG75,Variables!$AC$3:$AD$8,2,FALSE),"Y","N")</f>
        <v>N</v>
      </c>
      <c r="X75" s="204">
        <f>VALUE(LEFT(AD75,4))-VALUE(LEFT(AD74,4))</f>
        <v>1</v>
      </c>
      <c r="Y75" s="204">
        <f>RIGHT(D75,LEN(D75)-4)/10000</f>
        <v>4.8800000000000003E-2</v>
      </c>
      <c r="Z75" s="204">
        <f>RIGHT(H75,LEN(H75)-4)/10000</f>
        <v>23.327000000000002</v>
      </c>
      <c r="AA75" s="204">
        <f>ABS(Z75-Y75)</f>
        <v>23.278200000000002</v>
      </c>
      <c r="AB75" s="54" t="e">
        <f>VLOOKUP(A75,Enforcements!$C$7:$K$11,8,0)</f>
        <v>#N/A</v>
      </c>
      <c r="AC75" s="51" t="e">
        <f>VLOOKUP(A75,Enforcements!$C$7:$E$11,3,0)</f>
        <v>#N/A</v>
      </c>
      <c r="AD75" s="179">
        <f>VALUE(LEFT(A75,LEN(A75)-3))</f>
        <v>161</v>
      </c>
      <c r="AE75" s="77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s3://rtdc.mdm.uploadarchive.raw/RTDC4050/ "%USERPROFILE%\AppData\Local\Temp\OnboardLogs"\RTDC4050\2017-10-23 --exclude "*" --recursive --include "*20171023*" &amp; "%USERPROFILE%\Documents\GitHub\mrs-test-scripts\Headless Mode &amp; Sideloading\WalkAndUnGZ.bat" "%USERPROFILE%\AppData\Local\Temp\OnboardLogs"\RTDC4050\2017-10-23 &amp; aws s3 cp s3://rtdc.mdm.uploadarchive.raw/RTDC4050/ "%USERPROFILE%\AppData\Local\Temp\OnboardLogs"\RTDC4050\2017-10-24 --exclude "*" --recursive --include "*20171024*" &amp; "%USERPROFILE%\Documents\GitHub\mrs-test-scripts\Headless Mode &amp; Sideloading\WalkAndUnGZ.bat" "%USERPROFILE%\AppData\Local\Temp\OnboardLogs"\RTDC4050\2017-10-24</v>
      </c>
      <c r="AF75" s="74" t="str">
        <f>astrogrep_path&amp;" /e /r /s /spath="&amp;search_path&amp;" /stypes=""app*"&amp;B75&amp;"*"&amp;TEXT(I75-utc_offset/24,"YYYYMMDD")&amp;"*"" /stext="" "&amp;TEXT(I75-utc_offset/24,"HH")&amp;search_regexp&amp;""""</f>
        <v>"C:\Program Files (x86)\AstroGrep\AstroGrep.exe" /e /r /s /spath="%USERPROFILE%\AppData\Local\Temp\OnboardLogs" /stypes="app*4050*20171023*" /stext=" 17:.+((SYSTEM_STATE.+slice.+state.+changed )|(ment ac)|(multiple cpu faults)|(system.+state.+changed )|(\[timeout)|(PRM\|1\|D)|(kpr)|(kdp)|(train st.+moving)|(\|lc)|(penalty))"</v>
      </c>
      <c r="AG75" s="182" t="str">
        <f>DetSubdiv(A75)</f>
        <v>EC</v>
      </c>
      <c r="AH75" s="78" t="str">
        <f t="shared" si="5"/>
        <v>"%USERPROFILE%\Documents\GitHub\eaglep3\Utilities\RefineRTDCRunTimes.py" --tripid 161-23 --locoid 4050 --swversion DE.1.0.9.0 --startMP 204:488 --initTime 2017-10-23T11:12:57 --startdatetime 2017-10-23T11:16:08 --delay 101 --endMP 204:233270 --enddatetime 2017-10-23T11:55:56 --enforcementcount 0 &gt;&gt;%USERPROFILE%\Documents\GitHub\eaglep3-reporting\EC\2017-10-23-refined-times.txt</v>
      </c>
      <c r="AI75" s="96" t="str">
        <f t="shared" si="6"/>
        <v>echo {"issue":{"subject":"","project_id":79,"tracker_id":40,"status_id":1,"priority_id":2,"assigned_to_id":338,"start_date":"2017-10-23","description":"","custom_fields":[{"id":1,"name":"Subdivision","value":"EC"},{"id":4,"name":"Milepost","value":"23.327"},{"id":17,"name":"Train ID","value":"161-23"},{"id":16,"name":"Locomotive ID","value":"4050"},{"id":130,"name":"Impact","value":""},{"id":150,"name":"Time of Event (Mountain Time)","value":"11:55:56"},{"id":151,"name":"Denver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0"/>
      <c r="AK75" s="47"/>
      <c r="AL75" s="47"/>
      <c r="AM75" s="142" t="str">
        <f t="shared" si="7"/>
        <v>start /low /b %USERPROFILE%\Documents\GitHub\eaglep3\Utilities\DownloadLogsFromS3.py --loco 4050 --day 2017-10-23</v>
      </c>
      <c r="AN75" s="151" t="str">
        <f t="shared" si="8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17:55:56"},{"id":29,"name":"Sharepoint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168" t="str">
        <f t="shared" si="9"/>
        <v>https://d0f6bd738d7f1b3e5a7ca70fe4ff75f0.us-east-1.aws.found.io/app/kibana#/discover/Steve-Slow-Train-Analysis-(2080s-and-2083s)?_g=(refreshInterval:(display:Off,pause:!f,section:0,value:0),time:(from:'2017-10-23T10:12:57-0600',mode:absolute,to:'2017-10-23T12:55:56-0600'))&amp;_a=(columns:!('Message%20ID',Summary),filters:!(),index:'emp_*',interval:auto,query:(query_string:(analyze_wildcard:!t,query:'%22rtdc.l.rtdc.4050%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3">
      <c r="A76" s="32" t="s">
        <v>783</v>
      </c>
      <c r="B76" s="7">
        <v>4049</v>
      </c>
      <c r="C76" s="21" t="s">
        <v>194</v>
      </c>
      <c r="D76" s="21" t="s">
        <v>454</v>
      </c>
      <c r="E76" s="13">
        <v>43031.506249999999</v>
      </c>
      <c r="F76" s="13">
        <v>43031.508750000001</v>
      </c>
      <c r="G76" s="7">
        <v>92</v>
      </c>
      <c r="H76" s="21" t="s">
        <v>336</v>
      </c>
      <c r="I76" s="13">
        <v>43031.538275462961</v>
      </c>
      <c r="J76" s="7">
        <v>0</v>
      </c>
      <c r="K76" s="89" t="str">
        <f>IF(ISEVEN(B76),(B76-1)&amp;"/"&amp;B76,B76&amp;"/"&amp;(B76+1))</f>
        <v>4049/4050</v>
      </c>
      <c r="L76" s="185" t="str">
        <f>VLOOKUP(A76,'Trips&amp;Operators'!$C$1:$G$99911,5,FALSE)</f>
        <v>DAVIS MICHAEL</v>
      </c>
      <c r="M76" s="6">
        <f>I76-F76</f>
        <v>2.9525462960009463E-2</v>
      </c>
      <c r="N76" s="7">
        <f>24*60*SUM($M76:$M76)</f>
        <v>42.516666662413627</v>
      </c>
      <c r="O76" s="7"/>
      <c r="P76" s="7"/>
      <c r="Q76" s="22"/>
      <c r="R76" s="174"/>
      <c r="S76" s="221">
        <f>1/IF(AG76="EC",12,1)*SUM(U76:U76)</f>
        <v>1</v>
      </c>
      <c r="T76" s="174" t="str">
        <f>IF(ISEVEN(LEFT(AD76,4)),"Southbound","NorthBound")</f>
        <v>Southbound</v>
      </c>
      <c r="U76" s="198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16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-10-23T11:09:00-0600',mode:absolute,to:'2017-10-23T13:55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76" s="204" t="str">
        <f>IF(AA76&lt;VLOOKUP(AG76,Variables!$AC$3:$AD$8,2,FALSE),"Y","N")</f>
        <v>N</v>
      </c>
      <c r="X76" s="204">
        <f>VALUE(LEFT(AD76,4))-VALUE(LEFT(AD75,4))</f>
        <v>1</v>
      </c>
      <c r="Y76" s="204">
        <f>RIGHT(D76,LEN(D76)-4)/10000</f>
        <v>23.2986</v>
      </c>
      <c r="Z76" s="204">
        <f>RIGHT(H76,LEN(H76)-4)/10000</f>
        <v>1.49E-2</v>
      </c>
      <c r="AA76" s="204">
        <f>ABS(Z76-Y76)</f>
        <v>23.2837</v>
      </c>
      <c r="AB76" s="54" t="e">
        <f>VLOOKUP(A76,Enforcements!$C$7:$K$11,8,0)</f>
        <v>#N/A</v>
      </c>
      <c r="AC76" s="51" t="e">
        <f>VLOOKUP(A76,Enforcements!$C$7:$E$11,3,0)</f>
        <v>#N/A</v>
      </c>
      <c r="AD76" s="179">
        <f>VALUE(LEFT(A76,LEN(A76)-3))</f>
        <v>162</v>
      </c>
      <c r="AE76" s="77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s3://rtdc.mdm.uploadarchive.raw/RTDC4049/ "%USERPROFILE%\AppData\Local\Temp\OnboardLogs"\RTDC4049\2017-10-23 --exclude "*" --recursive --include "*20171023*" &amp; "%USERPROFILE%\Documents\GitHub\mrs-test-scripts\Headless Mode &amp; Sideloading\WalkAndUnGZ.bat" "%USERPROFILE%\AppData\Local\Temp\OnboardLogs"\RTDC4049\2017-10-23 &amp; aws s3 cp s3://rtdc.mdm.uploadarchive.raw/RTDC4049/ "%USERPROFILE%\AppData\Local\Temp\OnboardLogs"\RTDC4049\2017-10-24 --exclude "*" --recursive --include "*20171024*" &amp; "%USERPROFILE%\Documents\GitHub\mrs-test-scripts\Headless Mode &amp; Sideloading\WalkAndUnGZ.bat" "%USERPROFILE%\AppData\Local\Temp\OnboardLogs"\RTDC4049\2017-10-24</v>
      </c>
      <c r="AF76" s="74" t="str">
        <f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/stypes="app*4049*20171023*" /stext=" 18:.+((SYSTEM_STATE.+slice.+state.+changed )|(ment ac)|(multiple cpu faults)|(system.+state.+changed )|(\[timeout)|(PRM\|1\|D)|(kpr)|(kdp)|(train st.+moving)|(\|lc)|(penalty))"</v>
      </c>
      <c r="AG76" s="182" t="str">
        <f>DetSubdiv(A76)</f>
        <v>EC</v>
      </c>
      <c r="AH76" s="78" t="str">
        <f t="shared" si="5"/>
        <v>"%USERPROFILE%\Documents\GitHub\eaglep3\Utilities\RefineRTDCRunTimes.py" --tripid 162-23 --locoid 4049 --swversion DE.1.0.9.0 --startMP 204:232986 --initTime 2017-10-23T12:09:00 --startdatetime 2017-10-23T12:12:36 --delay 92 --endMP 204:149 --enddatetime 2017-10-23T12:55:07 --enforcementcount 0 &gt;&gt;%USERPROFILE%\Documents\GitHub\eaglep3-reporting\EC\2017-10-23-refined-times.txt</v>
      </c>
      <c r="AI76" s="96" t="str">
        <f t="shared" si="6"/>
        <v>echo {"issue":{"subject":"","project_id":79,"tracker_id":40,"status_id":1,"priority_id":2,"assigned_to_id":338,"start_date":"2017-10-23","description":"","custom_fields":[{"id":1,"name":"Subdivision","value":"EC"},{"id":4,"name":"Milepost","value":"0.0149"},{"id":17,"name":"Train ID","value":"162-23"},{"id":16,"name":"Locomotive ID","value":"4049"},{"id":130,"name":"Impact","value":""},{"id":150,"name":"Time of Event (Mountain Time)","value":"12:55:07"},{"id":151,"name":"Denver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0"/>
      <c r="AK76" s="47"/>
      <c r="AL76" s="47"/>
      <c r="AM76" s="142" t="str">
        <f t="shared" si="7"/>
        <v>start /low /b %USERPROFILE%\Documents\GitHub\eaglep3\Utilities\DownloadLogsFromS3.py --loco 4049 --day 2017-10-23</v>
      </c>
      <c r="AN76" s="151" t="str">
        <f t="shared" si="8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18:55:07"},{"id":29,"name":"Sharepoint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168" t="str">
        <f t="shared" si="9"/>
        <v>https://d0f6bd738d7f1b3e5a7ca70fe4ff75f0.us-east-1.aws.found.io/app/kibana#/discover/Steve-Slow-Train-Analysis-(2080s-and-2083s)?_g=(refreshInterval:(display:Off,pause:!f,section:0,value:0),time:(from:'2017-10-23T11:09:00-0600',mode:absolute,to:'2017-10-23T13:55:07-0600'))&amp;_a=(columns:!('Message%20ID',Summary),filters:!(),index:'emp_*',interval:auto,query:(query_string:(analyze_wildcard:!t,query:'%22rtdc.l.rtdc.4049%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3">
      <c r="A77" s="32" t="s">
        <v>776</v>
      </c>
      <c r="B77" s="7">
        <v>4018</v>
      </c>
      <c r="C77" s="21" t="s">
        <v>194</v>
      </c>
      <c r="D77" s="21" t="s">
        <v>338</v>
      </c>
      <c r="E77" s="13">
        <v>43031.473402777781</v>
      </c>
      <c r="F77" s="13">
        <v>43031.479409722226</v>
      </c>
      <c r="G77" s="7">
        <v>74</v>
      </c>
      <c r="H77" s="21" t="s">
        <v>559</v>
      </c>
      <c r="I77" s="13">
        <v>43031.50608796296</v>
      </c>
      <c r="J77" s="7">
        <v>0</v>
      </c>
      <c r="K77" s="89" t="str">
        <f>IF(ISEVEN(B77),(B77-1)&amp;"/"&amp;B77,B77&amp;"/"&amp;(B77+1))</f>
        <v>4017/4018</v>
      </c>
      <c r="L77" s="185" t="str">
        <f>VLOOKUP(A77,'Trips&amp;Operators'!$C$1:$G$99911,5,FALSE)</f>
        <v>STEWART MICHAEL</v>
      </c>
      <c r="M77" s="6">
        <f>I77-F77</f>
        <v>2.6678240734327119E-2</v>
      </c>
      <c r="N77" s="7">
        <f>24*60*SUM($M77:$M77)</f>
        <v>38.416666657431051</v>
      </c>
      <c r="O77" s="7"/>
      <c r="P77" s="7"/>
      <c r="Q77" s="22"/>
      <c r="R77" s="174"/>
      <c r="S77" s="221">
        <f>1/IF(AG77="EC",12,1)*SUM(U77:U77)</f>
        <v>1</v>
      </c>
      <c r="T77" s="174" t="str">
        <f>IF(ISEVEN(LEFT(AD77,4)),"Southbound","NorthBound")</f>
        <v>NorthBound</v>
      </c>
      <c r="U77" s="198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16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-10-23T10:21:42-0600',mode:absolute,to:'2017-10-23T13:08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7" s="204" t="str">
        <f>IF(AA77&lt;VLOOKUP(AG77,Variables!$AC$3:$AD$8,2,FALSE),"Y","N")</f>
        <v>N</v>
      </c>
      <c r="X77" s="204">
        <f>VALUE(LEFT(AD77,4))-VALUE(LEFT(AD76,4))</f>
        <v>1</v>
      </c>
      <c r="Y77" s="204">
        <f>RIGHT(D77,LEN(D77)-4)/10000</f>
        <v>4.53E-2</v>
      </c>
      <c r="Z77" s="204">
        <f>RIGHT(H77,LEN(H77)-4)/10000</f>
        <v>23.330400000000001</v>
      </c>
      <c r="AA77" s="204">
        <f>ABS(Z77-Y77)</f>
        <v>23.2851</v>
      </c>
      <c r="AB77" s="54" t="e">
        <f>VLOOKUP(A77,Enforcements!$C$7:$K$11,8,0)</f>
        <v>#N/A</v>
      </c>
      <c r="AC77" s="51" t="e">
        <f>VLOOKUP(A77,Enforcements!$C$7:$E$11,3,0)</f>
        <v>#N/A</v>
      </c>
      <c r="AD77" s="179">
        <f>VALUE(LEFT(A77,LEN(A77)-3))</f>
        <v>163</v>
      </c>
      <c r="AE77" s="77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s3://rtdc.mdm.uploadarchive.raw/RTDC4018/ "%USERPROFILE%\AppData\Local\Temp\OnboardLogs"\RTDC4018\2017-10-23 --exclude "*" --recursive --include "*20171023*" &amp; "%USERPROFILE%\Documents\GitHub\mrs-test-scripts\Headless Mode &amp; Sideloading\WalkAndUnGZ.bat" "%USERPROFILE%\AppData\Local\Temp\OnboardLogs"\RTDC4018\2017-10-23 &amp; aws s3 cp s3://rtdc.mdm.uploadarchive.raw/RTDC4018/ "%USERPROFILE%\AppData\Local\Temp\OnboardLogs"\RTDC4018\2017-10-24 --exclude "*" --recursive --include "*20171024*" &amp; "%USERPROFILE%\Documents\GitHub\mrs-test-scripts\Headless Mode &amp; Sideloading\WalkAndUnGZ.bat" "%USERPROFILE%\AppData\Local\Temp\OnboardLogs"\RTDC4018\2017-10-24</v>
      </c>
      <c r="AF77" s="74" t="str">
        <f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/stypes="app*4018*20171023*" /stext=" 18:.+((SYSTEM_STATE.+slice.+state.+changed )|(ment ac)|(multiple cpu faults)|(system.+state.+changed )|(\[timeout)|(PRM\|1\|D)|(kpr)|(kdp)|(train st.+moving)|(\|lc)|(penalty))"</v>
      </c>
      <c r="AG77" s="182" t="str">
        <f>DetSubdiv(A77)</f>
        <v>EC</v>
      </c>
      <c r="AH77" s="78" t="str">
        <f t="shared" si="5"/>
        <v>"%USERPROFILE%\Documents\GitHub\eaglep3\Utilities\RefineRTDCRunTimes.py" --tripid 163-23 --locoid 4018 --swversion DE.1.0.9.0 --startMP 204:453 --initTime 2017-10-23T11:21:42 --startdatetime 2017-10-23T11:30:21 --delay 74 --endMP 204:233304 --enddatetime 2017-10-23T12:08:46 --enforcementcount 0 &gt;&gt;%USERPROFILE%\Documents\GitHub\eaglep3-reporting\EC\2017-10-23-refined-times.txt</v>
      </c>
      <c r="AI77" s="96" t="str">
        <f t="shared" si="6"/>
        <v>echo {"issue":{"subject":"","project_id":79,"tracker_id":40,"status_id":1,"priority_id":2,"assigned_to_id":338,"start_date":"2017-10-23","description":"","custom_fields":[{"id":1,"name":"Subdivision","value":"EC"},{"id":4,"name":"Milepost","value":"23.3304"},{"id":17,"name":"Train ID","value":"163-23"},{"id":16,"name":"Locomotive ID","value":"4018"},{"id":130,"name":"Impact","value":""},{"id":150,"name":"Time of Event (Mountain Time)","value":"12:08:46"},{"id":151,"name":"Denver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0"/>
      <c r="AK77" s="47"/>
      <c r="AL77" s="47"/>
      <c r="AM77" s="142" t="str">
        <f t="shared" si="7"/>
        <v>start /low /b %USERPROFILE%\Documents\GitHub\eaglep3\Utilities\DownloadLogsFromS3.py --loco 4018 --day 2017-10-23</v>
      </c>
      <c r="AN77" s="151" t="str">
        <f t="shared" si="8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18:08:46"},{"id":29,"name":"Sharepoint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168" t="str">
        <f t="shared" si="9"/>
        <v>https://d0f6bd738d7f1b3e5a7ca70fe4ff75f0.us-east-1.aws.found.io/app/kibana#/discover/Steve-Slow-Train-Analysis-(2080s-and-2083s)?_g=(refreshInterval:(display:Off,pause:!f,section:0,value:0),time:(from:'2017-10-23T10:21:42-0600',mode:absolute,to:'2017-10-23T13:08:46-0600'))&amp;_a=(columns:!('Message%20ID',Summary),filters:!(),index:'emp_*',interval:auto,query:(query_string:(analyze_wildcard:!t,query:'%22rtdc.l.rtdc.4018%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3">
      <c r="A78" s="32" t="s">
        <v>785</v>
      </c>
      <c r="B78" s="7">
        <v>4017</v>
      </c>
      <c r="C78" s="21" t="s">
        <v>194</v>
      </c>
      <c r="D78" s="21" t="s">
        <v>934</v>
      </c>
      <c r="E78" s="13">
        <v>43031.514965277776</v>
      </c>
      <c r="F78" s="13">
        <v>43031.51898148148</v>
      </c>
      <c r="G78" s="7">
        <v>79</v>
      </c>
      <c r="H78" s="21" t="s">
        <v>603</v>
      </c>
      <c r="I78" s="13">
        <v>43031.547407407408</v>
      </c>
      <c r="J78" s="7">
        <v>0</v>
      </c>
      <c r="K78" s="89" t="str">
        <f>IF(ISEVEN(B78),(B78-1)&amp;"/"&amp;B78,B78&amp;"/"&amp;(B78+1))</f>
        <v>4017/4018</v>
      </c>
      <c r="L78" s="185" t="str">
        <f>VLOOKUP(A78,'Trips&amp;Operators'!$C$1:$G$99911,5,FALSE)</f>
        <v>STEWART MICHAEL</v>
      </c>
      <c r="M78" s="6">
        <f>I78-F78</f>
        <v>2.842592592787696E-2</v>
      </c>
      <c r="N78" s="7">
        <f>24*60*SUM($M78:$M78)</f>
        <v>40.933333336142823</v>
      </c>
      <c r="O78" s="7"/>
      <c r="P78" s="7"/>
      <c r="Q78" s="22"/>
      <c r="R78" s="174"/>
      <c r="S78" s="221">
        <f>1/IF(AG78="EC",12,1)*SUM(U78:U78)</f>
        <v>1</v>
      </c>
      <c r="T78" s="174" t="str">
        <f>IF(ISEVEN(LEFT(AD78,4)),"Southbound","NorthBound")</f>
        <v>Southbound</v>
      </c>
      <c r="U78" s="198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16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-10-23T11:21:33-0600',mode:absolute,to:'2017-10-23T14:08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78" s="204" t="str">
        <f>IF(AA78&lt;VLOOKUP(AG78,Variables!$AC$3:$AD$8,2,FALSE),"Y","N")</f>
        <v>N</v>
      </c>
      <c r="X78" s="204">
        <f>VALUE(LEFT(AD78,4))-VALUE(LEFT(AD77,4))</f>
        <v>1</v>
      </c>
      <c r="Y78" s="204">
        <f>RIGHT(D78,LEN(D78)-4)/10000</f>
        <v>23.298100000000002</v>
      </c>
      <c r="Z78" s="204">
        <f>RIGHT(H78,LEN(H78)-4)/10000</f>
        <v>1.7000000000000001E-2</v>
      </c>
      <c r="AA78" s="204">
        <f>ABS(Z78-Y78)</f>
        <v>23.281100000000002</v>
      </c>
      <c r="AB78" s="54" t="e">
        <f>VLOOKUP(A78,Enforcements!$C$7:$K$11,8,0)</f>
        <v>#N/A</v>
      </c>
      <c r="AC78" s="51" t="e">
        <f>VLOOKUP(A78,Enforcements!$C$7:$E$11,3,0)</f>
        <v>#N/A</v>
      </c>
      <c r="AD78" s="179">
        <f>VALUE(LEFT(A78,LEN(A78)-3))</f>
        <v>164</v>
      </c>
      <c r="AE78" s="77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s3://rtdc.mdm.uploadarchive.raw/RTDC4017/ "%USERPROFILE%\AppData\Local\Temp\OnboardLogs"\RTDC4017\2017-10-23 --exclude "*" --recursive --include "*20171023*" &amp; "%USERPROFILE%\Documents\GitHub\mrs-test-scripts\Headless Mode &amp; Sideloading\WalkAndUnGZ.bat" "%USERPROFILE%\AppData\Local\Temp\OnboardLogs"\RTDC4017\2017-10-23 &amp; aws s3 cp s3://rtdc.mdm.uploadarchive.raw/RTDC4017/ "%USERPROFILE%\AppData\Local\Temp\OnboardLogs"\RTDC4017\2017-10-24 --exclude "*" --recursive --include "*20171024*" &amp; "%USERPROFILE%\Documents\GitHub\mrs-test-scripts\Headless Mode &amp; Sideloading\WalkAndUnGZ.bat" "%USERPROFILE%\AppData\Local\Temp\OnboardLogs"\RTDC4017\2017-10-24</v>
      </c>
      <c r="AF78" s="74" t="str">
        <f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/stypes="app*4017*20171023*" /stext=" 19:.+((SYSTEM_STATE.+slice.+state.+changed )|(ment ac)|(multiple cpu faults)|(system.+state.+changed )|(\[timeout)|(PRM\|1\|D)|(kpr)|(kdp)|(train st.+moving)|(\|lc)|(penalty))"</v>
      </c>
      <c r="AG78" s="182" t="str">
        <f>DetSubdiv(A78)</f>
        <v>EC</v>
      </c>
      <c r="AH78" s="78" t="str">
        <f t="shared" ref="AH78:AH143" si="10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164-23 --locoid 4017 --swversion DE.1.0.9.0 --startMP 204:232981 --initTime 2017-10-23T12:21:33 --startdatetime 2017-10-23T12:27:20 --delay 79 --endMP 204:170 --enddatetime 2017-10-23T13:08:16 --enforcementcount 0 &gt;&gt;%USERPROFILE%\Documents\GitHub\eaglep3-reporting\EC\2017-10-23-refined-times.txt</v>
      </c>
      <c r="AI78" s="96" t="str">
        <f t="shared" ref="AI78:AI143" si="11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{"issue":{"subject":"","project_id":79,"tracker_id":40,"status_id":1,"priority_id":2,"assigned_to_id":338,"start_date":"2017-10-23","description":"","custom_fields":[{"id":1,"name":"Subdivision","value":"EC"},{"id":4,"name":"Milepost","value":"0.017"},{"id":17,"name":"Train ID","value":"164-23"},{"id":16,"name":"Locomotive ID","value":"4017"},{"id":130,"name":"Impact","value":""},{"id":150,"name":"Time of Event (Mountain Time)","value":"13:08:16"},{"id":151,"name":"Denver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0"/>
      <c r="AK78" s="47"/>
      <c r="AL78" s="47"/>
      <c r="AM78" s="142" t="str">
        <f t="shared" ref="AM78:AM143" si="12">"start /low /b "&amp;dls3logs&amp;" --loco "&amp;B78&amp;" --day "&amp;TEXT(F78,"YYYY-MM-DD")</f>
        <v>start /low /b %USERPROFILE%\Documents\GitHub\eaglep3\Utilities\DownloadLogsFromS3.py --loco 4017 --day 2017-10-23</v>
      </c>
      <c r="AN78" s="151" t="str">
        <f t="shared" ref="AN78:AN143" si="13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19:08:16"},{"id":29,"name":"Sharepoint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168" t="str">
        <f t="shared" ref="AO78:AO143" si="14"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Message%20ID',Summary),filters:!(),index:'emp_*',interval:auto,query:"&amp;"(query_string:(analyze_wildcard:!t,query:'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-10-23T11:21:33-0600',mode:absolute,to:'2017-10-23T14:08:16-0600'))&amp;_a=(columns:!('Message%20ID',Summary),filters:!(),index:'emp_*',interval:auto,query:(query_string:(analyze_wildcard:!t,query:'%22rtdc.l.rtdc.4017%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3">
      <c r="A79" s="32" t="s">
        <v>779</v>
      </c>
      <c r="B79" s="7">
        <v>4016</v>
      </c>
      <c r="C79" s="21" t="s">
        <v>194</v>
      </c>
      <c r="D79" s="21" t="s">
        <v>935</v>
      </c>
      <c r="E79" s="13">
        <v>43031.487372685187</v>
      </c>
      <c r="F79" s="13">
        <v>43031.489803240744</v>
      </c>
      <c r="G79" s="7">
        <v>70</v>
      </c>
      <c r="H79" s="21" t="s">
        <v>612</v>
      </c>
      <c r="I79" s="13">
        <v>43031.515393518515</v>
      </c>
      <c r="J79" s="7">
        <v>0</v>
      </c>
      <c r="K79" s="89" t="str">
        <f>IF(ISEVEN(B79),(B79-1)&amp;"/"&amp;B79,B79&amp;"/"&amp;(B79+1))</f>
        <v>4015/4016</v>
      </c>
      <c r="L79" s="185" t="str">
        <f>VLOOKUP(A79,'Trips&amp;Operators'!$C$1:$G$99911,5,FALSE)</f>
        <v>LEVERE CRAIG</v>
      </c>
      <c r="M79" s="6">
        <f>I79-F79</f>
        <v>2.5590277771698311E-2</v>
      </c>
      <c r="N79" s="7">
        <f>24*60*SUM($M79:$M79)</f>
        <v>36.849999991245568</v>
      </c>
      <c r="O79" s="7"/>
      <c r="P79" s="7"/>
      <c r="Q79" s="22"/>
      <c r="R79" s="174"/>
      <c r="S79" s="221">
        <f>1/IF(AG79="EC",12,1)*SUM(U79:U79)</f>
        <v>1</v>
      </c>
      <c r="T79" s="174" t="str">
        <f>IF(ISEVEN(LEFT(AD79,4)),"Southbound","NorthBound")</f>
        <v>NorthBound</v>
      </c>
      <c r="U79" s="198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16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-10-23T10:41:49-0600',mode:absolute,to:'2017-10-23T13:22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9" s="204" t="str">
        <f>IF(AA79&lt;VLOOKUP(AG79,Variables!$AC$3:$AD$8,2,FALSE),"Y","N")</f>
        <v>N</v>
      </c>
      <c r="X79" s="204">
        <f>VALUE(LEFT(AD79,4))-VALUE(LEFT(AD78,4))</f>
        <v>1</v>
      </c>
      <c r="Y79" s="204">
        <f>RIGHT(D79,LEN(D79)-4)/10000</f>
        <v>5.6800000000000003E-2</v>
      </c>
      <c r="Z79" s="204">
        <f>RIGHT(H79,LEN(H79)-4)/10000</f>
        <v>23.328900000000001</v>
      </c>
      <c r="AA79" s="204">
        <f>ABS(Z79-Y79)</f>
        <v>23.272100000000002</v>
      </c>
      <c r="AB79" s="54" t="e">
        <f>VLOOKUP(A79,Enforcements!$C$7:$K$11,8,0)</f>
        <v>#N/A</v>
      </c>
      <c r="AC79" s="51" t="e">
        <f>VLOOKUP(A79,Enforcements!$C$7:$E$11,3,0)</f>
        <v>#N/A</v>
      </c>
      <c r="AD79" s="179">
        <f>VALUE(LEFT(A79,LEN(A79)-3))</f>
        <v>165</v>
      </c>
      <c r="AE79" s="77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s3://rtdc.mdm.uploadarchive.raw/RTDC4016/ "%USERPROFILE%\AppData\Local\Temp\OnboardLogs"\RTDC4016\2017-10-23 --exclude "*" --recursive --include "*20171023*" &amp; "%USERPROFILE%\Documents\GitHub\mrs-test-scripts\Headless Mode &amp; Sideloading\WalkAndUnGZ.bat" "%USERPROFILE%\AppData\Local\Temp\OnboardLogs"\RTDC4016\2017-10-23 &amp; aws s3 cp s3://rtdc.mdm.uploadarchive.raw/RTDC4016/ "%USERPROFILE%\AppData\Local\Temp\OnboardLogs"\RTDC4016\2017-10-24 --exclude "*" --recursive --include "*20171024*" &amp; "%USERPROFILE%\Documents\GitHub\mrs-test-scripts\Headless Mode &amp; Sideloading\WalkAndUnGZ.bat" "%USERPROFILE%\AppData\Local\Temp\OnboardLogs"\RTDC4016\2017-10-24</v>
      </c>
      <c r="AF79" s="74" t="str">
        <f>astrogrep_path&amp;" /e /r /s /spath="&amp;search_path&amp;" /stypes=""app*"&amp;B79&amp;"*"&amp;TEXT(I79-utc_offset/24,"YYYYMMDD")&amp;"*"" /stext="" "&amp;TEXT(I79-utc_offset/24,"HH")&amp;search_regexp&amp;""""</f>
        <v>"C:\Program Files (x86)\AstroGrep\AstroGrep.exe" /e /r /s /spath="%USERPROFILE%\AppData\Local\Temp\OnboardLogs" /stypes="app*4016*20171023*" /stext=" 18:.+((SYSTEM_STATE.+slice.+state.+changed )|(ment ac)|(multiple cpu faults)|(system.+state.+changed )|(\[timeout)|(PRM\|1\|D)|(kpr)|(kdp)|(train st.+moving)|(\|lc)|(penalty))"</v>
      </c>
      <c r="AG79" s="182" t="str">
        <f>DetSubdiv(A79)</f>
        <v>EC</v>
      </c>
      <c r="AH79" s="78" t="str">
        <f t="shared" si="10"/>
        <v>"%USERPROFILE%\Documents\GitHub\eaglep3\Utilities\RefineRTDCRunTimes.py" --tripid 165-23 --locoid 4016 --swversion DE.1.0.9.0 --startMP 204:568 --initTime 2017-10-23T11:41:49 --startdatetime 2017-10-23T11:45:19 --delay 70 --endMP 204:233289 --enddatetime 2017-10-23T12:22:10 --enforcementcount 0 &gt;&gt;%USERPROFILE%\Documents\GitHub\eaglep3-reporting\EC\2017-10-23-refined-times.txt</v>
      </c>
      <c r="AI79" s="96" t="str">
        <f t="shared" si="11"/>
        <v>echo {"issue":{"subject":"","project_id":79,"tracker_id":40,"status_id":1,"priority_id":2,"assigned_to_id":338,"start_date":"2017-10-23","description":"","custom_fields":[{"id":1,"name":"Subdivision","value":"EC"},{"id":4,"name":"Milepost","value":"23.3289"},{"id":17,"name":"Train ID","value":"165-23"},{"id":16,"name":"Locomotive ID","value":"4016"},{"id":130,"name":"Impact","value":""},{"id":150,"name":"Time of Event (Mountain Time)","value":"12:22:10"},{"id":151,"name":"Denver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0"/>
      <c r="AK79" s="47"/>
      <c r="AL79" s="47"/>
      <c r="AM79" s="142" t="str">
        <f t="shared" si="12"/>
        <v>start /low /b %USERPROFILE%\Documents\GitHub\eaglep3\Utilities\DownloadLogsFromS3.py --loco 4016 --day 2017-10-23</v>
      </c>
      <c r="AN79" s="151" t="str">
        <f t="shared" si="13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18:22:10"},{"id":29,"name":"Sharepoint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168" t="str">
        <f t="shared" si="14"/>
        <v>https://d0f6bd738d7f1b3e5a7ca70fe4ff75f0.us-east-1.aws.found.io/app/kibana#/discover/Steve-Slow-Train-Analysis-(2080s-and-2083s)?_g=(refreshInterval:(display:Off,pause:!f,section:0,value:0),time:(from:'2017-10-23T10:41:49-0600',mode:absolute,to:'2017-10-23T13:22:10-0600'))&amp;_a=(columns:!('Message%20ID',Summary),filters:!(),index:'emp_*',interval:auto,query:(query_string:(analyze_wildcard:!t,query:'%22rtdc.l.rtdc.4016%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3">
      <c r="A80" s="32" t="s">
        <v>788</v>
      </c>
      <c r="B80" s="7">
        <v>4015</v>
      </c>
      <c r="C80" s="21" t="s">
        <v>194</v>
      </c>
      <c r="D80" s="21" t="s">
        <v>907</v>
      </c>
      <c r="E80" s="13">
        <v>43031.524270833332</v>
      </c>
      <c r="F80" s="13">
        <v>43031.529351851852</v>
      </c>
      <c r="G80" s="7">
        <v>66</v>
      </c>
      <c r="H80" s="21" t="s">
        <v>371</v>
      </c>
      <c r="I80" s="13">
        <v>43031.558611111112</v>
      </c>
      <c r="J80" s="7">
        <v>0</v>
      </c>
      <c r="K80" s="89" t="str">
        <f>IF(ISEVEN(B80),(B80-1)&amp;"/"&amp;B80,B80&amp;"/"&amp;(B80+1))</f>
        <v>4015/4016</v>
      </c>
      <c r="L80" s="185" t="str">
        <f>VLOOKUP(A80,'Trips&amp;Operators'!$C$1:$G$99911,5,FALSE)</f>
        <v>LEVERE CRAIG</v>
      </c>
      <c r="M80" s="6">
        <f>I80-F80</f>
        <v>2.9259259259561077E-2</v>
      </c>
      <c r="N80" s="7">
        <f>24*60*SUM($M80:$M80)</f>
        <v>42.133333333767951</v>
      </c>
      <c r="O80" s="7"/>
      <c r="P80" s="7"/>
      <c r="Q80" s="22"/>
      <c r="R80" s="174"/>
      <c r="S80" s="221">
        <f>1/IF(AG80="EC",12,1)*SUM(U80:U80)</f>
        <v>1</v>
      </c>
      <c r="T80" s="174" t="str">
        <f>IF(ISEVEN(LEFT(AD80,4)),"Southbound","NorthBound")</f>
        <v>Southbound</v>
      </c>
      <c r="U80" s="198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16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-10-23T11:34:57-0600',mode:absolute,to:'2017-10-23T14:24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0" s="204" t="str">
        <f>IF(AA80&lt;VLOOKUP(AG80,Variables!$AC$3:$AD$8,2,FALSE),"Y","N")</f>
        <v>N</v>
      </c>
      <c r="X80" s="204">
        <f>VALUE(LEFT(AD80,4))-VALUE(LEFT(AD79,4))</f>
        <v>1</v>
      </c>
      <c r="Y80" s="204">
        <f>RIGHT(D80,LEN(D80)-4)/10000</f>
        <v>23.296700000000001</v>
      </c>
      <c r="Z80" s="204">
        <f>RIGHT(H80,LEN(H80)-4)/10000</f>
        <v>1.54E-2</v>
      </c>
      <c r="AA80" s="204">
        <f>ABS(Z80-Y80)</f>
        <v>23.281300000000002</v>
      </c>
      <c r="AB80" s="54" t="e">
        <f>VLOOKUP(A80,Enforcements!$C$7:$K$11,8,0)</f>
        <v>#N/A</v>
      </c>
      <c r="AC80" s="51" t="e">
        <f>VLOOKUP(A80,Enforcements!$C$7:$E$11,3,0)</f>
        <v>#N/A</v>
      </c>
      <c r="AD80" s="179">
        <f>VALUE(LEFT(A80,LEN(A80)-3))</f>
        <v>166</v>
      </c>
      <c r="AE80" s="77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s3://rtdc.mdm.uploadarchive.raw/RTDC4015/ "%USERPROFILE%\AppData\Local\Temp\OnboardLogs"\RTDC4015\2017-10-23 --exclude "*" --recursive --include "*20171023*" &amp; "%USERPROFILE%\Documents\GitHub\mrs-test-scripts\Headless Mode &amp; Sideloading\WalkAndUnGZ.bat" "%USERPROFILE%\AppData\Local\Temp\OnboardLogs"\RTDC4015\2017-10-23 &amp; aws s3 cp s3://rtdc.mdm.uploadarchive.raw/RTDC4015/ "%USERPROFILE%\AppData\Local\Temp\OnboardLogs"\RTDC4015\2017-10-24 --exclude "*" --recursive --include "*20171024*" &amp; "%USERPROFILE%\Documents\GitHub\mrs-test-scripts\Headless Mode &amp; Sideloading\WalkAndUnGZ.bat" "%USERPROFILE%\AppData\Local\Temp\OnboardLogs"\RTDC4015\2017-10-24</v>
      </c>
      <c r="AF80" s="74" t="str">
        <f>astrogrep_path&amp;" /e /r /s /spath="&amp;search_path&amp;" /stypes=""app*"&amp;B80&amp;"*"&amp;TEXT(I80-utc_offset/24,"YYYYMMDD")&amp;"*"" /stext="" "&amp;TEXT(I80-utc_offset/24,"HH")&amp;search_regexp&amp;""""</f>
        <v>"C:\Program Files (x86)\AstroGrep\AstroGrep.exe" /e /r /s /spath="%USERPROFILE%\AppData\Local\Temp\OnboardLogs" /stypes="app*4015*20171023*" /stext=" 19:.+((SYSTEM_STATE.+slice.+state.+changed )|(ment ac)|(multiple cpu faults)|(system.+state.+changed )|(\[timeout)|(PRM\|1\|D)|(kpr)|(kdp)|(train st.+moving)|(\|lc)|(penalty))"</v>
      </c>
      <c r="AG80" s="182" t="str">
        <f>DetSubdiv(A80)</f>
        <v>EC</v>
      </c>
      <c r="AH80" s="78" t="str">
        <f t="shared" si="10"/>
        <v>"%USERPROFILE%\Documents\GitHub\eaglep3\Utilities\RefineRTDCRunTimes.py" --tripid 166-23 --locoid 4015 --swversion DE.1.0.9.0 --startMP 204:232967 --initTime 2017-10-23T12:34:57 --startdatetime 2017-10-23T12:42:16 --delay 66 --endMP 204:154 --enddatetime 2017-10-23T13:24:24 --enforcementcount 0 &gt;&gt;%USERPROFILE%\Documents\GitHub\eaglep3-reporting\EC\2017-10-23-refined-times.txt</v>
      </c>
      <c r="AI80" s="96" t="str">
        <f t="shared" si="11"/>
        <v>echo {"issue":{"subject":"","project_id":79,"tracker_id":40,"status_id":1,"priority_id":2,"assigned_to_id":338,"start_date":"2017-10-23","description":"","custom_fields":[{"id":1,"name":"Subdivision","value":"EC"},{"id":4,"name":"Milepost","value":"0.0154"},{"id":17,"name":"Train ID","value":"166-23"},{"id":16,"name":"Locomotive ID","value":"4015"},{"id":130,"name":"Impact","value":""},{"id":150,"name":"Time of Event (Mountain Time)","value":"13:24:24"},{"id":151,"name":"Denver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0"/>
      <c r="AK80" s="47"/>
      <c r="AL80" s="47"/>
      <c r="AM80" s="142" t="str">
        <f t="shared" si="12"/>
        <v>start /low /b %USERPROFILE%\Documents\GitHub\eaglep3\Utilities\DownloadLogsFromS3.py --loco 4015 --day 2017-10-23</v>
      </c>
      <c r="AN80" s="151" t="str">
        <f t="shared" si="13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19:24:24"},{"id":29,"name":"Sharepoint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168" t="str">
        <f t="shared" si="14"/>
        <v>https://d0f6bd738d7f1b3e5a7ca70fe4ff75f0.us-east-1.aws.found.io/app/kibana#/discover/Steve-Slow-Train-Analysis-(2080s-and-2083s)?_g=(refreshInterval:(display:Off,pause:!f,section:0,value:0),time:(from:'2017-10-23T11:34:57-0600',mode:absolute,to:'2017-10-23T14:24:24-0600'))&amp;_a=(columns:!('Message%20ID',Summary),filters:!(),index:'emp_*',interval:auto,query:(query_string:(analyze_wildcard:!t,query:'%22rtdc.l.rtdc.4015%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3">
      <c r="A81" s="32" t="s">
        <v>782</v>
      </c>
      <c r="B81" s="7">
        <v>4042</v>
      </c>
      <c r="C81" s="21" t="s">
        <v>194</v>
      </c>
      <c r="D81" s="21" t="s">
        <v>555</v>
      </c>
      <c r="E81" s="13">
        <v>43031.499247685184</v>
      </c>
      <c r="F81" s="13">
        <v>43031.500983796293</v>
      </c>
      <c r="G81" s="7">
        <v>62</v>
      </c>
      <c r="H81" s="21" t="s">
        <v>460</v>
      </c>
      <c r="I81" s="13">
        <v>43031.52616898148</v>
      </c>
      <c r="J81" s="7">
        <v>0</v>
      </c>
      <c r="K81" s="89" t="str">
        <f>IF(ISEVEN(B81),(B81-1)&amp;"/"&amp;B81,B81&amp;"/"&amp;(B81+1))</f>
        <v>4041/4042</v>
      </c>
      <c r="L81" s="185" t="str">
        <f>VLOOKUP(A81,'Trips&amp;Operators'!$C$1:$G$99911,5,FALSE)</f>
        <v>GUZMAN DANNY</v>
      </c>
      <c r="M81" s="6">
        <f>I81-F81</f>
        <v>2.5185185186273884E-2</v>
      </c>
      <c r="N81" s="7">
        <f>24*60*SUM($M81:$M81)</f>
        <v>36.266666668234393</v>
      </c>
      <c r="O81" s="7"/>
      <c r="P81" s="7"/>
      <c r="Q81" s="22"/>
      <c r="R81" s="174"/>
      <c r="S81" s="221">
        <f>1/IF(AG81="EC",12,1)*SUM(U81:U81)</f>
        <v>1</v>
      </c>
      <c r="T81" s="174" t="str">
        <f>IF(ISEVEN(LEFT(AD81,4)),"Southbound","NorthBound")</f>
        <v>NorthBound</v>
      </c>
      <c r="U81" s="198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16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2017-10-23T10:58:55-0600',mode:absolute,to:'2017-10-23T13:37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81" s="204" t="str">
        <f>IF(AA81&lt;VLOOKUP(AG81,Variables!$AC$3:$AD$8,2,FALSE),"Y","N")</f>
        <v>N</v>
      </c>
      <c r="X81" s="204">
        <f>VALUE(LEFT(AD81,4))-VALUE(LEFT(AD80,4))</f>
        <v>1</v>
      </c>
      <c r="Y81" s="204">
        <f>RIGHT(D81,LEN(D81)-4)/10000</f>
        <v>4.4900000000000002E-2</v>
      </c>
      <c r="Z81" s="204">
        <f>RIGHT(H81,LEN(H81)-4)/10000</f>
        <v>23.3308</v>
      </c>
      <c r="AA81" s="204">
        <f>ABS(Z81-Y81)</f>
        <v>23.285900000000002</v>
      </c>
      <c r="AB81" s="54" t="e">
        <f>VLOOKUP(A81,Enforcements!$C$7:$K$11,8,0)</f>
        <v>#N/A</v>
      </c>
      <c r="AC81" s="51" t="e">
        <f>VLOOKUP(A81,Enforcements!$C$7:$E$11,3,0)</f>
        <v>#N/A</v>
      </c>
      <c r="AD81" s="179">
        <f>VALUE(LEFT(A81,LEN(A81)-3))</f>
        <v>167</v>
      </c>
      <c r="AE81" s="77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s3://rtdc.mdm.uploadarchive.raw/RTDC4042/ "%USERPROFILE%\AppData\Local\Temp\OnboardLogs"\RTDC4042\2017-10-23 --exclude "*" --recursive --include "*20171023*" &amp; "%USERPROFILE%\Documents\GitHub\mrs-test-scripts\Headless Mode &amp; Sideloading\WalkAndUnGZ.bat" "%USERPROFILE%\AppData\Local\Temp\OnboardLogs"\RTDC4042\2017-10-23 &amp; aws s3 cp s3://rtdc.mdm.uploadarchive.raw/RTDC4042/ "%USERPROFILE%\AppData\Local\Temp\OnboardLogs"\RTDC4042\2017-10-24 --exclude "*" --recursive --include "*20171024*" &amp; "%USERPROFILE%\Documents\GitHub\mrs-test-scripts\Headless Mode &amp; Sideloading\WalkAndUnGZ.bat" "%USERPROFILE%\AppData\Local\Temp\OnboardLogs"\RTDC4042\2017-10-24</v>
      </c>
      <c r="AF81" s="74" t="str">
        <f>astrogrep_path&amp;" /e /r /s /spath="&amp;search_path&amp;" /stypes=""app*"&amp;B81&amp;"*"&amp;TEXT(I81-utc_offset/24,"YYYYMMDD")&amp;"*"" /stext="" "&amp;TEXT(I81-utc_offset/24,"HH")&amp;search_regexp&amp;""""</f>
        <v>"C:\Program Files (x86)\AstroGrep\AstroGrep.exe" /e /r /s /spath="%USERPROFILE%\AppData\Local\Temp\OnboardLogs" /stypes="app*4042*20171023*" /stext=" 18:.+((SYSTEM_STATE.+slice.+state.+changed )|(ment ac)|(multiple cpu faults)|(system.+state.+changed )|(\[timeout)|(PRM\|1\|D)|(kpr)|(kdp)|(train st.+moving)|(\|lc)|(penalty))"</v>
      </c>
      <c r="AG81" s="182" t="str">
        <f>DetSubdiv(A81)</f>
        <v>EC</v>
      </c>
      <c r="AH81" s="78" t="str">
        <f t="shared" si="10"/>
        <v>"%USERPROFILE%\Documents\GitHub\eaglep3\Utilities\RefineRTDCRunTimes.py" --tripid 167-23 --locoid 4042 --swversion DE.1.0.9.0 --startMP 204:449 --initTime 2017-10-23T11:58:55 --startdatetime 2017-10-23T12:01:25 --delay 62 --endMP 204:233308 --enddatetime 2017-10-23T12:37:41 --enforcementcount 0 &gt;&gt;%USERPROFILE%\Documents\GitHub\eaglep3-reporting\EC\2017-10-23-refined-times.txt</v>
      </c>
      <c r="AI81" s="96" t="str">
        <f t="shared" si="11"/>
        <v>echo {"issue":{"subject":"","project_id":79,"tracker_id":40,"status_id":1,"priority_id":2,"assigned_to_id":338,"start_date":"2017-10-23","description":"","custom_fields":[{"id":1,"name":"Subdivision","value":"EC"},{"id":4,"name":"Milepost","value":"23.3308"},{"id":17,"name":"Train ID","value":"167-23"},{"id":16,"name":"Locomotive ID","value":"4042"},{"id":130,"name":"Impact","value":""},{"id":150,"name":"Time of Event (Mountain Time)","value":"12:37:41"},{"id":151,"name":"Denver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0"/>
      <c r="AK81" s="47"/>
      <c r="AL81" s="47"/>
      <c r="AM81" s="142" t="str">
        <f t="shared" si="12"/>
        <v>start /low /b %USERPROFILE%\Documents\GitHub\eaglep3\Utilities\DownloadLogsFromS3.py --loco 4042 --day 2017-10-23</v>
      </c>
      <c r="AN81" s="151" t="str">
        <f t="shared" si="13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18:37:41"},{"id":29,"name":"Sharepoint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168" t="str">
        <f t="shared" si="14"/>
        <v>https://d0f6bd738d7f1b3e5a7ca70fe4ff75f0.us-east-1.aws.found.io/app/kibana#/discover/Steve-Slow-Train-Analysis-(2080s-and-2083s)?_g=(refreshInterval:(display:Off,pause:!f,section:0,value:0),time:(from:'2017-10-23T10:58:55-0600',mode:absolute,to:'2017-10-23T13:37:41-0600'))&amp;_a=(columns:!('Message%20ID',Summary),filters:!(),index:'emp_*',interval:auto,query:(query_string:(analyze_wildcard:!t,query:'%22rtdc.l.rtdc.4042%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3">
      <c r="A82" s="32" t="s">
        <v>790</v>
      </c>
      <c r="B82" s="7">
        <v>4041</v>
      </c>
      <c r="C82" s="21" t="s">
        <v>194</v>
      </c>
      <c r="D82" s="21" t="s">
        <v>598</v>
      </c>
      <c r="E82" s="13">
        <v>43031.530624999999</v>
      </c>
      <c r="F82" s="13">
        <v>43031.53974537037</v>
      </c>
      <c r="G82" s="7">
        <v>60</v>
      </c>
      <c r="H82" s="21" t="s">
        <v>603</v>
      </c>
      <c r="I82" s="13">
        <v>43031.568958333337</v>
      </c>
      <c r="J82" s="7">
        <v>0</v>
      </c>
      <c r="K82" s="89" t="str">
        <f>IF(ISEVEN(B82),(B82-1)&amp;"/"&amp;B82,B82&amp;"/"&amp;(B82+1))</f>
        <v>4041/4042</v>
      </c>
      <c r="L82" s="185" t="str">
        <f>VLOOKUP(A82,'Trips&amp;Operators'!$C$1:$G$99911,5,FALSE)</f>
        <v>GUZMAN DANNY</v>
      </c>
      <c r="M82" s="6">
        <f>I82-F82</f>
        <v>2.9212962966994382E-2</v>
      </c>
      <c r="N82" s="7">
        <f>24*60*SUM($M82:$M82)</f>
        <v>42.066666672471911</v>
      </c>
      <c r="O82" s="7"/>
      <c r="P82" s="7"/>
      <c r="Q82" s="22"/>
      <c r="R82" s="174"/>
      <c r="S82" s="221">
        <f>1/IF(AG82="EC",12,1)*SUM(U82:U82)</f>
        <v>1</v>
      </c>
      <c r="T82" s="174" t="str">
        <f>IF(ISEVEN(LEFT(AD82,4)),"Southbound","NorthBound")</f>
        <v>Southbound</v>
      </c>
      <c r="U82" s="198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16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2017-10-23T11:44:06-0600',mode:absolute,to:'2017-10-23T14:39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2" s="204" t="str">
        <f>IF(AA82&lt;VLOOKUP(AG82,Variables!$AC$3:$AD$8,2,FALSE),"Y","N")</f>
        <v>N</v>
      </c>
      <c r="X82" s="204">
        <f>VALUE(LEFT(AD82,4))-VALUE(LEFT(AD81,4))</f>
        <v>1</v>
      </c>
      <c r="Y82" s="204">
        <f>RIGHT(D82,LEN(D82)-4)/10000</f>
        <v>23.301100000000002</v>
      </c>
      <c r="Z82" s="204">
        <f>RIGHT(H82,LEN(H82)-4)/10000</f>
        <v>1.7000000000000001E-2</v>
      </c>
      <c r="AA82" s="204">
        <f>ABS(Z82-Y82)</f>
        <v>23.284100000000002</v>
      </c>
      <c r="AB82" s="54" t="e">
        <f>VLOOKUP(A82,Enforcements!$C$7:$K$11,8,0)</f>
        <v>#N/A</v>
      </c>
      <c r="AC82" s="51" t="e">
        <f>VLOOKUP(A82,Enforcements!$C$7:$E$11,3,0)</f>
        <v>#N/A</v>
      </c>
      <c r="AD82" s="179">
        <f>VALUE(LEFT(A82,LEN(A82)-3))</f>
        <v>168</v>
      </c>
      <c r="AE82" s="77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s3://rtdc.mdm.uploadarchive.raw/RTDC4041/ "%USERPROFILE%\AppData\Local\Temp\OnboardLogs"\RTDC4041\2017-10-23 --exclude "*" --recursive --include "*20171023*" &amp; "%USERPROFILE%\Documents\GitHub\mrs-test-scripts\Headless Mode &amp; Sideloading\WalkAndUnGZ.bat" "%USERPROFILE%\AppData\Local\Temp\OnboardLogs"\RTDC4041\2017-10-23 &amp; aws s3 cp s3://rtdc.mdm.uploadarchive.raw/RTDC4041/ "%USERPROFILE%\AppData\Local\Temp\OnboardLogs"\RTDC4041\2017-10-24 --exclude "*" --recursive --include "*20171024*" &amp; "%USERPROFILE%\Documents\GitHub\mrs-test-scripts\Headless Mode &amp; Sideloading\WalkAndUnGZ.bat" "%USERPROFILE%\AppData\Local\Temp\OnboardLogs"\RTDC4041\2017-10-24</v>
      </c>
      <c r="AF82" s="74" t="str">
        <f>astrogrep_path&amp;" /e /r /s /spath="&amp;search_path&amp;" /stypes=""app*"&amp;B82&amp;"*"&amp;TEXT(I82-utc_offset/24,"YYYYMMDD")&amp;"*"" /stext="" "&amp;TEXT(I82-utc_offset/24,"HH")&amp;search_regexp&amp;""""</f>
        <v>"C:\Program Files (x86)\AstroGrep\AstroGrep.exe" /e /r /s /spath="%USERPROFILE%\AppData\Local\Temp\OnboardLogs" /stypes="app*4041*20171023*" /stext=" 19:.+((SYSTEM_STATE.+slice.+state.+changed )|(ment ac)|(multiple cpu faults)|(system.+state.+changed )|(\[timeout)|(PRM\|1\|D)|(kpr)|(kdp)|(train st.+moving)|(\|lc)|(penalty))"</v>
      </c>
      <c r="AG82" s="182" t="str">
        <f>DetSubdiv(A82)</f>
        <v>EC</v>
      </c>
      <c r="AH82" s="78" t="str">
        <f t="shared" si="10"/>
        <v>"%USERPROFILE%\Documents\GitHub\eaglep3\Utilities\RefineRTDCRunTimes.py" --tripid 168-23 --locoid 4041 --swversion DE.1.0.9.0 --startMP 204:233011 --initTime 2017-10-23T12:44:06 --startdatetime 2017-10-23T12:57:14 --delay 60 --endMP 204:170 --enddatetime 2017-10-23T13:39:18 --enforcementcount 0 &gt;&gt;%USERPROFILE%\Documents\GitHub\eaglep3-reporting\EC\2017-10-23-refined-times.txt</v>
      </c>
      <c r="AI82" s="96" t="str">
        <f t="shared" si="11"/>
        <v>echo {"issue":{"subject":"","project_id":79,"tracker_id":40,"status_id":1,"priority_id":2,"assigned_to_id":338,"start_date":"2017-10-23","description":"","custom_fields":[{"id":1,"name":"Subdivision","value":"EC"},{"id":4,"name":"Milepost","value":"0.017"},{"id":17,"name":"Train ID","value":"168-23"},{"id":16,"name":"Locomotive ID","value":"4041"},{"id":130,"name":"Impact","value":""},{"id":150,"name":"Time of Event (Mountain Time)","value":"13:39:18"},{"id":151,"name":"Denver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0"/>
      <c r="AK82" s="47"/>
      <c r="AL82" s="47"/>
      <c r="AM82" s="142" t="str">
        <f t="shared" si="12"/>
        <v>start /low /b %USERPROFILE%\Documents\GitHub\eaglep3\Utilities\DownloadLogsFromS3.py --loco 4041 --day 2017-10-23</v>
      </c>
      <c r="AN82" s="151" t="str">
        <f t="shared" si="13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19:39:18"},{"id":29,"name":"Sharepoint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168" t="str">
        <f t="shared" si="14"/>
        <v>https://d0f6bd738d7f1b3e5a7ca70fe4ff75f0.us-east-1.aws.found.io/app/kibana#/discover/Steve-Slow-Train-Analysis-(2080s-and-2083s)?_g=(refreshInterval:(display:Off,pause:!f,section:0,value:0),time:(from:'2017-10-23T11:44:06-0600',mode:absolute,to:'2017-10-23T14:39:18-0600'))&amp;_a=(columns:!('Message%20ID',Summary),filters:!(),index:'emp_*',interval:auto,query:(query_string:(analyze_wildcard:!t,query:'%22rtdc.l.rtdc.4041%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3">
      <c r="A83" s="32" t="s">
        <v>784</v>
      </c>
      <c r="B83" s="7">
        <v>4008</v>
      </c>
      <c r="C83" s="21" t="s">
        <v>194</v>
      </c>
      <c r="D83" s="21" t="s">
        <v>367</v>
      </c>
      <c r="E83" s="13">
        <v>43031.508877314816</v>
      </c>
      <c r="F83" s="13">
        <v>43031.511145833334</v>
      </c>
      <c r="G83" s="7">
        <v>133</v>
      </c>
      <c r="H83" s="21" t="s">
        <v>936</v>
      </c>
      <c r="I83" s="13">
        <v>43031.536886574075</v>
      </c>
      <c r="J83" s="7">
        <v>0</v>
      </c>
      <c r="K83" s="89" t="str">
        <f>IF(ISEVEN(B83),(B83-1)&amp;"/"&amp;B83,B83&amp;"/"&amp;(B83+1))</f>
        <v>4007/4008</v>
      </c>
      <c r="L83" s="185" t="str">
        <f>VLOOKUP(A83,'Trips&amp;Operators'!$C$1:$G$99911,5,FALSE)</f>
        <v>SAFIEF AEIMEN</v>
      </c>
      <c r="M83" s="6">
        <f>I83-F83</f>
        <v>2.5740740740729962E-2</v>
      </c>
      <c r="N83" s="7">
        <f>24*60*SUM($M83:$M83)</f>
        <v>37.066666666651145</v>
      </c>
      <c r="O83" s="7"/>
      <c r="P83" s="7"/>
      <c r="Q83" s="22"/>
      <c r="R83" s="174"/>
      <c r="S83" s="221">
        <f>1/IF(AG83="EC",12,1)*SUM(U83:U83)</f>
        <v>1</v>
      </c>
      <c r="T83" s="174" t="str">
        <f>IF(ISEVEN(LEFT(AD83,4)),"Southbound","NorthBound")</f>
        <v>NorthBound</v>
      </c>
      <c r="U83" s="198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16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2017-10-23T11:12:47-0600',mode:absolute,to:'2017-10-23T13:53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83" s="204" t="str">
        <f>IF(AA83&lt;VLOOKUP(AG83,Variables!$AC$3:$AD$8,2,FALSE),"Y","N")</f>
        <v>N</v>
      </c>
      <c r="X83" s="204">
        <f>VALUE(LEFT(AD83,4))-VALUE(LEFT(AD82,4))</f>
        <v>1</v>
      </c>
      <c r="Y83" s="204">
        <f>RIGHT(D83,LEN(D83)-4)/10000</f>
        <v>4.5100000000000001E-2</v>
      </c>
      <c r="Z83" s="204">
        <f>RIGHT(H83,LEN(H83)-4)/10000</f>
        <v>23.331600000000002</v>
      </c>
      <c r="AA83" s="204">
        <f>ABS(Z83-Y83)</f>
        <v>23.2865</v>
      </c>
      <c r="AB83" s="54" t="e">
        <f>VLOOKUP(A83,Enforcements!$C$7:$K$11,8,0)</f>
        <v>#N/A</v>
      </c>
      <c r="AC83" s="51" t="e">
        <f>VLOOKUP(A83,Enforcements!$C$7:$E$11,3,0)</f>
        <v>#N/A</v>
      </c>
      <c r="AD83" s="179">
        <f>VALUE(LEFT(A83,LEN(A83)-3))</f>
        <v>169</v>
      </c>
      <c r="AE83" s="77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s3://rtdc.mdm.uploadarchive.raw/RTDC4008/ "%USERPROFILE%\AppData\Local\Temp\OnboardLogs"\RTDC4008\2017-10-23 --exclude "*" --recursive --include "*20171023*" &amp; "%USERPROFILE%\Documents\GitHub\mrs-test-scripts\Headless Mode &amp; Sideloading\WalkAndUnGZ.bat" "%USERPROFILE%\AppData\Local\Temp\OnboardLogs"\RTDC4008\2017-10-23 &amp; aws s3 cp s3://rtdc.mdm.uploadarchive.raw/RTDC4008/ "%USERPROFILE%\AppData\Local\Temp\OnboardLogs"\RTDC4008\2017-10-24 --exclude "*" --recursive --include "*20171024*" &amp; "%USERPROFILE%\Documents\GitHub\mrs-test-scripts\Headless Mode &amp; Sideloading\WalkAndUnGZ.bat" "%USERPROFILE%\AppData\Local\Temp\OnboardLogs"\RTDC4008\2017-10-24</v>
      </c>
      <c r="AF83" s="74" t="str">
        <f>astrogrep_path&amp;" /e /r /s /spath="&amp;search_path&amp;" /stypes=""app*"&amp;B83&amp;"*"&amp;TEXT(I83-utc_offset/24,"YYYYMMDD")&amp;"*"" /stext="" "&amp;TEXT(I83-utc_offset/24,"HH")&amp;search_regexp&amp;""""</f>
        <v>"C:\Program Files (x86)\AstroGrep\AstroGrep.exe" /e /r /s /spath="%USERPROFILE%\AppData\Local\Temp\OnboardLogs" /stypes="app*4008*20171023*" /stext=" 18:.+((SYSTEM_STATE.+slice.+state.+changed )|(ment ac)|(multiple cpu faults)|(system.+state.+changed )|(\[timeout)|(PRM\|1\|D)|(kpr)|(kdp)|(train st.+moving)|(\|lc)|(penalty))"</v>
      </c>
      <c r="AG83" s="182" t="str">
        <f>DetSubdiv(A83)</f>
        <v>EC</v>
      </c>
      <c r="AH83" s="78" t="str">
        <f t="shared" si="10"/>
        <v>"%USERPROFILE%\Documents\GitHub\eaglep3\Utilities\RefineRTDCRunTimes.py" --tripid 169-23 --locoid 4008 --swversion DE.1.0.9.0 --startMP 204:451 --initTime 2017-10-23T12:12:47 --startdatetime 2017-10-23T12:16:03 --delay 133 --endMP 204:233316 --enddatetime 2017-10-23T12:53:07 --enforcementcount 0 &gt;&gt;%USERPROFILE%\Documents\GitHub\eaglep3-reporting\EC\2017-10-23-refined-times.txt</v>
      </c>
      <c r="AI83" s="96" t="str">
        <f t="shared" si="11"/>
        <v>echo {"issue":{"subject":"","project_id":79,"tracker_id":40,"status_id":1,"priority_id":2,"assigned_to_id":338,"start_date":"2017-10-23","description":"","custom_fields":[{"id":1,"name":"Subdivision","value":"EC"},{"id":4,"name":"Milepost","value":"23.3316"},{"id":17,"name":"Train ID","value":"169-23"},{"id":16,"name":"Locomotive ID","value":"4008"},{"id":130,"name":"Impact","value":""},{"id":150,"name":"Time of Event (Mountain Time)","value":"12:53:07"},{"id":151,"name":"Denver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0"/>
      <c r="AK83" s="47"/>
      <c r="AL83" s="47"/>
      <c r="AM83" s="142" t="str">
        <f t="shared" si="12"/>
        <v>start /low /b %USERPROFILE%\Documents\GitHub\eaglep3\Utilities\DownloadLogsFromS3.py --loco 4008 --day 2017-10-23</v>
      </c>
      <c r="AN83" s="151" t="str">
        <f t="shared" si="13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18:53:07"},{"id":29,"name":"Sharepoint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168" t="str">
        <f t="shared" si="14"/>
        <v>https://d0f6bd738d7f1b3e5a7ca70fe4ff75f0.us-east-1.aws.found.io/app/kibana#/discover/Steve-Slow-Train-Analysis-(2080s-and-2083s)?_g=(refreshInterval:(display:Off,pause:!f,section:0,value:0),time:(from:'2017-10-23T11:12:47-0600',mode:absolute,to:'2017-10-23T13:53:07-0600'))&amp;_a=(columns:!('Message%20ID',Summary),filters:!(),index:'emp_*',interval:auto,query:(query_string:(analyze_wildcard:!t,query:'%22rtdc.l.rtdc.4008%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3">
      <c r="A84" s="32" t="s">
        <v>792</v>
      </c>
      <c r="B84" s="7">
        <v>4007</v>
      </c>
      <c r="C84" s="21" t="s">
        <v>194</v>
      </c>
      <c r="D84" s="21" t="s">
        <v>597</v>
      </c>
      <c r="E84" s="13">
        <v>43031.540960648148</v>
      </c>
      <c r="F84" s="13">
        <v>43031.55028935185</v>
      </c>
      <c r="G84" s="7">
        <v>82</v>
      </c>
      <c r="H84" s="21" t="s">
        <v>360</v>
      </c>
      <c r="I84" s="13">
        <v>43031.579409722224</v>
      </c>
      <c r="J84" s="7">
        <v>0</v>
      </c>
      <c r="K84" s="89" t="str">
        <f>IF(ISEVEN(B84),(B84-1)&amp;"/"&amp;B84,B84&amp;"/"&amp;(B84+1))</f>
        <v>4007/4008</v>
      </c>
      <c r="L84" s="185" t="str">
        <f>VLOOKUP(A84,'Trips&amp;Operators'!$C$1:$G$99911,5,FALSE)</f>
        <v>SAFIEF AEIMEN</v>
      </c>
      <c r="M84" s="6">
        <f>I84-F84</f>
        <v>2.9120370374585036E-2</v>
      </c>
      <c r="N84" s="7">
        <f>24*60*SUM($M84:$M84)</f>
        <v>41.933333339402452</v>
      </c>
      <c r="O84" s="7"/>
      <c r="P84" s="7"/>
      <c r="Q84" s="22"/>
      <c r="R84" s="174"/>
      <c r="S84" s="221">
        <f>1/IF(AG84="EC",12,1)*SUM(U84:U84)</f>
        <v>1</v>
      </c>
      <c r="T84" s="174" t="str">
        <f>IF(ISEVEN(LEFT(AD84,4)),"Southbound","NorthBound")</f>
        <v>Southbound</v>
      </c>
      <c r="U84" s="198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16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2017-10-23T11:58:59-0600',mode:absolute,to:'2017-10-23T14:54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84" s="204" t="str">
        <f>IF(AA84&lt;VLOOKUP(AG84,Variables!$AC$3:$AD$8,2,FALSE),"Y","N")</f>
        <v>N</v>
      </c>
      <c r="X84" s="204">
        <f>VALUE(LEFT(AD84,4))-VALUE(LEFT(AD83,4))</f>
        <v>1</v>
      </c>
      <c r="Y84" s="204">
        <f>RIGHT(D84,LEN(D84)-4)/10000</f>
        <v>23.297499999999999</v>
      </c>
      <c r="Z84" s="204">
        <f>RIGHT(H84,LEN(H84)-4)/10000</f>
        <v>1.61E-2</v>
      </c>
      <c r="AA84" s="204">
        <f>ABS(Z84-Y84)</f>
        <v>23.281399999999998</v>
      </c>
      <c r="AB84" s="54" t="e">
        <f>VLOOKUP(A84,Enforcements!$C$7:$K$11,8,0)</f>
        <v>#N/A</v>
      </c>
      <c r="AC84" s="51" t="e">
        <f>VLOOKUP(A84,Enforcements!$C$7:$E$11,3,0)</f>
        <v>#N/A</v>
      </c>
      <c r="AD84" s="179">
        <f>VALUE(LEFT(A84,LEN(A84)-3))</f>
        <v>170</v>
      </c>
      <c r="AE84" s="77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s3://rtdc.mdm.uploadarchive.raw/RTDC4007/ "%USERPROFILE%\AppData\Local\Temp\OnboardLogs"\RTDC4007\2017-10-23 --exclude "*" --recursive --include "*20171023*" &amp; "%USERPROFILE%\Documents\GitHub\mrs-test-scripts\Headless Mode &amp; Sideloading\WalkAndUnGZ.bat" "%USERPROFILE%\AppData\Local\Temp\OnboardLogs"\RTDC4007\2017-10-23 &amp; aws s3 cp s3://rtdc.mdm.uploadarchive.raw/RTDC4007/ "%USERPROFILE%\AppData\Local\Temp\OnboardLogs"\RTDC4007\2017-10-24 --exclude "*" --recursive --include "*20171024*" &amp; "%USERPROFILE%\Documents\GitHub\mrs-test-scripts\Headless Mode &amp; Sideloading\WalkAndUnGZ.bat" "%USERPROFILE%\AppData\Local\Temp\OnboardLogs"\RTDC4007\2017-10-24</v>
      </c>
      <c r="AF84" s="74" t="str">
        <f>astrogrep_path&amp;" /e /r /s /spath="&amp;search_path&amp;" /stypes=""app*"&amp;B84&amp;"*"&amp;TEXT(I84-utc_offset/24,"YYYYMMDD")&amp;"*"" /stext="" "&amp;TEXT(I84-utc_offset/24,"HH")&amp;search_regexp&amp;""""</f>
        <v>"C:\Program Files (x86)\AstroGrep\AstroGrep.exe" /e /r /s /spath="%USERPROFILE%\AppData\Local\Temp\OnboardLogs" /stypes="app*4007*20171023*" /stext=" 19:.+((SYSTEM_STATE.+slice.+state.+changed )|(ment ac)|(multiple cpu faults)|(system.+state.+changed )|(\[timeout)|(PRM\|1\|D)|(kpr)|(kdp)|(train st.+moving)|(\|lc)|(penalty))"</v>
      </c>
      <c r="AG84" s="182" t="str">
        <f>DetSubdiv(A84)</f>
        <v>EC</v>
      </c>
      <c r="AH84" s="78" t="str">
        <f t="shared" si="10"/>
        <v>"%USERPROFILE%\Documents\GitHub\eaglep3\Utilities\RefineRTDCRunTimes.py" --tripid 170-23 --locoid 4007 --swversion DE.1.0.9.0 --startMP 204:232975 --initTime 2017-10-23T12:58:59 --startdatetime 2017-10-23T13:12:25 --delay 82 --endMP 204:161 --enddatetime 2017-10-23T13:54:21 --enforcementcount 0 &gt;&gt;%USERPROFILE%\Documents\GitHub\eaglep3-reporting\EC\2017-10-23-refined-times.txt</v>
      </c>
      <c r="AI84" s="96" t="str">
        <f t="shared" si="11"/>
        <v>echo {"issue":{"subject":"","project_id":79,"tracker_id":40,"status_id":1,"priority_id":2,"assigned_to_id":338,"start_date":"2017-10-23","description":"","custom_fields":[{"id":1,"name":"Subdivision","value":"EC"},{"id":4,"name":"Milepost","value":"0.0161"},{"id":17,"name":"Train ID","value":"170-23"},{"id":16,"name":"Locomotive ID","value":"4007"},{"id":130,"name":"Impact","value":""},{"id":150,"name":"Time of Event (Mountain Time)","value":"13:54:21"},{"id":151,"name":"Denver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0"/>
      <c r="AK84" s="47"/>
      <c r="AL84" s="47"/>
      <c r="AM84" s="142" t="str">
        <f t="shared" si="12"/>
        <v>start /low /b %USERPROFILE%\Documents\GitHub\eaglep3\Utilities\DownloadLogsFromS3.py --loco 4007 --day 2017-10-23</v>
      </c>
      <c r="AN84" s="151" t="str">
        <f t="shared" si="13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19:54:21"},{"id":29,"name":"Sharepoint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168" t="str">
        <f t="shared" si="14"/>
        <v>https://d0f6bd738d7f1b3e5a7ca70fe4ff75f0.us-east-1.aws.found.io/app/kibana#/discover/Steve-Slow-Train-Analysis-(2080s-and-2083s)?_g=(refreshInterval:(display:Off,pause:!f,section:0,value:0),time:(from:'2017-10-23T11:58:59-0600',mode:absolute,to:'2017-10-23T14:54:21-0600'))&amp;_a=(columns:!('Message%20ID',Summary),filters:!(),index:'emp_*',interval:auto,query:(query_string:(analyze_wildcard:!t,query:'%22rtdc.l.rtdc.4007%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3">
      <c r="A85" s="32" t="s">
        <v>787</v>
      </c>
      <c r="B85" s="7">
        <v>4046</v>
      </c>
      <c r="C85" s="21" t="s">
        <v>194</v>
      </c>
      <c r="D85" s="21" t="s">
        <v>338</v>
      </c>
      <c r="E85" s="13">
        <v>43031.519166666665</v>
      </c>
      <c r="F85" s="13">
        <v>43031.52103009259</v>
      </c>
      <c r="G85" s="7">
        <v>62</v>
      </c>
      <c r="H85" s="21" t="s">
        <v>628</v>
      </c>
      <c r="I85" s="13">
        <v>43031.550127314818</v>
      </c>
      <c r="J85" s="7">
        <v>0</v>
      </c>
      <c r="K85" s="89" t="str">
        <f>IF(ISEVEN(B85),(B85-1)&amp;"/"&amp;B85,B85&amp;"/"&amp;(B85+1))</f>
        <v>4045/4046</v>
      </c>
      <c r="L85" s="185" t="str">
        <f>VLOOKUP(A85,'Trips&amp;Operators'!$C$1:$G$99911,5,FALSE)</f>
        <v>BADERTSCHER DIANE</v>
      </c>
      <c r="M85" s="6">
        <f>I85-F85</f>
        <v>2.9097222228301689E-2</v>
      </c>
      <c r="N85" s="7">
        <f>24*60*SUM($M85:$M85)</f>
        <v>41.900000008754432</v>
      </c>
      <c r="O85" s="7"/>
      <c r="P85" s="7"/>
      <c r="Q85" s="22"/>
      <c r="R85" s="174"/>
      <c r="S85" s="221">
        <f>1/IF(AG85="EC",12,1)*SUM(U85:U85)</f>
        <v>1</v>
      </c>
      <c r="T85" s="174" t="str">
        <f>IF(ISEVEN(LEFT(AD85,4)),"Southbound","NorthBound")</f>
        <v>NorthBound</v>
      </c>
      <c r="U85" s="198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16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2017-10-23T11:27:36-0600',mode:absolute,to:'2017-10-23T14:12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85" s="204" t="str">
        <f>IF(AA85&lt;VLOOKUP(AG85,Variables!$AC$3:$AD$8,2,FALSE),"Y","N")</f>
        <v>N</v>
      </c>
      <c r="X85" s="204">
        <f>VALUE(LEFT(AD85,4))-VALUE(LEFT(AD84,4))</f>
        <v>1</v>
      </c>
      <c r="Y85" s="204">
        <f>RIGHT(D85,LEN(D85)-4)/10000</f>
        <v>4.53E-2</v>
      </c>
      <c r="Z85" s="204">
        <f>RIGHT(H85,LEN(H85)-4)/10000</f>
        <v>23.33</v>
      </c>
      <c r="AA85" s="204">
        <f>ABS(Z85-Y85)</f>
        <v>23.284699999999997</v>
      </c>
      <c r="AB85" s="54" t="e">
        <f>VLOOKUP(A85,Enforcements!$C$7:$K$11,8,0)</f>
        <v>#N/A</v>
      </c>
      <c r="AC85" s="51" t="e">
        <f>VLOOKUP(A85,Enforcements!$C$7:$E$11,3,0)</f>
        <v>#N/A</v>
      </c>
      <c r="AD85" s="179">
        <f>VALUE(LEFT(A85,LEN(A85)-3))</f>
        <v>171</v>
      </c>
      <c r="AE85" s="77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s3://rtdc.mdm.uploadarchive.raw/RTDC4046/ "%USERPROFILE%\AppData\Local\Temp\OnboardLogs"\RTDC4046\2017-10-23 --exclude "*" --recursive --include "*20171023*" &amp; "%USERPROFILE%\Documents\GitHub\mrs-test-scripts\Headless Mode &amp; Sideloading\WalkAndUnGZ.bat" "%USERPROFILE%\AppData\Local\Temp\OnboardLogs"\RTDC4046\2017-10-23 &amp; aws s3 cp s3://rtdc.mdm.uploadarchive.raw/RTDC4046/ "%USERPROFILE%\AppData\Local\Temp\OnboardLogs"\RTDC4046\2017-10-24 --exclude "*" --recursive --include "*20171024*" &amp; "%USERPROFILE%\Documents\GitHub\mrs-test-scripts\Headless Mode &amp; Sideloading\WalkAndUnGZ.bat" "%USERPROFILE%\AppData\Local\Temp\OnboardLogs"\RTDC4046\2017-10-24</v>
      </c>
      <c r="AF85" s="74" t="str">
        <f>astrogrep_path&amp;" /e /r /s /spath="&amp;search_path&amp;" /stypes=""app*"&amp;B85&amp;"*"&amp;TEXT(I85-utc_offset/24,"YYYYMMDD")&amp;"*"" /stext="" "&amp;TEXT(I85-utc_offset/24,"HH")&amp;search_regexp&amp;""""</f>
        <v>"C:\Program Files (x86)\AstroGrep\AstroGrep.exe" /e /r /s /spath="%USERPROFILE%\AppData\Local\Temp\OnboardLogs" /stypes="app*4046*20171023*" /stext=" 19:.+((SYSTEM_STATE.+slice.+state.+changed )|(ment ac)|(multiple cpu faults)|(system.+state.+changed )|(\[timeout)|(PRM\|1\|D)|(kpr)|(kdp)|(train st.+moving)|(\|lc)|(penalty))"</v>
      </c>
      <c r="AG85" s="182" t="str">
        <f>DetSubdiv(A85)</f>
        <v>EC</v>
      </c>
      <c r="AH85" s="78" t="str">
        <f t="shared" si="10"/>
        <v>"%USERPROFILE%\Documents\GitHub\eaglep3\Utilities\RefineRTDCRunTimes.py" --tripid 171-23 --locoid 4046 --swversion DE.1.0.9.0 --startMP 204:453 --initTime 2017-10-23T12:27:36 --startdatetime 2017-10-23T12:30:17 --delay 62 --endMP 204:233300 --enddatetime 2017-10-23T13:12:11 --enforcementcount 0 &gt;&gt;%USERPROFILE%\Documents\GitHub\eaglep3-reporting\EC\2017-10-23-refined-times.txt</v>
      </c>
      <c r="AI85" s="96" t="str">
        <f t="shared" si="11"/>
        <v>echo {"issue":{"subject":"","project_id":79,"tracker_id":40,"status_id":1,"priority_id":2,"assigned_to_id":338,"start_date":"2017-10-23","description":"","custom_fields":[{"id":1,"name":"Subdivision","value":"EC"},{"id":4,"name":"Milepost","value":"23.33"},{"id":17,"name":"Train ID","value":"171-23"},{"id":16,"name":"Locomotive ID","value":"4046"},{"id":130,"name":"Impact","value":""},{"id":150,"name":"Time of Event (Mountain Time)","value":"13:12:11"},{"id":151,"name":"Denver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0"/>
      <c r="AK85" s="47"/>
      <c r="AL85" s="47"/>
      <c r="AM85" s="142" t="str">
        <f t="shared" si="12"/>
        <v>start /low /b %USERPROFILE%\Documents\GitHub\eaglep3\Utilities\DownloadLogsFromS3.py --loco 4046 --day 2017-10-23</v>
      </c>
      <c r="AN85" s="151" t="str">
        <f t="shared" si="13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19:12:11"},{"id":29,"name":"Sharepoint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168" t="str">
        <f t="shared" si="14"/>
        <v>https://d0f6bd738d7f1b3e5a7ca70fe4ff75f0.us-east-1.aws.found.io/app/kibana#/discover/Steve-Slow-Train-Analysis-(2080s-and-2083s)?_g=(refreshInterval:(display:Off,pause:!f,section:0,value:0),time:(from:'2017-10-23T11:27:36-0600',mode:absolute,to:'2017-10-23T14:12:11-0600'))&amp;_a=(columns:!('Message%20ID',Summary),filters:!(),index:'emp_*',interval:auto,query:(query_string:(analyze_wildcard:!t,query:'%22rtdc.l.rtdc.4046%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3">
      <c r="A86" s="32" t="s">
        <v>659</v>
      </c>
      <c r="B86" s="7">
        <v>4045</v>
      </c>
      <c r="C86" s="21" t="s">
        <v>194</v>
      </c>
      <c r="D86" s="21" t="s">
        <v>937</v>
      </c>
      <c r="E86" s="13">
        <v>43031.552627314813</v>
      </c>
      <c r="F86" s="13">
        <v>43031.560601851852</v>
      </c>
      <c r="G86" s="7">
        <v>59</v>
      </c>
      <c r="H86" s="21" t="s">
        <v>337</v>
      </c>
      <c r="I86" s="13">
        <v>43031.590277777781</v>
      </c>
      <c r="J86" s="7">
        <v>0</v>
      </c>
      <c r="K86" s="89" t="str">
        <f>IF(ISEVEN(B86),(B86-1)&amp;"/"&amp;B86,B86&amp;"/"&amp;(B86+1))</f>
        <v>4045/4046</v>
      </c>
      <c r="L86" s="185" t="str">
        <f>VLOOKUP(A86,'Trips&amp;Operators'!$C$1:$G$99911,5,FALSE)</f>
        <v>BADERTSCHER DIANE</v>
      </c>
      <c r="M86" s="6">
        <f>I86-F86</f>
        <v>2.9675925929041114E-2</v>
      </c>
      <c r="N86" s="7">
        <f>24*60*SUM($M86:$M86)</f>
        <v>42.733333337819204</v>
      </c>
      <c r="O86" s="7"/>
      <c r="P86" s="7"/>
      <c r="Q86" s="22"/>
      <c r="R86" s="174"/>
      <c r="S86" s="221">
        <f>1/IF(AG86="EC",12,1)*SUM(U86:U86)</f>
        <v>1</v>
      </c>
      <c r="T86" s="174" t="str">
        <f>IF(ISEVEN(LEFT(AD86,4)),"Southbound","NorthBound")</f>
        <v>Southbound</v>
      </c>
      <c r="U86" s="198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16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2017-10-23T12:15:47-0600',mode:absolute,to:'2017-10-23T15:10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86" s="204" t="str">
        <f>IF(AA86&lt;VLOOKUP(AG86,Variables!$AC$3:$AD$8,2,FALSE),"Y","N")</f>
        <v>N</v>
      </c>
      <c r="X86" s="204">
        <f>VALUE(LEFT(AD86,4))-VALUE(LEFT(AD85,4))</f>
        <v>1</v>
      </c>
      <c r="Y86" s="204">
        <f>RIGHT(D86,LEN(D86)-4)/10000</f>
        <v>23.300799999999999</v>
      </c>
      <c r="Z86" s="204">
        <f>RIGHT(H86,LEN(H86)-4)/10000</f>
        <v>1.43E-2</v>
      </c>
      <c r="AA86" s="204">
        <f>ABS(Z86-Y86)</f>
        <v>23.2865</v>
      </c>
      <c r="AB86" s="54" t="str">
        <f>VLOOKUP(A86,Enforcements!$C$7:$K$11,8,0)</f>
        <v>Speed (6)</v>
      </c>
      <c r="AC86" s="51" t="str">
        <f>VLOOKUP(A86,Enforcements!$C$7:$E$11,3,0)</f>
        <v>PERMANENT SPEED RESTRICTION</v>
      </c>
      <c r="AD86" s="179">
        <f>VALUE(LEFT(A86,LEN(A86)-3))</f>
        <v>172</v>
      </c>
      <c r="AE86" s="77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s3://rtdc.mdm.uploadarchive.raw/RTDC4045/ "%USERPROFILE%\AppData\Local\Temp\OnboardLogs"\RTDC4045\2017-10-23 --exclude "*" --recursive --include "*20171023*" &amp; "%USERPROFILE%\Documents\GitHub\mrs-test-scripts\Headless Mode &amp; Sideloading\WalkAndUnGZ.bat" "%USERPROFILE%\AppData\Local\Temp\OnboardLogs"\RTDC4045\2017-10-23 &amp; aws s3 cp s3://rtdc.mdm.uploadarchive.raw/RTDC4045/ "%USERPROFILE%\AppData\Local\Temp\OnboardLogs"\RTDC4045\2017-10-24 --exclude "*" --recursive --include "*20171024*" &amp; "%USERPROFILE%\Documents\GitHub\mrs-test-scripts\Headless Mode &amp; Sideloading\WalkAndUnGZ.bat" "%USERPROFILE%\AppData\Local\Temp\OnboardLogs"\RTDC4045\2017-10-24</v>
      </c>
      <c r="AF86" s="74" t="str">
        <f>astrogrep_path&amp;" /e /r /s /spath="&amp;search_path&amp;" /stypes=""app*"&amp;B86&amp;"*"&amp;TEXT(I86-utc_offset/24,"YYYYMMDD")&amp;"*"" /stext="" "&amp;TEXT(I86-utc_offset/24,"HH")&amp;search_regexp&amp;""""</f>
        <v>"C:\Program Files (x86)\AstroGrep\AstroGrep.exe" /e /r /s /spath="%USERPROFILE%\AppData\Local\Temp\OnboardLogs" /stypes="app*4045*20171023*" /stext=" 20:.+((SYSTEM_STATE.+slice.+state.+changed )|(ment ac)|(multiple cpu faults)|(system.+state.+changed )|(\[timeout)|(PRM\|1\|D)|(kpr)|(kdp)|(train st.+moving)|(\|lc)|(penalty))"</v>
      </c>
      <c r="AG86" s="182" t="str">
        <f>DetSubdiv(A86)</f>
        <v>EC</v>
      </c>
      <c r="AH86" s="78" t="str">
        <f t="shared" si="10"/>
        <v>"%USERPROFILE%\Documents\GitHub\eaglep3\Utilities\RefineRTDCRunTimes.py" --tripid 172-23 --locoid 4045 --swversion DE.1.0.9.0 --startMP 204:233008 --initTime 2017-10-23T13:15:47 --startdatetime 2017-10-23T13:27:16 --delay 59 --endMP 204:143 --enddatetime 2017-10-23T14:10:00 --enforcementcount 0 &gt;&gt;%USERPROFILE%\Documents\GitHub\eaglep3-reporting\EC\2017-10-23-refined-times.txt</v>
      </c>
      <c r="AI86" s="96" t="str">
        <f t="shared" si="11"/>
        <v>echo {"issue":{"subject":"","project_id":79,"tracker_id":40,"status_id":1,"priority_id":2,"assigned_to_id":338,"start_date":"2017-10-23","description":"","custom_fields":[{"id":1,"name":"Subdivision","value":"EC"},{"id":4,"name":"Milepost","value":"0.0143"},{"id":17,"name":"Train ID","value":"172-23"},{"id":16,"name":"Locomotive ID","value":"4045"},{"id":130,"name":"Impact","value":""},{"id":150,"name":"Time of Event (Mountain Time)","value":"14:10:00"},{"id":151,"name":"Denver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0"/>
      <c r="AK86" s="47"/>
      <c r="AL86" s="47"/>
      <c r="AM86" s="142" t="str">
        <f t="shared" si="12"/>
        <v>start /low /b %USERPROFILE%\Documents\GitHub\eaglep3\Utilities\DownloadLogsFromS3.py --loco 4045 --day 2017-10-23</v>
      </c>
      <c r="AN86" s="151" t="str">
        <f t="shared" si="13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20:10:00"},{"id":29,"name":"Sharepoint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168" t="str">
        <f t="shared" si="14"/>
        <v>https://d0f6bd738d7f1b3e5a7ca70fe4ff75f0.us-east-1.aws.found.io/app/kibana#/discover/Steve-Slow-Train-Analysis-(2080s-and-2083s)?_g=(refreshInterval:(display:Off,pause:!f,section:0,value:0),time:(from:'2017-10-23T12:15:47-0600',mode:absolute,to:'2017-10-23T15:10:00-0600'))&amp;_a=(columns:!('Message%20ID',Summary),filters:!(),index:'emp_*',interval:auto,query:(query_string:(analyze_wildcard:!t,query:'%22rtdc.l.rtdc.4045%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3">
      <c r="A87" s="32" t="s">
        <v>789</v>
      </c>
      <c r="B87" s="7">
        <v>4004</v>
      </c>
      <c r="C87" s="21" t="s">
        <v>194</v>
      </c>
      <c r="D87" s="21" t="s">
        <v>353</v>
      </c>
      <c r="E87" s="13">
        <v>43031.526736111111</v>
      </c>
      <c r="F87" s="13">
        <v>43031.531539351854</v>
      </c>
      <c r="G87" s="7">
        <v>67</v>
      </c>
      <c r="H87" s="21" t="s">
        <v>936</v>
      </c>
      <c r="I87" s="13">
        <v>43031.557557870372</v>
      </c>
      <c r="J87" s="7">
        <v>0</v>
      </c>
      <c r="K87" s="89" t="str">
        <f>IF(ISEVEN(B87),(B87-1)&amp;"/"&amp;B87,B87&amp;"/"&amp;(B87+1))</f>
        <v>4003/4004</v>
      </c>
      <c r="L87" s="185" t="str">
        <f>VLOOKUP(A87,'Trips&amp;Operators'!$C$1:$G$99911,5,FALSE)</f>
        <v>SMITH MICHAEL</v>
      </c>
      <c r="M87" s="6">
        <f>I87-F87</f>
        <v>2.6018518517958E-2</v>
      </c>
      <c r="N87" s="7">
        <f>24*60*SUM($M87:$M87)</f>
        <v>37.46666666585952</v>
      </c>
      <c r="O87" s="7"/>
      <c r="P87" s="7"/>
      <c r="Q87" s="22"/>
      <c r="R87" s="174"/>
      <c r="S87" s="221">
        <f>1/IF(AG87="EC",12,1)*SUM(U87:U87)</f>
        <v>1</v>
      </c>
      <c r="T87" s="174" t="str">
        <f>IF(ISEVEN(LEFT(AD87,4)),"Southbound","NorthBound")</f>
        <v>NorthBound</v>
      </c>
      <c r="U87" s="198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16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2017-10-23T11:38:30-0600',mode:absolute,to:'2017-10-23T14:22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87" s="204" t="str">
        <f>IF(AA87&lt;VLOOKUP(AG87,Variables!$AC$3:$AD$8,2,FALSE),"Y","N")</f>
        <v>N</v>
      </c>
      <c r="X87" s="204">
        <f>VALUE(LEFT(AD87,4))-VALUE(LEFT(AD86,4))</f>
        <v>1</v>
      </c>
      <c r="Y87" s="204">
        <f>RIGHT(D87,LEN(D87)-4)/10000</f>
        <v>4.58E-2</v>
      </c>
      <c r="Z87" s="204">
        <f>RIGHT(H87,LEN(H87)-4)/10000</f>
        <v>23.331600000000002</v>
      </c>
      <c r="AA87" s="204">
        <f>ABS(Z87-Y87)</f>
        <v>23.285800000000002</v>
      </c>
      <c r="AB87" s="54" t="e">
        <f>VLOOKUP(A87,Enforcements!$C$7:$K$11,8,0)</f>
        <v>#N/A</v>
      </c>
      <c r="AC87" s="51" t="e">
        <f>VLOOKUP(A87,Enforcements!$C$7:$E$11,3,0)</f>
        <v>#N/A</v>
      </c>
      <c r="AD87" s="179">
        <f>VALUE(LEFT(A87,LEN(A87)-3))</f>
        <v>173</v>
      </c>
      <c r="AE87" s="77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s3://rtdc.mdm.uploadarchive.raw/RTDC4004/ "%USERPROFILE%\AppData\Local\Temp\OnboardLogs"\RTDC4004\2017-10-23 --exclude "*" --recursive --include "*20171023*" &amp; "%USERPROFILE%\Documents\GitHub\mrs-test-scripts\Headless Mode &amp; Sideloading\WalkAndUnGZ.bat" "%USERPROFILE%\AppData\Local\Temp\OnboardLogs"\RTDC4004\2017-10-23 &amp; aws s3 cp s3://rtdc.mdm.uploadarchive.raw/RTDC4004/ "%USERPROFILE%\AppData\Local\Temp\OnboardLogs"\RTDC4004\2017-10-24 --exclude "*" --recursive --include "*20171024*" &amp; "%USERPROFILE%\Documents\GitHub\mrs-test-scripts\Headless Mode &amp; Sideloading\WalkAndUnGZ.bat" "%USERPROFILE%\AppData\Local\Temp\OnboardLogs"\RTDC4004\2017-10-24</v>
      </c>
      <c r="AF87" s="74" t="str">
        <f>astrogrep_path&amp;" /e /r /s /spath="&amp;search_path&amp;" /stypes=""app*"&amp;B87&amp;"*"&amp;TEXT(I87-utc_offset/24,"YYYYMMDD")&amp;"*"" /stext="" "&amp;TEXT(I87-utc_offset/24,"HH")&amp;search_regexp&amp;""""</f>
        <v>"C:\Program Files (x86)\AstroGrep\AstroGrep.exe" /e /r /s /spath="%USERPROFILE%\AppData\Local\Temp\OnboardLogs" /stypes="app*4004*20171023*" /stext=" 19:.+((SYSTEM_STATE.+slice.+state.+changed )|(ment ac)|(multiple cpu faults)|(system.+state.+changed )|(\[timeout)|(PRM\|1\|D)|(kpr)|(kdp)|(train st.+moving)|(\|lc)|(penalty))"</v>
      </c>
      <c r="AG87" s="182" t="str">
        <f>DetSubdiv(A87)</f>
        <v>EC</v>
      </c>
      <c r="AH87" s="78" t="str">
        <f t="shared" si="10"/>
        <v>"%USERPROFILE%\Documents\GitHub\eaglep3\Utilities\RefineRTDCRunTimes.py" --tripid 173-23 --locoid 4004 --swversion DE.1.0.9.0 --startMP 204:458 --initTime 2017-10-23T12:38:30 --startdatetime 2017-10-23T12:45:25 --delay 67 --endMP 204:233316 --enddatetime 2017-10-23T13:22:53 --enforcementcount 0 &gt;&gt;%USERPROFILE%\Documents\GitHub\eaglep3-reporting\EC\2017-10-23-refined-times.txt</v>
      </c>
      <c r="AI87" s="96" t="str">
        <f t="shared" si="11"/>
        <v>echo {"issue":{"subject":"","project_id":79,"tracker_id":40,"status_id":1,"priority_id":2,"assigned_to_id":338,"start_date":"2017-10-23","description":"","custom_fields":[{"id":1,"name":"Subdivision","value":"EC"},{"id":4,"name":"Milepost","value":"23.3316"},{"id":17,"name":"Train ID","value":"173-23"},{"id":16,"name":"Locomotive ID","value":"4004"},{"id":130,"name":"Impact","value":""},{"id":150,"name":"Time of Event (Mountain Time)","value":"13:22:53"},{"id":151,"name":"Denver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0"/>
      <c r="AK87" s="47"/>
      <c r="AL87" s="47"/>
      <c r="AM87" s="142" t="str">
        <f t="shared" si="12"/>
        <v>start /low /b %USERPROFILE%\Documents\GitHub\eaglep3\Utilities\DownloadLogsFromS3.py --loco 4004 --day 2017-10-23</v>
      </c>
      <c r="AN87" s="151" t="str">
        <f t="shared" si="13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19:22:53"},{"id":29,"name":"Sharepoint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168" t="str">
        <f t="shared" si="14"/>
        <v>https://d0f6bd738d7f1b3e5a7ca70fe4ff75f0.us-east-1.aws.found.io/app/kibana#/discover/Steve-Slow-Train-Analysis-(2080s-and-2083s)?_g=(refreshInterval:(display:Off,pause:!f,section:0,value:0),time:(from:'2017-10-23T11:38:30-0600',mode:absolute,to:'2017-10-23T14:22:53-0600'))&amp;_a=(columns:!('Message%20ID',Summary),filters:!(),index:'emp_*',interval:auto,query:(query_string:(analyze_wildcard:!t,query:'%22rtdc.l.rtdc.4004%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3">
      <c r="A88" s="32" t="s">
        <v>796</v>
      </c>
      <c r="B88" s="7">
        <v>4003</v>
      </c>
      <c r="C88" s="21" t="s">
        <v>194</v>
      </c>
      <c r="D88" s="21" t="s">
        <v>932</v>
      </c>
      <c r="E88" s="13">
        <v>43031.563217592593</v>
      </c>
      <c r="F88" s="13">
        <v>43031.571250000001</v>
      </c>
      <c r="G88" s="7">
        <v>86</v>
      </c>
      <c r="H88" s="21" t="s">
        <v>336</v>
      </c>
      <c r="I88" s="13">
        <v>43031.598009259258</v>
      </c>
      <c r="J88" s="7">
        <v>0</v>
      </c>
      <c r="K88" s="89" t="str">
        <f>IF(ISEVEN(B88),(B88-1)&amp;"/"&amp;B88,B88&amp;"/"&amp;(B88+1))</f>
        <v>4003/4004</v>
      </c>
      <c r="L88" s="185" t="str">
        <f>VLOOKUP(A88,'Trips&amp;Operators'!$C$1:$G$99911,5,FALSE)</f>
        <v>SMITH MICHAEL</v>
      </c>
      <c r="M88" s="6">
        <f>I88-F88</f>
        <v>2.675925925723277E-2</v>
      </c>
      <c r="N88" s="7">
        <f>24*60*SUM($M88:$M88)</f>
        <v>38.533333330415189</v>
      </c>
      <c r="O88" s="7"/>
      <c r="P88" s="7"/>
      <c r="Q88" s="22"/>
      <c r="R88" s="174"/>
      <c r="S88" s="221">
        <f>1/IF(AG88="EC",12,1)*SUM(U88:U88)</f>
        <v>1</v>
      </c>
      <c r="T88" s="174" t="str">
        <f>IF(ISEVEN(LEFT(AD88,4)),"Southbound","NorthBound")</f>
        <v>Southbound</v>
      </c>
      <c r="U88" s="198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16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2017-10-23T12:31:02-0600',mode:absolute,to:'2017-10-23T15:21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88" s="204" t="str">
        <f>IF(AA88&lt;VLOOKUP(AG88,Variables!$AC$3:$AD$8,2,FALSE),"Y","N")</f>
        <v>N</v>
      </c>
      <c r="X88" s="204">
        <f>VALUE(LEFT(AD88,4))-VALUE(LEFT(AD87,4))</f>
        <v>1</v>
      </c>
      <c r="Y88" s="204">
        <f>RIGHT(D88,LEN(D88)-4)/10000</f>
        <v>23.297699999999999</v>
      </c>
      <c r="Z88" s="204">
        <f>RIGHT(H88,LEN(H88)-4)/10000</f>
        <v>1.49E-2</v>
      </c>
      <c r="AA88" s="204">
        <f>ABS(Z88-Y88)</f>
        <v>23.282799999999998</v>
      </c>
      <c r="AB88" s="54" t="e">
        <f>VLOOKUP(A88,Enforcements!$C$7:$K$11,8,0)</f>
        <v>#N/A</v>
      </c>
      <c r="AC88" s="51" t="e">
        <f>VLOOKUP(A88,Enforcements!$C$7:$E$11,3,0)</f>
        <v>#N/A</v>
      </c>
      <c r="AD88" s="179">
        <f>VALUE(LEFT(A88,LEN(A88)-3))</f>
        <v>174</v>
      </c>
      <c r="AE88" s="77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s3://rtdc.mdm.uploadarchive.raw/RTDC4003/ "%USERPROFILE%\AppData\Local\Temp\OnboardLogs"\RTDC4003\2017-10-23 --exclude "*" --recursive --include "*20171023*" &amp; "%USERPROFILE%\Documents\GitHub\mrs-test-scripts\Headless Mode &amp; Sideloading\WalkAndUnGZ.bat" "%USERPROFILE%\AppData\Local\Temp\OnboardLogs"\RTDC4003\2017-10-23 &amp; aws s3 cp s3://rtdc.mdm.uploadarchive.raw/RTDC4003/ "%USERPROFILE%\AppData\Local\Temp\OnboardLogs"\RTDC4003\2017-10-24 --exclude "*" --recursive --include "*20171024*" &amp; "%USERPROFILE%\Documents\GitHub\mrs-test-scripts\Headless Mode &amp; Sideloading\WalkAndUnGZ.bat" "%USERPROFILE%\AppData\Local\Temp\OnboardLogs"\RTDC4003\2017-10-24</v>
      </c>
      <c r="AF88" s="74" t="str">
        <f>astrogrep_path&amp;" /e /r /s /spath="&amp;search_path&amp;" /stypes=""app*"&amp;B88&amp;"*"&amp;TEXT(I88-utc_offset/24,"YYYYMMDD")&amp;"*"" /stext="" "&amp;TEXT(I88-utc_offset/24,"HH")&amp;search_regexp&amp;""""</f>
        <v>"C:\Program Files (x86)\AstroGrep\AstroGrep.exe" /e /r /s /spath="%USERPROFILE%\AppData\Local\Temp\OnboardLogs" /stypes="app*4003*20171023*" /stext=" 20:.+((SYSTEM_STATE.+slice.+state.+changed )|(ment ac)|(multiple cpu faults)|(system.+state.+changed )|(\[timeout)|(PRM\|1\|D)|(kpr)|(kdp)|(train st.+moving)|(\|lc)|(penalty))"</v>
      </c>
      <c r="AG88" s="182" t="str">
        <f>DetSubdiv(A88)</f>
        <v>EC</v>
      </c>
      <c r="AH88" s="78" t="str">
        <f t="shared" si="10"/>
        <v>"%USERPROFILE%\Documents\GitHub\eaglep3\Utilities\RefineRTDCRunTimes.py" --tripid 174-23 --locoid 4003 --swversion DE.1.0.9.0 --startMP 204:232977 --initTime 2017-10-23T13:31:02 --startdatetime 2017-10-23T13:42:36 --delay 86 --endMP 204:149 --enddatetime 2017-10-23T14:21:08 --enforcementcount 0 &gt;&gt;%USERPROFILE%\Documents\GitHub\eaglep3-reporting\EC\2017-10-23-refined-times.txt</v>
      </c>
      <c r="AI88" s="96" t="str">
        <f t="shared" si="11"/>
        <v>echo {"issue":{"subject":"","project_id":79,"tracker_id":40,"status_id":1,"priority_id":2,"assigned_to_id":338,"start_date":"2017-10-23","description":"","custom_fields":[{"id":1,"name":"Subdivision","value":"EC"},{"id":4,"name":"Milepost","value":"0.0149"},{"id":17,"name":"Train ID","value":"174-23"},{"id":16,"name":"Locomotive ID","value":"4003"},{"id":130,"name":"Impact","value":""},{"id":150,"name":"Time of Event (Mountain Time)","value":"14:21:08"},{"id":151,"name":"Denver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0"/>
      <c r="AK88" s="47"/>
      <c r="AL88" s="47"/>
      <c r="AM88" s="142" t="str">
        <f t="shared" si="12"/>
        <v>start /low /b %USERPROFILE%\Documents\GitHub\eaglep3\Utilities\DownloadLogsFromS3.py --loco 4003 --day 2017-10-23</v>
      </c>
      <c r="AN88" s="151" t="str">
        <f t="shared" si="13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20:21:08"},{"id":29,"name":"Sharepoint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168" t="str">
        <f t="shared" si="14"/>
        <v>https://d0f6bd738d7f1b3e5a7ca70fe4ff75f0.us-east-1.aws.found.io/app/kibana#/discover/Steve-Slow-Train-Analysis-(2080s-and-2083s)?_g=(refreshInterval:(display:Off,pause:!f,section:0,value:0),time:(from:'2017-10-23T12:31:02-0600',mode:absolute,to:'2017-10-23T15:21:08-0600'))&amp;_a=(columns:!('Message%20ID',Summary),filters:!(),index:'emp_*',interval:auto,query:(query_string:(analyze_wildcard:!t,query:'%22rtdc.l.rtdc.4003%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3">
      <c r="A89" s="32" t="s">
        <v>791</v>
      </c>
      <c r="B89" s="7">
        <v>4050</v>
      </c>
      <c r="C89" s="21" t="s">
        <v>194</v>
      </c>
      <c r="D89" s="21" t="s">
        <v>367</v>
      </c>
      <c r="E89" s="13">
        <v>43031.540625000001</v>
      </c>
      <c r="F89" s="13">
        <v>43031.542488425926</v>
      </c>
      <c r="G89" s="7">
        <v>76</v>
      </c>
      <c r="H89" s="21" t="s">
        <v>393</v>
      </c>
      <c r="I89" s="13">
        <v>43031.576909722222</v>
      </c>
      <c r="J89" s="7">
        <v>0</v>
      </c>
      <c r="K89" s="89" t="str">
        <f>IF(ISEVEN(B89),(B89-1)&amp;"/"&amp;B89,B89&amp;"/"&amp;(B89+1))</f>
        <v>4049/4050</v>
      </c>
      <c r="L89" s="185" t="str">
        <f>VLOOKUP(A89,'Trips&amp;Operators'!$C$1:$G$99911,5,FALSE)</f>
        <v>DAVIS MICHAEL</v>
      </c>
      <c r="M89" s="6">
        <f>I89-F89</f>
        <v>3.4421296295477077E-2</v>
      </c>
      <c r="N89" s="7">
        <f>24*60*SUM($M89:$M89)</f>
        <v>49.566666665486991</v>
      </c>
      <c r="O89" s="7"/>
      <c r="P89" s="7"/>
      <c r="Q89" s="22"/>
      <c r="R89" s="174" t="s">
        <v>1085</v>
      </c>
      <c r="S89" s="221">
        <f>1/IF(AG89="EC",12,1)*SUM(U89:U89)</f>
        <v>1</v>
      </c>
      <c r="T89" s="174" t="str">
        <f>IF(ISEVEN(LEFT(AD89,4)),"Southbound","NorthBound")</f>
        <v>NorthBound</v>
      </c>
      <c r="U89" s="198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16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2017-10-23T11:58:30-0600',mode:absolute,to:'2017-10-23T14:50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89" s="204" t="str">
        <f>IF(AA89&lt;VLOOKUP(AG89,Variables!$AC$3:$AD$8,2,FALSE),"Y","N")</f>
        <v>N</v>
      </c>
      <c r="X89" s="204">
        <f>VALUE(LEFT(AD89,4))-VALUE(LEFT(AD88,4))</f>
        <v>1</v>
      </c>
      <c r="Y89" s="204">
        <f>RIGHT(D89,LEN(D89)-4)/10000</f>
        <v>4.5100000000000001E-2</v>
      </c>
      <c r="Z89" s="204">
        <f>RIGHT(H89,LEN(H89)-4)/10000</f>
        <v>23.331399999999999</v>
      </c>
      <c r="AA89" s="204">
        <f>ABS(Z89-Y89)</f>
        <v>23.286299999999997</v>
      </c>
      <c r="AB89" s="54" t="e">
        <f>VLOOKUP(A89,Enforcements!$C$7:$K$11,8,0)</f>
        <v>#N/A</v>
      </c>
      <c r="AC89" s="51" t="e">
        <f>VLOOKUP(A89,Enforcements!$C$7:$E$11,3,0)</f>
        <v>#N/A</v>
      </c>
      <c r="AD89" s="179">
        <f>VALUE(LEFT(A89,LEN(A89)-3))</f>
        <v>175</v>
      </c>
      <c r="AE89" s="77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s3://rtdc.mdm.uploadarchive.raw/RTDC4050/ "%USERPROFILE%\AppData\Local\Temp\OnboardLogs"\RTDC4050\2017-10-23 --exclude "*" --recursive --include "*20171023*" &amp; "%USERPROFILE%\Documents\GitHub\mrs-test-scripts\Headless Mode &amp; Sideloading\WalkAndUnGZ.bat" "%USERPROFILE%\AppData\Local\Temp\OnboardLogs"\RTDC4050\2017-10-23 &amp; aws s3 cp s3://rtdc.mdm.uploadarchive.raw/RTDC4050/ "%USERPROFILE%\AppData\Local\Temp\OnboardLogs"\RTDC4050\2017-10-24 --exclude "*" --recursive --include "*20171024*" &amp; "%USERPROFILE%\Documents\GitHub\mrs-test-scripts\Headless Mode &amp; Sideloading\WalkAndUnGZ.bat" "%USERPROFILE%\AppData\Local\Temp\OnboardLogs"\RTDC4050\2017-10-24</v>
      </c>
      <c r="AF89" s="74" t="str">
        <f>astrogrep_path&amp;" /e /r /s /spath="&amp;search_path&amp;" /stypes=""app*"&amp;B89&amp;"*"&amp;TEXT(I89-utc_offset/24,"YYYYMMDD")&amp;"*"" /stext="" "&amp;TEXT(I89-utc_offset/24,"HH")&amp;search_regexp&amp;""""</f>
        <v>"C:\Program Files (x86)\AstroGrep\AstroGrep.exe" /e /r /s /spath="%USERPROFILE%\AppData\Local\Temp\OnboardLogs" /stypes="app*4050*20171023*" /stext=" 19:.+((SYSTEM_STATE.+slice.+state.+changed )|(ment ac)|(multiple cpu faults)|(system.+state.+changed )|(\[timeout)|(PRM\|1\|D)|(kpr)|(kdp)|(train st.+moving)|(\|lc)|(penalty))"</v>
      </c>
      <c r="AG89" s="182" t="str">
        <f>DetSubdiv(A89)</f>
        <v>EC</v>
      </c>
      <c r="AH89" s="78" t="str">
        <f t="shared" si="10"/>
        <v>"%USERPROFILE%\Documents\GitHub\eaglep3\Utilities\RefineRTDCRunTimes.py" --tripid 175-23 --locoid 4050 --swversion DE.1.0.9.0 --startMP 204:451 --initTime 2017-10-23T12:58:30 --startdatetime 2017-10-23T13:01:11 --delay 76 --endMP 204:233314 --enddatetime 2017-10-23T13:50:45 --enforcementcount 0 &gt;&gt;%USERPROFILE%\Documents\GitHub\eaglep3-reporting\EC\2017-10-23-refined-times.txt</v>
      </c>
      <c r="AI89" s="96" t="str">
        <f t="shared" si="11"/>
        <v>echo {"issue":{"subject":"Operator reports PTC required depature test","project_id":79,"tracker_id":40,"status_id":1,"priority_id":2,"assigned_to_id":338,"start_date":"2017-10-23","description":"","custom_fields":[{"id":1,"name":"Subdivision","value":"EC"},{"id":4,"name":"Milepost","value":"23.3314"},{"id":17,"name":"Train ID","value":"175-23"},{"id":16,"name":"Locomotive ID","value":"4050"},{"id":130,"name":"Impact","value":""},{"id":150,"name":"Time of Event (Mountain Time)","value":"13:50:45"},{"id":151,"name":"Denver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0"/>
      <c r="AK89" s="47"/>
      <c r="AL89" s="47"/>
      <c r="AM89" s="142" t="str">
        <f t="shared" si="12"/>
        <v>start /low /b %USERPROFILE%\Documents\GitHub\eaglep3\Utilities\DownloadLogsFromS3.py --loco 4050 --day 2017-10-23</v>
      </c>
      <c r="AN89" s="151" t="str">
        <f t="shared" si="13"/>
        <v>echo {"issue":{"subject":"Operator reports PTC required depature test","project_id":30,"tracker_id":4,"status_id":1,"priority_id":1,"assigned_to_id":10,"start_date":"2017-10-23","description":"","custom_fields":[{"id":30,"name":"Category","value":"Issue"},{"id":3,"name":"Functional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19:50:45"},{"id":29,"name":"Sharepoint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168" t="str">
        <f t="shared" si="14"/>
        <v>https://d0f6bd738d7f1b3e5a7ca70fe4ff75f0.us-east-1.aws.found.io/app/kibana#/discover/Steve-Slow-Train-Analysis-(2080s-and-2083s)?_g=(refreshInterval:(display:Off,pause:!f,section:0,value:0),time:(from:'2017-10-23T11:58:30-0600',mode:absolute,to:'2017-10-23T14:50:45-0600'))&amp;_a=(columns:!('Message%20ID',Summary),filters:!(),index:'emp_*',interval:auto,query:(query_string:(analyze_wildcard:!t,query:'%22rtdc.l.rtdc.4050%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3">
      <c r="A90" s="32" t="s">
        <v>799</v>
      </c>
      <c r="B90" s="7">
        <v>4049</v>
      </c>
      <c r="C90" s="21" t="s">
        <v>194</v>
      </c>
      <c r="D90" s="21" t="s">
        <v>938</v>
      </c>
      <c r="E90" s="13">
        <v>43031.580659722225</v>
      </c>
      <c r="F90" s="13">
        <v>43031.58221064815</v>
      </c>
      <c r="G90" s="7">
        <v>58</v>
      </c>
      <c r="H90" s="21" t="s">
        <v>354</v>
      </c>
      <c r="I90" s="13">
        <v>43031.609652777777</v>
      </c>
      <c r="J90" s="7">
        <v>0</v>
      </c>
      <c r="K90" s="89" t="str">
        <f>IF(ISEVEN(B90),(B90-1)&amp;"/"&amp;B90,B90&amp;"/"&amp;(B90+1))</f>
        <v>4049/4050</v>
      </c>
      <c r="L90" s="185" t="str">
        <f>VLOOKUP(A90,'Trips&amp;Operators'!$C$1:$G$99911,5,FALSE)</f>
        <v>DAVIS MICHAEL</v>
      </c>
      <c r="M90" s="6">
        <f>I90-F90</f>
        <v>2.7442129627161194E-2</v>
      </c>
      <c r="N90" s="7">
        <f>24*60*SUM($M90:$M90)</f>
        <v>39.516666663112119</v>
      </c>
      <c r="O90" s="7"/>
      <c r="P90" s="7"/>
      <c r="Q90" s="22"/>
      <c r="R90" s="174"/>
      <c r="S90" s="221">
        <f>1/IF(AG90="EC",12,1)*SUM(U90:U90)</f>
        <v>1</v>
      </c>
      <c r="T90" s="174" t="str">
        <f>IF(ISEVEN(LEFT(AD90,4)),"Southbound","NorthBound")</f>
        <v>Southbound</v>
      </c>
      <c r="U90" s="198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16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2017-10-23T12:56:09-0600',mode:absolute,to:'2017-10-23T15:37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90" s="204" t="str">
        <f>IF(AA90&lt;VLOOKUP(AG90,Variables!$AC$3:$AD$8,2,FALSE),"Y","N")</f>
        <v>N</v>
      </c>
      <c r="X90" s="204">
        <f>VALUE(LEFT(AD90,4))-VALUE(LEFT(AD89,4))</f>
        <v>1</v>
      </c>
      <c r="Y90" s="204">
        <f>RIGHT(D90,LEN(D90)-4)/10000</f>
        <v>23.302099999999999</v>
      </c>
      <c r="Z90" s="204">
        <f>RIGHT(H90,LEN(H90)-4)/10000</f>
        <v>1.52E-2</v>
      </c>
      <c r="AA90" s="204">
        <f>ABS(Z90-Y90)</f>
        <v>23.286899999999999</v>
      </c>
      <c r="AB90" s="54" t="e">
        <f>VLOOKUP(A90,Enforcements!$C$7:$K$11,8,0)</f>
        <v>#N/A</v>
      </c>
      <c r="AC90" s="51" t="e">
        <f>VLOOKUP(A90,Enforcements!$C$7:$E$11,3,0)</f>
        <v>#N/A</v>
      </c>
      <c r="AD90" s="179">
        <f>VALUE(LEFT(A90,LEN(A90)-3))</f>
        <v>176</v>
      </c>
      <c r="AE90" s="77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s3://rtdc.mdm.uploadarchive.raw/RTDC4049/ "%USERPROFILE%\AppData\Local\Temp\OnboardLogs"\RTDC4049\2017-10-23 --exclude "*" --recursive --include "*20171023*" &amp; "%USERPROFILE%\Documents\GitHub\mrs-test-scripts\Headless Mode &amp; Sideloading\WalkAndUnGZ.bat" "%USERPROFILE%\AppData\Local\Temp\OnboardLogs"\RTDC4049\2017-10-23 &amp; aws s3 cp s3://rtdc.mdm.uploadarchive.raw/RTDC4049/ "%USERPROFILE%\AppData\Local\Temp\OnboardLogs"\RTDC4049\2017-10-24 --exclude "*" --recursive --include "*20171024*" &amp; "%USERPROFILE%\Documents\GitHub\mrs-test-scripts\Headless Mode &amp; Sideloading\WalkAndUnGZ.bat" "%USERPROFILE%\AppData\Local\Temp\OnboardLogs"\RTDC4049\2017-10-24</v>
      </c>
      <c r="AF90" s="74" t="str">
        <f>astrogrep_path&amp;" /e /r /s /spath="&amp;search_path&amp;" /stypes=""app*"&amp;B90&amp;"*"&amp;TEXT(I90-utc_offset/24,"YYYYMMDD")&amp;"*"" /stext="" "&amp;TEXT(I90-utc_offset/24,"HH")&amp;search_regexp&amp;""""</f>
        <v>"C:\Program Files (x86)\AstroGrep\AstroGrep.exe" /e /r /s /spath="%USERPROFILE%\AppData\Local\Temp\OnboardLogs" /stypes="app*4049*20171023*" /stext=" 20:.+((SYSTEM_STATE.+slice.+state.+changed )|(ment ac)|(multiple cpu faults)|(system.+state.+changed )|(\[timeout)|(PRM\|1\|D)|(kpr)|(kdp)|(train st.+moving)|(\|lc)|(penalty))"</v>
      </c>
      <c r="AG90" s="182" t="str">
        <f>DetSubdiv(A90)</f>
        <v>EC</v>
      </c>
      <c r="AH90" s="78" t="str">
        <f t="shared" si="10"/>
        <v>"%USERPROFILE%\Documents\GitHub\eaglep3\Utilities\RefineRTDCRunTimes.py" --tripid 176-23 --locoid 4049 --swversion DE.1.0.9.0 --startMP 204:233021 --initTime 2017-10-23T13:56:09 --startdatetime 2017-10-23T13:58:23 --delay 58 --endMP 204:152 --enddatetime 2017-10-23T14:37:54 --enforcementcount 0 &gt;&gt;%USERPROFILE%\Documents\GitHub\eaglep3-reporting\EC\2017-10-23-refined-times.txt</v>
      </c>
      <c r="AI90" s="96" t="str">
        <f t="shared" si="11"/>
        <v>echo {"issue":{"subject":"","project_id":79,"tracker_id":40,"status_id":1,"priority_id":2,"assigned_to_id":338,"start_date":"2017-10-23","description":"","custom_fields":[{"id":1,"name":"Subdivision","value":"EC"},{"id":4,"name":"Milepost","value":"0.0152"},{"id":17,"name":"Train ID","value":"176-23"},{"id":16,"name":"Locomotive ID","value":"4049"},{"id":130,"name":"Impact","value":""},{"id":150,"name":"Time of Event (Mountain Time)","value":"14:37:54"},{"id":151,"name":"Denver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0"/>
      <c r="AK90" s="47"/>
      <c r="AL90" s="47"/>
      <c r="AM90" s="142" t="str">
        <f t="shared" si="12"/>
        <v>start /low /b %USERPROFILE%\Documents\GitHub\eaglep3\Utilities\DownloadLogsFromS3.py --loco 4049 --day 2017-10-23</v>
      </c>
      <c r="AN90" s="151" t="str">
        <f t="shared" si="13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20:37:54"},{"id":29,"name":"Sharepoint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168" t="str">
        <f t="shared" si="14"/>
        <v>https://d0f6bd738d7f1b3e5a7ca70fe4ff75f0.us-east-1.aws.found.io/app/kibana#/discover/Steve-Slow-Train-Analysis-(2080s-and-2083s)?_g=(refreshInterval:(display:Off,pause:!f,section:0,value:0),time:(from:'2017-10-23T12:56:09-0600',mode:absolute,to:'2017-10-23T15:37:54-0600'))&amp;_a=(columns:!('Message%20ID',Summary),filters:!(),index:'emp_*',interval:auto,query:(query_string:(analyze_wildcard:!t,query:'%22rtdc.l.rtdc.4049%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3">
      <c r="A91" s="32" t="s">
        <v>793</v>
      </c>
      <c r="B91" s="7">
        <v>4018</v>
      </c>
      <c r="C91" s="21" t="s">
        <v>194</v>
      </c>
      <c r="D91" s="21" t="s">
        <v>344</v>
      </c>
      <c r="E91" s="13">
        <v>43031.548819444448</v>
      </c>
      <c r="F91" s="13">
        <v>43031.552245370367</v>
      </c>
      <c r="G91" s="7">
        <v>82</v>
      </c>
      <c r="H91" s="21" t="s">
        <v>560</v>
      </c>
      <c r="I91" s="13">
        <v>43031.579525462963</v>
      </c>
      <c r="J91" s="7">
        <v>0</v>
      </c>
      <c r="K91" s="89" t="str">
        <f>IF(ISEVEN(B91),(B91-1)&amp;"/"&amp;B91,B91&amp;"/"&amp;(B91+1))</f>
        <v>4017/4018</v>
      </c>
      <c r="L91" s="185" t="str">
        <f>VLOOKUP(A91,'Trips&amp;Operators'!$C$1:$G$99911,5,FALSE)</f>
        <v>ROBINSON KADDIBA</v>
      </c>
      <c r="M91" s="6">
        <f>I91-F91</f>
        <v>2.7280092595901806E-2</v>
      </c>
      <c r="N91" s="7">
        <f>24*60*SUM($M91:$M91)</f>
        <v>39.283333338098601</v>
      </c>
      <c r="O91" s="7"/>
      <c r="P91" s="7"/>
      <c r="Q91" s="22"/>
      <c r="R91" s="174"/>
      <c r="S91" s="221">
        <f>1/IF(AG91="EC",12,1)*SUM(U91:U91)</f>
        <v>1</v>
      </c>
      <c r="T91" s="174" t="str">
        <f>IF(ISEVEN(LEFT(AD91,4)),"Southbound","NorthBound")</f>
        <v>NorthBound</v>
      </c>
      <c r="U91" s="198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16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2017-10-23T12:10:18-0600',mode:absolute,to:'2017-10-23T14:54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91" s="204" t="str">
        <f>IF(AA91&lt;VLOOKUP(AG91,Variables!$AC$3:$AD$8,2,FALSE),"Y","N")</f>
        <v>N</v>
      </c>
      <c r="X91" s="204">
        <f>VALUE(LEFT(AD91,4))-VALUE(LEFT(AD90,4))</f>
        <v>1</v>
      </c>
      <c r="Y91" s="204">
        <f>RIGHT(D91,LEN(D91)-4)/10000</f>
        <v>4.5499999999999999E-2</v>
      </c>
      <c r="Z91" s="204">
        <f>RIGHT(H91,LEN(H91)-4)/10000</f>
        <v>23.330500000000001</v>
      </c>
      <c r="AA91" s="204">
        <f>ABS(Z91-Y91)</f>
        <v>23.285</v>
      </c>
      <c r="AB91" s="54" t="e">
        <f>VLOOKUP(A91,Enforcements!$C$7:$K$11,8,0)</f>
        <v>#N/A</v>
      </c>
      <c r="AC91" s="51" t="e">
        <f>VLOOKUP(A91,Enforcements!$C$7:$E$11,3,0)</f>
        <v>#N/A</v>
      </c>
      <c r="AD91" s="179">
        <f>VALUE(LEFT(A91,LEN(A91)-3))</f>
        <v>177</v>
      </c>
      <c r="AE91" s="77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s3://rtdc.mdm.uploadarchive.raw/RTDC4018/ "%USERPROFILE%\AppData\Local\Temp\OnboardLogs"\RTDC4018\2017-10-23 --exclude "*" --recursive --include "*20171023*" &amp; "%USERPROFILE%\Documents\GitHub\mrs-test-scripts\Headless Mode &amp; Sideloading\WalkAndUnGZ.bat" "%USERPROFILE%\AppData\Local\Temp\OnboardLogs"\RTDC4018\2017-10-23 &amp; aws s3 cp s3://rtdc.mdm.uploadarchive.raw/RTDC4018/ "%USERPROFILE%\AppData\Local\Temp\OnboardLogs"\RTDC4018\2017-10-24 --exclude "*" --recursive --include "*20171024*" &amp; "%USERPROFILE%\Documents\GitHub\mrs-test-scripts\Headless Mode &amp; Sideloading\WalkAndUnGZ.bat" "%USERPROFILE%\AppData\Local\Temp\OnboardLogs"\RTDC4018\2017-10-24</v>
      </c>
      <c r="AF91" s="74" t="str">
        <f>astrogrep_path&amp;" /e /r /s /spath="&amp;search_path&amp;" /stypes=""app*"&amp;B91&amp;"*"&amp;TEXT(I91-utc_offset/24,"YYYYMMDD")&amp;"*"" /stext="" "&amp;TEXT(I91-utc_offset/24,"HH")&amp;search_regexp&amp;""""</f>
        <v>"C:\Program Files (x86)\AstroGrep\AstroGrep.exe" /e /r /s /spath="%USERPROFILE%\AppData\Local\Temp\OnboardLogs" /stypes="app*4018*20171023*" /stext=" 19:.+((SYSTEM_STATE.+slice.+state.+changed )|(ment ac)|(multiple cpu faults)|(system.+state.+changed )|(\[timeout)|(PRM\|1\|D)|(kpr)|(kdp)|(train st.+moving)|(\|lc)|(penalty))"</v>
      </c>
      <c r="AG91" s="182" t="str">
        <f>DetSubdiv(A91)</f>
        <v>EC</v>
      </c>
      <c r="AH91" s="78" t="str">
        <f t="shared" si="10"/>
        <v>"%USERPROFILE%\Documents\GitHub\eaglep3\Utilities\RefineRTDCRunTimes.py" --tripid 177-23 --locoid 4018 --swversion DE.1.0.9.0 --startMP 204:455 --initTime 2017-10-23T13:10:18 --startdatetime 2017-10-23T13:15:14 --delay 82 --endMP 204:233305 --enddatetime 2017-10-23T13:54:31 --enforcementcount 0 &gt;&gt;%USERPROFILE%\Documents\GitHub\eaglep3-reporting\EC\2017-10-23-refined-times.txt</v>
      </c>
      <c r="AI91" s="96" t="str">
        <f t="shared" si="11"/>
        <v>echo {"issue":{"subject":"","project_id":79,"tracker_id":40,"status_id":1,"priority_id":2,"assigned_to_id":338,"start_date":"2017-10-23","description":"","custom_fields":[{"id":1,"name":"Subdivision","value":"EC"},{"id":4,"name":"Milepost","value":"23.3305"},{"id":17,"name":"Train ID","value":"177-23"},{"id":16,"name":"Locomotive ID","value":"4018"},{"id":130,"name":"Impact","value":""},{"id":150,"name":"Time of Event (Mountain Time)","value":"13:54:31"},{"id":151,"name":"Denver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0"/>
      <c r="AK91" s="47"/>
      <c r="AL91" s="47"/>
      <c r="AM91" s="142" t="str">
        <f t="shared" si="12"/>
        <v>start /low /b %USERPROFILE%\Documents\GitHub\eaglep3\Utilities\DownloadLogsFromS3.py --loco 4018 --day 2017-10-23</v>
      </c>
      <c r="AN91" s="151" t="str">
        <f t="shared" si="13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19:54:31"},{"id":29,"name":"Sharepoint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168" t="str">
        <f t="shared" si="14"/>
        <v>https://d0f6bd738d7f1b3e5a7ca70fe4ff75f0.us-east-1.aws.found.io/app/kibana#/discover/Steve-Slow-Train-Analysis-(2080s-and-2083s)?_g=(refreshInterval:(display:Off,pause:!f,section:0,value:0),time:(from:'2017-10-23T12:10:18-0600',mode:absolute,to:'2017-10-23T14:54:31-0600'))&amp;_a=(columns:!('Message%20ID',Summary),filters:!(),index:'emp_*',interval:auto,query:(query_string:(analyze_wildcard:!t,query:'%22rtdc.l.rtdc.4018%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3">
      <c r="A92" s="32" t="s">
        <v>801</v>
      </c>
      <c r="B92" s="7">
        <v>4017</v>
      </c>
      <c r="C92" s="21" t="s">
        <v>194</v>
      </c>
      <c r="D92" s="21" t="s">
        <v>428</v>
      </c>
      <c r="E92" s="13">
        <v>43031.588194444441</v>
      </c>
      <c r="F92" s="13">
        <v>43031.604756944442</v>
      </c>
      <c r="G92" s="7">
        <v>93</v>
      </c>
      <c r="H92" s="21" t="s">
        <v>428</v>
      </c>
      <c r="I92" s="13">
        <v>43031.621736111112</v>
      </c>
      <c r="J92" s="7">
        <v>0</v>
      </c>
      <c r="K92" s="89" t="str">
        <f>IF(ISEVEN(B92),(B92-1)&amp;"/"&amp;B92,B92&amp;"/"&amp;(B92+1))</f>
        <v>4017/4018</v>
      </c>
      <c r="L92" s="185" t="str">
        <f>VLOOKUP(A92,'Trips&amp;Operators'!$C$1:$G$99911,5,FALSE)</f>
        <v>ROBINSON KADDIBA</v>
      </c>
      <c r="M92" s="6">
        <f>I92-F92</f>
        <v>1.6979166670353152E-2</v>
      </c>
      <c r="N92" s="7"/>
      <c r="O92" s="7"/>
      <c r="P92" s="7">
        <f>24*60*SUM($M92:$M92)</f>
        <v>24.450000005308539</v>
      </c>
      <c r="Q92" s="22"/>
      <c r="R92" s="174" t="s">
        <v>1079</v>
      </c>
      <c r="S92" s="221">
        <f>1/IF(AG92="EC",12,1)*SUM(U92:U93)</f>
        <v>1</v>
      </c>
      <c r="T92" s="174" t="str">
        <f>IF(ISEVEN(LEFT(AD92,4)),"Southbound","NorthBound")</f>
        <v>Southbound</v>
      </c>
      <c r="U92" s="198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0</v>
      </c>
      <c r="V92" s="216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2017-10-23T13:07:00-0600',mode:absolute,to:'2017-10-23T15:55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92" s="204" t="str">
        <f>IF(AA92&lt;VLOOKUP(AG92,Variables!$AC$3:$AD$8,2,FALSE),"Y","N")</f>
        <v>Y</v>
      </c>
      <c r="X92" s="204">
        <f>VALUE(LEFT(AD92,4))-VALUE(LEFT(AD91,4))</f>
        <v>1</v>
      </c>
      <c r="Y92" s="204">
        <f>RIGHT(D92,LEN(D92)-4)/10000</f>
        <v>23.297999999999998</v>
      </c>
      <c r="Z92" s="204">
        <f>RIGHT(H92,LEN(H92)-4)/10000</f>
        <v>23.297999999999998</v>
      </c>
      <c r="AA92" s="204">
        <f>ABS(Z92-Y92)</f>
        <v>0</v>
      </c>
      <c r="AB92" s="54" t="e">
        <f>VLOOKUP(A92,Enforcements!$C$7:$K$11,8,0)</f>
        <v>#N/A</v>
      </c>
      <c r="AC92" s="51" t="e">
        <f>VLOOKUP(A92,Enforcements!$C$7:$E$11,3,0)</f>
        <v>#N/A</v>
      </c>
      <c r="AD92" s="179">
        <f>VALUE(LEFT(A92,LEN(A92)-3))</f>
        <v>178</v>
      </c>
      <c r="AE92" s="77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s3://rtdc.mdm.uploadarchive.raw/RTDC4017/ "%USERPROFILE%\AppData\Local\Temp\OnboardLogs"\RTDC4017\2017-10-23 --exclude "*" --recursive --include "*20171023*" &amp; "%USERPROFILE%\Documents\GitHub\mrs-test-scripts\Headless Mode &amp; Sideloading\WalkAndUnGZ.bat" "%USERPROFILE%\AppData\Local\Temp\OnboardLogs"\RTDC4017\2017-10-23 &amp; aws s3 cp s3://rtdc.mdm.uploadarchive.raw/RTDC4017/ "%USERPROFILE%\AppData\Local\Temp\OnboardLogs"\RTDC4017\2017-10-24 --exclude "*" --recursive --include "*20171024*" &amp; "%USERPROFILE%\Documents\GitHub\mrs-test-scripts\Headless Mode &amp; Sideloading\WalkAndUnGZ.bat" "%USERPROFILE%\AppData\Local\Temp\OnboardLogs"\RTDC4017\2017-10-24</v>
      </c>
      <c r="AF92" s="74" t="str">
        <f>astrogrep_path&amp;" /e /r /s /spath="&amp;search_path&amp;" /stypes=""app*"&amp;B92&amp;"*"&amp;TEXT(I92-utc_offset/24,"YYYYMMDD")&amp;"*"" /stext="" "&amp;TEXT(I92-utc_offset/24,"HH")&amp;search_regexp&amp;""""</f>
        <v>"C:\Program Files (x86)\AstroGrep\AstroGrep.exe" /e /r /s /spath="%USERPROFILE%\AppData\Local\Temp\OnboardLogs" /stypes="app*4017*20171023*" /stext=" 20:.+((SYSTEM_STATE.+slice.+state.+changed )|(ment ac)|(multiple cpu faults)|(system.+state.+changed )|(\[timeout)|(PRM\|1\|D)|(kpr)|(kdp)|(train st.+moving)|(\|lc)|(penalty))"</v>
      </c>
      <c r="AG92" s="182" t="str">
        <f>DetSubdiv(A92)</f>
        <v>EC</v>
      </c>
      <c r="AH92" s="78" t="str">
        <f t="shared" si="10"/>
        <v>"%USERPROFILE%\Documents\GitHub\eaglep3\Utilities\RefineRTDCRunTimes.py" --tripid 178-23 --locoid 4017 --swversion DE.1.0.9.0 --startMP 204:232980 --initTime 2017-10-23T14:07:00 --startdatetime 2017-10-23T14:30:51 --delay 93 --endMP 204:232980 --enddatetime 2017-10-23T14:55:18 --enforcementcount 0 &gt;&gt;%USERPROFILE%\Documents\GitHub\eaglep3-reporting\EC\2017-10-23-refined-times.txt</v>
      </c>
      <c r="AI92" s="96" t="str">
        <f t="shared" si="11"/>
        <v>echo {"issue":{"subject":"Onboard en route failure","project_id":79,"tracker_id":40,"status_id":1,"priority_id":2,"assigned_to_id":338,"start_date":"2017-10-23","description":"","custom_fields":[{"id":1,"name":"Subdivision","value":"EC"},{"id":4,"name":"Milepost","value":"23.298"},{"id":17,"name":"Train ID","value":"178-23"},{"id":16,"name":"Locomotive ID","value":"4017"},{"id":130,"name":"Impact","value":""},{"id":150,"name":"Time of Event (Mountain Time)","value":"14:55:18"},{"id":151,"name":"Denver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0"/>
      <c r="AK92" s="47"/>
      <c r="AL92" s="47"/>
      <c r="AM92" s="142" t="str">
        <f t="shared" si="12"/>
        <v>start /low /b %USERPROFILE%\Documents\GitHub\eaglep3\Utilities\DownloadLogsFromS3.py --loco 4017 --day 2017-10-23</v>
      </c>
      <c r="AN92" s="151" t="str">
        <f t="shared" si="13"/>
        <v>echo {"issue":{"subject":"Onboard en route failure","project_id":30,"tracker_id":4,"status_id":1,"priority_id":1,"assigned_to_id":10,"start_date":"2017-10-23","description":"","custom_fields":[{"id":30,"name":"Category","value":"Issue"},{"id":3,"name":"Functional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20:55:18"},{"id":29,"name":"Sharepoint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168" t="str">
        <f t="shared" si="14"/>
        <v>https://d0f6bd738d7f1b3e5a7ca70fe4ff75f0.us-east-1.aws.found.io/app/kibana#/discover/Steve-Slow-Train-Analysis-(2080s-and-2083s)?_g=(refreshInterval:(display:Off,pause:!f,section:0,value:0),time:(from:'2017-10-23T13:07:00-0600',mode:absolute,to:'2017-10-23T15:55:18-0600'))&amp;_a=(columns:!('Message%20ID',Summary),filters:!(),index:'emp_*',interval:auto,query:(query_string:(analyze_wildcard:!t,query:'%22rtdc.l.rtdc.4017%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3">
      <c r="A93" s="32" t="s">
        <v>801</v>
      </c>
      <c r="B93" s="7">
        <v>4017</v>
      </c>
      <c r="C93" s="21" t="s">
        <v>194</v>
      </c>
      <c r="D93" s="21" t="s">
        <v>939</v>
      </c>
      <c r="E93" s="13">
        <v>43031.603425925925</v>
      </c>
      <c r="F93" s="13">
        <v>43031.604756944442</v>
      </c>
      <c r="G93" s="7">
        <v>59</v>
      </c>
      <c r="H93" s="21" t="s">
        <v>355</v>
      </c>
      <c r="I93" s="13">
        <v>43031.621736111112</v>
      </c>
      <c r="J93" s="7">
        <v>0</v>
      </c>
      <c r="K93" s="89" t="str">
        <f>IF(ISEVEN(B93),(B93-1)&amp;"/"&amp;B93,B93&amp;"/"&amp;(B93+1))</f>
        <v>4017/4018</v>
      </c>
      <c r="L93" s="185" t="str">
        <f>VLOOKUP(A93,'Trips&amp;Operators'!$C$1:$G$99911,5,FALSE)</f>
        <v>ROBINSON KADDIBA</v>
      </c>
      <c r="M93" s="6">
        <f>I93-F93</f>
        <v>1.6979166670353152E-2</v>
      </c>
      <c r="N93" s="7"/>
      <c r="O93" s="7"/>
      <c r="P93" s="7"/>
      <c r="Q93" s="22"/>
      <c r="R93" s="174"/>
      <c r="S93" s="221"/>
      <c r="T93" s="174" t="str">
        <f>IF(ISEVEN(LEFT(AD93,4)),"Southbound","NorthBound")</f>
        <v>Southbound</v>
      </c>
      <c r="U93" s="198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16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2017-10-23T13:28:56-0600',mode:absolute,to:'2017-10-23T15:55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93" s="204" t="str">
        <f>IF(AA93&lt;VLOOKUP(AG93,Variables!$AC$3:$AD$8,2,FALSE),"Y","N")</f>
        <v>Y</v>
      </c>
      <c r="X93" s="204">
        <f>VALUE(LEFT(AD93,4))-VALUE(LEFT(AD92,4))</f>
        <v>0</v>
      </c>
      <c r="Y93" s="204">
        <f>RIGHT(D93,LEN(D93)-4)/10000</f>
        <v>12.7864</v>
      </c>
      <c r="Z93" s="204">
        <f>RIGHT(H93,LEN(H93)-4)/10000</f>
        <v>1.4500000000000001E-2</v>
      </c>
      <c r="AA93" s="204">
        <f>ABS(Z93-Y93)</f>
        <v>12.7719</v>
      </c>
      <c r="AB93" s="54" t="e">
        <f>VLOOKUP(A93,Enforcements!$C$7:$K$11,8,0)</f>
        <v>#N/A</v>
      </c>
      <c r="AC93" s="51" t="e">
        <f>VLOOKUP(A93,Enforcements!$C$7:$E$11,3,0)</f>
        <v>#N/A</v>
      </c>
      <c r="AD93" s="179">
        <f>VALUE(LEFT(A93,LEN(A93)-3))</f>
        <v>178</v>
      </c>
      <c r="AE93" s="77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s3://rtdc.mdm.uploadarchive.raw/RTDC4017/ "%USERPROFILE%\AppData\Local\Temp\OnboardLogs"\RTDC4017\2017-10-23 --exclude "*" --recursive --include "*20171023*" &amp; "%USERPROFILE%\Documents\GitHub\mrs-test-scripts\Headless Mode &amp; Sideloading\WalkAndUnGZ.bat" "%USERPROFILE%\AppData\Local\Temp\OnboardLogs"\RTDC4017\2017-10-23 &amp; aws s3 cp s3://rtdc.mdm.uploadarchive.raw/RTDC4017/ "%USERPROFILE%\AppData\Local\Temp\OnboardLogs"\RTDC4017\2017-10-24 --exclude "*" --recursive --include "*20171024*" &amp; "%USERPROFILE%\Documents\GitHub\mrs-test-scripts\Headless Mode &amp; Sideloading\WalkAndUnGZ.bat" "%USERPROFILE%\AppData\Local\Temp\OnboardLogs"\RTDC4017\2017-10-24</v>
      </c>
      <c r="AF93" s="74" t="str">
        <f>astrogrep_path&amp;" /e /r /s /spath="&amp;search_path&amp;" /stypes=""app*"&amp;B93&amp;"*"&amp;TEXT(I93-utc_offset/24,"YYYYMMDD")&amp;"*"" /stext="" "&amp;TEXT(I93-utc_offset/24,"HH")&amp;search_regexp&amp;""""</f>
        <v>"C:\Program Files (x86)\AstroGrep\AstroGrep.exe" /e /r /s /spath="%USERPROFILE%\AppData\Local\Temp\OnboardLogs" /stypes="app*4017*20171023*" /stext=" 20:.+((SYSTEM_STATE.+slice.+state.+changed )|(ment ac)|(multiple cpu faults)|(system.+state.+changed )|(\[timeout)|(PRM\|1\|D)|(kpr)|(kdp)|(train st.+moving)|(\|lc)|(penalty))"</v>
      </c>
      <c r="AG93" s="182" t="str">
        <f>DetSubdiv(A93)</f>
        <v>EC</v>
      </c>
      <c r="AH93" s="78" t="str">
        <f t="shared" si="10"/>
        <v>"%USERPROFILE%\Documents\GitHub\eaglep3\Utilities\RefineRTDCRunTimes.py" --tripid 178-23 --locoid 4017 --swversion DE.1.0.9.0 --startMP 204:127864 --initTime 2017-10-23T14:28:56 --startdatetime 2017-10-23T14:30:51 --delay 59 --endMP 204:145 --enddatetime 2017-10-23T14:55:18 --enforcementcount 0 &gt;&gt;%USERPROFILE%\Documents\GitHub\eaglep3-reporting\EC\2017-10-23-refined-times.txt</v>
      </c>
      <c r="AI93" s="96" t="str">
        <f t="shared" si="11"/>
        <v>echo {"issue":{"subject":"","project_id":79,"tracker_id":40,"status_id":1,"priority_id":2,"assigned_to_id":338,"start_date":"2017-10-23","description":"","custom_fields":[{"id":1,"name":"Subdivision","value":"EC"},{"id":4,"name":"Milepost","value":"0.0145"},{"id":17,"name":"Train ID","value":"178-23"},{"id":16,"name":"Locomotive ID","value":"4017"},{"id":130,"name":"Impact","value":""},{"id":150,"name":"Time of Event (Mountain Time)","value":"14:55:18"},{"id":151,"name":"Denver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0"/>
      <c r="AK93" s="47"/>
      <c r="AL93" s="47"/>
      <c r="AM93" s="142" t="str">
        <f t="shared" si="12"/>
        <v>start /low /b %USERPROFILE%\Documents\GitHub\eaglep3\Utilities\DownloadLogsFromS3.py --loco 4017 --day 2017-10-23</v>
      </c>
      <c r="AN93" s="151" t="str">
        <f t="shared" si="13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20:55:18"},{"id":29,"name":"Sharepoint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168" t="str">
        <f t="shared" si="14"/>
        <v>https://d0f6bd738d7f1b3e5a7ca70fe4ff75f0.us-east-1.aws.found.io/app/kibana#/discover/Steve-Slow-Train-Analysis-(2080s-and-2083s)?_g=(refreshInterval:(display:Off,pause:!f,section:0,value:0),time:(from:'2017-10-23T13:28:56-0600',mode:absolute,to:'2017-10-23T15:55:18-0600'))&amp;_a=(columns:!('Message%20ID',Summary),filters:!(),index:'emp_*',interval:auto,query:(query_string:(analyze_wildcard:!t,query:'%22rtdc.l.rtdc.4017%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3">
      <c r="A94" s="32" t="s">
        <v>794</v>
      </c>
      <c r="B94" s="7">
        <v>4016</v>
      </c>
      <c r="C94" s="21" t="s">
        <v>194</v>
      </c>
      <c r="D94" s="21" t="s">
        <v>461</v>
      </c>
      <c r="E94" s="13">
        <v>43031.559594907405</v>
      </c>
      <c r="F94" s="13">
        <v>43031.562696759262</v>
      </c>
      <c r="G94" s="7">
        <v>96</v>
      </c>
      <c r="H94" s="21" t="s">
        <v>562</v>
      </c>
      <c r="I94" s="13">
        <v>43031.588182870371</v>
      </c>
      <c r="J94" s="7">
        <v>0</v>
      </c>
      <c r="K94" s="89" t="str">
        <f>IF(ISEVEN(B94),(B94-1)&amp;"/"&amp;B94,B94&amp;"/"&amp;(B94+1))</f>
        <v>4015/4016</v>
      </c>
      <c r="L94" s="185" t="str">
        <f>VLOOKUP(A94,'Trips&amp;Operators'!$C$1:$G$99911,5,FALSE)</f>
        <v>GONZALEZ ARMANDO</v>
      </c>
      <c r="M94" s="6">
        <f>I94-F94</f>
        <v>2.548611110978527E-2</v>
      </c>
      <c r="N94" s="7">
        <f>24*60*SUM($M94:$M94)</f>
        <v>36.699999998090789</v>
      </c>
      <c r="O94" s="7"/>
      <c r="P94" s="7"/>
      <c r="Q94" s="22"/>
      <c r="R94" s="174"/>
      <c r="S94" s="221">
        <f>1/IF(AG94="EC",12,1)*SUM(U94:U94)</f>
        <v>1</v>
      </c>
      <c r="T94" s="174" t="str">
        <f>IF(ISEVEN(LEFT(AD94,4)),"Southbound","NorthBound")</f>
        <v>NorthBound</v>
      </c>
      <c r="U94" s="198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16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2017-10-23T12:25:49-0600',mode:absolute,to:'2017-10-23T15:06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94" s="204" t="str">
        <f>IF(AA94&lt;VLOOKUP(AG94,Variables!$AC$3:$AD$8,2,FALSE),"Y","N")</f>
        <v>N</v>
      </c>
      <c r="X94" s="204">
        <f>VALUE(LEFT(AD94,4))-VALUE(LEFT(AD93,4))</f>
        <v>1</v>
      </c>
      <c r="Y94" s="204">
        <f>RIGHT(D94,LEN(D94)-4)/10000</f>
        <v>4.6600000000000003E-2</v>
      </c>
      <c r="Z94" s="204">
        <f>RIGHT(H94,LEN(H94)-4)/10000</f>
        <v>23.331900000000001</v>
      </c>
      <c r="AA94" s="204">
        <f>ABS(Z94-Y94)</f>
        <v>23.285299999999999</v>
      </c>
      <c r="AB94" s="54" t="e">
        <f>VLOOKUP(A94,Enforcements!$C$7:$K$11,8,0)</f>
        <v>#N/A</v>
      </c>
      <c r="AC94" s="51" t="e">
        <f>VLOOKUP(A94,Enforcements!$C$7:$E$11,3,0)</f>
        <v>#N/A</v>
      </c>
      <c r="AD94" s="179">
        <f>VALUE(LEFT(A94,LEN(A94)-3))</f>
        <v>179</v>
      </c>
      <c r="AE94" s="77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s3://rtdc.mdm.uploadarchive.raw/RTDC4016/ "%USERPROFILE%\AppData\Local\Temp\OnboardLogs"\RTDC4016\2017-10-23 --exclude "*" --recursive --include "*20171023*" &amp; "%USERPROFILE%\Documents\GitHub\mrs-test-scripts\Headless Mode &amp; Sideloading\WalkAndUnGZ.bat" "%USERPROFILE%\AppData\Local\Temp\OnboardLogs"\RTDC4016\2017-10-23 &amp; aws s3 cp s3://rtdc.mdm.uploadarchive.raw/RTDC4016/ "%USERPROFILE%\AppData\Local\Temp\OnboardLogs"\RTDC4016\2017-10-24 --exclude "*" --recursive --include "*20171024*" &amp; "%USERPROFILE%\Documents\GitHub\mrs-test-scripts\Headless Mode &amp; Sideloading\WalkAndUnGZ.bat" "%USERPROFILE%\AppData\Local\Temp\OnboardLogs"\RTDC4016\2017-10-24</v>
      </c>
      <c r="AF94" s="74" t="str">
        <f>astrogrep_path&amp;" /e /r /s /spath="&amp;search_path&amp;" /stypes=""app*"&amp;B94&amp;"*"&amp;TEXT(I94-utc_offset/24,"YYYYMMDD")&amp;"*"" /stext="" "&amp;TEXT(I94-utc_offset/24,"HH")&amp;search_regexp&amp;""""</f>
        <v>"C:\Program Files (x86)\AstroGrep\AstroGrep.exe" /e /r /s /spath="%USERPROFILE%\AppData\Local\Temp\OnboardLogs" /stypes="app*4016*20171023*" /stext=" 20:.+((SYSTEM_STATE.+slice.+state.+changed )|(ment ac)|(multiple cpu faults)|(system.+state.+changed )|(\[timeout)|(PRM\|1\|D)|(kpr)|(kdp)|(train st.+moving)|(\|lc)|(penalty))"</v>
      </c>
      <c r="AG94" s="182" t="str">
        <f>DetSubdiv(A94)</f>
        <v>EC</v>
      </c>
      <c r="AH94" s="78" t="str">
        <f t="shared" si="10"/>
        <v>"%USERPROFILE%\Documents\GitHub\eaglep3\Utilities\RefineRTDCRunTimes.py" --tripid 179-23 --locoid 4016 --swversion DE.1.0.9.0 --startMP 204:466 --initTime 2017-10-23T13:25:49 --startdatetime 2017-10-23T13:30:17 --delay 96 --endMP 204:233319 --enddatetime 2017-10-23T14:06:59 --enforcementcount 0 &gt;&gt;%USERPROFILE%\Documents\GitHub\eaglep3-reporting\EC\2017-10-23-refined-times.txt</v>
      </c>
      <c r="AI94" s="96" t="str">
        <f t="shared" si="11"/>
        <v>echo {"issue":{"subject":"","project_id":79,"tracker_id":40,"status_id":1,"priority_id":2,"assigned_to_id":338,"start_date":"2017-10-23","description":"","custom_fields":[{"id":1,"name":"Subdivision","value":"EC"},{"id":4,"name":"Milepost","value":"23.3319"},{"id":17,"name":"Train ID","value":"179-23"},{"id":16,"name":"Locomotive ID","value":"4016"},{"id":130,"name":"Impact","value":""},{"id":150,"name":"Time of Event (Mountain Time)","value":"14:06:59"},{"id":151,"name":"Denver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0"/>
      <c r="AK94" s="47"/>
      <c r="AL94" s="47"/>
      <c r="AM94" s="142" t="str">
        <f t="shared" si="12"/>
        <v>start /low /b %USERPROFILE%\Documents\GitHub\eaglep3\Utilities\DownloadLogsFromS3.py --loco 4016 --day 2017-10-23</v>
      </c>
      <c r="AN94" s="151" t="str">
        <f t="shared" si="13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20:06:59"},{"id":29,"name":"Sharepoint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168" t="str">
        <f t="shared" si="14"/>
        <v>https://d0f6bd738d7f1b3e5a7ca70fe4ff75f0.us-east-1.aws.found.io/app/kibana#/discover/Steve-Slow-Train-Analysis-(2080s-and-2083s)?_g=(refreshInterval:(display:Off,pause:!f,section:0,value:0),time:(from:'2017-10-23T12:25:49-0600',mode:absolute,to:'2017-10-23T15:06:59-0600'))&amp;_a=(columns:!('Message%20ID',Summary),filters:!(),index:'emp_*',interval:auto,query:(query_string:(analyze_wildcard:!t,query:'%22rtdc.l.rtdc.4016%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3">
      <c r="A95" s="32" t="s">
        <v>803</v>
      </c>
      <c r="B95" s="7">
        <v>4015</v>
      </c>
      <c r="C95" s="21" t="s">
        <v>194</v>
      </c>
      <c r="D95" s="21" t="s">
        <v>940</v>
      </c>
      <c r="E95" s="13">
        <v>43031.597893518519</v>
      </c>
      <c r="F95" s="13">
        <v>43031.602361111109</v>
      </c>
      <c r="G95" s="7">
        <v>72</v>
      </c>
      <c r="H95" s="21" t="s">
        <v>363</v>
      </c>
      <c r="I95" s="13">
        <v>43031.628506944442</v>
      </c>
      <c r="J95" s="7">
        <v>0</v>
      </c>
      <c r="K95" s="89" t="str">
        <f>IF(ISEVEN(B95),(B95-1)&amp;"/"&amp;B95,B95&amp;"/"&amp;(B95+1))</f>
        <v>4015/4016</v>
      </c>
      <c r="L95" s="185" t="str">
        <f>VLOOKUP(A95,'Trips&amp;Operators'!$C$1:$G$99911,5,FALSE)</f>
        <v>GONZALEZ ARMANDO</v>
      </c>
      <c r="M95" s="6">
        <f>I95-F95</f>
        <v>2.6145833333430346E-2</v>
      </c>
      <c r="N95" s="7">
        <f>24*60*SUM($M95:$M95)</f>
        <v>37.650000000139698</v>
      </c>
      <c r="O95" s="7"/>
      <c r="P95" s="7"/>
      <c r="Q95" s="22"/>
      <c r="R95" s="174"/>
      <c r="S95" s="221">
        <f>1/IF(AG95="EC",12,1)*SUM(U95:U95)</f>
        <v>1</v>
      </c>
      <c r="T95" s="174" t="str">
        <f>IF(ISEVEN(LEFT(AD95,4)),"Southbound","NorthBound")</f>
        <v>Southbound</v>
      </c>
      <c r="U95" s="198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16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2017-10-23T13:20:58-0600',mode:absolute,to:'2017-10-23T16:05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95" s="204" t="str">
        <f>IF(AA95&lt;VLOOKUP(AG95,Variables!$AC$3:$AD$8,2,FALSE),"Y","N")</f>
        <v>N</v>
      </c>
      <c r="X95" s="204">
        <f>VALUE(LEFT(AD95,4))-VALUE(LEFT(AD94,4))</f>
        <v>1</v>
      </c>
      <c r="Y95" s="204">
        <f>RIGHT(D95,LEN(D95)-4)/10000</f>
        <v>23.302499999999998</v>
      </c>
      <c r="Z95" s="204">
        <f>RIGHT(H95,LEN(H95)-4)/10000</f>
        <v>1.5800000000000002E-2</v>
      </c>
      <c r="AA95" s="204">
        <f>ABS(Z95-Y95)</f>
        <v>23.2867</v>
      </c>
      <c r="AB95" s="54" t="e">
        <f>VLOOKUP(A95,Enforcements!$C$7:$K$11,8,0)</f>
        <v>#N/A</v>
      </c>
      <c r="AC95" s="51" t="e">
        <f>VLOOKUP(A95,Enforcements!$C$7:$E$11,3,0)</f>
        <v>#N/A</v>
      </c>
      <c r="AD95" s="179">
        <f>VALUE(LEFT(A95,LEN(A95)-3))</f>
        <v>180</v>
      </c>
      <c r="AE95" s="77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s3://rtdc.mdm.uploadarchive.raw/RTDC4015/ "%USERPROFILE%\AppData\Local\Temp\OnboardLogs"\RTDC4015\2017-10-23 --exclude "*" --recursive --include "*20171023*" &amp; "%USERPROFILE%\Documents\GitHub\mrs-test-scripts\Headless Mode &amp; Sideloading\WalkAndUnGZ.bat" "%USERPROFILE%\AppData\Local\Temp\OnboardLogs"\RTDC4015\2017-10-23 &amp; aws s3 cp s3://rtdc.mdm.uploadarchive.raw/RTDC4015/ "%USERPROFILE%\AppData\Local\Temp\OnboardLogs"\RTDC4015\2017-10-24 --exclude "*" --recursive --include "*20171024*" &amp; "%USERPROFILE%\Documents\GitHub\mrs-test-scripts\Headless Mode &amp; Sideloading\WalkAndUnGZ.bat" "%USERPROFILE%\AppData\Local\Temp\OnboardLogs"\RTDC4015\2017-10-24</v>
      </c>
      <c r="AF95" s="74" t="str">
        <f>astrogrep_path&amp;" /e /r /s /spath="&amp;search_path&amp;" /stypes=""app*"&amp;B95&amp;"*"&amp;TEXT(I95-utc_offset/24,"YYYYMMDD")&amp;"*"" /stext="" "&amp;TEXT(I95-utc_offset/24,"HH")&amp;search_regexp&amp;""""</f>
        <v>"C:\Program Files (x86)\AstroGrep\AstroGrep.exe" /e /r /s /spath="%USERPROFILE%\AppData\Local\Temp\OnboardLogs" /stypes="app*4015*20171023*" /stext=" 21:.+((SYSTEM_STATE.+slice.+state.+changed )|(ment ac)|(multiple cpu faults)|(system.+state.+changed )|(\[timeout)|(PRM\|1\|D)|(kpr)|(kdp)|(train st.+moving)|(\|lc)|(penalty))"</v>
      </c>
      <c r="AG95" s="182" t="str">
        <f>DetSubdiv(A95)</f>
        <v>EC</v>
      </c>
      <c r="AH95" s="78" t="str">
        <f t="shared" si="10"/>
        <v>"%USERPROFILE%\Documents\GitHub\eaglep3\Utilities\RefineRTDCRunTimes.py" --tripid 180-23 --locoid 4015 --swversion DE.1.0.9.0 --startMP 204:233025 --initTime 2017-10-23T14:20:58 --startdatetime 2017-10-23T14:27:24 --delay 72 --endMP 204:158 --enddatetime 2017-10-23T15:05:03 --enforcementcount 0 &gt;&gt;%USERPROFILE%\Documents\GitHub\eaglep3-reporting\EC\2017-10-23-refined-times.txt</v>
      </c>
      <c r="AI95" s="96" t="str">
        <f t="shared" si="11"/>
        <v>echo {"issue":{"subject":"","project_id":79,"tracker_id":40,"status_id":1,"priority_id":2,"assigned_to_id":338,"start_date":"2017-10-23","description":"","custom_fields":[{"id":1,"name":"Subdivision","value":"EC"},{"id":4,"name":"Milepost","value":"0.0158"},{"id":17,"name":"Train ID","value":"180-23"},{"id":16,"name":"Locomotive ID","value":"4015"},{"id":130,"name":"Impact","value":""},{"id":150,"name":"Time of Event (Mountain Time)","value":"15:05:03"},{"id":151,"name":"Denver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0"/>
      <c r="AK95" s="47"/>
      <c r="AL95" s="47"/>
      <c r="AM95" s="142" t="str">
        <f t="shared" si="12"/>
        <v>start /low /b %USERPROFILE%\Documents\GitHub\eaglep3\Utilities\DownloadLogsFromS3.py --loco 4015 --day 2017-10-23</v>
      </c>
      <c r="AN95" s="151" t="str">
        <f t="shared" si="13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21:05:03"},{"id":29,"name":"Sharepoint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168" t="str">
        <f t="shared" si="14"/>
        <v>https://d0f6bd738d7f1b3e5a7ca70fe4ff75f0.us-east-1.aws.found.io/app/kibana#/discover/Steve-Slow-Train-Analysis-(2080s-and-2083s)?_g=(refreshInterval:(display:Off,pause:!f,section:0,value:0),time:(from:'2017-10-23T13:20:58-0600',mode:absolute,to:'2017-10-23T16:05:03-0600'))&amp;_a=(columns:!('Message%20ID',Summary),filters:!(),index:'emp_*',interval:auto,query:(query_string:(analyze_wildcard:!t,query:'%22rtdc.l.rtdc.4015%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3">
      <c r="A96" s="32" t="s">
        <v>797</v>
      </c>
      <c r="B96" s="7">
        <v>4042</v>
      </c>
      <c r="C96" s="21" t="s">
        <v>194</v>
      </c>
      <c r="D96" s="21" t="s">
        <v>395</v>
      </c>
      <c r="E96" s="13">
        <v>43031.570231481484</v>
      </c>
      <c r="F96" s="13">
        <v>43031.573113425926</v>
      </c>
      <c r="G96" s="7">
        <v>45</v>
      </c>
      <c r="H96" s="21" t="s">
        <v>941</v>
      </c>
      <c r="I96" s="13">
        <v>43031.598912037036</v>
      </c>
      <c r="J96" s="7">
        <v>0</v>
      </c>
      <c r="K96" s="89" t="str">
        <f>IF(ISEVEN(B96),(B96-1)&amp;"/"&amp;B96,B96&amp;"/"&amp;(B96+1))</f>
        <v>4041/4042</v>
      </c>
      <c r="L96" s="185" t="str">
        <f>VLOOKUP(A96,'Trips&amp;Operators'!$C$1:$G$99911,5,FALSE)</f>
        <v>GUZMAN DANNY</v>
      </c>
      <c r="M96" s="6">
        <f>I96-F96</f>
        <v>2.5798611110076308E-2</v>
      </c>
      <c r="N96" s="7">
        <f>24*60*SUM($M96:$M96)</f>
        <v>37.149999998509884</v>
      </c>
      <c r="O96" s="7"/>
      <c r="P96" s="7"/>
      <c r="Q96" s="22"/>
      <c r="R96" s="174"/>
      <c r="S96" s="221">
        <f>1/IF(AG96="EC",12,1)*SUM(U96:U96)</f>
        <v>1</v>
      </c>
      <c r="T96" s="174" t="str">
        <f>IF(ISEVEN(LEFT(AD96,4)),"Southbound","NorthBound")</f>
        <v>NorthBound</v>
      </c>
      <c r="U96" s="198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16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2017-10-23T12:41:08-0600',mode:absolute,to:'2017-10-23T15:22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6" s="204" t="str">
        <f>IF(AA96&lt;VLOOKUP(AG96,Variables!$AC$3:$AD$8,2,FALSE),"Y","N")</f>
        <v>N</v>
      </c>
      <c r="X96" s="204">
        <f>VALUE(LEFT(AD96,4))-VALUE(LEFT(AD95,4))</f>
        <v>1</v>
      </c>
      <c r="Y96" s="204">
        <f>RIGHT(D96,LEN(D96)-4)/10000</f>
        <v>4.6399999999999997E-2</v>
      </c>
      <c r="Z96" s="204">
        <f>RIGHT(H96,LEN(H96)-4)/10000</f>
        <v>23.332999999999998</v>
      </c>
      <c r="AA96" s="204">
        <f>ABS(Z96-Y96)</f>
        <v>23.2866</v>
      </c>
      <c r="AB96" s="54" t="e">
        <f>VLOOKUP(A96,Enforcements!$C$7:$K$11,8,0)</f>
        <v>#N/A</v>
      </c>
      <c r="AC96" s="51" t="e">
        <f>VLOOKUP(A96,Enforcements!$C$7:$E$11,3,0)</f>
        <v>#N/A</v>
      </c>
      <c r="AD96" s="179">
        <f>VALUE(LEFT(A96,LEN(A96)-3))</f>
        <v>181</v>
      </c>
      <c r="AE96" s="77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s3://rtdc.mdm.uploadarchive.raw/RTDC4042/ "%USERPROFILE%\AppData\Local\Temp\OnboardLogs"\RTDC4042\2017-10-23 --exclude "*" --recursive --include "*20171023*" &amp; "%USERPROFILE%\Documents\GitHub\mrs-test-scripts\Headless Mode &amp; Sideloading\WalkAndUnGZ.bat" "%USERPROFILE%\AppData\Local\Temp\OnboardLogs"\RTDC4042\2017-10-23 &amp; aws s3 cp s3://rtdc.mdm.uploadarchive.raw/RTDC4042/ "%USERPROFILE%\AppData\Local\Temp\OnboardLogs"\RTDC4042\2017-10-24 --exclude "*" --recursive --include "*20171024*" &amp; "%USERPROFILE%\Documents\GitHub\mrs-test-scripts\Headless Mode &amp; Sideloading\WalkAndUnGZ.bat" "%USERPROFILE%\AppData\Local\Temp\OnboardLogs"\RTDC4042\2017-10-24</v>
      </c>
      <c r="AF96" s="74" t="str">
        <f>astrogrep_path&amp;" /e /r /s /spath="&amp;search_path&amp;" /stypes=""app*"&amp;B96&amp;"*"&amp;TEXT(I96-utc_offset/24,"YYYYMMDD")&amp;"*"" /stext="" "&amp;TEXT(I96-utc_offset/24,"HH")&amp;search_regexp&amp;""""</f>
        <v>"C:\Program Files (x86)\AstroGrep\AstroGrep.exe" /e /r /s /spath="%USERPROFILE%\AppData\Local\Temp\OnboardLogs" /stypes="app*4042*20171023*" /stext=" 20:.+((SYSTEM_STATE.+slice.+state.+changed )|(ment ac)|(multiple cpu faults)|(system.+state.+changed )|(\[timeout)|(PRM\|1\|D)|(kpr)|(kdp)|(train st.+moving)|(\|lc)|(penalty))"</v>
      </c>
      <c r="AG96" s="182" t="str">
        <f>DetSubdiv(A96)</f>
        <v>EC</v>
      </c>
      <c r="AH96" s="78" t="str">
        <f t="shared" si="10"/>
        <v>"%USERPROFILE%\Documents\GitHub\eaglep3\Utilities\RefineRTDCRunTimes.py" --tripid 181-23 --locoid 4042 --swversion DE.1.0.9.0 --startMP 204:464 --initTime 2017-10-23T13:41:08 --startdatetime 2017-10-23T13:45:17 --delay 45 --endMP 204:233330 --enddatetime 2017-10-23T14:22:26 --enforcementcount 0 &gt;&gt;%USERPROFILE%\Documents\GitHub\eaglep3-reporting\EC\2017-10-23-refined-times.txt</v>
      </c>
      <c r="AI96" s="96" t="str">
        <f t="shared" si="11"/>
        <v>echo {"issue":{"subject":"","project_id":79,"tracker_id":40,"status_id":1,"priority_id":2,"assigned_to_id":338,"start_date":"2017-10-23","description":"","custom_fields":[{"id":1,"name":"Subdivision","value":"EC"},{"id":4,"name":"Milepost","value":"23.333"},{"id":17,"name":"Train ID","value":"181-23"},{"id":16,"name":"Locomotive ID","value":"4042"},{"id":130,"name":"Impact","value":""},{"id":150,"name":"Time of Event (Mountain Time)","value":"14:22:26"},{"id":151,"name":"Denver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0"/>
      <c r="AK96" s="47"/>
      <c r="AL96" s="47"/>
      <c r="AM96" s="142" t="str">
        <f t="shared" si="12"/>
        <v>start /low /b %USERPROFILE%\Documents\GitHub\eaglep3\Utilities\DownloadLogsFromS3.py --loco 4042 --day 2017-10-23</v>
      </c>
      <c r="AN96" s="151" t="str">
        <f t="shared" si="13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20:22:26"},{"id":29,"name":"Sharepoint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168" t="str">
        <f t="shared" si="14"/>
        <v>https://d0f6bd738d7f1b3e5a7ca70fe4ff75f0.us-east-1.aws.found.io/app/kibana#/discover/Steve-Slow-Train-Analysis-(2080s-and-2083s)?_g=(refreshInterval:(display:Off,pause:!f,section:0,value:0),time:(from:'2017-10-23T12:41:08-0600',mode:absolute,to:'2017-10-23T15:22:26-0600'))&amp;_a=(columns:!('Message%20ID',Summary),filters:!(),index:'emp_*',interval:auto,query:(query_string:(analyze_wildcard:!t,query:'%22rtdc.l.rtdc.4042%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3">
      <c r="A97" s="32" t="s">
        <v>805</v>
      </c>
      <c r="B97" s="7">
        <v>4041</v>
      </c>
      <c r="C97" s="21" t="s">
        <v>194</v>
      </c>
      <c r="D97" s="21" t="s">
        <v>942</v>
      </c>
      <c r="E97" s="13">
        <v>43031.603472222225</v>
      </c>
      <c r="F97" s="13">
        <v>43031.612673611111</v>
      </c>
      <c r="G97" s="7">
        <v>76</v>
      </c>
      <c r="H97" s="21" t="s">
        <v>335</v>
      </c>
      <c r="I97" s="13">
        <v>43031.638726851852</v>
      </c>
      <c r="J97" s="7">
        <v>0</v>
      </c>
      <c r="K97" s="89" t="str">
        <f>IF(ISEVEN(B97),(B97-1)&amp;"/"&amp;B97,B97&amp;"/"&amp;(B97+1))</f>
        <v>4041/4042</v>
      </c>
      <c r="L97" s="185" t="str">
        <f>VLOOKUP(A97,'Trips&amp;Operators'!$C$1:$G$99911,5,FALSE)</f>
        <v>GUZMAN DANNY</v>
      </c>
      <c r="M97" s="6">
        <f>I97-F97</f>
        <v>2.6053240741021E-2</v>
      </c>
      <c r="N97" s="7">
        <f>24*60*SUM($M97:$M97)</f>
        <v>37.51666666707024</v>
      </c>
      <c r="O97" s="7"/>
      <c r="P97" s="7"/>
      <c r="Q97" s="22"/>
      <c r="R97" s="174"/>
      <c r="S97" s="221">
        <f>1/IF(AG97="EC",12,1)*SUM(U97:U97)</f>
        <v>1</v>
      </c>
      <c r="T97" s="174" t="str">
        <f>IF(ISEVEN(LEFT(AD97,4)),"Southbound","NorthBound")</f>
        <v>Southbound</v>
      </c>
      <c r="U97" s="198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16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2017-10-23T13:29:00-0600',mode:absolute,to:'2017-10-23T16:19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7" s="204" t="str">
        <f>IF(AA97&lt;VLOOKUP(AG97,Variables!$AC$3:$AD$8,2,FALSE),"Y","N")</f>
        <v>N</v>
      </c>
      <c r="X97" s="204">
        <f>VALUE(LEFT(AD97,4))-VALUE(LEFT(AD96,4))</f>
        <v>1</v>
      </c>
      <c r="Y97" s="204">
        <f>RIGHT(D97,LEN(D97)-4)/10000</f>
        <v>23.3001</v>
      </c>
      <c r="Z97" s="204">
        <f>RIGHT(H97,LEN(H97)-4)/10000</f>
        <v>1.4999999999999999E-2</v>
      </c>
      <c r="AA97" s="204">
        <f>ABS(Z97-Y97)</f>
        <v>23.2851</v>
      </c>
      <c r="AB97" s="54" t="e">
        <f>VLOOKUP(A97,Enforcements!$C$7:$K$11,8,0)</f>
        <v>#N/A</v>
      </c>
      <c r="AC97" s="51" t="e">
        <f>VLOOKUP(A97,Enforcements!$C$7:$E$11,3,0)</f>
        <v>#N/A</v>
      </c>
      <c r="AD97" s="179">
        <f>VALUE(LEFT(A97,LEN(A97)-3))</f>
        <v>182</v>
      </c>
      <c r="AE97" s="77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s3://rtdc.mdm.uploadarchive.raw/RTDC4041/ "%USERPROFILE%\AppData\Local\Temp\OnboardLogs"\RTDC4041\2017-10-23 --exclude "*" --recursive --include "*20171023*" &amp; "%USERPROFILE%\Documents\GitHub\mrs-test-scripts\Headless Mode &amp; Sideloading\WalkAndUnGZ.bat" "%USERPROFILE%\AppData\Local\Temp\OnboardLogs"\RTDC4041\2017-10-23 &amp; aws s3 cp s3://rtdc.mdm.uploadarchive.raw/RTDC4041/ "%USERPROFILE%\AppData\Local\Temp\OnboardLogs"\RTDC4041\2017-10-24 --exclude "*" --recursive --include "*20171024*" &amp; "%USERPROFILE%\Documents\GitHub\mrs-test-scripts\Headless Mode &amp; Sideloading\WalkAndUnGZ.bat" "%USERPROFILE%\AppData\Local\Temp\OnboardLogs"\RTDC4041\2017-10-24</v>
      </c>
      <c r="AF97" s="74" t="str">
        <f>astrogrep_path&amp;" /e /r /s /spath="&amp;search_path&amp;" /stypes=""app*"&amp;B97&amp;"*"&amp;TEXT(I97-utc_offset/24,"YYYYMMDD")&amp;"*"" /stext="" "&amp;TEXT(I97-utc_offset/24,"HH")&amp;search_regexp&amp;""""</f>
        <v>"C:\Program Files (x86)\AstroGrep\AstroGrep.exe" /e /r /s /spath="%USERPROFILE%\AppData\Local\Temp\OnboardLogs" /stypes="app*4041*20171023*" /stext=" 21:.+((SYSTEM_STATE.+slice.+state.+changed )|(ment ac)|(multiple cpu faults)|(system.+state.+changed )|(\[timeout)|(PRM\|1\|D)|(kpr)|(kdp)|(train st.+moving)|(\|lc)|(penalty))"</v>
      </c>
      <c r="AG97" s="182" t="str">
        <f>DetSubdiv(A97)</f>
        <v>EC</v>
      </c>
      <c r="AH97" s="78" t="str">
        <f t="shared" si="10"/>
        <v>"%USERPROFILE%\Documents\GitHub\eaglep3\Utilities\RefineRTDCRunTimes.py" --tripid 182-23 --locoid 4041 --swversion DE.1.0.9.0 --startMP 204:233001 --initTime 2017-10-23T14:29:00 --startdatetime 2017-10-23T14:42:15 --delay 76 --endMP 204:150 --enddatetime 2017-10-23T15:19:46 --enforcementcount 0 &gt;&gt;%USERPROFILE%\Documents\GitHub\eaglep3-reporting\EC\2017-10-23-refined-times.txt</v>
      </c>
      <c r="AI97" s="96" t="str">
        <f t="shared" si="11"/>
        <v>echo {"issue":{"subject":"","project_id":79,"tracker_id":40,"status_id":1,"priority_id":2,"assigned_to_id":338,"start_date":"2017-10-23","description":"","custom_fields":[{"id":1,"name":"Subdivision","value":"EC"},{"id":4,"name":"Milepost","value":"0.015"},{"id":17,"name":"Train ID","value":"182-23"},{"id":16,"name":"Locomotive ID","value":"4041"},{"id":130,"name":"Impact","value":""},{"id":150,"name":"Time of Event (Mountain Time)","value":"15:19:46"},{"id":151,"name":"Denver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0"/>
      <c r="AK97" s="47"/>
      <c r="AL97" s="47"/>
      <c r="AM97" s="142" t="str">
        <f t="shared" si="12"/>
        <v>start /low /b %USERPROFILE%\Documents\GitHub\eaglep3\Utilities\DownloadLogsFromS3.py --loco 4041 --day 2017-10-23</v>
      </c>
      <c r="AN97" s="151" t="str">
        <f t="shared" si="13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21:19:46"},{"id":29,"name":"Sharepoint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168" t="str">
        <f t="shared" si="14"/>
        <v>https://d0f6bd738d7f1b3e5a7ca70fe4ff75f0.us-east-1.aws.found.io/app/kibana#/discover/Steve-Slow-Train-Analysis-(2080s-and-2083s)?_g=(refreshInterval:(display:Off,pause:!f,section:0,value:0),time:(from:'2017-10-23T13:29:00-0600',mode:absolute,to:'2017-10-23T16:19:46-0600'))&amp;_a=(columns:!('Message%20ID',Summary),filters:!(),index:'emp_*',interval:auto,query:(query_string:(analyze_wildcard:!t,query:'%22rtdc.l.rtdc.4041%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3">
      <c r="A98" s="32" t="s">
        <v>798</v>
      </c>
      <c r="B98" s="7">
        <v>4008</v>
      </c>
      <c r="C98" s="21" t="s">
        <v>194</v>
      </c>
      <c r="D98" s="21" t="s">
        <v>607</v>
      </c>
      <c r="E98" s="13">
        <v>43031.579791666663</v>
      </c>
      <c r="F98" s="13">
        <v>43031.583553240744</v>
      </c>
      <c r="G98" s="7">
        <v>74</v>
      </c>
      <c r="H98" s="21" t="s">
        <v>565</v>
      </c>
      <c r="I98" s="13">
        <v>43031.608252314814</v>
      </c>
      <c r="J98" s="7">
        <v>0</v>
      </c>
      <c r="K98" s="89" t="str">
        <f>IF(ISEVEN(B98),(B98-1)&amp;"/"&amp;B98,B98&amp;"/"&amp;(B98+1))</f>
        <v>4007/4008</v>
      </c>
      <c r="L98" s="185" t="str">
        <f>VLOOKUP(A98,'Trips&amp;Operators'!$C$1:$G$99911,5,FALSE)</f>
        <v>SAFIEF AEIMEN</v>
      </c>
      <c r="M98" s="6">
        <f>I98-F98</f>
        <v>2.4699074070667848E-2</v>
      </c>
      <c r="N98" s="7">
        <f>24*60*SUM($M98:$M98)</f>
        <v>35.566666661761701</v>
      </c>
      <c r="O98" s="7"/>
      <c r="P98" s="7"/>
      <c r="Q98" s="22"/>
      <c r="R98" s="174"/>
      <c r="S98" s="221">
        <f>1/IF(AG98="EC",12,1)*SUM(U98:U98)</f>
        <v>1</v>
      </c>
      <c r="T98" s="174" t="str">
        <f>IF(ISEVEN(LEFT(AD98,4)),"Southbound","NorthBound")</f>
        <v>NorthBound</v>
      </c>
      <c r="U98" s="198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16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2017-10-23T12:54:54-0600',mode:absolute,to:'2017-10-23T15:35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98" s="204" t="str">
        <f>IF(AA98&lt;VLOOKUP(AG98,Variables!$AC$3:$AD$8,2,FALSE),"Y","N")</f>
        <v>N</v>
      </c>
      <c r="X98" s="204">
        <f>VALUE(LEFT(AD98,4))-VALUE(LEFT(AD97,4))</f>
        <v>1</v>
      </c>
      <c r="Y98" s="204">
        <f>RIGHT(D98,LEN(D98)-4)/10000</f>
        <v>4.7500000000000001E-2</v>
      </c>
      <c r="Z98" s="204">
        <f>RIGHT(H98,LEN(H98)-4)/10000</f>
        <v>23.333600000000001</v>
      </c>
      <c r="AA98" s="204">
        <f>ABS(Z98-Y98)</f>
        <v>23.286100000000001</v>
      </c>
      <c r="AB98" s="54" t="e">
        <f>VLOOKUP(A98,Enforcements!$C$7:$K$11,8,0)</f>
        <v>#N/A</v>
      </c>
      <c r="AC98" s="51" t="e">
        <f>VLOOKUP(A98,Enforcements!$C$7:$E$11,3,0)</f>
        <v>#N/A</v>
      </c>
      <c r="AD98" s="179">
        <f>VALUE(LEFT(A98,LEN(A98)-3))</f>
        <v>183</v>
      </c>
      <c r="AE98" s="77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s3://rtdc.mdm.uploadarchive.raw/RTDC4008/ "%USERPROFILE%\AppData\Local\Temp\OnboardLogs"\RTDC4008\2017-10-23 --exclude "*" --recursive --include "*20171023*" &amp; "%USERPROFILE%\Documents\GitHub\mrs-test-scripts\Headless Mode &amp; Sideloading\WalkAndUnGZ.bat" "%USERPROFILE%\AppData\Local\Temp\OnboardLogs"\RTDC4008\2017-10-23 &amp; aws s3 cp s3://rtdc.mdm.uploadarchive.raw/RTDC4008/ "%USERPROFILE%\AppData\Local\Temp\OnboardLogs"\RTDC4008\2017-10-24 --exclude "*" --recursive --include "*20171024*" &amp; "%USERPROFILE%\Documents\GitHub\mrs-test-scripts\Headless Mode &amp; Sideloading\WalkAndUnGZ.bat" "%USERPROFILE%\AppData\Local\Temp\OnboardLogs"\RTDC4008\2017-10-24</v>
      </c>
      <c r="AF98" s="74" t="str">
        <f>astrogrep_path&amp;" /e /r /s /spath="&amp;search_path&amp;" /stypes=""app*"&amp;B98&amp;"*"&amp;TEXT(I98-utc_offset/24,"YYYYMMDD")&amp;"*"" /stext="" "&amp;TEXT(I98-utc_offset/24,"HH")&amp;search_regexp&amp;""""</f>
        <v>"C:\Program Files (x86)\AstroGrep\AstroGrep.exe" /e /r /s /spath="%USERPROFILE%\AppData\Local\Temp\OnboardLogs" /stypes="app*4008*20171023*" /stext=" 20:.+((SYSTEM_STATE.+slice.+state.+changed )|(ment ac)|(multiple cpu faults)|(system.+state.+changed )|(\[timeout)|(PRM\|1\|D)|(kpr)|(kdp)|(train st.+moving)|(\|lc)|(penalty))"</v>
      </c>
      <c r="AG98" s="182" t="str">
        <f>DetSubdiv(A98)</f>
        <v>EC</v>
      </c>
      <c r="AH98" s="78" t="str">
        <f t="shared" si="10"/>
        <v>"%USERPROFILE%\Documents\GitHub\eaglep3\Utilities\RefineRTDCRunTimes.py" --tripid 183-23 --locoid 4008 --swversion DE.1.0.9.0 --startMP 204:475 --initTime 2017-10-23T13:54:54 --startdatetime 2017-10-23T14:00:19 --delay 74 --endMP 204:233336 --enddatetime 2017-10-23T14:35:53 --enforcementcount 0 &gt;&gt;%USERPROFILE%\Documents\GitHub\eaglep3-reporting\EC\2017-10-23-refined-times.txt</v>
      </c>
      <c r="AI98" s="96" t="str">
        <f t="shared" si="11"/>
        <v>echo {"issue":{"subject":"","project_id":79,"tracker_id":40,"status_id":1,"priority_id":2,"assigned_to_id":338,"start_date":"2017-10-23","description":"","custom_fields":[{"id":1,"name":"Subdivision","value":"EC"},{"id":4,"name":"Milepost","value":"23.3336"},{"id":17,"name":"Train ID","value":"183-23"},{"id":16,"name":"Locomotive ID","value":"4008"},{"id":130,"name":"Impact","value":""},{"id":150,"name":"Time of Event (Mountain Time)","value":"14:35:53"},{"id":151,"name":"Denver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0"/>
      <c r="AK98" s="47"/>
      <c r="AL98" s="47"/>
      <c r="AM98" s="142" t="str">
        <f t="shared" si="12"/>
        <v>start /low /b %USERPROFILE%\Documents\GitHub\eaglep3\Utilities\DownloadLogsFromS3.py --loco 4008 --day 2017-10-23</v>
      </c>
      <c r="AN98" s="151" t="str">
        <f t="shared" si="13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20:35:53"},{"id":29,"name":"Sharepoint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168" t="str">
        <f t="shared" si="14"/>
        <v>https://d0f6bd738d7f1b3e5a7ca70fe4ff75f0.us-east-1.aws.found.io/app/kibana#/discover/Steve-Slow-Train-Analysis-(2080s-and-2083s)?_g=(refreshInterval:(display:Off,pause:!f,section:0,value:0),time:(from:'2017-10-23T12:54:54-0600',mode:absolute,to:'2017-10-23T15:35:53-0600'))&amp;_a=(columns:!('Message%20ID',Summary),filters:!(),index:'emp_*',interval:auto,query:(query_string:(analyze_wildcard:!t,query:'%22rtdc.l.rtdc.4008%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3">
      <c r="A99" s="32" t="s">
        <v>806</v>
      </c>
      <c r="B99" s="7">
        <v>4007</v>
      </c>
      <c r="C99" s="21" t="s">
        <v>194</v>
      </c>
      <c r="D99" s="21" t="s">
        <v>943</v>
      </c>
      <c r="E99" s="13">
        <v>43031.609861111108</v>
      </c>
      <c r="F99" s="13">
        <v>43031.623136574075</v>
      </c>
      <c r="G99" s="7">
        <v>71</v>
      </c>
      <c r="H99" s="21" t="s">
        <v>339</v>
      </c>
      <c r="I99" s="13">
        <v>43031.649155092593</v>
      </c>
      <c r="J99" s="7">
        <v>0</v>
      </c>
      <c r="K99" s="89" t="str">
        <f>IF(ISEVEN(B99),(B99-1)&amp;"/"&amp;B99,B99&amp;"/"&amp;(B99+1))</f>
        <v>4007/4008</v>
      </c>
      <c r="L99" s="185" t="str">
        <f>VLOOKUP(A99,'Trips&amp;Operators'!$C$1:$G$99911,5,FALSE)</f>
        <v>SAFIEF AEIMEN</v>
      </c>
      <c r="M99" s="6">
        <f>I99-F99</f>
        <v>2.6018518517958E-2</v>
      </c>
      <c r="N99" s="7">
        <f>24*60*SUM($M99:$M99)</f>
        <v>37.46666666585952</v>
      </c>
      <c r="O99" s="7"/>
      <c r="P99" s="7"/>
      <c r="Q99" s="22"/>
      <c r="R99" s="174"/>
      <c r="S99" s="221">
        <f>1/IF(AG99="EC",12,1)*SUM(U99:U99)</f>
        <v>1</v>
      </c>
      <c r="T99" s="174" t="str">
        <f>IF(ISEVEN(LEFT(AD99,4)),"Southbound","NorthBound")</f>
        <v>Southbound</v>
      </c>
      <c r="U99" s="198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16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2017-10-23T13:38:12-0600',mode:absolute,to:'2017-10-23T16:34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99" s="204" t="str">
        <f>IF(AA99&lt;VLOOKUP(AG99,Variables!$AC$3:$AD$8,2,FALSE),"Y","N")</f>
        <v>N</v>
      </c>
      <c r="X99" s="204">
        <f>VALUE(LEFT(AD99,4))-VALUE(LEFT(AD98,4))</f>
        <v>1</v>
      </c>
      <c r="Y99" s="204">
        <f>RIGHT(D99,LEN(D99)-4)/10000</f>
        <v>23.3017</v>
      </c>
      <c r="Z99" s="204">
        <f>RIGHT(H99,LEN(H99)-4)/10000</f>
        <v>1.47E-2</v>
      </c>
      <c r="AA99" s="204">
        <f>ABS(Z99-Y99)</f>
        <v>23.286999999999999</v>
      </c>
      <c r="AB99" s="54" t="e">
        <f>VLOOKUP(A99,Enforcements!$C$7:$K$11,8,0)</f>
        <v>#N/A</v>
      </c>
      <c r="AC99" s="51" t="e">
        <f>VLOOKUP(A99,Enforcements!$C$7:$E$11,3,0)</f>
        <v>#N/A</v>
      </c>
      <c r="AD99" s="179">
        <f>VALUE(LEFT(A99,LEN(A99)-3))</f>
        <v>184</v>
      </c>
      <c r="AE99" s="77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s3://rtdc.mdm.uploadarchive.raw/RTDC4007/ "%USERPROFILE%\AppData\Local\Temp\OnboardLogs"\RTDC4007\2017-10-23 --exclude "*" --recursive --include "*20171023*" &amp; "%USERPROFILE%\Documents\GitHub\mrs-test-scripts\Headless Mode &amp; Sideloading\WalkAndUnGZ.bat" "%USERPROFILE%\AppData\Local\Temp\OnboardLogs"\RTDC4007\2017-10-23 &amp; aws s3 cp s3://rtdc.mdm.uploadarchive.raw/RTDC4007/ "%USERPROFILE%\AppData\Local\Temp\OnboardLogs"\RTDC4007\2017-10-24 --exclude "*" --recursive --include "*20171024*" &amp; "%USERPROFILE%\Documents\GitHub\mrs-test-scripts\Headless Mode &amp; Sideloading\WalkAndUnGZ.bat" "%USERPROFILE%\AppData\Local\Temp\OnboardLogs"\RTDC4007\2017-10-24</v>
      </c>
      <c r="AF99" s="74" t="str">
        <f>astrogrep_path&amp;" /e /r /s /spath="&amp;search_path&amp;" /stypes=""app*"&amp;B99&amp;"*"&amp;TEXT(I99-utc_offset/24,"YYYYMMDD")&amp;"*"" /stext="" "&amp;TEXT(I99-utc_offset/24,"HH")&amp;search_regexp&amp;""""</f>
        <v>"C:\Program Files (x86)\AstroGrep\AstroGrep.exe" /e /r /s /spath="%USERPROFILE%\AppData\Local\Temp\OnboardLogs" /stypes="app*4007*20171023*" /stext=" 21:.+((SYSTEM_STATE.+slice.+state.+changed )|(ment ac)|(multiple cpu faults)|(system.+state.+changed )|(\[timeout)|(PRM\|1\|D)|(kpr)|(kdp)|(train st.+moving)|(\|lc)|(penalty))"</v>
      </c>
      <c r="AG99" s="182" t="str">
        <f>DetSubdiv(A99)</f>
        <v>EC</v>
      </c>
      <c r="AH99" s="78" t="str">
        <f t="shared" si="10"/>
        <v>"%USERPROFILE%\Documents\GitHub\eaglep3\Utilities\RefineRTDCRunTimes.py" --tripid 184-23 --locoid 4007 --swversion DE.1.0.9.0 --startMP 204:233017 --initTime 2017-10-23T14:38:12 --startdatetime 2017-10-23T14:57:19 --delay 71 --endMP 204:147 --enddatetime 2017-10-23T15:34:47 --enforcementcount 0 &gt;&gt;%USERPROFILE%\Documents\GitHub\eaglep3-reporting\EC\2017-10-23-refined-times.txt</v>
      </c>
      <c r="AI99" s="96" t="str">
        <f t="shared" si="11"/>
        <v>echo {"issue":{"subject":"","project_id":79,"tracker_id":40,"status_id":1,"priority_id":2,"assigned_to_id":338,"start_date":"2017-10-23","description":"","custom_fields":[{"id":1,"name":"Subdivision","value":"EC"},{"id":4,"name":"Milepost","value":"0.0147"},{"id":17,"name":"Train ID","value":"184-23"},{"id":16,"name":"Locomotive ID","value":"4007"},{"id":130,"name":"Impact","value":""},{"id":150,"name":"Time of Event (Mountain Time)","value":"15:34:47"},{"id":151,"name":"Denver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0"/>
      <c r="AK99" s="47"/>
      <c r="AL99" s="47"/>
      <c r="AM99" s="142" t="str">
        <f t="shared" si="12"/>
        <v>start /low /b %USERPROFILE%\Documents\GitHub\eaglep3\Utilities\DownloadLogsFromS3.py --loco 4007 --day 2017-10-23</v>
      </c>
      <c r="AN99" s="151" t="str">
        <f t="shared" si="13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21:34:47"},{"id":29,"name":"Sharepoint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168" t="str">
        <f t="shared" si="14"/>
        <v>https://d0f6bd738d7f1b3e5a7ca70fe4ff75f0.us-east-1.aws.found.io/app/kibana#/discover/Steve-Slow-Train-Analysis-(2080s-and-2083s)?_g=(refreshInterval:(display:Off,pause:!f,section:0,value:0),time:(from:'2017-10-23T13:38:12-0600',mode:absolute,to:'2017-10-23T16:34:47-0600'))&amp;_a=(columns:!('Message%20ID',Summary),filters:!(),index:'emp_*',interval:auto,query:(query_string:(analyze_wildcard:!t,query:'%22rtdc.l.rtdc.4007%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3">
      <c r="A100" s="32" t="s">
        <v>802</v>
      </c>
      <c r="B100" s="7">
        <v>4046</v>
      </c>
      <c r="C100" s="21" t="s">
        <v>194</v>
      </c>
      <c r="D100" s="21" t="s">
        <v>933</v>
      </c>
      <c r="E100" s="13">
        <v>43031.590868055559</v>
      </c>
      <c r="F100" s="13">
        <v>43031.593935185185</v>
      </c>
      <c r="G100" s="7">
        <v>90</v>
      </c>
      <c r="H100" s="21" t="s">
        <v>452</v>
      </c>
      <c r="I100" s="13">
        <v>43031.620081018518</v>
      </c>
      <c r="J100" s="7">
        <v>0</v>
      </c>
      <c r="K100" s="89" t="str">
        <f>IF(ISEVEN(B100),(B100-1)&amp;"/"&amp;B100,B100&amp;"/"&amp;(B100+1))</f>
        <v>4045/4046</v>
      </c>
      <c r="L100" s="185" t="str">
        <f>VLOOKUP(A100,'Trips&amp;Operators'!$C$1:$G$99911,5,FALSE)</f>
        <v>BADERTSCHER DIANE</v>
      </c>
      <c r="M100" s="6">
        <f>I100-F100</f>
        <v>2.6145833333430346E-2</v>
      </c>
      <c r="N100" s="7">
        <f>24*60*SUM($M100:$M100)</f>
        <v>37.650000000139698</v>
      </c>
      <c r="O100" s="7"/>
      <c r="P100" s="7"/>
      <c r="Q100" s="22"/>
      <c r="R100" s="174"/>
      <c r="S100" s="221">
        <f>1/IF(AG100="EC",12,1)*SUM(U100:U100)</f>
        <v>1</v>
      </c>
      <c r="T100" s="174" t="str">
        <f>IF(ISEVEN(LEFT(AD100,4)),"Southbound","NorthBound")</f>
        <v>NorthBound</v>
      </c>
      <c r="U100" s="198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16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2017-10-23T13:10:51-0600',mode:absolute,to:'2017-10-23T15:52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00" s="204" t="str">
        <f>IF(AA100&lt;VLOOKUP(AG100,Variables!$AC$3:$AD$8,2,FALSE),"Y","N")</f>
        <v>N</v>
      </c>
      <c r="X100" s="204">
        <f>VALUE(LEFT(AD100,4))-VALUE(LEFT(AD99,4))</f>
        <v>1</v>
      </c>
      <c r="Y100" s="204">
        <f>RIGHT(D100,LEN(D100)-4)/10000</f>
        <v>4.8800000000000003E-2</v>
      </c>
      <c r="Z100" s="204">
        <f>RIGHT(H100,LEN(H100)-4)/10000</f>
        <v>23.3309</v>
      </c>
      <c r="AA100" s="204">
        <f>ABS(Z100-Y100)</f>
        <v>23.2821</v>
      </c>
      <c r="AB100" s="54" t="e">
        <f>VLOOKUP(A100,Enforcements!$C$7:$K$11,8,0)</f>
        <v>#N/A</v>
      </c>
      <c r="AC100" s="51" t="e">
        <f>VLOOKUP(A100,Enforcements!$C$7:$E$11,3,0)</f>
        <v>#N/A</v>
      </c>
      <c r="AD100" s="179">
        <f>VALUE(LEFT(A100,LEN(A100)-3))</f>
        <v>185</v>
      </c>
      <c r="AE100" s="77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s3://rtdc.mdm.uploadarchive.raw/RTDC4046/ "%USERPROFILE%\AppData\Local\Temp\OnboardLogs"\RTDC4046\2017-10-23 --exclude "*" --recursive --include "*20171023*" &amp; "%USERPROFILE%\Documents\GitHub\mrs-test-scripts\Headless Mode &amp; Sideloading\WalkAndUnGZ.bat" "%USERPROFILE%\AppData\Local\Temp\OnboardLogs"\RTDC4046\2017-10-23 &amp; aws s3 cp s3://rtdc.mdm.uploadarchive.raw/RTDC4046/ "%USERPROFILE%\AppData\Local\Temp\OnboardLogs"\RTDC4046\2017-10-24 --exclude "*" --recursive --include "*20171024*" &amp; "%USERPROFILE%\Documents\GitHub\mrs-test-scripts\Headless Mode &amp; Sideloading\WalkAndUnGZ.bat" "%USERPROFILE%\AppData\Local\Temp\OnboardLogs"\RTDC4046\2017-10-24</v>
      </c>
      <c r="AF100" s="74" t="str">
        <f>astrogrep_path&amp;" /e /r /s /spath="&amp;search_path&amp;" /stypes=""app*"&amp;B100&amp;"*"&amp;TEXT(I100-utc_offset/24,"YYYYMMDD")&amp;"*"" /stext="" "&amp;TEXT(I100-utc_offset/24,"HH")&amp;search_regexp&amp;""""</f>
        <v>"C:\Program Files (x86)\AstroGrep\AstroGrep.exe" /e /r /s /spath="%USERPROFILE%\AppData\Local\Temp\OnboardLogs" /stypes="app*4046*20171023*" /stext=" 20:.+((SYSTEM_STATE.+slice.+state.+changed )|(ment ac)|(multiple cpu faults)|(system.+state.+changed )|(\[timeout)|(PRM\|1\|D)|(kpr)|(kdp)|(train st.+moving)|(\|lc)|(penalty))"</v>
      </c>
      <c r="AG100" s="182" t="str">
        <f>DetSubdiv(A100)</f>
        <v>EC</v>
      </c>
      <c r="AH100" s="78" t="str">
        <f t="shared" si="10"/>
        <v>"%USERPROFILE%\Documents\GitHub\eaglep3\Utilities\RefineRTDCRunTimes.py" --tripid 185-23 --locoid 4046 --swversion DE.1.0.9.0 --startMP 204:488 --initTime 2017-10-23T14:10:51 --startdatetime 2017-10-23T14:15:16 --delay 90 --endMP 204:233309 --enddatetime 2017-10-23T14:52:55 --enforcementcount 0 &gt;&gt;%USERPROFILE%\Documents\GitHub\eaglep3-reporting\EC\2017-10-23-refined-times.txt</v>
      </c>
      <c r="AI100" s="96" t="str">
        <f t="shared" si="11"/>
        <v>echo {"issue":{"subject":"","project_id":79,"tracker_id":40,"status_id":1,"priority_id":2,"assigned_to_id":338,"start_date":"2017-10-23","description":"","custom_fields":[{"id":1,"name":"Subdivision","value":"EC"},{"id":4,"name":"Milepost","value":"23.3309"},{"id":17,"name":"Train ID","value":"185-23"},{"id":16,"name":"Locomotive ID","value":"4046"},{"id":130,"name":"Impact","value":""},{"id":150,"name":"Time of Event (Mountain Time)","value":"14:52:55"},{"id":151,"name":"Denver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0"/>
      <c r="AK100" s="47"/>
      <c r="AL100" s="47"/>
      <c r="AM100" s="142" t="str">
        <f t="shared" si="12"/>
        <v>start /low /b %USERPROFILE%\Documents\GitHub\eaglep3\Utilities\DownloadLogsFromS3.py --loco 4046 --day 2017-10-23</v>
      </c>
      <c r="AN100" s="151" t="str">
        <f t="shared" si="13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20:52:55"},{"id":29,"name":"Sharepoint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168" t="str">
        <f t="shared" si="14"/>
        <v>https://d0f6bd738d7f1b3e5a7ca70fe4ff75f0.us-east-1.aws.found.io/app/kibana#/discover/Steve-Slow-Train-Analysis-(2080s-and-2083s)?_g=(refreshInterval:(display:Off,pause:!f,section:0,value:0),time:(from:'2017-10-23T13:10:51-0600',mode:absolute,to:'2017-10-23T15:52:55-0600'))&amp;_a=(columns:!('Message%20ID',Summary),filters:!(),index:'emp_*',interval:auto,query:(query_string:(analyze_wildcard:!t,query:'%22rtdc.l.rtdc.4046%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1" customFormat="1" x14ac:dyDescent="0.3">
      <c r="A101" s="32" t="s">
        <v>664</v>
      </c>
      <c r="B101" s="7">
        <v>4045</v>
      </c>
      <c r="C101" s="21" t="s">
        <v>194</v>
      </c>
      <c r="D101" s="21" t="s">
        <v>558</v>
      </c>
      <c r="E101" s="13">
        <v>43031.627060185187</v>
      </c>
      <c r="F101" s="13">
        <v>43031.633518518516</v>
      </c>
      <c r="G101" s="7">
        <v>74</v>
      </c>
      <c r="H101" s="21" t="s">
        <v>371</v>
      </c>
      <c r="I101" s="13">
        <v>43031.661053240743</v>
      </c>
      <c r="J101" s="7">
        <v>0</v>
      </c>
      <c r="K101" s="89" t="str">
        <f>IF(ISEVEN(B101),(B101-1)&amp;"/"&amp;B101,B101&amp;"/"&amp;(B101+1))</f>
        <v>4045/4046</v>
      </c>
      <c r="L101" s="185" t="str">
        <f>VLOOKUP(A101,'Trips&amp;Operators'!$C$1:$G$99911,5,FALSE)</f>
        <v>BADERTSCHER DIANE</v>
      </c>
      <c r="M101" s="6">
        <f>I101-F101</f>
        <v>2.7534722226846498E-2</v>
      </c>
      <c r="N101" s="7">
        <f>24*60*SUM($M101:$M101)</f>
        <v>39.650000006658956</v>
      </c>
      <c r="O101" s="7"/>
      <c r="P101" s="7"/>
      <c r="Q101" s="22"/>
      <c r="R101" s="174"/>
      <c r="S101" s="221">
        <f>1/IF(AG101="EC",12,1)*SUM(U101:U101)</f>
        <v>1</v>
      </c>
      <c r="T101" s="174" t="str">
        <f>IF(ISEVEN(LEFT(AD101,4)),"Southbound","NorthBound")</f>
        <v>Southbound</v>
      </c>
      <c r="U101" s="198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16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2017-10-23T14:02:58-0600',mode:absolute,to:'2017-10-23T16:51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01" s="204" t="str">
        <f>IF(AA101&lt;VLOOKUP(AG101,Variables!$AC$3:$AD$8,2,FALSE),"Y","N")</f>
        <v>N</v>
      </c>
      <c r="X101" s="204">
        <f>VALUE(LEFT(AD101,4))-VALUE(LEFT(AD100,4))</f>
        <v>1</v>
      </c>
      <c r="Y101" s="204">
        <f>RIGHT(D101,LEN(D101)-4)/10000</f>
        <v>23.296900000000001</v>
      </c>
      <c r="Z101" s="204">
        <f>RIGHT(H101,LEN(H101)-4)/10000</f>
        <v>1.54E-2</v>
      </c>
      <c r="AA101" s="204">
        <f>ABS(Z101-Y101)</f>
        <v>23.281500000000001</v>
      </c>
      <c r="AB101" s="54" t="e">
        <f>VLOOKUP(A101,Enforcements!$C$7:$K$11,8,0)</f>
        <v>#N/A</v>
      </c>
      <c r="AC101" s="51" t="e">
        <f>VLOOKUP(A101,Enforcements!$C$7:$E$11,3,0)</f>
        <v>#N/A</v>
      </c>
      <c r="AD101" s="179">
        <f>VALUE(LEFT(A101,LEN(A101)-3))</f>
        <v>186</v>
      </c>
      <c r="AE101" s="77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s3://rtdc.mdm.uploadarchive.raw/RTDC4045/ "%USERPROFILE%\AppData\Local\Temp\OnboardLogs"\RTDC4045\2017-10-23 --exclude "*" --recursive --include "*20171023*" &amp; "%USERPROFILE%\Documents\GitHub\mrs-test-scripts\Headless Mode &amp; Sideloading\WalkAndUnGZ.bat" "%USERPROFILE%\AppData\Local\Temp\OnboardLogs"\RTDC4045\2017-10-23 &amp; aws s3 cp s3://rtdc.mdm.uploadarchive.raw/RTDC4045/ "%USERPROFILE%\AppData\Local\Temp\OnboardLogs"\RTDC4045\2017-10-24 --exclude "*" --recursive --include "*20171024*" &amp; "%USERPROFILE%\Documents\GitHub\mrs-test-scripts\Headless Mode &amp; Sideloading\WalkAndUnGZ.bat" "%USERPROFILE%\AppData\Local\Temp\OnboardLogs"\RTDC4045\2017-10-24</v>
      </c>
      <c r="AF101" s="74" t="str">
        <f>astrogrep_path&amp;" /e /r /s /spath="&amp;search_path&amp;" /stypes=""app*"&amp;B101&amp;"*"&amp;TEXT(I101-utc_offset/24,"YYYYMMDD")&amp;"*"" /stext="" "&amp;TEXT(I101-utc_offset/24,"HH")&amp;search_regexp&amp;""""</f>
        <v>"C:\Program Files (x86)\AstroGrep\AstroGrep.exe" /e /r /s /spath="%USERPROFILE%\AppData\Local\Temp\OnboardLogs" /stypes="app*4045*20171023*" /stext=" 21:.+((SYSTEM_STATE.+slice.+state.+changed )|(ment ac)|(multiple cpu faults)|(system.+state.+changed )|(\[timeout)|(PRM\|1\|D)|(kpr)|(kdp)|(train st.+moving)|(\|lc)|(penalty))"</v>
      </c>
      <c r="AG101" s="182" t="str">
        <f>DetSubdiv(A101)</f>
        <v>EC</v>
      </c>
      <c r="AH101" s="78" t="str">
        <f t="shared" si="10"/>
        <v>"%USERPROFILE%\Documents\GitHub\eaglep3\Utilities\RefineRTDCRunTimes.py" --tripid 186-23 --locoid 4045 --swversion DE.1.0.9.0 --startMP 204:232969 --initTime 2017-10-23T15:02:58 --startdatetime 2017-10-23T15:12:16 --delay 74 --endMP 204:154 --enddatetime 2017-10-23T15:51:55 --enforcementcount 0 &gt;&gt;%USERPROFILE%\Documents\GitHub\eaglep3-reporting\EC\2017-10-23-refined-times.txt</v>
      </c>
      <c r="AI101" s="96" t="str">
        <f t="shared" si="11"/>
        <v>echo {"issue":{"subject":"","project_id":79,"tracker_id":40,"status_id":1,"priority_id":2,"assigned_to_id":338,"start_date":"2017-10-23","description":"","custom_fields":[{"id":1,"name":"Subdivision","value":"EC"},{"id":4,"name":"Milepost","value":"0.0154"},{"id":17,"name":"Train ID","value":"186-23"},{"id":16,"name":"Locomotive ID","value":"4045"},{"id":130,"name":"Impact","value":""},{"id":150,"name":"Time of Event (Mountain Time)","value":"15:51:55"},{"id":151,"name":"Denver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1" s="20"/>
      <c r="AK101" s="47"/>
      <c r="AL101" s="47"/>
      <c r="AM101" s="142" t="str">
        <f t="shared" si="12"/>
        <v>start /low /b %USERPROFILE%\Documents\GitHub\eaglep3\Utilities\DownloadLogsFromS3.py --loco 4045 --day 2017-10-23</v>
      </c>
      <c r="AN101" s="151" t="str">
        <f t="shared" si="13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21:51:55"},{"id":29,"name":"Sharepoint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168" t="str">
        <f t="shared" si="14"/>
        <v>https://d0f6bd738d7f1b3e5a7ca70fe4ff75f0.us-east-1.aws.found.io/app/kibana#/discover/Steve-Slow-Train-Analysis-(2080s-and-2083s)?_g=(refreshInterval:(display:Off,pause:!f,section:0,value:0),time:(from:'2017-10-23T14:02:58-0600',mode:absolute,to:'2017-10-23T16:51:55-0600'))&amp;_a=(columns:!('Message%20ID',Summary),filters:!(),index:'emp_*',interval:auto,query:(query_string:(analyze_wildcard:!t,query:'%22rtdc.l.rtdc.4045%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x14ac:dyDescent="0.3">
      <c r="A102" s="32" t="s">
        <v>804</v>
      </c>
      <c r="B102" s="7">
        <v>4004</v>
      </c>
      <c r="C102" s="21" t="s">
        <v>194</v>
      </c>
      <c r="D102" s="21" t="s">
        <v>410</v>
      </c>
      <c r="E102" s="13">
        <v>43031.599699074075</v>
      </c>
      <c r="F102" s="13">
        <v>43031.604409722226</v>
      </c>
      <c r="G102" s="7">
        <v>59</v>
      </c>
      <c r="H102" s="21" t="s">
        <v>562</v>
      </c>
      <c r="I102" s="13">
        <v>43031.629189814812</v>
      </c>
      <c r="J102" s="7">
        <v>0</v>
      </c>
      <c r="K102" s="89" t="str">
        <f>IF(ISEVEN(B102),(B102-1)&amp;"/"&amp;B102,B102&amp;"/"&amp;(B102+1))</f>
        <v>4003/4004</v>
      </c>
      <c r="L102" s="185" t="str">
        <f>VLOOKUP(A102,'Trips&amp;Operators'!$C$1:$G$99911,5,FALSE)</f>
        <v>SMITH MICHAEL</v>
      </c>
      <c r="M102" s="6">
        <f>I102-F102</f>
        <v>2.4780092586297542E-2</v>
      </c>
      <c r="N102" s="7">
        <f>24*60*SUM($M102:$M102)</f>
        <v>35.68333332426846</v>
      </c>
      <c r="O102" s="7"/>
      <c r="P102" s="7"/>
      <c r="Q102" s="22"/>
      <c r="R102" s="174"/>
      <c r="S102" s="221">
        <f>1/IF(AG102="EC",12,1)*SUM(U102:U102)</f>
        <v>1</v>
      </c>
      <c r="T102" s="174" t="str">
        <f>IF(ISEVEN(LEFT(AD102,4)),"Southbound","NorthBound")</f>
        <v>NorthBound</v>
      </c>
      <c r="U102" s="198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16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-10-23T13:23:34-0600',mode:absolute,to:'2017-10-23T16:06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02" s="204" t="str">
        <f>IF(AA102&lt;VLOOKUP(AG102,Variables!$AC$3:$AD$8,2,FALSE),"Y","N")</f>
        <v>N</v>
      </c>
      <c r="X102" s="204">
        <f>VALUE(LEFT(AD102,4))-VALUE(LEFT(AD101,4))</f>
        <v>1</v>
      </c>
      <c r="Y102" s="204">
        <f>RIGHT(D102,LEN(D102)-4)/10000</f>
        <v>4.3999999999999997E-2</v>
      </c>
      <c r="Z102" s="204">
        <f>RIGHT(H102,LEN(H102)-4)/10000</f>
        <v>23.331900000000001</v>
      </c>
      <c r="AA102" s="204">
        <f>ABS(Z102-Y102)</f>
        <v>23.2879</v>
      </c>
      <c r="AB102" s="54" t="e">
        <f>VLOOKUP(A102,Enforcements!$C$7:$K$11,8,0)</f>
        <v>#N/A</v>
      </c>
      <c r="AC102" s="51" t="e">
        <f>VLOOKUP(A102,Enforcements!$C$7:$E$11,3,0)</f>
        <v>#N/A</v>
      </c>
      <c r="AD102" s="179">
        <f>VALUE(LEFT(A102,LEN(A102)-3))</f>
        <v>187</v>
      </c>
      <c r="AE102" s="77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s3://rtdc.mdm.uploadarchive.raw/RTDC4004/ "%USERPROFILE%\AppData\Local\Temp\OnboardLogs"\RTDC4004\2017-10-23 --exclude "*" --recursive --include "*20171023*" &amp; "%USERPROFILE%\Documents\GitHub\mrs-test-scripts\Headless Mode &amp; Sideloading\WalkAndUnGZ.bat" "%USERPROFILE%\AppData\Local\Temp\OnboardLogs"\RTDC4004\2017-10-23 &amp; aws s3 cp s3://rtdc.mdm.uploadarchive.raw/RTDC4004/ "%USERPROFILE%\AppData\Local\Temp\OnboardLogs"\RTDC4004\2017-10-24 --exclude "*" --recursive --include "*20171024*" &amp; "%USERPROFILE%\Documents\GitHub\mrs-test-scripts\Headless Mode &amp; Sideloading\WalkAndUnGZ.bat" "%USERPROFILE%\AppData\Local\Temp\OnboardLogs"\RTDC4004\2017-10-24</v>
      </c>
      <c r="AF102" s="74" t="str">
        <f>astrogrep_path&amp;" /e /r /s /spath="&amp;search_path&amp;" /stypes=""app*"&amp;B102&amp;"*"&amp;TEXT(I102-utc_offset/24,"YYYYMMDD")&amp;"*"" /stext="" "&amp;TEXT(I102-utc_offset/24,"HH")&amp;search_regexp&amp;""""</f>
        <v>"C:\Program Files (x86)\AstroGrep\AstroGrep.exe" /e /r /s /spath="%USERPROFILE%\AppData\Local\Temp\OnboardLogs" /stypes="app*4004*20171023*" /stext=" 21:.+((SYSTEM_STATE.+slice.+state.+changed )|(ment ac)|(multiple cpu faults)|(system.+state.+changed )|(\[timeout)|(PRM\|1\|D)|(kpr)|(kdp)|(train st.+moving)|(\|lc)|(penalty))"</v>
      </c>
      <c r="AG102" s="182" t="str">
        <f>DetSubdiv(A102)</f>
        <v>EC</v>
      </c>
      <c r="AH102" s="78" t="str">
        <f t="shared" si="10"/>
        <v>"%USERPROFILE%\Documents\GitHub\eaglep3\Utilities\RefineRTDCRunTimes.py" --tripid 187-23 --locoid 4004 --swversion DE.1.0.9.0 --startMP 204:440 --initTime 2017-10-23T14:23:34 --startdatetime 2017-10-23T14:30:21 --delay 59 --endMP 204:233319 --enddatetime 2017-10-23T15:06:02 --enforcementcount 0 &gt;&gt;%USERPROFILE%\Documents\GitHub\eaglep3-reporting\EC\2017-10-23-refined-times.txt</v>
      </c>
      <c r="AI102" s="96" t="str">
        <f t="shared" si="11"/>
        <v>echo {"issue":{"subject":"","project_id":79,"tracker_id":40,"status_id":1,"priority_id":2,"assigned_to_id":338,"start_date":"2017-10-23","description":"","custom_fields":[{"id":1,"name":"Subdivision","value":"EC"},{"id":4,"name":"Milepost","value":"23.3319"},{"id":17,"name":"Train ID","value":"187-23"},{"id":16,"name":"Locomotive ID","value":"4004"},{"id":130,"name":"Impact","value":""},{"id":150,"name":"Time of Event (Mountain Time)","value":"15:06:02"},{"id":151,"name":"Denver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2" s="20"/>
      <c r="AK102" s="47"/>
      <c r="AL102" s="47"/>
      <c r="AM102" s="142" t="str">
        <f t="shared" si="12"/>
        <v>start /low /b %USERPROFILE%\Documents\GitHub\eaglep3\Utilities\DownloadLogsFromS3.py --loco 4004 --day 2017-10-23</v>
      </c>
      <c r="AN102" s="151" t="str">
        <f t="shared" si="13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21:06:02"},{"id":29,"name":"Sharepoint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168" t="str">
        <f t="shared" si="14"/>
        <v>https://d0f6bd738d7f1b3e5a7ca70fe4ff75f0.us-east-1.aws.found.io/app/kibana#/discover/Steve-Slow-Train-Analysis-(2080s-and-2083s)?_g=(refreshInterval:(display:Off,pause:!f,section:0,value:0),time:(from:'2017-10-23T13:23:34-0600',mode:absolute,to:'2017-10-23T16:06:02-0600'))&amp;_a=(columns:!('Message%20ID',Summary),filters:!(),index:'emp_*',interval:auto,query:(query_string:(analyze_wildcard:!t,query:'%22rtdc.l.rtdc.4004%22')),sort:!(Time.ISO8601,asc))</v>
      </c>
    </row>
    <row r="103" spans="1:91" s="20" customFormat="1" x14ac:dyDescent="0.3">
      <c r="A103" s="32" t="s">
        <v>811</v>
      </c>
      <c r="B103" s="7">
        <v>4003</v>
      </c>
      <c r="C103" s="21" t="s">
        <v>194</v>
      </c>
      <c r="D103" s="21" t="s">
        <v>625</v>
      </c>
      <c r="E103" s="13">
        <v>43031.637013888889</v>
      </c>
      <c r="F103" s="13">
        <v>43031.644004629627</v>
      </c>
      <c r="G103" s="7">
        <v>68</v>
      </c>
      <c r="H103" s="21" t="s">
        <v>335</v>
      </c>
      <c r="I103" s="13">
        <v>43031.670752314814</v>
      </c>
      <c r="J103" s="7">
        <v>0</v>
      </c>
      <c r="K103" s="89" t="str">
        <f>IF(ISEVEN(B103),(B103-1)&amp;"/"&amp;B103,B103&amp;"/"&amp;(B103+1))</f>
        <v>4003/4004</v>
      </c>
      <c r="L103" s="185" t="str">
        <f>VLOOKUP(A103,'Trips&amp;Operators'!$C$1:$G$99911,5,FALSE)</f>
        <v>SMITH MICHAEL</v>
      </c>
      <c r="M103" s="6">
        <f>I103-F103</f>
        <v>2.6747685187729076E-2</v>
      </c>
      <c r="N103" s="7">
        <f>24*60*SUM($M103:$M103)</f>
        <v>38.516666670329869</v>
      </c>
      <c r="O103" s="7"/>
      <c r="P103" s="7"/>
      <c r="Q103" s="22"/>
      <c r="R103" s="174"/>
      <c r="S103" s="221">
        <f>1/IF(AG103="EC",12,1)*SUM(U103:U103)</f>
        <v>1</v>
      </c>
      <c r="T103" s="174" t="str">
        <f>IF(ISEVEN(LEFT(AD103,4)),"Southbound","NorthBound")</f>
        <v>Southbound</v>
      </c>
      <c r="U103" s="198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16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2017-10-23T14:17:18-0600',mode:absolute,to:'2017-10-23T17:05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03" s="204" t="str">
        <f>IF(AA103&lt;VLOOKUP(AG103,Variables!$AC$3:$AD$8,2,FALSE),"Y","N")</f>
        <v>N</v>
      </c>
      <c r="X103" s="204">
        <f>VALUE(LEFT(AD103,4))-VALUE(LEFT(AD102,4))</f>
        <v>1</v>
      </c>
      <c r="Y103" s="204">
        <f>RIGHT(D103,LEN(D103)-4)/10000</f>
        <v>23.3004</v>
      </c>
      <c r="Z103" s="204">
        <f>RIGHT(H103,LEN(H103)-4)/10000</f>
        <v>1.4999999999999999E-2</v>
      </c>
      <c r="AA103" s="204">
        <f>ABS(Z103-Y103)</f>
        <v>23.285399999999999</v>
      </c>
      <c r="AB103" s="54" t="e">
        <f>VLOOKUP(A103,Enforcements!$C$7:$K$11,8,0)</f>
        <v>#N/A</v>
      </c>
      <c r="AC103" s="51" t="e">
        <f>VLOOKUP(A103,Enforcements!$C$7:$E$11,3,0)</f>
        <v>#N/A</v>
      </c>
      <c r="AD103" s="179">
        <f>VALUE(LEFT(A103,LEN(A103)-3))</f>
        <v>188</v>
      </c>
      <c r="AE103" s="77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s3://rtdc.mdm.uploadarchive.raw/RTDC4003/ "%USERPROFILE%\AppData\Local\Temp\OnboardLogs"\RTDC4003\2017-10-23 --exclude "*" --recursive --include "*20171023*" &amp; "%USERPROFILE%\Documents\GitHub\mrs-test-scripts\Headless Mode &amp; Sideloading\WalkAndUnGZ.bat" "%USERPROFILE%\AppData\Local\Temp\OnboardLogs"\RTDC4003\2017-10-23 &amp; aws s3 cp s3://rtdc.mdm.uploadarchive.raw/RTDC4003/ "%USERPROFILE%\AppData\Local\Temp\OnboardLogs"\RTDC4003\2017-10-24 --exclude "*" --recursive --include "*20171024*" &amp; "%USERPROFILE%\Documents\GitHub\mrs-test-scripts\Headless Mode &amp; Sideloading\WalkAndUnGZ.bat" "%USERPROFILE%\AppData\Local\Temp\OnboardLogs"\RTDC4003\2017-10-24</v>
      </c>
      <c r="AF103" s="74" t="str">
        <f>astrogrep_path&amp;" /e /r /s /spath="&amp;search_path&amp;" /stypes=""app*"&amp;B103&amp;"*"&amp;TEXT(I103-utc_offset/24,"YYYYMMDD")&amp;"*"" /stext="" "&amp;TEXT(I103-utc_offset/24,"HH")&amp;search_regexp&amp;""""</f>
        <v>"C:\Program Files (x86)\AstroGrep\AstroGrep.exe" /e /r /s /spath="%USERPROFILE%\AppData\Local\Temp\OnboardLogs" /stypes="app*4003*20171023*" /stext=" 22:.+((SYSTEM_STATE.+slice.+state.+changed )|(ment ac)|(multiple cpu faults)|(system.+state.+changed )|(\[timeout)|(PRM\|1\|D)|(kpr)|(kdp)|(train st.+moving)|(\|lc)|(penalty))"</v>
      </c>
      <c r="AG103" s="182" t="str">
        <f>DetSubdiv(A103)</f>
        <v>EC</v>
      </c>
      <c r="AH103" s="78" t="str">
        <f t="shared" si="10"/>
        <v>"%USERPROFILE%\Documents\GitHub\eaglep3\Utilities\RefineRTDCRunTimes.py" --tripid 188-23 --locoid 4003 --swversion DE.1.0.9.0 --startMP 204:233004 --initTime 2017-10-23T15:17:18 --startdatetime 2017-10-23T15:27:22 --delay 68 --endMP 204:150 --enddatetime 2017-10-23T16:05:53 --enforcementcount 0 &gt;&gt;%USERPROFILE%\Documents\GitHub\eaglep3-reporting\EC\2017-10-23-refined-times.txt</v>
      </c>
      <c r="AI103" s="96" t="str">
        <f t="shared" si="11"/>
        <v>echo {"issue":{"subject":"","project_id":79,"tracker_id":40,"status_id":1,"priority_id":2,"assigned_to_id":338,"start_date":"2017-10-23","description":"","custom_fields":[{"id":1,"name":"Subdivision","value":"EC"},{"id":4,"name":"Milepost","value":"0.015"},{"id":17,"name":"Train ID","value":"188-23"},{"id":16,"name":"Locomotive ID","value":"4003"},{"id":130,"name":"Impact","value":""},{"id":150,"name":"Time of Event (Mountain Time)","value":"16:05:53"},{"id":151,"name":"Denver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3" s="47"/>
      <c r="AL103" s="47"/>
      <c r="AM103" s="142" t="str">
        <f t="shared" si="12"/>
        <v>start /low /b %USERPROFILE%\Documents\GitHub\eaglep3\Utilities\DownloadLogsFromS3.py --loco 4003 --day 2017-10-23</v>
      </c>
      <c r="AN103" s="151" t="str">
        <f t="shared" si="13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22:05:53"},{"id":29,"name":"Sharepoint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168" t="str">
        <f t="shared" si="14"/>
        <v>https://d0f6bd738d7f1b3e5a7ca70fe4ff75f0.us-east-1.aws.found.io/app/kibana#/discover/Steve-Slow-Train-Analysis-(2080s-and-2083s)?_g=(refreshInterval:(display:Off,pause:!f,section:0,value:0),time:(from:'2017-10-23T14:17:18-0600',mode:absolute,to:'2017-10-23T17:05:53-0600'))&amp;_a=(columns:!('Message%20ID',Summary),filters:!(),index:'emp_*',interval:auto,query:(query_string:(analyze_wildcard:!t,query:'%22rtdc.l.rtdc.4003%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3">
      <c r="A104" s="32" t="s">
        <v>807</v>
      </c>
      <c r="B104" s="7">
        <v>4050</v>
      </c>
      <c r="C104" s="21" t="s">
        <v>194</v>
      </c>
      <c r="D104" s="21" t="s">
        <v>461</v>
      </c>
      <c r="E104" s="13">
        <v>43031.611863425926</v>
      </c>
      <c r="F104" s="13">
        <v>43031.614976851852</v>
      </c>
      <c r="G104" s="7">
        <v>90</v>
      </c>
      <c r="H104" s="21" t="s">
        <v>941</v>
      </c>
      <c r="I104" s="13">
        <v>43031.64203703704</v>
      </c>
      <c r="J104" s="7">
        <v>0</v>
      </c>
      <c r="K104" s="89" t="str">
        <f>IF(ISEVEN(B104),(B104-1)&amp;"/"&amp;B104,B104&amp;"/"&amp;(B104+1))</f>
        <v>4049/4050</v>
      </c>
      <c r="L104" s="185" t="str">
        <f>VLOOKUP(A104,'Trips&amp;Operators'!$C$1:$G$99911,5,FALSE)</f>
        <v>DAVIS MICHAEL</v>
      </c>
      <c r="M104" s="6">
        <f>I104-F104</f>
        <v>2.7060185188020114E-2</v>
      </c>
      <c r="N104" s="7">
        <f>24*60*SUM($M104:$M104)</f>
        <v>38.966666670748964</v>
      </c>
      <c r="O104" s="7"/>
      <c r="P104" s="7"/>
      <c r="Q104" s="22"/>
      <c r="R104" s="174"/>
      <c r="S104" s="221">
        <f>1/IF(AG104="EC",12,1)*SUM(U104:U104)</f>
        <v>1</v>
      </c>
      <c r="T104" s="174" t="str">
        <f>IF(ISEVEN(LEFT(AD104,4)),"Southbound","NorthBound")</f>
        <v>NorthBound</v>
      </c>
      <c r="U104" s="198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16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2017-10-23T13:41:05-0600',mode:absolute,to:'2017-10-23T16:24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04" s="204" t="str">
        <f>IF(AA104&lt;VLOOKUP(AG104,Variables!$AC$3:$AD$8,2,FALSE),"Y","N")</f>
        <v>N</v>
      </c>
      <c r="X104" s="204">
        <f>VALUE(LEFT(AD104,4))-VALUE(LEFT(AD103,4))</f>
        <v>1</v>
      </c>
      <c r="Y104" s="204">
        <f>RIGHT(D104,LEN(D104)-4)/10000</f>
        <v>4.6600000000000003E-2</v>
      </c>
      <c r="Z104" s="204">
        <f>RIGHT(H104,LEN(H104)-4)/10000</f>
        <v>23.332999999999998</v>
      </c>
      <c r="AA104" s="204">
        <f>ABS(Z104-Y104)</f>
        <v>23.286399999999997</v>
      </c>
      <c r="AB104" s="54" t="e">
        <f>VLOOKUP(A104,Enforcements!$C$7:$K$11,8,0)</f>
        <v>#N/A</v>
      </c>
      <c r="AC104" s="51" t="e">
        <f>VLOOKUP(A104,Enforcements!$C$7:$E$11,3,0)</f>
        <v>#N/A</v>
      </c>
      <c r="AD104" s="179">
        <f>VALUE(LEFT(A104,LEN(A104)-3))</f>
        <v>189</v>
      </c>
      <c r="AE104" s="77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s3://rtdc.mdm.uploadarchive.raw/RTDC4050/ "%USERPROFILE%\AppData\Local\Temp\OnboardLogs"\RTDC4050\2017-10-23 --exclude "*" --recursive --include "*20171023*" &amp; "%USERPROFILE%\Documents\GitHub\mrs-test-scripts\Headless Mode &amp; Sideloading\WalkAndUnGZ.bat" "%USERPROFILE%\AppData\Local\Temp\OnboardLogs"\RTDC4050\2017-10-23 &amp; aws s3 cp s3://rtdc.mdm.uploadarchive.raw/RTDC4050/ "%USERPROFILE%\AppData\Local\Temp\OnboardLogs"\RTDC4050\2017-10-24 --exclude "*" --recursive --include "*20171024*" &amp; "%USERPROFILE%\Documents\GitHub\mrs-test-scripts\Headless Mode &amp; Sideloading\WalkAndUnGZ.bat" "%USERPROFILE%\AppData\Local\Temp\OnboardLogs"\RTDC4050\2017-10-24</v>
      </c>
      <c r="AF104" s="74" t="str">
        <f>astrogrep_path&amp;" /e /r /s /spath="&amp;search_path&amp;" /stypes=""app*"&amp;B104&amp;"*"&amp;TEXT(I104-utc_offset/24,"YYYYMMDD")&amp;"*"" /stext="" "&amp;TEXT(I104-utc_offset/24,"HH")&amp;search_regexp&amp;""""</f>
        <v>"C:\Program Files (x86)\AstroGrep\AstroGrep.exe" /e /r /s /spath="%USERPROFILE%\AppData\Local\Temp\OnboardLogs" /stypes="app*4050*20171023*" /stext=" 21:.+((SYSTEM_STATE.+slice.+state.+changed )|(ment ac)|(multiple cpu faults)|(system.+state.+changed )|(\[timeout)|(PRM\|1\|D)|(kpr)|(kdp)|(train st.+moving)|(\|lc)|(penalty))"</v>
      </c>
      <c r="AG104" s="182" t="str">
        <f>DetSubdiv(A104)</f>
        <v>EC</v>
      </c>
      <c r="AH104" s="78" t="str">
        <f t="shared" si="10"/>
        <v>"%USERPROFILE%\Documents\GitHub\eaglep3\Utilities\RefineRTDCRunTimes.py" --tripid 189-23 --locoid 4050 --swversion DE.1.0.9.0 --startMP 204:466 --initTime 2017-10-23T14:41:05 --startdatetime 2017-10-23T14:45:34 --delay 90 --endMP 204:233330 --enddatetime 2017-10-23T15:24:32 --enforcementcount 0 &gt;&gt;%USERPROFILE%\Documents\GitHub\eaglep3-reporting\EC\2017-10-23-refined-times.txt</v>
      </c>
      <c r="AI104" s="96" t="str">
        <f t="shared" si="11"/>
        <v>echo {"issue":{"subject":"","project_id":79,"tracker_id":40,"status_id":1,"priority_id":2,"assigned_to_id":338,"start_date":"2017-10-23","description":"","custom_fields":[{"id":1,"name":"Subdivision","value":"EC"},{"id":4,"name":"Milepost","value":"23.333"},{"id":17,"name":"Train ID","value":"189-23"},{"id":16,"name":"Locomotive ID","value":"4050"},{"id":130,"name":"Impact","value":""},{"id":150,"name":"Time of Event (Mountain Time)","value":"15:24:32"},{"id":151,"name":"Denver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4" s="47"/>
      <c r="AL104" s="47"/>
      <c r="AM104" s="142" t="str">
        <f t="shared" si="12"/>
        <v>start /low /b %USERPROFILE%\Documents\GitHub\eaglep3\Utilities\DownloadLogsFromS3.py --loco 4050 --day 2017-10-23</v>
      </c>
      <c r="AN104" s="151" t="str">
        <f t="shared" si="13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21:24:32"},{"id":29,"name":"Sharepoint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168" t="str">
        <f t="shared" si="14"/>
        <v>https://d0f6bd738d7f1b3e5a7ca70fe4ff75f0.us-east-1.aws.found.io/app/kibana#/discover/Steve-Slow-Train-Analysis-(2080s-and-2083s)?_g=(refreshInterval:(display:Off,pause:!f,section:0,value:0),time:(from:'2017-10-23T13:41:05-0600',mode:absolute,to:'2017-10-23T16:24:32-0600'))&amp;_a=(columns:!('Message%20ID',Summary),filters:!(),index:'emp_*',interval:auto,query:(query_string:(analyze_wildcard:!t,query:'%22rtdc.l.rtdc.4050%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3">
      <c r="A105" s="32" t="s">
        <v>815</v>
      </c>
      <c r="B105" s="7">
        <v>4049</v>
      </c>
      <c r="C105" s="21" t="s">
        <v>194</v>
      </c>
      <c r="D105" s="21" t="s">
        <v>944</v>
      </c>
      <c r="E105" s="13">
        <v>43031.652060185188</v>
      </c>
      <c r="F105" s="13">
        <v>43031.654756944445</v>
      </c>
      <c r="G105" s="7">
        <v>62</v>
      </c>
      <c r="H105" s="21" t="s">
        <v>337</v>
      </c>
      <c r="I105" s="13">
        <v>43031.682662037034</v>
      </c>
      <c r="J105" s="7">
        <v>0</v>
      </c>
      <c r="K105" s="89" t="str">
        <f>IF(ISEVEN(B105),(B105-1)&amp;"/"&amp;B105,B105&amp;"/"&amp;(B105+1))</f>
        <v>4049/4050</v>
      </c>
      <c r="L105" s="185" t="str">
        <f>VLOOKUP(A105,'Trips&amp;Operators'!$C$1:$G$99911,5,FALSE)</f>
        <v>DAVIS MICHAEL</v>
      </c>
      <c r="M105" s="6">
        <f>I105-F105</f>
        <v>2.7905092589207925E-2</v>
      </c>
      <c r="N105" s="7">
        <f>24*60*SUM($M105:$M105)</f>
        <v>40.183333328459412</v>
      </c>
      <c r="O105" s="7"/>
      <c r="P105" s="7"/>
      <c r="Q105" s="22"/>
      <c r="R105" s="174"/>
      <c r="S105" s="221">
        <f>1/IF(AG105="EC",12,1)*SUM(U105:U105)</f>
        <v>1</v>
      </c>
      <c r="T105" s="174" t="str">
        <f>IF(ISEVEN(LEFT(AD105,4)),"Southbound","NorthBound")</f>
        <v>Southbound</v>
      </c>
      <c r="U105" s="198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16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2017-10-23T14:38:58-0600',mode:absolute,to:'2017-10-23T17:23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05" s="204" t="str">
        <f>IF(AA105&lt;VLOOKUP(AG105,Variables!$AC$3:$AD$8,2,FALSE),"Y","N")</f>
        <v>N</v>
      </c>
      <c r="X105" s="204">
        <f>VALUE(LEFT(AD105,4))-VALUE(LEFT(AD104,4))</f>
        <v>1</v>
      </c>
      <c r="Y105" s="204">
        <f>RIGHT(D105,LEN(D105)-4)/10000</f>
        <v>23.300699999999999</v>
      </c>
      <c r="Z105" s="204">
        <f>RIGHT(H105,LEN(H105)-4)/10000</f>
        <v>1.43E-2</v>
      </c>
      <c r="AA105" s="204">
        <f>ABS(Z105-Y105)</f>
        <v>23.2864</v>
      </c>
      <c r="AB105" s="54" t="e">
        <f>VLOOKUP(A105,Enforcements!$C$7:$K$11,8,0)</f>
        <v>#N/A</v>
      </c>
      <c r="AC105" s="51" t="e">
        <f>VLOOKUP(A105,Enforcements!$C$7:$E$11,3,0)</f>
        <v>#N/A</v>
      </c>
      <c r="AD105" s="179">
        <f>VALUE(LEFT(A105,LEN(A105)-3))</f>
        <v>190</v>
      </c>
      <c r="AE105" s="77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s3://rtdc.mdm.uploadarchive.raw/RTDC4049/ "%USERPROFILE%\AppData\Local\Temp\OnboardLogs"\RTDC4049\2017-10-23 --exclude "*" --recursive --include "*20171023*" &amp; "%USERPROFILE%\Documents\GitHub\mrs-test-scripts\Headless Mode &amp; Sideloading\WalkAndUnGZ.bat" "%USERPROFILE%\AppData\Local\Temp\OnboardLogs"\RTDC4049\2017-10-23 &amp; aws s3 cp s3://rtdc.mdm.uploadarchive.raw/RTDC4049/ "%USERPROFILE%\AppData\Local\Temp\OnboardLogs"\RTDC4049\2017-10-24 --exclude "*" --recursive --include "*20171024*" &amp; "%USERPROFILE%\Documents\GitHub\mrs-test-scripts\Headless Mode &amp; Sideloading\WalkAndUnGZ.bat" "%USERPROFILE%\AppData\Local\Temp\OnboardLogs"\RTDC4049\2017-10-24</v>
      </c>
      <c r="AF105" s="74" t="str">
        <f>astrogrep_path&amp;" /e /r /s /spath="&amp;search_path&amp;" /stypes=""app*"&amp;B105&amp;"*"&amp;TEXT(I105-utc_offset/24,"YYYYMMDD")&amp;"*"" /stext="" "&amp;TEXT(I105-utc_offset/24,"HH")&amp;search_regexp&amp;""""</f>
        <v>"C:\Program Files (x86)\AstroGrep\AstroGrep.exe" /e /r /s /spath="%USERPROFILE%\AppData\Local\Temp\OnboardLogs" /stypes="app*4049*20171023*" /stext=" 22:.+((SYSTEM_STATE.+slice.+state.+changed )|(ment ac)|(multiple cpu faults)|(system.+state.+changed )|(\[timeout)|(PRM\|1\|D)|(kpr)|(kdp)|(train st.+moving)|(\|lc)|(penalty))"</v>
      </c>
      <c r="AG105" s="182" t="str">
        <f>DetSubdiv(A105)</f>
        <v>EC</v>
      </c>
      <c r="AH105" s="78" t="str">
        <f t="shared" si="10"/>
        <v>"%USERPROFILE%\Documents\GitHub\eaglep3\Utilities\RefineRTDCRunTimes.py" --tripid 190-23 --locoid 4049 --swversion DE.1.0.9.0 --startMP 204:233007 --initTime 2017-10-23T15:38:58 --startdatetime 2017-10-23T15:42:51 --delay 62 --endMP 204:143 --enddatetime 2017-10-23T16:23:02 --enforcementcount 0 &gt;&gt;%USERPROFILE%\Documents\GitHub\eaglep3-reporting\EC\2017-10-23-refined-times.txt</v>
      </c>
      <c r="AI105" s="96" t="str">
        <f t="shared" si="11"/>
        <v>echo {"issue":{"subject":"","project_id":79,"tracker_id":40,"status_id":1,"priority_id":2,"assigned_to_id":338,"start_date":"2017-10-23","description":"","custom_fields":[{"id":1,"name":"Subdivision","value":"EC"},{"id":4,"name":"Milepost","value":"0.0143"},{"id":17,"name":"Train ID","value":"190-23"},{"id":16,"name":"Locomotive ID","value":"4049"},{"id":130,"name":"Impact","value":""},{"id":150,"name":"Time of Event (Mountain Time)","value":"16:23:02"},{"id":151,"name":"Denver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5" s="47"/>
      <c r="AL105" s="47"/>
      <c r="AM105" s="142" t="str">
        <f t="shared" si="12"/>
        <v>start /low /b %USERPROFILE%\Documents\GitHub\eaglep3\Utilities\DownloadLogsFromS3.py --loco 4049 --day 2017-10-23</v>
      </c>
      <c r="AN105" s="151" t="str">
        <f t="shared" si="13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22:23:02"},{"id":29,"name":"Sharepoint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168" t="str">
        <f t="shared" si="14"/>
        <v>https://d0f6bd738d7f1b3e5a7ca70fe4ff75f0.us-east-1.aws.found.io/app/kibana#/discover/Steve-Slow-Train-Analysis-(2080s-and-2083s)?_g=(refreshInterval:(display:Off,pause:!f,section:0,value:0),time:(from:'2017-10-23T14:38:58-0600',mode:absolute,to:'2017-10-23T17:23:02-0600'))&amp;_a=(columns:!('Message%20ID',Summary),filters:!(),index:'emp_*',interval:auto,query:(query_string:(analyze_wildcard:!t,query:'%22rtdc.l.rtdc.4049%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3">
      <c r="A106" s="32" t="s">
        <v>808</v>
      </c>
      <c r="B106" s="7">
        <v>4018</v>
      </c>
      <c r="C106" s="21" t="s">
        <v>194</v>
      </c>
      <c r="D106" s="21" t="s">
        <v>376</v>
      </c>
      <c r="E106" s="13">
        <v>43031.623310185183</v>
      </c>
      <c r="F106" s="13">
        <v>43031.625393518516</v>
      </c>
      <c r="G106" s="7">
        <v>80</v>
      </c>
      <c r="H106" s="21" t="s">
        <v>628</v>
      </c>
      <c r="I106" s="13">
        <v>43031.650173611109</v>
      </c>
      <c r="J106" s="7">
        <v>0</v>
      </c>
      <c r="K106" s="89" t="str">
        <f>IF(ISEVEN(B106),(B106-1)&amp;"/"&amp;B106,B106&amp;"/"&amp;(B106+1))</f>
        <v>4017/4018</v>
      </c>
      <c r="L106" s="185" t="str">
        <f>VLOOKUP(A106,'Trips&amp;Operators'!$C$1:$G$99911,5,FALSE)</f>
        <v>STEWART MICHAEL</v>
      </c>
      <c r="M106" s="6">
        <f>I106-F106</f>
        <v>2.4780092593573499E-2</v>
      </c>
      <c r="N106" s="7">
        <f>24*60*SUM($M106:$M106)</f>
        <v>35.683333334745839</v>
      </c>
      <c r="O106" s="7"/>
      <c r="P106" s="7"/>
      <c r="Q106" s="22"/>
      <c r="R106" s="174"/>
      <c r="S106" s="221">
        <f>1/IF(AG106="EC",12,1)*SUM(U106:U106)</f>
        <v>1</v>
      </c>
      <c r="T106" s="174" t="str">
        <f>IF(ISEVEN(LEFT(AD106,4)),"Southbound","NorthBound")</f>
        <v>NorthBound</v>
      </c>
      <c r="U106" s="198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16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2017-10-23T13:57:34-0600',mode:absolute,to:'2017-10-23T16:36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6" s="204" t="str">
        <f>IF(AA106&lt;VLOOKUP(AG106,Variables!$AC$3:$AD$8,2,FALSE),"Y","N")</f>
        <v>N</v>
      </c>
      <c r="X106" s="204">
        <f>VALUE(LEFT(AD106,4))-VALUE(LEFT(AD105,4))</f>
        <v>1</v>
      </c>
      <c r="Y106" s="204">
        <f>RIGHT(D106,LEN(D106)-4)/10000</f>
        <v>4.5699999999999998E-2</v>
      </c>
      <c r="Z106" s="204">
        <f>RIGHT(H106,LEN(H106)-4)/10000</f>
        <v>23.33</v>
      </c>
      <c r="AA106" s="204">
        <f>ABS(Z106-Y106)</f>
        <v>23.284299999999998</v>
      </c>
      <c r="AB106" s="54" t="e">
        <f>VLOOKUP(A106,Enforcements!$C$7:$K$11,8,0)</f>
        <v>#N/A</v>
      </c>
      <c r="AC106" s="51" t="e">
        <f>VLOOKUP(A106,Enforcements!$C$7:$E$11,3,0)</f>
        <v>#N/A</v>
      </c>
      <c r="AD106" s="179">
        <f>VALUE(LEFT(A106,LEN(A106)-3))</f>
        <v>191</v>
      </c>
      <c r="AE106" s="77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s3://rtdc.mdm.uploadarchive.raw/RTDC4018/ "%USERPROFILE%\AppData\Local\Temp\OnboardLogs"\RTDC4018\2017-10-23 --exclude "*" --recursive --include "*20171023*" &amp; "%USERPROFILE%\Documents\GitHub\mrs-test-scripts\Headless Mode &amp; Sideloading\WalkAndUnGZ.bat" "%USERPROFILE%\AppData\Local\Temp\OnboardLogs"\RTDC4018\2017-10-23 &amp; aws s3 cp s3://rtdc.mdm.uploadarchive.raw/RTDC4018/ "%USERPROFILE%\AppData\Local\Temp\OnboardLogs"\RTDC4018\2017-10-24 --exclude "*" --recursive --include "*20171024*" &amp; "%USERPROFILE%\Documents\GitHub\mrs-test-scripts\Headless Mode &amp; Sideloading\WalkAndUnGZ.bat" "%USERPROFILE%\AppData\Local\Temp\OnboardLogs"\RTDC4018\2017-10-24</v>
      </c>
      <c r="AF106" s="74" t="str">
        <f>astrogrep_path&amp;" /e /r /s /spath="&amp;search_path&amp;" /stypes=""app*"&amp;B106&amp;"*"&amp;TEXT(I106-utc_offset/24,"YYYYMMDD")&amp;"*"" /stext="" "&amp;TEXT(I106-utc_offset/24,"HH")&amp;search_regexp&amp;""""</f>
        <v>"C:\Program Files (x86)\AstroGrep\AstroGrep.exe" /e /r /s /spath="%USERPROFILE%\AppData\Local\Temp\OnboardLogs" /stypes="app*4018*20171023*" /stext=" 21:.+((SYSTEM_STATE.+slice.+state.+changed )|(ment ac)|(multiple cpu faults)|(system.+state.+changed )|(\[timeout)|(PRM\|1\|D)|(kpr)|(kdp)|(train st.+moving)|(\|lc)|(penalty))"</v>
      </c>
      <c r="AG106" s="182" t="str">
        <f>DetSubdiv(A106)</f>
        <v>EC</v>
      </c>
      <c r="AH106" s="78" t="str">
        <f t="shared" si="10"/>
        <v>"%USERPROFILE%\Documents\GitHub\eaglep3\Utilities\RefineRTDCRunTimes.py" --tripid 191-23 --locoid 4018 --swversion DE.1.0.9.0 --startMP 204:457 --initTime 2017-10-23T14:57:34 --startdatetime 2017-10-23T15:00:34 --delay 80 --endMP 204:233300 --enddatetime 2017-10-23T15:36:15 --enforcementcount 0 &gt;&gt;%USERPROFILE%\Documents\GitHub\eaglep3-reporting\EC\2017-10-23-refined-times.txt</v>
      </c>
      <c r="AI106" s="96" t="str">
        <f t="shared" si="11"/>
        <v>echo {"issue":{"subject":"","project_id":79,"tracker_id":40,"status_id":1,"priority_id":2,"assigned_to_id":338,"start_date":"2017-10-23","description":"","custom_fields":[{"id":1,"name":"Subdivision","value":"EC"},{"id":4,"name":"Milepost","value":"23.33"},{"id":17,"name":"Train ID","value":"191-23"},{"id":16,"name":"Locomotive ID","value":"4018"},{"id":130,"name":"Impact","value":""},{"id":150,"name":"Time of Event (Mountain Time)","value":"15:36:15"},{"id":151,"name":"Denver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6" s="47"/>
      <c r="AL106" s="47"/>
      <c r="AM106" s="142" t="str">
        <f t="shared" si="12"/>
        <v>start /low /b %USERPROFILE%\Documents\GitHub\eaglep3\Utilities\DownloadLogsFromS3.py --loco 4018 --day 2017-10-23</v>
      </c>
      <c r="AN106" s="151" t="str">
        <f t="shared" si="13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21:36:15"},{"id":29,"name":"Sharepoint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168" t="str">
        <f t="shared" si="14"/>
        <v>https://d0f6bd738d7f1b3e5a7ca70fe4ff75f0.us-east-1.aws.found.io/app/kibana#/discover/Steve-Slow-Train-Analysis-(2080s-and-2083s)?_g=(refreshInterval:(display:Off,pause:!f,section:0,value:0),time:(from:'2017-10-23T13:57:34-0600',mode:absolute,to:'2017-10-23T16:36:15-0600'))&amp;_a=(columns:!('Message%20ID',Summary),filters:!(),index:'emp_*',interval:auto,query:(query_string:(analyze_wildcard:!t,query:'%22rtdc.l.rtdc.4018%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3">
      <c r="A107" s="32" t="s">
        <v>816</v>
      </c>
      <c r="B107" s="7">
        <v>4017</v>
      </c>
      <c r="C107" s="21" t="s">
        <v>194</v>
      </c>
      <c r="D107" s="21" t="s">
        <v>376</v>
      </c>
      <c r="E107" s="13">
        <v>43031.623310185183</v>
      </c>
      <c r="F107" s="13">
        <v>43031.66479166667</v>
      </c>
      <c r="G107" s="7">
        <v>80</v>
      </c>
      <c r="H107" s="21" t="s">
        <v>628</v>
      </c>
      <c r="I107" s="13">
        <v>43031.691400462965</v>
      </c>
      <c r="J107" s="7">
        <v>0</v>
      </c>
      <c r="K107" s="89" t="str">
        <f>IF(ISEVEN(B107),(B107-1)&amp;"/"&amp;B107,B107&amp;"/"&amp;(B107+1))</f>
        <v>4017/4018</v>
      </c>
      <c r="L107" s="185" t="str">
        <f>VLOOKUP(A107,'Trips&amp;Operators'!$C$1:$G$99911,5,FALSE)</f>
        <v>STEWART MICHAEL</v>
      </c>
      <c r="M107" s="6">
        <f>I107-F107</f>
        <v>2.6608796295477077E-2</v>
      </c>
      <c r="N107" s="7">
        <f>24*60*SUM($M107:$M107)</f>
        <v>38.316666665486991</v>
      </c>
      <c r="O107" s="7"/>
      <c r="P107" s="7"/>
      <c r="Q107" s="22"/>
      <c r="R107" s="174"/>
      <c r="S107" s="221">
        <f>1/IF(AG107="EC",12,1)*SUM(U107:U107)</f>
        <v>1</v>
      </c>
      <c r="T107" s="174" t="str">
        <f>IF(ISEVEN(LEFT(AD107,4)),"Southbound","NorthBound")</f>
        <v>Southbound</v>
      </c>
      <c r="U107" s="198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16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2017-10-23T13:57:34-0600',mode:absolute,to:'2017-10-23T17:35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7" s="204" t="str">
        <f>IF(AA107&lt;VLOOKUP(AG107,Variables!$AC$3:$AD$8,2,FALSE),"Y","N")</f>
        <v>N</v>
      </c>
      <c r="X107" s="204">
        <f>VALUE(LEFT(AD107,4))-VALUE(LEFT(AD106,4))</f>
        <v>1</v>
      </c>
      <c r="Y107" s="204">
        <v>23.300699999999999</v>
      </c>
      <c r="Z107" s="204">
        <v>1.43E-2</v>
      </c>
      <c r="AA107" s="204">
        <f>ABS(Z107-Y107)</f>
        <v>23.2864</v>
      </c>
      <c r="AB107" s="54" t="e">
        <f>VLOOKUP(A107,Enforcements!$C$7:$K$11,8,0)</f>
        <v>#N/A</v>
      </c>
      <c r="AC107" s="51" t="e">
        <f>VLOOKUP(A107,Enforcements!$C$7:$E$11,3,0)</f>
        <v>#N/A</v>
      </c>
      <c r="AD107" s="179">
        <f>VALUE(LEFT(A107,LEN(A107)-3))</f>
        <v>192</v>
      </c>
      <c r="AE107" s="77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s3://rtdc.mdm.uploadarchive.raw/RTDC4017/ "%USERPROFILE%\AppData\Local\Temp\OnboardLogs"\RTDC4017\2017-10-23 --exclude "*" --recursive --include "*20171023*" &amp; "%USERPROFILE%\Documents\GitHub\mrs-test-scripts\Headless Mode &amp; Sideloading\WalkAndUnGZ.bat" "%USERPROFILE%\AppData\Local\Temp\OnboardLogs"\RTDC4017\2017-10-23 &amp; aws s3 cp s3://rtdc.mdm.uploadarchive.raw/RTDC4017/ "%USERPROFILE%\AppData\Local\Temp\OnboardLogs"\RTDC4017\2017-10-24 --exclude "*" --recursive --include "*20171024*" &amp; "%USERPROFILE%\Documents\GitHub\mrs-test-scripts\Headless Mode &amp; Sideloading\WalkAndUnGZ.bat" "%USERPROFILE%\AppData\Local\Temp\OnboardLogs"\RTDC4017\2017-10-24</v>
      </c>
      <c r="AF107" s="74" t="str">
        <f>astrogrep_path&amp;" /e /r /s /spath="&amp;search_path&amp;" /stypes=""app*"&amp;B107&amp;"*"&amp;TEXT(I107-utc_offset/24,"YYYYMMDD")&amp;"*"" /stext="" "&amp;TEXT(I107-utc_offset/24,"HH")&amp;search_regexp&amp;""""</f>
        <v>"C:\Program Files (x86)\AstroGrep\AstroGrep.exe" /e /r /s /spath="%USERPROFILE%\AppData\Local\Temp\OnboardLogs" /stypes="app*4017*20171023*" /stext=" 22:.+((SYSTEM_STATE.+slice.+state.+changed )|(ment ac)|(multiple cpu faults)|(system.+state.+changed )|(\[timeout)|(PRM\|1\|D)|(kpr)|(kdp)|(train st.+moving)|(\|lc)|(penalty))"</v>
      </c>
      <c r="AG107" s="182" t="str">
        <f>DetSubdiv(A107)</f>
        <v>EC</v>
      </c>
      <c r="AH107" s="78" t="str">
        <f t="shared" ref="AH107" si="15">refinertdcruntimes&amp;" --tripid "&amp;A107&amp;" --locoid "&amp;B107&amp;" --swversion "&amp;C107&amp;" --startMP "&amp;D107&amp;" --initTime "&amp;TEXT(E107,"yyyy-mm-ddTHH:MM:SS")&amp;" --startdatetime "&amp;TEXT(F107,"yyyy-mm-ddTHH:MM:SS")&amp;" --delay "&amp;G107&amp;" --endMP "&amp;H107&amp;" --enddatetime "&amp;TEXT(I107,"yyyy-mm-ddTHH:MM:SS")&amp;" --enforcementcount "&amp;J107&amp;IF(outputrefinedruntimes," &gt;&gt;"&amp;RefinedRTDCRunTimesOutputFile,"")</f>
        <v>"%USERPROFILE%\Documents\GitHub\eaglep3\Utilities\RefineRTDCRunTimes.py" --tripid 192-23 --locoid 4017 --swversion DE.1.0.9.0 --startMP 204:457 --initTime 2017-10-23T14:57:34 --startdatetime 2017-10-23T15:57:18 --delay 80 --endMP 204:233300 --enddatetime 2017-10-23T16:35:37 --enforcementcount 0 &gt;&gt;%USERPROFILE%\Documents\GitHub\eaglep3-reporting\EC\2017-10-23-refined-times.txt</v>
      </c>
      <c r="AI107" s="96" t="str">
        <f t="shared" ref="AI107" si="16">"echo {""issue"":{""subject"":"""&amp;R107&amp;""",""project_id"":79,""tracker_id"":40,""status_id"":"&amp;redmine_status&amp;",""priority_id"":"&amp;redmine_priority&amp;",""assigned_to_id"":"&amp;redmine_assignee&amp;",""start_date"":"""&amp;TEXT(I107,"YYYY-mm-dd")&amp;""",""description"":"""&amp;AJ107&amp;""",""custom_fields"":[{""id"":1,""name"":""Subdivision"",""value"":"""&amp;AG107&amp;"""},{""id"":4,""name"":""Milepost"",""value"":"""&amp;Z107&amp;"""},{""id"":17,""name"":""Train ID"",""value"":"""&amp;A107&amp;"""},{""id"":16,""name"":""Locomotive ID"",""value"":"""&amp;B107&amp;"""},{""id"":130,""name"":""Impact"",""value"":"""&amp;AK107&amp;"""},{""id"":150,""name"":""Time of Event (Mountain Time)"",""value"":"""&amp;TEXT(I107,"hh:mm:ss")&amp;"""},{""id"":151,""name"":""Denver Issue ID"",""value"":"""&amp;"""},{""id"":178,""name"":""Operational Impact"",""value"":"""&amp;redmine_op_impact&amp;"""},{""id"":179,""name"":""Denver Segment Assigned"",""value"":"""&amp;AL107&amp;"""}]}}"&amp;"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{"issue":{"subject":"","project_id":79,"tracker_id":40,"status_id":1,"priority_id":2,"assigned_to_id":338,"start_date":"2017-10-23","description":"","custom_fields":[{"id":1,"name":"Subdivision","value":"EC"},{"id":4,"name":"Milepost","value":"0.0143"},{"id":17,"name":"Train ID","value":"192-23"},{"id":16,"name":"Locomotive ID","value":"4017"},{"id":130,"name":"Impact","value":""},{"id":150,"name":"Time of Event (Mountain Time)","value":"16:35:37"},{"id":151,"name":"Denver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7" s="47"/>
      <c r="AL107" s="47"/>
      <c r="AM107" s="142" t="str">
        <f t="shared" ref="AM107" si="17">"start /low /b "&amp;dls3logs&amp;" --loco "&amp;B107&amp;" --day "&amp;TEXT(F107,"YYYY-MM-DD")</f>
        <v>start /low /b %USERPROFILE%\Documents\GitHub\eaglep3\Utilities\DownloadLogsFromS3.py --loco 4017 --day 2017-10-23</v>
      </c>
      <c r="AN107" s="151" t="str">
        <f t="shared" ref="AN107" si="18">"echo {""issue"":{""subject"":"""&amp;R107&amp;""",""project_id"":30,""tracker_id"":4,""status_id"":"&amp;redmine_status_wcr&amp;",""priority_id"":"&amp;redmine_priority_wcr&amp;",""assigned_to_id"":"&amp;redmine_assignee_wcr&amp;",""start_date"":"""&amp;TEXT(I107-utc_offset/24,"YYYY-mm-dd")&amp;""",""description"":"""&amp;AJ107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ID"",""value"":"""&amp;B107&amp;"""},{""id"":20,""name"":""RR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UTC"",""value"":"""&amp;TEXT(I107-utc_offset/24,"YYYY-MM-DD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22:35:37"},{"id":29,"name":"Sharepoint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168" t="str">
        <f t="shared" ref="AO107" si="19"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Message%20ID',Summary),filters:!(),index:'emp_*',interval:auto,query:"&amp;"(query_string:(analyze_wildcard:!t,query:'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2017-10-23T13:57:34-0600',mode:absolute,to:'2017-10-23T17:35:37-0600'))&amp;_a=(columns:!('Message%20ID',Summary),filters:!(),index:'emp_*',interval:auto,query:(query_string:(analyze_wildcard:!t,query:'%22rtdc.l.rtdc.4017%22')),sort:!(Time.ISO8601,asc))</v>
      </c>
    </row>
    <row r="108" spans="1:91" s="20" customFormat="1" x14ac:dyDescent="0.3">
      <c r="A108" s="32" t="s">
        <v>810</v>
      </c>
      <c r="B108" s="7">
        <v>4016</v>
      </c>
      <c r="C108" s="21" t="s">
        <v>194</v>
      </c>
      <c r="D108" s="21" t="s">
        <v>383</v>
      </c>
      <c r="E108" s="13">
        <v>43031.630115740743</v>
      </c>
      <c r="F108" s="13">
        <v>43031.635682870372</v>
      </c>
      <c r="G108" s="7">
        <v>74</v>
      </c>
      <c r="H108" s="21" t="s">
        <v>600</v>
      </c>
      <c r="I108" s="13">
        <v>43031.661481481482</v>
      </c>
      <c r="J108" s="7">
        <v>0</v>
      </c>
      <c r="K108" s="89" t="str">
        <f>IF(ISEVEN(B108),(B108-1)&amp;"/"&amp;B108,B108&amp;"/"&amp;(B108+1))</f>
        <v>4015/4016</v>
      </c>
      <c r="L108" s="185" t="str">
        <f>VLOOKUP(A108,'Trips&amp;Operators'!$C$1:$G$99911,5,FALSE)</f>
        <v>LEVERE CRAIG</v>
      </c>
      <c r="M108" s="6">
        <f>I108-F108</f>
        <v>2.5798611110076308E-2</v>
      </c>
      <c r="N108" s="7">
        <f>24*60*SUM($M108:$M108)</f>
        <v>37.149999998509884</v>
      </c>
      <c r="O108" s="7"/>
      <c r="P108" s="7"/>
      <c r="Q108" s="22"/>
      <c r="R108" s="174"/>
      <c r="S108" s="221">
        <f>1/IF(AG108="EC",12,1)*SUM(U108:U108)</f>
        <v>1</v>
      </c>
      <c r="T108" s="174" t="str">
        <f>IF(ISEVEN(LEFT(AD108,4)),"Southbound","NorthBound")</f>
        <v>NorthBound</v>
      </c>
      <c r="U108" s="198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16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-10-23T14:07:22-0600',mode:absolute,to:'2017-10-23T16:52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08" s="204" t="str">
        <f>IF(AA108&lt;VLOOKUP(AG108,Variables!$AC$3:$AD$8,2,FALSE),"Y","N")</f>
        <v>N</v>
      </c>
      <c r="X108" s="204">
        <f>VALUE(LEFT(AD108,4))-VALUE(LEFT(AD107,4))</f>
        <v>1</v>
      </c>
      <c r="Y108" s="204">
        <f>RIGHT(D108,LEN(D108)-4)/10000</f>
        <v>4.6699999999999998E-2</v>
      </c>
      <c r="Z108" s="204">
        <f>RIGHT(H108,LEN(H108)-4)/10000</f>
        <v>23.327000000000002</v>
      </c>
      <c r="AA108" s="204">
        <f>ABS(Z108-Y108)</f>
        <v>23.2803</v>
      </c>
      <c r="AB108" s="54" t="e">
        <f>VLOOKUP(A108,Enforcements!$C$7:$K$11,8,0)</f>
        <v>#N/A</v>
      </c>
      <c r="AC108" s="51" t="e">
        <f>VLOOKUP(A108,Enforcements!$C$7:$E$11,3,0)</f>
        <v>#N/A</v>
      </c>
      <c r="AD108" s="179">
        <f>VALUE(LEFT(A108,LEN(A108)-3))</f>
        <v>193</v>
      </c>
      <c r="AE108" s="77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s3://rtdc.mdm.uploadarchive.raw/RTDC4016/ "%USERPROFILE%\AppData\Local\Temp\OnboardLogs"\RTDC4016\2017-10-23 --exclude "*" --recursive --include "*20171023*" &amp; "%USERPROFILE%\Documents\GitHub\mrs-test-scripts\Headless Mode &amp; Sideloading\WalkAndUnGZ.bat" "%USERPROFILE%\AppData\Local\Temp\OnboardLogs"\RTDC4016\2017-10-23 &amp; aws s3 cp s3://rtdc.mdm.uploadarchive.raw/RTDC4016/ "%USERPROFILE%\AppData\Local\Temp\OnboardLogs"\RTDC4016\2017-10-24 --exclude "*" --recursive --include "*20171024*" &amp; "%USERPROFILE%\Documents\GitHub\mrs-test-scripts\Headless Mode &amp; Sideloading\WalkAndUnGZ.bat" "%USERPROFILE%\AppData\Local\Temp\OnboardLogs"\RTDC4016\2017-10-24</v>
      </c>
      <c r="AF108" s="74" t="str">
        <f>astrogrep_path&amp;" /e /r /s /spath="&amp;search_path&amp;" /stypes=""app*"&amp;B108&amp;"*"&amp;TEXT(I108-utc_offset/24,"YYYYMMDD")&amp;"*"" /stext="" "&amp;TEXT(I108-utc_offset/24,"HH")&amp;search_regexp&amp;""""</f>
        <v>"C:\Program Files (x86)\AstroGrep\AstroGrep.exe" /e /r /s /spath="%USERPROFILE%\AppData\Local\Temp\OnboardLogs" /stypes="app*4016*20171023*" /stext=" 21:.+((SYSTEM_STATE.+slice.+state.+changed )|(ment ac)|(multiple cpu faults)|(system.+state.+changed )|(\[timeout)|(PRM\|1\|D)|(kpr)|(kdp)|(train st.+moving)|(\|lc)|(penalty))"</v>
      </c>
      <c r="AG108" s="182" t="str">
        <f>DetSubdiv(A108)</f>
        <v>EC</v>
      </c>
      <c r="AH108" s="78" t="str">
        <f t="shared" si="10"/>
        <v>"%USERPROFILE%\Documents\GitHub\eaglep3\Utilities\RefineRTDCRunTimes.py" --tripid 193-23 --locoid 4016 --swversion DE.1.0.9.0 --startMP 204:467 --initTime 2017-10-23T15:07:22 --startdatetime 2017-10-23T15:15:23 --delay 74 --endMP 204:233270 --enddatetime 2017-10-23T15:52:32 --enforcementcount 0 &gt;&gt;%USERPROFILE%\Documents\GitHub\eaglep3-reporting\EC\2017-10-23-refined-times.txt</v>
      </c>
      <c r="AI108" s="96" t="str">
        <f t="shared" si="11"/>
        <v>echo {"issue":{"subject":"","project_id":79,"tracker_id":40,"status_id":1,"priority_id":2,"assigned_to_id":338,"start_date":"2017-10-23","description":"","custom_fields":[{"id":1,"name":"Subdivision","value":"EC"},{"id":4,"name":"Milepost","value":"23.327"},{"id":17,"name":"Train ID","value":"193-23"},{"id":16,"name":"Locomotive ID","value":"4016"},{"id":130,"name":"Impact","value":""},{"id":150,"name":"Time of Event (Mountain Time)","value":"15:52:32"},{"id":151,"name":"Denver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8" s="47"/>
      <c r="AL108" s="47"/>
      <c r="AM108" s="142" t="str">
        <f t="shared" si="12"/>
        <v>start /low /b %USERPROFILE%\Documents\GitHub\eaglep3\Utilities\DownloadLogsFromS3.py --loco 4016 --day 2017-10-23</v>
      </c>
      <c r="AN108" s="151" t="str">
        <f t="shared" si="13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21:52:32"},{"id":29,"name":"Sharepoint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168" t="str">
        <f t="shared" si="14"/>
        <v>https://d0f6bd738d7f1b3e5a7ca70fe4ff75f0.us-east-1.aws.found.io/app/kibana#/discover/Steve-Slow-Train-Analysis-(2080s-and-2083s)?_g=(refreshInterval:(display:Off,pause:!f,section:0,value:0),time:(from:'2017-10-23T14:07:22-0600',mode:absolute,to:'2017-10-23T16:52:32-0600'))&amp;_a=(columns:!('Message%20ID',Summary),filters:!(),index:'emp_*',interval:auto,query:(query_string:(analyze_wildcard:!t,query:'%22rtdc.l.rtdc.4016%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3">
      <c r="A109" s="32" t="s">
        <v>666</v>
      </c>
      <c r="B109" s="7">
        <v>4015</v>
      </c>
      <c r="C109" s="21" t="s">
        <v>194</v>
      </c>
      <c r="D109" s="21" t="s">
        <v>558</v>
      </c>
      <c r="E109" s="13">
        <v>43031.672303240739</v>
      </c>
      <c r="F109" s="13">
        <v>43031.675173611111</v>
      </c>
      <c r="G109" s="7">
        <v>74</v>
      </c>
      <c r="H109" s="21" t="s">
        <v>924</v>
      </c>
      <c r="I109" s="13">
        <v>43031.702696759261</v>
      </c>
      <c r="J109" s="7">
        <v>0</v>
      </c>
      <c r="K109" s="89" t="str">
        <f>IF(ISEVEN(B109),(B109-1)&amp;"/"&amp;B109,B109&amp;"/"&amp;(B109+1))</f>
        <v>4015/4016</v>
      </c>
      <c r="L109" s="185" t="str">
        <f>VLOOKUP(A109,'Trips&amp;Operators'!$C$1:$G$99911,5,FALSE)</f>
        <v>LEVERE CRAIG</v>
      </c>
      <c r="M109" s="6">
        <f>I109-F109</f>
        <v>2.7523148150066845E-2</v>
      </c>
      <c r="N109" s="7">
        <f>24*60*SUM($M109:$M109)</f>
        <v>39.633333336096257</v>
      </c>
      <c r="O109" s="7"/>
      <c r="P109" s="7"/>
      <c r="Q109" s="22"/>
      <c r="R109" s="174"/>
      <c r="S109" s="221">
        <f>1/IF(AG109="EC",12,1)*SUM(U109:U109)</f>
        <v>1</v>
      </c>
      <c r="T109" s="174" t="str">
        <f>IF(ISEVEN(LEFT(AD109,4)),"Southbound","NorthBound")</f>
        <v>Southbound</v>
      </c>
      <c r="U109" s="198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16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-10-23T15:08:07-0600',mode:absolute,to:'2017-10-23T17:51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9" s="204" t="str">
        <f>IF(AA109&lt;VLOOKUP(AG109,Variables!$AC$3:$AD$8,2,FALSE),"Y","N")</f>
        <v>N</v>
      </c>
      <c r="X109" s="204">
        <f>VALUE(LEFT(AD109,4))-VALUE(LEFT(AD108,4))</f>
        <v>1</v>
      </c>
      <c r="Y109" s="204">
        <f>RIGHT(D109,LEN(D109)-4)/10000</f>
        <v>23.296900000000001</v>
      </c>
      <c r="Z109" s="204">
        <f>RIGHT(H109,LEN(H109)-4)/10000</f>
        <v>1.6E-2</v>
      </c>
      <c r="AA109" s="204">
        <f>ABS(Z109-Y109)</f>
        <v>23.280900000000003</v>
      </c>
      <c r="AB109" s="54" t="e">
        <f>VLOOKUP(A109,Enforcements!$C$7:$K$11,8,0)</f>
        <v>#N/A</v>
      </c>
      <c r="AC109" s="51" t="e">
        <f>VLOOKUP(A109,Enforcements!$C$7:$E$11,3,0)</f>
        <v>#N/A</v>
      </c>
      <c r="AD109" s="179">
        <f>VALUE(LEFT(A109,LEN(A109)-3))</f>
        <v>194</v>
      </c>
      <c r="AE109" s="77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s3://rtdc.mdm.uploadarchive.raw/RTDC4015/ "%USERPROFILE%\AppData\Local\Temp\OnboardLogs"\RTDC4015\2017-10-23 --exclude "*" --recursive --include "*20171023*" &amp; "%USERPROFILE%\Documents\GitHub\mrs-test-scripts\Headless Mode &amp; Sideloading\WalkAndUnGZ.bat" "%USERPROFILE%\AppData\Local\Temp\OnboardLogs"\RTDC4015\2017-10-23 &amp; aws s3 cp s3://rtdc.mdm.uploadarchive.raw/RTDC4015/ "%USERPROFILE%\AppData\Local\Temp\OnboardLogs"\RTDC4015\2017-10-24 --exclude "*" --recursive --include "*20171024*" &amp; "%USERPROFILE%\Documents\GitHub\mrs-test-scripts\Headless Mode &amp; Sideloading\WalkAndUnGZ.bat" "%USERPROFILE%\AppData\Local\Temp\OnboardLogs"\RTDC4015\2017-10-24</v>
      </c>
      <c r="AF109" s="74" t="str">
        <f>astrogrep_path&amp;" /e /r /s /spath="&amp;search_path&amp;" /stypes=""app*"&amp;B109&amp;"*"&amp;TEXT(I109-utc_offset/24,"YYYYMMDD")&amp;"*"" /stext="" "&amp;TEXT(I109-utc_offset/24,"HH")&amp;search_regexp&amp;""""</f>
        <v>"C:\Program Files (x86)\AstroGrep\AstroGrep.exe" /e /r /s /spath="%USERPROFILE%\AppData\Local\Temp\OnboardLogs" /stypes="app*4015*20171023*" /stext=" 22:.+((SYSTEM_STATE.+slice.+state.+changed )|(ment ac)|(multiple cpu faults)|(system.+state.+changed )|(\[timeout)|(PRM\|1\|D)|(kpr)|(kdp)|(train st.+moving)|(\|lc)|(penalty))"</v>
      </c>
      <c r="AG109" s="182" t="str">
        <f>DetSubdiv(A109)</f>
        <v>EC</v>
      </c>
      <c r="AH109" s="78" t="str">
        <f t="shared" si="10"/>
        <v>"%USERPROFILE%\Documents\GitHub\eaglep3\Utilities\RefineRTDCRunTimes.py" --tripid 194-23 --locoid 4015 --swversion DE.1.0.9.0 --startMP 204:232969 --initTime 2017-10-23T16:08:07 --startdatetime 2017-10-23T16:12:15 --delay 74 --endMP 204:160 --enddatetime 2017-10-23T16:51:53 --enforcementcount 0 &gt;&gt;%USERPROFILE%\Documents\GitHub\eaglep3-reporting\EC\2017-10-23-refined-times.txt</v>
      </c>
      <c r="AI109" s="96" t="str">
        <f t="shared" si="11"/>
        <v>echo {"issue":{"subject":"","project_id":79,"tracker_id":40,"status_id":1,"priority_id":2,"assigned_to_id":338,"start_date":"2017-10-23","description":"","custom_fields":[{"id":1,"name":"Subdivision","value":"EC"},{"id":4,"name":"Milepost","value":"0.016"},{"id":17,"name":"Train ID","value":"194-23"},{"id":16,"name":"Locomotive ID","value":"4015"},{"id":130,"name":"Impact","value":""},{"id":150,"name":"Time of Event (Mountain Time)","value":"16:51:53"},{"id":151,"name":"Denver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9" s="47"/>
      <c r="AL109" s="47"/>
      <c r="AM109" s="142" t="str">
        <f t="shared" si="12"/>
        <v>start /low /b %USERPROFILE%\Documents\GitHub\eaglep3\Utilities\DownloadLogsFromS3.py --loco 4015 --day 2017-10-23</v>
      </c>
      <c r="AN109" s="151" t="str">
        <f t="shared" si="13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22:51:53"},{"id":29,"name":"Sharepoint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168" t="str">
        <f t="shared" si="14"/>
        <v>https://d0f6bd738d7f1b3e5a7ca70fe4ff75f0.us-east-1.aws.found.io/app/kibana#/discover/Steve-Slow-Train-Analysis-(2080s-and-2083s)?_g=(refreshInterval:(display:Off,pause:!f,section:0,value:0),time:(from:'2017-10-23T15:08:07-0600',mode:absolute,to:'2017-10-23T17:51:53-0600'))&amp;_a=(columns:!('Message%20ID',Summary),filters:!(),index:'emp_*',interval:auto,query:(query_string:(analyze_wildcard:!t,query:'%22rtdc.l.rtdc.4015%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3">
      <c r="A110" s="32" t="s">
        <v>812</v>
      </c>
      <c r="B110" s="7">
        <v>4042</v>
      </c>
      <c r="C110" s="21" t="s">
        <v>194</v>
      </c>
      <c r="D110" s="21" t="s">
        <v>376</v>
      </c>
      <c r="E110" s="13">
        <v>43031.641215277778</v>
      </c>
      <c r="F110" s="13">
        <v>43031.646006944444</v>
      </c>
      <c r="G110" s="7">
        <v>61</v>
      </c>
      <c r="H110" s="21" t="s">
        <v>628</v>
      </c>
      <c r="I110" s="13">
        <v>43031.671030092592</v>
      </c>
      <c r="J110" s="7">
        <v>0</v>
      </c>
      <c r="K110" s="89" t="str">
        <f>IF(ISEVEN(B110),(B110-1)&amp;"/"&amp;B110,B110&amp;"/"&amp;(B110+1))</f>
        <v>4041/4042</v>
      </c>
      <c r="L110" s="185" t="str">
        <f>VLOOKUP(A110,'Trips&amp;Operators'!$C$1:$G$99911,5,FALSE)</f>
        <v>GUZMAN DANNY</v>
      </c>
      <c r="M110" s="6">
        <f>I110-F110</f>
        <v>2.5023148147738539E-2</v>
      </c>
      <c r="N110" s="7">
        <f>24*60*SUM($M110:$M110)</f>
        <v>36.033333332743496</v>
      </c>
      <c r="O110" s="7"/>
      <c r="P110" s="7"/>
      <c r="Q110" s="22"/>
      <c r="R110" s="174"/>
      <c r="S110" s="221">
        <f>1/IF(AG110="EC",12,1)*SUM(U110:U110)</f>
        <v>1</v>
      </c>
      <c r="T110" s="174" t="str">
        <f>IF(ISEVEN(LEFT(AD110,4)),"Southbound","NorthBound")</f>
        <v>NorthBound</v>
      </c>
      <c r="U110" s="198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16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2017-10-23T14:23:21-0600',mode:absolute,to:'2017-10-23T17:06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10" s="204" t="str">
        <f>IF(AA110&lt;VLOOKUP(AG110,Variables!$AC$3:$AD$8,2,FALSE),"Y","N")</f>
        <v>N</v>
      </c>
      <c r="X110" s="204">
        <f>VALUE(LEFT(AD110,4))-VALUE(LEFT(AD109,4))</f>
        <v>1</v>
      </c>
      <c r="Y110" s="204">
        <f>RIGHT(D110,LEN(D110)-4)/10000</f>
        <v>4.5699999999999998E-2</v>
      </c>
      <c r="Z110" s="204">
        <f>RIGHT(H110,LEN(H110)-4)/10000</f>
        <v>23.33</v>
      </c>
      <c r="AA110" s="204">
        <f>ABS(Z110-Y110)</f>
        <v>23.284299999999998</v>
      </c>
      <c r="AB110" s="54" t="e">
        <f>VLOOKUP(A110,Enforcements!$C$7:$K$11,8,0)</f>
        <v>#N/A</v>
      </c>
      <c r="AC110" s="51" t="e">
        <f>VLOOKUP(A110,Enforcements!$C$7:$E$11,3,0)</f>
        <v>#N/A</v>
      </c>
      <c r="AD110" s="179">
        <f>VALUE(LEFT(A110,LEN(A110)-3))</f>
        <v>195</v>
      </c>
      <c r="AE110" s="77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s3://rtdc.mdm.uploadarchive.raw/RTDC4042/ "%USERPROFILE%\AppData\Local\Temp\OnboardLogs"\RTDC4042\2017-10-23 --exclude "*" --recursive --include "*20171023*" &amp; "%USERPROFILE%\Documents\GitHub\mrs-test-scripts\Headless Mode &amp; Sideloading\WalkAndUnGZ.bat" "%USERPROFILE%\AppData\Local\Temp\OnboardLogs"\RTDC4042\2017-10-23 &amp; aws s3 cp s3://rtdc.mdm.uploadarchive.raw/RTDC4042/ "%USERPROFILE%\AppData\Local\Temp\OnboardLogs"\RTDC4042\2017-10-24 --exclude "*" --recursive --include "*20171024*" &amp; "%USERPROFILE%\Documents\GitHub\mrs-test-scripts\Headless Mode &amp; Sideloading\WalkAndUnGZ.bat" "%USERPROFILE%\AppData\Local\Temp\OnboardLogs"\RTDC4042\2017-10-24</v>
      </c>
      <c r="AF110" s="74" t="str">
        <f>astrogrep_path&amp;" /e /r /s /spath="&amp;search_path&amp;" /stypes=""app*"&amp;B110&amp;"*"&amp;TEXT(I110-utc_offset/24,"YYYYMMDD")&amp;"*"" /stext="" "&amp;TEXT(I110-utc_offset/24,"HH")&amp;search_regexp&amp;""""</f>
        <v>"C:\Program Files (x86)\AstroGrep\AstroGrep.exe" /e /r /s /spath="%USERPROFILE%\AppData\Local\Temp\OnboardLogs" /stypes="app*4042*20171023*" /stext=" 22:.+((SYSTEM_STATE.+slice.+state.+changed )|(ment ac)|(multiple cpu faults)|(system.+state.+changed )|(\[timeout)|(PRM\|1\|D)|(kpr)|(kdp)|(train st.+moving)|(\|lc)|(penalty))"</v>
      </c>
      <c r="AG110" s="182" t="str">
        <f>DetSubdiv(A110)</f>
        <v>EC</v>
      </c>
      <c r="AH110" s="78" t="str">
        <f t="shared" si="10"/>
        <v>"%USERPROFILE%\Documents\GitHub\eaglep3\Utilities\RefineRTDCRunTimes.py" --tripid 195-23 --locoid 4042 --swversion DE.1.0.9.0 --startMP 204:457 --initTime 2017-10-23T15:23:21 --startdatetime 2017-10-23T15:30:15 --delay 61 --endMP 204:233300 --enddatetime 2017-10-23T16:06:17 --enforcementcount 0 &gt;&gt;%USERPROFILE%\Documents\GitHub\eaglep3-reporting\EC\2017-10-23-refined-times.txt</v>
      </c>
      <c r="AI110" s="96" t="str">
        <f t="shared" si="11"/>
        <v>echo {"issue":{"subject":"","project_id":79,"tracker_id":40,"status_id":1,"priority_id":2,"assigned_to_id":338,"start_date":"2017-10-23","description":"","custom_fields":[{"id":1,"name":"Subdivision","value":"EC"},{"id":4,"name":"Milepost","value":"23.33"},{"id":17,"name":"Train ID","value":"195-23"},{"id":16,"name":"Locomotive ID","value":"4042"},{"id":130,"name":"Impact","value":""},{"id":150,"name":"Time of Event (Mountain Time)","value":"16:06:17"},{"id":151,"name":"Denver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0" s="47"/>
      <c r="AL110" s="47"/>
      <c r="AM110" s="142" t="str">
        <f t="shared" si="12"/>
        <v>start /low /b %USERPROFILE%\Documents\GitHub\eaglep3\Utilities\DownloadLogsFromS3.py --loco 4042 --day 2017-10-23</v>
      </c>
      <c r="AN110" s="151" t="str">
        <f t="shared" si="13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22:06:17"},{"id":29,"name":"Sharepoint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168" t="str">
        <f t="shared" si="14"/>
        <v>https://d0f6bd738d7f1b3e5a7ca70fe4ff75f0.us-east-1.aws.found.io/app/kibana#/discover/Steve-Slow-Train-Analysis-(2080s-and-2083s)?_g=(refreshInterval:(display:Off,pause:!f,section:0,value:0),time:(from:'2017-10-23T14:23:21-0600',mode:absolute,to:'2017-10-23T17:06:17-0600'))&amp;_a=(columns:!('Message%20ID',Summary),filters:!(),index:'emp_*',interval:auto,query:(query_string:(analyze_wildcard:!t,query:'%22rtdc.l.rtdc.4042%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3">
      <c r="A111" s="32" t="s">
        <v>820</v>
      </c>
      <c r="B111" s="7">
        <v>4041</v>
      </c>
      <c r="C111" s="21" t="s">
        <v>194</v>
      </c>
      <c r="D111" s="21" t="s">
        <v>396</v>
      </c>
      <c r="E111" s="13">
        <v>43031.678784722222</v>
      </c>
      <c r="F111" s="13">
        <v>43031.685578703706</v>
      </c>
      <c r="G111" s="7">
        <v>50</v>
      </c>
      <c r="H111" s="21" t="s">
        <v>451</v>
      </c>
      <c r="I111" s="13">
        <v>43031.712291666663</v>
      </c>
      <c r="J111" s="7">
        <v>0</v>
      </c>
      <c r="K111" s="89" t="str">
        <f>IF(ISEVEN(B111),(B111-1)&amp;"/"&amp;B111,B111&amp;"/"&amp;(B111+1))</f>
        <v>4041/4042</v>
      </c>
      <c r="L111" s="185" t="str">
        <f>VLOOKUP(A111,'Trips&amp;Operators'!$C$1:$G$99911,5,FALSE)</f>
        <v>GUZMAN DANNY</v>
      </c>
      <c r="M111" s="6">
        <f>I111-F111</f>
        <v>2.6712962957390118E-2</v>
      </c>
      <c r="N111" s="7">
        <f>24*60*SUM($M111:$M111)</f>
        <v>38.46666665864177</v>
      </c>
      <c r="O111" s="7"/>
      <c r="P111" s="7"/>
      <c r="Q111" s="22"/>
      <c r="R111" s="174"/>
      <c r="S111" s="221">
        <f>1/IF(AG111="EC",12,1)*SUM(U111:U111)</f>
        <v>1</v>
      </c>
      <c r="T111" s="174" t="str">
        <f>IF(ISEVEN(LEFT(AD111,4)),"Southbound","NorthBound")</f>
        <v>Southbound</v>
      </c>
      <c r="U111" s="198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16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-10-23T15:17:27-0600',mode:absolute,to:'2017-10-23T18:05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11" s="204" t="str">
        <f>IF(AA111&lt;VLOOKUP(AG111,Variables!$AC$3:$AD$8,2,FALSE),"Y","N")</f>
        <v>N</v>
      </c>
      <c r="X111" s="204">
        <f>VALUE(LEFT(AD111,4))-VALUE(LEFT(AD110,4))</f>
        <v>1</v>
      </c>
      <c r="Y111" s="204">
        <f>RIGHT(D111,LEN(D111)-4)/10000</f>
        <v>23.299099999999999</v>
      </c>
      <c r="Z111" s="204">
        <f>RIGHT(H111,LEN(H111)-4)/10000</f>
        <v>1.34E-2</v>
      </c>
      <c r="AA111" s="204">
        <f>ABS(Z111-Y111)</f>
        <v>23.285699999999999</v>
      </c>
      <c r="AB111" s="54" t="e">
        <f>VLOOKUP(A111,Enforcements!$C$7:$K$11,8,0)</f>
        <v>#N/A</v>
      </c>
      <c r="AC111" s="51" t="e">
        <f>VLOOKUP(A111,Enforcements!$C$7:$E$11,3,0)</f>
        <v>#N/A</v>
      </c>
      <c r="AD111" s="179">
        <f>VALUE(LEFT(A111,LEN(A111)-3))</f>
        <v>196</v>
      </c>
      <c r="AE111" s="77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s3://rtdc.mdm.uploadarchive.raw/RTDC4041/ "%USERPROFILE%\AppData\Local\Temp\OnboardLogs"\RTDC4041\2017-10-23 --exclude "*" --recursive --include "*20171023*" &amp; "%USERPROFILE%\Documents\GitHub\mrs-test-scripts\Headless Mode &amp; Sideloading\WalkAndUnGZ.bat" "%USERPROFILE%\AppData\Local\Temp\OnboardLogs"\RTDC4041\2017-10-23 &amp; aws s3 cp s3://rtdc.mdm.uploadarchive.raw/RTDC4041/ "%USERPROFILE%\AppData\Local\Temp\OnboardLogs"\RTDC4041\2017-10-24 --exclude "*" --recursive --include "*20171024*" &amp; "%USERPROFILE%\Documents\GitHub\mrs-test-scripts\Headless Mode &amp; Sideloading\WalkAndUnGZ.bat" "%USERPROFILE%\AppData\Local\Temp\OnboardLogs"\RTDC4041\2017-10-24</v>
      </c>
      <c r="AF111" s="74" t="str">
        <f>astrogrep_path&amp;" /e /r /s /spath="&amp;search_path&amp;" /stypes=""app*"&amp;B111&amp;"*"&amp;TEXT(I111-utc_offset/24,"YYYYMMDD")&amp;"*"" /stext="" "&amp;TEXT(I111-utc_offset/24,"HH")&amp;search_regexp&amp;""""</f>
        <v>"C:\Program Files (x86)\AstroGrep\AstroGrep.exe" /e /r /s /spath="%USERPROFILE%\AppData\Local\Temp\OnboardLogs" /stypes="app*4041*20171023*" /stext=" 23:.+((SYSTEM_STATE.+slice.+state.+changed )|(ment ac)|(multiple cpu faults)|(system.+state.+changed )|(\[timeout)|(PRM\|1\|D)|(kpr)|(kdp)|(train st.+moving)|(\|lc)|(penalty))"</v>
      </c>
      <c r="AG111" s="182" t="str">
        <f>DetSubdiv(A111)</f>
        <v>EC</v>
      </c>
      <c r="AH111" s="78" t="str">
        <f t="shared" si="10"/>
        <v>"%USERPROFILE%\Documents\GitHub\eaglep3\Utilities\RefineRTDCRunTimes.py" --tripid 196-23 --locoid 4041 --swversion DE.1.0.9.0 --startMP 204:232991 --initTime 2017-10-23T16:17:27 --startdatetime 2017-10-23T16:27:14 --delay 50 --endMP 204:134 --enddatetime 2017-10-23T17:05:42 --enforcementcount 0 &gt;&gt;%USERPROFILE%\Documents\GitHub\eaglep3-reporting\EC\2017-10-23-refined-times.txt</v>
      </c>
      <c r="AI111" s="96" t="str">
        <f t="shared" si="11"/>
        <v>echo {"issue":{"subject":"","project_id":79,"tracker_id":40,"status_id":1,"priority_id":2,"assigned_to_id":338,"start_date":"2017-10-23","description":"","custom_fields":[{"id":1,"name":"Subdivision","value":"EC"},{"id":4,"name":"Milepost","value":"0.0134"},{"id":17,"name":"Train ID","value":"196-23"},{"id":16,"name":"Locomotive ID","value":"4041"},{"id":130,"name":"Impact","value":""},{"id":150,"name":"Time of Event (Mountain Time)","value":"17:05:42"},{"id":151,"name":"Denver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1" s="47"/>
      <c r="AL111" s="47"/>
      <c r="AM111" s="142" t="str">
        <f t="shared" si="12"/>
        <v>start /low /b %USERPROFILE%\Documents\GitHub\eaglep3\Utilities\DownloadLogsFromS3.py --loco 4041 --day 2017-10-23</v>
      </c>
      <c r="AN111" s="151" t="str">
        <f t="shared" si="13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23:05:42"},{"id":29,"name":"Sharepoint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168" t="str">
        <f t="shared" si="14"/>
        <v>https://d0f6bd738d7f1b3e5a7ca70fe4ff75f0.us-east-1.aws.found.io/app/kibana#/discover/Steve-Slow-Train-Analysis-(2080s-and-2083s)?_g=(refreshInterval:(display:Off,pause:!f,section:0,value:0),time:(from:'2017-10-23T15:17:27-0600',mode:absolute,to:'2017-10-23T18:05:42-0600'))&amp;_a=(columns:!('Message%20ID',Summary),filters:!(),index:'emp_*',interval:auto,query:(query_string:(analyze_wildcard:!t,query:'%22rtdc.l.rtdc.4041%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3">
      <c r="A112" s="32" t="s">
        <v>814</v>
      </c>
      <c r="B112" s="7">
        <v>4008</v>
      </c>
      <c r="C112" s="21" t="s">
        <v>194</v>
      </c>
      <c r="D112" s="21" t="s">
        <v>555</v>
      </c>
      <c r="E112" s="13">
        <v>43031.651365740741</v>
      </c>
      <c r="F112" s="13">
        <v>43031.656550925924</v>
      </c>
      <c r="G112" s="7">
        <v>78</v>
      </c>
      <c r="H112" s="21" t="s">
        <v>456</v>
      </c>
      <c r="I112" s="13">
        <v>43031.681527777779</v>
      </c>
      <c r="J112" s="7">
        <v>0</v>
      </c>
      <c r="K112" s="89" t="str">
        <f>IF(ISEVEN(B112),(B112-1)&amp;"/"&amp;B112,B112&amp;"/"&amp;(B112+1))</f>
        <v>4007/4008</v>
      </c>
      <c r="L112" s="185" t="str">
        <f>VLOOKUP(A112,'Trips&amp;Operators'!$C$1:$G$99911,5,FALSE)</f>
        <v>SAFIEF AEIMEN</v>
      </c>
      <c r="M112" s="6">
        <f>I112-F112</f>
        <v>2.4976851855171844E-2</v>
      </c>
      <c r="N112" s="7">
        <f>24*60*SUM($M112:$M112)</f>
        <v>35.966666671447456</v>
      </c>
      <c r="O112" s="7"/>
      <c r="P112" s="7"/>
      <c r="Q112" s="22"/>
      <c r="R112" s="174"/>
      <c r="S112" s="221">
        <f>1/IF(AG112="EC",12,1)*SUM(U112:U112)</f>
        <v>1</v>
      </c>
      <c r="T112" s="174" t="str">
        <f>IF(ISEVEN(LEFT(AD112,4)),"Southbound","NorthBound")</f>
        <v>NorthBound</v>
      </c>
      <c r="U112" s="198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16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-10-23T14:37:58-0600',mode:absolute,to:'2017-10-23T17:21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12" s="204" t="str">
        <f>IF(AA112&lt;VLOOKUP(AG112,Variables!$AC$3:$AD$8,2,FALSE),"Y","N")</f>
        <v>N</v>
      </c>
      <c r="X112" s="204">
        <f>VALUE(LEFT(AD112,4))-VALUE(LEFT(AD111,4))</f>
        <v>1</v>
      </c>
      <c r="Y112" s="204">
        <f>RIGHT(D112,LEN(D112)-4)/10000</f>
        <v>4.4900000000000002E-2</v>
      </c>
      <c r="Z112" s="204">
        <f>RIGHT(H112,LEN(H112)-4)/10000</f>
        <v>23.331800000000001</v>
      </c>
      <c r="AA112" s="204">
        <f>ABS(Z112-Y112)</f>
        <v>23.286900000000003</v>
      </c>
      <c r="AB112" s="54" t="e">
        <f>VLOOKUP(A112,Enforcements!$C$7:$K$11,8,0)</f>
        <v>#N/A</v>
      </c>
      <c r="AC112" s="51" t="e">
        <f>VLOOKUP(A112,Enforcements!$C$7:$E$11,3,0)</f>
        <v>#N/A</v>
      </c>
      <c r="AD112" s="179">
        <f>VALUE(LEFT(A112,LEN(A112)-3))</f>
        <v>197</v>
      </c>
      <c r="AE112" s="77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s3://rtdc.mdm.uploadarchive.raw/RTDC4008/ "%USERPROFILE%\AppData\Local\Temp\OnboardLogs"\RTDC4008\2017-10-23 --exclude "*" --recursive --include "*20171023*" &amp; "%USERPROFILE%\Documents\GitHub\mrs-test-scripts\Headless Mode &amp; Sideloading\WalkAndUnGZ.bat" "%USERPROFILE%\AppData\Local\Temp\OnboardLogs"\RTDC4008\2017-10-23 &amp; aws s3 cp s3://rtdc.mdm.uploadarchive.raw/RTDC4008/ "%USERPROFILE%\AppData\Local\Temp\OnboardLogs"\RTDC4008\2017-10-24 --exclude "*" --recursive --include "*20171024*" &amp; "%USERPROFILE%\Documents\GitHub\mrs-test-scripts\Headless Mode &amp; Sideloading\WalkAndUnGZ.bat" "%USERPROFILE%\AppData\Local\Temp\OnboardLogs"\RTDC4008\2017-10-24</v>
      </c>
      <c r="AF112" s="74" t="str">
        <f>astrogrep_path&amp;" /e /r /s /spath="&amp;search_path&amp;" /stypes=""app*"&amp;B112&amp;"*"&amp;TEXT(I112-utc_offset/24,"YYYYMMDD")&amp;"*"" /stext="" "&amp;TEXT(I112-utc_offset/24,"HH")&amp;search_regexp&amp;""""</f>
        <v>"C:\Program Files (x86)\AstroGrep\AstroGrep.exe" /e /r /s /spath="%USERPROFILE%\AppData\Local\Temp\OnboardLogs" /stypes="app*4008*20171023*" /stext=" 22:.+((SYSTEM_STATE.+slice.+state.+changed )|(ment ac)|(multiple cpu faults)|(system.+state.+changed )|(\[timeout)|(PRM\|1\|D)|(kpr)|(kdp)|(train st.+moving)|(\|lc)|(penalty))"</v>
      </c>
      <c r="AG112" s="182" t="str">
        <f>DetSubdiv(A112)</f>
        <v>EC</v>
      </c>
      <c r="AH112" s="78" t="str">
        <f t="shared" si="10"/>
        <v>"%USERPROFILE%\Documents\GitHub\eaglep3\Utilities\RefineRTDCRunTimes.py" --tripid 197-23 --locoid 4008 --swversion DE.1.0.9.0 --startMP 204:449 --initTime 2017-10-23T15:37:58 --startdatetime 2017-10-23T15:45:26 --delay 78 --endMP 204:233318 --enddatetime 2017-10-23T16:21:24 --enforcementcount 0 &gt;&gt;%USERPROFILE%\Documents\GitHub\eaglep3-reporting\EC\2017-10-23-refined-times.txt</v>
      </c>
      <c r="AI112" s="96" t="str">
        <f t="shared" si="11"/>
        <v>echo {"issue":{"subject":"","project_id":79,"tracker_id":40,"status_id":1,"priority_id":2,"assigned_to_id":338,"start_date":"2017-10-23","description":"","custom_fields":[{"id":1,"name":"Subdivision","value":"EC"},{"id":4,"name":"Milepost","value":"23.3318"},{"id":17,"name":"Train ID","value":"197-23"},{"id":16,"name":"Locomotive ID","value":"4008"},{"id":130,"name":"Impact","value":""},{"id":150,"name":"Time of Event (Mountain Time)","value":"16:21:24"},{"id":151,"name":"Denver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2" s="47"/>
      <c r="AL112" s="47"/>
      <c r="AM112" s="142" t="str">
        <f t="shared" si="12"/>
        <v>start /low /b %USERPROFILE%\Documents\GitHub\eaglep3\Utilities\DownloadLogsFromS3.py --loco 4008 --day 2017-10-23</v>
      </c>
      <c r="AN112" s="151" t="str">
        <f t="shared" si="13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22:21:24"},{"id":29,"name":"Sharepoint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168" t="str">
        <f t="shared" si="14"/>
        <v>https://d0f6bd738d7f1b3e5a7ca70fe4ff75f0.us-east-1.aws.found.io/app/kibana#/discover/Steve-Slow-Train-Analysis-(2080s-and-2083s)?_g=(refreshInterval:(display:Off,pause:!f,section:0,value:0),time:(from:'2017-10-23T14:37:58-0600',mode:absolute,to:'2017-10-23T17:21:24-0600'))&amp;_a=(columns:!('Message%20ID',Summary),filters:!(),index:'emp_*',interval:auto,query:(query_string:(analyze_wildcard:!t,query:'%22rtdc.l.rtdc.4008%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3">
      <c r="A113" s="32" t="s">
        <v>826</v>
      </c>
      <c r="B113" s="7">
        <v>4007</v>
      </c>
      <c r="C113" s="21" t="s">
        <v>194</v>
      </c>
      <c r="D113" s="21" t="s">
        <v>424</v>
      </c>
      <c r="E113" s="13">
        <v>43031.685810185183</v>
      </c>
      <c r="F113" s="13">
        <v>43031.696018518516</v>
      </c>
      <c r="G113" s="7">
        <v>62</v>
      </c>
      <c r="H113" s="21" t="s">
        <v>366</v>
      </c>
      <c r="I113" s="13">
        <v>43031.722222222219</v>
      </c>
      <c r="J113" s="7">
        <v>0</v>
      </c>
      <c r="K113" s="89" t="str">
        <f>IF(ISEVEN(B113),(B113-1)&amp;"/"&amp;B113,B113&amp;"/"&amp;(B113+1))</f>
        <v>4007/4008</v>
      </c>
      <c r="L113" s="185" t="str">
        <f>VLOOKUP(A113,'Trips&amp;Operators'!$C$1:$G$99911,5,FALSE)</f>
        <v>SAFIEF AEIMEN</v>
      </c>
      <c r="M113" s="6">
        <f>I113-F113</f>
        <v>2.6203703702776693E-2</v>
      </c>
      <c r="N113" s="7">
        <f>24*60*SUM($M113:$M113)</f>
        <v>37.733333331998438</v>
      </c>
      <c r="O113" s="7"/>
      <c r="P113" s="7"/>
      <c r="Q113" s="22"/>
      <c r="R113" s="174"/>
      <c r="S113" s="221">
        <f>1/IF(AG113="EC",12,1)*SUM(U113:U113)</f>
        <v>1</v>
      </c>
      <c r="T113" s="174" t="str">
        <f>IF(ISEVEN(LEFT(AD113,4)),"Southbound","NorthBound")</f>
        <v>Southbound</v>
      </c>
      <c r="U113" s="198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16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2017-10-23T15:27:34-0600',mode:absolute,to:'2017-10-23T18:20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13" s="204" t="str">
        <f>IF(AA113&lt;VLOOKUP(AG113,Variables!$AC$3:$AD$8,2,FALSE),"Y","N")</f>
        <v>N</v>
      </c>
      <c r="X113" s="204">
        <f>VALUE(LEFT(AD113,4))-VALUE(LEFT(AD112,4))</f>
        <v>1</v>
      </c>
      <c r="Y113" s="204">
        <f>RIGHT(D113,LEN(D113)-4)/10000</f>
        <v>23.299600000000002</v>
      </c>
      <c r="Z113" s="204">
        <f>RIGHT(H113,LEN(H113)-4)/10000</f>
        <v>1.3899999999999999E-2</v>
      </c>
      <c r="AA113" s="204">
        <f>ABS(Z113-Y113)</f>
        <v>23.285700000000002</v>
      </c>
      <c r="AB113" s="54" t="e">
        <f>VLOOKUP(A113,Enforcements!$C$7:$K$11,8,0)</f>
        <v>#N/A</v>
      </c>
      <c r="AC113" s="51" t="e">
        <f>VLOOKUP(A113,Enforcements!$C$7:$E$11,3,0)</f>
        <v>#N/A</v>
      </c>
      <c r="AD113" s="179">
        <f>VALUE(LEFT(A113,LEN(A113)-3))</f>
        <v>198</v>
      </c>
      <c r="AE113" s="77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s3://rtdc.mdm.uploadarchive.raw/RTDC4007/ "%USERPROFILE%\AppData\Local\Temp\OnboardLogs"\RTDC4007\2017-10-23 --exclude "*" --recursive --include "*20171023*" &amp; "%USERPROFILE%\Documents\GitHub\mrs-test-scripts\Headless Mode &amp; Sideloading\WalkAndUnGZ.bat" "%USERPROFILE%\AppData\Local\Temp\OnboardLogs"\RTDC4007\2017-10-23 &amp; aws s3 cp s3://rtdc.mdm.uploadarchive.raw/RTDC4007/ "%USERPROFILE%\AppData\Local\Temp\OnboardLogs"\RTDC4007\2017-10-24 --exclude "*" --recursive --include "*20171024*" &amp; "%USERPROFILE%\Documents\GitHub\mrs-test-scripts\Headless Mode &amp; Sideloading\WalkAndUnGZ.bat" "%USERPROFILE%\AppData\Local\Temp\OnboardLogs"\RTDC4007\2017-10-24</v>
      </c>
      <c r="AF113" s="74" t="str">
        <f>astrogrep_path&amp;" /e /r /s /spath="&amp;search_path&amp;" /stypes=""app*"&amp;B113&amp;"*"&amp;TEXT(I113-utc_offset/24,"YYYYMMDD")&amp;"*"" /stext="" "&amp;TEXT(I113-utc_offset/24,"HH")&amp;search_regexp&amp;""""</f>
        <v>"C:\Program Files (x86)\AstroGrep\AstroGrep.exe" /e /r /s /spath="%USERPROFILE%\AppData\Local\Temp\OnboardLogs" /stypes="app*4007*20171023*" /stext=" 23:.+((SYSTEM_STATE.+slice.+state.+changed )|(ment ac)|(multiple cpu faults)|(system.+state.+changed )|(\[timeout)|(PRM\|1\|D)|(kpr)|(kdp)|(train st.+moving)|(\|lc)|(penalty))"</v>
      </c>
      <c r="AG113" s="182" t="str">
        <f>DetSubdiv(A113)</f>
        <v>EC</v>
      </c>
      <c r="AH113" s="78" t="str">
        <f t="shared" si="10"/>
        <v>"%USERPROFILE%\Documents\GitHub\eaglep3\Utilities\RefineRTDCRunTimes.py" --tripid 198-23 --locoid 4007 --swversion DE.1.0.9.0 --startMP 204:232996 --initTime 2017-10-23T16:27:34 --startdatetime 2017-10-23T16:42:16 --delay 62 --endMP 204:139 --enddatetime 2017-10-23T17:20:00 --enforcementcount 0 &gt;&gt;%USERPROFILE%\Documents\GitHub\eaglep3-reporting\EC\2017-10-23-refined-times.txt</v>
      </c>
      <c r="AI113" s="96" t="str">
        <f t="shared" si="11"/>
        <v>echo {"issue":{"subject":"","project_id":79,"tracker_id":40,"status_id":1,"priority_id":2,"assigned_to_id":338,"start_date":"2017-10-23","description":"","custom_fields":[{"id":1,"name":"Subdivision","value":"EC"},{"id":4,"name":"Milepost","value":"0.0139"},{"id":17,"name":"Train ID","value":"198-23"},{"id":16,"name":"Locomotive ID","value":"4007"},{"id":130,"name":"Impact","value":""},{"id":150,"name":"Time of Event (Mountain Time)","value":"17:20:00"},{"id":151,"name":"Denver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3" s="47"/>
      <c r="AL113" s="47"/>
      <c r="AM113" s="142" t="str">
        <f t="shared" si="12"/>
        <v>start /low /b %USERPROFILE%\Documents\GitHub\eaglep3\Utilities\DownloadLogsFromS3.py --loco 4007 --day 2017-10-23</v>
      </c>
      <c r="AN113" s="151" t="str">
        <f t="shared" si="13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23:20:00"},{"id":29,"name":"Sharepoint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168" t="str">
        <f t="shared" si="14"/>
        <v>https://d0f6bd738d7f1b3e5a7ca70fe4ff75f0.us-east-1.aws.found.io/app/kibana#/discover/Steve-Slow-Train-Analysis-(2080s-and-2083s)?_g=(refreshInterval:(display:Off,pause:!f,section:0,value:0),time:(from:'2017-10-23T15:27:34-0600',mode:absolute,to:'2017-10-23T18:20:00-0600'))&amp;_a=(columns:!('Message%20ID',Summary),filters:!(),index:'emp_*',interval:auto,query:(query_string:(analyze_wildcard:!t,query:'%22rtdc.l.rtdc.4007%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3">
      <c r="A114" s="32" t="s">
        <v>817</v>
      </c>
      <c r="B114" s="7">
        <v>4046</v>
      </c>
      <c r="C114" s="21" t="s">
        <v>194</v>
      </c>
      <c r="D114" s="21" t="s">
        <v>367</v>
      </c>
      <c r="E114" s="13">
        <v>43031.662685185183</v>
      </c>
      <c r="F114" s="13">
        <v>43031.667013888888</v>
      </c>
      <c r="G114" s="7">
        <v>49</v>
      </c>
      <c r="H114" s="21" t="s">
        <v>630</v>
      </c>
      <c r="I114" s="13">
        <v>43031.69290509259</v>
      </c>
      <c r="J114" s="7">
        <v>0</v>
      </c>
      <c r="K114" s="89" t="str">
        <f>IF(ISEVEN(B114),(B114-1)&amp;"/"&amp;B114,B114&amp;"/"&amp;(B114+1))</f>
        <v>4045/4046</v>
      </c>
      <c r="L114" s="185" t="str">
        <f>VLOOKUP(A114,'Trips&amp;Operators'!$C$1:$G$99911,5,FALSE)</f>
        <v>BADERTSCHER DIANE</v>
      </c>
      <c r="M114" s="6">
        <f>I114-F114</f>
        <v>2.5891203702485655E-2</v>
      </c>
      <c r="N114" s="7">
        <f>24*60*SUM($M114:$M114)</f>
        <v>37.283333331579342</v>
      </c>
      <c r="O114" s="7"/>
      <c r="P114" s="7"/>
      <c r="Q114" s="22"/>
      <c r="R114" s="174"/>
      <c r="S114" s="221">
        <f>1/IF(AG114="EC",12,1)*SUM(U114:U114)</f>
        <v>1</v>
      </c>
      <c r="T114" s="174" t="str">
        <f>IF(ISEVEN(LEFT(AD114,4)),"Southbound","NorthBound")</f>
        <v>NorthBound</v>
      </c>
      <c r="U114" s="198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16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-10-23T14:54:16-0600',mode:absolute,to:'2017-10-23T17:37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14" s="204" t="str">
        <f>IF(AA114&lt;VLOOKUP(AG114,Variables!$AC$3:$AD$8,2,FALSE),"Y","N")</f>
        <v>N</v>
      </c>
      <c r="X114" s="204">
        <f>VALUE(LEFT(AD114,4))-VALUE(LEFT(AD113,4))</f>
        <v>1</v>
      </c>
      <c r="Y114" s="204">
        <f>RIGHT(D114,LEN(D114)-4)/10000</f>
        <v>4.5100000000000001E-2</v>
      </c>
      <c r="Z114" s="204">
        <f>RIGHT(H114,LEN(H114)-4)/10000</f>
        <v>23.332899999999999</v>
      </c>
      <c r="AA114" s="204">
        <f>ABS(Z114-Y114)</f>
        <v>23.287799999999997</v>
      </c>
      <c r="AB114" s="54" t="e">
        <f>VLOOKUP(A114,Enforcements!$C$7:$K$11,8,0)</f>
        <v>#N/A</v>
      </c>
      <c r="AC114" s="51" t="e">
        <f>VLOOKUP(A114,Enforcements!$C$7:$E$11,3,0)</f>
        <v>#N/A</v>
      </c>
      <c r="AD114" s="179">
        <f>VALUE(LEFT(A114,LEN(A114)-3))</f>
        <v>199</v>
      </c>
      <c r="AE114" s="77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s3://rtdc.mdm.uploadarchive.raw/RTDC4046/ "%USERPROFILE%\AppData\Local\Temp\OnboardLogs"\RTDC4046\2017-10-23 --exclude "*" --recursive --include "*20171023*" &amp; "%USERPROFILE%\Documents\GitHub\mrs-test-scripts\Headless Mode &amp; Sideloading\WalkAndUnGZ.bat" "%USERPROFILE%\AppData\Local\Temp\OnboardLogs"\RTDC4046\2017-10-23 &amp; aws s3 cp s3://rtdc.mdm.uploadarchive.raw/RTDC4046/ "%USERPROFILE%\AppData\Local\Temp\OnboardLogs"\RTDC4046\2017-10-24 --exclude "*" --recursive --include "*20171024*" &amp; "%USERPROFILE%\Documents\GitHub\mrs-test-scripts\Headless Mode &amp; Sideloading\WalkAndUnGZ.bat" "%USERPROFILE%\AppData\Local\Temp\OnboardLogs"\RTDC4046\2017-10-24</v>
      </c>
      <c r="AF114" s="74" t="str">
        <f>astrogrep_path&amp;" /e /r /s /spath="&amp;search_path&amp;" /stypes=""app*"&amp;B114&amp;"*"&amp;TEXT(I114-utc_offset/24,"YYYYMMDD")&amp;"*"" /stext="" "&amp;TEXT(I114-utc_offset/24,"HH")&amp;search_regexp&amp;""""</f>
        <v>"C:\Program Files (x86)\AstroGrep\AstroGrep.exe" /e /r /s /spath="%USERPROFILE%\AppData\Local\Temp\OnboardLogs" /stypes="app*4046*20171023*" /stext=" 22:.+((SYSTEM_STATE.+slice.+state.+changed )|(ment ac)|(multiple cpu faults)|(system.+state.+changed )|(\[timeout)|(PRM\|1\|D)|(kpr)|(kdp)|(train st.+moving)|(\|lc)|(penalty))"</v>
      </c>
      <c r="AG114" s="182" t="str">
        <f>DetSubdiv(A114)</f>
        <v>EC</v>
      </c>
      <c r="AH114" s="78" t="str">
        <f t="shared" si="10"/>
        <v>"%USERPROFILE%\Documents\GitHub\eaglep3\Utilities\RefineRTDCRunTimes.py" --tripid 199-23 --locoid 4046 --swversion DE.1.0.9.0 --startMP 204:451 --initTime 2017-10-23T15:54:16 --startdatetime 2017-10-23T16:00:30 --delay 49 --endMP 204:233329 --enddatetime 2017-10-23T16:37:47 --enforcementcount 0 &gt;&gt;%USERPROFILE%\Documents\GitHub\eaglep3-reporting\EC\2017-10-23-refined-times.txt</v>
      </c>
      <c r="AI114" s="96" t="str">
        <f t="shared" si="11"/>
        <v>echo {"issue":{"subject":"","project_id":79,"tracker_id":40,"status_id":1,"priority_id":2,"assigned_to_id":338,"start_date":"2017-10-23","description":"","custom_fields":[{"id":1,"name":"Subdivision","value":"EC"},{"id":4,"name":"Milepost","value":"23.3329"},{"id":17,"name":"Train ID","value":"199-23"},{"id":16,"name":"Locomotive ID","value":"4046"},{"id":130,"name":"Impact","value":""},{"id":150,"name":"Time of Event (Mountain Time)","value":"16:37:47"},{"id":151,"name":"Denver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4" s="47"/>
      <c r="AL114" s="47"/>
      <c r="AM114" s="142" t="str">
        <f t="shared" si="12"/>
        <v>start /low /b %USERPROFILE%\Documents\GitHub\eaglep3\Utilities\DownloadLogsFromS3.py --loco 4046 --day 2017-10-23</v>
      </c>
      <c r="AN114" s="151" t="str">
        <f t="shared" si="13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22:37:47"},{"id":29,"name":"Sharepoint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168" t="str">
        <f t="shared" si="14"/>
        <v>https://d0f6bd738d7f1b3e5a7ca70fe4ff75f0.us-east-1.aws.found.io/app/kibana#/discover/Steve-Slow-Train-Analysis-(2080s-and-2083s)?_g=(refreshInterval:(display:Off,pause:!f,section:0,value:0),time:(from:'2017-10-23T14:54:16-0600',mode:absolute,to:'2017-10-23T17:37:47-0600'))&amp;_a=(columns:!('Message%20ID',Summary),filters:!(),index:'emp_*',interval:auto,query:(query_string:(analyze_wildcard:!t,query:'%22rtdc.l.rtdc.4046%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3">
      <c r="A115" s="32" t="s">
        <v>828</v>
      </c>
      <c r="B115" s="7">
        <v>4045</v>
      </c>
      <c r="C115" s="21" t="s">
        <v>194</v>
      </c>
      <c r="D115" s="21" t="s">
        <v>605</v>
      </c>
      <c r="E115" s="13">
        <v>43031.703692129631</v>
      </c>
      <c r="F115" s="13">
        <v>43031.706423611111</v>
      </c>
      <c r="G115" s="7">
        <v>52</v>
      </c>
      <c r="H115" s="21" t="s">
        <v>335</v>
      </c>
      <c r="I115" s="13">
        <v>43031.734467592592</v>
      </c>
      <c r="J115" s="7">
        <v>0</v>
      </c>
      <c r="K115" s="89" t="str">
        <f>IF(ISEVEN(B115),(B115-1)&amp;"/"&amp;B115,B115&amp;"/"&amp;(B115+1))</f>
        <v>4045/4046</v>
      </c>
      <c r="L115" s="185" t="str">
        <f>VLOOKUP(A115,'Trips&amp;Operators'!$C$1:$G$99911,5,FALSE)</f>
        <v>BADERTSCHER DIANE</v>
      </c>
      <c r="M115" s="6">
        <f>I115-F115</f>
        <v>2.8043981481459923E-2</v>
      </c>
      <c r="N115" s="7">
        <f>24*60*SUM($M115:$M115)</f>
        <v>40.383333333302289</v>
      </c>
      <c r="O115" s="7"/>
      <c r="P115" s="7"/>
      <c r="Q115" s="22"/>
      <c r="R115" s="174"/>
      <c r="S115" s="221">
        <f>1/IF(AG115="EC",12,1)*SUM(U115:U115)</f>
        <v>1</v>
      </c>
      <c r="T115" s="174" t="str">
        <f>IF(ISEVEN(LEFT(AD115,4)),"Southbound","NorthBound")</f>
        <v>Southbound</v>
      </c>
      <c r="U115" s="198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16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2017-10-23T15:53:19-0600',mode:absolute,to:'2017-10-23T18:37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15" s="204" t="str">
        <f>IF(AA115&lt;VLOOKUP(AG115,Variables!$AC$3:$AD$8,2,FALSE),"Y","N")</f>
        <v>N</v>
      </c>
      <c r="X115" s="204">
        <f>VALUE(LEFT(AD115,4))-VALUE(LEFT(AD114,4))</f>
        <v>1</v>
      </c>
      <c r="Y115" s="204">
        <f>RIGHT(D115,LEN(D115)-4)/10000</f>
        <v>23.301500000000001</v>
      </c>
      <c r="Z115" s="204">
        <f>RIGHT(H115,LEN(H115)-4)/10000</f>
        <v>1.4999999999999999E-2</v>
      </c>
      <c r="AA115" s="204">
        <f>ABS(Z115-Y115)</f>
        <v>23.2865</v>
      </c>
      <c r="AB115" s="54" t="e">
        <f>VLOOKUP(A115,Enforcements!$C$7:$K$11,8,0)</f>
        <v>#N/A</v>
      </c>
      <c r="AC115" s="51" t="e">
        <f>VLOOKUP(A115,Enforcements!$C$7:$E$11,3,0)</f>
        <v>#N/A</v>
      </c>
      <c r="AD115" s="179">
        <f>VALUE(LEFT(A115,LEN(A115)-3))</f>
        <v>200</v>
      </c>
      <c r="AE115" s="77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s3://rtdc.mdm.uploadarchive.raw/RTDC4045/ "%USERPROFILE%\AppData\Local\Temp\OnboardLogs"\RTDC4045\2017-10-23 --exclude "*" --recursive --include "*20171023*" &amp; "%USERPROFILE%\Documents\GitHub\mrs-test-scripts\Headless Mode &amp; Sideloading\WalkAndUnGZ.bat" "%USERPROFILE%\AppData\Local\Temp\OnboardLogs"\RTDC4045\2017-10-23 &amp; aws s3 cp s3://rtdc.mdm.uploadarchive.raw/RTDC4045/ "%USERPROFILE%\AppData\Local\Temp\OnboardLogs"\RTDC4045\2017-10-24 --exclude "*" --recursive --include "*20171024*" &amp; "%USERPROFILE%\Documents\GitHub\mrs-test-scripts\Headless Mode &amp; Sideloading\WalkAndUnGZ.bat" "%USERPROFILE%\AppData\Local\Temp\OnboardLogs"\RTDC4045\2017-10-24</v>
      </c>
      <c r="AF115" s="74" t="str">
        <f>astrogrep_path&amp;" /e /r /s /spath="&amp;search_path&amp;" /stypes=""app*"&amp;B115&amp;"*"&amp;TEXT(I115-utc_offset/24,"YYYYMMDD")&amp;"*"" /stext="" "&amp;TEXT(I115-utc_offset/24,"HH")&amp;search_regexp&amp;""""</f>
        <v>"C:\Program Files (x86)\AstroGrep\AstroGrep.exe" /e /r /s /spath="%USERPROFILE%\AppData\Local\Temp\OnboardLogs" /stypes="app*4045*20171023*" /stext=" 23:.+((SYSTEM_STATE.+slice.+state.+changed )|(ment ac)|(multiple cpu faults)|(system.+state.+changed )|(\[timeout)|(PRM\|1\|D)|(kpr)|(kdp)|(train st.+moving)|(\|lc)|(penalty))"</v>
      </c>
      <c r="AG115" s="182" t="str">
        <f>DetSubdiv(A115)</f>
        <v>EC</v>
      </c>
      <c r="AH115" s="78" t="str">
        <f t="shared" si="10"/>
        <v>"%USERPROFILE%\Documents\GitHub\eaglep3\Utilities\RefineRTDCRunTimes.py" --tripid 200-23 --locoid 4045 --swversion DE.1.0.9.0 --startMP 204:233015 --initTime 2017-10-23T16:53:19 --startdatetime 2017-10-23T16:57:15 --delay 52 --endMP 204:150 --enddatetime 2017-10-23T17:37:38 --enforcementcount 0 &gt;&gt;%USERPROFILE%\Documents\GitHub\eaglep3-reporting\EC\2017-10-23-refined-times.txt</v>
      </c>
      <c r="AI115" s="96" t="str">
        <f t="shared" si="11"/>
        <v>echo {"issue":{"subject":"","project_id":79,"tracker_id":40,"status_id":1,"priority_id":2,"assigned_to_id":338,"start_date":"2017-10-23","description":"","custom_fields":[{"id":1,"name":"Subdivision","value":"EC"},{"id":4,"name":"Milepost","value":"0.015"},{"id":17,"name":"Train ID","value":"200-23"},{"id":16,"name":"Locomotive ID","value":"4045"},{"id":130,"name":"Impact","value":""},{"id":150,"name":"Time of Event (Mountain Time)","value":"17:37:38"},{"id":151,"name":"Denver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5" s="47"/>
      <c r="AL115" s="47"/>
      <c r="AM115" s="142" t="str">
        <f t="shared" si="12"/>
        <v>start /low /b %USERPROFILE%\Documents\GitHub\eaglep3\Utilities\DownloadLogsFromS3.py --loco 4045 --day 2017-10-23</v>
      </c>
      <c r="AN115" s="151" t="str">
        <f t="shared" si="13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23:37:38"},{"id":29,"name":"Sharepoint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168" t="str">
        <f t="shared" si="14"/>
        <v>https://d0f6bd738d7f1b3e5a7ca70fe4ff75f0.us-east-1.aws.found.io/app/kibana#/discover/Steve-Slow-Train-Analysis-(2080s-and-2083s)?_g=(refreshInterval:(display:Off,pause:!f,section:0,value:0),time:(from:'2017-10-23T15:53:19-0600',mode:absolute,to:'2017-10-23T18:37:38-0600'))&amp;_a=(columns:!('Message%20ID',Summary),filters:!(),index:'emp_*',interval:auto,query:(query_string:(analyze_wildcard:!t,query:'%22rtdc.l.rtdc.4045%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3">
      <c r="A116" s="32" t="s">
        <v>819</v>
      </c>
      <c r="B116" s="7">
        <v>4004</v>
      </c>
      <c r="C116" s="21" t="s">
        <v>194</v>
      </c>
      <c r="D116" s="21" t="s">
        <v>404</v>
      </c>
      <c r="E116" s="13">
        <v>43031.672881944447</v>
      </c>
      <c r="F116" s="13">
        <v>43031.677349537036</v>
      </c>
      <c r="G116" s="7">
        <v>61</v>
      </c>
      <c r="H116" s="21" t="s">
        <v>426</v>
      </c>
      <c r="I116" s="13">
        <v>43031.702870370369</v>
      </c>
      <c r="J116" s="7">
        <v>0</v>
      </c>
      <c r="K116" s="89" t="str">
        <f>IF(ISEVEN(B116),(B116-1)&amp;"/"&amp;B116,B116&amp;"/"&amp;(B116+1))</f>
        <v>4003/4004</v>
      </c>
      <c r="L116" s="185" t="str">
        <f>VLOOKUP(A116,'Trips&amp;Operators'!$C$1:$G$99911,5,FALSE)</f>
        <v>SMITH MICHAEL</v>
      </c>
      <c r="M116" s="6">
        <f>I116-F116</f>
        <v>2.5520833332848269E-2</v>
      </c>
      <c r="N116" s="7">
        <f>24*60*SUM($M116:$M116)</f>
        <v>36.749999999301508</v>
      </c>
      <c r="O116" s="7"/>
      <c r="P116" s="7"/>
      <c r="Q116" s="22"/>
      <c r="R116" s="174"/>
      <c r="S116" s="221">
        <f>1/IF(AG116="EC",12,1)*SUM(U116:U116)</f>
        <v>1</v>
      </c>
      <c r="T116" s="174" t="str">
        <f>IF(ISEVEN(LEFT(AD116,4)),"Southbound","NorthBound")</f>
        <v>NorthBound</v>
      </c>
      <c r="U116" s="198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16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2017-10-23T15:08:57-0600',mode:absolute,to:'2017-10-23T17:52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16" s="204" t="str">
        <f>IF(AA116&lt;VLOOKUP(AG116,Variables!$AC$3:$AD$8,2,FALSE),"Y","N")</f>
        <v>N</v>
      </c>
      <c r="X116" s="204">
        <f>VALUE(LEFT(AD116,4))-VALUE(LEFT(AD115,4))</f>
        <v>1</v>
      </c>
      <c r="Y116" s="204">
        <f>RIGHT(D116,LEN(D116)-4)/10000</f>
        <v>4.6199999999999998E-2</v>
      </c>
      <c r="Z116" s="204">
        <f>RIGHT(H116,LEN(H116)-4)/10000</f>
        <v>23.3293</v>
      </c>
      <c r="AA116" s="204">
        <f>ABS(Z116-Y116)</f>
        <v>23.283100000000001</v>
      </c>
      <c r="AB116" s="54" t="e">
        <f>VLOOKUP(A116,Enforcements!$C$7:$K$11,8,0)</f>
        <v>#N/A</v>
      </c>
      <c r="AC116" s="51" t="e">
        <f>VLOOKUP(A116,Enforcements!$C$7:$E$11,3,0)</f>
        <v>#N/A</v>
      </c>
      <c r="AD116" s="179">
        <f>VALUE(LEFT(A116,LEN(A116)-3))</f>
        <v>201</v>
      </c>
      <c r="AE116" s="77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s3://rtdc.mdm.uploadarchive.raw/RTDC4004/ "%USERPROFILE%\AppData\Local\Temp\OnboardLogs"\RTDC4004\2017-10-23 --exclude "*" --recursive --include "*20171023*" &amp; "%USERPROFILE%\Documents\GitHub\mrs-test-scripts\Headless Mode &amp; Sideloading\WalkAndUnGZ.bat" "%USERPROFILE%\AppData\Local\Temp\OnboardLogs"\RTDC4004\2017-10-23 &amp; aws s3 cp s3://rtdc.mdm.uploadarchive.raw/RTDC4004/ "%USERPROFILE%\AppData\Local\Temp\OnboardLogs"\RTDC4004\2017-10-24 --exclude "*" --recursive --include "*20171024*" &amp; "%USERPROFILE%\Documents\GitHub\mrs-test-scripts\Headless Mode &amp; Sideloading\WalkAndUnGZ.bat" "%USERPROFILE%\AppData\Local\Temp\OnboardLogs"\RTDC4004\2017-10-24</v>
      </c>
      <c r="AF116" s="74" t="str">
        <f>astrogrep_path&amp;" /e /r /s /spath="&amp;search_path&amp;" /stypes=""app*"&amp;B116&amp;"*"&amp;TEXT(I116-utc_offset/24,"YYYYMMDD")&amp;"*"" /stext="" "&amp;TEXT(I116-utc_offset/24,"HH")&amp;search_regexp&amp;""""</f>
        <v>"C:\Program Files (x86)\AstroGrep\AstroGrep.exe" /e /r /s /spath="%USERPROFILE%\AppData\Local\Temp\OnboardLogs" /stypes="app*4004*20171023*" /stext=" 22:.+((SYSTEM_STATE.+slice.+state.+changed )|(ment ac)|(multiple cpu faults)|(system.+state.+changed )|(\[timeout)|(PRM\|1\|D)|(kpr)|(kdp)|(train st.+moving)|(\|lc)|(penalty))"</v>
      </c>
      <c r="AG116" s="182" t="str">
        <f>DetSubdiv(A116)</f>
        <v>EC</v>
      </c>
      <c r="AH116" s="78" t="str">
        <f t="shared" si="10"/>
        <v>"%USERPROFILE%\Documents\GitHub\eaglep3\Utilities\RefineRTDCRunTimes.py" --tripid 201-23 --locoid 4004 --swversion DE.1.0.9.0 --startMP 204:462 --initTime 2017-10-23T16:08:57 --startdatetime 2017-10-23T16:15:23 --delay 61 --endMP 204:233293 --enddatetime 2017-10-23T16:52:08 --enforcementcount 0 &gt;&gt;%USERPROFILE%\Documents\GitHub\eaglep3-reporting\EC\2017-10-23-refined-times.txt</v>
      </c>
      <c r="AI116" s="96" t="str">
        <f t="shared" si="11"/>
        <v>echo {"issue":{"subject":"","project_id":79,"tracker_id":40,"status_id":1,"priority_id":2,"assigned_to_id":338,"start_date":"2017-10-23","description":"","custom_fields":[{"id":1,"name":"Subdivision","value":"EC"},{"id":4,"name":"Milepost","value":"23.3293"},{"id":17,"name":"Train ID","value":"201-23"},{"id":16,"name":"Locomotive ID","value":"4004"},{"id":130,"name":"Impact","value":""},{"id":150,"name":"Time of Event (Mountain Time)","value":"16:52:08"},{"id":151,"name":"Denver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6" s="47"/>
      <c r="AL116" s="47"/>
      <c r="AM116" s="142" t="str">
        <f t="shared" si="12"/>
        <v>start /low /b %USERPROFILE%\Documents\GitHub\eaglep3\Utilities\DownloadLogsFromS3.py --loco 4004 --day 2017-10-23</v>
      </c>
      <c r="AN116" s="151" t="str">
        <f t="shared" si="13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22:52:08"},{"id":29,"name":"Sharepoint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168" t="str">
        <f t="shared" si="14"/>
        <v>https://d0f6bd738d7f1b3e5a7ca70fe4ff75f0.us-east-1.aws.found.io/app/kibana#/discover/Steve-Slow-Train-Analysis-(2080s-and-2083s)?_g=(refreshInterval:(display:Off,pause:!f,section:0,value:0),time:(from:'2017-10-23T15:08:57-0600',mode:absolute,to:'2017-10-23T17:52:08-0600'))&amp;_a=(columns:!('Message%20ID',Summary),filters:!(),index:'emp_*',interval:auto,query:(query_string:(analyze_wildcard:!t,query:'%22rtdc.l.rtdc.4004%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3">
      <c r="A117" s="32" t="s">
        <v>831</v>
      </c>
      <c r="B117" s="7">
        <v>4003</v>
      </c>
      <c r="C117" s="21" t="s">
        <v>194</v>
      </c>
      <c r="D117" s="21" t="s">
        <v>932</v>
      </c>
      <c r="E117" s="13">
        <v>43031.70753472222</v>
      </c>
      <c r="F117" s="13">
        <v>43031.716886574075</v>
      </c>
      <c r="G117" s="7">
        <v>64</v>
      </c>
      <c r="H117" s="21" t="s">
        <v>339</v>
      </c>
      <c r="I117" s="13">
        <v>43031.742719907408</v>
      </c>
      <c r="J117" s="7">
        <v>0</v>
      </c>
      <c r="K117" s="89" t="str">
        <f>IF(ISEVEN(B117),(B117-1)&amp;"/"&amp;B117,B117&amp;"/"&amp;(B117+1))</f>
        <v>4003/4004</v>
      </c>
      <c r="L117" s="185" t="str">
        <f>VLOOKUP(A117,'Trips&amp;Operators'!$C$1:$G$99911,5,FALSE)</f>
        <v>SMITH MICHAEL</v>
      </c>
      <c r="M117" s="6">
        <f>I117-F117</f>
        <v>2.5833333333139308E-2</v>
      </c>
      <c r="N117" s="7">
        <f>24*60*SUM($M117:$M117)</f>
        <v>37.199999999720603</v>
      </c>
      <c r="O117" s="7"/>
      <c r="P117" s="7"/>
      <c r="Q117" s="22"/>
      <c r="R117" s="174"/>
      <c r="S117" s="221">
        <f>1/IF(AG117="EC",12,1)*SUM(U117:U117)</f>
        <v>1</v>
      </c>
      <c r="T117" s="174" t="str">
        <f>IF(ISEVEN(LEFT(AD117,4)),"Southbound","NorthBound")</f>
        <v>Southbound</v>
      </c>
      <c r="U117" s="198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16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-10-23T15:58:51-0600',mode:absolute,to:'2017-10-23T18:49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17" s="204" t="str">
        <f>IF(AA117&lt;VLOOKUP(AG117,Variables!$AC$3:$AD$8,2,FALSE),"Y","N")</f>
        <v>N</v>
      </c>
      <c r="X117" s="204">
        <f>VALUE(LEFT(AD117,4))-VALUE(LEFT(AD116,4))</f>
        <v>1</v>
      </c>
      <c r="Y117" s="204">
        <f>RIGHT(D117,LEN(D117)-4)/10000</f>
        <v>23.297699999999999</v>
      </c>
      <c r="Z117" s="204">
        <f>RIGHT(H117,LEN(H117)-4)/10000</f>
        <v>1.47E-2</v>
      </c>
      <c r="AA117" s="204">
        <f>ABS(Z117-Y117)</f>
        <v>23.282999999999998</v>
      </c>
      <c r="AB117" s="54" t="e">
        <f>VLOOKUP(A117,Enforcements!$C$7:$K$11,8,0)</f>
        <v>#N/A</v>
      </c>
      <c r="AC117" s="51" t="e">
        <f>VLOOKUP(A117,Enforcements!$C$7:$E$11,3,0)</f>
        <v>#N/A</v>
      </c>
      <c r="AD117" s="179">
        <f>VALUE(LEFT(A117,LEN(A117)-3))</f>
        <v>202</v>
      </c>
      <c r="AE117" s="77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s3://rtdc.mdm.uploadarchive.raw/RTDC4003/ "%USERPROFILE%\AppData\Local\Temp\OnboardLogs"\RTDC4003\2017-10-23 --exclude "*" --recursive --include "*20171023*" &amp; "%USERPROFILE%\Documents\GitHub\mrs-test-scripts\Headless Mode &amp; Sideloading\WalkAndUnGZ.bat" "%USERPROFILE%\AppData\Local\Temp\OnboardLogs"\RTDC4003\2017-10-23 &amp; aws s3 cp s3://rtdc.mdm.uploadarchive.raw/RTDC4003/ "%USERPROFILE%\AppData\Local\Temp\OnboardLogs"\RTDC4003\2017-10-24 --exclude "*" --recursive --include "*20171024*" &amp; "%USERPROFILE%\Documents\GitHub\mrs-test-scripts\Headless Mode &amp; Sideloading\WalkAndUnGZ.bat" "%USERPROFILE%\AppData\Local\Temp\OnboardLogs"\RTDC4003\2017-10-24</v>
      </c>
      <c r="AF117" s="74" t="str">
        <f>astrogrep_path&amp;" /e /r /s /spath="&amp;search_path&amp;" /stypes=""app*"&amp;B117&amp;"*"&amp;TEXT(I117-utc_offset/24,"YYYYMMDD")&amp;"*"" /stext="" "&amp;TEXT(I117-utc_offset/24,"HH")&amp;search_regexp&amp;""""</f>
        <v>"C:\Program Files (x86)\AstroGrep\AstroGrep.exe" /e /r /s /spath="%USERPROFILE%\AppData\Local\Temp\OnboardLogs" /stypes="app*4003*20171023*" /stext=" 23:.+((SYSTEM_STATE.+slice.+state.+changed )|(ment ac)|(multiple cpu faults)|(system.+state.+changed )|(\[timeout)|(PRM\|1\|D)|(kpr)|(kdp)|(train st.+moving)|(\|lc)|(penalty))"</v>
      </c>
      <c r="AG117" s="182" t="str">
        <f>DetSubdiv(A117)</f>
        <v>EC</v>
      </c>
      <c r="AH117" s="78" t="str">
        <f t="shared" si="10"/>
        <v>"%USERPROFILE%\Documents\GitHub\eaglep3\Utilities\RefineRTDCRunTimes.py" --tripid 202-23 --locoid 4003 --swversion DE.1.0.9.0 --startMP 204:232977 --initTime 2017-10-23T16:58:51 --startdatetime 2017-10-23T17:12:19 --delay 64 --endMP 204:147 --enddatetime 2017-10-23T17:49:31 --enforcementcount 0 &gt;&gt;%USERPROFILE%\Documents\GitHub\eaglep3-reporting\EC\2017-10-23-refined-times.txt</v>
      </c>
      <c r="AI117" s="96" t="str">
        <f t="shared" si="11"/>
        <v>echo {"issue":{"subject":"","project_id":79,"tracker_id":40,"status_id":1,"priority_id":2,"assigned_to_id":338,"start_date":"2017-10-23","description":"","custom_fields":[{"id":1,"name":"Subdivision","value":"EC"},{"id":4,"name":"Milepost","value":"0.0147"},{"id":17,"name":"Train ID","value":"202-23"},{"id":16,"name":"Locomotive ID","value":"4003"},{"id":130,"name":"Impact","value":""},{"id":150,"name":"Time of Event (Mountain Time)","value":"17:49:31"},{"id":151,"name":"Denver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7" s="47"/>
      <c r="AL117" s="47"/>
      <c r="AM117" s="142" t="str">
        <f t="shared" si="12"/>
        <v>start /low /b %USERPROFILE%\Documents\GitHub\eaglep3\Utilities\DownloadLogsFromS3.py --loco 4003 --day 2017-10-23</v>
      </c>
      <c r="AN117" s="151" t="str">
        <f t="shared" si="13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23:49:31"},{"id":29,"name":"Sharepoint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168" t="str">
        <f t="shared" si="14"/>
        <v>https://d0f6bd738d7f1b3e5a7ca70fe4ff75f0.us-east-1.aws.found.io/app/kibana#/discover/Steve-Slow-Train-Analysis-(2080s-and-2083s)?_g=(refreshInterval:(display:Off,pause:!f,section:0,value:0),time:(from:'2017-10-23T15:58:51-0600',mode:absolute,to:'2017-10-23T18:49:31-0600'))&amp;_a=(columns:!('Message%20ID',Summary),filters:!(),index:'emp_*',interval:auto,query:(query_string:(analyze_wildcard:!t,query:'%22rtdc.l.rtdc.4003%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3">
      <c r="A118" s="32" t="s">
        <v>825</v>
      </c>
      <c r="B118" s="7">
        <v>4050</v>
      </c>
      <c r="C118" s="21" t="s">
        <v>194</v>
      </c>
      <c r="D118" s="21" t="s">
        <v>372</v>
      </c>
      <c r="E118" s="13">
        <v>43031.685335648152</v>
      </c>
      <c r="F118" s="13">
        <v>43031.687881944446</v>
      </c>
      <c r="G118" s="7">
        <v>56</v>
      </c>
      <c r="H118" s="21" t="s">
        <v>455</v>
      </c>
      <c r="I118" s="13">
        <v>43031.714363425926</v>
      </c>
      <c r="J118" s="7">
        <v>0</v>
      </c>
      <c r="K118" s="89" t="str">
        <f>IF(ISEVEN(B118),(B118-1)&amp;"/"&amp;B118,B118&amp;"/"&amp;(B118+1))</f>
        <v>4049/4050</v>
      </c>
      <c r="L118" s="185" t="str">
        <f>VLOOKUP(A118,'Trips&amp;Operators'!$C$1:$G$99911,5,FALSE)</f>
        <v>DAVIS MICHAEL</v>
      </c>
      <c r="M118" s="6">
        <f>I118-F118</f>
        <v>2.6481481480004732E-2</v>
      </c>
      <c r="N118" s="7">
        <f>24*60*SUM($M118:$M118)</f>
        <v>38.133333331206813</v>
      </c>
      <c r="O118" s="7"/>
      <c r="P118" s="7"/>
      <c r="Q118" s="22"/>
      <c r="R118" s="174"/>
      <c r="S118" s="221">
        <f>1/IF(AG118="EC",12,1)*SUM(U118:U118)</f>
        <v>1</v>
      </c>
      <c r="T118" s="174" t="str">
        <f>IF(ISEVEN(LEFT(AD118,4)),"Southbound","NorthBound")</f>
        <v>NorthBound</v>
      </c>
      <c r="U118" s="198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16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-10-23T15:26:53-0600',mode:absolute,to:'2017-10-23T18:08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18" s="204" t="str">
        <f>IF(AA118&lt;VLOOKUP(AG118,Variables!$AC$3:$AD$8,2,FALSE),"Y","N")</f>
        <v>N</v>
      </c>
      <c r="X118" s="204">
        <f>VALUE(LEFT(AD118,4))-VALUE(LEFT(AD117,4))</f>
        <v>1</v>
      </c>
      <c r="Y118" s="204">
        <f>RIGHT(D118,LEN(D118)-4)/10000</f>
        <v>4.4699999999999997E-2</v>
      </c>
      <c r="Z118" s="204">
        <f>RIGHT(H118,LEN(H118)-4)/10000</f>
        <v>23.333400000000001</v>
      </c>
      <c r="AA118" s="204">
        <f>ABS(Z118-Y118)</f>
        <v>23.288700000000002</v>
      </c>
      <c r="AB118" s="54" t="e">
        <f>VLOOKUP(A118,Enforcements!$C$7:$K$11,8,0)</f>
        <v>#N/A</v>
      </c>
      <c r="AC118" s="51" t="e">
        <f>VLOOKUP(A118,Enforcements!$C$7:$E$11,3,0)</f>
        <v>#N/A</v>
      </c>
      <c r="AD118" s="179">
        <f>VALUE(LEFT(A118,LEN(A118)-3))</f>
        <v>203</v>
      </c>
      <c r="AE118" s="77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s3://rtdc.mdm.uploadarchive.raw/RTDC4050/ "%USERPROFILE%\AppData\Local\Temp\OnboardLogs"\RTDC4050\2017-10-23 --exclude "*" --recursive --include "*20171023*" &amp; "%USERPROFILE%\Documents\GitHub\mrs-test-scripts\Headless Mode &amp; Sideloading\WalkAndUnGZ.bat" "%USERPROFILE%\AppData\Local\Temp\OnboardLogs"\RTDC4050\2017-10-23 &amp; aws s3 cp s3://rtdc.mdm.uploadarchive.raw/RTDC4050/ "%USERPROFILE%\AppData\Local\Temp\OnboardLogs"\RTDC4050\2017-10-24 --exclude "*" --recursive --include "*20171024*" &amp; "%USERPROFILE%\Documents\GitHub\mrs-test-scripts\Headless Mode &amp; Sideloading\WalkAndUnGZ.bat" "%USERPROFILE%\AppData\Local\Temp\OnboardLogs"\RTDC4050\2017-10-24</v>
      </c>
      <c r="AF118" s="74" t="str">
        <f>astrogrep_path&amp;" /e /r /s /spath="&amp;search_path&amp;" /stypes=""app*"&amp;B118&amp;"*"&amp;TEXT(I118-utc_offset/24,"YYYYMMDD")&amp;"*"" /stext="" "&amp;TEXT(I118-utc_offset/24,"HH")&amp;search_regexp&amp;""""</f>
        <v>"C:\Program Files (x86)\AstroGrep\AstroGrep.exe" /e /r /s /spath="%USERPROFILE%\AppData\Local\Temp\OnboardLogs" /stypes="app*4050*20171023*" /stext=" 23:.+((SYSTEM_STATE.+slice.+state.+changed )|(ment ac)|(multiple cpu faults)|(system.+state.+changed )|(\[timeout)|(PRM\|1\|D)|(kpr)|(kdp)|(train st.+moving)|(\|lc)|(penalty))"</v>
      </c>
      <c r="AG118" s="182" t="str">
        <f>DetSubdiv(A118)</f>
        <v>EC</v>
      </c>
      <c r="AH118" s="78" t="str">
        <f t="shared" si="10"/>
        <v>"%USERPROFILE%\Documents\GitHub\eaglep3\Utilities\RefineRTDCRunTimes.py" --tripid 203-23 --locoid 4050 --swversion DE.1.0.9.0 --startMP 204:447 --initTime 2017-10-23T16:26:53 --startdatetime 2017-10-23T16:30:33 --delay 56 --endMP 204:233334 --enddatetime 2017-10-23T17:08:41 --enforcementcount 0 &gt;&gt;%USERPROFILE%\Documents\GitHub\eaglep3-reporting\EC\2017-10-23-refined-times.txt</v>
      </c>
      <c r="AI118" s="96" t="str">
        <f t="shared" si="11"/>
        <v>echo {"issue":{"subject":"","project_id":79,"tracker_id":40,"status_id":1,"priority_id":2,"assigned_to_id":338,"start_date":"2017-10-23","description":"","custom_fields":[{"id":1,"name":"Subdivision","value":"EC"},{"id":4,"name":"Milepost","value":"23.3334"},{"id":17,"name":"Train ID","value":"203-23"},{"id":16,"name":"Locomotive ID","value":"4050"},{"id":130,"name":"Impact","value":""},{"id":150,"name":"Time of Event (Mountain Time)","value":"17:08:41"},{"id":151,"name":"Denver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8" s="47"/>
      <c r="AL118" s="47"/>
      <c r="AM118" s="142" t="str">
        <f t="shared" si="12"/>
        <v>start /low /b %USERPROFILE%\Documents\GitHub\eaglep3\Utilities\DownloadLogsFromS3.py --loco 4050 --day 2017-10-23</v>
      </c>
      <c r="AN118" s="151" t="str">
        <f t="shared" si="13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23:08:41"},{"id":29,"name":"Sharepoint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168" t="str">
        <f t="shared" si="14"/>
        <v>https://d0f6bd738d7f1b3e5a7ca70fe4ff75f0.us-east-1.aws.found.io/app/kibana#/discover/Steve-Slow-Train-Analysis-(2080s-and-2083s)?_g=(refreshInterval:(display:Off,pause:!f,section:0,value:0),time:(from:'2017-10-23T15:26:53-0600',mode:absolute,to:'2017-10-23T18:08:41-0600'))&amp;_a=(columns:!('Message%20ID',Summary),filters:!(),index:'emp_*',interval:auto,query:(query_string:(analyze_wildcard:!t,query:'%22rtdc.l.rtdc.4050%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3">
      <c r="A119" s="32" t="s">
        <v>835</v>
      </c>
      <c r="B119" s="7">
        <v>4049</v>
      </c>
      <c r="C119" s="21" t="s">
        <v>194</v>
      </c>
      <c r="D119" s="21" t="s">
        <v>945</v>
      </c>
      <c r="E119" s="13">
        <v>43031.724652777775</v>
      </c>
      <c r="F119" s="13">
        <v>43031.727500000001</v>
      </c>
      <c r="G119" s="7">
        <v>51</v>
      </c>
      <c r="H119" s="21" t="s">
        <v>354</v>
      </c>
      <c r="I119" s="13">
        <v>43031.755740740744</v>
      </c>
      <c r="J119" s="7">
        <v>0</v>
      </c>
      <c r="K119" s="89" t="str">
        <f>IF(ISEVEN(B119),(B119-1)&amp;"/"&amp;B119,B119&amp;"/"&amp;(B119+1))</f>
        <v>4049/4050</v>
      </c>
      <c r="L119" s="185" t="str">
        <f>VLOOKUP(A119,'Trips&amp;Operators'!$C$1:$G$99911,5,FALSE)</f>
        <v>DAVIS MICHAEL</v>
      </c>
      <c r="M119" s="6">
        <f>I119-F119</f>
        <v>2.8240740743058268E-2</v>
      </c>
      <c r="N119" s="7">
        <f>24*60*SUM($M119:$M119)</f>
        <v>40.666666670003906</v>
      </c>
      <c r="O119" s="7"/>
      <c r="P119" s="7"/>
      <c r="Q119" s="22"/>
      <c r="R119" s="174"/>
      <c r="S119" s="221">
        <f>1/IF(AG119="EC",12,1)*SUM(U119:U119)</f>
        <v>1</v>
      </c>
      <c r="T119" s="174" t="str">
        <f>IF(ISEVEN(LEFT(AD119,4)),"Southbound","NorthBound")</f>
        <v>Southbound</v>
      </c>
      <c r="U119" s="198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16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2017-10-23T16:23:30-0600',mode:absolute,to:'2017-10-23T19:08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19" s="204" t="str">
        <f>IF(AA119&lt;VLOOKUP(AG119,Variables!$AC$3:$AD$8,2,FALSE),"Y","N")</f>
        <v>N</v>
      </c>
      <c r="X119" s="204">
        <f>VALUE(LEFT(AD119,4))-VALUE(LEFT(AD118,4))</f>
        <v>1</v>
      </c>
      <c r="Y119" s="204">
        <f>RIGHT(D119,LEN(D119)-4)/10000</f>
        <v>23.3034</v>
      </c>
      <c r="Z119" s="204">
        <f>RIGHT(H119,LEN(H119)-4)/10000</f>
        <v>1.52E-2</v>
      </c>
      <c r="AA119" s="204">
        <f>ABS(Z119-Y119)</f>
        <v>23.2882</v>
      </c>
      <c r="AB119" s="54" t="e">
        <f>VLOOKUP(A119,Enforcements!$C$7:$K$11,8,0)</f>
        <v>#N/A</v>
      </c>
      <c r="AC119" s="51" t="e">
        <f>VLOOKUP(A119,Enforcements!$C$7:$E$11,3,0)</f>
        <v>#N/A</v>
      </c>
      <c r="AD119" s="179">
        <f>VALUE(LEFT(A119,LEN(A119)-3))</f>
        <v>204</v>
      </c>
      <c r="AE119" s="77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s3://rtdc.mdm.uploadarchive.raw/RTDC4049/ "%USERPROFILE%\AppData\Local\Temp\OnboardLogs"\RTDC4049\2017-10-23 --exclude "*" --recursive --include "*20171023*" &amp; "%USERPROFILE%\Documents\GitHub\mrs-test-scripts\Headless Mode &amp; Sideloading\WalkAndUnGZ.bat" "%USERPROFILE%\AppData\Local\Temp\OnboardLogs"\RTDC4049\2017-10-23 &amp; aws s3 cp s3://rtdc.mdm.uploadarchive.raw/RTDC4049/ "%USERPROFILE%\AppData\Local\Temp\OnboardLogs"\RTDC4049\2017-10-24 --exclude "*" --recursive --include "*20171024*" &amp; "%USERPROFILE%\Documents\GitHub\mrs-test-scripts\Headless Mode &amp; Sideloading\WalkAndUnGZ.bat" "%USERPROFILE%\AppData\Local\Temp\OnboardLogs"\RTDC4049\2017-10-24</v>
      </c>
      <c r="AF119" s="74" t="str">
        <f>astrogrep_path&amp;" /e /r /s /spath="&amp;search_path&amp;" /stypes=""app*"&amp;B119&amp;"*"&amp;TEXT(I119-utc_offset/24,"YYYYMMDD")&amp;"*"" /stext="" "&amp;TEXT(I119-utc_offset/24,"HH")&amp;search_regexp&amp;""""</f>
        <v>"C:\Program Files (x86)\AstroGrep\AstroGrep.exe" /e /r /s /spath="%USERPROFILE%\AppData\Local\Temp\OnboardLogs" /stypes="app*4049*20171024*" /stext=" 00:.+((SYSTEM_STATE.+slice.+state.+changed )|(ment ac)|(multiple cpu faults)|(system.+state.+changed )|(\[timeout)|(PRM\|1\|D)|(kpr)|(kdp)|(train st.+moving)|(\|lc)|(penalty))"</v>
      </c>
      <c r="AG119" s="182" t="str">
        <f>DetSubdiv(A119)</f>
        <v>EC</v>
      </c>
      <c r="AH119" s="78" t="str">
        <f t="shared" si="10"/>
        <v>"%USERPROFILE%\Documents\GitHub\eaglep3\Utilities\RefineRTDCRunTimes.py" --tripid 204-23 --locoid 4049 --swversion DE.1.0.9.0 --startMP 204:233034 --initTime 2017-10-23T17:23:30 --startdatetime 2017-10-23T17:27:36 --delay 51 --endMP 204:152 --enddatetime 2017-10-23T18:08:16 --enforcementcount 0 &gt;&gt;%USERPROFILE%\Documents\GitHub\eaglep3-reporting\EC\2017-10-23-refined-times.txt</v>
      </c>
      <c r="AI119" s="96" t="str">
        <f t="shared" si="11"/>
        <v>echo {"issue":{"subject":"","project_id":79,"tracker_id":40,"status_id":1,"priority_id":2,"assigned_to_id":338,"start_date":"2017-10-23","description":"","custom_fields":[{"id":1,"name":"Subdivision","value":"EC"},{"id":4,"name":"Milepost","value":"0.0152"},{"id":17,"name":"Train ID","value":"204-23"},{"id":16,"name":"Locomotive ID","value":"4049"},{"id":130,"name":"Impact","value":""},{"id":150,"name":"Time of Event (Mountain Time)","value":"18:08:16"},{"id":151,"name":"Denver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9" s="47"/>
      <c r="AL119" s="47"/>
      <c r="AM119" s="142" t="str">
        <f t="shared" si="12"/>
        <v>start /low /b %USERPROFILE%\Documents\GitHub\eaglep3\Utilities\DownloadLogsFromS3.py --loco 4049 --day 2017-10-23</v>
      </c>
      <c r="AN119" s="151" t="str">
        <f t="shared" si="13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00:08:16"},{"id":29,"name":"Sharepoint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168" t="str">
        <f t="shared" si="14"/>
        <v>https://d0f6bd738d7f1b3e5a7ca70fe4ff75f0.us-east-1.aws.found.io/app/kibana#/discover/Steve-Slow-Train-Analysis-(2080s-and-2083s)?_g=(refreshInterval:(display:Off,pause:!f,section:0,value:0),time:(from:'2017-10-23T16:23:30-0600',mode:absolute,to:'2017-10-23T19:08:16-0600'))&amp;_a=(columns:!('Message%20ID',Summary),filters:!(),index:'emp_*',interval:auto,query:(query_string:(analyze_wildcard:!t,query:'%22rtdc.l.rtdc.4049%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3">
      <c r="A120" s="32" t="s">
        <v>827</v>
      </c>
      <c r="B120" s="7">
        <v>4018</v>
      </c>
      <c r="C120" s="21" t="s">
        <v>194</v>
      </c>
      <c r="D120" s="21" t="s">
        <v>383</v>
      </c>
      <c r="E120" s="13">
        <v>43031.693726851852</v>
      </c>
      <c r="F120" s="13">
        <v>43031.698229166665</v>
      </c>
      <c r="G120" s="7">
        <v>58</v>
      </c>
      <c r="H120" s="21" t="s">
        <v>459</v>
      </c>
      <c r="I120" s="13">
        <v>43031.723715277774</v>
      </c>
      <c r="J120" s="7">
        <v>0</v>
      </c>
      <c r="K120" s="89" t="str">
        <f>IF(ISEVEN(B120),(B120-1)&amp;"/"&amp;B120,B120&amp;"/"&amp;(B120+1))</f>
        <v>4017/4018</v>
      </c>
      <c r="L120" s="185" t="str">
        <f>VLOOKUP(A120,'Trips&amp;Operators'!$C$1:$G$99911,5,FALSE)</f>
        <v>STEWART MICHAEL</v>
      </c>
      <c r="M120" s="6">
        <f>I120-F120</f>
        <v>2.548611110978527E-2</v>
      </c>
      <c r="N120" s="7">
        <f>24*60*SUM($M120:$M120)</f>
        <v>36.699999998090789</v>
      </c>
      <c r="O120" s="7"/>
      <c r="P120" s="7"/>
      <c r="Q120" s="22"/>
      <c r="R120" s="174"/>
      <c r="S120" s="221">
        <f>1/IF(AG120="EC",12,1)*SUM(U120:U120)</f>
        <v>1</v>
      </c>
      <c r="T120" s="174" t="str">
        <f>IF(ISEVEN(LEFT(AD120,4)),"Southbound","NorthBound")</f>
        <v>NorthBound</v>
      </c>
      <c r="U120" s="198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16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2017-10-23T15:38:58-0600',mode:absolute,to:'2017-10-23T18:22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20" s="204" t="str">
        <f>IF(AA120&lt;VLOOKUP(AG120,Variables!$AC$3:$AD$8,2,FALSE),"Y","N")</f>
        <v>N</v>
      </c>
      <c r="X120" s="204">
        <f>VALUE(LEFT(AD120,4))-VALUE(LEFT(AD119,4))</f>
        <v>1</v>
      </c>
      <c r="Y120" s="204">
        <f>RIGHT(D120,LEN(D120)-4)/10000</f>
        <v>4.6699999999999998E-2</v>
      </c>
      <c r="Z120" s="204">
        <f>RIGHT(H120,LEN(H120)-4)/10000</f>
        <v>23.3307</v>
      </c>
      <c r="AA120" s="204">
        <f>ABS(Z120-Y120)</f>
        <v>23.283999999999999</v>
      </c>
      <c r="AB120" s="54" t="e">
        <f>VLOOKUP(A120,Enforcements!$C$7:$K$11,8,0)</f>
        <v>#N/A</v>
      </c>
      <c r="AC120" s="51" t="e">
        <f>VLOOKUP(A120,Enforcements!$C$7:$E$11,3,0)</f>
        <v>#N/A</v>
      </c>
      <c r="AD120" s="179">
        <f>VALUE(LEFT(A120,LEN(A120)-3))</f>
        <v>205</v>
      </c>
      <c r="AE120" s="77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s3://rtdc.mdm.uploadarchive.raw/RTDC4018/ "%USERPROFILE%\AppData\Local\Temp\OnboardLogs"\RTDC4018\2017-10-23 --exclude "*" --recursive --include "*20171023*" &amp; "%USERPROFILE%\Documents\GitHub\mrs-test-scripts\Headless Mode &amp; Sideloading\WalkAndUnGZ.bat" "%USERPROFILE%\AppData\Local\Temp\OnboardLogs"\RTDC4018\2017-10-23 &amp; aws s3 cp s3://rtdc.mdm.uploadarchive.raw/RTDC4018/ "%USERPROFILE%\AppData\Local\Temp\OnboardLogs"\RTDC4018\2017-10-24 --exclude "*" --recursive --include "*20171024*" &amp; "%USERPROFILE%\Documents\GitHub\mrs-test-scripts\Headless Mode &amp; Sideloading\WalkAndUnGZ.bat" "%USERPROFILE%\AppData\Local\Temp\OnboardLogs"\RTDC4018\2017-10-24</v>
      </c>
      <c r="AF120" s="74" t="str">
        <f>astrogrep_path&amp;" /e /r /s /spath="&amp;search_path&amp;" /stypes=""app*"&amp;B120&amp;"*"&amp;TEXT(I120-utc_offset/24,"YYYYMMDD")&amp;"*"" /stext="" "&amp;TEXT(I120-utc_offset/24,"HH")&amp;search_regexp&amp;""""</f>
        <v>"C:\Program Files (x86)\AstroGrep\AstroGrep.exe" /e /r /s /spath="%USERPROFILE%\AppData\Local\Temp\OnboardLogs" /stypes="app*4018*20171023*" /stext=" 23:.+((SYSTEM_STATE.+slice.+state.+changed )|(ment ac)|(multiple cpu faults)|(system.+state.+changed )|(\[timeout)|(PRM\|1\|D)|(kpr)|(kdp)|(train st.+moving)|(\|lc)|(penalty))"</v>
      </c>
      <c r="AG120" s="182" t="str">
        <f>DetSubdiv(A120)</f>
        <v>EC</v>
      </c>
      <c r="AH120" s="78" t="str">
        <f t="shared" si="10"/>
        <v>"%USERPROFILE%\Documents\GitHub\eaglep3\Utilities\RefineRTDCRunTimes.py" --tripid 205-23 --locoid 4018 --swversion DE.1.0.9.0 --startMP 204:467 --initTime 2017-10-23T16:38:58 --startdatetime 2017-10-23T16:45:27 --delay 58 --endMP 204:233307 --enddatetime 2017-10-23T17:22:09 --enforcementcount 0 &gt;&gt;%USERPROFILE%\Documents\GitHub\eaglep3-reporting\EC\2017-10-23-refined-times.txt</v>
      </c>
      <c r="AI120" s="96" t="str">
        <f t="shared" si="11"/>
        <v>echo {"issue":{"subject":"","project_id":79,"tracker_id":40,"status_id":1,"priority_id":2,"assigned_to_id":338,"start_date":"2017-10-23","description":"","custom_fields":[{"id":1,"name":"Subdivision","value":"EC"},{"id":4,"name":"Milepost","value":"23.3307"},{"id":17,"name":"Train ID","value":"205-23"},{"id":16,"name":"Locomotive ID","value":"4018"},{"id":130,"name":"Impact","value":""},{"id":150,"name":"Time of Event (Mountain Time)","value":"17:22:09"},{"id":151,"name":"Denver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0" s="47"/>
      <c r="AL120" s="47"/>
      <c r="AM120" s="142" t="str">
        <f t="shared" si="12"/>
        <v>start /low /b %USERPROFILE%\Documents\GitHub\eaglep3\Utilities\DownloadLogsFromS3.py --loco 4018 --day 2017-10-23</v>
      </c>
      <c r="AN120" s="151" t="str">
        <f t="shared" si="13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23:22:09"},{"id":29,"name":"Sharepoint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168" t="str">
        <f t="shared" si="14"/>
        <v>https://d0f6bd738d7f1b3e5a7ca70fe4ff75f0.us-east-1.aws.found.io/app/kibana#/discover/Steve-Slow-Train-Analysis-(2080s-and-2083s)?_g=(refreshInterval:(display:Off,pause:!f,section:0,value:0),time:(from:'2017-10-23T15:38:58-0600',mode:absolute,to:'2017-10-23T18:22:09-0600'))&amp;_a=(columns:!('Message%20ID',Summary),filters:!(),index:'emp_*',interval:auto,query:(query_string:(analyze_wildcard:!t,query:'%22rtdc.l.rtdc.4018%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3">
      <c r="A121" s="32" t="s">
        <v>839</v>
      </c>
      <c r="B121" s="7">
        <v>4017</v>
      </c>
      <c r="C121" s="21" t="s">
        <v>194</v>
      </c>
      <c r="D121" s="21" t="s">
        <v>627</v>
      </c>
      <c r="E121" s="13">
        <v>43031.734317129631</v>
      </c>
      <c r="F121" s="13">
        <v>43031.737847222219</v>
      </c>
      <c r="G121" s="7">
        <v>64</v>
      </c>
      <c r="H121" s="21" t="s">
        <v>458</v>
      </c>
      <c r="I121" s="13">
        <v>43031.764131944445</v>
      </c>
      <c r="J121" s="7">
        <v>0</v>
      </c>
      <c r="K121" s="89" t="str">
        <f>IF(ISEVEN(B121),(B121-1)&amp;"/"&amp;B121,B121&amp;"/"&amp;(B121+1))</f>
        <v>4017/4018</v>
      </c>
      <c r="L121" s="185" t="str">
        <f>VLOOKUP(A121,'Trips&amp;Operators'!$C$1:$G$99911,5,FALSE)</f>
        <v>STEWART MICHAEL</v>
      </c>
      <c r="M121" s="6">
        <f>I121-F121</f>
        <v>2.6284722225682344E-2</v>
      </c>
      <c r="N121" s="7">
        <f>24*60*SUM($M121:$M121)</f>
        <v>37.850000004982576</v>
      </c>
      <c r="O121" s="7"/>
      <c r="P121" s="7"/>
      <c r="Q121" s="22"/>
      <c r="R121" s="174"/>
      <c r="S121" s="221">
        <f>1/IF(AG121="EC",12,1)*SUM(U121:U121)</f>
        <v>1</v>
      </c>
      <c r="T121" s="174" t="str">
        <f>IF(ISEVEN(LEFT(AD121,4)),"Southbound","NorthBound")</f>
        <v>Southbound</v>
      </c>
      <c r="U121" s="198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16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2017-10-23T16:37:25-0600',mode:absolute,to:'2017-10-23T19:20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21" s="204" t="str">
        <f>IF(AA121&lt;VLOOKUP(AG121,Variables!$AC$3:$AD$8,2,FALSE),"Y","N")</f>
        <v>N</v>
      </c>
      <c r="X121" s="204">
        <f>VALUE(LEFT(AD121,4))-VALUE(LEFT(AD120,4))</f>
        <v>1</v>
      </c>
      <c r="Y121" s="204">
        <f>RIGHT(D121,LEN(D121)-4)/10000</f>
        <v>23.2959</v>
      </c>
      <c r="Z121" s="204">
        <f>RIGHT(H121,LEN(H121)-4)/10000</f>
        <v>1.6299999999999999E-2</v>
      </c>
      <c r="AA121" s="204">
        <f>ABS(Z121-Y121)</f>
        <v>23.279599999999999</v>
      </c>
      <c r="AB121" s="54" t="e">
        <f>VLOOKUP(A121,Enforcements!$C$7:$K$11,8,0)</f>
        <v>#N/A</v>
      </c>
      <c r="AC121" s="51" t="e">
        <f>VLOOKUP(A121,Enforcements!$C$7:$E$11,3,0)</f>
        <v>#N/A</v>
      </c>
      <c r="AD121" s="179">
        <f>VALUE(LEFT(A121,LEN(A121)-3))</f>
        <v>206</v>
      </c>
      <c r="AE121" s="77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s3://rtdc.mdm.uploadarchive.raw/RTDC4017/ "%USERPROFILE%\AppData\Local\Temp\OnboardLogs"\RTDC4017\2017-10-23 --exclude "*" --recursive --include "*20171023*" &amp; "%USERPROFILE%\Documents\GitHub\mrs-test-scripts\Headless Mode &amp; Sideloading\WalkAndUnGZ.bat" "%USERPROFILE%\AppData\Local\Temp\OnboardLogs"\RTDC4017\2017-10-23 &amp; aws s3 cp s3://rtdc.mdm.uploadarchive.raw/RTDC4017/ "%USERPROFILE%\AppData\Local\Temp\OnboardLogs"\RTDC4017\2017-10-24 --exclude "*" --recursive --include "*20171024*" &amp; "%USERPROFILE%\Documents\GitHub\mrs-test-scripts\Headless Mode &amp; Sideloading\WalkAndUnGZ.bat" "%USERPROFILE%\AppData\Local\Temp\OnboardLogs"\RTDC4017\2017-10-24</v>
      </c>
      <c r="AF121" s="74" t="str">
        <f>astrogrep_path&amp;" /e /r /s /spath="&amp;search_path&amp;" /stypes=""app*"&amp;B121&amp;"*"&amp;TEXT(I121-utc_offset/24,"YYYYMMDD")&amp;"*"" /stext="" "&amp;TEXT(I121-utc_offset/24,"HH")&amp;search_regexp&amp;""""</f>
        <v>"C:\Program Files (x86)\AstroGrep\AstroGrep.exe" /e /r /s /spath="%USERPROFILE%\AppData\Local\Temp\OnboardLogs" /stypes="app*4017*20171024*" /stext=" 00:.+((SYSTEM_STATE.+slice.+state.+changed )|(ment ac)|(multiple cpu faults)|(system.+state.+changed )|(\[timeout)|(PRM\|1\|D)|(kpr)|(kdp)|(train st.+moving)|(\|lc)|(penalty))"</v>
      </c>
      <c r="AG121" s="182" t="str">
        <f>DetSubdiv(A121)</f>
        <v>EC</v>
      </c>
      <c r="AH121" s="78" t="str">
        <f t="shared" si="10"/>
        <v>"%USERPROFILE%\Documents\GitHub\eaglep3\Utilities\RefineRTDCRunTimes.py" --tripid 206-23 --locoid 4017 --swversion DE.1.0.9.0 --startMP 204:232959 --initTime 2017-10-23T17:37:25 --startdatetime 2017-10-23T17:42:30 --delay 64 --endMP 204:163 --enddatetime 2017-10-23T18:20:21 --enforcementcount 0 &gt;&gt;%USERPROFILE%\Documents\GitHub\eaglep3-reporting\EC\2017-10-23-refined-times.txt</v>
      </c>
      <c r="AI121" s="96" t="str">
        <f t="shared" si="11"/>
        <v>echo {"issue":{"subject":"","project_id":79,"tracker_id":40,"status_id":1,"priority_id":2,"assigned_to_id":338,"start_date":"2017-10-23","description":"","custom_fields":[{"id":1,"name":"Subdivision","value":"EC"},{"id":4,"name":"Milepost","value":"0.0163"},{"id":17,"name":"Train ID","value":"206-23"},{"id":16,"name":"Locomotive ID","value":"4017"},{"id":130,"name":"Impact","value":""},{"id":150,"name":"Time of Event (Mountain Time)","value":"18:20:21"},{"id":151,"name":"Denver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1" s="47"/>
      <c r="AL121" s="47"/>
      <c r="AM121" s="142" t="str">
        <f t="shared" si="12"/>
        <v>start /low /b %USERPROFILE%\Documents\GitHub\eaglep3\Utilities\DownloadLogsFromS3.py --loco 4017 --day 2017-10-23</v>
      </c>
      <c r="AN121" s="151" t="str">
        <f t="shared" si="13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00:20:21"},{"id":29,"name":"Sharepoint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168" t="str">
        <f t="shared" si="14"/>
        <v>https://d0f6bd738d7f1b3e5a7ca70fe4ff75f0.us-east-1.aws.found.io/app/kibana#/discover/Steve-Slow-Train-Analysis-(2080s-and-2083s)?_g=(refreshInterval:(display:Off,pause:!f,section:0,value:0),time:(from:'2017-10-23T16:37:25-0600',mode:absolute,to:'2017-10-23T19:20:21-0600'))&amp;_a=(columns:!('Message%20ID',Summary),filters:!(),index:'emp_*',interval:auto,query:(query_string:(analyze_wildcard:!t,query:'%22rtdc.l.rtdc.4017%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3">
      <c r="A122" s="32" t="s">
        <v>829</v>
      </c>
      <c r="B122" s="7">
        <v>4016</v>
      </c>
      <c r="C122" s="21" t="s">
        <v>194</v>
      </c>
      <c r="D122" s="21" t="s">
        <v>555</v>
      </c>
      <c r="E122" s="13">
        <v>43031.70416666667</v>
      </c>
      <c r="F122" s="13">
        <v>43031.708506944444</v>
      </c>
      <c r="G122" s="7">
        <v>64</v>
      </c>
      <c r="H122" s="21" t="s">
        <v>915</v>
      </c>
      <c r="I122" s="13">
        <v>43031.734386574077</v>
      </c>
      <c r="J122" s="7">
        <v>0</v>
      </c>
      <c r="K122" s="89" t="str">
        <f>IF(ISEVEN(B122),(B122-1)&amp;"/"&amp;B122,B122&amp;"/"&amp;(B122+1))</f>
        <v>4015/4016</v>
      </c>
      <c r="L122" s="185" t="str">
        <f>VLOOKUP(A122,'Trips&amp;Operators'!$C$1:$G$99911,5,FALSE)</f>
        <v>LEVERE CRAIG</v>
      </c>
      <c r="M122" s="6">
        <f>I122-F122</f>
        <v>2.587962963298196E-2</v>
      </c>
      <c r="N122" s="7">
        <f>24*60*SUM($M122:$M122)</f>
        <v>37.266666671494022</v>
      </c>
      <c r="O122" s="7"/>
      <c r="P122" s="7"/>
      <c r="Q122" s="22"/>
      <c r="R122" s="174"/>
      <c r="S122" s="221">
        <f>1/IF(AG122="EC",12,1)*SUM(U122:U122)</f>
        <v>1</v>
      </c>
      <c r="T122" s="174" t="str">
        <f>IF(ISEVEN(LEFT(AD122,4)),"Southbound","NorthBound")</f>
        <v>NorthBound</v>
      </c>
      <c r="U122" s="198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16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2017-10-23T15:54:00-0600',mode:absolute,to:'2017-10-23T18:37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2" s="204" t="str">
        <f>IF(AA122&lt;VLOOKUP(AG122,Variables!$AC$3:$AD$8,2,FALSE),"Y","N")</f>
        <v>N</v>
      </c>
      <c r="X122" s="204">
        <f>VALUE(LEFT(AD122,4))-VALUE(LEFT(AD121,4))</f>
        <v>1</v>
      </c>
      <c r="Y122" s="204">
        <f>RIGHT(D122,LEN(D122)-4)/10000</f>
        <v>4.4900000000000002E-2</v>
      </c>
      <c r="Z122" s="204">
        <f>RIGHT(H122,LEN(H122)-4)/10000</f>
        <v>23.331</v>
      </c>
      <c r="AA122" s="204">
        <f>ABS(Z122-Y122)</f>
        <v>23.286100000000001</v>
      </c>
      <c r="AB122" s="54" t="e">
        <f>VLOOKUP(A122,Enforcements!$C$7:$K$11,8,0)</f>
        <v>#N/A</v>
      </c>
      <c r="AC122" s="51" t="e">
        <f>VLOOKUP(A122,Enforcements!$C$7:$E$11,3,0)</f>
        <v>#N/A</v>
      </c>
      <c r="AD122" s="179">
        <f>VALUE(LEFT(A122,LEN(A122)-3))</f>
        <v>207</v>
      </c>
      <c r="AE122" s="77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s3://rtdc.mdm.uploadarchive.raw/RTDC4016/ "%USERPROFILE%\AppData\Local\Temp\OnboardLogs"\RTDC4016\2017-10-23 --exclude "*" --recursive --include "*20171023*" &amp; "%USERPROFILE%\Documents\GitHub\mrs-test-scripts\Headless Mode &amp; Sideloading\WalkAndUnGZ.bat" "%USERPROFILE%\AppData\Local\Temp\OnboardLogs"\RTDC4016\2017-10-23 &amp; aws s3 cp s3://rtdc.mdm.uploadarchive.raw/RTDC4016/ "%USERPROFILE%\AppData\Local\Temp\OnboardLogs"\RTDC4016\2017-10-24 --exclude "*" --recursive --include "*20171024*" &amp; "%USERPROFILE%\Documents\GitHub\mrs-test-scripts\Headless Mode &amp; Sideloading\WalkAndUnGZ.bat" "%USERPROFILE%\AppData\Local\Temp\OnboardLogs"\RTDC4016\2017-10-24</v>
      </c>
      <c r="AF122" s="74" t="str">
        <f>astrogrep_path&amp;" /e /r /s /spath="&amp;search_path&amp;" /stypes=""app*"&amp;B122&amp;"*"&amp;TEXT(I122-utc_offset/24,"YYYYMMDD")&amp;"*"" /stext="" "&amp;TEXT(I122-utc_offset/24,"HH")&amp;search_regexp&amp;""""</f>
        <v>"C:\Program Files (x86)\AstroGrep\AstroGrep.exe" /e /r /s /spath="%USERPROFILE%\AppData\Local\Temp\OnboardLogs" /stypes="app*4016*20171023*" /stext=" 23:.+((SYSTEM_STATE.+slice.+state.+changed )|(ment ac)|(multiple cpu faults)|(system.+state.+changed )|(\[timeout)|(PRM\|1\|D)|(kpr)|(kdp)|(train st.+moving)|(\|lc)|(penalty))"</v>
      </c>
      <c r="AG122" s="182" t="str">
        <f>DetSubdiv(A122)</f>
        <v>EC</v>
      </c>
      <c r="AH122" s="78" t="str">
        <f t="shared" si="10"/>
        <v>"%USERPROFILE%\Documents\GitHub\eaglep3\Utilities\RefineRTDCRunTimes.py" --tripid 207-23 --locoid 4016 --swversion DE.1.0.9.0 --startMP 204:449 --initTime 2017-10-23T16:54:00 --startdatetime 2017-10-23T17:00:15 --delay 64 --endMP 204:233310 --enddatetime 2017-10-23T17:37:31 --enforcementcount 0 &gt;&gt;%USERPROFILE%\Documents\GitHub\eaglep3-reporting\EC\2017-10-23-refined-times.txt</v>
      </c>
      <c r="AI122" s="96" t="str">
        <f t="shared" si="11"/>
        <v>echo {"issue":{"subject":"","project_id":79,"tracker_id":40,"status_id":1,"priority_id":2,"assigned_to_id":338,"start_date":"2017-10-23","description":"","custom_fields":[{"id":1,"name":"Subdivision","value":"EC"},{"id":4,"name":"Milepost","value":"23.331"},{"id":17,"name":"Train ID","value":"207-23"},{"id":16,"name":"Locomotive ID","value":"4016"},{"id":130,"name":"Impact","value":""},{"id":150,"name":"Time of Event (Mountain Time)","value":"17:37:31"},{"id":151,"name":"Denver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2" s="47"/>
      <c r="AL122" s="47"/>
      <c r="AM122" s="142" t="str">
        <f t="shared" si="12"/>
        <v>start /low /b %USERPROFILE%\Documents\GitHub\eaglep3\Utilities\DownloadLogsFromS3.py --loco 4016 --day 2017-10-23</v>
      </c>
      <c r="AN122" s="151" t="str">
        <f t="shared" si="13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23:37:31"},{"id":29,"name":"Sharepoint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168" t="str">
        <f t="shared" si="14"/>
        <v>https://d0f6bd738d7f1b3e5a7ca70fe4ff75f0.us-east-1.aws.found.io/app/kibana#/discover/Steve-Slow-Train-Analysis-(2080s-and-2083s)?_g=(refreshInterval:(display:Off,pause:!f,section:0,value:0),time:(from:'2017-10-23T15:54:00-0600',mode:absolute,to:'2017-10-23T18:37:31-0600'))&amp;_a=(columns:!('Message%20ID',Summary),filters:!(),index:'emp_*',interval:auto,query:(query_string:(analyze_wildcard:!t,query:'%22rtdc.l.rtdc.4016%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3">
      <c r="A123" s="32" t="s">
        <v>844</v>
      </c>
      <c r="B123" s="7">
        <v>4015</v>
      </c>
      <c r="C123" s="21" t="s">
        <v>194</v>
      </c>
      <c r="D123" s="21" t="s">
        <v>401</v>
      </c>
      <c r="E123" s="13">
        <v>43031.743726851855</v>
      </c>
      <c r="F123" s="13">
        <v>43031.748101851852</v>
      </c>
      <c r="G123" s="7">
        <v>56</v>
      </c>
      <c r="H123" s="21" t="s">
        <v>363</v>
      </c>
      <c r="I123" s="13">
        <v>43031.775543981479</v>
      </c>
      <c r="J123" s="7">
        <v>0</v>
      </c>
      <c r="K123" s="89" t="str">
        <f>IF(ISEVEN(B123),(B123-1)&amp;"/"&amp;B123,B123&amp;"/"&amp;(B123+1))</f>
        <v>4015/4016</v>
      </c>
      <c r="L123" s="185" t="str">
        <f>VLOOKUP(A123,'Trips&amp;Operators'!$C$1:$G$99911,5,FALSE)</f>
        <v>LEVERE CRAIG</v>
      </c>
      <c r="M123" s="6">
        <f>I123-F123</f>
        <v>2.7442129627161194E-2</v>
      </c>
      <c r="N123" s="7">
        <f>24*60*SUM($M123:$M123)</f>
        <v>39.516666663112119</v>
      </c>
      <c r="O123" s="7"/>
      <c r="P123" s="7"/>
      <c r="Q123" s="22"/>
      <c r="R123" s="174"/>
      <c r="S123" s="221">
        <f>1/IF(AG123="EC",12,1)*SUM(U123:U123)</f>
        <v>1</v>
      </c>
      <c r="T123" s="174" t="str">
        <f>IF(ISEVEN(LEFT(AD123,4)),"Southbound","NorthBound")</f>
        <v>Southbound</v>
      </c>
      <c r="U123" s="198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16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2017-10-23T16:50:58-0600',mode:absolute,to:'2017-10-23T19:36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3" s="204" t="str">
        <f>IF(AA123&lt;VLOOKUP(AG123,Variables!$AC$3:$AD$8,2,FALSE),"Y","N")</f>
        <v>N</v>
      </c>
      <c r="X123" s="204">
        <f>VALUE(LEFT(AD123,4))-VALUE(LEFT(AD122,4))</f>
        <v>1</v>
      </c>
      <c r="Y123" s="204">
        <f>RIGHT(D123,LEN(D123)-4)/10000</f>
        <v>23.299399999999999</v>
      </c>
      <c r="Z123" s="204">
        <f>RIGHT(H123,LEN(H123)-4)/10000</f>
        <v>1.5800000000000002E-2</v>
      </c>
      <c r="AA123" s="204">
        <f>ABS(Z123-Y123)</f>
        <v>23.2836</v>
      </c>
      <c r="AB123" s="54" t="e">
        <f>VLOOKUP(A123,Enforcements!$C$7:$K$11,8,0)</f>
        <v>#N/A</v>
      </c>
      <c r="AC123" s="51" t="e">
        <f>VLOOKUP(A123,Enforcements!$C$7:$E$11,3,0)</f>
        <v>#N/A</v>
      </c>
      <c r="AD123" s="179">
        <f>VALUE(LEFT(A123,LEN(A123)-3))</f>
        <v>208</v>
      </c>
      <c r="AE123" s="77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s3://rtdc.mdm.uploadarchive.raw/RTDC4015/ "%USERPROFILE%\AppData\Local\Temp\OnboardLogs"\RTDC4015\2017-10-23 --exclude "*" --recursive --include "*20171023*" &amp; "%USERPROFILE%\Documents\GitHub\mrs-test-scripts\Headless Mode &amp; Sideloading\WalkAndUnGZ.bat" "%USERPROFILE%\AppData\Local\Temp\OnboardLogs"\RTDC4015\2017-10-23 &amp; aws s3 cp s3://rtdc.mdm.uploadarchive.raw/RTDC4015/ "%USERPROFILE%\AppData\Local\Temp\OnboardLogs"\RTDC4015\2017-10-24 --exclude "*" --recursive --include "*20171024*" &amp; "%USERPROFILE%\Documents\GitHub\mrs-test-scripts\Headless Mode &amp; Sideloading\WalkAndUnGZ.bat" "%USERPROFILE%\AppData\Local\Temp\OnboardLogs"\RTDC4015\2017-10-24</v>
      </c>
      <c r="AF123" s="74" t="str">
        <f>astrogrep_path&amp;" /e /r /s /spath="&amp;search_path&amp;" /stypes=""app*"&amp;B123&amp;"*"&amp;TEXT(I123-utc_offset/24,"YYYYMMDD")&amp;"*"" /stext="" "&amp;TEXT(I123-utc_offset/24,"HH")&amp;search_regexp&amp;""""</f>
        <v>"C:\Program Files (x86)\AstroGrep\AstroGrep.exe" /e /r /s /spath="%USERPROFILE%\AppData\Local\Temp\OnboardLogs" /stypes="app*4015*20171024*" /stext=" 00:.+((SYSTEM_STATE.+slice.+state.+changed )|(ment ac)|(multiple cpu faults)|(system.+state.+changed )|(\[timeout)|(PRM\|1\|D)|(kpr)|(kdp)|(train st.+moving)|(\|lc)|(penalty))"</v>
      </c>
      <c r="AG123" s="182" t="str">
        <f>DetSubdiv(A123)</f>
        <v>EC</v>
      </c>
      <c r="AH123" s="78" t="str">
        <f t="shared" si="10"/>
        <v>"%USERPROFILE%\Documents\GitHub\eaglep3\Utilities\RefineRTDCRunTimes.py" --tripid 208-23 --locoid 4015 --swversion DE.1.0.9.0 --startMP 204:232994 --initTime 2017-10-23T17:50:58 --startdatetime 2017-10-23T17:57:16 --delay 56 --endMP 204:158 --enddatetime 2017-10-23T18:36:47 --enforcementcount 0 &gt;&gt;%USERPROFILE%\Documents\GitHub\eaglep3-reporting\EC\2017-10-23-refined-times.txt</v>
      </c>
      <c r="AI123" s="96" t="str">
        <f t="shared" si="11"/>
        <v>echo {"issue":{"subject":"","project_id":79,"tracker_id":40,"status_id":1,"priority_id":2,"assigned_to_id":338,"start_date":"2017-10-23","description":"","custom_fields":[{"id":1,"name":"Subdivision","value":"EC"},{"id":4,"name":"Milepost","value":"0.0158"},{"id":17,"name":"Train ID","value":"208-23"},{"id":16,"name":"Locomotive ID","value":"4015"},{"id":130,"name":"Impact","value":""},{"id":150,"name":"Time of Event (Mountain Time)","value":"18:36:47"},{"id":151,"name":"Denver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3" s="47"/>
      <c r="AL123" s="47"/>
      <c r="AM123" s="142" t="str">
        <f t="shared" si="12"/>
        <v>start /low /b %USERPROFILE%\Documents\GitHub\eaglep3\Utilities\DownloadLogsFromS3.py --loco 4015 --day 2017-10-23</v>
      </c>
      <c r="AN123" s="151" t="str">
        <f t="shared" si="13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00:36:47"},{"id":29,"name":"Sharepoint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168" t="str">
        <f t="shared" si="14"/>
        <v>https://d0f6bd738d7f1b3e5a7ca70fe4ff75f0.us-east-1.aws.found.io/app/kibana#/discover/Steve-Slow-Train-Analysis-(2080s-and-2083s)?_g=(refreshInterval:(display:Off,pause:!f,section:0,value:0),time:(from:'2017-10-23T16:50:58-0600',mode:absolute,to:'2017-10-23T19:36:47-0600'))&amp;_a=(columns:!('Message%20ID',Summary),filters:!(),index:'emp_*',interval:auto,query:(query_string:(analyze_wildcard:!t,query:'%22rtdc.l.rtdc.4015%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3">
      <c r="A124" s="32" t="s">
        <v>834</v>
      </c>
      <c r="B124" s="7">
        <v>4042</v>
      </c>
      <c r="C124" s="21" t="s">
        <v>194</v>
      </c>
      <c r="D124" s="21" t="s">
        <v>334</v>
      </c>
      <c r="E124" s="13">
        <v>43031.715185185189</v>
      </c>
      <c r="F124" s="13">
        <v>43031.718923611108</v>
      </c>
      <c r="G124" s="7">
        <v>51</v>
      </c>
      <c r="H124" s="21" t="s">
        <v>946</v>
      </c>
      <c r="I124" s="13">
        <v>43031.744317129633</v>
      </c>
      <c r="J124" s="7">
        <v>0</v>
      </c>
      <c r="K124" s="89" t="str">
        <f>IF(ISEVEN(B124),(B124-1)&amp;"/"&amp;B124,B124&amp;"/"&amp;(B124+1))</f>
        <v>4041/4042</v>
      </c>
      <c r="L124" s="185" t="str">
        <f>VLOOKUP(A124,'Trips&amp;Operators'!$C$1:$G$99911,5,FALSE)</f>
        <v>GUZMAN DANNY</v>
      </c>
      <c r="M124" s="6">
        <f>I124-F124</f>
        <v>2.5393518524651881E-2</v>
      </c>
      <c r="N124" s="7">
        <f>24*60*SUM($M124:$M124)</f>
        <v>36.566666675498709</v>
      </c>
      <c r="O124" s="7"/>
      <c r="P124" s="7"/>
      <c r="Q124" s="22"/>
      <c r="R124" s="174"/>
      <c r="S124" s="221">
        <f>1/IF(AG124="EC",12,1)*SUM(U124:U124)</f>
        <v>1</v>
      </c>
      <c r="T124" s="174" t="str">
        <f>IF(ISEVEN(LEFT(AD124,4)),"Southbound","NorthBound")</f>
        <v>NorthBound</v>
      </c>
      <c r="U124" s="198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16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2017-10-23T16:09:52-0600',mode:absolute,to:'2017-10-23T18:51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4" s="204" t="str">
        <f>IF(AA124&lt;VLOOKUP(AG124,Variables!$AC$3:$AD$8,2,FALSE),"Y","N")</f>
        <v>N</v>
      </c>
      <c r="X124" s="204">
        <f>VALUE(LEFT(AD124,4))-VALUE(LEFT(AD123,4))</f>
        <v>1</v>
      </c>
      <c r="Y124" s="204">
        <f>RIGHT(D124,LEN(D124)-4)/10000</f>
        <v>4.4600000000000001E-2</v>
      </c>
      <c r="Z124" s="204">
        <f>RIGHT(H124,LEN(H124)-4)/10000</f>
        <v>23.324100000000001</v>
      </c>
      <c r="AA124" s="204">
        <f>ABS(Z124-Y124)</f>
        <v>23.279500000000002</v>
      </c>
      <c r="AB124" s="54" t="e">
        <f>VLOOKUP(A124,Enforcements!$C$7:$K$11,8,0)</f>
        <v>#N/A</v>
      </c>
      <c r="AC124" s="51" t="e">
        <f>VLOOKUP(A124,Enforcements!$C$7:$E$11,3,0)</f>
        <v>#N/A</v>
      </c>
      <c r="AD124" s="179">
        <f>VALUE(LEFT(A124,LEN(A124)-3))</f>
        <v>209</v>
      </c>
      <c r="AE124" s="77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s3://rtdc.mdm.uploadarchive.raw/RTDC4042/ "%USERPROFILE%\AppData\Local\Temp\OnboardLogs"\RTDC4042\2017-10-23 --exclude "*" --recursive --include "*20171023*" &amp; "%USERPROFILE%\Documents\GitHub\mrs-test-scripts\Headless Mode &amp; Sideloading\WalkAndUnGZ.bat" "%USERPROFILE%\AppData\Local\Temp\OnboardLogs"\RTDC4042\2017-10-23 &amp; aws s3 cp s3://rtdc.mdm.uploadarchive.raw/RTDC4042/ "%USERPROFILE%\AppData\Local\Temp\OnboardLogs"\RTDC4042\2017-10-24 --exclude "*" --recursive --include "*20171024*" &amp; "%USERPROFILE%\Documents\GitHub\mrs-test-scripts\Headless Mode &amp; Sideloading\WalkAndUnGZ.bat" "%USERPROFILE%\AppData\Local\Temp\OnboardLogs"\RTDC4042\2017-10-24</v>
      </c>
      <c r="AF124" s="74" t="str">
        <f>astrogrep_path&amp;" /e /r /s /spath="&amp;search_path&amp;" /stypes=""app*"&amp;B124&amp;"*"&amp;TEXT(I124-utc_offset/24,"YYYYMMDD")&amp;"*"" /stext="" "&amp;TEXT(I124-utc_offset/24,"HH")&amp;search_regexp&amp;""""</f>
        <v>"C:\Program Files (x86)\AstroGrep\AstroGrep.exe" /e /r /s /spath="%USERPROFILE%\AppData\Local\Temp\OnboardLogs" /stypes="app*4042*20171023*" /stext=" 23:.+((SYSTEM_STATE.+slice.+state.+changed )|(ment ac)|(multiple cpu faults)|(system.+state.+changed )|(\[timeout)|(PRM\|1\|D)|(kpr)|(kdp)|(train st.+moving)|(\|lc)|(penalty))"</v>
      </c>
      <c r="AG124" s="182" t="str">
        <f>DetSubdiv(A124)</f>
        <v>EC</v>
      </c>
      <c r="AH124" s="78" t="str">
        <f t="shared" si="10"/>
        <v>"%USERPROFILE%\Documents\GitHub\eaglep3\Utilities\RefineRTDCRunTimes.py" --tripid 209-23 --locoid 4042 --swversion DE.1.0.9.0 --startMP 204:446 --initTime 2017-10-23T17:09:52 --startdatetime 2017-10-23T17:15:15 --delay 51 --endMP 204:233241 --enddatetime 2017-10-23T17:51:49 --enforcementcount 0 &gt;&gt;%USERPROFILE%\Documents\GitHub\eaglep3-reporting\EC\2017-10-23-refined-times.txt</v>
      </c>
      <c r="AI124" s="96" t="str">
        <f t="shared" si="11"/>
        <v>echo {"issue":{"subject":"","project_id":79,"tracker_id":40,"status_id":1,"priority_id":2,"assigned_to_id":338,"start_date":"2017-10-23","description":"","custom_fields":[{"id":1,"name":"Subdivision","value":"EC"},{"id":4,"name":"Milepost","value":"23.3241"},{"id":17,"name":"Train ID","value":"209-23"},{"id":16,"name":"Locomotive ID","value":"4042"},{"id":130,"name":"Impact","value":""},{"id":150,"name":"Time of Event (Mountain Time)","value":"17:51:49"},{"id":151,"name":"Denver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4" s="47"/>
      <c r="AL124" s="47"/>
      <c r="AM124" s="142" t="str">
        <f t="shared" si="12"/>
        <v>start /low /b %USERPROFILE%\Documents\GitHub\eaglep3\Utilities\DownloadLogsFromS3.py --loco 4042 --day 2017-10-23</v>
      </c>
      <c r="AN124" s="151" t="str">
        <f t="shared" si="13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23:51:49"},{"id":29,"name":"Sharepoint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168" t="str">
        <f t="shared" si="14"/>
        <v>https://d0f6bd738d7f1b3e5a7ca70fe4ff75f0.us-east-1.aws.found.io/app/kibana#/discover/Steve-Slow-Train-Analysis-(2080s-and-2083s)?_g=(refreshInterval:(display:Off,pause:!f,section:0,value:0),time:(from:'2017-10-23T16:09:52-0600',mode:absolute,to:'2017-10-23T18:51:49-0600'))&amp;_a=(columns:!('Message%20ID',Summary),filters:!(),index:'emp_*',interval:auto,query:(query_string:(analyze_wildcard:!t,query:'%22rtdc.l.rtdc.4042%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3">
      <c r="A125" s="32" t="s">
        <v>846</v>
      </c>
      <c r="B125" s="7">
        <v>4041</v>
      </c>
      <c r="C125" s="21" t="s">
        <v>194</v>
      </c>
      <c r="D125" s="21" t="s">
        <v>627</v>
      </c>
      <c r="E125" s="13">
        <v>43031.748171296298</v>
      </c>
      <c r="F125" s="13">
        <v>43031.758611111109</v>
      </c>
      <c r="G125" s="7">
        <v>49</v>
      </c>
      <c r="H125" s="21" t="s">
        <v>411</v>
      </c>
      <c r="I125" s="13">
        <v>43031.784687500003</v>
      </c>
      <c r="J125" s="7">
        <v>0</v>
      </c>
      <c r="K125" s="89" t="str">
        <f>IF(ISEVEN(B125),(B125-1)&amp;"/"&amp;B125,B125&amp;"/"&amp;(B125+1))</f>
        <v>4041/4042</v>
      </c>
      <c r="L125" s="185" t="str">
        <f>VLOOKUP(A125,'Trips&amp;Operators'!$C$1:$G$99911,5,FALSE)</f>
        <v>GUZMAN DANNY</v>
      </c>
      <c r="M125" s="6">
        <f>I125-F125</f>
        <v>2.6076388894580305E-2</v>
      </c>
      <c r="N125" s="7">
        <f>24*60*SUM($M125:$M125)</f>
        <v>37.550000008195639</v>
      </c>
      <c r="O125" s="7"/>
      <c r="P125" s="7"/>
      <c r="Q125" s="22"/>
      <c r="R125" s="174"/>
      <c r="S125" s="221">
        <f>1/IF(AG125="EC",12,1)*SUM(U125:U125)</f>
        <v>1</v>
      </c>
      <c r="T125" s="174" t="str">
        <f>IF(ISEVEN(LEFT(AD125,4)),"Southbound","NorthBound")</f>
        <v>Southbound</v>
      </c>
      <c r="U125" s="198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16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-10-23T16:57:22-0600',mode:absolute,to:'2017-10-23T19:49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5" s="204" t="str">
        <f>IF(AA125&lt;VLOOKUP(AG125,Variables!$AC$3:$AD$8,2,FALSE),"Y","N")</f>
        <v>N</v>
      </c>
      <c r="X125" s="204">
        <f>VALUE(LEFT(AD125,4))-VALUE(LEFT(AD124,4))</f>
        <v>1</v>
      </c>
      <c r="Y125" s="204">
        <f>RIGHT(D125,LEN(D125)-4)/10000</f>
        <v>23.2959</v>
      </c>
      <c r="Z125" s="204">
        <f>RIGHT(H125,LEN(H125)-4)/10000</f>
        <v>1.3599999999999999E-2</v>
      </c>
      <c r="AA125" s="204">
        <f>ABS(Z125-Y125)</f>
        <v>23.282299999999999</v>
      </c>
      <c r="AB125" s="54" t="e">
        <f>VLOOKUP(A125,Enforcements!$C$7:$K$11,8,0)</f>
        <v>#N/A</v>
      </c>
      <c r="AC125" s="51" t="e">
        <f>VLOOKUP(A125,Enforcements!$C$7:$E$11,3,0)</f>
        <v>#N/A</v>
      </c>
      <c r="AD125" s="179">
        <f>VALUE(LEFT(A125,LEN(A125)-3))</f>
        <v>210</v>
      </c>
      <c r="AE125" s="77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s3://rtdc.mdm.uploadarchive.raw/RTDC4041/ "%USERPROFILE%\AppData\Local\Temp\OnboardLogs"\RTDC4041\2017-10-23 --exclude "*" --recursive --include "*20171023*" &amp; "%USERPROFILE%\Documents\GitHub\mrs-test-scripts\Headless Mode &amp; Sideloading\WalkAndUnGZ.bat" "%USERPROFILE%\AppData\Local\Temp\OnboardLogs"\RTDC4041\2017-10-23 &amp; aws s3 cp s3://rtdc.mdm.uploadarchive.raw/RTDC4041/ "%USERPROFILE%\AppData\Local\Temp\OnboardLogs"\RTDC4041\2017-10-24 --exclude "*" --recursive --include "*20171024*" &amp; "%USERPROFILE%\Documents\GitHub\mrs-test-scripts\Headless Mode &amp; Sideloading\WalkAndUnGZ.bat" "%USERPROFILE%\AppData\Local\Temp\OnboardLogs"\RTDC4041\2017-10-24</v>
      </c>
      <c r="AF125" s="74" t="str">
        <f>astrogrep_path&amp;" /e /r /s /spath="&amp;search_path&amp;" /stypes=""app*"&amp;B125&amp;"*"&amp;TEXT(I125-utc_offset/24,"YYYYMMDD")&amp;"*"" /stext="" "&amp;TEXT(I125-utc_offset/24,"HH")&amp;search_regexp&amp;""""</f>
        <v>"C:\Program Files (x86)\AstroGrep\AstroGrep.exe" /e /r /s /spath="%USERPROFILE%\AppData\Local\Temp\OnboardLogs" /stypes="app*4041*20171024*" /stext=" 00:.+((SYSTEM_STATE.+slice.+state.+changed )|(ment ac)|(multiple cpu faults)|(system.+state.+changed )|(\[timeout)|(PRM\|1\|D)|(kpr)|(kdp)|(train st.+moving)|(\|lc)|(penalty))"</v>
      </c>
      <c r="AG125" s="182" t="str">
        <f>DetSubdiv(A125)</f>
        <v>EC</v>
      </c>
      <c r="AH125" s="78" t="str">
        <f t="shared" si="10"/>
        <v>"%USERPROFILE%\Documents\GitHub\eaglep3\Utilities\RefineRTDCRunTimes.py" --tripid 210-23 --locoid 4041 --swversion DE.1.0.9.0 --startMP 204:232959 --initTime 2017-10-23T17:57:22 --startdatetime 2017-10-23T18:12:24 --delay 49 --endMP 204:136 --enddatetime 2017-10-23T18:49:57 --enforcementcount 0 &gt;&gt;%USERPROFILE%\Documents\GitHub\eaglep3-reporting\EC\2017-10-23-refined-times.txt</v>
      </c>
      <c r="AI125" s="96" t="str">
        <f t="shared" si="11"/>
        <v>echo {"issue":{"subject":"","project_id":79,"tracker_id":40,"status_id":1,"priority_id":2,"assigned_to_id":338,"start_date":"2017-10-23","description":"","custom_fields":[{"id":1,"name":"Subdivision","value":"EC"},{"id":4,"name":"Milepost","value":"0.0136"},{"id":17,"name":"Train ID","value":"210-23"},{"id":16,"name":"Locomotive ID","value":"4041"},{"id":130,"name":"Impact","value":""},{"id":150,"name":"Time of Event (Mountain Time)","value":"18:49:57"},{"id":151,"name":"Denver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5" s="47"/>
      <c r="AL125" s="47"/>
      <c r="AM125" s="142" t="str">
        <f t="shared" si="12"/>
        <v>start /low /b %USERPROFILE%\Documents\GitHub\eaglep3\Utilities\DownloadLogsFromS3.py --loco 4041 --day 2017-10-23</v>
      </c>
      <c r="AN125" s="151" t="str">
        <f t="shared" si="13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00:49:57"},{"id":29,"name":"Sharepoint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168" t="str">
        <f t="shared" si="14"/>
        <v>https://d0f6bd738d7f1b3e5a7ca70fe4ff75f0.us-east-1.aws.found.io/app/kibana#/discover/Steve-Slow-Train-Analysis-(2080s-and-2083s)?_g=(refreshInterval:(display:Off,pause:!f,section:0,value:0),time:(from:'2017-10-23T16:57:22-0600',mode:absolute,to:'2017-10-23T19:49:57-0600'))&amp;_a=(columns:!('Message%20ID',Summary),filters:!(),index:'emp_*',interval:auto,query:(query_string:(analyze_wildcard:!t,query:'%22rtdc.l.rtdc.4041%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3">
      <c r="A126" s="32" t="s">
        <v>836</v>
      </c>
      <c r="B126" s="7">
        <v>4008</v>
      </c>
      <c r="C126" s="21" t="s">
        <v>194</v>
      </c>
      <c r="D126" s="21" t="s">
        <v>403</v>
      </c>
      <c r="E126" s="13">
        <v>43031.725370370368</v>
      </c>
      <c r="F126" s="13">
        <v>43031.729456018518</v>
      </c>
      <c r="G126" s="7">
        <v>95</v>
      </c>
      <c r="H126" s="21" t="s">
        <v>565</v>
      </c>
      <c r="I126" s="13">
        <v>43031.754270833335</v>
      </c>
      <c r="J126" s="7">
        <v>0</v>
      </c>
      <c r="K126" s="89" t="str">
        <f>IF(ISEVEN(B126),(B126-1)&amp;"/"&amp;B126,B126&amp;"/"&amp;(B126+1))</f>
        <v>4007/4008</v>
      </c>
      <c r="L126" s="185" t="str">
        <f>VLOOKUP(A126,'Trips&amp;Operators'!$C$1:$G$99911,5,FALSE)</f>
        <v>SAFIEF AEIMEN</v>
      </c>
      <c r="M126" s="6">
        <f>I126-F126</f>
        <v>2.4814814816636499E-2</v>
      </c>
      <c r="N126" s="7">
        <f>24*60*SUM($M126:$M126)</f>
        <v>35.733333335956559</v>
      </c>
      <c r="O126" s="7"/>
      <c r="P126" s="7"/>
      <c r="Q126" s="22"/>
      <c r="R126" s="174"/>
      <c r="S126" s="221">
        <f>1/IF(AG126="EC",12,1)*SUM(U126:U126)</f>
        <v>1</v>
      </c>
      <c r="T126" s="174" t="str">
        <f>IF(ISEVEN(LEFT(AD126,4)),"Southbound","NorthBound")</f>
        <v>NorthBound</v>
      </c>
      <c r="U126" s="198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16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-10-23T16:24:32-0600',mode:absolute,to:'2017-10-23T19:06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26" s="204" t="str">
        <f>IF(AA126&lt;VLOOKUP(AG126,Variables!$AC$3:$AD$8,2,FALSE),"Y","N")</f>
        <v>N</v>
      </c>
      <c r="X126" s="204">
        <f>VALUE(LEFT(AD126,4))-VALUE(LEFT(AD125,4))</f>
        <v>1</v>
      </c>
      <c r="Y126" s="204">
        <f>RIGHT(D126,LEN(D126)-4)/10000</f>
        <v>4.4200000000000003E-2</v>
      </c>
      <c r="Z126" s="204">
        <f>RIGHT(H126,LEN(H126)-4)/10000</f>
        <v>23.333600000000001</v>
      </c>
      <c r="AA126" s="204">
        <f>ABS(Z126-Y126)</f>
        <v>23.289400000000001</v>
      </c>
      <c r="AB126" s="54" t="e">
        <f>VLOOKUP(A126,Enforcements!$C$7:$K$11,8,0)</f>
        <v>#N/A</v>
      </c>
      <c r="AC126" s="51" t="e">
        <f>VLOOKUP(A126,Enforcements!$C$7:$E$11,3,0)</f>
        <v>#N/A</v>
      </c>
      <c r="AD126" s="179">
        <f>VALUE(LEFT(A126,LEN(A126)-3))</f>
        <v>211</v>
      </c>
      <c r="AE126" s="77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s3://rtdc.mdm.uploadarchive.raw/RTDC4008/ "%USERPROFILE%\AppData\Local\Temp\OnboardLogs"\RTDC4008\2017-10-23 --exclude "*" --recursive --include "*20171023*" &amp; "%USERPROFILE%\Documents\GitHub\mrs-test-scripts\Headless Mode &amp; Sideloading\WalkAndUnGZ.bat" "%USERPROFILE%\AppData\Local\Temp\OnboardLogs"\RTDC4008\2017-10-23 &amp; aws s3 cp s3://rtdc.mdm.uploadarchive.raw/RTDC4008/ "%USERPROFILE%\AppData\Local\Temp\OnboardLogs"\RTDC4008\2017-10-24 --exclude "*" --recursive --include "*20171024*" &amp; "%USERPROFILE%\Documents\GitHub\mrs-test-scripts\Headless Mode &amp; Sideloading\WalkAndUnGZ.bat" "%USERPROFILE%\AppData\Local\Temp\OnboardLogs"\RTDC4008\2017-10-24</v>
      </c>
      <c r="AF126" s="74" t="str">
        <f>astrogrep_path&amp;" /e /r /s /spath="&amp;search_path&amp;" /stypes=""app*"&amp;B126&amp;"*"&amp;TEXT(I126-utc_offset/24,"YYYYMMDD")&amp;"*"" /stext="" "&amp;TEXT(I126-utc_offset/24,"HH")&amp;search_regexp&amp;""""</f>
        <v>"C:\Program Files (x86)\AstroGrep\AstroGrep.exe" /e /r /s /spath="%USERPROFILE%\AppData\Local\Temp\OnboardLogs" /stypes="app*4008*20171024*" /stext=" 00:.+((SYSTEM_STATE.+slice.+state.+changed )|(ment ac)|(multiple cpu faults)|(system.+state.+changed )|(\[timeout)|(PRM\|1\|D)|(kpr)|(kdp)|(train st.+moving)|(\|lc)|(penalty))"</v>
      </c>
      <c r="AG126" s="182" t="str">
        <f>DetSubdiv(A126)</f>
        <v>EC</v>
      </c>
      <c r="AH126" s="78" t="str">
        <f t="shared" si="10"/>
        <v>"%USERPROFILE%\Documents\GitHub\eaglep3\Utilities\RefineRTDCRunTimes.py" --tripid 211-23 --locoid 4008 --swversion DE.1.0.9.0 --startMP 204:442 --initTime 2017-10-23T17:24:32 --startdatetime 2017-10-23T17:30:25 --delay 95 --endMP 204:233336 --enddatetime 2017-10-23T18:06:09 --enforcementcount 0 &gt;&gt;%USERPROFILE%\Documents\GitHub\eaglep3-reporting\EC\2017-10-23-refined-times.txt</v>
      </c>
      <c r="AI126" s="96" t="str">
        <f t="shared" si="11"/>
        <v>echo {"issue":{"subject":"","project_id":79,"tracker_id":40,"status_id":1,"priority_id":2,"assigned_to_id":338,"start_date":"2017-10-23","description":"","custom_fields":[{"id":1,"name":"Subdivision","value":"EC"},{"id":4,"name":"Milepost","value":"23.3336"},{"id":17,"name":"Train ID","value":"211-23"},{"id":16,"name":"Locomotive ID","value":"4008"},{"id":130,"name":"Impact","value":""},{"id":150,"name":"Time of Event (Mountain Time)","value":"18:06:09"},{"id":151,"name":"Denver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6" s="47"/>
      <c r="AL126" s="47"/>
      <c r="AM126" s="142" t="str">
        <f t="shared" si="12"/>
        <v>start /low /b %USERPROFILE%\Documents\GitHub\eaglep3\Utilities\DownloadLogsFromS3.py --loco 4008 --day 2017-10-23</v>
      </c>
      <c r="AN126" s="151" t="str">
        <f t="shared" si="13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00:06:09"},{"id":29,"name":"Sharepoint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168" t="str">
        <f t="shared" si="14"/>
        <v>https://d0f6bd738d7f1b3e5a7ca70fe4ff75f0.us-east-1.aws.found.io/app/kibana#/discover/Steve-Slow-Train-Analysis-(2080s-and-2083s)?_g=(refreshInterval:(display:Off,pause:!f,section:0,value:0),time:(from:'2017-10-23T16:24:32-0600',mode:absolute,to:'2017-10-23T19:06:09-0600'))&amp;_a=(columns:!('Message%20ID',Summary),filters:!(),index:'emp_*',interval:auto,query:(query_string:(analyze_wildcard:!t,query:'%22rtdc.l.rtdc.4008%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3">
      <c r="A127" s="32" t="s">
        <v>848</v>
      </c>
      <c r="B127" s="7">
        <v>4007</v>
      </c>
      <c r="C127" s="21" t="s">
        <v>194</v>
      </c>
      <c r="D127" s="21" t="s">
        <v>625</v>
      </c>
      <c r="E127" s="13">
        <v>43031.756180555552</v>
      </c>
      <c r="F127" s="13">
        <v>43031.769016203703</v>
      </c>
      <c r="G127" s="7">
        <v>99</v>
      </c>
      <c r="H127" s="21" t="s">
        <v>355</v>
      </c>
      <c r="I127" s="13">
        <v>43031.795208333337</v>
      </c>
      <c r="J127" s="7">
        <v>0</v>
      </c>
      <c r="K127" s="89" t="str">
        <f>IF(ISEVEN(B127),(B127-1)&amp;"/"&amp;B127,B127&amp;"/"&amp;(B127+1))</f>
        <v>4007/4008</v>
      </c>
      <c r="L127" s="185" t="str">
        <f>VLOOKUP(A127,'Trips&amp;Operators'!$C$1:$G$99911,5,FALSE)</f>
        <v>SAFIEF AEIMEN</v>
      </c>
      <c r="M127" s="6">
        <f>I127-F127</f>
        <v>2.6192129633272998E-2</v>
      </c>
      <c r="N127" s="7">
        <f>24*60*SUM($M127:$M127)</f>
        <v>37.716666671913117</v>
      </c>
      <c r="O127" s="7"/>
      <c r="P127" s="7"/>
      <c r="Q127" s="22"/>
      <c r="R127" s="174"/>
      <c r="S127" s="221">
        <f>1/IF(AG127="EC",12,1)*SUM(U127:U127)</f>
        <v>1</v>
      </c>
      <c r="T127" s="174" t="str">
        <f>IF(ISEVEN(LEFT(AD127,4)),"Southbound","NorthBound")</f>
        <v>Southbound</v>
      </c>
      <c r="U127" s="198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16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-10-23T17:08:54-0600',mode:absolute,to:'2017-10-23T20:05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27" s="204" t="str">
        <f>IF(AA127&lt;VLOOKUP(AG127,Variables!$AC$3:$AD$8,2,FALSE),"Y","N")</f>
        <v>N</v>
      </c>
      <c r="X127" s="204">
        <f>VALUE(LEFT(AD127,4))-VALUE(LEFT(AD126,4))</f>
        <v>1</v>
      </c>
      <c r="Y127" s="204">
        <f>RIGHT(D127,LEN(D127)-4)/10000</f>
        <v>23.3004</v>
      </c>
      <c r="Z127" s="204">
        <f>RIGHT(H127,LEN(H127)-4)/10000</f>
        <v>1.4500000000000001E-2</v>
      </c>
      <c r="AA127" s="204">
        <f>ABS(Z127-Y127)</f>
        <v>23.285899999999998</v>
      </c>
      <c r="AB127" s="54" t="e">
        <f>VLOOKUP(A127,Enforcements!$C$7:$K$11,8,0)</f>
        <v>#N/A</v>
      </c>
      <c r="AC127" s="51" t="e">
        <f>VLOOKUP(A127,Enforcements!$C$7:$E$11,3,0)</f>
        <v>#N/A</v>
      </c>
      <c r="AD127" s="179">
        <f>VALUE(LEFT(A127,LEN(A127)-3))</f>
        <v>212</v>
      </c>
      <c r="AE127" s="77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s3://rtdc.mdm.uploadarchive.raw/RTDC4007/ "%USERPROFILE%\AppData\Local\Temp\OnboardLogs"\RTDC4007\2017-10-23 --exclude "*" --recursive --include "*20171023*" &amp; "%USERPROFILE%\Documents\GitHub\mrs-test-scripts\Headless Mode &amp; Sideloading\WalkAndUnGZ.bat" "%USERPROFILE%\AppData\Local\Temp\OnboardLogs"\RTDC4007\2017-10-23 &amp; aws s3 cp s3://rtdc.mdm.uploadarchive.raw/RTDC4007/ "%USERPROFILE%\AppData\Local\Temp\OnboardLogs"\RTDC4007\2017-10-24 --exclude "*" --recursive --include "*20171024*" &amp; "%USERPROFILE%\Documents\GitHub\mrs-test-scripts\Headless Mode &amp; Sideloading\WalkAndUnGZ.bat" "%USERPROFILE%\AppData\Local\Temp\OnboardLogs"\RTDC4007\2017-10-24</v>
      </c>
      <c r="AF127" s="74" t="str">
        <f>astrogrep_path&amp;" /e /r /s /spath="&amp;search_path&amp;" /stypes=""app*"&amp;B127&amp;"*"&amp;TEXT(I127-utc_offset/24,"YYYYMMDD")&amp;"*"" /stext="" "&amp;TEXT(I127-utc_offset/24,"HH")&amp;search_regexp&amp;""""</f>
        <v>"C:\Program Files (x86)\AstroGrep\AstroGrep.exe" /e /r /s /spath="%USERPROFILE%\AppData\Local\Temp\OnboardLogs" /stypes="app*4007*20171024*" /stext=" 01:.+((SYSTEM_STATE.+slice.+state.+changed )|(ment ac)|(multiple cpu faults)|(system.+state.+changed )|(\[timeout)|(PRM\|1\|D)|(kpr)|(kdp)|(train st.+moving)|(\|lc)|(penalty))"</v>
      </c>
      <c r="AG127" s="182" t="str">
        <f>DetSubdiv(A127)</f>
        <v>EC</v>
      </c>
      <c r="AH127" s="78" t="str">
        <f t="shared" si="10"/>
        <v>"%USERPROFILE%\Documents\GitHub\eaglep3\Utilities\RefineRTDCRunTimes.py" --tripid 212-23 --locoid 4007 --swversion DE.1.0.9.0 --startMP 204:233004 --initTime 2017-10-23T18:08:54 --startdatetime 2017-10-23T18:27:23 --delay 99 --endMP 204:145 --enddatetime 2017-10-23T19:05:06 --enforcementcount 0 &gt;&gt;%USERPROFILE%\Documents\GitHub\eaglep3-reporting\EC\2017-10-23-refined-times.txt</v>
      </c>
      <c r="AI127" s="96" t="str">
        <f t="shared" si="11"/>
        <v>echo {"issue":{"subject":"","project_id":79,"tracker_id":40,"status_id":1,"priority_id":2,"assigned_to_id":338,"start_date":"2017-10-23","description":"","custom_fields":[{"id":1,"name":"Subdivision","value":"EC"},{"id":4,"name":"Milepost","value":"0.0145"},{"id":17,"name":"Train ID","value":"212-23"},{"id":16,"name":"Locomotive ID","value":"4007"},{"id":130,"name":"Impact","value":""},{"id":150,"name":"Time of Event (Mountain Time)","value":"19:05:06"},{"id":151,"name":"Denver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7" s="47"/>
      <c r="AL127" s="47"/>
      <c r="AM127" s="142" t="str">
        <f t="shared" si="12"/>
        <v>start /low /b %USERPROFILE%\Documents\GitHub\eaglep3\Utilities\DownloadLogsFromS3.py --loco 4007 --day 2017-10-23</v>
      </c>
      <c r="AN127" s="151" t="str">
        <f t="shared" si="13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01:05:06"},{"id":29,"name":"Sharepoint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168" t="str">
        <f t="shared" si="14"/>
        <v>https://d0f6bd738d7f1b3e5a7ca70fe4ff75f0.us-east-1.aws.found.io/app/kibana#/discover/Steve-Slow-Train-Analysis-(2080s-and-2083s)?_g=(refreshInterval:(display:Off,pause:!f,section:0,value:0),time:(from:'2017-10-23T17:08:54-0600',mode:absolute,to:'2017-10-23T20:05:06-0600'))&amp;_a=(columns:!('Message%20ID',Summary),filters:!(),index:'emp_*',interval:auto,query:(query_string:(analyze_wildcard:!t,query:'%22rtdc.l.rtdc.4007%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3">
      <c r="A128" s="32" t="s">
        <v>843</v>
      </c>
      <c r="B128" s="7">
        <v>4046</v>
      </c>
      <c r="C128" s="21" t="s">
        <v>194</v>
      </c>
      <c r="D128" s="21" t="s">
        <v>403</v>
      </c>
      <c r="E128" s="13">
        <v>43031.737638888888</v>
      </c>
      <c r="F128" s="13">
        <v>43031.740069444444</v>
      </c>
      <c r="G128" s="7">
        <v>106</v>
      </c>
      <c r="H128" s="21" t="s">
        <v>393</v>
      </c>
      <c r="I128" s="13">
        <v>43031.764652777776</v>
      </c>
      <c r="J128" s="7">
        <v>0</v>
      </c>
      <c r="K128" s="89" t="str">
        <f>IF(ISEVEN(B128),(B128-1)&amp;"/"&amp;B128,B128&amp;"/"&amp;(B128+1))</f>
        <v>4045/4046</v>
      </c>
      <c r="L128" s="185" t="str">
        <f>VLOOKUP(A128,'Trips&amp;Operators'!$C$1:$G$99911,5,FALSE)</f>
        <v>LOZA FIDEL</v>
      </c>
      <c r="M128" s="6">
        <f>I128-F128</f>
        <v>2.4583333331975155E-2</v>
      </c>
      <c r="N128" s="7">
        <f>24*60*SUM($M128:$M128)</f>
        <v>35.399999998044223</v>
      </c>
      <c r="O128" s="7"/>
      <c r="P128" s="7"/>
      <c r="Q128" s="22"/>
      <c r="R128" s="174"/>
      <c r="S128" s="221">
        <f>1/IF(AG128="EC",12,1)*SUM(U128:U128)</f>
        <v>1</v>
      </c>
      <c r="T128" s="174" t="str">
        <f>IF(ISEVEN(LEFT(AD128,4)),"Southbound","NorthBound")</f>
        <v>NorthBound</v>
      </c>
      <c r="U128" s="198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16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2017-10-23T16:42:12-0600',mode:absolute,to:'2017-10-23T19:21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28" s="204" t="str">
        <f>IF(AA128&lt;VLOOKUP(AG128,Variables!$AC$3:$AD$8,2,FALSE),"Y","N")</f>
        <v>N</v>
      </c>
      <c r="X128" s="204">
        <f>VALUE(LEFT(AD128,4))-VALUE(LEFT(AD127,4))</f>
        <v>1</v>
      </c>
      <c r="Y128" s="204">
        <f>RIGHT(D128,LEN(D128)-4)/10000</f>
        <v>4.4200000000000003E-2</v>
      </c>
      <c r="Z128" s="204">
        <f>RIGHT(H128,LEN(H128)-4)/10000</f>
        <v>23.331399999999999</v>
      </c>
      <c r="AA128" s="204">
        <f>ABS(Z128-Y128)</f>
        <v>23.287199999999999</v>
      </c>
      <c r="AB128" s="54" t="e">
        <f>VLOOKUP(A128,Enforcements!$C$7:$K$11,8,0)</f>
        <v>#N/A</v>
      </c>
      <c r="AC128" s="51" t="e">
        <f>VLOOKUP(A128,Enforcements!$C$7:$E$11,3,0)</f>
        <v>#N/A</v>
      </c>
      <c r="AD128" s="179">
        <f>VALUE(LEFT(A128,LEN(A128)-3))</f>
        <v>213</v>
      </c>
      <c r="AE128" s="77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s3://rtdc.mdm.uploadarchive.raw/RTDC4046/ "%USERPROFILE%\AppData\Local\Temp\OnboardLogs"\RTDC4046\2017-10-23 --exclude "*" --recursive --include "*20171023*" &amp; "%USERPROFILE%\Documents\GitHub\mrs-test-scripts\Headless Mode &amp; Sideloading\WalkAndUnGZ.bat" "%USERPROFILE%\AppData\Local\Temp\OnboardLogs"\RTDC4046\2017-10-23 &amp; aws s3 cp s3://rtdc.mdm.uploadarchive.raw/RTDC4046/ "%USERPROFILE%\AppData\Local\Temp\OnboardLogs"\RTDC4046\2017-10-24 --exclude "*" --recursive --include "*20171024*" &amp; "%USERPROFILE%\Documents\GitHub\mrs-test-scripts\Headless Mode &amp; Sideloading\WalkAndUnGZ.bat" "%USERPROFILE%\AppData\Local\Temp\OnboardLogs"\RTDC4046\2017-10-24</v>
      </c>
      <c r="AF128" s="74" t="str">
        <f>astrogrep_path&amp;" /e /r /s /spath="&amp;search_path&amp;" /stypes=""app*"&amp;B128&amp;"*"&amp;TEXT(I128-utc_offset/24,"YYYYMMDD")&amp;"*"" /stext="" "&amp;TEXT(I128-utc_offset/24,"HH")&amp;search_regexp&amp;""""</f>
        <v>"C:\Program Files (x86)\AstroGrep\AstroGrep.exe" /e /r /s /spath="%USERPROFILE%\AppData\Local\Temp\OnboardLogs" /stypes="app*4046*20171024*" /stext=" 00:.+((SYSTEM_STATE.+slice.+state.+changed )|(ment ac)|(multiple cpu faults)|(system.+state.+changed )|(\[timeout)|(PRM\|1\|D)|(kpr)|(kdp)|(train st.+moving)|(\|lc)|(penalty))"</v>
      </c>
      <c r="AG128" s="182" t="str">
        <f>DetSubdiv(A128)</f>
        <v>EC</v>
      </c>
      <c r="AH128" s="78" t="str">
        <f t="shared" si="10"/>
        <v>"%USERPROFILE%\Documents\GitHub\eaglep3\Utilities\RefineRTDCRunTimes.py" --tripid 213-23 --locoid 4046 --swversion DE.1.0.9.0 --startMP 204:442 --initTime 2017-10-23T17:42:12 --startdatetime 2017-10-23T17:45:42 --delay 106 --endMP 204:233314 --enddatetime 2017-10-23T18:21:06 --enforcementcount 0 &gt;&gt;%USERPROFILE%\Documents\GitHub\eaglep3-reporting\EC\2017-10-23-refined-times.txt</v>
      </c>
      <c r="AI128" s="96" t="str">
        <f t="shared" si="11"/>
        <v>echo {"issue":{"subject":"","project_id":79,"tracker_id":40,"status_id":1,"priority_id":2,"assigned_to_id":338,"start_date":"2017-10-23","description":"","custom_fields":[{"id":1,"name":"Subdivision","value":"EC"},{"id":4,"name":"Milepost","value":"23.3314"},{"id":17,"name":"Train ID","value":"213-23"},{"id":16,"name":"Locomotive ID","value":"4046"},{"id":130,"name":"Impact","value":""},{"id":150,"name":"Time of Event (Mountain Time)","value":"18:21:06"},{"id":151,"name":"Denver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8" s="47"/>
      <c r="AL128" s="47"/>
      <c r="AM128" s="142" t="str">
        <f t="shared" si="12"/>
        <v>start /low /b %USERPROFILE%\Documents\GitHub\eaglep3\Utilities\DownloadLogsFromS3.py --loco 4046 --day 2017-10-23</v>
      </c>
      <c r="AN128" s="151" t="str">
        <f t="shared" si="13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00:21:06"},{"id":29,"name":"Sharepoint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168" t="str">
        <f t="shared" si="14"/>
        <v>https://d0f6bd738d7f1b3e5a7ca70fe4ff75f0.us-east-1.aws.found.io/app/kibana#/discover/Steve-Slow-Train-Analysis-(2080s-and-2083s)?_g=(refreshInterval:(display:Off,pause:!f,section:0,value:0),time:(from:'2017-10-23T16:42:12-0600',mode:absolute,to:'2017-10-23T19:21:06-0600'))&amp;_a=(columns:!('Message%20ID',Summary),filters:!(),index:'emp_*',interval:auto,query:(query_string:(analyze_wildcard:!t,query:'%22rtdc.l.rtdc.4046%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3">
      <c r="A129" s="32" t="s">
        <v>852</v>
      </c>
      <c r="B129" s="7">
        <v>4045</v>
      </c>
      <c r="C129" s="21" t="s">
        <v>194</v>
      </c>
      <c r="D129" s="21" t="s">
        <v>401</v>
      </c>
      <c r="E129" s="13">
        <v>43031.777025462965</v>
      </c>
      <c r="F129" s="13">
        <v>43031.779560185183</v>
      </c>
      <c r="G129" s="7">
        <v>105</v>
      </c>
      <c r="H129" s="21" t="s">
        <v>371</v>
      </c>
      <c r="I129" s="13">
        <v>43031.80537037037</v>
      </c>
      <c r="J129" s="7">
        <v>0</v>
      </c>
      <c r="K129" s="89" t="str">
        <f>IF(ISEVEN(B129),(B129-1)&amp;"/"&amp;B129,B129&amp;"/"&amp;(B129+1))</f>
        <v>4045/4046</v>
      </c>
      <c r="L129" s="185" t="str">
        <f>VLOOKUP(A129,'Trips&amp;Operators'!$C$1:$G$99911,5,FALSE)</f>
        <v>LOZA FIDEL</v>
      </c>
      <c r="M129" s="6">
        <f>I129-F129</f>
        <v>2.5810185186855961E-2</v>
      </c>
      <c r="N129" s="7">
        <f>24*60*SUM($M129:$M129)</f>
        <v>37.166666669072583</v>
      </c>
      <c r="O129" s="7"/>
      <c r="P129" s="7"/>
      <c r="Q129" s="22"/>
      <c r="R129" s="174"/>
      <c r="S129" s="221">
        <f>1/IF(AG129="EC",12,1)*SUM(U129:U129)</f>
        <v>1</v>
      </c>
      <c r="T129" s="174" t="str">
        <f>IF(ISEVEN(LEFT(AD129,4)),"Southbound","NorthBound")</f>
        <v>Southbound</v>
      </c>
      <c r="U129" s="198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16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-10-23T17:38:55-0600',mode:absolute,to:'2017-10-23T20:19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29" s="204" t="str">
        <f>IF(AA129&lt;VLOOKUP(AG129,Variables!$AC$3:$AD$8,2,FALSE),"Y","N")</f>
        <v>N</v>
      </c>
      <c r="X129" s="204">
        <f>VALUE(LEFT(AD129,4))-VALUE(LEFT(AD128,4))</f>
        <v>1</v>
      </c>
      <c r="Y129" s="204">
        <f>RIGHT(D129,LEN(D129)-4)/10000</f>
        <v>23.299399999999999</v>
      </c>
      <c r="Z129" s="204">
        <f>RIGHT(H129,LEN(H129)-4)/10000</f>
        <v>1.54E-2</v>
      </c>
      <c r="AA129" s="204">
        <f>ABS(Z129-Y129)</f>
        <v>23.283999999999999</v>
      </c>
      <c r="AB129" s="54" t="e">
        <f>VLOOKUP(A129,Enforcements!$C$7:$K$11,8,0)</f>
        <v>#N/A</v>
      </c>
      <c r="AC129" s="51" t="e">
        <f>VLOOKUP(A129,Enforcements!$C$7:$E$11,3,0)</f>
        <v>#N/A</v>
      </c>
      <c r="AD129" s="179">
        <f>VALUE(LEFT(A129,LEN(A129)-3))</f>
        <v>214</v>
      </c>
      <c r="AE129" s="77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s3://rtdc.mdm.uploadarchive.raw/RTDC4045/ "%USERPROFILE%\AppData\Local\Temp\OnboardLogs"\RTDC4045\2017-10-23 --exclude "*" --recursive --include "*20171023*" &amp; "%USERPROFILE%\Documents\GitHub\mrs-test-scripts\Headless Mode &amp; Sideloading\WalkAndUnGZ.bat" "%USERPROFILE%\AppData\Local\Temp\OnboardLogs"\RTDC4045\2017-10-23 &amp; aws s3 cp s3://rtdc.mdm.uploadarchive.raw/RTDC4045/ "%USERPROFILE%\AppData\Local\Temp\OnboardLogs"\RTDC4045\2017-10-24 --exclude "*" --recursive --include "*20171024*" &amp; "%USERPROFILE%\Documents\GitHub\mrs-test-scripts\Headless Mode &amp; Sideloading\WalkAndUnGZ.bat" "%USERPROFILE%\AppData\Local\Temp\OnboardLogs"\RTDC4045\2017-10-24</v>
      </c>
      <c r="AF129" s="74" t="str">
        <f>astrogrep_path&amp;" /e /r /s /spath="&amp;search_path&amp;" /stypes=""app*"&amp;B129&amp;"*"&amp;TEXT(I129-utc_offset/24,"YYYYMMDD")&amp;"*"" /stext="" "&amp;TEXT(I129-utc_offset/24,"HH")&amp;search_regexp&amp;""""</f>
        <v>"C:\Program Files (x86)\AstroGrep\AstroGrep.exe" /e /r /s /spath="%USERPROFILE%\AppData\Local\Temp\OnboardLogs" /stypes="app*4045*20171024*" /stext=" 01:.+((SYSTEM_STATE.+slice.+state.+changed )|(ment ac)|(multiple cpu faults)|(system.+state.+changed )|(\[timeout)|(PRM\|1\|D)|(kpr)|(kdp)|(train st.+moving)|(\|lc)|(penalty))"</v>
      </c>
      <c r="AG129" s="182" t="str">
        <f>DetSubdiv(A129)</f>
        <v>EC</v>
      </c>
      <c r="AH129" s="78" t="str">
        <f t="shared" si="10"/>
        <v>"%USERPROFILE%\Documents\GitHub\eaglep3\Utilities\RefineRTDCRunTimes.py" --tripid 214-23 --locoid 4045 --swversion DE.1.0.9.0 --startMP 204:232994 --initTime 2017-10-23T18:38:55 --startdatetime 2017-10-23T18:42:34 --delay 105 --endMP 204:154 --enddatetime 2017-10-23T19:19:44 --enforcementcount 0 &gt;&gt;%USERPROFILE%\Documents\GitHub\eaglep3-reporting\EC\2017-10-23-refined-times.txt</v>
      </c>
      <c r="AI129" s="96" t="str">
        <f t="shared" si="11"/>
        <v>echo {"issue":{"subject":"","project_id":79,"tracker_id":40,"status_id":1,"priority_id":2,"assigned_to_id":338,"start_date":"2017-10-23","description":"","custom_fields":[{"id":1,"name":"Subdivision","value":"EC"},{"id":4,"name":"Milepost","value":"0.0154"},{"id":17,"name":"Train ID","value":"214-23"},{"id":16,"name":"Locomotive ID","value":"4045"},{"id":130,"name":"Impact","value":""},{"id":150,"name":"Time of Event (Mountain Time)","value":"19:19:44"},{"id":151,"name":"Denver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9" s="47"/>
      <c r="AL129" s="47"/>
      <c r="AM129" s="142" t="str">
        <f t="shared" si="12"/>
        <v>start /low /b %USERPROFILE%\Documents\GitHub\eaglep3\Utilities\DownloadLogsFromS3.py --loco 4045 --day 2017-10-23</v>
      </c>
      <c r="AN129" s="151" t="str">
        <f t="shared" si="13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01:19:44"},{"id":29,"name":"Sharepoint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168" t="str">
        <f t="shared" si="14"/>
        <v>https://d0f6bd738d7f1b3e5a7ca70fe4ff75f0.us-east-1.aws.found.io/app/kibana#/discover/Steve-Slow-Train-Analysis-(2080s-and-2083s)?_g=(refreshInterval:(display:Off,pause:!f,section:0,value:0),time:(from:'2017-10-23T17:38:55-0600',mode:absolute,to:'2017-10-23T20:19:44-0600'))&amp;_a=(columns:!('Message%20ID',Summary),filters:!(),index:'emp_*',interval:auto,query:(query_string:(analyze_wildcard:!t,query:'%22rtdc.l.rtdc.4045%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3">
      <c r="A130" s="32" t="s">
        <v>845</v>
      </c>
      <c r="B130" s="7">
        <v>4004</v>
      </c>
      <c r="C130" s="21" t="s">
        <v>194</v>
      </c>
      <c r="D130" s="21" t="s">
        <v>369</v>
      </c>
      <c r="E130" s="13">
        <v>43031.744722222225</v>
      </c>
      <c r="F130" s="13">
        <v>43031.750289351854</v>
      </c>
      <c r="G130" s="7">
        <v>61</v>
      </c>
      <c r="H130" s="21" t="s">
        <v>947</v>
      </c>
      <c r="I130" s="13">
        <v>43031.775000000001</v>
      </c>
      <c r="J130" s="7">
        <v>0</v>
      </c>
      <c r="K130" s="89" t="str">
        <f>IF(ISEVEN(B130),(B130-1)&amp;"/"&amp;B130,B130&amp;"/"&amp;(B130+1))</f>
        <v>4003/4004</v>
      </c>
      <c r="L130" s="185" t="str">
        <f>VLOOKUP(A130,'Trips&amp;Operators'!$C$1:$G$99911,5,FALSE)</f>
        <v>SMITH MICHAEL</v>
      </c>
      <c r="M130" s="6">
        <f>I130-F130</f>
        <v>2.47106481474475E-2</v>
      </c>
      <c r="N130" s="7">
        <f>24*60*SUM($M130:$M130)</f>
        <v>35.583333332324401</v>
      </c>
      <c r="O130" s="7"/>
      <c r="P130" s="7"/>
      <c r="Q130" s="22"/>
      <c r="R130" s="174"/>
      <c r="S130" s="221">
        <f>1/IF(AG130="EC",12,1)*SUM(U130:U130)</f>
        <v>1</v>
      </c>
      <c r="T130" s="174" t="str">
        <f>IF(ISEVEN(LEFT(AD130,4)),"Southbound","NorthBound")</f>
        <v>NorthBound</v>
      </c>
      <c r="U130" s="198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16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-10-23T16:52:24-0600',mode:absolute,to:'2017-10-23T19:36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0" s="204" t="str">
        <f>IF(AA130&lt;VLOOKUP(AG130,Variables!$AC$3:$AD$8,2,FALSE),"Y","N")</f>
        <v>N</v>
      </c>
      <c r="X130" s="204">
        <f>VALUE(LEFT(AD130,4))-VALUE(LEFT(AD129,4))</f>
        <v>1</v>
      </c>
      <c r="Y130" s="204">
        <f>RIGHT(D130,LEN(D130)-4)/10000</f>
        <v>4.7100000000000003E-2</v>
      </c>
      <c r="Z130" s="204">
        <f>RIGHT(H130,LEN(H130)-4)/10000</f>
        <v>23.329799999999999</v>
      </c>
      <c r="AA130" s="204">
        <f>ABS(Z130-Y130)</f>
        <v>23.282699999999998</v>
      </c>
      <c r="AB130" s="54" t="e">
        <f>VLOOKUP(A130,Enforcements!$C$7:$K$11,8,0)</f>
        <v>#N/A</v>
      </c>
      <c r="AC130" s="51" t="e">
        <f>VLOOKUP(A130,Enforcements!$C$7:$E$11,3,0)</f>
        <v>#N/A</v>
      </c>
      <c r="AD130" s="179">
        <f>VALUE(LEFT(A130,LEN(A130)-3))</f>
        <v>215</v>
      </c>
      <c r="AE130" s="77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s3://rtdc.mdm.uploadarchive.raw/RTDC4004/ "%USERPROFILE%\AppData\Local\Temp\OnboardLogs"\RTDC4004\2017-10-23 --exclude "*" --recursive --include "*20171023*" &amp; "%USERPROFILE%\Documents\GitHub\mrs-test-scripts\Headless Mode &amp; Sideloading\WalkAndUnGZ.bat" "%USERPROFILE%\AppData\Local\Temp\OnboardLogs"\RTDC4004\2017-10-23 &amp; aws s3 cp s3://rtdc.mdm.uploadarchive.raw/RTDC4004/ "%USERPROFILE%\AppData\Local\Temp\OnboardLogs"\RTDC4004\2017-10-24 --exclude "*" --recursive --include "*20171024*" &amp; "%USERPROFILE%\Documents\GitHub\mrs-test-scripts\Headless Mode &amp; Sideloading\WalkAndUnGZ.bat" "%USERPROFILE%\AppData\Local\Temp\OnboardLogs"\RTDC4004\2017-10-24</v>
      </c>
      <c r="AF130" s="74" t="str">
        <f>astrogrep_path&amp;" /e /r /s /spath="&amp;search_path&amp;" /stypes=""app*"&amp;B130&amp;"*"&amp;TEXT(I130-utc_offset/24,"YYYYMMDD")&amp;"*"" /stext="" "&amp;TEXT(I130-utc_offset/24,"HH")&amp;search_regexp&amp;""""</f>
        <v>"C:\Program Files (x86)\AstroGrep\AstroGrep.exe" /e /r /s /spath="%USERPROFILE%\AppData\Local\Temp\OnboardLogs" /stypes="app*4004*20171024*" /stext=" 00:.+((SYSTEM_STATE.+slice.+state.+changed )|(ment ac)|(multiple cpu faults)|(system.+state.+changed )|(\[timeout)|(PRM\|1\|D)|(kpr)|(kdp)|(train st.+moving)|(\|lc)|(penalty))"</v>
      </c>
      <c r="AG130" s="182" t="str">
        <f>DetSubdiv(A130)</f>
        <v>EC</v>
      </c>
      <c r="AH130" s="78" t="str">
        <f t="shared" si="10"/>
        <v>"%USERPROFILE%\Documents\GitHub\eaglep3\Utilities\RefineRTDCRunTimes.py" --tripid 215-23 --locoid 4004 --swversion DE.1.0.9.0 --startMP 204:471 --initTime 2017-10-23T17:52:24 --startdatetime 2017-10-23T18:00:25 --delay 61 --endMP 204:233298 --enddatetime 2017-10-23T18:36:00 --enforcementcount 0 &gt;&gt;%USERPROFILE%\Documents\GitHub\eaglep3-reporting\EC\2017-10-23-refined-times.txt</v>
      </c>
      <c r="AI130" s="96" t="str">
        <f t="shared" si="11"/>
        <v>echo {"issue":{"subject":"","project_id":79,"tracker_id":40,"status_id":1,"priority_id":2,"assigned_to_id":338,"start_date":"2017-10-23","description":"","custom_fields":[{"id":1,"name":"Subdivision","value":"EC"},{"id":4,"name":"Milepost","value":"23.3298"},{"id":17,"name":"Train ID","value":"215-23"},{"id":16,"name":"Locomotive ID","value":"4004"},{"id":130,"name":"Impact","value":""},{"id":150,"name":"Time of Event (Mountain Time)","value":"18:36:00"},{"id":151,"name":"Denver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0" s="47"/>
      <c r="AL130" s="47"/>
      <c r="AM130" s="142" t="str">
        <f t="shared" si="12"/>
        <v>start /low /b %USERPROFILE%\Documents\GitHub\eaglep3\Utilities\DownloadLogsFromS3.py --loco 4004 --day 2017-10-23</v>
      </c>
      <c r="AN130" s="151" t="str">
        <f t="shared" si="13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00:36:00"},{"id":29,"name":"Sharepoint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168" t="str">
        <f t="shared" si="14"/>
        <v>https://d0f6bd738d7f1b3e5a7ca70fe4ff75f0.us-east-1.aws.found.io/app/kibana#/discover/Steve-Slow-Train-Analysis-(2080s-and-2083s)?_g=(refreshInterval:(display:Off,pause:!f,section:0,value:0),time:(from:'2017-10-23T16:52:24-0600',mode:absolute,to:'2017-10-23T19:36:00-0600'))&amp;_a=(columns:!('Message%20ID',Summary),filters:!(),index:'emp_*',interval:auto,query:(query_string:(analyze_wildcard:!t,query:'%22rtdc.l.rtdc.4004%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3">
      <c r="A131" s="32" t="s">
        <v>854</v>
      </c>
      <c r="B131" s="7">
        <v>4003</v>
      </c>
      <c r="C131" s="21" t="s">
        <v>194</v>
      </c>
      <c r="D131" s="21" t="s">
        <v>906</v>
      </c>
      <c r="E131" s="13">
        <v>43031.782164351855</v>
      </c>
      <c r="F131" s="13">
        <v>43031.78979166667</v>
      </c>
      <c r="G131" s="7">
        <v>101</v>
      </c>
      <c r="H131" s="21" t="s">
        <v>335</v>
      </c>
      <c r="I131" s="13">
        <v>43031.816053240742</v>
      </c>
      <c r="J131" s="7">
        <v>0</v>
      </c>
      <c r="K131" s="89" t="str">
        <f>IF(ISEVEN(B131),(B131-1)&amp;"/"&amp;B131,B131&amp;"/"&amp;(B131+1))</f>
        <v>4003/4004</v>
      </c>
      <c r="L131" s="185" t="str">
        <f>VLOOKUP(A131,'Trips&amp;Operators'!$C$1:$G$99911,5,FALSE)</f>
        <v>SMITH MICHAEL</v>
      </c>
      <c r="M131" s="6">
        <f>I131-F131</f>
        <v>2.626157407212304E-2</v>
      </c>
      <c r="N131" s="7">
        <f>24*60*SUM($M131:$M131)</f>
        <v>37.816666663857177</v>
      </c>
      <c r="O131" s="7"/>
      <c r="P131" s="7"/>
      <c r="Q131" s="22"/>
      <c r="R131" s="174"/>
      <c r="S131" s="221">
        <f>1/IF(AG131="EC",12,1)*SUM(U131:U131)</f>
        <v>1</v>
      </c>
      <c r="T131" s="174" t="str">
        <f>IF(ISEVEN(LEFT(AD131,4)),"Southbound","NorthBound")</f>
        <v>Southbound</v>
      </c>
      <c r="U131" s="198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16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-10-23T17:46:19-0600',mode:absolute,to:'2017-10-23T20:35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1" s="204" t="str">
        <f>IF(AA131&lt;VLOOKUP(AG131,Variables!$AC$3:$AD$8,2,FALSE),"Y","N")</f>
        <v>N</v>
      </c>
      <c r="X131" s="204">
        <f>VALUE(LEFT(AD131,4))-VALUE(LEFT(AD130,4))</f>
        <v>1</v>
      </c>
      <c r="Y131" s="204">
        <f>RIGHT(D131,LEN(D131)-4)/10000</f>
        <v>23.298300000000001</v>
      </c>
      <c r="Z131" s="204">
        <f>RIGHT(H131,LEN(H131)-4)/10000</f>
        <v>1.4999999999999999E-2</v>
      </c>
      <c r="AA131" s="204">
        <f>ABS(Z131-Y131)</f>
        <v>23.283300000000001</v>
      </c>
      <c r="AB131" s="54" t="e">
        <f>VLOOKUP(A131,Enforcements!$C$7:$K$11,8,0)</f>
        <v>#N/A</v>
      </c>
      <c r="AC131" s="51" t="e">
        <f>VLOOKUP(A131,Enforcements!$C$7:$E$11,3,0)</f>
        <v>#N/A</v>
      </c>
      <c r="AD131" s="179">
        <f>VALUE(LEFT(A131,LEN(A131)-3))</f>
        <v>216</v>
      </c>
      <c r="AE131" s="77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s3://rtdc.mdm.uploadarchive.raw/RTDC4003/ "%USERPROFILE%\AppData\Local\Temp\OnboardLogs"\RTDC4003\2017-10-23 --exclude "*" --recursive --include "*20171023*" &amp; "%USERPROFILE%\Documents\GitHub\mrs-test-scripts\Headless Mode &amp; Sideloading\WalkAndUnGZ.bat" "%USERPROFILE%\AppData\Local\Temp\OnboardLogs"\RTDC4003\2017-10-23 &amp; aws s3 cp s3://rtdc.mdm.uploadarchive.raw/RTDC4003/ "%USERPROFILE%\AppData\Local\Temp\OnboardLogs"\RTDC4003\2017-10-24 --exclude "*" --recursive --include "*20171024*" &amp; "%USERPROFILE%\Documents\GitHub\mrs-test-scripts\Headless Mode &amp; Sideloading\WalkAndUnGZ.bat" "%USERPROFILE%\AppData\Local\Temp\OnboardLogs"\RTDC4003\2017-10-24</v>
      </c>
      <c r="AF131" s="74" t="str">
        <f>astrogrep_path&amp;" /e /r /s /spath="&amp;search_path&amp;" /stypes=""app*"&amp;B131&amp;"*"&amp;TEXT(I131-utc_offset/24,"YYYYMMDD")&amp;"*"" /stext="" "&amp;TEXT(I131-utc_offset/24,"HH")&amp;search_regexp&amp;""""</f>
        <v>"C:\Program Files (x86)\AstroGrep\AstroGrep.exe" /e /r /s /spath="%USERPROFILE%\AppData\Local\Temp\OnboardLogs" /stypes="app*4003*20171024*" /stext=" 01:.+((SYSTEM_STATE.+slice.+state.+changed )|(ment ac)|(multiple cpu faults)|(system.+state.+changed )|(\[timeout)|(PRM\|1\|D)|(kpr)|(kdp)|(train st.+moving)|(\|lc)|(penalty))"</v>
      </c>
      <c r="AG131" s="182" t="str">
        <f>DetSubdiv(A131)</f>
        <v>EC</v>
      </c>
      <c r="AH131" s="78" t="str">
        <f t="shared" si="10"/>
        <v>"%USERPROFILE%\Documents\GitHub\eaglep3\Utilities\RefineRTDCRunTimes.py" --tripid 216-23 --locoid 4003 --swversion DE.1.0.9.0 --startMP 204:232983 --initTime 2017-10-23T18:46:19 --startdatetime 2017-10-23T18:57:18 --delay 101 --endMP 204:150 --enddatetime 2017-10-23T19:35:07 --enforcementcount 0 &gt;&gt;%USERPROFILE%\Documents\GitHub\eaglep3-reporting\EC\2017-10-23-refined-times.txt</v>
      </c>
      <c r="AI131" s="96" t="str">
        <f t="shared" si="11"/>
        <v>echo {"issue":{"subject":"","project_id":79,"tracker_id":40,"status_id":1,"priority_id":2,"assigned_to_id":338,"start_date":"2017-10-23","description":"","custom_fields":[{"id":1,"name":"Subdivision","value":"EC"},{"id":4,"name":"Milepost","value":"0.015"},{"id":17,"name":"Train ID","value":"216-23"},{"id":16,"name":"Locomotive ID","value":"4003"},{"id":130,"name":"Impact","value":""},{"id":150,"name":"Time of Event (Mountain Time)","value":"19:35:07"},{"id":151,"name":"Denver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1" s="47"/>
      <c r="AL131" s="47"/>
      <c r="AM131" s="142" t="str">
        <f t="shared" si="12"/>
        <v>start /low /b %USERPROFILE%\Documents\GitHub\eaglep3\Utilities\DownloadLogsFromS3.py --loco 4003 --day 2017-10-23</v>
      </c>
      <c r="AN131" s="151" t="str">
        <f t="shared" si="13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01:35:07"},{"id":29,"name":"Sharepoint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168" t="str">
        <f t="shared" si="14"/>
        <v>https://d0f6bd738d7f1b3e5a7ca70fe4ff75f0.us-east-1.aws.found.io/app/kibana#/discover/Steve-Slow-Train-Analysis-(2080s-and-2083s)?_g=(refreshInterval:(display:Off,pause:!f,section:0,value:0),time:(from:'2017-10-23T17:46:19-0600',mode:absolute,to:'2017-10-23T20:35:07-0600'))&amp;_a=(columns:!('Message%20ID',Summary),filters:!(),index:'emp_*',interval:auto,query:(query_string:(analyze_wildcard:!t,query:'%22rtdc.l.rtdc.4003%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3">
      <c r="A132" s="32" t="s">
        <v>849</v>
      </c>
      <c r="B132" s="7">
        <v>4050</v>
      </c>
      <c r="C132" s="21" t="s">
        <v>194</v>
      </c>
      <c r="D132" s="21" t="s">
        <v>461</v>
      </c>
      <c r="E132" s="13">
        <v>43031.758055555554</v>
      </c>
      <c r="F132" s="13">
        <v>43031.760775462964</v>
      </c>
      <c r="G132" s="7">
        <v>80</v>
      </c>
      <c r="H132" s="21" t="s">
        <v>948</v>
      </c>
      <c r="I132" s="13">
        <v>43031.786817129629</v>
      </c>
      <c r="J132" s="7">
        <v>0</v>
      </c>
      <c r="K132" s="89" t="str">
        <f>IF(ISEVEN(B132),(B132-1)&amp;"/"&amp;B132,B132&amp;"/"&amp;(B132+1))</f>
        <v>4049/4050</v>
      </c>
      <c r="L132" s="185" t="str">
        <f>VLOOKUP(A132,'Trips&amp;Operators'!$C$1:$G$99911,5,FALSE)</f>
        <v>DUNCAN SHEILA</v>
      </c>
      <c r="M132" s="6">
        <f>I132-F132</f>
        <v>2.6041666664241347E-2</v>
      </c>
      <c r="N132" s="7">
        <f>24*60*SUM($M132:$M132)</f>
        <v>37.49999999650754</v>
      </c>
      <c r="O132" s="7"/>
      <c r="P132" s="7"/>
      <c r="Q132" s="22"/>
      <c r="R132" s="174"/>
      <c r="S132" s="221">
        <f>1/IF(AG132="EC",12,1)*SUM(U132:U132)</f>
        <v>1</v>
      </c>
      <c r="T132" s="174" t="str">
        <f>IF(ISEVEN(LEFT(AD132,4)),"Southbound","NorthBound")</f>
        <v>NorthBound</v>
      </c>
      <c r="U132" s="198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16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-10-23T17:11:36-0600',mode:absolute,to:'2017-10-23T19:53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32" s="204" t="str">
        <f>IF(AA132&lt;VLOOKUP(AG132,Variables!$AC$3:$AD$8,2,FALSE),"Y","N")</f>
        <v>N</v>
      </c>
      <c r="X132" s="204">
        <f>VALUE(LEFT(AD132,4))-VALUE(LEFT(AD131,4))</f>
        <v>1</v>
      </c>
      <c r="Y132" s="204">
        <f>RIGHT(D132,LEN(D132)-4)/10000</f>
        <v>4.6600000000000003E-2</v>
      </c>
      <c r="Z132" s="204">
        <f>RIGHT(H132,LEN(H132)-4)/10000</f>
        <v>23.337599999999998</v>
      </c>
      <c r="AA132" s="204">
        <f>ABS(Z132-Y132)</f>
        <v>23.290999999999997</v>
      </c>
      <c r="AB132" s="54" t="e">
        <f>VLOOKUP(A132,Enforcements!$C$7:$K$11,8,0)</f>
        <v>#N/A</v>
      </c>
      <c r="AC132" s="51" t="e">
        <f>VLOOKUP(A132,Enforcements!$C$7:$E$11,3,0)</f>
        <v>#N/A</v>
      </c>
      <c r="AD132" s="179">
        <f>VALUE(LEFT(A132,LEN(A132)-3))</f>
        <v>217</v>
      </c>
      <c r="AE132" s="77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s3://rtdc.mdm.uploadarchive.raw/RTDC4050/ "%USERPROFILE%\AppData\Local\Temp\OnboardLogs"\RTDC4050\2017-10-23 --exclude "*" --recursive --include "*20171023*" &amp; "%USERPROFILE%\Documents\GitHub\mrs-test-scripts\Headless Mode &amp; Sideloading\WalkAndUnGZ.bat" "%USERPROFILE%\AppData\Local\Temp\OnboardLogs"\RTDC4050\2017-10-23 &amp; aws s3 cp s3://rtdc.mdm.uploadarchive.raw/RTDC4050/ "%USERPROFILE%\AppData\Local\Temp\OnboardLogs"\RTDC4050\2017-10-24 --exclude "*" --recursive --include "*20171024*" &amp; "%USERPROFILE%\Documents\GitHub\mrs-test-scripts\Headless Mode &amp; Sideloading\WalkAndUnGZ.bat" "%USERPROFILE%\AppData\Local\Temp\OnboardLogs"\RTDC4050\2017-10-24</v>
      </c>
      <c r="AF132" s="74" t="str">
        <f>astrogrep_path&amp;" /e /r /s /spath="&amp;search_path&amp;" /stypes=""app*"&amp;B132&amp;"*"&amp;TEXT(I132-utc_offset/24,"YYYYMMDD")&amp;"*"" /stext="" "&amp;TEXT(I132-utc_offset/24,"HH")&amp;search_regexp&amp;""""</f>
        <v>"C:\Program Files (x86)\AstroGrep\AstroGrep.exe" /e /r /s /spath="%USERPROFILE%\AppData\Local\Temp\OnboardLogs" /stypes="app*4050*20171024*" /stext=" 00:.+((SYSTEM_STATE.+slice.+state.+changed )|(ment ac)|(multiple cpu faults)|(system.+state.+changed )|(\[timeout)|(PRM\|1\|D)|(kpr)|(kdp)|(train st.+moving)|(\|lc)|(penalty))"</v>
      </c>
      <c r="AG132" s="182" t="str">
        <f>DetSubdiv(A132)</f>
        <v>EC</v>
      </c>
      <c r="AH132" s="78" t="str">
        <f t="shared" si="10"/>
        <v>"%USERPROFILE%\Documents\GitHub\eaglep3\Utilities\RefineRTDCRunTimes.py" --tripid 217-23 --locoid 4050 --swversion DE.1.0.9.0 --startMP 204:466 --initTime 2017-10-23T18:11:36 --startdatetime 2017-10-23T18:15:31 --delay 80 --endMP 204:233376 --enddatetime 2017-10-23T18:53:01 --enforcementcount 0 &gt;&gt;%USERPROFILE%\Documents\GitHub\eaglep3-reporting\EC\2017-10-23-refined-times.txt</v>
      </c>
      <c r="AI132" s="96" t="str">
        <f t="shared" si="11"/>
        <v>echo {"issue":{"subject":"","project_id":79,"tracker_id":40,"status_id":1,"priority_id":2,"assigned_to_id":338,"start_date":"2017-10-23","description":"","custom_fields":[{"id":1,"name":"Subdivision","value":"EC"},{"id":4,"name":"Milepost","value":"23.3376"},{"id":17,"name":"Train ID","value":"217-23"},{"id":16,"name":"Locomotive ID","value":"4050"},{"id":130,"name":"Impact","value":""},{"id":150,"name":"Time of Event (Mountain Time)","value":"18:53:01"},{"id":151,"name":"Denver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2" s="47"/>
      <c r="AL132" s="47"/>
      <c r="AM132" s="142" t="str">
        <f t="shared" si="12"/>
        <v>start /low /b %USERPROFILE%\Documents\GitHub\eaglep3\Utilities\DownloadLogsFromS3.py --loco 4050 --day 2017-10-23</v>
      </c>
      <c r="AN132" s="151" t="str">
        <f t="shared" si="13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00:53:01"},{"id":29,"name":"Sharepoint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168" t="str">
        <f t="shared" si="14"/>
        <v>https://d0f6bd738d7f1b3e5a7ca70fe4ff75f0.us-east-1.aws.found.io/app/kibana#/discover/Steve-Slow-Train-Analysis-(2080s-and-2083s)?_g=(refreshInterval:(display:Off,pause:!f,section:0,value:0),time:(from:'2017-10-23T17:11:36-0600',mode:absolute,to:'2017-10-23T19:53:01-0600'))&amp;_a=(columns:!('Message%20ID',Summary),filters:!(),index:'emp_*',interval:auto,query:(query_string:(analyze_wildcard:!t,query:'%22rtdc.l.rtdc.4050%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3">
      <c r="A133" s="32" t="s">
        <v>857</v>
      </c>
      <c r="B133" s="7">
        <v>4049</v>
      </c>
      <c r="C133" s="21" t="s">
        <v>194</v>
      </c>
      <c r="D133" s="21" t="s">
        <v>949</v>
      </c>
      <c r="E133" s="13">
        <v>43031.794907407406</v>
      </c>
      <c r="F133" s="13">
        <v>43031.800196759257</v>
      </c>
      <c r="G133" s="7">
        <v>95</v>
      </c>
      <c r="H133" s="21" t="s">
        <v>354</v>
      </c>
      <c r="I133" s="13">
        <v>43031.825729166667</v>
      </c>
      <c r="J133" s="7">
        <v>0</v>
      </c>
      <c r="K133" s="89" t="str">
        <f>IF(ISEVEN(B133),(B133-1)&amp;"/"&amp;B133,B133&amp;"/"&amp;(B133+1))</f>
        <v>4049/4050</v>
      </c>
      <c r="L133" s="185" t="str">
        <f>VLOOKUP(A133,'Trips&amp;Operators'!$C$1:$G$99911,5,FALSE)</f>
        <v>DUNCAN SHEILA</v>
      </c>
      <c r="M133" s="6">
        <f>I133-F133</f>
        <v>2.5532407409627922E-2</v>
      </c>
      <c r="N133" s="7">
        <f>24*60*SUM($M133:$M133)</f>
        <v>36.766666669864208</v>
      </c>
      <c r="O133" s="7"/>
      <c r="P133" s="7"/>
      <c r="Q133" s="22"/>
      <c r="R133" s="174"/>
      <c r="S133" s="221">
        <f>1/IF(AG133="EC",12,1)*SUM(U133:U133)</f>
        <v>1</v>
      </c>
      <c r="T133" s="174" t="str">
        <f>IF(ISEVEN(LEFT(AD133,4)),"Southbound","NorthBound")</f>
        <v>Southbound</v>
      </c>
      <c r="U133" s="198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16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2017-10-23T18:04:40-0600',mode:absolute,to:'2017-10-23T20:49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33" s="204" t="str">
        <f>IF(AA133&lt;VLOOKUP(AG133,Variables!$AC$3:$AD$8,2,FALSE),"Y","N")</f>
        <v>N</v>
      </c>
      <c r="X133" s="204">
        <f>VALUE(LEFT(AD133,4))-VALUE(LEFT(AD132,4))</f>
        <v>1</v>
      </c>
      <c r="Y133" s="204">
        <f>RIGHT(D133,LEN(D133)-4)/10000</f>
        <v>23.305099999999999</v>
      </c>
      <c r="Z133" s="204">
        <f>RIGHT(H133,LEN(H133)-4)/10000</f>
        <v>1.52E-2</v>
      </c>
      <c r="AA133" s="204">
        <f>ABS(Z133-Y133)</f>
        <v>23.289899999999999</v>
      </c>
      <c r="AB133" s="54" t="e">
        <f>VLOOKUP(A133,Enforcements!$C$7:$K$11,8,0)</f>
        <v>#N/A</v>
      </c>
      <c r="AC133" s="51" t="e">
        <f>VLOOKUP(A133,Enforcements!$C$7:$E$11,3,0)</f>
        <v>#N/A</v>
      </c>
      <c r="AD133" s="179">
        <f>VALUE(LEFT(A133,LEN(A133)-3))</f>
        <v>218</v>
      </c>
      <c r="AE133" s="77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s3://rtdc.mdm.uploadarchive.raw/RTDC4049/ "%USERPROFILE%\AppData\Local\Temp\OnboardLogs"\RTDC4049\2017-10-23 --exclude "*" --recursive --include "*20171023*" &amp; "%USERPROFILE%\Documents\GitHub\mrs-test-scripts\Headless Mode &amp; Sideloading\WalkAndUnGZ.bat" "%USERPROFILE%\AppData\Local\Temp\OnboardLogs"\RTDC4049\2017-10-23 &amp; aws s3 cp s3://rtdc.mdm.uploadarchive.raw/RTDC4049/ "%USERPROFILE%\AppData\Local\Temp\OnboardLogs"\RTDC4049\2017-10-24 --exclude "*" --recursive --include "*20171024*" &amp; "%USERPROFILE%\Documents\GitHub\mrs-test-scripts\Headless Mode &amp; Sideloading\WalkAndUnGZ.bat" "%USERPROFILE%\AppData\Local\Temp\OnboardLogs"\RTDC4049\2017-10-24</v>
      </c>
      <c r="AF133" s="74" t="str">
        <f>astrogrep_path&amp;" /e /r /s /spath="&amp;search_path&amp;" /stypes=""app*"&amp;B133&amp;"*"&amp;TEXT(I133-utc_offset/24,"YYYYMMDD")&amp;"*"" /stext="" "&amp;TEXT(I133-utc_offset/24,"HH")&amp;search_regexp&amp;""""</f>
        <v>"C:\Program Files (x86)\AstroGrep\AstroGrep.exe" /e /r /s /spath="%USERPROFILE%\AppData\Local\Temp\OnboardLogs" /stypes="app*4049*20171024*" /stext=" 01:.+((SYSTEM_STATE.+slice.+state.+changed )|(ment ac)|(multiple cpu faults)|(system.+state.+changed )|(\[timeout)|(PRM\|1\|D)|(kpr)|(kdp)|(train st.+moving)|(\|lc)|(penalty))"</v>
      </c>
      <c r="AG133" s="182" t="str">
        <f>DetSubdiv(A133)</f>
        <v>EC</v>
      </c>
      <c r="AH133" s="78" t="str">
        <f t="shared" si="10"/>
        <v>"%USERPROFILE%\Documents\GitHub\eaglep3\Utilities\RefineRTDCRunTimes.py" --tripid 218-23 --locoid 4049 --swversion DE.1.0.9.0 --startMP 204:233051 --initTime 2017-10-23T19:04:40 --startdatetime 2017-10-23T19:12:17 --delay 95 --endMP 204:152 --enddatetime 2017-10-23T19:49:03 --enforcementcount 0 &gt;&gt;%USERPROFILE%\Documents\GitHub\eaglep3-reporting\EC\2017-10-23-refined-times.txt</v>
      </c>
      <c r="AI133" s="96" t="str">
        <f t="shared" si="11"/>
        <v>echo {"issue":{"subject":"","project_id":79,"tracker_id":40,"status_id":1,"priority_id":2,"assigned_to_id":338,"start_date":"2017-10-23","description":"","custom_fields":[{"id":1,"name":"Subdivision","value":"EC"},{"id":4,"name":"Milepost","value":"0.0152"},{"id":17,"name":"Train ID","value":"218-23"},{"id":16,"name":"Locomotive ID","value":"4049"},{"id":130,"name":"Impact","value":""},{"id":150,"name":"Time of Event (Mountain Time)","value":"19:49:03"},{"id":151,"name":"Denver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3" s="47"/>
      <c r="AL133" s="47"/>
      <c r="AM133" s="142" t="str">
        <f t="shared" si="12"/>
        <v>start /low /b %USERPROFILE%\Documents\GitHub\eaglep3\Utilities\DownloadLogsFromS3.py --loco 4049 --day 2017-10-23</v>
      </c>
      <c r="AN133" s="151" t="str">
        <f t="shared" si="13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01:49:03"},{"id":29,"name":"Sharepoint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168" t="str">
        <f t="shared" si="14"/>
        <v>https://d0f6bd738d7f1b3e5a7ca70fe4ff75f0.us-east-1.aws.found.io/app/kibana#/discover/Steve-Slow-Train-Analysis-(2080s-and-2083s)?_g=(refreshInterval:(display:Off,pause:!f,section:0,value:0),time:(from:'2017-10-23T18:04:40-0600',mode:absolute,to:'2017-10-23T20:49:03-0600'))&amp;_a=(columns:!('Message%20ID',Summary),filters:!(),index:'emp_*',interval:auto,query:(query_string:(analyze_wildcard:!t,query:'%22rtdc.l.rtdc.4049%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3">
      <c r="A134" s="32" t="s">
        <v>850</v>
      </c>
      <c r="B134" s="7">
        <v>4018</v>
      </c>
      <c r="C134" s="21" t="s">
        <v>194</v>
      </c>
      <c r="D134" s="21" t="s">
        <v>338</v>
      </c>
      <c r="E134" s="13">
        <v>43031.767928240741</v>
      </c>
      <c r="F134" s="13">
        <v>43031.770995370367</v>
      </c>
      <c r="G134" s="7">
        <v>74</v>
      </c>
      <c r="H134" s="21" t="s">
        <v>626</v>
      </c>
      <c r="I134" s="13">
        <v>43031.797210648147</v>
      </c>
      <c r="J134" s="7">
        <v>0</v>
      </c>
      <c r="K134" s="89" t="str">
        <f>IF(ISEVEN(B134),(B134-1)&amp;"/"&amp;B134,B134&amp;"/"&amp;(B134+1))</f>
        <v>4017/4018</v>
      </c>
      <c r="L134" s="185" t="str">
        <f>VLOOKUP(A134,'Trips&amp;Operators'!$C$1:$G$99911,5,FALSE)</f>
        <v>WILLIAMS DONTE</v>
      </c>
      <c r="M134" s="6">
        <f>I134-F134</f>
        <v>2.6215277779556345E-2</v>
      </c>
      <c r="N134" s="7">
        <f>24*60*SUM($M134:$M134)</f>
        <v>37.750000002561137</v>
      </c>
      <c r="O134" s="7"/>
      <c r="P134" s="7"/>
      <c r="Q134" s="22"/>
      <c r="R134" s="174"/>
      <c r="S134" s="221">
        <f>1/IF(AG134="EC",12,1)*SUM(U134:U134)</f>
        <v>1</v>
      </c>
      <c r="T134" s="174" t="str">
        <f>IF(ISEVEN(LEFT(AD134,4)),"Southbound","NorthBound")</f>
        <v>NorthBound</v>
      </c>
      <c r="U134" s="198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16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2017-10-23T17:25:49-0600',mode:absolute,to:'2017-10-23T20:07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4" s="204" t="str">
        <f>IF(AA134&lt;VLOOKUP(AG134,Variables!$AC$3:$AD$8,2,FALSE),"Y","N")</f>
        <v>N</v>
      </c>
      <c r="X134" s="204">
        <f>VALUE(LEFT(AD134,4))-VALUE(LEFT(AD133,4))</f>
        <v>1</v>
      </c>
      <c r="Y134" s="204">
        <f>RIGHT(D134,LEN(D134)-4)/10000</f>
        <v>4.53E-2</v>
      </c>
      <c r="Z134" s="204">
        <f>RIGHT(H134,LEN(H134)-4)/10000</f>
        <v>23.3306</v>
      </c>
      <c r="AA134" s="204">
        <f>ABS(Z134-Y134)</f>
        <v>23.285299999999999</v>
      </c>
      <c r="AB134" s="54" t="e">
        <f>VLOOKUP(A134,Enforcements!$C$7:$K$11,8,0)</f>
        <v>#N/A</v>
      </c>
      <c r="AC134" s="51" t="e">
        <f>VLOOKUP(A134,Enforcements!$C$7:$E$11,3,0)</f>
        <v>#N/A</v>
      </c>
      <c r="AD134" s="179">
        <f>VALUE(LEFT(A134,LEN(A134)-3))</f>
        <v>219</v>
      </c>
      <c r="AE134" s="77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s3://rtdc.mdm.uploadarchive.raw/RTDC4018/ "%USERPROFILE%\AppData\Local\Temp\OnboardLogs"\RTDC4018\2017-10-23 --exclude "*" --recursive --include "*20171023*" &amp; "%USERPROFILE%\Documents\GitHub\mrs-test-scripts\Headless Mode &amp; Sideloading\WalkAndUnGZ.bat" "%USERPROFILE%\AppData\Local\Temp\OnboardLogs"\RTDC4018\2017-10-23 &amp; aws s3 cp s3://rtdc.mdm.uploadarchive.raw/RTDC4018/ "%USERPROFILE%\AppData\Local\Temp\OnboardLogs"\RTDC4018\2017-10-24 --exclude "*" --recursive --include "*20171024*" &amp; "%USERPROFILE%\Documents\GitHub\mrs-test-scripts\Headless Mode &amp; Sideloading\WalkAndUnGZ.bat" "%USERPROFILE%\AppData\Local\Temp\OnboardLogs"\RTDC4018\2017-10-24</v>
      </c>
      <c r="AF134" s="74" t="str">
        <f>astrogrep_path&amp;" /e /r /s /spath="&amp;search_path&amp;" /stypes=""app*"&amp;B134&amp;"*"&amp;TEXT(I134-utc_offset/24,"YYYYMMDD")&amp;"*"" /stext="" "&amp;TEXT(I134-utc_offset/24,"HH")&amp;search_regexp&amp;""""</f>
        <v>"C:\Program Files (x86)\AstroGrep\AstroGrep.exe" /e /r /s /spath="%USERPROFILE%\AppData\Local\Temp\OnboardLogs" /stypes="app*4018*20171024*" /stext=" 01:.+((SYSTEM_STATE.+slice.+state.+changed )|(ment ac)|(multiple cpu faults)|(system.+state.+changed )|(\[timeout)|(PRM\|1\|D)|(kpr)|(kdp)|(train st.+moving)|(\|lc)|(penalty))"</v>
      </c>
      <c r="AG134" s="182" t="str">
        <f>DetSubdiv(A134)</f>
        <v>EC</v>
      </c>
      <c r="AH134" s="78" t="str">
        <f t="shared" si="10"/>
        <v>"%USERPROFILE%\Documents\GitHub\eaglep3\Utilities\RefineRTDCRunTimes.py" --tripid 219-23 --locoid 4018 --swversion DE.1.0.9.0 --startMP 204:453 --initTime 2017-10-23T18:25:49 --startdatetime 2017-10-23T18:30:14 --delay 74 --endMP 204:233306 --enddatetime 2017-10-23T19:07:59 --enforcementcount 0 &gt;&gt;%USERPROFILE%\Documents\GitHub\eaglep3-reporting\EC\2017-10-23-refined-times.txt</v>
      </c>
      <c r="AI134" s="96" t="str">
        <f t="shared" si="11"/>
        <v>echo {"issue":{"subject":"","project_id":79,"tracker_id":40,"status_id":1,"priority_id":2,"assigned_to_id":338,"start_date":"2017-10-23","description":"","custom_fields":[{"id":1,"name":"Subdivision","value":"EC"},{"id":4,"name":"Milepost","value":"23.3306"},{"id":17,"name":"Train ID","value":"219-23"},{"id":16,"name":"Locomotive ID","value":"4018"},{"id":130,"name":"Impact","value":""},{"id":150,"name":"Time of Event (Mountain Time)","value":"19:07:59"},{"id":151,"name":"Denver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4" s="47"/>
      <c r="AL134" s="47"/>
      <c r="AM134" s="142" t="str">
        <f t="shared" si="12"/>
        <v>start /low /b %USERPROFILE%\Documents\GitHub\eaglep3\Utilities\DownloadLogsFromS3.py --loco 4018 --day 2017-10-23</v>
      </c>
      <c r="AN134" s="151" t="str">
        <f t="shared" si="13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01:07:59"},{"id":29,"name":"Sharepoint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168" t="str">
        <f t="shared" si="14"/>
        <v>https://d0f6bd738d7f1b3e5a7ca70fe4ff75f0.us-east-1.aws.found.io/app/kibana#/discover/Steve-Slow-Train-Analysis-(2080s-and-2083s)?_g=(refreshInterval:(display:Off,pause:!f,section:0,value:0),time:(from:'2017-10-23T17:25:49-0600',mode:absolute,to:'2017-10-23T20:07:59-0600'))&amp;_a=(columns:!('Message%20ID',Summary),filters:!(),index:'emp_*',interval:auto,query:(query_string:(analyze_wildcard:!t,query:'%22rtdc.l.rtdc.4018%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3">
      <c r="A135" s="32" t="s">
        <v>859</v>
      </c>
      <c r="B135" s="7">
        <v>4017</v>
      </c>
      <c r="C135" s="21" t="s">
        <v>194</v>
      </c>
      <c r="D135" s="21" t="s">
        <v>338</v>
      </c>
      <c r="E135" s="13">
        <v>43031.767928240741</v>
      </c>
      <c r="F135" s="13">
        <v>43031.810659722221</v>
      </c>
      <c r="G135" s="7">
        <v>74</v>
      </c>
      <c r="H135" s="21" t="s">
        <v>626</v>
      </c>
      <c r="I135" s="13">
        <v>43031.838356481479</v>
      </c>
      <c r="J135" s="7">
        <v>0</v>
      </c>
      <c r="K135" s="89" t="str">
        <f>IF(ISEVEN(B135),(B135-1)&amp;"/"&amp;B135,B135&amp;"/"&amp;(B135+1))</f>
        <v>4017/4018</v>
      </c>
      <c r="L135" s="185" t="str">
        <f>VLOOKUP(A135,'Trips&amp;Operators'!$C$1:$G$99911,5,FALSE)</f>
        <v>WILLIAMS DONTE</v>
      </c>
      <c r="M135" s="6">
        <f>I135-F135</f>
        <v>2.7696759258105885E-2</v>
      </c>
      <c r="N135" s="7">
        <f>24*60*SUM($M135:$M135)</f>
        <v>39.883333331672475</v>
      </c>
      <c r="O135" s="7"/>
      <c r="P135" s="7"/>
      <c r="Q135" s="22"/>
      <c r="R135" s="174"/>
      <c r="S135" s="221">
        <f>1/IF(AG135="EC",12,1)*SUM(U135:U135)</f>
        <v>1</v>
      </c>
      <c r="T135" s="174" t="str">
        <f>IF(ISEVEN(LEFT(AD135,4)),"Southbound","NorthBound")</f>
        <v>Southbound</v>
      </c>
      <c r="U135" s="198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16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2017-10-23T17:25:49-0600',mode:absolute,to:'2017-10-23T21:07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5" s="204" t="str">
        <f>IF(AA135&lt;VLOOKUP(AG135,Variables!$AC$3:$AD$8,2,FALSE),"Y","N")</f>
        <v>N</v>
      </c>
      <c r="X135" s="204">
        <f>VALUE(LEFT(AD135,4))-VALUE(LEFT(AD134,4))</f>
        <v>1</v>
      </c>
      <c r="Y135" s="204">
        <v>23.305099999999999</v>
      </c>
      <c r="Z135" s="204">
        <v>1.52E-2</v>
      </c>
      <c r="AA135" s="204">
        <f>ABS(Z135-Y135)</f>
        <v>23.289899999999999</v>
      </c>
      <c r="AB135" s="54" t="e">
        <f>VLOOKUP(A135,Enforcements!$C$7:$K$11,8,0)</f>
        <v>#N/A</v>
      </c>
      <c r="AC135" s="51" t="e">
        <f>VLOOKUP(A135,Enforcements!$C$7:$E$11,3,0)</f>
        <v>#N/A</v>
      </c>
      <c r="AD135" s="179">
        <f>VALUE(LEFT(A135,LEN(A135)-3))</f>
        <v>220</v>
      </c>
      <c r="AE135" s="77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s3://rtdc.mdm.uploadarchive.raw/RTDC4017/ "%USERPROFILE%\AppData\Local\Temp\OnboardLogs"\RTDC4017\2017-10-23 --exclude "*" --recursive --include "*20171023*" &amp; "%USERPROFILE%\Documents\GitHub\mrs-test-scripts\Headless Mode &amp; Sideloading\WalkAndUnGZ.bat" "%USERPROFILE%\AppData\Local\Temp\OnboardLogs"\RTDC4017\2017-10-23 &amp; aws s3 cp s3://rtdc.mdm.uploadarchive.raw/RTDC4017/ "%USERPROFILE%\AppData\Local\Temp\OnboardLogs"\RTDC4017\2017-10-24 --exclude "*" --recursive --include "*20171024*" &amp; "%USERPROFILE%\Documents\GitHub\mrs-test-scripts\Headless Mode &amp; Sideloading\WalkAndUnGZ.bat" "%USERPROFILE%\AppData\Local\Temp\OnboardLogs"\RTDC4017\2017-10-24</v>
      </c>
      <c r="AF135" s="74" t="str">
        <f>astrogrep_path&amp;" /e /r /s /spath="&amp;search_path&amp;" /stypes=""app*"&amp;B135&amp;"*"&amp;TEXT(I135-utc_offset/24,"YYYYMMDD")&amp;"*"" /stext="" "&amp;TEXT(I135-utc_offset/24,"HH")&amp;search_regexp&amp;""""</f>
        <v>"C:\Program Files (x86)\AstroGrep\AstroGrep.exe" /e /r /s /spath="%USERPROFILE%\AppData\Local\Temp\OnboardLogs" /stypes="app*4017*20171024*" /stext=" 02:.+((SYSTEM_STATE.+slice.+state.+changed )|(ment ac)|(multiple cpu faults)|(system.+state.+changed )|(\[timeout)|(PRM\|1\|D)|(kpr)|(kdp)|(train st.+moving)|(\|lc)|(penalty))"</v>
      </c>
      <c r="AG135" s="182" t="str">
        <f>DetSubdiv(A135)</f>
        <v>EC</v>
      </c>
      <c r="AH135" s="78" t="str">
        <f t="shared" ref="AH135" si="20">refinertdcruntimes&amp;" --tripid "&amp;A135&amp;" --locoid "&amp;B135&amp;" --swversion "&amp;C135&amp;" --startMP "&amp;D135&amp;" --initTime "&amp;TEXT(E135,"yyyy-mm-ddTHH:MM:SS")&amp;" --startdatetime "&amp;TEXT(F135,"yyyy-mm-ddTHH:MM:SS")&amp;" --delay "&amp;G135&amp;" --endMP "&amp;H135&amp;" --enddatetime "&amp;TEXT(I135,"yyyy-mm-ddTHH:MM:SS")&amp;" --enforcementcount "&amp;J135&amp;IF(outputrefinedruntimes," &gt;&gt;"&amp;RefinedRTDCRunTimesOutputFile,"")</f>
        <v>"%USERPROFILE%\Documents\GitHub\eaglep3\Utilities\RefineRTDCRunTimes.py" --tripid 220-23 --locoid 4017 --swversion DE.1.0.9.0 --startMP 204:453 --initTime 2017-10-23T18:25:49 --startdatetime 2017-10-23T19:27:21 --delay 74 --endMP 204:233306 --enddatetime 2017-10-23T20:07:14 --enforcementcount 0 &gt;&gt;%USERPROFILE%\Documents\GitHub\eaglep3-reporting\EC\2017-10-23-refined-times.txt</v>
      </c>
      <c r="AI135" s="96" t="str">
        <f t="shared" ref="AI135" si="21">"echo {""issue"":{""subject"":"""&amp;R135&amp;""",""project_id"":79,""tracker_id"":40,""status_id"":"&amp;redmine_status&amp;",""priority_id"":"&amp;redmine_priority&amp;",""assigned_to_id"":"&amp;redmine_assignee&amp;",""start_date"":"""&amp;TEXT(I135,"YYYY-mm-dd")&amp;""",""description"":"""&amp;AJ135&amp;""",""custom_fields"":[{""id"":1,""name"":""Subdivision"",""value"":"""&amp;AG135&amp;"""},{""id"":4,""name"":""Milepost"",""value"":"""&amp;Z135&amp;"""},{""id"":17,""name"":""Train ID"",""value"":"""&amp;A135&amp;"""},{""id"":16,""name"":""Locomotive ID"",""value"":"""&amp;B135&amp;"""},{""id"":130,""name"":""Impact"",""value"":"""&amp;AK135&amp;"""},{""id"":150,""name"":""Time of Event (Mountain Time)"",""value"":"""&amp;TEXT(I135,"hh:mm:ss")&amp;"""},{""id"":151,""name"":""Denver Issue ID"",""value"":"""&amp;"""},{""id"":178,""name"":""Operational Impact"",""value"":"""&amp;redmine_op_impact&amp;"""},{""id"":179,""name"":""Denver Segment Assigned"",""value"":"""&amp;AL135&amp;"""}]}}"&amp;"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{"issue":{"subject":"","project_id":79,"tracker_id":40,"status_id":1,"priority_id":2,"assigned_to_id":338,"start_date":"2017-10-23","description":"","custom_fields":[{"id":1,"name":"Subdivision","value":"EC"},{"id":4,"name":"Milepost","value":"0.0152"},{"id":17,"name":"Train ID","value":"220-23"},{"id":16,"name":"Locomotive ID","value":"4017"},{"id":130,"name":"Impact","value":""},{"id":150,"name":"Time of Event (Mountain Time)","value":"20:07:14"},{"id":151,"name":"Denver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5" s="47"/>
      <c r="AL135" s="47"/>
      <c r="AM135" s="142" t="str">
        <f t="shared" ref="AM135" si="22">"start /low /b "&amp;dls3logs&amp;" --loco "&amp;B135&amp;" --day "&amp;TEXT(F135,"YYYY-MM-DD")</f>
        <v>start /low /b %USERPROFILE%\Documents\GitHub\eaglep3\Utilities\DownloadLogsFromS3.py --loco 4017 --day 2017-10-23</v>
      </c>
      <c r="AN135" s="151" t="str">
        <f t="shared" ref="AN135" si="23">"echo {""issue"":{""subject"":"""&amp;R135&amp;""",""project_id"":30,""tracker_id"":4,""status_id"":"&amp;redmine_status_wcr&amp;",""priority_id"":"&amp;redmine_priority_wcr&amp;",""assigned_to_id"":"&amp;redmine_assignee_wcr&amp;",""start_date"":"""&amp;TEXT(I135-utc_offset/24,"YYYY-mm-dd")&amp;""",""description"":"""&amp;AJ135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02:07:14"},{"id":29,"name":"Sharepoint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168" t="str">
        <f t="shared" ref="AO135" si="24"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Message%20ID',Summary),filters:!(),index:'emp_*',interval:auto,query:"&amp;"(query_string:(analyze_wildcard:!t,query:'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2017-10-23T17:25:49-0600',mode:absolute,to:'2017-10-23T21:07:14-0600'))&amp;_a=(columns:!('Message%20ID',Summary),filters:!(),index:'emp_*',interval:auto,query:(query_string:(analyze_wildcard:!t,query:'%22rtdc.l.rtdc.4017%22')),sort:!(Time.ISO8601,asc))</v>
      </c>
    </row>
    <row r="136" spans="1:91" s="20" customFormat="1" x14ac:dyDescent="0.3">
      <c r="A136" s="32" t="s">
        <v>855</v>
      </c>
      <c r="B136" s="7">
        <v>4042</v>
      </c>
      <c r="C136" s="21" t="s">
        <v>194</v>
      </c>
      <c r="D136" s="21" t="s">
        <v>425</v>
      </c>
      <c r="E136" s="13">
        <v>43031.785856481481</v>
      </c>
      <c r="F136" s="13">
        <v>43031.791863425926</v>
      </c>
      <c r="G136" s="7">
        <v>86</v>
      </c>
      <c r="H136" s="21" t="s">
        <v>915</v>
      </c>
      <c r="I136" s="13">
        <v>43031.816435185188</v>
      </c>
      <c r="J136" s="7">
        <v>0</v>
      </c>
      <c r="K136" s="89" t="str">
        <f>IF(ISEVEN(B136),(B136-1)&amp;"/"&amp;B136,B136&amp;"/"&amp;(B136+1))</f>
        <v>4041/4042</v>
      </c>
      <c r="L136" s="185" t="str">
        <f>VLOOKUP(A136,'Trips&amp;Operators'!$C$1:$G$99911,5,FALSE)</f>
        <v>ELBAUM MIKE</v>
      </c>
      <c r="M136" s="6">
        <f>I136-F136</f>
        <v>2.457175926247146E-2</v>
      </c>
      <c r="N136" s="7">
        <f>24*60*SUM($M136:$M136)</f>
        <v>35.383333337958902</v>
      </c>
      <c r="O136" s="7"/>
      <c r="P136" s="7"/>
      <c r="Q136" s="22"/>
      <c r="R136" s="174"/>
      <c r="S136" s="221">
        <f>1/IF(AG136="EC",12,1)*SUM(U136:U136)</f>
        <v>1</v>
      </c>
      <c r="T136" s="174" t="str">
        <f>IF(ISEVEN(LEFT(AD136,4)),"Southbound","NorthBound")</f>
        <v>NorthBound</v>
      </c>
      <c r="U136" s="198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16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2017-10-23T17:51:38-0600',mode:absolute,to:'2017-10-23T20:35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6" s="204" t="str">
        <f>IF(AA136&lt;VLOOKUP(AG136,Variables!$AC$3:$AD$8,2,FALSE),"Y","N")</f>
        <v>N</v>
      </c>
      <c r="X136" s="204">
        <f t="shared" ref="X136:X137" si="25">VALUE(LEFT(AD136,4))-VALUE(LEFT(AD135,4))</f>
        <v>1</v>
      </c>
      <c r="Y136" s="204">
        <f>RIGHT(D136,LEN(D136)-4)/10000</f>
        <v>4.6899999999999997E-2</v>
      </c>
      <c r="Z136" s="204">
        <f>RIGHT(H136,LEN(H136)-4)/10000</f>
        <v>23.331</v>
      </c>
      <c r="AA136" s="204">
        <f>ABS(Z136-Y136)</f>
        <v>23.284099999999999</v>
      </c>
      <c r="AB136" s="54" t="e">
        <f>VLOOKUP(A136,Enforcements!$C$7:$K$11,8,0)</f>
        <v>#N/A</v>
      </c>
      <c r="AC136" s="51" t="e">
        <f>VLOOKUP(A136,Enforcements!$C$7:$E$11,3,0)</f>
        <v>#N/A</v>
      </c>
      <c r="AD136" s="179">
        <f>VALUE(LEFT(A136,LEN(A136)-3))</f>
        <v>221</v>
      </c>
      <c r="AE136" s="77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s3://rtdc.mdm.uploadarchive.raw/RTDC4042/ "%USERPROFILE%\AppData\Local\Temp\OnboardLogs"\RTDC4042\2017-10-23 --exclude "*" --recursive --include "*20171023*" &amp; "%USERPROFILE%\Documents\GitHub\mrs-test-scripts\Headless Mode &amp; Sideloading\WalkAndUnGZ.bat" "%USERPROFILE%\AppData\Local\Temp\OnboardLogs"\RTDC4042\2017-10-23 &amp; aws s3 cp s3://rtdc.mdm.uploadarchive.raw/RTDC4042/ "%USERPROFILE%\AppData\Local\Temp\OnboardLogs"\RTDC4042\2017-10-24 --exclude "*" --recursive --include "*20171024*" &amp; "%USERPROFILE%\Documents\GitHub\mrs-test-scripts\Headless Mode &amp; Sideloading\WalkAndUnGZ.bat" "%USERPROFILE%\AppData\Local\Temp\OnboardLogs"\RTDC4042\2017-10-24</v>
      </c>
      <c r="AF136" s="74" t="str">
        <f>astrogrep_path&amp;" /e /r /s /spath="&amp;search_path&amp;" /stypes=""app*"&amp;B136&amp;"*"&amp;TEXT(I136-utc_offset/24,"YYYYMMDD")&amp;"*"" /stext="" "&amp;TEXT(I136-utc_offset/24,"HH")&amp;search_regexp&amp;""""</f>
        <v>"C:\Program Files (x86)\AstroGrep\AstroGrep.exe" /e /r /s /spath="%USERPROFILE%\AppData\Local\Temp\OnboardLogs" /stypes="app*4042*20171024*" /stext=" 01:.+((SYSTEM_STATE.+slice.+state.+changed )|(ment ac)|(multiple cpu faults)|(system.+state.+changed )|(\[timeout)|(PRM\|1\|D)|(kpr)|(kdp)|(train st.+moving)|(\|lc)|(penalty))"</v>
      </c>
      <c r="AG136" s="182" t="str">
        <f>DetSubdiv(A136)</f>
        <v>EC</v>
      </c>
      <c r="AH136" s="78" t="str">
        <f t="shared" si="10"/>
        <v>"%USERPROFILE%\Documents\GitHub\eaglep3\Utilities\RefineRTDCRunTimes.py" --tripid 221-23 --locoid 4042 --swversion DE.1.0.9.0 --startMP 204:469 --initTime 2017-10-23T18:51:38 --startdatetime 2017-10-23T19:00:17 --delay 86 --endMP 204:233310 --enddatetime 2017-10-23T19:35:40 --enforcementcount 0 &gt;&gt;%USERPROFILE%\Documents\GitHub\eaglep3-reporting\EC\2017-10-23-refined-times.txt</v>
      </c>
      <c r="AI136" s="96" t="str">
        <f t="shared" si="11"/>
        <v>echo {"issue":{"subject":"","project_id":79,"tracker_id":40,"status_id":1,"priority_id":2,"assigned_to_id":338,"start_date":"2017-10-23","description":"","custom_fields":[{"id":1,"name":"Subdivision","value":"EC"},{"id":4,"name":"Milepost","value":"23.331"},{"id":17,"name":"Train ID","value":"221-23"},{"id":16,"name":"Locomotive ID","value":"4042"},{"id":130,"name":"Impact","value":""},{"id":150,"name":"Time of Event (Mountain Time)","value":"19:35:40"},{"id":151,"name":"Denver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6" s="47"/>
      <c r="AL136" s="47"/>
      <c r="AM136" s="142" t="str">
        <f t="shared" si="12"/>
        <v>start /low /b %USERPROFILE%\Documents\GitHub\eaglep3\Utilities\DownloadLogsFromS3.py --loco 4042 --day 2017-10-23</v>
      </c>
      <c r="AN136" s="151" t="str">
        <f t="shared" si="13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01:35:40"},{"id":29,"name":"Sharepoint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168" t="str">
        <f t="shared" si="14"/>
        <v>https://d0f6bd738d7f1b3e5a7ca70fe4ff75f0.us-east-1.aws.found.io/app/kibana#/discover/Steve-Slow-Train-Analysis-(2080s-and-2083s)?_g=(refreshInterval:(display:Off,pause:!f,section:0,value:0),time:(from:'2017-10-23T17:51:38-0600',mode:absolute,to:'2017-10-23T20:35:40-0600'))&amp;_a=(columns:!('Message%20ID',Summary),filters:!(),index:'emp_*',interval:auto,query:(query_string:(analyze_wildcard:!t,query:'%22rtdc.l.rtdc.4042%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3">
      <c r="A137" s="32" t="s">
        <v>862</v>
      </c>
      <c r="B137" s="7">
        <v>4041</v>
      </c>
      <c r="C137" s="21" t="s">
        <v>194</v>
      </c>
      <c r="D137" s="21" t="s">
        <v>405</v>
      </c>
      <c r="E137" s="13">
        <v>43031.817696759259</v>
      </c>
      <c r="F137" s="13">
        <v>43031.831388888888</v>
      </c>
      <c r="G137" s="7">
        <v>74</v>
      </c>
      <c r="H137" s="21" t="s">
        <v>950</v>
      </c>
      <c r="I137" s="13">
        <v>43031.856759259259</v>
      </c>
      <c r="J137" s="7">
        <v>0</v>
      </c>
      <c r="K137" s="89" t="str">
        <f>IF(ISEVEN(B137),(B137-1)&amp;"/"&amp;B137,B137&amp;"/"&amp;(B137+1))</f>
        <v>4041/4042</v>
      </c>
      <c r="L137" s="185" t="str">
        <f>VLOOKUP(A137,'Trips&amp;Operators'!$C$1:$G$99911,5,FALSE)</f>
        <v>ELBAUM MIKE</v>
      </c>
      <c r="M137" s="6">
        <f>I137-F137</f>
        <v>2.5370370371092577E-2</v>
      </c>
      <c r="N137" s="7">
        <f>24*60*SUM($M137:$M137)</f>
        <v>36.53333333437331</v>
      </c>
      <c r="O137" s="7"/>
      <c r="P137" s="7"/>
      <c r="Q137" s="22"/>
      <c r="R137" s="174"/>
      <c r="S137" s="221">
        <f>1/IF(AG137="EC",12,1)*SUM(U137:U137)</f>
        <v>1</v>
      </c>
      <c r="T137" s="174" t="str">
        <f>IF(ISEVEN(LEFT(AD137,4)),"Southbound","NorthBound")</f>
        <v>Southbound</v>
      </c>
      <c r="U137" s="198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16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-10-23T18:37:29-0600',mode:absolute,to:'2017-10-23T21:33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7" s="204" t="str">
        <f>IF(AA137&lt;VLOOKUP(AG137,Variables!$AC$3:$AD$8,2,FALSE),"Y","N")</f>
        <v>N</v>
      </c>
      <c r="X137" s="204">
        <f t="shared" si="25"/>
        <v>1</v>
      </c>
      <c r="Y137" s="204">
        <f>RIGHT(D137,LEN(D137)-4)/10000</f>
        <v>23.2989</v>
      </c>
      <c r="Z137" s="204">
        <f>RIGHT(H137,LEN(H137)-4)/10000</f>
        <v>1.2699999999999999E-2</v>
      </c>
      <c r="AA137" s="204">
        <f>ABS(Z137-Y137)</f>
        <v>23.286200000000001</v>
      </c>
      <c r="AB137" s="54" t="e">
        <f>VLOOKUP(A137,Enforcements!$C$7:$K$11,8,0)</f>
        <v>#N/A</v>
      </c>
      <c r="AC137" s="51" t="e">
        <f>VLOOKUP(A137,Enforcements!$C$7:$E$11,3,0)</f>
        <v>#N/A</v>
      </c>
      <c r="AD137" s="179">
        <f>VALUE(LEFT(A137,LEN(A137)-3))</f>
        <v>222</v>
      </c>
      <c r="AE137" s="77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s3://rtdc.mdm.uploadarchive.raw/RTDC4041/ "%USERPROFILE%\AppData\Local\Temp\OnboardLogs"\RTDC4041\2017-10-23 --exclude "*" --recursive --include "*20171023*" &amp; "%USERPROFILE%\Documents\GitHub\mrs-test-scripts\Headless Mode &amp; Sideloading\WalkAndUnGZ.bat" "%USERPROFILE%\AppData\Local\Temp\OnboardLogs"\RTDC4041\2017-10-23 &amp; aws s3 cp s3://rtdc.mdm.uploadarchive.raw/RTDC4041/ "%USERPROFILE%\AppData\Local\Temp\OnboardLogs"\RTDC4041\2017-10-24 --exclude "*" --recursive --include "*20171024*" &amp; "%USERPROFILE%\Documents\GitHub\mrs-test-scripts\Headless Mode &amp; Sideloading\WalkAndUnGZ.bat" "%USERPROFILE%\AppData\Local\Temp\OnboardLogs"\RTDC4041\2017-10-24</v>
      </c>
      <c r="AF137" s="74" t="str">
        <f>astrogrep_path&amp;" /e /r /s /spath="&amp;search_path&amp;" /stypes=""app*"&amp;B137&amp;"*"&amp;TEXT(I137-utc_offset/24,"YYYYMMDD")&amp;"*"" /stext="" "&amp;TEXT(I137-utc_offset/24,"HH")&amp;search_regexp&amp;""""</f>
        <v>"C:\Program Files (x86)\AstroGrep\AstroGrep.exe" /e /r /s /spath="%USERPROFILE%\AppData\Local\Temp\OnboardLogs" /stypes="app*4041*20171024*" /stext=" 02:.+((SYSTEM_STATE.+slice.+state.+changed )|(ment ac)|(multiple cpu faults)|(system.+state.+changed )|(\[timeout)|(PRM\|1\|D)|(kpr)|(kdp)|(train st.+moving)|(\|lc)|(penalty))"</v>
      </c>
      <c r="AG137" s="182" t="str">
        <f>DetSubdiv(A137)</f>
        <v>EC</v>
      </c>
      <c r="AH137" s="78" t="str">
        <f t="shared" si="10"/>
        <v>"%USERPROFILE%\Documents\GitHub\eaglep3\Utilities\RefineRTDCRunTimes.py" --tripid 222-23 --locoid 4041 --swversion DE.1.0.9.0 --startMP 204:232989 --initTime 2017-10-23T19:37:29 --startdatetime 2017-10-23T19:57:12 --delay 74 --endMP 204:127 --enddatetime 2017-10-23T20:33:44 --enforcementcount 0 &gt;&gt;%USERPROFILE%\Documents\GitHub\eaglep3-reporting\EC\2017-10-23-refined-times.txt</v>
      </c>
      <c r="AI137" s="96" t="str">
        <f t="shared" si="11"/>
        <v>echo {"issue":{"subject":"","project_id":79,"tracker_id":40,"status_id":1,"priority_id":2,"assigned_to_id":338,"start_date":"2017-10-23","description":"","custom_fields":[{"id":1,"name":"Subdivision","value":"EC"},{"id":4,"name":"Milepost","value":"0.0127"},{"id":17,"name":"Train ID","value":"222-23"},{"id":16,"name":"Locomotive ID","value":"4041"},{"id":130,"name":"Impact","value":""},{"id":150,"name":"Time of Event (Mountain Time)","value":"20:33:44"},{"id":151,"name":"Denver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7" s="47"/>
      <c r="AL137" s="47"/>
      <c r="AM137" s="142" t="str">
        <f t="shared" si="12"/>
        <v>start /low /b %USERPROFILE%\Documents\GitHub\eaglep3\Utilities\DownloadLogsFromS3.py --loco 4041 --day 2017-10-23</v>
      </c>
      <c r="AN137" s="151" t="str">
        <f t="shared" si="13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02:33:44"},{"id":29,"name":"Sharepoint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168" t="str">
        <f t="shared" si="14"/>
        <v>https://d0f6bd738d7f1b3e5a7ca70fe4ff75f0.us-east-1.aws.found.io/app/kibana#/discover/Steve-Slow-Train-Analysis-(2080s-and-2083s)?_g=(refreshInterval:(display:Off,pause:!f,section:0,value:0),time:(from:'2017-10-23T18:37:29-0600',mode:absolute,to:'2017-10-23T21:33:44-0600'))&amp;_a=(columns:!('Message%20ID',Summary),filters:!(),index:'emp_*',interval:auto,query:(query_string:(analyze_wildcard:!t,query:'%22rtdc.l.rtdc.4041%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3">
      <c r="A138" s="32" t="s">
        <v>860</v>
      </c>
      <c r="B138" s="7">
        <v>4046</v>
      </c>
      <c r="C138" s="21" t="s">
        <v>194</v>
      </c>
      <c r="D138" s="21" t="s">
        <v>404</v>
      </c>
      <c r="E138" s="13">
        <v>43031.810613425929</v>
      </c>
      <c r="F138" s="13">
        <v>43031.812708333331</v>
      </c>
      <c r="G138" s="7">
        <v>67</v>
      </c>
      <c r="H138" s="21" t="s">
        <v>462</v>
      </c>
      <c r="I138" s="13">
        <v>43031.837037037039</v>
      </c>
      <c r="J138" s="7">
        <v>0</v>
      </c>
      <c r="K138" s="89" t="str">
        <f>IF(ISEVEN(B138),(B138-1)&amp;"/"&amp;B138,B138&amp;"/"&amp;(B138+1))</f>
        <v>4045/4046</v>
      </c>
      <c r="L138" s="185" t="str">
        <f>VLOOKUP(A138,'Trips&amp;Operators'!$C$1:$G$99911,5,FALSE)</f>
        <v>LOZA FIDEL</v>
      </c>
      <c r="M138" s="6">
        <f>I138-F138</f>
        <v>2.4328703708306421E-2</v>
      </c>
      <c r="N138" s="7">
        <f>24*60*SUM($M138:$M138)</f>
        <v>35.033333339961246</v>
      </c>
      <c r="O138" s="7"/>
      <c r="P138" s="7"/>
      <c r="Q138" s="22"/>
      <c r="R138" s="174"/>
      <c r="S138" s="221">
        <f>1/IF(AG138="EC",12,1)*SUM(U138:U138)</f>
        <v>1</v>
      </c>
      <c r="T138" s="174" t="str">
        <f>IF(ISEVEN(LEFT(AD138,4)),"Southbound","NorthBound")</f>
        <v>NorthBound</v>
      </c>
      <c r="U138" s="198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16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2017-10-23T18:27:17-0600',mode:absolute,to:'2017-10-23T21:05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38" s="204" t="str">
        <f>IF(AA138&lt;VLOOKUP(AG138,Variables!$AC$3:$AD$8,2,FALSE),"Y","N")</f>
        <v>N</v>
      </c>
      <c r="X138" s="204">
        <f>VALUE(LEFT(AD138,4))-VALUE(LEFT(AD137,4))</f>
        <v>1</v>
      </c>
      <c r="Y138" s="204">
        <f>RIGHT(D138,LEN(D138)-4)/10000</f>
        <v>4.6199999999999998E-2</v>
      </c>
      <c r="Z138" s="204">
        <f>RIGHT(H138,LEN(H138)-4)/10000</f>
        <v>23.331700000000001</v>
      </c>
      <c r="AA138" s="204">
        <f>ABS(Z138-Y138)</f>
        <v>23.285500000000003</v>
      </c>
      <c r="AB138" s="54" t="e">
        <f>VLOOKUP(A138,Enforcements!$C$7:$K$11,8,0)</f>
        <v>#N/A</v>
      </c>
      <c r="AC138" s="51" t="e">
        <f>VLOOKUP(A138,Enforcements!$C$7:$E$11,3,0)</f>
        <v>#N/A</v>
      </c>
      <c r="AD138" s="179">
        <f>VALUE(LEFT(A138,LEN(A138)-3))</f>
        <v>223</v>
      </c>
      <c r="AE138" s="77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s3://rtdc.mdm.uploadarchive.raw/RTDC4046/ "%USERPROFILE%\AppData\Local\Temp\OnboardLogs"\RTDC4046\2017-10-23 --exclude "*" --recursive --include "*20171023*" &amp; "%USERPROFILE%\Documents\GitHub\mrs-test-scripts\Headless Mode &amp; Sideloading\WalkAndUnGZ.bat" "%USERPROFILE%\AppData\Local\Temp\OnboardLogs"\RTDC4046\2017-10-23 &amp; aws s3 cp s3://rtdc.mdm.uploadarchive.raw/RTDC4046/ "%USERPROFILE%\AppData\Local\Temp\OnboardLogs"\RTDC4046\2017-10-24 --exclude "*" --recursive --include "*20171024*" &amp; "%USERPROFILE%\Documents\GitHub\mrs-test-scripts\Headless Mode &amp; Sideloading\WalkAndUnGZ.bat" "%USERPROFILE%\AppData\Local\Temp\OnboardLogs"\RTDC4046\2017-10-24</v>
      </c>
      <c r="AF138" s="74" t="str">
        <f>astrogrep_path&amp;" /e /r /s /spath="&amp;search_path&amp;" /stypes=""app*"&amp;B138&amp;"*"&amp;TEXT(I138-utc_offset/24,"YYYYMMDD")&amp;"*"" /stext="" "&amp;TEXT(I138-utc_offset/24,"HH")&amp;search_regexp&amp;""""</f>
        <v>"C:\Program Files (x86)\AstroGrep\AstroGrep.exe" /e /r /s /spath="%USERPROFILE%\AppData\Local\Temp\OnboardLogs" /stypes="app*4046*20171024*" /stext=" 02:.+((SYSTEM_STATE.+slice.+state.+changed )|(ment ac)|(multiple cpu faults)|(system.+state.+changed )|(\[timeout)|(PRM\|1\|D)|(kpr)|(kdp)|(train st.+moving)|(\|lc)|(penalty))"</v>
      </c>
      <c r="AG138" s="182" t="str">
        <f>DetSubdiv(A138)</f>
        <v>EC</v>
      </c>
      <c r="AH138" s="78" t="str">
        <f t="shared" si="10"/>
        <v>"%USERPROFILE%\Documents\GitHub\eaglep3\Utilities\RefineRTDCRunTimes.py" --tripid 223-23 --locoid 4046 --swversion DE.1.0.9.0 --startMP 204:462 --initTime 2017-10-23T19:27:17 --startdatetime 2017-10-23T19:30:18 --delay 67 --endMP 204:233317 --enddatetime 2017-10-23T20:05:20 --enforcementcount 0 &gt;&gt;%USERPROFILE%\Documents\GitHub\eaglep3-reporting\EC\2017-10-23-refined-times.txt</v>
      </c>
      <c r="AI138" s="96" t="str">
        <f t="shared" si="11"/>
        <v>echo {"issue":{"subject":"","project_id":79,"tracker_id":40,"status_id":1,"priority_id":2,"assigned_to_id":338,"start_date":"2017-10-23","description":"","custom_fields":[{"id":1,"name":"Subdivision","value":"EC"},{"id":4,"name":"Milepost","value":"23.3317"},{"id":17,"name":"Train ID","value":"223-23"},{"id":16,"name":"Locomotive ID","value":"4046"},{"id":130,"name":"Impact","value":""},{"id":150,"name":"Time of Event (Mountain Time)","value":"20:05:20"},{"id":151,"name":"Denver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8" s="47"/>
      <c r="AL138" s="47"/>
      <c r="AM138" s="142" t="str">
        <f t="shared" si="12"/>
        <v>start /low /b %USERPROFILE%\Documents\GitHub\eaglep3\Utilities\DownloadLogsFromS3.py --loco 4046 --day 2017-10-23</v>
      </c>
      <c r="AN138" s="151" t="str">
        <f t="shared" si="13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02:05:20"},{"id":29,"name":"Sharepoint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168" t="str">
        <f t="shared" si="14"/>
        <v>https://d0f6bd738d7f1b3e5a7ca70fe4ff75f0.us-east-1.aws.found.io/app/kibana#/discover/Steve-Slow-Train-Analysis-(2080s-and-2083s)?_g=(refreshInterval:(display:Off,pause:!f,section:0,value:0),time:(from:'2017-10-23T18:27:17-0600',mode:absolute,to:'2017-10-23T21:05:20-0600'))&amp;_a=(columns:!('Message%20ID',Summary),filters:!(),index:'emp_*',interval:auto,query:(query_string:(analyze_wildcard:!t,query:'%22rtdc.l.rtdc.4046%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3">
      <c r="A139" s="32" t="s">
        <v>867</v>
      </c>
      <c r="B139" s="7">
        <v>4045</v>
      </c>
      <c r="C139" s="21" t="s">
        <v>194</v>
      </c>
      <c r="D139" s="21" t="s">
        <v>943</v>
      </c>
      <c r="E139" s="13">
        <v>43031.847500000003</v>
      </c>
      <c r="F139" s="13">
        <v>43031.852314814816</v>
      </c>
      <c r="G139" s="7">
        <v>70</v>
      </c>
      <c r="H139" s="21" t="s">
        <v>363</v>
      </c>
      <c r="I139" s="13">
        <v>43031.877916666665</v>
      </c>
      <c r="J139" s="7">
        <v>0</v>
      </c>
      <c r="K139" s="89" t="str">
        <f>IF(ISEVEN(B139),(B139-1)&amp;"/"&amp;B139,B139&amp;"/"&amp;(B139+1))</f>
        <v>4045/4046</v>
      </c>
      <c r="L139" s="185" t="str">
        <f>VLOOKUP(A139,'Trips&amp;Operators'!$C$1:$G$99911,5,FALSE)</f>
        <v>LOZA FIDEL</v>
      </c>
      <c r="M139" s="6">
        <f>I139-F139</f>
        <v>2.5601851848477963E-2</v>
      </c>
      <c r="N139" s="7">
        <f>24*60*SUM($M139:$M139)</f>
        <v>36.866666661808267</v>
      </c>
      <c r="O139" s="7"/>
      <c r="P139" s="7"/>
      <c r="Q139" s="22"/>
      <c r="R139" s="174"/>
      <c r="S139" s="221">
        <f>1/IF(AG139="EC",12,1)*SUM(U139:U139)</f>
        <v>1</v>
      </c>
      <c r="T139" s="174" t="str">
        <f>IF(ISEVEN(LEFT(AD139,4)),"Southbound","NorthBound")</f>
        <v>Southbound</v>
      </c>
      <c r="U139" s="198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16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-10-23T19:20:24-0600',mode:absolute,to:'2017-10-23T22:04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39" s="204" t="str">
        <f>IF(AA139&lt;VLOOKUP(AG139,Variables!$AC$3:$AD$8,2,FALSE),"Y","N")</f>
        <v>N</v>
      </c>
      <c r="X139" s="204">
        <f>VALUE(LEFT(AD139,4))-VALUE(LEFT(AD138,4))</f>
        <v>1</v>
      </c>
      <c r="Y139" s="204">
        <f>RIGHT(D139,LEN(D139)-4)/10000</f>
        <v>23.3017</v>
      </c>
      <c r="Z139" s="204">
        <f>RIGHT(H139,LEN(H139)-4)/10000</f>
        <v>1.5800000000000002E-2</v>
      </c>
      <c r="AA139" s="204">
        <f>ABS(Z139-Y139)</f>
        <v>23.285900000000002</v>
      </c>
      <c r="AB139" s="54" t="e">
        <f>VLOOKUP(A139,Enforcements!$C$7:$K$11,8,0)</f>
        <v>#N/A</v>
      </c>
      <c r="AC139" s="51" t="e">
        <f>VLOOKUP(A139,Enforcements!$C$7:$E$11,3,0)</f>
        <v>#N/A</v>
      </c>
      <c r="AD139" s="179">
        <f>VALUE(LEFT(A139,LEN(A139)-3))</f>
        <v>224</v>
      </c>
      <c r="AE139" s="77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s3://rtdc.mdm.uploadarchive.raw/RTDC4045/ "%USERPROFILE%\AppData\Local\Temp\OnboardLogs"\RTDC4045\2017-10-23 --exclude "*" --recursive --include "*20171023*" &amp; "%USERPROFILE%\Documents\GitHub\mrs-test-scripts\Headless Mode &amp; Sideloading\WalkAndUnGZ.bat" "%USERPROFILE%\AppData\Local\Temp\OnboardLogs"\RTDC4045\2017-10-23 &amp; aws s3 cp s3://rtdc.mdm.uploadarchive.raw/RTDC4045/ "%USERPROFILE%\AppData\Local\Temp\OnboardLogs"\RTDC4045\2017-10-24 --exclude "*" --recursive --include "*20171024*" &amp; "%USERPROFILE%\Documents\GitHub\mrs-test-scripts\Headless Mode &amp; Sideloading\WalkAndUnGZ.bat" "%USERPROFILE%\AppData\Local\Temp\OnboardLogs"\RTDC4045\2017-10-24</v>
      </c>
      <c r="AF139" s="74" t="str">
        <f>astrogrep_path&amp;" /e /r /s /spath="&amp;search_path&amp;" /stypes=""app*"&amp;B139&amp;"*"&amp;TEXT(I139-utc_offset/24,"YYYYMMDD")&amp;"*"" /stext="" "&amp;TEXT(I139-utc_offset/24,"HH")&amp;search_regexp&amp;""""</f>
        <v>"C:\Program Files (x86)\AstroGrep\AstroGrep.exe" /e /r /s /spath="%USERPROFILE%\AppData\Local\Temp\OnboardLogs" /stypes="app*4045*20171024*" /stext=" 03:.+((SYSTEM_STATE.+slice.+state.+changed )|(ment ac)|(multiple cpu faults)|(system.+state.+changed )|(\[timeout)|(PRM\|1\|D)|(kpr)|(kdp)|(train st.+moving)|(\|lc)|(penalty))"</v>
      </c>
      <c r="AG139" s="182" t="str">
        <f>DetSubdiv(A139)</f>
        <v>EC</v>
      </c>
      <c r="AH139" s="78" t="str">
        <f t="shared" si="10"/>
        <v>"%USERPROFILE%\Documents\GitHub\eaglep3\Utilities\RefineRTDCRunTimes.py" --tripid 224-23 --locoid 4045 --swversion DE.1.0.9.0 --startMP 204:233017 --initTime 2017-10-23T20:20:24 --startdatetime 2017-10-23T20:27:20 --delay 70 --endMP 204:158 --enddatetime 2017-10-23T21:04:12 --enforcementcount 0 &gt;&gt;%USERPROFILE%\Documents\GitHub\eaglep3-reporting\EC\2017-10-23-refined-times.txt</v>
      </c>
      <c r="AI139" s="96" t="str">
        <f t="shared" si="11"/>
        <v>echo {"issue":{"subject":"","project_id":79,"tracker_id":40,"status_id":1,"priority_id":2,"assigned_to_id":338,"start_date":"2017-10-23","description":"","custom_fields":[{"id":1,"name":"Subdivision","value":"EC"},{"id":4,"name":"Milepost","value":"0.0158"},{"id":17,"name":"Train ID","value":"224-23"},{"id":16,"name":"Locomotive ID","value":"4045"},{"id":130,"name":"Impact","value":""},{"id":150,"name":"Time of Event (Mountain Time)","value":"21:04:12"},{"id":151,"name":"Denver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9" s="47"/>
      <c r="AL139" s="47"/>
      <c r="AM139" s="142" t="str">
        <f t="shared" si="12"/>
        <v>start /low /b %USERPROFILE%\Documents\GitHub\eaglep3\Utilities\DownloadLogsFromS3.py --loco 4045 --day 2017-10-23</v>
      </c>
      <c r="AN139" s="151" t="str">
        <f t="shared" si="13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03:04:12"},{"id":29,"name":"Sharepoint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168" t="str">
        <f t="shared" si="14"/>
        <v>https://d0f6bd738d7f1b3e5a7ca70fe4ff75f0.us-east-1.aws.found.io/app/kibana#/discover/Steve-Slow-Train-Analysis-(2080s-and-2083s)?_g=(refreshInterval:(display:Off,pause:!f,section:0,value:0),time:(from:'2017-10-23T19:20:24-0600',mode:absolute,to:'2017-10-23T22:04:12-0600'))&amp;_a=(columns:!('Message%20ID',Summary),filters:!(),index:'emp_*',interval:auto,query:(query_string:(analyze_wildcard:!t,query:'%22rtdc.l.rtdc.4045%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3">
      <c r="A140" s="32" t="s">
        <v>864</v>
      </c>
      <c r="B140" s="7">
        <v>4050</v>
      </c>
      <c r="C140" s="21" t="s">
        <v>194</v>
      </c>
      <c r="D140" s="21" t="s">
        <v>461</v>
      </c>
      <c r="E140" s="13">
        <v>43031.830324074072</v>
      </c>
      <c r="F140" s="13">
        <v>43031.833749999998</v>
      </c>
      <c r="G140" s="7">
        <v>71</v>
      </c>
      <c r="H140" s="21" t="s">
        <v>393</v>
      </c>
      <c r="I140" s="13">
        <v>43031.858263888891</v>
      </c>
      <c r="J140" s="7">
        <v>0</v>
      </c>
      <c r="K140" s="89" t="str">
        <f>IF(ISEVEN(B140),(B140-1)&amp;"/"&amp;B140,B140&amp;"/"&amp;(B140+1))</f>
        <v>4049/4050</v>
      </c>
      <c r="L140" s="185" t="str">
        <f>VLOOKUP(A140,'Trips&amp;Operators'!$C$1:$G$99911,5,FALSE)</f>
        <v>DUNCAN SHEILA</v>
      </c>
      <c r="M140" s="6">
        <f>I140-F140</f>
        <v>2.4513888893125113E-2</v>
      </c>
      <c r="N140" s="7">
        <f>24*60*SUM($M140:$M140)</f>
        <v>35.300000006100163</v>
      </c>
      <c r="O140" s="7"/>
      <c r="P140" s="7"/>
      <c r="Q140" s="22"/>
      <c r="R140" s="174"/>
      <c r="S140" s="221">
        <f>1/IF(AG140="EC",12,1)*SUM(U140:U140)</f>
        <v>1</v>
      </c>
      <c r="T140" s="174" t="str">
        <f>IF(ISEVEN(LEFT(AD140,4)),"Southbound","NorthBound")</f>
        <v>NorthBound</v>
      </c>
      <c r="U140" s="198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16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-10-23T18:55:40-0600',mode:absolute,to:'2017-10-23T21:35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40" s="204" t="str">
        <f>IF(AA140&lt;VLOOKUP(AG140,Variables!$AC$3:$AD$8,2,FALSE),"Y","N")</f>
        <v>N</v>
      </c>
      <c r="X140" s="204">
        <f>VALUE(LEFT(AD140,4))-VALUE(LEFT(AD139,4))</f>
        <v>1</v>
      </c>
      <c r="Y140" s="204">
        <f>RIGHT(D140,LEN(D140)-4)/10000</f>
        <v>4.6600000000000003E-2</v>
      </c>
      <c r="Z140" s="204">
        <f>RIGHT(H140,LEN(H140)-4)/10000</f>
        <v>23.331399999999999</v>
      </c>
      <c r="AA140" s="204">
        <f>ABS(Z140-Y140)</f>
        <v>23.284799999999997</v>
      </c>
      <c r="AB140" s="54" t="e">
        <f>VLOOKUP(A140,Enforcements!$C$7:$K$11,8,0)</f>
        <v>#N/A</v>
      </c>
      <c r="AC140" s="51" t="e">
        <f>VLOOKUP(A140,Enforcements!$C$7:$E$11,3,0)</f>
        <v>#N/A</v>
      </c>
      <c r="AD140" s="179">
        <f>VALUE(LEFT(A140,LEN(A140)-3))</f>
        <v>225</v>
      </c>
      <c r="AE140" s="77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s3://rtdc.mdm.uploadarchive.raw/RTDC4050/ "%USERPROFILE%\AppData\Local\Temp\OnboardLogs"\RTDC4050\2017-10-23 --exclude "*" --recursive --include "*20171023*" &amp; "%USERPROFILE%\Documents\GitHub\mrs-test-scripts\Headless Mode &amp; Sideloading\WalkAndUnGZ.bat" "%USERPROFILE%\AppData\Local\Temp\OnboardLogs"\RTDC4050\2017-10-23 &amp; aws s3 cp s3://rtdc.mdm.uploadarchive.raw/RTDC4050/ "%USERPROFILE%\AppData\Local\Temp\OnboardLogs"\RTDC4050\2017-10-24 --exclude "*" --recursive --include "*20171024*" &amp; "%USERPROFILE%\Documents\GitHub\mrs-test-scripts\Headless Mode &amp; Sideloading\WalkAndUnGZ.bat" "%USERPROFILE%\AppData\Local\Temp\OnboardLogs"\RTDC4050\2017-10-24</v>
      </c>
      <c r="AF140" s="74" t="str">
        <f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/stypes="app*4050*20171024*" /stext=" 02:.+((SYSTEM_STATE.+slice.+state.+changed )|(ment ac)|(multiple cpu faults)|(system.+state.+changed )|(\[timeout)|(PRM\|1\|D)|(kpr)|(kdp)|(train st.+moving)|(\|lc)|(penalty))"</v>
      </c>
      <c r="AG140" s="182" t="str">
        <f>DetSubdiv(A140)</f>
        <v>EC</v>
      </c>
      <c r="AH140" s="78" t="str">
        <f t="shared" si="10"/>
        <v>"%USERPROFILE%\Documents\GitHub\eaglep3\Utilities\RefineRTDCRunTimes.py" --tripid 225-23 --locoid 4050 --swversion DE.1.0.9.0 --startMP 204:466 --initTime 2017-10-23T19:55:40 --startdatetime 2017-10-23T20:00:36 --delay 71 --endMP 204:233314 --enddatetime 2017-10-23T20:35:54 --enforcementcount 0 &gt;&gt;%USERPROFILE%\Documents\GitHub\eaglep3-reporting\EC\2017-10-23-refined-times.txt</v>
      </c>
      <c r="AI140" s="96" t="str">
        <f t="shared" si="11"/>
        <v>echo {"issue":{"subject":"","project_id":79,"tracker_id":40,"status_id":1,"priority_id":2,"assigned_to_id":338,"start_date":"2017-10-23","description":"","custom_fields":[{"id":1,"name":"Subdivision","value":"EC"},{"id":4,"name":"Milepost","value":"23.3314"},{"id":17,"name":"Train ID","value":"225-23"},{"id":16,"name":"Locomotive ID","value":"4050"},{"id":130,"name":"Impact","value":""},{"id":150,"name":"Time of Event (Mountain Time)","value":"20:35:54"},{"id":151,"name":"Denver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0" s="47"/>
      <c r="AL140" s="47"/>
      <c r="AM140" s="142" t="str">
        <f t="shared" si="12"/>
        <v>start /low /b %USERPROFILE%\Documents\GitHub\eaglep3\Utilities\DownloadLogsFromS3.py --loco 4050 --day 2017-10-23</v>
      </c>
      <c r="AN140" s="151" t="str">
        <f t="shared" si="13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02:35:54"},{"id":29,"name":"Sharepoint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168" t="str">
        <f t="shared" si="14"/>
        <v>https://d0f6bd738d7f1b3e5a7ca70fe4ff75f0.us-east-1.aws.found.io/app/kibana#/discover/Steve-Slow-Train-Analysis-(2080s-and-2083s)?_g=(refreshInterval:(display:Off,pause:!f,section:0,value:0),time:(from:'2017-10-23T18:55:40-0600',mode:absolute,to:'2017-10-23T21:35:54-0600'))&amp;_a=(columns:!('Message%20ID',Summary),filters:!(),index:'emp_*',interval:auto,query:(query_string:(analyze_wildcard:!t,query:'%22rtdc.l.rtdc.4050%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3">
      <c r="A141" s="32" t="s">
        <v>870</v>
      </c>
      <c r="B141" s="7">
        <v>4049</v>
      </c>
      <c r="C141" s="21" t="s">
        <v>194</v>
      </c>
      <c r="D141" s="21" t="s">
        <v>424</v>
      </c>
      <c r="E141" s="13">
        <v>43031.867268518516</v>
      </c>
      <c r="F141" s="13">
        <v>43031.873391203706</v>
      </c>
      <c r="G141" s="7">
        <v>82</v>
      </c>
      <c r="H141" s="21" t="s">
        <v>951</v>
      </c>
      <c r="I141" s="13">
        <v>43031.899259259262</v>
      </c>
      <c r="J141" s="7">
        <v>0</v>
      </c>
      <c r="K141" s="89" t="str">
        <f>IF(ISEVEN(B141),(B141-1)&amp;"/"&amp;B141,B141&amp;"/"&amp;(B141+1))</f>
        <v>4049/4050</v>
      </c>
      <c r="L141" s="185" t="str">
        <f>VLOOKUP(A141,'Trips&amp;Operators'!$C$1:$G$99911,5,FALSE)</f>
        <v>DUNCAN SHEILA</v>
      </c>
      <c r="M141" s="6">
        <f>I141-F141</f>
        <v>2.5868055556202307E-2</v>
      </c>
      <c r="N141" s="7">
        <f>24*60*SUM($M141:$M141)</f>
        <v>37.250000000931323</v>
      </c>
      <c r="O141" s="7"/>
      <c r="P141" s="7"/>
      <c r="Q141" s="22"/>
      <c r="R141" s="174"/>
      <c r="S141" s="221">
        <f>1/IF(AG141="EC",12,1)*SUM(U141:U141)</f>
        <v>1</v>
      </c>
      <c r="T141" s="174" t="str">
        <f>IF(ISEVEN(LEFT(AD141,4)),"Southbound","NorthBound")</f>
        <v>Southbound</v>
      </c>
      <c r="U141" s="198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16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-10-23T19:48:52-0600',mode:absolute,to:'2017-10-23T22:34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41" s="204" t="str">
        <f>IF(AA141&lt;VLOOKUP(AG141,Variables!$AC$3:$AD$8,2,FALSE),"Y","N")</f>
        <v>N</v>
      </c>
      <c r="X141" s="204">
        <f>VALUE(LEFT(AD141,4))-VALUE(LEFT(AD140,4))</f>
        <v>1</v>
      </c>
      <c r="Y141" s="204">
        <f>RIGHT(D141,LEN(D141)-4)/10000</f>
        <v>23.299600000000002</v>
      </c>
      <c r="Z141" s="204">
        <f>RIGHT(H141,LEN(H141)-4)/10000</f>
        <v>0.17879999999999999</v>
      </c>
      <c r="AA141" s="204">
        <f>ABS(Z141-Y141)</f>
        <v>23.120800000000003</v>
      </c>
      <c r="AB141" s="54" t="e">
        <f>VLOOKUP(A141,Enforcements!$C$7:$K$11,8,0)</f>
        <v>#N/A</v>
      </c>
      <c r="AC141" s="51" t="e">
        <f>VLOOKUP(A141,Enforcements!$C$7:$E$11,3,0)</f>
        <v>#N/A</v>
      </c>
      <c r="AD141" s="179">
        <f>VALUE(LEFT(A141,LEN(A141)-3))</f>
        <v>226</v>
      </c>
      <c r="AE141" s="77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s3://rtdc.mdm.uploadarchive.raw/RTDC4049/ "%USERPROFILE%\AppData\Local\Temp\OnboardLogs"\RTDC4049\2017-10-23 --exclude "*" --recursive --include "*20171023*" &amp; "%USERPROFILE%\Documents\GitHub\mrs-test-scripts\Headless Mode &amp; Sideloading\WalkAndUnGZ.bat" "%USERPROFILE%\AppData\Local\Temp\OnboardLogs"\RTDC4049\2017-10-23 &amp; aws s3 cp s3://rtdc.mdm.uploadarchive.raw/RTDC4049/ "%USERPROFILE%\AppData\Local\Temp\OnboardLogs"\RTDC4049\2017-10-24 --exclude "*" --recursive --include "*20171024*" &amp; "%USERPROFILE%\Documents\GitHub\mrs-test-scripts\Headless Mode &amp; Sideloading\WalkAndUnGZ.bat" "%USERPROFILE%\AppData\Local\Temp\OnboardLogs"\RTDC4049\2017-10-24</v>
      </c>
      <c r="AF141" s="74" t="str">
        <f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/stypes="app*4049*20171024*" /stext=" 03:.+((SYSTEM_STATE.+slice.+state.+changed )|(ment ac)|(multiple cpu faults)|(system.+state.+changed )|(\[timeout)|(PRM\|1\|D)|(kpr)|(kdp)|(train st.+moving)|(\|lc)|(penalty))"</v>
      </c>
      <c r="AG141" s="182" t="str">
        <f>DetSubdiv(A141)</f>
        <v>EC</v>
      </c>
      <c r="AH141" s="78" t="str">
        <f t="shared" si="10"/>
        <v>"%USERPROFILE%\Documents\GitHub\eaglep3\Utilities\RefineRTDCRunTimes.py" --tripid 226-23 --locoid 4049 --swversion DE.1.0.9.0 --startMP 204:232996 --initTime 2017-10-23T20:48:52 --startdatetime 2017-10-23T20:57:41 --delay 82 --endMP 204:1788 --enddatetime 2017-10-23T21:34:56 --enforcementcount 0 &gt;&gt;%USERPROFILE%\Documents\GitHub\eaglep3-reporting\EC\2017-10-23-refined-times.txt</v>
      </c>
      <c r="AI141" s="96" t="str">
        <f t="shared" si="11"/>
        <v>echo {"issue":{"subject":"","project_id":79,"tracker_id":40,"status_id":1,"priority_id":2,"assigned_to_id":338,"start_date":"2017-10-23","description":"","custom_fields":[{"id":1,"name":"Subdivision","value":"EC"},{"id":4,"name":"Milepost","value":"0.1788"},{"id":17,"name":"Train ID","value":"226-23"},{"id":16,"name":"Locomotive ID","value":"4049"},{"id":130,"name":"Impact","value":""},{"id":150,"name":"Time of Event (Mountain Time)","value":"21:34:56"},{"id":151,"name":"Denver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1" s="47"/>
      <c r="AL141" s="47"/>
      <c r="AM141" s="142" t="str">
        <f t="shared" si="12"/>
        <v>start /low /b %USERPROFILE%\Documents\GitHub\eaglep3\Utilities\DownloadLogsFromS3.py --loco 4049 --day 2017-10-23</v>
      </c>
      <c r="AN141" s="151" t="str">
        <f t="shared" si="13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03:34:56"},{"id":29,"name":"Sharepoint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168" t="str">
        <f t="shared" si="14"/>
        <v>https://d0f6bd738d7f1b3e5a7ca70fe4ff75f0.us-east-1.aws.found.io/app/kibana#/discover/Steve-Slow-Train-Analysis-(2080s-and-2083s)?_g=(refreshInterval:(display:Off,pause:!f,section:0,value:0),time:(from:'2017-10-23T19:48:52-0600',mode:absolute,to:'2017-10-23T22:34:56-0600'))&amp;_a=(columns:!('Message%20ID',Summary),filters:!(),index:'emp_*',interval:auto,query:(query_string:(analyze_wildcard:!t,query:'%22rtdc.l.rtdc.4049%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3">
      <c r="A142" s="32" t="s">
        <v>866</v>
      </c>
      <c r="B142" s="7">
        <v>4018</v>
      </c>
      <c r="C142" s="21" t="s">
        <v>194</v>
      </c>
      <c r="D142" s="21" t="s">
        <v>425</v>
      </c>
      <c r="E142" s="13">
        <v>43031.840300925927</v>
      </c>
      <c r="F142" s="13">
        <v>43031.85434027778</v>
      </c>
      <c r="G142" s="7">
        <v>634</v>
      </c>
      <c r="H142" s="21" t="s">
        <v>915</v>
      </c>
      <c r="I142" s="13">
        <v>43031.880219907405</v>
      </c>
      <c r="J142" s="7">
        <v>0</v>
      </c>
      <c r="K142" s="89" t="str">
        <f>IF(ISEVEN(B142),(B142-1)&amp;"/"&amp;B142,B142&amp;"/"&amp;(B142+1))</f>
        <v>4017/4018</v>
      </c>
      <c r="L142" s="185" t="str">
        <f>VLOOKUP(A142,'Trips&amp;Operators'!$C$1:$G$99911,5,FALSE)</f>
        <v>WILLIAMS DONTE</v>
      </c>
      <c r="M142" s="6">
        <f>I142-F142</f>
        <v>2.5879629625706002E-2</v>
      </c>
      <c r="N142" s="7">
        <f>24*60*SUM($M142:$M142)</f>
        <v>37.266666661016643</v>
      </c>
      <c r="O142" s="7"/>
      <c r="P142" s="7"/>
      <c r="Q142" s="22"/>
      <c r="R142" s="174"/>
      <c r="S142" s="221">
        <f>1/IF(AG142="EC",12,1)*SUM(U142:U142)</f>
        <v>1</v>
      </c>
      <c r="T142" s="174" t="str">
        <f>IF(ISEVEN(LEFT(AD142,4)),"Southbound","NorthBound")</f>
        <v>NorthBound</v>
      </c>
      <c r="U142" s="198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16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-10-23T19:10:02-0600',mode:absolute,to:'2017-10-23T22:07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42" s="204" t="str">
        <f>IF(AA142&lt;VLOOKUP(AG142,Variables!$AC$3:$AD$8,2,FALSE),"Y","N")</f>
        <v>N</v>
      </c>
      <c r="X142" s="204">
        <f>VALUE(LEFT(AD142,4))-VALUE(LEFT(AD141,4))</f>
        <v>1</v>
      </c>
      <c r="Y142" s="204">
        <f>RIGHT(D142,LEN(D142)-4)/10000</f>
        <v>4.6899999999999997E-2</v>
      </c>
      <c r="Z142" s="204">
        <f>RIGHT(H142,LEN(H142)-4)/10000</f>
        <v>23.331</v>
      </c>
      <c r="AA142" s="204">
        <f>ABS(Z142-Y142)</f>
        <v>23.284099999999999</v>
      </c>
      <c r="AB142" s="54" t="e">
        <f>VLOOKUP(A142,Enforcements!$C$7:$K$11,8,0)</f>
        <v>#N/A</v>
      </c>
      <c r="AC142" s="51" t="e">
        <f>VLOOKUP(A142,Enforcements!$C$7:$E$11,3,0)</f>
        <v>#N/A</v>
      </c>
      <c r="AD142" s="179">
        <f>VALUE(LEFT(A142,LEN(A142)-3))</f>
        <v>227</v>
      </c>
      <c r="AE142" s="77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s3://rtdc.mdm.uploadarchive.raw/RTDC4018/ "%USERPROFILE%\AppData\Local\Temp\OnboardLogs"\RTDC4018\2017-10-23 --exclude "*" --recursive --include "*20171023*" &amp; "%USERPROFILE%\Documents\GitHub\mrs-test-scripts\Headless Mode &amp; Sideloading\WalkAndUnGZ.bat" "%USERPROFILE%\AppData\Local\Temp\OnboardLogs"\RTDC4018\2017-10-23 &amp; aws s3 cp s3://rtdc.mdm.uploadarchive.raw/RTDC4018/ "%USERPROFILE%\AppData\Local\Temp\OnboardLogs"\RTDC4018\2017-10-24 --exclude "*" --recursive --include "*20171024*" &amp; "%USERPROFILE%\Documents\GitHub\mrs-test-scripts\Headless Mode &amp; Sideloading\WalkAndUnGZ.bat" "%USERPROFILE%\AppData\Local\Temp\OnboardLogs"\RTDC4018\2017-10-24</v>
      </c>
      <c r="AF142" s="74" t="str">
        <f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/stypes="app*4018*20171024*" /stext=" 03:.+((SYSTEM_STATE.+slice.+state.+changed )|(ment ac)|(multiple cpu faults)|(system.+state.+changed )|(\[timeout)|(PRM\|1\|D)|(kpr)|(kdp)|(train st.+moving)|(\|lc)|(penalty))"</v>
      </c>
      <c r="AG142" s="182" t="str">
        <f>DetSubdiv(A142)</f>
        <v>EC</v>
      </c>
      <c r="AH142" s="78" t="str">
        <f t="shared" si="10"/>
        <v>"%USERPROFILE%\Documents\GitHub\eaglep3\Utilities\RefineRTDCRunTimes.py" --tripid 227-23 --locoid 4018 --swversion DE.1.0.9.0 --startMP 204:469 --initTime 2017-10-23T20:10:02 --startdatetime 2017-10-23T20:30:15 --delay 634 --endMP 204:233310 --enddatetime 2017-10-23T21:07:31 --enforcementcount 0 &gt;&gt;%USERPROFILE%\Documents\GitHub\eaglep3-reporting\EC\2017-10-23-refined-times.txt</v>
      </c>
      <c r="AI142" s="96" t="str">
        <f t="shared" si="11"/>
        <v>echo {"issue":{"subject":"","project_id":79,"tracker_id":40,"status_id":1,"priority_id":2,"assigned_to_id":338,"start_date":"2017-10-23","description":"","custom_fields":[{"id":1,"name":"Subdivision","value":"EC"},{"id":4,"name":"Milepost","value":"23.331"},{"id":17,"name":"Train ID","value":"227-23"},{"id":16,"name":"Locomotive ID","value":"4018"},{"id":130,"name":"Impact","value":""},{"id":150,"name":"Time of Event (Mountain Time)","value":"21:07:31"},{"id":151,"name":"Denver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2" s="47"/>
      <c r="AL142" s="47"/>
      <c r="AM142" s="142" t="str">
        <f t="shared" si="12"/>
        <v>start /low /b %USERPROFILE%\Documents\GitHub\eaglep3\Utilities\DownloadLogsFromS3.py --loco 4018 --day 2017-10-23</v>
      </c>
      <c r="AN142" s="151" t="str">
        <f t="shared" si="13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03:07:31"},{"id":29,"name":"Sharepoint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168" t="str">
        <f t="shared" si="14"/>
        <v>https://d0f6bd738d7f1b3e5a7ca70fe4ff75f0.us-east-1.aws.found.io/app/kibana#/discover/Steve-Slow-Train-Analysis-(2080s-and-2083s)?_g=(refreshInterval:(display:Off,pause:!f,section:0,value:0),time:(from:'2017-10-23T19:10:02-0600',mode:absolute,to:'2017-10-23T22:07:31-0600'))&amp;_a=(columns:!('Message%20ID',Summary),filters:!(),index:'emp_*',interval:auto,query:(query_string:(analyze_wildcard:!t,query:'%22rtdc.l.rtdc.4018%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3">
      <c r="A143" s="32" t="s">
        <v>874</v>
      </c>
      <c r="B143" s="7">
        <v>4017</v>
      </c>
      <c r="C143" s="21" t="s">
        <v>194</v>
      </c>
      <c r="D143" s="21" t="s">
        <v>405</v>
      </c>
      <c r="E143" s="13">
        <v>43031.888645833336</v>
      </c>
      <c r="F143" s="13">
        <v>43031.893923611111</v>
      </c>
      <c r="G143" s="7">
        <v>105</v>
      </c>
      <c r="H143" s="21" t="s">
        <v>360</v>
      </c>
      <c r="I143" s="13">
        <v>43031.922152777777</v>
      </c>
      <c r="J143" s="7">
        <v>0</v>
      </c>
      <c r="K143" s="89" t="str">
        <f>IF(ISEVEN(B143),(B143-1)&amp;"/"&amp;B143,B143&amp;"/"&amp;(B143+1))</f>
        <v>4017/4018</v>
      </c>
      <c r="L143" s="185" t="str">
        <f>VLOOKUP(A143,'Trips&amp;Operators'!$C$1:$G$99911,5,FALSE)</f>
        <v>WILLIAMS DONTE</v>
      </c>
      <c r="M143" s="6">
        <f>I143-F143</f>
        <v>2.8229166666278616E-2</v>
      </c>
      <c r="N143" s="7">
        <f>24*60*SUM($M143:$M143)</f>
        <v>40.649999999441206</v>
      </c>
      <c r="O143" s="7"/>
      <c r="P143" s="7"/>
      <c r="Q143" s="22"/>
      <c r="R143" s="174"/>
      <c r="S143" s="221">
        <f>1/IF(AG143="EC",12,1)*SUM(U143:U143)</f>
        <v>1</v>
      </c>
      <c r="T143" s="174" t="str">
        <f>IF(ISEVEN(LEFT(AD143,4)),"Southbound","NorthBound")</f>
        <v>Southbound</v>
      </c>
      <c r="U143" s="198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16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-10-23T20:19:39-0600',mode:absolute,to:'2017-10-23T23:07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3" s="204" t="str">
        <f>IF(AA143&lt;VLOOKUP(AG143,Variables!$AC$3:$AD$8,2,FALSE),"Y","N")</f>
        <v>N</v>
      </c>
      <c r="X143" s="204">
        <f>VALUE(LEFT(AD143,4))-VALUE(LEFT(AD142,4))</f>
        <v>1</v>
      </c>
      <c r="Y143" s="204">
        <f>RIGHT(D143,LEN(D143)-4)/10000</f>
        <v>23.2989</v>
      </c>
      <c r="Z143" s="204">
        <f>RIGHT(H143,LEN(H143)-4)/10000</f>
        <v>1.61E-2</v>
      </c>
      <c r="AA143" s="204">
        <f>ABS(Z143-Y143)</f>
        <v>23.282799999999998</v>
      </c>
      <c r="AB143" s="54" t="e">
        <f>VLOOKUP(A143,Enforcements!$C$7:$K$11,8,0)</f>
        <v>#N/A</v>
      </c>
      <c r="AC143" s="51" t="e">
        <f>VLOOKUP(A143,Enforcements!$C$7:$E$11,3,0)</f>
        <v>#N/A</v>
      </c>
      <c r="AD143" s="179">
        <f>VALUE(LEFT(A143,LEN(A143)-3))</f>
        <v>228</v>
      </c>
      <c r="AE143" s="77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s3://rtdc.mdm.uploadarchive.raw/RTDC4017/ "%USERPROFILE%\AppData\Local\Temp\OnboardLogs"\RTDC4017\2017-10-23 --exclude "*" --recursive --include "*20171023*" &amp; "%USERPROFILE%\Documents\GitHub\mrs-test-scripts\Headless Mode &amp; Sideloading\WalkAndUnGZ.bat" "%USERPROFILE%\AppData\Local\Temp\OnboardLogs"\RTDC4017\2017-10-23 &amp; aws s3 cp s3://rtdc.mdm.uploadarchive.raw/RTDC4017/ "%USERPROFILE%\AppData\Local\Temp\OnboardLogs"\RTDC4017\2017-10-24 --exclude "*" --recursive --include "*20171024*" &amp; "%USERPROFILE%\Documents\GitHub\mrs-test-scripts\Headless Mode &amp; Sideloading\WalkAndUnGZ.bat" "%USERPROFILE%\AppData\Local\Temp\OnboardLogs"\RTDC4017\2017-10-24</v>
      </c>
      <c r="AF143" s="74" t="str">
        <f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/stypes="app*4017*20171024*" /stext=" 04:.+((SYSTEM_STATE.+slice.+state.+changed )|(ment ac)|(multiple cpu faults)|(system.+state.+changed )|(\[timeout)|(PRM\|1\|D)|(kpr)|(kdp)|(train st.+moving)|(\|lc)|(penalty))"</v>
      </c>
      <c r="AG143" s="182" t="str">
        <f>DetSubdiv(A143)</f>
        <v>EC</v>
      </c>
      <c r="AH143" s="78" t="str">
        <f t="shared" si="10"/>
        <v>"%USERPROFILE%\Documents\GitHub\eaglep3\Utilities\RefineRTDCRunTimes.py" --tripid 228-23 --locoid 4017 --swversion DE.1.0.9.0 --startMP 204:232989 --initTime 2017-10-23T21:19:39 --startdatetime 2017-10-23T21:27:15 --delay 105 --endMP 204:161 --enddatetime 2017-10-23T22:07:54 --enforcementcount 0 &gt;&gt;%USERPROFILE%\Documents\GitHub\eaglep3-reporting\EC\2017-10-23-refined-times.txt</v>
      </c>
      <c r="AI143" s="96" t="str">
        <f t="shared" si="11"/>
        <v>echo {"issue":{"subject":"","project_id":79,"tracker_id":40,"status_id":1,"priority_id":2,"assigned_to_id":338,"start_date":"2017-10-23","description":"","custom_fields":[{"id":1,"name":"Subdivision","value":"EC"},{"id":4,"name":"Milepost","value":"0.0161"},{"id":17,"name":"Train ID","value":"228-23"},{"id":16,"name":"Locomotive ID","value":"4017"},{"id":130,"name":"Impact","value":""},{"id":150,"name":"Time of Event (Mountain Time)","value":"22:07:54"},{"id":151,"name":"Denver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3" s="47"/>
      <c r="AL143" s="47"/>
      <c r="AM143" s="142" t="str">
        <f t="shared" si="12"/>
        <v>start /low /b %USERPROFILE%\Documents\GitHub\eaglep3\Utilities\DownloadLogsFromS3.py --loco 4017 --day 2017-10-23</v>
      </c>
      <c r="AN143" s="151" t="str">
        <f t="shared" si="13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04:07:54"},{"id":29,"name":"Sharepoint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168" t="str">
        <f t="shared" si="14"/>
        <v>https://d0f6bd738d7f1b3e5a7ca70fe4ff75f0.us-east-1.aws.found.io/app/kibana#/discover/Steve-Slow-Train-Analysis-(2080s-and-2083s)?_g=(refreshInterval:(display:Off,pause:!f,section:0,value:0),time:(from:'2017-10-23T20:19:39-0600',mode:absolute,to:'2017-10-23T23:07:54-0600'))&amp;_a=(columns:!('Message%20ID',Summary),filters:!(),index:'emp_*',interval:auto,query:(query_string:(analyze_wildcard:!t,query:'%22rtdc.l.rtdc.4017%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3">
      <c r="A144" s="32" t="s">
        <v>869</v>
      </c>
      <c r="B144" s="7">
        <v>4042</v>
      </c>
      <c r="C144" s="21" t="s">
        <v>194</v>
      </c>
      <c r="D144" s="21" t="s">
        <v>404</v>
      </c>
      <c r="E144" s="13">
        <v>43031.857812499999</v>
      </c>
      <c r="F144" s="13">
        <v>43031.875162037039</v>
      </c>
      <c r="G144" s="7">
        <v>87</v>
      </c>
      <c r="H144" s="21" t="s">
        <v>631</v>
      </c>
      <c r="I144" s="13">
        <v>43031.899641203701</v>
      </c>
      <c r="J144" s="7">
        <v>0</v>
      </c>
      <c r="K144" s="89" t="str">
        <f>IF(ISEVEN(B144),(B144-1)&amp;"/"&amp;B144,B144&amp;"/"&amp;(B144+1))</f>
        <v>4041/4042</v>
      </c>
      <c r="L144" s="185" t="str">
        <f>VLOOKUP(A144,'Trips&amp;Operators'!$C$1:$G$99911,5,FALSE)</f>
        <v>ELBAUM MIKE</v>
      </c>
      <c r="M144" s="6">
        <f>I144-F144</f>
        <v>2.4479166662786156E-2</v>
      </c>
      <c r="N144" s="7">
        <f>24*60*SUM($M144:$M144)</f>
        <v>35.249999994412065</v>
      </c>
      <c r="O144" s="7"/>
      <c r="P144" s="7"/>
      <c r="Q144" s="22"/>
      <c r="R144" s="174"/>
      <c r="S144" s="221">
        <f>1/IF(AG144="EC",12,1)*SUM(U144:U144)</f>
        <v>1</v>
      </c>
      <c r="T144" s="174" t="str">
        <f>IF(ISEVEN(LEFT(AD144,4)),"Southbound","NorthBound")</f>
        <v>NorthBound</v>
      </c>
      <c r="U144" s="198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16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-10-23T19:35:15-0600',mode:absolute,to:'2017-10-23T22:35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4" s="204" t="str">
        <f>IF(AA144&lt;VLOOKUP(AG144,Variables!$AC$3:$AD$8,2,FALSE),"Y","N")</f>
        <v>N</v>
      </c>
      <c r="X144" s="204">
        <f>VALUE(LEFT(AD144,4))-VALUE(LEFT(AD143,4))</f>
        <v>1</v>
      </c>
      <c r="Y144" s="204">
        <f>RIGHT(D144,LEN(D144)-4)/10000</f>
        <v>4.6199999999999998E-2</v>
      </c>
      <c r="Z144" s="204">
        <f>RIGHT(H144,LEN(H144)-4)/10000</f>
        <v>23.334199999999999</v>
      </c>
      <c r="AA144" s="204">
        <f>ABS(Z144-Y144)</f>
        <v>23.288</v>
      </c>
      <c r="AB144" s="54" t="e">
        <f>VLOOKUP(A144,Enforcements!$C$7:$K$11,8,0)</f>
        <v>#N/A</v>
      </c>
      <c r="AC144" s="51" t="e">
        <f>VLOOKUP(A144,Enforcements!$C$7:$E$11,3,0)</f>
        <v>#N/A</v>
      </c>
      <c r="AD144" s="179">
        <f>VALUE(LEFT(A144,LEN(A144)-3))</f>
        <v>229</v>
      </c>
      <c r="AE144" s="77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s3://rtdc.mdm.uploadarchive.raw/RTDC4042/ "%USERPROFILE%\AppData\Local\Temp\OnboardLogs"\RTDC4042\2017-10-23 --exclude "*" --recursive --include "*20171023*" &amp; "%USERPROFILE%\Documents\GitHub\mrs-test-scripts\Headless Mode &amp; Sideloading\WalkAndUnGZ.bat" "%USERPROFILE%\AppData\Local\Temp\OnboardLogs"\RTDC4042\2017-10-23 &amp; aws s3 cp s3://rtdc.mdm.uploadarchive.raw/RTDC4042/ "%USERPROFILE%\AppData\Local\Temp\OnboardLogs"\RTDC4042\2017-10-24 --exclude "*" --recursive --include "*20171024*" &amp; "%USERPROFILE%\Documents\GitHub\mrs-test-scripts\Headless Mode &amp; Sideloading\WalkAndUnGZ.bat" "%USERPROFILE%\AppData\Local\Temp\OnboardLogs"\RTDC4042\2017-10-24</v>
      </c>
      <c r="AF144" s="74" t="str">
        <f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/stypes="app*4042*20171024*" /stext=" 03:.+((SYSTEM_STATE.+slice.+state.+changed )|(ment ac)|(multiple cpu faults)|(system.+state.+changed )|(\[timeout)|(PRM\|1\|D)|(kpr)|(kdp)|(train st.+moving)|(\|lc)|(penalty))"</v>
      </c>
      <c r="AG144" s="182" t="str">
        <f>DetSubdiv(A144)</f>
        <v>EC</v>
      </c>
      <c r="AH144" s="78" t="str">
        <f t="shared" ref="AH144:AH214" si="26">refinertdcruntimes&amp;" --tripid "&amp;A144&amp;" --locoid "&amp;B144&amp;" --swversion "&amp;C144&amp;" --startMP "&amp;D144&amp;" --initTime "&amp;TEXT(E144,"yyyy-mm-ddTHH:MM:SS")&amp;" --startdatetime "&amp;TEXT(F144,"yyyy-mm-ddTHH:MM:SS")&amp;" --delay "&amp;G144&amp;" --endMP "&amp;H144&amp;" --enddatetime "&amp;TEXT(I144,"yyyy-mm-ddTHH:MM:SS")&amp;" --enforcementcount "&amp;J144&amp;IF(outputrefinedruntimes," &gt;&gt;"&amp;RefinedRTDCRunTimesOutputFile,"")</f>
        <v>"%USERPROFILE%\Documents\GitHub\eaglep3\Utilities\RefineRTDCRunTimes.py" --tripid 229-23 --locoid 4042 --swversion DE.1.0.9.0 --startMP 204:462 --initTime 2017-10-23T20:35:15 --startdatetime 2017-10-23T21:00:14 --delay 87 --endMP 204:233342 --enddatetime 2017-10-23T21:35:29 --enforcementcount 0 &gt;&gt;%USERPROFILE%\Documents\GitHub\eaglep3-reporting\EC\2017-10-23-refined-times.txt</v>
      </c>
      <c r="AI144" s="96" t="str">
        <f t="shared" ref="AI144:AI214" si="27">"echo {""issue"":{""subject"":"""&amp;R144&amp;""",""project_id"":79,""tracker_id"":40,""status_id"":"&amp;redmine_status&amp;",""priority_id"":"&amp;redmine_priority&amp;",""assigned_to_id"":"&amp;redmine_assignee&amp;",""start_date"":"""&amp;TEXT(I144,"YYYY-mm-dd")&amp;""",""description"":"""&amp;AJ144&amp;""",""custom_fields"":[{""id"":1,""name"":""Subdivision"",""value"":"""&amp;AG144&amp;"""},{""id"":4,""name"":""Milepost"",""value"":"""&amp;Z144&amp;"""},{""id"":17,""name"":""Train ID"",""value"":"""&amp;A144&amp;"""},{""id"":16,""name"":""Locomotive ID"",""value"":"""&amp;B144&amp;"""},{""id"":130,""name"":""Impact"",""value"":"""&amp;AK144&amp;"""},{""id"":150,""name"":""Time of Event (Mountain Time)"",""value"":"""&amp;TEXT(I144,"hh:mm:ss")&amp;"""},{""id"":151,""name"":""Denver Issue ID"",""value"":"""&amp;"""},{""id"":178,""name"":""Operational Impact"",""value"":"""&amp;redmine_op_impact&amp;"""},{""id"":179,""name"":""Denver Segment Assigned"",""value"":"""&amp;AL144&amp;"""}]}}"&amp;"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{"issue":{"subject":"","project_id":79,"tracker_id":40,"status_id":1,"priority_id":2,"assigned_to_id":338,"start_date":"2017-10-23","description":"","custom_fields":[{"id":1,"name":"Subdivision","value":"EC"},{"id":4,"name":"Milepost","value":"23.3342"},{"id":17,"name":"Train ID","value":"229-23"},{"id":16,"name":"Locomotive ID","value":"4042"},{"id":130,"name":"Impact","value":""},{"id":150,"name":"Time of Event (Mountain Time)","value":"21:35:29"},{"id":151,"name":"Denver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4" s="47"/>
      <c r="AL144" s="47"/>
      <c r="AM144" s="142" t="str">
        <f t="shared" ref="AM144:AM214" si="28">"start /low /b "&amp;dls3logs&amp;" --loco "&amp;B144&amp;" --day "&amp;TEXT(F144,"YYYY-MM-DD")</f>
        <v>start /low /b %USERPROFILE%\Documents\GitHub\eaglep3\Utilities\DownloadLogsFromS3.py --loco 4042 --day 2017-10-23</v>
      </c>
      <c r="AN144" s="151" t="str">
        <f t="shared" ref="AN144:AN214" si="29">"echo {""issue"":{""subject"":"""&amp;R144&amp;""",""project_id"":30,""tracker_id"":4,""status_id"":"&amp;redmine_status_wcr&amp;",""priority_id"":"&amp;redmine_priority_wcr&amp;",""assigned_to_id"":"&amp;redmine_assignee_wcr&amp;",""start_date"":"""&amp;TEXT(I144-utc_offset/24,"YYYY-mm-dd")&amp;""",""description"":"""&amp;AJ144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03:35:29"},{"id":29,"name":"Sharepoint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168" t="str">
        <f t="shared" ref="AO144:AO214" si="30"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Message%20ID',Summary),filters:!(),index:'emp_*',interval:auto,query:"&amp;"(query_string:(analyze_wildcard:!t,query:'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-10-23T19:35:15-0600',mode:absolute,to:'2017-10-23T22:35:29-0600'))&amp;_a=(columns:!('Message%20ID',Summary),filters:!(),index:'emp_*',interval:auto,query:(query_string:(analyze_wildcard:!t,query:'%22rtdc.l.rtdc.4042%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3">
      <c r="A145" s="32" t="s">
        <v>876</v>
      </c>
      <c r="B145" s="7">
        <v>4041</v>
      </c>
      <c r="C145" s="21" t="s">
        <v>194</v>
      </c>
      <c r="D145" s="21" t="s">
        <v>952</v>
      </c>
      <c r="E145" s="13">
        <v>43031.900937500002</v>
      </c>
      <c r="F145" s="13">
        <v>43031.91474537037</v>
      </c>
      <c r="G145" s="7">
        <v>71</v>
      </c>
      <c r="H145" s="21" t="s">
        <v>357</v>
      </c>
      <c r="I145" s="13">
        <v>43031.940138888887</v>
      </c>
      <c r="J145" s="7">
        <v>0</v>
      </c>
      <c r="K145" s="89" t="str">
        <f>IF(ISEVEN(B145),(B145-1)&amp;"/"&amp;B145,B145&amp;"/"&amp;(B145+1))</f>
        <v>4041/4042</v>
      </c>
      <c r="L145" s="185" t="str">
        <f>VLOOKUP(A145,'Trips&amp;Operators'!$C$1:$G$99911,5,FALSE)</f>
        <v>ELBAUM MIKE</v>
      </c>
      <c r="M145" s="6">
        <f>I145-F145</f>
        <v>2.5393518517375924E-2</v>
      </c>
      <c r="N145" s="7">
        <f>24*60*SUM($M145:$M145)</f>
        <v>36.56666666502133</v>
      </c>
      <c r="O145" s="7"/>
      <c r="P145" s="7"/>
      <c r="Q145" s="22"/>
      <c r="R145" s="174"/>
      <c r="S145" s="221">
        <f>1/IF(AG145="EC",12,1)*SUM(U145:U145)</f>
        <v>1</v>
      </c>
      <c r="T145" s="174" t="str">
        <f>IF(ISEVEN(LEFT(AD145,4)),"Southbound","NorthBound")</f>
        <v>Southbound</v>
      </c>
      <c r="U145" s="198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16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-10-23T20:37:21-0600',mode:absolute,to:'2017-10-23T23:33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5" s="204" t="str">
        <f>IF(AA145&lt;VLOOKUP(AG145,Variables!$AC$3:$AD$8,2,FALSE),"Y","N")</f>
        <v>N</v>
      </c>
      <c r="X145" s="204">
        <f>VALUE(LEFT(AD145,4))-VALUE(LEFT(AD144,4))</f>
        <v>1</v>
      </c>
      <c r="Y145" s="204">
        <f>RIGHT(D145,LEN(D145)-4)/10000</f>
        <v>23.303599999999999</v>
      </c>
      <c r="Z145" s="204">
        <f>RIGHT(H145,LEN(H145)-4)/10000</f>
        <v>1.5599999999999999E-2</v>
      </c>
      <c r="AA145" s="204">
        <f>ABS(Z145-Y145)</f>
        <v>23.288</v>
      </c>
      <c r="AB145" s="54" t="e">
        <f>VLOOKUP(A145,Enforcements!$C$7:$K$11,8,0)</f>
        <v>#N/A</v>
      </c>
      <c r="AC145" s="51" t="e">
        <f>VLOOKUP(A145,Enforcements!$C$7:$E$11,3,0)</f>
        <v>#N/A</v>
      </c>
      <c r="AD145" s="179">
        <f>VALUE(LEFT(A145,LEN(A145)-3))</f>
        <v>230</v>
      </c>
      <c r="AE145" s="77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s3://rtdc.mdm.uploadarchive.raw/RTDC4041/ "%USERPROFILE%\AppData\Local\Temp\OnboardLogs"\RTDC4041\2017-10-23 --exclude "*" --recursive --include "*20171023*" &amp; "%USERPROFILE%\Documents\GitHub\mrs-test-scripts\Headless Mode &amp; Sideloading\WalkAndUnGZ.bat" "%USERPROFILE%\AppData\Local\Temp\OnboardLogs"\RTDC4041\2017-10-23 &amp; aws s3 cp s3://rtdc.mdm.uploadarchive.raw/RTDC4041/ "%USERPROFILE%\AppData\Local\Temp\OnboardLogs"\RTDC4041\2017-10-24 --exclude "*" --recursive --include "*20171024*" &amp; "%USERPROFILE%\Documents\GitHub\mrs-test-scripts\Headless Mode &amp; Sideloading\WalkAndUnGZ.bat" "%USERPROFILE%\AppData\Local\Temp\OnboardLogs"\RTDC4041\2017-10-24</v>
      </c>
      <c r="AF145" s="74" t="str">
        <f>astrogrep_path&amp;" /e /r /s /spath="&amp;search_path&amp;" /stypes=""app*"&amp;B145&amp;"*"&amp;TEXT(I145-utc_offset/24,"YYYYMMDD")&amp;"*"" /stext="" "&amp;TEXT(I145-utc_offset/24,"HH")&amp;search_regexp&amp;""""</f>
        <v>"C:\Program Files (x86)\AstroGrep\AstroGrep.exe" /e /r /s /spath="%USERPROFILE%\AppData\Local\Temp\OnboardLogs" /stypes="app*4041*20171024*" /stext=" 04:.+((SYSTEM_STATE.+slice.+state.+changed )|(ment ac)|(multiple cpu faults)|(system.+state.+changed )|(\[timeout)|(PRM\|1\|D)|(kpr)|(kdp)|(train st.+moving)|(\|lc)|(penalty))"</v>
      </c>
      <c r="AG145" s="182" t="str">
        <f>DetSubdiv(A145)</f>
        <v>EC</v>
      </c>
      <c r="AH145" s="78" t="str">
        <f t="shared" si="26"/>
        <v>"%USERPROFILE%\Documents\GitHub\eaglep3\Utilities\RefineRTDCRunTimes.py" --tripid 230-23 --locoid 4041 --swversion DE.1.0.9.0 --startMP 204:233036 --initTime 2017-10-23T21:37:21 --startdatetime 2017-10-23T21:57:14 --delay 71 --endMP 204:156 --enddatetime 2017-10-23T22:33:48 --enforcementcount 0 &gt;&gt;%USERPROFILE%\Documents\GitHub\eaglep3-reporting\EC\2017-10-23-refined-times.txt</v>
      </c>
      <c r="AI145" s="96" t="str">
        <f t="shared" si="27"/>
        <v>echo {"issue":{"subject":"","project_id":79,"tracker_id":40,"status_id":1,"priority_id":2,"assigned_to_id":338,"start_date":"2017-10-23","description":"","custom_fields":[{"id":1,"name":"Subdivision","value":"EC"},{"id":4,"name":"Milepost","value":"0.0156"},{"id":17,"name":"Train ID","value":"230-23"},{"id":16,"name":"Locomotive ID","value":"4041"},{"id":130,"name":"Impact","value":""},{"id":150,"name":"Time of Event (Mountain Time)","value":"22:33:48"},{"id":151,"name":"Denver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5" s="47"/>
      <c r="AL145" s="47"/>
      <c r="AM145" s="142" t="str">
        <f t="shared" si="28"/>
        <v>start /low /b %USERPROFILE%\Documents\GitHub\eaglep3\Utilities\DownloadLogsFromS3.py --loco 4041 --day 2017-10-23</v>
      </c>
      <c r="AN145" s="151" t="str">
        <f t="shared" si="29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04:33:48"},{"id":29,"name":"Sharepoint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168" t="str">
        <f t="shared" si="30"/>
        <v>https://d0f6bd738d7f1b3e5a7ca70fe4ff75f0.us-east-1.aws.found.io/app/kibana#/discover/Steve-Slow-Train-Analysis-(2080s-and-2083s)?_g=(refreshInterval:(display:Off,pause:!f,section:0,value:0),time:(from:'2017-10-23T20:37:21-0600',mode:absolute,to:'2017-10-23T23:33:48-0600'))&amp;_a=(columns:!('Message%20ID',Summary),filters:!(),index:'emp_*',interval:auto,query:(query_string:(analyze_wildcard:!t,query:'%22rtdc.l.rtdc.4041%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3">
      <c r="A146" s="32" t="s">
        <v>873</v>
      </c>
      <c r="B146" s="7">
        <v>4046</v>
      </c>
      <c r="C146" s="21" t="s">
        <v>194</v>
      </c>
      <c r="D146" s="21" t="s">
        <v>369</v>
      </c>
      <c r="E146" s="13">
        <v>43031.883530092593</v>
      </c>
      <c r="F146" s="13">
        <v>43031.896122685182</v>
      </c>
      <c r="G146" s="7">
        <v>100</v>
      </c>
      <c r="H146" s="21" t="s">
        <v>368</v>
      </c>
      <c r="I146" s="13">
        <v>43031.920358796298</v>
      </c>
      <c r="J146" s="7">
        <v>0</v>
      </c>
      <c r="K146" s="89" t="str">
        <f>IF(ISEVEN(B146),(B146-1)&amp;"/"&amp;B146,B146&amp;"/"&amp;(B146+1))</f>
        <v>4045/4046</v>
      </c>
      <c r="L146" s="185" t="str">
        <f>VLOOKUP(A146,'Trips&amp;Operators'!$C$1:$G$99911,5,FALSE)</f>
        <v>LOZA FIDEL</v>
      </c>
      <c r="M146" s="6">
        <f>I146-F146</f>
        <v>2.4236111115897074E-2</v>
      </c>
      <c r="N146" s="7">
        <f>24*60*SUM($M146:$M146)</f>
        <v>34.900000006891787</v>
      </c>
      <c r="O146" s="7"/>
      <c r="P146" s="7"/>
      <c r="Q146" s="22"/>
      <c r="R146" s="174"/>
      <c r="S146" s="221">
        <f>1/IF(AG146="EC",12,1)*SUM(U146:U146)</f>
        <v>1</v>
      </c>
      <c r="T146" s="174" t="str">
        <f>IF(ISEVEN(LEFT(AD146,4)),"Southbound","NorthBound")</f>
        <v>NorthBound</v>
      </c>
      <c r="U146" s="198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16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-10-23T20:12:17-0600',mode:absolute,to:'2017-10-23T23:05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46" s="204" t="str">
        <f>IF(AA146&lt;VLOOKUP(AG146,Variables!$AC$3:$AD$8,2,FALSE),"Y","N")</f>
        <v>N</v>
      </c>
      <c r="X146" s="204">
        <f>VALUE(LEFT(AD146,4))-VALUE(LEFT(AD145,4))</f>
        <v>1</v>
      </c>
      <c r="Y146" s="204">
        <f>RIGHT(D146,LEN(D146)-4)/10000</f>
        <v>4.7100000000000003E-2</v>
      </c>
      <c r="Z146" s="204">
        <f>RIGHT(H146,LEN(H146)-4)/10000</f>
        <v>23.331199999999999</v>
      </c>
      <c r="AA146" s="204">
        <f>ABS(Z146-Y146)</f>
        <v>23.284099999999999</v>
      </c>
      <c r="AB146" s="54" t="e">
        <f>VLOOKUP(A146,Enforcements!$C$7:$K$11,8,0)</f>
        <v>#N/A</v>
      </c>
      <c r="AC146" s="51" t="e">
        <f>VLOOKUP(A146,Enforcements!$C$7:$E$11,3,0)</f>
        <v>#N/A</v>
      </c>
      <c r="AD146" s="179">
        <f>VALUE(LEFT(A146,LEN(A146)-3))</f>
        <v>231</v>
      </c>
      <c r="AE146" s="77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s3://rtdc.mdm.uploadarchive.raw/RTDC4046/ "%USERPROFILE%\AppData\Local\Temp\OnboardLogs"\RTDC4046\2017-10-23 --exclude "*" --recursive --include "*20171023*" &amp; "%USERPROFILE%\Documents\GitHub\mrs-test-scripts\Headless Mode &amp; Sideloading\WalkAndUnGZ.bat" "%USERPROFILE%\AppData\Local\Temp\OnboardLogs"\RTDC4046\2017-10-23 &amp; aws s3 cp s3://rtdc.mdm.uploadarchive.raw/RTDC4046/ "%USERPROFILE%\AppData\Local\Temp\OnboardLogs"\RTDC4046\2017-10-24 --exclude "*" --recursive --include "*20171024*" &amp; "%USERPROFILE%\Documents\GitHub\mrs-test-scripts\Headless Mode &amp; Sideloading\WalkAndUnGZ.bat" "%USERPROFILE%\AppData\Local\Temp\OnboardLogs"\RTDC4046\2017-10-24</v>
      </c>
      <c r="AF146" s="74" t="str">
        <f>astrogrep_path&amp;" /e /r /s /spath="&amp;search_path&amp;" /stypes=""app*"&amp;B146&amp;"*"&amp;TEXT(I146-utc_offset/24,"YYYYMMDD")&amp;"*"" /stext="" "&amp;TEXT(I146-utc_offset/24,"HH")&amp;search_regexp&amp;""""</f>
        <v>"C:\Program Files (x86)\AstroGrep\AstroGrep.exe" /e /r /s /spath="%USERPROFILE%\AppData\Local\Temp\OnboardLogs" /stypes="app*4046*20171024*" /stext=" 04:.+((SYSTEM_STATE.+slice.+state.+changed )|(ment ac)|(multiple cpu faults)|(system.+state.+changed )|(\[timeout)|(PRM\|1\|D)|(kpr)|(kdp)|(train st.+moving)|(\|lc)|(penalty))"</v>
      </c>
      <c r="AG146" s="182" t="str">
        <f>DetSubdiv(A146)</f>
        <v>EC</v>
      </c>
      <c r="AH146" s="78" t="str">
        <f t="shared" si="26"/>
        <v>"%USERPROFILE%\Documents\GitHub\eaglep3\Utilities\RefineRTDCRunTimes.py" --tripid 231-23 --locoid 4046 --swversion DE.1.0.9.0 --startMP 204:471 --initTime 2017-10-23T21:12:17 --startdatetime 2017-10-23T21:30:25 --delay 100 --endMP 204:233312 --enddatetime 2017-10-23T22:05:19 --enforcementcount 0 &gt;&gt;%USERPROFILE%\Documents\GitHub\eaglep3-reporting\EC\2017-10-23-refined-times.txt</v>
      </c>
      <c r="AI146" s="96" t="str">
        <f t="shared" si="27"/>
        <v>echo {"issue":{"subject":"","project_id":79,"tracker_id":40,"status_id":1,"priority_id":2,"assigned_to_id":338,"start_date":"2017-10-23","description":"","custom_fields":[{"id":1,"name":"Subdivision","value":"EC"},{"id":4,"name":"Milepost","value":"23.3312"},{"id":17,"name":"Train ID","value":"231-23"},{"id":16,"name":"Locomotive ID","value":"4046"},{"id":130,"name":"Impact","value":""},{"id":150,"name":"Time of Event (Mountain Time)","value":"22:05:19"},{"id":151,"name":"Denver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6" s="47"/>
      <c r="AL146" s="47"/>
      <c r="AM146" s="142" t="str">
        <f t="shared" si="28"/>
        <v>start /low /b %USERPROFILE%\Documents\GitHub\eaglep3\Utilities\DownloadLogsFromS3.py --loco 4046 --day 2017-10-23</v>
      </c>
      <c r="AN146" s="151" t="str">
        <f t="shared" si="29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04:05:19"},{"id":29,"name":"Sharepoint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168" t="str">
        <f t="shared" si="30"/>
        <v>https://d0f6bd738d7f1b3e5a7ca70fe4ff75f0.us-east-1.aws.found.io/app/kibana#/discover/Steve-Slow-Train-Analysis-(2080s-and-2083s)?_g=(refreshInterval:(display:Off,pause:!f,section:0,value:0),time:(from:'2017-10-23T20:12:17-0600',mode:absolute,to:'2017-10-23T23:05:19-0600'))&amp;_a=(columns:!('Message%20ID',Summary),filters:!(),index:'emp_*',interval:auto,query:(query_string:(analyze_wildcard:!t,query:'%22rtdc.l.rtdc.4046%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3">
      <c r="A147" s="32" t="s">
        <v>881</v>
      </c>
      <c r="B147" s="7">
        <v>4045</v>
      </c>
      <c r="C147" s="21" t="s">
        <v>194</v>
      </c>
      <c r="D147" s="21" t="s">
        <v>433</v>
      </c>
      <c r="E147" s="13">
        <v>43031.933553240742</v>
      </c>
      <c r="F147" s="13">
        <v>43031.935729166667</v>
      </c>
      <c r="G147" s="7">
        <v>59</v>
      </c>
      <c r="H147" s="21" t="s">
        <v>355</v>
      </c>
      <c r="I147" s="13">
        <v>43031.961631944447</v>
      </c>
      <c r="J147" s="7">
        <v>0</v>
      </c>
      <c r="K147" s="89" t="str">
        <f>IF(ISEVEN(B147),(B147-1)&amp;"/"&amp;B147,B147&amp;"/"&amp;(B147+1))</f>
        <v>4045/4046</v>
      </c>
      <c r="L147" s="185" t="str">
        <f>VLOOKUP(A147,'Trips&amp;Operators'!$C$1:$G$99911,5,FALSE)</f>
        <v>LOZA FIDEL</v>
      </c>
      <c r="M147" s="6">
        <f>I147-F147</f>
        <v>2.5902777779265307E-2</v>
      </c>
      <c r="N147" s="7">
        <f>24*60*SUM($M147:$M147)</f>
        <v>37.300000002142042</v>
      </c>
      <c r="O147" s="7"/>
      <c r="P147" s="7"/>
      <c r="Q147" s="22"/>
      <c r="R147" s="174"/>
      <c r="S147" s="221">
        <f>1/IF(AG147="EC",12,1)*SUM(U147:U147)</f>
        <v>1</v>
      </c>
      <c r="T147" s="174" t="str">
        <f>IF(ISEVEN(LEFT(AD147,4)),"Southbound","NorthBound")</f>
        <v>Southbound</v>
      </c>
      <c r="U147" s="198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16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-10-23T21:24:19-0600',mode:absolute,to:'2017-10-24T00:04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47" s="204" t="str">
        <f>IF(AA147&lt;VLOOKUP(AG147,Variables!$AC$3:$AD$8,2,FALSE),"Y","N")</f>
        <v>N</v>
      </c>
      <c r="X147" s="204">
        <f>VALUE(LEFT(AD147,4))-VALUE(LEFT(AD146,4))</f>
        <v>1</v>
      </c>
      <c r="Y147" s="204">
        <f>RIGHT(D147,LEN(D147)-4)/10000</f>
        <v>23.3002</v>
      </c>
      <c r="Z147" s="204">
        <f>RIGHT(H147,LEN(H147)-4)/10000</f>
        <v>1.4500000000000001E-2</v>
      </c>
      <c r="AA147" s="204">
        <f>ABS(Z147-Y147)</f>
        <v>23.285699999999999</v>
      </c>
      <c r="AB147" s="54" t="e">
        <f>VLOOKUP(A147,Enforcements!$C$7:$K$11,8,0)</f>
        <v>#N/A</v>
      </c>
      <c r="AC147" s="51" t="e">
        <f>VLOOKUP(A147,Enforcements!$C$7:$E$11,3,0)</f>
        <v>#N/A</v>
      </c>
      <c r="AD147" s="179">
        <f>VALUE(LEFT(A147,LEN(A147)-3))</f>
        <v>232</v>
      </c>
      <c r="AE147" s="77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s3://rtdc.mdm.uploadarchive.raw/RTDC4045/ "%USERPROFILE%\AppData\Local\Temp\OnboardLogs"\RTDC4045\2017-10-23 --exclude "*" --recursive --include "*20171023*" &amp; "%USERPROFILE%\Documents\GitHub\mrs-test-scripts\Headless Mode &amp; Sideloading\WalkAndUnGZ.bat" "%USERPROFILE%\AppData\Local\Temp\OnboardLogs"\RTDC4045\2017-10-23 &amp; aws s3 cp s3://rtdc.mdm.uploadarchive.raw/RTDC4045/ "%USERPROFILE%\AppData\Local\Temp\OnboardLogs"\RTDC4045\2017-10-24 --exclude "*" --recursive --include "*20171024*" &amp; "%USERPROFILE%\Documents\GitHub\mrs-test-scripts\Headless Mode &amp; Sideloading\WalkAndUnGZ.bat" "%USERPROFILE%\AppData\Local\Temp\OnboardLogs"\RTDC4045\2017-10-24</v>
      </c>
      <c r="AF147" s="74" t="str">
        <f>astrogrep_path&amp;" /e /r /s /spath="&amp;search_path&amp;" /stypes=""app*"&amp;B147&amp;"*"&amp;TEXT(I147-utc_offset/24,"YYYYMMDD")&amp;"*"" /stext="" "&amp;TEXT(I147-utc_offset/24,"HH")&amp;search_regexp&amp;""""</f>
        <v>"C:\Program Files (x86)\AstroGrep\AstroGrep.exe" /e /r /s /spath="%USERPROFILE%\AppData\Local\Temp\OnboardLogs" /stypes="app*4045*20171024*" /stext=" 05:.+((SYSTEM_STATE.+slice.+state.+changed )|(ment ac)|(multiple cpu faults)|(system.+state.+changed )|(\[timeout)|(PRM\|1\|D)|(kpr)|(kdp)|(train st.+moving)|(\|lc)|(penalty))"</v>
      </c>
      <c r="AG147" s="182" t="str">
        <f>DetSubdiv(A147)</f>
        <v>EC</v>
      </c>
      <c r="AH147" s="78" t="str">
        <f t="shared" si="26"/>
        <v>"%USERPROFILE%\Documents\GitHub\eaglep3\Utilities\RefineRTDCRunTimes.py" --tripid 232-23 --locoid 4045 --swversion DE.1.0.9.0 --startMP 204:233002 --initTime 2017-10-23T22:24:19 --startdatetime 2017-10-23T22:27:27 --delay 59 --endMP 204:145 --enddatetime 2017-10-23T23:04:45 --enforcementcount 0 &gt;&gt;%USERPROFILE%\Documents\GitHub\eaglep3-reporting\EC\2017-10-23-refined-times.txt</v>
      </c>
      <c r="AI147" s="96" t="str">
        <f t="shared" si="27"/>
        <v>echo {"issue":{"subject":"","project_id":79,"tracker_id":40,"status_id":1,"priority_id":2,"assigned_to_id":338,"start_date":"2017-10-23","description":"","custom_fields":[{"id":1,"name":"Subdivision","value":"EC"},{"id":4,"name":"Milepost","value":"0.0145"},{"id":17,"name":"Train ID","value":"232-23"},{"id":16,"name":"Locomotive ID","value":"4045"},{"id":130,"name":"Impact","value":""},{"id":150,"name":"Time of Event (Mountain Time)","value":"23:04:45"},{"id":151,"name":"Denver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7" s="47"/>
      <c r="AL147" s="47"/>
      <c r="AM147" s="142" t="str">
        <f t="shared" si="28"/>
        <v>start /low /b %USERPROFILE%\Documents\GitHub\eaglep3\Utilities\DownloadLogsFromS3.py --loco 4045 --day 2017-10-23</v>
      </c>
      <c r="AN147" s="151" t="str">
        <f t="shared" si="29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05:04:45"},{"id":29,"name":"Sharepoint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168" t="str">
        <f t="shared" si="30"/>
        <v>https://d0f6bd738d7f1b3e5a7ca70fe4ff75f0.us-east-1.aws.found.io/app/kibana#/discover/Steve-Slow-Train-Analysis-(2080s-and-2083s)?_g=(refreshInterval:(display:Off,pause:!f,section:0,value:0),time:(from:'2017-10-23T21:24:19-0600',mode:absolute,to:'2017-10-24T00:04:45-0600'))&amp;_a=(columns:!('Message%20ID',Summary),filters:!(),index:'emp_*',interval:auto,query:(query_string:(analyze_wildcard:!t,query:'%22rtdc.l.rtdc.4045%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3">
      <c r="A148" s="32" t="s">
        <v>877</v>
      </c>
      <c r="B148" s="7">
        <v>4032</v>
      </c>
      <c r="C148" s="21" t="s">
        <v>194</v>
      </c>
      <c r="D148" s="21" t="s">
        <v>433</v>
      </c>
      <c r="E148" s="13">
        <v>43031.933553240742</v>
      </c>
      <c r="F148" s="13">
        <v>43031.916921296295</v>
      </c>
      <c r="G148" s="7">
        <v>59</v>
      </c>
      <c r="H148" s="21" t="s">
        <v>355</v>
      </c>
      <c r="I148" s="13">
        <v>43031.942303240743</v>
      </c>
      <c r="J148" s="7">
        <v>0</v>
      </c>
      <c r="K148" s="89" t="str">
        <f>IF(ISEVEN(B148),(B148-1)&amp;"/"&amp;B148,B148&amp;"/"&amp;(B148+1))</f>
        <v>4031/4032</v>
      </c>
      <c r="L148" s="185" t="str">
        <f>VLOOKUP(A148,'Trips&amp;Operators'!$C$1:$G$99911,5,FALSE)</f>
        <v>MAGEE KENYA</v>
      </c>
      <c r="M148" s="6">
        <f>I148-F148</f>
        <v>2.5381944447872229E-2</v>
      </c>
      <c r="N148" s="7">
        <f>24*60*SUM($M148:$M148)</f>
        <v>36.55000000493601</v>
      </c>
      <c r="O148" s="7"/>
      <c r="P148" s="7"/>
      <c r="Q148" s="22"/>
      <c r="R148" s="174"/>
      <c r="S148" s="221">
        <f>1/IF(AG148="EC",12,1)*SUM(U148:U148)</f>
        <v>1</v>
      </c>
      <c r="T148" s="174" t="str">
        <f>IF(ISEVEN(LEFT(AD148,4)),"Southbound","NorthBound")</f>
        <v>NorthBound</v>
      </c>
      <c r="U148" s="198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16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-10-23T21:24:19-0600',mode:absolute,to:'2017-10-23T23:36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48" s="204" t="str">
        <f>IF(AA148&lt;VLOOKUP(AG148,Variables!$AC$3:$AD$8,2,FALSE),"Y","N")</f>
        <v>N</v>
      </c>
      <c r="X148" s="204">
        <f>VALUE(LEFT(AD148,4))-VALUE(LEFT(AD147,4))</f>
        <v>1</v>
      </c>
      <c r="Y148" s="204">
        <v>4.7100000000000003E-2</v>
      </c>
      <c r="Z148" s="204">
        <v>23.331199999999999</v>
      </c>
      <c r="AA148" s="204">
        <f>ABS(Z148-Y148)</f>
        <v>23.284099999999999</v>
      </c>
      <c r="AB148" s="54" t="e">
        <f>VLOOKUP(A148,Enforcements!$C$7:$K$11,8,0)</f>
        <v>#N/A</v>
      </c>
      <c r="AC148" s="51" t="e">
        <f>VLOOKUP(A148,Enforcements!$C$7:$E$11,3,0)</f>
        <v>#N/A</v>
      </c>
      <c r="AD148" s="179">
        <f>VALUE(LEFT(A148,LEN(A148)-3))</f>
        <v>233</v>
      </c>
      <c r="AE148" s="77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s3://rtdc.mdm.uploadarchive.raw/RTDC4032/ "%USERPROFILE%\AppData\Local\Temp\OnboardLogs"\RTDC4032\2017-10-23 --exclude "*" --recursive --include "*20171023*" &amp; "%USERPROFILE%\Documents\GitHub\mrs-test-scripts\Headless Mode &amp; Sideloading\WalkAndUnGZ.bat" "%USERPROFILE%\AppData\Local\Temp\OnboardLogs"\RTDC4032\2017-10-23 &amp; aws s3 cp s3://rtdc.mdm.uploadarchive.raw/RTDC4032/ "%USERPROFILE%\AppData\Local\Temp\OnboardLogs"\RTDC4032\2017-10-24 --exclude "*" --recursive --include "*20171024*" &amp; "%USERPROFILE%\Documents\GitHub\mrs-test-scripts\Headless Mode &amp; Sideloading\WalkAndUnGZ.bat" "%USERPROFILE%\AppData\Local\Temp\OnboardLogs"\RTDC4032\2017-10-24</v>
      </c>
      <c r="AF148" s="74" t="str">
        <f>astrogrep_path&amp;" /e /r /s /spath="&amp;search_path&amp;" /stypes=""app*"&amp;B148&amp;"*"&amp;TEXT(I148-utc_offset/24,"YYYYMMDD")&amp;"*"" /stext="" "&amp;TEXT(I148-utc_offset/24,"HH")&amp;search_regexp&amp;""""</f>
        <v>"C:\Program Files (x86)\AstroGrep\AstroGrep.exe" /e /r /s /spath="%USERPROFILE%\AppData\Local\Temp\OnboardLogs" /stypes="app*4032*20171024*" /stext=" 04:.+((SYSTEM_STATE.+slice.+state.+changed )|(ment ac)|(multiple cpu faults)|(system.+state.+changed )|(\[timeout)|(PRM\|1\|D)|(kpr)|(kdp)|(train st.+moving)|(\|lc)|(penalty))"</v>
      </c>
      <c r="AG148" s="182" t="str">
        <f>DetSubdiv(A148)</f>
        <v>EC</v>
      </c>
      <c r="AH148" s="78" t="str">
        <f t="shared" ref="AH148" si="31">refinertdcruntimes&amp;" --tripid "&amp;A148&amp;" --locoid "&amp;B148&amp;" --swversion "&amp;C148&amp;" --startMP "&amp;D148&amp;" --initTime "&amp;TEXT(E148,"yyyy-mm-ddTHH:MM:SS")&amp;" --startdatetime "&amp;TEXT(F148,"yyyy-mm-ddTHH:MM:SS")&amp;" --delay "&amp;G148&amp;" --endMP "&amp;H148&amp;" --enddatetime "&amp;TEXT(I148,"yyyy-mm-ddTHH:MM:SS")&amp;" --enforcementcount "&amp;J148&amp;IF(outputrefinedruntimes," &gt;&gt;"&amp;RefinedRTDCRunTimesOutputFile,"")</f>
        <v>"%USERPROFILE%\Documents\GitHub\eaglep3\Utilities\RefineRTDCRunTimes.py" --tripid 233-23 --locoid 4032 --swversion DE.1.0.9.0 --startMP 204:233002 --initTime 2017-10-23T22:24:19 --startdatetime 2017-10-23T22:00:22 --delay 59 --endMP 204:145 --enddatetime 2017-10-23T22:36:55 --enforcementcount 0 &gt;&gt;%USERPROFILE%\Documents\GitHub\eaglep3-reporting\EC\2017-10-23-refined-times.txt</v>
      </c>
      <c r="AI148" s="96" t="str">
        <f t="shared" ref="AI148" si="32">"echo {""issue"":{""subject"":"""&amp;R148&amp;""",""project_id"":79,""tracker_id"":40,""status_id"":"&amp;redmine_status&amp;",""priority_id"":"&amp;redmine_priority&amp;",""assigned_to_id"":"&amp;redmine_assignee&amp;",""start_date"":"""&amp;TEXT(I148,"YYYY-mm-dd")&amp;""",""description"":"""&amp;AJ148&amp;""",""custom_fields"":[{""id"":1,""name"":""Subdivision"",""value"":"""&amp;AG148&amp;"""},{""id"":4,""name"":""Milepost"",""value"":"""&amp;Z148&amp;"""},{""id"":17,""name"":""Train ID"",""value"":"""&amp;A148&amp;"""},{""id"":16,""name"":""Locomotive ID"",""value"":"""&amp;B148&amp;"""},{""id"":130,""name"":""Impact"",""value"":"""&amp;AK148&amp;"""},{""id"":150,""name"":""Time of Event (Mountain Time)"",""value"":"""&amp;TEXT(I148,"hh:mm:ss")&amp;"""},{""id"":151,""name"":""Denver Issue ID"",""value"":"""&amp;"""},{""id"":178,""name"":""Operational Impact"",""value"":"""&amp;redmine_op_impact&amp;"""},{""id"":179,""name"":""Denver Segment Assigned"",""value"":"""&amp;AL148&amp;"""}]}}"&amp;"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{"issue":{"subject":"","project_id":79,"tracker_id":40,"status_id":1,"priority_id":2,"assigned_to_id":338,"start_date":"2017-10-23","description":"","custom_fields":[{"id":1,"name":"Subdivision","value":"EC"},{"id":4,"name":"Milepost","value":"23.3312"},{"id":17,"name":"Train ID","value":"233-23"},{"id":16,"name":"Locomotive ID","value":"4032"},{"id":130,"name":"Impact","value":""},{"id":150,"name":"Time of Event (Mountain Time)","value":"22:36:55"},{"id":151,"name":"Denver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8" s="47"/>
      <c r="AL148" s="47"/>
      <c r="AM148" s="142" t="str">
        <f t="shared" ref="AM148" si="33">"start /low /b "&amp;dls3logs&amp;" --loco "&amp;B148&amp;" --day "&amp;TEXT(F148,"YYYY-MM-DD")</f>
        <v>start /low /b %USERPROFILE%\Documents\GitHub\eaglep3\Utilities\DownloadLogsFromS3.py --loco 4032 --day 2017-10-23</v>
      </c>
      <c r="AN148" s="151" t="str">
        <f t="shared" ref="AN148" si="34">"echo {""issue"":{""subject"":"""&amp;R148&amp;""",""project_id"":30,""tracker_id"":4,""status_id"":"&amp;redmine_status_wcr&amp;",""priority_id"":"&amp;redmine_priority_wcr&amp;",""assigned_to_id"":"&amp;redmine_assignee_wcr&amp;",""start_date"":"""&amp;TEXT(I148-utc_offset/24,"YYYY-mm-dd")&amp;""",""description"":"""&amp;AJ148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04:36:55"},{"id":29,"name":"Sharepoint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168" t="str">
        <f t="shared" ref="AO148" si="35"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Message%20ID',Summary),filters:!(),index:'emp_*',interval:auto,query:"&amp;"(query_string:(analyze_wildcard:!t,query:'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-10-23T21:24:19-0600',mode:absolute,to:'2017-10-23T23:36:55-0600'))&amp;_a=(columns:!('Message%20ID',Summary),filters:!(),index:'emp_*',interval:auto,query:(query_string:(analyze_wildcard:!t,query:'%22rtdc.l.rtdc.4032%22')),sort:!(Time.ISO8601,asc))</v>
      </c>
    </row>
    <row r="149" spans="1:91" s="20" customFormat="1" x14ac:dyDescent="0.3">
      <c r="A149" s="32" t="s">
        <v>882</v>
      </c>
      <c r="B149" s="7">
        <v>4031</v>
      </c>
      <c r="C149" s="21" t="s">
        <v>194</v>
      </c>
      <c r="D149" s="21" t="s">
        <v>945</v>
      </c>
      <c r="E149" s="13">
        <v>43031.955023148148</v>
      </c>
      <c r="F149" s="13">
        <v>43031.956574074073</v>
      </c>
      <c r="G149" s="7">
        <v>65</v>
      </c>
      <c r="H149" s="21" t="s">
        <v>953</v>
      </c>
      <c r="I149" s="13">
        <v>43031.983067129629</v>
      </c>
      <c r="J149" s="7">
        <v>0</v>
      </c>
      <c r="K149" s="89" t="str">
        <f>IF(ISEVEN(B149),(B149-1)&amp;"/"&amp;B149,B149&amp;"/"&amp;(B149+1))</f>
        <v>4031/4032</v>
      </c>
      <c r="L149" s="185" t="str">
        <f>VLOOKUP(A149,'Trips&amp;Operators'!$C$1:$G$99911,5,FALSE)</f>
        <v>MAGEE KENYA</v>
      </c>
      <c r="M149" s="6">
        <f>I149-F149</f>
        <v>2.6493055556784384E-2</v>
      </c>
      <c r="N149" s="7">
        <f>24*60*SUM($M149:$M149)</f>
        <v>38.150000001769513</v>
      </c>
      <c r="O149" s="7"/>
      <c r="P149" s="7"/>
      <c r="Q149" s="22"/>
      <c r="R149" s="174"/>
      <c r="S149" s="221">
        <f>1/IF(AG149="EC",12,1)*SUM(U149:U149)</f>
        <v>1</v>
      </c>
      <c r="T149" s="174" t="str">
        <f>IF(ISEVEN(LEFT(AD149,4)),"Southbound","NorthBound")</f>
        <v>Southbound</v>
      </c>
      <c r="U149" s="198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16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-10-23T21:55:14-0600',mode:absolute,to:'2017-10-24T00:35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9" s="204" t="str">
        <f>IF(AA149&lt;VLOOKUP(AG149,Variables!$AC$3:$AD$8,2,FALSE),"Y","N")</f>
        <v>N</v>
      </c>
      <c r="X149" s="204">
        <f>VALUE(LEFT(AD149,4))-VALUE(LEFT(AD148,4))</f>
        <v>1</v>
      </c>
      <c r="Y149" s="204">
        <f>RIGHT(D149,LEN(D149)-4)/10000</f>
        <v>23.3034</v>
      </c>
      <c r="Z149" s="204">
        <f>RIGHT(H149,LEN(H149)-4)/10000</f>
        <v>0.19040000000000001</v>
      </c>
      <c r="AA149" s="204">
        <f>ABS(Z149-Y149)</f>
        <v>23.113</v>
      </c>
      <c r="AB149" s="54" t="e">
        <f>VLOOKUP(A149,Enforcements!$C$7:$K$11,8,0)</f>
        <v>#N/A</v>
      </c>
      <c r="AC149" s="51" t="e">
        <f>VLOOKUP(A149,Enforcements!$C$7:$E$11,3,0)</f>
        <v>#N/A</v>
      </c>
      <c r="AD149" s="179">
        <f>VALUE(LEFT(A149,LEN(A149)-3))</f>
        <v>234</v>
      </c>
      <c r="AE149" s="77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s3://rtdc.mdm.uploadarchive.raw/RTDC4031/ "%USERPROFILE%\AppData\Local\Temp\OnboardLogs"\RTDC4031\2017-10-23 --exclude "*" --recursive --include "*20171023*" &amp; "%USERPROFILE%\Documents\GitHub\mrs-test-scripts\Headless Mode &amp; Sideloading\WalkAndUnGZ.bat" "%USERPROFILE%\AppData\Local\Temp\OnboardLogs"\RTDC4031\2017-10-23 &amp; aws s3 cp s3://rtdc.mdm.uploadarchive.raw/RTDC4031/ "%USERPROFILE%\AppData\Local\Temp\OnboardLogs"\RTDC4031\2017-10-24 --exclude "*" --recursive --include "*20171024*" &amp; "%USERPROFILE%\Documents\GitHub\mrs-test-scripts\Headless Mode &amp; Sideloading\WalkAndUnGZ.bat" "%USERPROFILE%\AppData\Local\Temp\OnboardLogs"\RTDC4031\2017-10-24</v>
      </c>
      <c r="AF149" s="74" t="str">
        <f>astrogrep_path&amp;" /e /r /s /spath="&amp;search_path&amp;" /stypes=""app*"&amp;B149&amp;"*"&amp;TEXT(I149-utc_offset/24,"YYYYMMDD")&amp;"*"" /stext="" "&amp;TEXT(I149-utc_offset/24,"HH")&amp;search_regexp&amp;""""</f>
        <v>"C:\Program Files (x86)\AstroGrep\AstroGrep.exe" /e /r /s /spath="%USERPROFILE%\AppData\Local\Temp\OnboardLogs" /stypes="app*4031*20171024*" /stext=" 05:.+((SYSTEM_STATE.+slice.+state.+changed )|(ment ac)|(multiple cpu faults)|(system.+state.+changed )|(\[timeout)|(PRM\|1\|D)|(kpr)|(kdp)|(train st.+moving)|(\|lc)|(penalty))"</v>
      </c>
      <c r="AG149" s="182" t="str">
        <f>DetSubdiv(A149)</f>
        <v>EC</v>
      </c>
      <c r="AH149" s="78" t="str">
        <f t="shared" si="26"/>
        <v>"%USERPROFILE%\Documents\GitHub\eaglep3\Utilities\RefineRTDCRunTimes.py" --tripid 234-23 --locoid 4031 --swversion DE.1.0.9.0 --startMP 204:233034 --initTime 2017-10-23T22:55:14 --startdatetime 2017-10-23T22:57:28 --delay 65 --endMP 204:1904 --enddatetime 2017-10-23T23:35:37 --enforcementcount 0 &gt;&gt;%USERPROFILE%\Documents\GitHub\eaglep3-reporting\EC\2017-10-23-refined-times.txt</v>
      </c>
      <c r="AI149" s="96" t="str">
        <f t="shared" si="27"/>
        <v>echo {"issue":{"subject":"","project_id":79,"tracker_id":40,"status_id":1,"priority_id":2,"assigned_to_id":338,"start_date":"2017-10-23","description":"","custom_fields":[{"id":1,"name":"Subdivision","value":"EC"},{"id":4,"name":"Milepost","value":"0.1904"},{"id":17,"name":"Train ID","value":"234-23"},{"id":16,"name":"Locomotive ID","value":"4031"},{"id":130,"name":"Impact","value":""},{"id":150,"name":"Time of Event (Mountain Time)","value":"23:35:37"},{"id":151,"name":"Denver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9" s="47"/>
      <c r="AL149" s="47"/>
      <c r="AM149" s="142" t="str">
        <f t="shared" si="28"/>
        <v>start /low /b %USERPROFILE%\Documents\GitHub\eaglep3\Utilities\DownloadLogsFromS3.py --loco 4031 --day 2017-10-23</v>
      </c>
      <c r="AN149" s="151" t="str">
        <f t="shared" si="29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05:35:37"},{"id":29,"name":"Sharepoint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168" t="str">
        <f t="shared" si="30"/>
        <v>https://d0f6bd738d7f1b3e5a7ca70fe4ff75f0.us-east-1.aws.found.io/app/kibana#/discover/Steve-Slow-Train-Analysis-(2080s-and-2083s)?_g=(refreshInterval:(display:Off,pause:!f,section:0,value:0),time:(from:'2017-10-23T21:55:14-0600',mode:absolute,to:'2017-10-24T00:35:37-0600'))&amp;_a=(columns:!('Message%20ID',Summary),filters:!(),index:'emp_*',interval:auto,query:(query_string:(analyze_wildcard:!t,query:'%22rtdc.l.rtdc.4031%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3">
      <c r="A150" s="32" t="s">
        <v>880</v>
      </c>
      <c r="B150" s="7">
        <v>4018</v>
      </c>
      <c r="C150" s="21" t="s">
        <v>194</v>
      </c>
      <c r="D150" s="21" t="s">
        <v>404</v>
      </c>
      <c r="E150" s="13">
        <v>43031.931284722225</v>
      </c>
      <c r="F150" s="13">
        <v>43031.937696759262</v>
      </c>
      <c r="G150" s="7">
        <v>61</v>
      </c>
      <c r="H150" s="21" t="s">
        <v>954</v>
      </c>
      <c r="I150" s="13">
        <v>43031.963113425925</v>
      </c>
      <c r="J150" s="7">
        <v>0</v>
      </c>
      <c r="K150" s="89" t="str">
        <f>IF(ISEVEN(B150),(B150-1)&amp;"/"&amp;B150,B150&amp;"/"&amp;(B150+1))</f>
        <v>4017/4018</v>
      </c>
      <c r="L150" s="185" t="str">
        <f>VLOOKUP(A150,'Trips&amp;Operators'!$C$1:$G$99911,5,FALSE)</f>
        <v>WILLIAMS DONTE</v>
      </c>
      <c r="M150" s="6">
        <f>I150-F150</f>
        <v>2.5416666663659271E-2</v>
      </c>
      <c r="N150" s="7">
        <f>24*60*SUM($M150:$M150)</f>
        <v>36.59999999566935</v>
      </c>
      <c r="O150" s="7"/>
      <c r="P150" s="7"/>
      <c r="Q150" s="22"/>
      <c r="R150" s="174"/>
      <c r="S150" s="221">
        <f>1/IF(AG150="EC",12,1)*SUM(U150:U150)</f>
        <v>1</v>
      </c>
      <c r="T150" s="174" t="str">
        <f>IF(ISEVEN(LEFT(AD150,4)),"Southbound","NorthBound")</f>
        <v>NorthBound</v>
      </c>
      <c r="U150" s="198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16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-10-23T21:21:03-0600',mode:absolute,to:'2017-10-24T00:06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0" s="204" t="str">
        <f>IF(AA150&lt;VLOOKUP(AG150,Variables!$AC$3:$AD$8,2,FALSE),"Y","N")</f>
        <v>N</v>
      </c>
      <c r="X150" s="204">
        <f>VALUE(LEFT(AD150,4))-VALUE(LEFT(AD149,4))</f>
        <v>1</v>
      </c>
      <c r="Y150" s="204">
        <f>RIGHT(D150,LEN(D150)-4)/10000</f>
        <v>4.6199999999999998E-2</v>
      </c>
      <c r="Z150" s="204">
        <f>RIGHT(H150,LEN(H150)-4)/10000</f>
        <v>23.3247</v>
      </c>
      <c r="AA150" s="204">
        <f>ABS(Z150-Y150)</f>
        <v>23.278500000000001</v>
      </c>
      <c r="AB150" s="54" t="e">
        <f>VLOOKUP(A150,Enforcements!$C$7:$K$11,8,0)</f>
        <v>#N/A</v>
      </c>
      <c r="AC150" s="51" t="e">
        <f>VLOOKUP(A150,Enforcements!$C$7:$E$11,3,0)</f>
        <v>#N/A</v>
      </c>
      <c r="AD150" s="179">
        <f>VALUE(LEFT(A150,LEN(A150)-3))</f>
        <v>235</v>
      </c>
      <c r="AE150" s="77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s3://rtdc.mdm.uploadarchive.raw/RTDC4018/ "%USERPROFILE%\AppData\Local\Temp\OnboardLogs"\RTDC4018\2017-10-23 --exclude "*" --recursive --include "*20171023*" &amp; "%USERPROFILE%\Documents\GitHub\mrs-test-scripts\Headless Mode &amp; Sideloading\WalkAndUnGZ.bat" "%USERPROFILE%\AppData\Local\Temp\OnboardLogs"\RTDC4018\2017-10-23 &amp; aws s3 cp s3://rtdc.mdm.uploadarchive.raw/RTDC4018/ "%USERPROFILE%\AppData\Local\Temp\OnboardLogs"\RTDC4018\2017-10-24 --exclude "*" --recursive --include "*20171024*" &amp; "%USERPROFILE%\Documents\GitHub\mrs-test-scripts\Headless Mode &amp; Sideloading\WalkAndUnGZ.bat" "%USERPROFILE%\AppData\Local\Temp\OnboardLogs"\RTDC4018\2017-10-24</v>
      </c>
      <c r="AF150" s="74" t="str">
        <f>astrogrep_path&amp;" /e /r /s /spath="&amp;search_path&amp;" /stypes=""app*"&amp;B150&amp;"*"&amp;TEXT(I150-utc_offset/24,"YYYYMMDD")&amp;"*"" /stext="" "&amp;TEXT(I150-utc_offset/24,"HH")&amp;search_regexp&amp;""""</f>
        <v>"C:\Program Files (x86)\AstroGrep\AstroGrep.exe" /e /r /s /spath="%USERPROFILE%\AppData\Local\Temp\OnboardLogs" /stypes="app*4018*20171024*" /stext=" 05:.+((SYSTEM_STATE.+slice.+state.+changed )|(ment ac)|(multiple cpu faults)|(system.+state.+changed )|(\[timeout)|(PRM\|1\|D)|(kpr)|(kdp)|(train st.+moving)|(\|lc)|(penalty))"</v>
      </c>
      <c r="AG150" s="182" t="str">
        <f>DetSubdiv(A150)</f>
        <v>EC</v>
      </c>
      <c r="AH150" s="78" t="str">
        <f t="shared" si="26"/>
        <v>"%USERPROFILE%\Documents\GitHub\eaglep3\Utilities\RefineRTDCRunTimes.py" --tripid 235-23 --locoid 4018 --swversion DE.1.0.9.0 --startMP 204:462 --initTime 2017-10-23T22:21:03 --startdatetime 2017-10-23T22:30:17 --delay 61 --endMP 204:233247 --enddatetime 2017-10-23T23:06:53 --enforcementcount 0 &gt;&gt;%USERPROFILE%\Documents\GitHub\eaglep3-reporting\EC\2017-10-23-refined-times.txt</v>
      </c>
      <c r="AI150" s="96" t="str">
        <f t="shared" si="27"/>
        <v>echo {"issue":{"subject":"","project_id":79,"tracker_id":40,"status_id":1,"priority_id":2,"assigned_to_id":338,"start_date":"2017-10-23","description":"","custom_fields":[{"id":1,"name":"Subdivision","value":"EC"},{"id":4,"name":"Milepost","value":"23.3247"},{"id":17,"name":"Train ID","value":"235-23"},{"id":16,"name":"Locomotive ID","value":"4018"},{"id":130,"name":"Impact","value":""},{"id":150,"name":"Time of Event (Mountain Time)","value":"23:06:53"},{"id":151,"name":"Denver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0" s="47"/>
      <c r="AL150" s="47"/>
      <c r="AM150" s="142" t="str">
        <f t="shared" si="28"/>
        <v>start /low /b %USERPROFILE%\Documents\GitHub\eaglep3\Utilities\DownloadLogsFromS3.py --loco 4018 --day 2017-10-23</v>
      </c>
      <c r="AN150" s="151" t="str">
        <f t="shared" si="29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05:06:53"},{"id":29,"name":"Sharepoint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168" t="str">
        <f t="shared" si="30"/>
        <v>https://d0f6bd738d7f1b3e5a7ca70fe4ff75f0.us-east-1.aws.found.io/app/kibana#/discover/Steve-Slow-Train-Analysis-(2080s-and-2083s)?_g=(refreshInterval:(display:Off,pause:!f,section:0,value:0),time:(from:'2017-10-23T21:21:03-0600',mode:absolute,to:'2017-10-24T00:06:53-0600'))&amp;_a=(columns:!('Message%20ID',Summary),filters:!(),index:'emp_*',interval:auto,query:(query_string:(analyze_wildcard:!t,query:'%22rtdc.l.rtdc.4018%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3">
      <c r="A151" s="32" t="s">
        <v>676</v>
      </c>
      <c r="B151" s="7">
        <v>4017</v>
      </c>
      <c r="C151" s="21" t="s">
        <v>194</v>
      </c>
      <c r="D151" s="21" t="s">
        <v>404</v>
      </c>
      <c r="E151" s="13">
        <v>43031.931284722225</v>
      </c>
      <c r="F151" s="13">
        <v>43031.977268518516</v>
      </c>
      <c r="G151" s="7">
        <v>61</v>
      </c>
      <c r="H151" s="21" t="s">
        <v>954</v>
      </c>
      <c r="I151" s="13">
        <v>43032.006365740737</v>
      </c>
      <c r="J151" s="7">
        <v>0</v>
      </c>
      <c r="K151" s="89" t="str">
        <f>IF(ISEVEN(B151),(B151-1)&amp;"/"&amp;B151,B151&amp;"/"&amp;(B151+1))</f>
        <v>4017/4018</v>
      </c>
      <c r="L151" s="185" t="str">
        <f>VLOOKUP(A151,'Trips&amp;Operators'!$C$1:$G$99911,5,FALSE)</f>
        <v>WILLIAMS DONTE</v>
      </c>
      <c r="M151" s="6">
        <f>I151-F151</f>
        <v>2.9097222221025731E-2</v>
      </c>
      <c r="N151" s="7">
        <f>24*60*SUM($M151:$M151)</f>
        <v>41.899999998277053</v>
      </c>
      <c r="O151" s="7"/>
      <c r="P151" s="7"/>
      <c r="Q151" s="22"/>
      <c r="R151" s="174"/>
      <c r="S151" s="221">
        <f>1/IF(AG151="EC",12,1)*SUM(U151:U151)</f>
        <v>1</v>
      </c>
      <c r="T151" s="174" t="str">
        <f>IF(ISEVEN(LEFT(AD151,4)),"Southbound","NorthBound")</f>
        <v>Southbound</v>
      </c>
      <c r="U151" s="198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16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-10-23T21:21:03-0600',mode:absolute,to:'2017-10-24T01:09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1" s="204" t="str">
        <f>IF(AA151&lt;VLOOKUP(AG151,Variables!$AC$3:$AD$8,2,FALSE),"Y","N")</f>
        <v>N</v>
      </c>
      <c r="X151" s="204">
        <f>VALUE(LEFT(AD151,4))-VALUE(LEFT(AD150,4))</f>
        <v>1</v>
      </c>
      <c r="Y151" s="204">
        <v>23.3034</v>
      </c>
      <c r="Z151" s="204">
        <v>0.19040000000000001</v>
      </c>
      <c r="AA151" s="204">
        <f>ABS(Z151-Y151)</f>
        <v>23.113</v>
      </c>
      <c r="AB151" s="54" t="e">
        <f>VLOOKUP(A151,Enforcements!$C$7:$K$11,8,0)</f>
        <v>#N/A</v>
      </c>
      <c r="AC151" s="51" t="e">
        <f>VLOOKUP(A151,Enforcements!$C$7:$E$11,3,0)</f>
        <v>#N/A</v>
      </c>
      <c r="AD151" s="179">
        <f>VALUE(LEFT(A151,LEN(A151)-3))</f>
        <v>236</v>
      </c>
      <c r="AE151" s="77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s3://rtdc.mdm.uploadarchive.raw/RTDC4017/ "%USERPROFILE%\AppData\Local\Temp\OnboardLogs"\RTDC4017\2017-10-23 --exclude "*" --recursive --include "*20171023*" &amp; "%USERPROFILE%\Documents\GitHub\mrs-test-scripts\Headless Mode &amp; Sideloading\WalkAndUnGZ.bat" "%USERPROFILE%\AppData\Local\Temp\OnboardLogs"\RTDC4017\2017-10-23 &amp; aws s3 cp s3://rtdc.mdm.uploadarchive.raw/RTDC4017/ "%USERPROFILE%\AppData\Local\Temp\OnboardLogs"\RTDC4017\2017-10-24 --exclude "*" --recursive --include "*20171024*" &amp; "%USERPROFILE%\Documents\GitHub\mrs-test-scripts\Headless Mode &amp; Sideloading\WalkAndUnGZ.bat" "%USERPROFILE%\AppData\Local\Temp\OnboardLogs"\RTDC4017\2017-10-24</v>
      </c>
      <c r="AF151" s="74" t="str">
        <f>astrogrep_path&amp;" /e /r /s /spath="&amp;search_path&amp;" /stypes=""app*"&amp;B151&amp;"*"&amp;TEXT(I151-utc_offset/24,"YYYYMMDD")&amp;"*"" /stext="" "&amp;TEXT(I151-utc_offset/24,"HH")&amp;search_regexp&amp;""""</f>
        <v>"C:\Program Files (x86)\AstroGrep\AstroGrep.exe" /e /r /s /spath="%USERPROFILE%\AppData\Local\Temp\OnboardLogs" /stypes="app*4017*20171024*" /stext=" 06:.+((SYSTEM_STATE.+slice.+state.+changed )|(ment ac)|(multiple cpu faults)|(system.+state.+changed )|(\[timeout)|(PRM\|1\|D)|(kpr)|(kdp)|(train st.+moving)|(\|lc)|(penalty))"</v>
      </c>
      <c r="AG151" s="182" t="str">
        <f>DetSubdiv(A151)</f>
        <v>EC</v>
      </c>
      <c r="AH151" s="78" t="str">
        <f t="shared" ref="AH151" si="36">refinertdcruntimes&amp;" --tripid "&amp;A151&amp;" --locoid "&amp;B151&amp;" --swversion "&amp;C151&amp;" --startMP "&amp;D151&amp;" --initTime "&amp;TEXT(E151,"yyyy-mm-ddTHH:MM:SS")&amp;" --startdatetime "&amp;TEXT(F151,"yyyy-mm-ddTHH:MM:SS")&amp;" --delay "&amp;G151&amp;" --endMP "&amp;H151&amp;" --enddatetime "&amp;TEXT(I151,"yyyy-mm-ddTHH:MM:SS")&amp;" --enforcementcount "&amp;J151&amp;IF(outputrefinedruntimes," &gt;&gt;"&amp;RefinedRTDCRunTimesOutputFile,"")</f>
        <v>"%USERPROFILE%\Documents\GitHub\eaglep3\Utilities\RefineRTDCRunTimes.py" --tripid 236-23 --locoid 4017 --swversion DE.1.0.9.0 --startMP 204:462 --initTime 2017-10-23T22:21:03 --startdatetime 2017-10-23T23:27:16 --delay 61 --endMP 204:233247 --enddatetime 2017-10-24T00:09:10 --enforcementcount 0 &gt;&gt;%USERPROFILE%\Documents\GitHub\eaglep3-reporting\EC\2017-10-23-refined-times.txt</v>
      </c>
      <c r="AI151" s="96" t="str">
        <f t="shared" ref="AI151" si="37">"echo {""issue"":{""subject"":"""&amp;R151&amp;""",""project_id"":79,""tracker_id"":40,""status_id"":"&amp;redmine_status&amp;",""priority_id"":"&amp;redmine_priority&amp;",""assigned_to_id"":"&amp;redmine_assignee&amp;",""start_date"":"""&amp;TEXT(I151,"YYYY-mm-dd")&amp;""",""description"":"""&amp;AJ151&amp;""",""custom_fields"":[{""id"":1,""name"":""Subdivision"",""value"":"""&amp;AG151&amp;"""},{""id"":4,""name"":""Milepost"",""value"":"""&amp;Z151&amp;"""},{""id"":17,""name"":""Train ID"",""value"":"""&amp;A151&amp;"""},{""id"":16,""name"":""Locomotive ID"",""value"":"""&amp;B151&amp;"""},{""id"":130,""name"":""Impact"",""value"":"""&amp;AK151&amp;"""},{""id"":150,""name"":""Time of Event (Mountain Time)"",""value"":"""&amp;TEXT(I151,"hh:mm:ss")&amp;"""},{""id"":151,""name"":""Denver Issue ID"",""value"":"""&amp;"""},{""id"":178,""name"":""Operational Impact"",""value"":"""&amp;redmine_op_impact&amp;"""},{""id"":179,""name"":""Denver Segment Assigned"",""value"":"""&amp;AL151&amp;"""}]}}"&amp;"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{"issue":{"subject":"","project_id":79,"tracker_id":40,"status_id":1,"priority_id":2,"assigned_to_id":338,"start_date":"2017-10-24","description":"","custom_fields":[{"id":1,"name":"Subdivision","value":"EC"},{"id":4,"name":"Milepost","value":"0.1904"},{"id":17,"name":"Train ID","value":"236-23"},{"id":16,"name":"Locomotive ID","value":"4017"},{"id":130,"name":"Impact","value":""},{"id":150,"name":"Time of Event (Mountain Time)","value":"00:09:10"},{"id":151,"name":"Denver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1" s="47"/>
      <c r="AL151" s="47"/>
      <c r="AM151" s="142" t="str">
        <f t="shared" ref="AM151" si="38">"start /low /b "&amp;dls3logs&amp;" --loco "&amp;B151&amp;" --day "&amp;TEXT(F151,"YYYY-MM-DD")</f>
        <v>start /low /b %USERPROFILE%\Documents\GitHub\eaglep3\Utilities\DownloadLogsFromS3.py --loco 4017 --day 2017-10-23</v>
      </c>
      <c r="AN151" s="151" t="str">
        <f t="shared" ref="AN151" si="39">"echo {""issue"":{""subject"":"""&amp;R151&amp;""",""project_id"":30,""tracker_id"":4,""status_id"":"&amp;redmine_status_wcr&amp;",""priority_id"":"&amp;redmine_priority_wcr&amp;",""assigned_to_id"":"&amp;redmine_assignee_wcr&amp;",""start_date"":"""&amp;TEXT(I151-utc_offset/24,"YYYY-mm-dd")&amp;""",""description"":"""&amp;AJ151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06:09:10"},{"id":29,"name":"Sharepoint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168" t="str">
        <f t="shared" ref="AO151" si="40"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Message%20ID',Summary),filters:!(),index:'emp_*',interval:auto,query:"&amp;"(query_string:(analyze_wildcard:!t,query:'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-10-23T21:21:03-0600',mode:absolute,to:'2017-10-24T01:09:10-0600'))&amp;_a=(columns:!('Message%20ID',Summary),filters:!(),index:'emp_*',interval:auto,query:(query_string:(analyze_wildcard:!t,query:'%22rtdc.l.rtdc.4017%22')),sort:!(Time.ISO8601,asc))</v>
      </c>
    </row>
    <row r="152" spans="1:91" s="20" customFormat="1" x14ac:dyDescent="0.3">
      <c r="A152" s="32" t="s">
        <v>675</v>
      </c>
      <c r="B152" s="7">
        <v>4042</v>
      </c>
      <c r="C152" s="21" t="s">
        <v>194</v>
      </c>
      <c r="D152" s="21" t="s">
        <v>955</v>
      </c>
      <c r="E152" s="13">
        <v>43031.941238425927</v>
      </c>
      <c r="F152" s="13">
        <v>43031.958483796298</v>
      </c>
      <c r="G152" s="7">
        <v>55</v>
      </c>
      <c r="H152" s="21" t="s">
        <v>556</v>
      </c>
      <c r="I152" s="13">
        <v>43031.982905092591</v>
      </c>
      <c r="J152" s="7">
        <v>0</v>
      </c>
      <c r="K152" s="89" t="str">
        <f>IF(ISEVEN(B152),(B152-1)&amp;"/"&amp;B152,B152&amp;"/"&amp;(B152+1))</f>
        <v>4041/4042</v>
      </c>
      <c r="L152" s="185" t="str">
        <f>VLOOKUP(A152,'Trips&amp;Operators'!$C$1:$G$99911,5,FALSE)</f>
        <v>ELBAUM MIKE</v>
      </c>
      <c r="M152" s="6">
        <f>I152-F152</f>
        <v>2.4421296293439809E-2</v>
      </c>
      <c r="N152" s="7">
        <f>24*60*SUM($M152:$M152)</f>
        <v>35.166666662553325</v>
      </c>
      <c r="O152" s="7"/>
      <c r="P152" s="7"/>
      <c r="Q152" s="22"/>
      <c r="R152" s="174"/>
      <c r="S152" s="221">
        <f>1/IF(AG152="EC",12,1)*SUM(U152:U152)</f>
        <v>1</v>
      </c>
      <c r="T152" s="174" t="str">
        <f>IF(ISEVEN(LEFT(AD152,4)),"Southbound","NorthBound")</f>
        <v>NorthBound</v>
      </c>
      <c r="U152" s="198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16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-10-23T21:35:23-0600',mode:absolute,to:'2017-10-24T00:35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2" s="204" t="str">
        <f>IF(AA152&lt;VLOOKUP(AG152,Variables!$AC$3:$AD$8,2,FALSE),"Y","N")</f>
        <v>N</v>
      </c>
      <c r="X152" s="204">
        <f>VALUE(LEFT(AD152,4))-VALUE(LEFT(AD151,4))</f>
        <v>1</v>
      </c>
      <c r="Y152" s="204">
        <f>RIGHT(D152,LEN(D152)-4)/10000</f>
        <v>4.9099999999999998E-2</v>
      </c>
      <c r="Z152" s="204">
        <f>RIGHT(H152,LEN(H152)-4)/10000</f>
        <v>23.334</v>
      </c>
      <c r="AA152" s="204">
        <f>ABS(Z152-Y152)</f>
        <v>23.2849</v>
      </c>
      <c r="AB152" s="54" t="str">
        <f>VLOOKUP(A152,Enforcements!$C$7:$K$11,8,0)</f>
        <v>Speed (6)</v>
      </c>
      <c r="AC152" s="51" t="str">
        <f>VLOOKUP(A152,Enforcements!$C$7:$E$11,3,0)</f>
        <v>PERMANENT SPEED RESTRICTION</v>
      </c>
      <c r="AD152" s="179">
        <f>VALUE(LEFT(A152,LEN(A152)-3))</f>
        <v>237</v>
      </c>
      <c r="AE152" s="77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s3://rtdc.mdm.uploadarchive.raw/RTDC4042/ "%USERPROFILE%\AppData\Local\Temp\OnboardLogs"\RTDC4042\2017-10-23 --exclude "*" --recursive --include "*20171023*" &amp; "%USERPROFILE%\Documents\GitHub\mrs-test-scripts\Headless Mode &amp; Sideloading\WalkAndUnGZ.bat" "%USERPROFILE%\AppData\Local\Temp\OnboardLogs"\RTDC4042\2017-10-23 &amp; aws s3 cp s3://rtdc.mdm.uploadarchive.raw/RTDC4042/ "%USERPROFILE%\AppData\Local\Temp\OnboardLogs"\RTDC4042\2017-10-24 --exclude "*" --recursive --include "*20171024*" &amp; "%USERPROFILE%\Documents\GitHub\mrs-test-scripts\Headless Mode &amp; Sideloading\WalkAndUnGZ.bat" "%USERPROFILE%\AppData\Local\Temp\OnboardLogs"\RTDC4042\2017-10-24</v>
      </c>
      <c r="AF152" s="74" t="str">
        <f>astrogrep_path&amp;" /e /r /s /spath="&amp;search_path&amp;" /stypes=""app*"&amp;B152&amp;"*"&amp;TEXT(I152-utc_offset/24,"YYYYMMDD")&amp;"*"" /stext="" "&amp;TEXT(I152-utc_offset/24,"HH")&amp;search_regexp&amp;""""</f>
        <v>"C:\Program Files (x86)\AstroGrep\AstroGrep.exe" /e /r /s /spath="%USERPROFILE%\AppData\Local\Temp\OnboardLogs" /stypes="app*4042*20171024*" /stext=" 05:.+((SYSTEM_STATE.+slice.+state.+changed )|(ment ac)|(multiple cpu faults)|(system.+state.+changed )|(\[timeout)|(PRM\|1\|D)|(kpr)|(kdp)|(train st.+moving)|(\|lc)|(penalty))"</v>
      </c>
      <c r="AG152" s="182" t="str">
        <f>DetSubdiv(A152)</f>
        <v>EC</v>
      </c>
      <c r="AH152" s="78" t="str">
        <f t="shared" si="26"/>
        <v>"%USERPROFILE%\Documents\GitHub\eaglep3\Utilities\RefineRTDCRunTimes.py" --tripid 237-23 --locoid 4042 --swversion DE.1.0.9.0 --startMP 204:491 --initTime 2017-10-23T22:35:23 --startdatetime 2017-10-23T23:00:13 --delay 55 --endMP 204:233340 --enddatetime 2017-10-23T23:35:23 --enforcementcount 0 &gt;&gt;%USERPROFILE%\Documents\GitHub\eaglep3-reporting\EC\2017-10-23-refined-times.txt</v>
      </c>
      <c r="AI152" s="96" t="str">
        <f t="shared" si="27"/>
        <v>echo {"issue":{"subject":"","project_id":79,"tracker_id":40,"status_id":1,"priority_id":2,"assigned_to_id":338,"start_date":"2017-10-23","description":"","custom_fields":[{"id":1,"name":"Subdivision","value":"EC"},{"id":4,"name":"Milepost","value":"23.334"},{"id":17,"name":"Train ID","value":"237-23"},{"id":16,"name":"Locomotive ID","value":"4042"},{"id":130,"name":"Impact","value":""},{"id":150,"name":"Time of Event (Mountain Time)","value":"23:35:23"},{"id":151,"name":"Denver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2" s="47"/>
      <c r="AL152" s="47"/>
      <c r="AM152" s="142" t="str">
        <f t="shared" si="28"/>
        <v>start /low /b %USERPROFILE%\Documents\GitHub\eaglep3\Utilities\DownloadLogsFromS3.py --loco 4042 --day 2017-10-23</v>
      </c>
      <c r="AN152" s="151" t="str">
        <f t="shared" si="29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05:35:23"},{"id":29,"name":"Sharepoint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168" t="str">
        <f t="shared" si="30"/>
        <v>https://d0f6bd738d7f1b3e5a7ca70fe4ff75f0.us-east-1.aws.found.io/app/kibana#/discover/Steve-Slow-Train-Analysis-(2080s-and-2083s)?_g=(refreshInterval:(display:Off,pause:!f,section:0,value:0),time:(from:'2017-10-23T21:35:23-0600',mode:absolute,to:'2017-10-24T00:35:23-0600'))&amp;_a=(columns:!('Message%20ID',Summary),filters:!(),index:'emp_*',interval:auto,query:(query_string:(analyze_wildcard:!t,query:'%22rtdc.l.rtdc.4042%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3">
      <c r="A153" s="32" t="s">
        <v>887</v>
      </c>
      <c r="B153" s="7">
        <v>4041</v>
      </c>
      <c r="C153" s="21" t="s">
        <v>194</v>
      </c>
      <c r="D153" s="21" t="s">
        <v>610</v>
      </c>
      <c r="E153" s="13">
        <v>43031.983969907407</v>
      </c>
      <c r="F153" s="13">
        <v>43031.998090277775</v>
      </c>
      <c r="G153" s="7">
        <v>63</v>
      </c>
      <c r="H153" s="21" t="s">
        <v>914</v>
      </c>
      <c r="I153" s="13">
        <v>43032.025046296294</v>
      </c>
      <c r="J153" s="7">
        <v>0</v>
      </c>
      <c r="K153" s="89" t="str">
        <f>IF(ISEVEN(B153),(B153-1)&amp;"/"&amp;B153,B153&amp;"/"&amp;(B153+1))</f>
        <v>4041/4042</v>
      </c>
      <c r="L153" s="185" t="str">
        <f>VLOOKUP(A153,'Trips&amp;Operators'!$C$1:$G$99911,5,FALSE)</f>
        <v>ELBAUM MIKE</v>
      </c>
      <c r="M153" s="6">
        <f>I153-F153</f>
        <v>2.6956018518831115E-2</v>
      </c>
      <c r="N153" s="7">
        <f>24*60*SUM($M153:$M153)</f>
        <v>38.816666667116806</v>
      </c>
      <c r="O153" s="7"/>
      <c r="P153" s="7"/>
      <c r="Q153" s="22"/>
      <c r="R153" s="174"/>
      <c r="S153" s="221">
        <f>1/IF(AG153="EC",12,1)*SUM(U153:U153)</f>
        <v>1</v>
      </c>
      <c r="T153" s="174" t="str">
        <f>IF(ISEVEN(LEFT(AD153,4)),"Southbound","NorthBound")</f>
        <v>Southbound</v>
      </c>
      <c r="U153" s="198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16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-10-23T22:36:55-0600',mode:absolute,to:'2017-10-24T01:36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3" s="204" t="str">
        <f>IF(AA153&lt;VLOOKUP(AG153,Variables!$AC$3:$AD$8,2,FALSE),"Y","N")</f>
        <v>N</v>
      </c>
      <c r="X153" s="204">
        <f>VALUE(LEFT(AD153,4))-VALUE(LEFT(AD152,4))</f>
        <v>1</v>
      </c>
      <c r="Y153" s="204">
        <f>RIGHT(D153,LEN(D153)-4)/10000</f>
        <v>23.300999999999998</v>
      </c>
      <c r="Z153" s="204">
        <f>RIGHT(H153,LEN(H153)-4)/10000</f>
        <v>1.7600000000000001E-2</v>
      </c>
      <c r="AA153" s="204">
        <f>ABS(Z153-Y153)</f>
        <v>23.283399999999997</v>
      </c>
      <c r="AB153" s="54" t="e">
        <f>VLOOKUP(A153,Enforcements!$C$7:$K$11,8,0)</f>
        <v>#N/A</v>
      </c>
      <c r="AC153" s="51" t="e">
        <f>VLOOKUP(A153,Enforcements!$C$7:$E$11,3,0)</f>
        <v>#N/A</v>
      </c>
      <c r="AD153" s="179">
        <f>VALUE(LEFT(A153,LEN(A153)-3))</f>
        <v>238</v>
      </c>
      <c r="AE153" s="77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s3://rtdc.mdm.uploadarchive.raw/RTDC4041/ "%USERPROFILE%\AppData\Local\Temp\OnboardLogs"\RTDC4041\2017-10-23 --exclude "*" --recursive --include "*20171023*" &amp; "%USERPROFILE%\Documents\GitHub\mrs-test-scripts\Headless Mode &amp; Sideloading\WalkAndUnGZ.bat" "%USERPROFILE%\AppData\Local\Temp\OnboardLogs"\RTDC4041\2017-10-23 &amp; aws s3 cp s3://rtdc.mdm.uploadarchive.raw/RTDC4041/ "%USERPROFILE%\AppData\Local\Temp\OnboardLogs"\RTDC4041\2017-10-24 --exclude "*" --recursive --include "*20171024*" &amp; "%USERPROFILE%\Documents\GitHub\mrs-test-scripts\Headless Mode &amp; Sideloading\WalkAndUnGZ.bat" "%USERPROFILE%\AppData\Local\Temp\OnboardLogs"\RTDC4041\2017-10-24</v>
      </c>
      <c r="AF153" s="74" t="str">
        <f>astrogrep_path&amp;" /e /r /s /spath="&amp;search_path&amp;" /stypes=""app*"&amp;B153&amp;"*"&amp;TEXT(I153-utc_offset/24,"YYYYMMDD")&amp;"*"" /stext="" "&amp;TEXT(I153-utc_offset/24,"HH")&amp;search_regexp&amp;""""</f>
        <v>"C:\Program Files (x86)\AstroGrep\AstroGrep.exe" /e /r /s /spath="%USERPROFILE%\AppData\Local\Temp\OnboardLogs" /stypes="app*4041*20171024*" /stext=" 06:.+((SYSTEM_STATE.+slice.+state.+changed )|(ment ac)|(multiple cpu faults)|(system.+state.+changed )|(\[timeout)|(PRM\|1\|D)|(kpr)|(kdp)|(train st.+moving)|(\|lc)|(penalty))"</v>
      </c>
      <c r="AG153" s="182" t="str">
        <f>DetSubdiv(A153)</f>
        <v>EC</v>
      </c>
      <c r="AH153" s="78" t="str">
        <f t="shared" si="26"/>
        <v>"%USERPROFILE%\Documents\GitHub\eaglep3\Utilities\RefineRTDCRunTimes.py" --tripid 238-23 --locoid 4041 --swversion DE.1.0.9.0 --startMP 204:233010 --initTime 2017-10-23T23:36:55 --startdatetime 2017-10-23T23:57:15 --delay 63 --endMP 204:176 --enddatetime 2017-10-24T00:36:04 --enforcementcount 0 &gt;&gt;%USERPROFILE%\Documents\GitHub\eaglep3-reporting\EC\2017-10-23-refined-times.txt</v>
      </c>
      <c r="AI153" s="96" t="str">
        <f t="shared" si="27"/>
        <v>echo {"issue":{"subject":"","project_id":79,"tracker_id":40,"status_id":1,"priority_id":2,"assigned_to_id":338,"start_date":"2017-10-24","description":"","custom_fields":[{"id":1,"name":"Subdivision","value":"EC"},{"id":4,"name":"Milepost","value":"0.0176"},{"id":17,"name":"Train ID","value":"238-23"},{"id":16,"name":"Locomotive ID","value":"4041"},{"id":130,"name":"Impact","value":""},{"id":150,"name":"Time of Event (Mountain Time)","value":"00:36:04"},{"id":151,"name":"Denver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3" s="47"/>
      <c r="AL153" s="47"/>
      <c r="AM153" s="142" t="str">
        <f t="shared" si="28"/>
        <v>start /low /b %USERPROFILE%\Documents\GitHub\eaglep3\Utilities\DownloadLogsFromS3.py --loco 4041 --day 2017-10-23</v>
      </c>
      <c r="AN153" s="151" t="str">
        <f t="shared" si="29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06:36:04"},{"id":29,"name":"Sharepoint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168" t="str">
        <f t="shared" si="30"/>
        <v>https://d0f6bd738d7f1b3e5a7ca70fe4ff75f0.us-east-1.aws.found.io/app/kibana#/discover/Steve-Slow-Train-Analysis-(2080s-and-2083s)?_g=(refreshInterval:(display:Off,pause:!f,section:0,value:0),time:(from:'2017-10-23T22:36:55-0600',mode:absolute,to:'2017-10-24T01:36:04-0600'))&amp;_a=(columns:!('Message%20ID',Summary),filters:!(),index:'emp_*',interval:auto,query:(query_string:(analyze_wildcard:!t,query:'%22rtdc.l.rtdc.4041%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3">
      <c r="A154" s="32" t="s">
        <v>883</v>
      </c>
      <c r="B154" s="7">
        <v>4046</v>
      </c>
      <c r="C154" s="21" t="s">
        <v>194</v>
      </c>
      <c r="D154" s="21" t="s">
        <v>384</v>
      </c>
      <c r="E154" s="13">
        <v>43031.964016203703</v>
      </c>
      <c r="F154" s="13">
        <v>43031.979409722226</v>
      </c>
      <c r="G154" s="7">
        <v>51</v>
      </c>
      <c r="H154" s="21" t="s">
        <v>956</v>
      </c>
      <c r="I154" s="13">
        <v>43032.003287037034</v>
      </c>
      <c r="J154" s="7">
        <v>0</v>
      </c>
      <c r="K154" s="89" t="str">
        <f>IF(ISEVEN(B154),(B154-1)&amp;"/"&amp;B154,B154&amp;"/"&amp;(B154+1))</f>
        <v>4045/4046</v>
      </c>
      <c r="L154" s="185" t="str">
        <f>VLOOKUP(A154,'Trips&amp;Operators'!$C$1:$G$99911,5,FALSE)</f>
        <v>LOZA FIDEL</v>
      </c>
      <c r="M154" s="6">
        <f>I154-F154</f>
        <v>2.3877314808487426E-2</v>
      </c>
      <c r="N154" s="7">
        <f>24*60*SUM($M154:$M154)</f>
        <v>34.383333324221894</v>
      </c>
      <c r="O154" s="7"/>
      <c r="P154" s="7"/>
      <c r="Q154" s="22"/>
      <c r="R154" s="174"/>
      <c r="S154" s="221">
        <f>1/IF(AG154="EC",12,1)*SUM(U154:U154)</f>
        <v>1</v>
      </c>
      <c r="T154" s="174" t="str">
        <f>IF(ISEVEN(LEFT(AD154,4)),"Southbound","NorthBound")</f>
        <v>NorthBound</v>
      </c>
      <c r="U154" s="198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16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-10-23T22:08:11-0600',mode:absolute,to:'2017-10-24T01:04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4" s="204" t="str">
        <f>IF(AA154&lt;VLOOKUP(AG154,Variables!$AC$3:$AD$8,2,FALSE),"Y","N")</f>
        <v>N</v>
      </c>
      <c r="X154" s="204">
        <f>VALUE(LEFT(AD154,4))-VALUE(LEFT(AD153,4))</f>
        <v>1</v>
      </c>
      <c r="Y154" s="204">
        <f>RIGHT(D154,LEN(D154)-4)/10000</f>
        <v>4.7300000000000002E-2</v>
      </c>
      <c r="Z154" s="204">
        <f>RIGHT(H154,LEN(H154)-4)/10000</f>
        <v>23.340299999999999</v>
      </c>
      <c r="AA154" s="204">
        <f>ABS(Z154-Y154)</f>
        <v>23.292999999999999</v>
      </c>
      <c r="AB154" s="54" t="e">
        <f>VLOOKUP(A154,Enforcements!$C$7:$K$11,8,0)</f>
        <v>#N/A</v>
      </c>
      <c r="AC154" s="51" t="e">
        <f>VLOOKUP(A154,Enforcements!$C$7:$E$11,3,0)</f>
        <v>#N/A</v>
      </c>
      <c r="AD154" s="179">
        <f>VALUE(LEFT(A154,LEN(A154)-3))</f>
        <v>239</v>
      </c>
      <c r="AE154" s="77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s3://rtdc.mdm.uploadarchive.raw/RTDC4046/ "%USERPROFILE%\AppData\Local\Temp\OnboardLogs"\RTDC4046\2017-10-23 --exclude "*" --recursive --include "*20171023*" &amp; "%USERPROFILE%\Documents\GitHub\mrs-test-scripts\Headless Mode &amp; Sideloading\WalkAndUnGZ.bat" "%USERPROFILE%\AppData\Local\Temp\OnboardLogs"\RTDC4046\2017-10-23 &amp; aws s3 cp s3://rtdc.mdm.uploadarchive.raw/RTDC4046/ "%USERPROFILE%\AppData\Local\Temp\OnboardLogs"\RTDC4046\2017-10-24 --exclude "*" --recursive --include "*20171024*" &amp; "%USERPROFILE%\Documents\GitHub\mrs-test-scripts\Headless Mode &amp; Sideloading\WalkAndUnGZ.bat" "%USERPROFILE%\AppData\Local\Temp\OnboardLogs"\RTDC4046\2017-10-24</v>
      </c>
      <c r="AF154" s="74" t="str">
        <f>astrogrep_path&amp;" /e /r /s /spath="&amp;search_path&amp;" /stypes=""app*"&amp;B154&amp;"*"&amp;TEXT(I154-utc_offset/24,"YYYYMMDD")&amp;"*"" /stext="" "&amp;TEXT(I154-utc_offset/24,"HH")&amp;search_regexp&amp;""""</f>
        <v>"C:\Program Files (x86)\AstroGrep\AstroGrep.exe" /e /r /s /spath="%USERPROFILE%\AppData\Local\Temp\OnboardLogs" /stypes="app*4046*20171024*" /stext=" 06:.+((SYSTEM_STATE.+slice.+state.+changed )|(ment ac)|(multiple cpu faults)|(system.+state.+changed )|(\[timeout)|(PRM\|1\|D)|(kpr)|(kdp)|(train st.+moving)|(\|lc)|(penalty))"</v>
      </c>
      <c r="AG154" s="182" t="str">
        <f>DetSubdiv(A154)</f>
        <v>EC</v>
      </c>
      <c r="AH154" s="78" t="str">
        <f t="shared" si="26"/>
        <v>"%USERPROFILE%\Documents\GitHub\eaglep3\Utilities\RefineRTDCRunTimes.py" --tripid 239-23 --locoid 4046 --swversion DE.1.0.9.0 --startMP 204:473 --initTime 2017-10-23T23:08:11 --startdatetime 2017-10-23T23:30:21 --delay 51 --endMP 204:233403 --enddatetime 2017-10-24T00:04:44 --enforcementcount 0 &gt;&gt;%USERPROFILE%\Documents\GitHub\eaglep3-reporting\EC\2017-10-23-refined-times.txt</v>
      </c>
      <c r="AI154" s="96" t="str">
        <f t="shared" si="27"/>
        <v>echo {"issue":{"subject":"","project_id":79,"tracker_id":40,"status_id":1,"priority_id":2,"assigned_to_id":338,"start_date":"2017-10-24","description":"","custom_fields":[{"id":1,"name":"Subdivision","value":"EC"},{"id":4,"name":"Milepost","value":"23.3403"},{"id":17,"name":"Train ID","value":"239-23"},{"id":16,"name":"Locomotive ID","value":"4046"},{"id":130,"name":"Impact","value":""},{"id":150,"name":"Time of Event (Mountain Time)","value":"00:04:44"},{"id":151,"name":"Denver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4" s="47"/>
      <c r="AL154" s="47"/>
      <c r="AM154" s="142" t="str">
        <f t="shared" si="28"/>
        <v>start /low /b %USERPROFILE%\Documents\GitHub\eaglep3\Utilities\DownloadLogsFromS3.py --loco 4046 --day 2017-10-23</v>
      </c>
      <c r="AN154" s="151" t="str">
        <f t="shared" si="29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06:04:44"},{"id":29,"name":"Sharepoint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168" t="str">
        <f t="shared" si="30"/>
        <v>https://d0f6bd738d7f1b3e5a7ca70fe4ff75f0.us-east-1.aws.found.io/app/kibana#/discover/Steve-Slow-Train-Analysis-(2080s-and-2083s)?_g=(refreshInterval:(display:Off,pause:!f,section:0,value:0),time:(from:'2017-10-23T22:08:11-0600',mode:absolute,to:'2017-10-24T01:04:44-0600'))&amp;_a=(columns:!('Message%20ID',Summary),filters:!(),index:'emp_*',interval:auto,query:(query_string:(analyze_wildcard:!t,query:'%22rtdc.l.rtdc.4046%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3">
      <c r="A155" s="32" t="s">
        <v>888</v>
      </c>
      <c r="B155" s="7">
        <v>4045</v>
      </c>
      <c r="C155" s="21" t="s">
        <v>194</v>
      </c>
      <c r="D155" s="21" t="s">
        <v>957</v>
      </c>
      <c r="E155" s="13">
        <v>43032.017002314817</v>
      </c>
      <c r="F155" s="13">
        <v>43032.018946759257</v>
      </c>
      <c r="G155" s="7">
        <v>58</v>
      </c>
      <c r="H155" s="21" t="s">
        <v>412</v>
      </c>
      <c r="I155" s="13">
        <v>43032.04550925926</v>
      </c>
      <c r="J155" s="7">
        <v>0</v>
      </c>
      <c r="K155" s="89" t="str">
        <f>IF(ISEVEN(B155),(B155-1)&amp;"/"&amp;B155,B155&amp;"/"&amp;(B155+1))</f>
        <v>4045/4046</v>
      </c>
      <c r="L155" s="185" t="str">
        <f>VLOOKUP(A155,'Trips&amp;Operators'!$C$1:$G$99911,5,FALSE)</f>
        <v>LOZA FIDEL</v>
      </c>
      <c r="M155" s="6">
        <f>I155-F155</f>
        <v>2.6562500002910383E-2</v>
      </c>
      <c r="N155" s="7">
        <f>24*60*SUM($M155:$M155)</f>
        <v>38.250000004190952</v>
      </c>
      <c r="O155" s="7"/>
      <c r="P155" s="7"/>
      <c r="Q155" s="22"/>
      <c r="R155" s="174"/>
      <c r="S155" s="221">
        <f>1/IF(AG155="EC",12,1)*SUM(U155:U155)</f>
        <v>1</v>
      </c>
      <c r="T155" s="174" t="str">
        <f>IF(ISEVEN(LEFT(AD155,4)),"Southbound","NorthBound")</f>
        <v>Southbound</v>
      </c>
      <c r="U155" s="198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16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-10-23T23:24:29-0600',mode:absolute,to:'2017-10-24T02:05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55" s="204" t="str">
        <f>IF(AA155&lt;VLOOKUP(AG155,Variables!$AC$3:$AD$8,2,FALSE),"Y","N")</f>
        <v>N</v>
      </c>
      <c r="X155" s="204">
        <f>VALUE(LEFT(AD155,4))-VALUE(LEFT(AD154,4))</f>
        <v>1</v>
      </c>
      <c r="Y155" s="204">
        <f>RIGHT(D155,LEN(D155)-4)/10000</f>
        <v>23.308599999999998</v>
      </c>
      <c r="Z155" s="204">
        <f>RIGHT(H155,LEN(H155)-4)/10000</f>
        <v>1.41E-2</v>
      </c>
      <c r="AA155" s="204">
        <f>ABS(Z155-Y155)</f>
        <v>23.294499999999999</v>
      </c>
      <c r="AB155" s="54" t="e">
        <f>VLOOKUP(A155,Enforcements!$C$7:$K$11,8,0)</f>
        <v>#N/A</v>
      </c>
      <c r="AC155" s="51" t="e">
        <f>VLOOKUP(A155,Enforcements!$C$7:$E$11,3,0)</f>
        <v>#N/A</v>
      </c>
      <c r="AD155" s="179">
        <f>VALUE(LEFT(A155,LEN(A155)-3))</f>
        <v>240</v>
      </c>
      <c r="AE155" s="77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s3://rtdc.mdm.uploadarchive.raw/RTDC4045/ "%USERPROFILE%\AppData\Local\Temp\OnboardLogs"\RTDC4045\2017-10-24 --exclude "*" --recursive --include "*20171024*" &amp; "%USERPROFILE%\Documents\GitHub\mrs-test-scripts\Headless Mode &amp; Sideloading\WalkAndUnGZ.bat" "%USERPROFILE%\AppData\Local\Temp\OnboardLogs"\RTDC4045\2017-10-24 &amp; aws s3 cp s3://rtdc.mdm.uploadarchive.raw/RTDC4045/ "%USERPROFILE%\AppData\Local\Temp\OnboardLogs"\RTDC4045\2017-10-25 --exclude "*" --recursive --include "*20171025*" &amp; "%USERPROFILE%\Documents\GitHub\mrs-test-scripts\Headless Mode &amp; Sideloading\WalkAndUnGZ.bat" "%USERPROFILE%\AppData\Local\Temp\OnboardLogs"\RTDC4045\2017-10-25</v>
      </c>
      <c r="AF155" s="74" t="str">
        <f>astrogrep_path&amp;" /e /r /s /spath="&amp;search_path&amp;" /stypes=""app*"&amp;B155&amp;"*"&amp;TEXT(I155-utc_offset/24,"YYYYMMDD")&amp;"*"" /stext="" "&amp;TEXT(I155-utc_offset/24,"HH")&amp;search_regexp&amp;""""</f>
        <v>"C:\Program Files (x86)\AstroGrep\AstroGrep.exe" /e /r /s /spath="%USERPROFILE%\AppData\Local\Temp\OnboardLogs" /stypes="app*4045*20171024*" /stext=" 07:.+((SYSTEM_STATE.+slice.+state.+changed )|(ment ac)|(multiple cpu faults)|(system.+state.+changed )|(\[timeout)|(PRM\|1\|D)|(kpr)|(kdp)|(train st.+moving)|(\|lc)|(penalty))"</v>
      </c>
      <c r="AG155" s="182" t="str">
        <f>DetSubdiv(A155)</f>
        <v>EC</v>
      </c>
      <c r="AH155" s="78" t="str">
        <f t="shared" si="26"/>
        <v>"%USERPROFILE%\Documents\GitHub\eaglep3\Utilities\RefineRTDCRunTimes.py" --tripid 240-23 --locoid 4045 --swversion DE.1.0.9.0 --startMP 204:233086 --initTime 2017-10-24T00:24:29 --startdatetime 2017-10-24T00:27:17 --delay 58 --endMP 204:141 --enddatetime 2017-10-24T01:05:32 --enforcementcount 0 &gt;&gt;%USERPROFILE%\Documents\GitHub\eaglep3-reporting\EC\2017-10-23-refined-times.txt</v>
      </c>
      <c r="AI155" s="96" t="str">
        <f t="shared" si="27"/>
        <v>echo {"issue":{"subject":"","project_id":79,"tracker_id":40,"status_id":1,"priority_id":2,"assigned_to_id":338,"start_date":"2017-10-24","description":"","custom_fields":[{"id":1,"name":"Subdivision","value":"EC"},{"id":4,"name":"Milepost","value":"0.0141"},{"id":17,"name":"Train ID","value":"240-23"},{"id":16,"name":"Locomotive ID","value":"4045"},{"id":130,"name":"Impact","value":""},{"id":150,"name":"Time of Event (Mountain Time)","value":"01:05:32"},{"id":151,"name":"Denver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5" s="47"/>
      <c r="AL155" s="47"/>
      <c r="AM155" s="142" t="str">
        <f t="shared" si="28"/>
        <v>start /low /b %USERPROFILE%\Documents\GitHub\eaglep3\Utilities\DownloadLogsFromS3.py --loco 4045 --day 2017-10-24</v>
      </c>
      <c r="AN155" s="151" t="str">
        <f t="shared" si="29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07:05:32"},{"id":29,"name":"Sharepoint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168" t="str">
        <f t="shared" si="30"/>
        <v>https://d0f6bd738d7f1b3e5a7ca70fe4ff75f0.us-east-1.aws.found.io/app/kibana#/discover/Steve-Slow-Train-Analysis-(2080s-and-2083s)?_g=(refreshInterval:(display:Off,pause:!f,section:0,value:0),time:(from:'2017-10-23T23:24:29-0600',mode:absolute,to:'2017-10-24T02:05:32-0600'))&amp;_a=(columns:!('Message%20ID',Summary),filters:!(),index:'emp_*',interval:auto,query:(query_string:(analyze_wildcard:!t,query:'%22rtdc.l.rtdc.4045%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3">
      <c r="A156" s="32" t="s">
        <v>677</v>
      </c>
      <c r="B156" s="7">
        <v>4050</v>
      </c>
      <c r="C156" s="21" t="s">
        <v>194</v>
      </c>
      <c r="D156" s="21" t="s">
        <v>461</v>
      </c>
      <c r="E156" s="13">
        <v>43031.977916666663</v>
      </c>
      <c r="F156" s="13">
        <v>43032.000208333331</v>
      </c>
      <c r="G156" s="7">
        <v>1141</v>
      </c>
      <c r="H156" s="21" t="s">
        <v>958</v>
      </c>
      <c r="I156" s="13">
        <v>43032.025173611109</v>
      </c>
      <c r="J156" s="7">
        <v>0</v>
      </c>
      <c r="K156" s="89" t="str">
        <f>IF(ISEVEN(B156),(B156-1)&amp;"/"&amp;B156,B156&amp;"/"&amp;(B156+1))</f>
        <v>4049/4050</v>
      </c>
      <c r="L156" s="185" t="str">
        <f>VLOOKUP(A156,'Trips&amp;Operators'!$C$1:$G$99911,5,FALSE)</f>
        <v>CASSIDY BRANDON</v>
      </c>
      <c r="M156" s="6">
        <f>I156-F156</f>
        <v>2.4965277778392192E-2</v>
      </c>
      <c r="N156" s="7">
        <f>24*60*SUM($M156:$M156)</f>
        <v>35.950000000884756</v>
      </c>
      <c r="O156" s="7"/>
      <c r="P156" s="7"/>
      <c r="Q156" s="22"/>
      <c r="R156" s="174"/>
      <c r="S156" s="221">
        <f>1/IF(AG156="EC",12,1)*SUM(U156:U156)</f>
        <v>1</v>
      </c>
      <c r="T156" s="174" t="str">
        <f>IF(ISEVEN(LEFT(AD156,4)),"Southbound","NorthBound")</f>
        <v>NorthBound</v>
      </c>
      <c r="U156" s="198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16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-10-23T22:28:12-0600',mode:absolute,to:'2017-10-24T01:36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56" s="204" t="str">
        <f>IF(AA156&lt;VLOOKUP(AG156,Variables!$AC$3:$AD$8,2,FALSE),"Y","N")</f>
        <v>N</v>
      </c>
      <c r="X156" s="204">
        <f>VALUE(LEFT(AD156,4))-VALUE(LEFT(AD155,4))</f>
        <v>1</v>
      </c>
      <c r="Y156" s="204">
        <f>RIGHT(D156,LEN(D156)-4)/10000</f>
        <v>4.6600000000000003E-2</v>
      </c>
      <c r="Z156" s="204">
        <f>RIGHT(H156,LEN(H156)-4)/10000</f>
        <v>23.334399999999999</v>
      </c>
      <c r="AA156" s="204">
        <f>ABS(Z156-Y156)</f>
        <v>23.287799999999997</v>
      </c>
      <c r="AB156" s="54" t="e">
        <f>VLOOKUP(A156,Enforcements!$C$7:$K$11,8,0)</f>
        <v>#N/A</v>
      </c>
      <c r="AC156" s="51" t="e">
        <f>VLOOKUP(A156,Enforcements!$C$7:$E$11,3,0)</f>
        <v>#N/A</v>
      </c>
      <c r="AD156" s="179">
        <f>VALUE(LEFT(A156,LEN(A156)-3))</f>
        <v>241</v>
      </c>
      <c r="AE156" s="77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s3://rtdc.mdm.uploadarchive.raw/RTDC4050/ "%USERPROFILE%\AppData\Local\Temp\OnboardLogs"\RTDC4050\2017-10-24 --exclude "*" --recursive --include "*20171024*" &amp; "%USERPROFILE%\Documents\GitHub\mrs-test-scripts\Headless Mode &amp; Sideloading\WalkAndUnGZ.bat" "%USERPROFILE%\AppData\Local\Temp\OnboardLogs"\RTDC4050\2017-10-24 &amp; aws s3 cp s3://rtdc.mdm.uploadarchive.raw/RTDC4050/ "%USERPROFILE%\AppData\Local\Temp\OnboardLogs"\RTDC4050\2017-10-25 --exclude "*" --recursive --include "*20171025*" &amp; "%USERPROFILE%\Documents\GitHub\mrs-test-scripts\Headless Mode &amp; Sideloading\WalkAndUnGZ.bat" "%USERPROFILE%\AppData\Local\Temp\OnboardLogs"\RTDC4050\2017-10-25</v>
      </c>
      <c r="AF156" s="74" t="str">
        <f>astrogrep_path&amp;" /e /r /s /spath="&amp;search_path&amp;" /stypes=""app*"&amp;B156&amp;"*"&amp;TEXT(I156-utc_offset/24,"YYYYMMDD")&amp;"*"" /stext="" "&amp;TEXT(I156-utc_offset/24,"HH")&amp;search_regexp&amp;""""</f>
        <v>"C:\Program Files (x86)\AstroGrep\AstroGrep.exe" /e /r /s /spath="%USERPROFILE%\AppData\Local\Temp\OnboardLogs" /stypes="app*4050*20171024*" /stext=" 06:.+((SYSTEM_STATE.+slice.+state.+changed )|(ment ac)|(multiple cpu faults)|(system.+state.+changed )|(\[timeout)|(PRM\|1\|D)|(kpr)|(kdp)|(train st.+moving)|(\|lc)|(penalty))"</v>
      </c>
      <c r="AG156" s="182" t="str">
        <f>DetSubdiv(A156)</f>
        <v>EC</v>
      </c>
      <c r="AH156" s="78" t="str">
        <f t="shared" si="26"/>
        <v>"%USERPROFILE%\Documents\GitHub\eaglep3\Utilities\RefineRTDCRunTimes.py" --tripid 241-23 --locoid 4050 --swversion DE.1.0.9.0 --startMP 204:466 --initTime 2017-10-23T23:28:12 --startdatetime 2017-10-24T00:00:18 --delay 1141 --endMP 204:233344 --enddatetime 2017-10-24T00:36:15 --enforcementcount 0 &gt;&gt;%USERPROFILE%\Documents\GitHub\eaglep3-reporting\EC\2017-10-23-refined-times.txt</v>
      </c>
      <c r="AI156" s="96" t="str">
        <f t="shared" si="27"/>
        <v>echo {"issue":{"subject":"","project_id":79,"tracker_id":40,"status_id":1,"priority_id":2,"assigned_to_id":338,"start_date":"2017-10-24","description":"","custom_fields":[{"id":1,"name":"Subdivision","value":"EC"},{"id":4,"name":"Milepost","value":"23.3344"},{"id":17,"name":"Train ID","value":"241-23"},{"id":16,"name":"Locomotive ID","value":"4050"},{"id":130,"name":"Impact","value":""},{"id":150,"name":"Time of Event (Mountain Time)","value":"00:36:15"},{"id":151,"name":"Denver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6" s="47"/>
      <c r="AL156" s="47"/>
      <c r="AM156" s="142" t="str">
        <f t="shared" si="28"/>
        <v>start /low /b %USERPROFILE%\Documents\GitHub\eaglep3\Utilities\DownloadLogsFromS3.py --loco 4050 --day 2017-10-24</v>
      </c>
      <c r="AN156" s="151" t="str">
        <f t="shared" si="29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06:36:15"},{"id":29,"name":"Sharepoint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168" t="str">
        <f t="shared" si="30"/>
        <v>https://d0f6bd738d7f1b3e5a7ca70fe4ff75f0.us-east-1.aws.found.io/app/kibana#/discover/Steve-Slow-Train-Analysis-(2080s-and-2083s)?_g=(refreshInterval:(display:Off,pause:!f,section:0,value:0),time:(from:'2017-10-23T22:28:12-0600',mode:absolute,to:'2017-10-24T01:36:15-0600'))&amp;_a=(columns:!('Message%20ID',Summary),filters:!(),index:'emp_*',interval:auto,query:(query_string:(analyze_wildcard:!t,query:'%22rtdc.l.rtdc.4050%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3">
      <c r="A157" s="32" t="s">
        <v>890</v>
      </c>
      <c r="B157" s="7">
        <v>4049</v>
      </c>
      <c r="C157" s="21" t="s">
        <v>194</v>
      </c>
      <c r="D157" s="21" t="s">
        <v>629</v>
      </c>
      <c r="E157" s="13">
        <v>43032.031342592592</v>
      </c>
      <c r="F157" s="13">
        <v>43032.039907407408</v>
      </c>
      <c r="G157" s="7">
        <v>86</v>
      </c>
      <c r="H157" s="21" t="s">
        <v>337</v>
      </c>
      <c r="I157" s="13">
        <v>43032.067662037036</v>
      </c>
      <c r="J157" s="7">
        <v>0</v>
      </c>
      <c r="K157" s="89" t="str">
        <f>IF(ISEVEN(B157),(B157-1)&amp;"/"&amp;B157,B157&amp;"/"&amp;(B157+1))</f>
        <v>4049/4050</v>
      </c>
      <c r="L157" s="185" t="str">
        <f>VLOOKUP(A157,'Trips&amp;Operators'!$C$1:$G$99911,5,FALSE)</f>
        <v>CASSIDY BRANDON</v>
      </c>
      <c r="M157" s="6">
        <f>I157-F157</f>
        <v>2.7754629627452232E-2</v>
      </c>
      <c r="N157" s="7">
        <f>24*60*SUM($M157:$M157)</f>
        <v>39.966666663531214</v>
      </c>
      <c r="O157" s="7"/>
      <c r="P157" s="7"/>
      <c r="Q157" s="22"/>
      <c r="R157" s="174"/>
      <c r="S157" s="221">
        <f>1/IF(AG157="EC",12,1)*SUM(U157:U157)</f>
        <v>1</v>
      </c>
      <c r="T157" s="174" t="str">
        <f>IF(ISEVEN(LEFT(AD157,4)),"Southbound","NorthBound")</f>
        <v>Southbound</v>
      </c>
      <c r="U157" s="198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16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-10-23T23:45:08-0600',mode:absolute,to:'2017-10-24T02:37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57" s="204" t="str">
        <f>IF(AA157&lt;VLOOKUP(AG157,Variables!$AC$3:$AD$8,2,FALSE),"Y","N")</f>
        <v>N</v>
      </c>
      <c r="X157" s="204">
        <f>VALUE(LEFT(AD157,4))-VALUE(LEFT(AD156,4))</f>
        <v>1</v>
      </c>
      <c r="Y157" s="204">
        <f>RIGHT(D157,LEN(D157)-4)/10000</f>
        <v>23.300599999999999</v>
      </c>
      <c r="Z157" s="204">
        <f>RIGHT(H157,LEN(H157)-4)/10000</f>
        <v>1.43E-2</v>
      </c>
      <c r="AA157" s="204">
        <f>ABS(Z157-Y157)</f>
        <v>23.286300000000001</v>
      </c>
      <c r="AB157" s="54" t="e">
        <f>VLOOKUP(A157,Enforcements!$C$7:$K$11,8,0)</f>
        <v>#N/A</v>
      </c>
      <c r="AC157" s="51" t="e">
        <f>VLOOKUP(A157,Enforcements!$C$7:$E$11,3,0)</f>
        <v>#N/A</v>
      </c>
      <c r="AD157" s="179">
        <f>VALUE(LEFT(A157,LEN(A157)-3))</f>
        <v>242</v>
      </c>
      <c r="AE157" s="77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s3://rtdc.mdm.uploadarchive.raw/RTDC4049/ "%USERPROFILE%\AppData\Local\Temp\OnboardLogs"\RTDC4049\2017-10-24 --exclude "*" --recursive --include "*20171024*" &amp; "%USERPROFILE%\Documents\GitHub\mrs-test-scripts\Headless Mode &amp; Sideloading\WalkAndUnGZ.bat" "%USERPROFILE%\AppData\Local\Temp\OnboardLogs"\RTDC4049\2017-10-24 &amp; aws s3 cp s3://rtdc.mdm.uploadarchive.raw/RTDC4049/ "%USERPROFILE%\AppData\Local\Temp\OnboardLogs"\RTDC4049\2017-10-25 --exclude "*" --recursive --include "*20171025*" &amp; "%USERPROFILE%\Documents\GitHub\mrs-test-scripts\Headless Mode &amp; Sideloading\WalkAndUnGZ.bat" "%USERPROFILE%\AppData\Local\Temp\OnboardLogs"\RTDC4049\2017-10-25</v>
      </c>
      <c r="AF157" s="74" t="str">
        <f>astrogrep_path&amp;" /e /r /s /spath="&amp;search_path&amp;" /stypes=""app*"&amp;B157&amp;"*"&amp;TEXT(I157-utc_offset/24,"YYYYMMDD")&amp;"*"" /stext="" "&amp;TEXT(I157-utc_offset/24,"HH")&amp;search_regexp&amp;""""</f>
        <v>"C:\Program Files (x86)\AstroGrep\AstroGrep.exe" /e /r /s /spath="%USERPROFILE%\AppData\Local\Temp\OnboardLogs" /stypes="app*4049*20171024*" /stext=" 07:.+((SYSTEM_STATE.+slice.+state.+changed )|(ment ac)|(multiple cpu faults)|(system.+state.+changed )|(\[timeout)|(PRM\|1\|D)|(kpr)|(kdp)|(train st.+moving)|(\|lc)|(penalty))"</v>
      </c>
      <c r="AG157" s="182" t="str">
        <f>DetSubdiv(A157)</f>
        <v>EC</v>
      </c>
      <c r="AH157" s="78" t="str">
        <f t="shared" si="26"/>
        <v>"%USERPROFILE%\Documents\GitHub\eaglep3\Utilities\RefineRTDCRunTimes.py" --tripid 242-23 --locoid 4049 --swversion DE.1.0.9.0 --startMP 204:233006 --initTime 2017-10-24T00:45:08 --startdatetime 2017-10-24T00:57:28 --delay 86 --endMP 204:143 --enddatetime 2017-10-24T01:37:26 --enforcementcount 0 &gt;&gt;%USERPROFILE%\Documents\GitHub\eaglep3-reporting\EC\2017-10-23-refined-times.txt</v>
      </c>
      <c r="AI157" s="96" t="str">
        <f t="shared" si="27"/>
        <v>echo {"issue":{"subject":"","project_id":79,"tracker_id":40,"status_id":1,"priority_id":2,"assigned_to_id":338,"start_date":"2017-10-24","description":"","custom_fields":[{"id":1,"name":"Subdivision","value":"EC"},{"id":4,"name":"Milepost","value":"0.0143"},{"id":17,"name":"Train ID","value":"242-23"},{"id":16,"name":"Locomotive ID","value":"4049"},{"id":130,"name":"Impact","value":""},{"id":150,"name":"Time of Event (Mountain Time)","value":"01:37:26"},{"id":151,"name":"Denver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7" s="47"/>
      <c r="AL157" s="47"/>
      <c r="AM157" s="142" t="str">
        <f t="shared" si="28"/>
        <v>start /low /b %USERPROFILE%\Documents\GitHub\eaglep3\Utilities\DownloadLogsFromS3.py --loco 4049 --day 2017-10-24</v>
      </c>
      <c r="AN157" s="151" t="str">
        <f t="shared" si="29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07:37:26"},{"id":29,"name":"Sharepoint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168" t="str">
        <f t="shared" si="30"/>
        <v>https://d0f6bd738d7f1b3e5a7ca70fe4ff75f0.us-east-1.aws.found.io/app/kibana#/discover/Steve-Slow-Train-Analysis-(2080s-and-2083s)?_g=(refreshInterval:(display:Off,pause:!f,section:0,value:0),time:(from:'2017-10-23T23:45:08-0600',mode:absolute,to:'2017-10-24T02:37:26-0600'))&amp;_a=(columns:!('Message%20ID',Summary),filters:!(),index:'emp_*',interval:auto,query:(query_string:(analyze_wildcard:!t,query:'%22rtdc.l.rtdc.4049%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3">
      <c r="A158" s="32" t="s">
        <v>678</v>
      </c>
      <c r="B158" s="7">
        <v>4018</v>
      </c>
      <c r="C158" s="21" t="s">
        <v>194</v>
      </c>
      <c r="D158" s="21" t="s">
        <v>425</v>
      </c>
      <c r="E158" s="13">
        <v>43032.015324074076</v>
      </c>
      <c r="F158" s="13">
        <v>43032.02103009259</v>
      </c>
      <c r="G158" s="7">
        <v>85</v>
      </c>
      <c r="H158" s="21" t="s">
        <v>612</v>
      </c>
      <c r="I158" s="13">
        <v>43032.047407407408</v>
      </c>
      <c r="J158" s="7">
        <v>0</v>
      </c>
      <c r="K158" s="89" t="str">
        <f>IF(ISEVEN(B158),(B158-1)&amp;"/"&amp;B158,B158&amp;"/"&amp;(B158+1))</f>
        <v>4017/4018</v>
      </c>
      <c r="L158" s="185" t="str">
        <f>VLOOKUP(A158,'Trips&amp;Operators'!$C$1:$G$99911,5,FALSE)</f>
        <v>WILLIAMS DONTE</v>
      </c>
      <c r="M158" s="6">
        <f>I158-F158</f>
        <v>2.6377314818091691E-2</v>
      </c>
      <c r="N158" s="7">
        <f>24*60*SUM($M158:$M158)</f>
        <v>37.983333338052034</v>
      </c>
      <c r="O158" s="7"/>
      <c r="P158" s="7"/>
      <c r="Q158" s="22"/>
      <c r="R158" s="174"/>
      <c r="S158" s="221">
        <f>1/IF(AG158="EC",12,1)*SUM(U158:U158)</f>
        <v>1</v>
      </c>
      <c r="T158" s="174" t="str">
        <f>IF(ISEVEN(LEFT(AD158,4)),"Southbound","NorthBound")</f>
        <v>NorthBound</v>
      </c>
      <c r="U158" s="198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16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-10-23T23:22:04-0600',mode:absolute,to:'2017-10-24T02:08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8" s="204" t="str">
        <f>IF(AA158&lt;VLOOKUP(AG158,Variables!$AC$3:$AD$8,2,FALSE),"Y","N")</f>
        <v>N</v>
      </c>
      <c r="X158" s="204">
        <f>VALUE(LEFT(AD158,4))-VALUE(LEFT(AD157,4))</f>
        <v>1</v>
      </c>
      <c r="Y158" s="204">
        <f>RIGHT(D158,LEN(D158)-4)/10000</f>
        <v>4.6899999999999997E-2</v>
      </c>
      <c r="Z158" s="204">
        <f>RIGHT(H158,LEN(H158)-4)/10000</f>
        <v>23.328900000000001</v>
      </c>
      <c r="AA158" s="204">
        <f>ABS(Z158-Y158)</f>
        <v>23.282</v>
      </c>
      <c r="AB158" s="54" t="e">
        <f>VLOOKUP(A158,Enforcements!$C$7:$K$11,8,0)</f>
        <v>#N/A</v>
      </c>
      <c r="AC158" s="51" t="e">
        <f>VLOOKUP(A158,Enforcements!$C$7:$E$11,3,0)</f>
        <v>#N/A</v>
      </c>
      <c r="AD158" s="179">
        <f>VALUE(LEFT(A158,LEN(A158)-3))</f>
        <v>243</v>
      </c>
      <c r="AE158" s="77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s3://rtdc.mdm.uploadarchive.raw/RTDC4018/ "%USERPROFILE%\AppData\Local\Temp\OnboardLogs"\RTDC4018\2017-10-24 --exclude "*" --recursive --include "*20171024*" &amp; "%USERPROFILE%\Documents\GitHub\mrs-test-scripts\Headless Mode &amp; Sideloading\WalkAndUnGZ.bat" "%USERPROFILE%\AppData\Local\Temp\OnboardLogs"\RTDC4018\2017-10-24 &amp; aws s3 cp s3://rtdc.mdm.uploadarchive.raw/RTDC4018/ "%USERPROFILE%\AppData\Local\Temp\OnboardLogs"\RTDC4018\2017-10-25 --exclude "*" --recursive --include "*20171025*" &amp; "%USERPROFILE%\Documents\GitHub\mrs-test-scripts\Headless Mode &amp; Sideloading\WalkAndUnGZ.bat" "%USERPROFILE%\AppData\Local\Temp\OnboardLogs"\RTDC4018\2017-10-25</v>
      </c>
      <c r="AF158" s="74" t="str">
        <f>astrogrep_path&amp;" /e /r /s /spath="&amp;search_path&amp;" /stypes=""app*"&amp;B158&amp;"*"&amp;TEXT(I158-utc_offset/24,"YYYYMMDD")&amp;"*"" /stext="" "&amp;TEXT(I158-utc_offset/24,"HH")&amp;search_regexp&amp;""""</f>
        <v>"C:\Program Files (x86)\AstroGrep\AstroGrep.exe" /e /r /s /spath="%USERPROFILE%\AppData\Local\Temp\OnboardLogs" /stypes="app*4018*20171024*" /stext=" 07:.+((SYSTEM_STATE.+slice.+state.+changed )|(ment ac)|(multiple cpu faults)|(system.+state.+changed )|(\[timeout)|(PRM\|1\|D)|(kpr)|(kdp)|(train st.+moving)|(\|lc)|(penalty))"</v>
      </c>
      <c r="AG158" s="182" t="str">
        <f>DetSubdiv(A158)</f>
        <v>EC</v>
      </c>
      <c r="AH158" s="78" t="str">
        <f t="shared" si="26"/>
        <v>"%USERPROFILE%\Documents\GitHub\eaglep3\Utilities\RefineRTDCRunTimes.py" --tripid 243-23 --locoid 4018 --swversion DE.1.0.9.0 --startMP 204:469 --initTime 2017-10-24T00:22:04 --startdatetime 2017-10-24T00:30:17 --delay 85 --endMP 204:233289 --enddatetime 2017-10-24T01:08:16 --enforcementcount 0 &gt;&gt;%USERPROFILE%\Documents\GitHub\eaglep3-reporting\EC\2017-10-23-refined-times.txt</v>
      </c>
      <c r="AI158" s="96" t="str">
        <f t="shared" si="27"/>
        <v>echo {"issue":{"subject":"","project_id":79,"tracker_id":40,"status_id":1,"priority_id":2,"assigned_to_id":338,"start_date":"2017-10-24","description":"","custom_fields":[{"id":1,"name":"Subdivision","value":"EC"},{"id":4,"name":"Milepost","value":"23.3289"},{"id":17,"name":"Train ID","value":"243-23"},{"id":16,"name":"Locomotive ID","value":"4018"},{"id":130,"name":"Impact","value":""},{"id":150,"name":"Time of Event (Mountain Time)","value":"01:08:16"},{"id":151,"name":"Denver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8" s="47"/>
      <c r="AL158" s="47"/>
      <c r="AM158" s="142" t="str">
        <f t="shared" si="28"/>
        <v>start /low /b %USERPROFILE%\Documents\GitHub\eaglep3\Utilities\DownloadLogsFromS3.py --loco 4018 --day 2017-10-24</v>
      </c>
      <c r="AN158" s="151" t="str">
        <f t="shared" si="29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07:08:16"},{"id":29,"name":"Sharepoint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168" t="str">
        <f t="shared" si="30"/>
        <v>https://d0f6bd738d7f1b3e5a7ca70fe4ff75f0.us-east-1.aws.found.io/app/kibana#/discover/Steve-Slow-Train-Analysis-(2080s-and-2083s)?_g=(refreshInterval:(display:Off,pause:!f,section:0,value:0),time:(from:'2017-10-23T23:22:04-0600',mode:absolute,to:'2017-10-24T02:08:16-0600'))&amp;_a=(columns:!('Message%20ID',Summary),filters:!(),index:'emp_*',interval:auto,query:(query_string:(analyze_wildcard:!t,query:'%22rtdc.l.rtdc.4018%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3">
      <c r="A159" s="32" t="s">
        <v>892</v>
      </c>
      <c r="B159" s="7">
        <v>4017</v>
      </c>
      <c r="C159" s="21" t="s">
        <v>194</v>
      </c>
      <c r="D159" s="21" t="s">
        <v>899</v>
      </c>
      <c r="E159" s="13">
        <v>43032.056284722225</v>
      </c>
      <c r="F159" s="13">
        <v>43032.060624999998</v>
      </c>
      <c r="G159" s="7">
        <v>65</v>
      </c>
      <c r="H159" s="21" t="s">
        <v>561</v>
      </c>
      <c r="I159" s="13">
        <v>43032.089467592596</v>
      </c>
      <c r="J159" s="7">
        <v>0</v>
      </c>
      <c r="K159" s="89" t="str">
        <f>IF(ISEVEN(B159),(B159-1)&amp;"/"&amp;B159,B159&amp;"/"&amp;(B159+1))</f>
        <v>4017/4018</v>
      </c>
      <c r="L159" s="185" t="str">
        <f>VLOOKUP(A159,'Trips&amp;Operators'!$C$1:$G$99911,5,FALSE)</f>
        <v>WILLIAMS DONTE</v>
      </c>
      <c r="M159" s="6">
        <f>I159-F159</f>
        <v>2.8842592597356997E-2</v>
      </c>
      <c r="N159" s="7">
        <f>24*60*SUM($M159:$M159)</f>
        <v>41.533333340194076</v>
      </c>
      <c r="O159" s="7"/>
      <c r="P159" s="7"/>
      <c r="Q159" s="22"/>
      <c r="R159" s="174"/>
      <c r="S159" s="221">
        <f>1/IF(AG159="EC",12,1)*SUM(U159:U159)</f>
        <v>1</v>
      </c>
      <c r="T159" s="174" t="str">
        <f>IF(ISEVEN(LEFT(AD159,4)),"Southbound","NorthBound")</f>
        <v>Southbound</v>
      </c>
      <c r="U159" s="198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216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-10-24T00:21:03-0600',mode:absolute,to:'2017-10-24T03:08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9" s="204" t="str">
        <f>IF(AA159&lt;VLOOKUP(AG159,Variables!$AC$3:$AD$8,2,FALSE),"Y","N")</f>
        <v>N</v>
      </c>
      <c r="X159" s="204">
        <f>VALUE(LEFT(AD159,4))-VALUE(LEFT(AD158,4))</f>
        <v>1</v>
      </c>
      <c r="Y159" s="204">
        <f>RIGHT(D159,LEN(D159)-4)/10000</f>
        <v>23.2971</v>
      </c>
      <c r="Z159" s="204">
        <f>RIGHT(H159,LEN(H159)-4)/10000</f>
        <v>1.67E-2</v>
      </c>
      <c r="AA159" s="204">
        <f>ABS(Z159-Y159)</f>
        <v>23.2804</v>
      </c>
      <c r="AB159" s="54" t="e">
        <f>VLOOKUP(A159,Enforcements!$C$7:$K$11,8,0)</f>
        <v>#N/A</v>
      </c>
      <c r="AC159" s="51" t="e">
        <f>VLOOKUP(A159,Enforcements!$C$7:$E$11,3,0)</f>
        <v>#N/A</v>
      </c>
      <c r="AD159" s="179">
        <f>VALUE(LEFT(A159,LEN(A159)-3))</f>
        <v>244</v>
      </c>
      <c r="AE159" s="77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s3://rtdc.mdm.uploadarchive.raw/RTDC4017/ "%USERPROFILE%\AppData\Local\Temp\OnboardLogs"\RTDC4017\2017-10-24 --exclude "*" --recursive --include "*20171024*" &amp; "%USERPROFILE%\Documents\GitHub\mrs-test-scripts\Headless Mode &amp; Sideloading\WalkAndUnGZ.bat" "%USERPROFILE%\AppData\Local\Temp\OnboardLogs"\RTDC4017\2017-10-24 &amp; aws s3 cp s3://rtdc.mdm.uploadarchive.raw/RTDC4017/ "%USERPROFILE%\AppData\Local\Temp\OnboardLogs"\RTDC4017\2017-10-25 --exclude "*" --recursive --include "*20171025*" &amp; "%USERPROFILE%\Documents\GitHub\mrs-test-scripts\Headless Mode &amp; Sideloading\WalkAndUnGZ.bat" "%USERPROFILE%\AppData\Local\Temp\OnboardLogs"\RTDC4017\2017-10-25</v>
      </c>
      <c r="AF159" s="74" t="str">
        <f>astrogrep_path&amp;" /e /r /s /spath="&amp;search_path&amp;" /stypes=""app*"&amp;B159&amp;"*"&amp;TEXT(I159-utc_offset/24,"YYYYMMDD")&amp;"*"" /stext="" "&amp;TEXT(I159-utc_offset/24,"HH")&amp;search_regexp&amp;""""</f>
        <v>"C:\Program Files (x86)\AstroGrep\AstroGrep.exe" /e /r /s /spath="%USERPROFILE%\AppData\Local\Temp\OnboardLogs" /stypes="app*4017*20171024*" /stext=" 08:.+((SYSTEM_STATE.+slice.+state.+changed )|(ment ac)|(multiple cpu faults)|(system.+state.+changed )|(\[timeout)|(PRM\|1\|D)|(kpr)|(kdp)|(train st.+moving)|(\|lc)|(penalty))"</v>
      </c>
      <c r="AG159" s="182" t="str">
        <f>DetSubdiv(A159)</f>
        <v>EC</v>
      </c>
      <c r="AH159" s="78" t="str">
        <f t="shared" si="26"/>
        <v>"%USERPROFILE%\Documents\GitHub\eaglep3\Utilities\RefineRTDCRunTimes.py" --tripid 244-23 --locoid 4017 --swversion DE.1.0.9.0 --startMP 204:232971 --initTime 2017-10-24T01:21:03 --startdatetime 2017-10-24T01:27:18 --delay 65 --endMP 204:167 --enddatetime 2017-10-24T02:08:50 --enforcementcount 0 &gt;&gt;%USERPROFILE%\Documents\GitHub\eaglep3-reporting\EC\2017-10-23-refined-times.txt</v>
      </c>
      <c r="AI159" s="96" t="str">
        <f t="shared" si="27"/>
        <v>echo {"issue":{"subject":"","project_id":79,"tracker_id":40,"status_id":1,"priority_id":2,"assigned_to_id":338,"start_date":"2017-10-24","description":"","custom_fields":[{"id":1,"name":"Subdivision","value":"EC"},{"id":4,"name":"Milepost","value":"0.0167"},{"id":17,"name":"Train ID","value":"244-23"},{"id":16,"name":"Locomotive ID","value":"4017"},{"id":130,"name":"Impact","value":""},{"id":150,"name":"Time of Event (Mountain Time)","value":"02:08:50"},{"id":151,"name":"Denver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9" s="47"/>
      <c r="AL159" s="47"/>
      <c r="AM159" s="142" t="str">
        <f t="shared" si="28"/>
        <v>start /low /b %USERPROFILE%\Documents\GitHub\eaglep3\Utilities\DownloadLogsFromS3.py --loco 4017 --day 2017-10-24</v>
      </c>
      <c r="AN159" s="151" t="str">
        <f t="shared" si="29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08:08:50"},{"id":29,"name":"Sharepoint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168" t="str">
        <f t="shared" si="30"/>
        <v>https://d0f6bd738d7f1b3e5a7ca70fe4ff75f0.us-east-1.aws.found.io/app/kibana#/discover/Steve-Slow-Train-Analysis-(2080s-and-2083s)?_g=(refreshInterval:(display:Off,pause:!f,section:0,value:0),time:(from:'2017-10-24T00:21:03-0600',mode:absolute,to:'2017-10-24T03:08:50-0600'))&amp;_a=(columns:!('Message%20ID',Summary),filters:!(),index:'emp_*',interval:auto,query:(query_string:(analyze_wildcard:!t,query:'%22rtdc.l.rtdc.4017%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3">
      <c r="A160" s="32" t="s">
        <v>708</v>
      </c>
      <c r="B160" s="7">
        <v>4039</v>
      </c>
      <c r="C160" s="21" t="s">
        <v>194</v>
      </c>
      <c r="D160" s="21" t="s">
        <v>987</v>
      </c>
      <c r="E160" s="13">
        <v>43031.212256944447</v>
      </c>
      <c r="F160" s="13">
        <v>43031.213888888888</v>
      </c>
      <c r="G160" s="7">
        <v>88</v>
      </c>
      <c r="H160" s="21" t="s">
        <v>615</v>
      </c>
      <c r="I160" s="13">
        <v>43031.227025462962</v>
      </c>
      <c r="J160" s="7">
        <v>0</v>
      </c>
      <c r="K160" s="89" t="str">
        <f>IF(ISEVEN(B160),(B160-1)&amp;"/"&amp;B160,B160&amp;"/"&amp;(B160+1))</f>
        <v>4039/4040</v>
      </c>
      <c r="L160" s="185" t="str">
        <f>VLOOKUP(A160,'Trips&amp;Operators'!$C$1:$G$99911,5,FALSE)</f>
        <v>MACDONALD THOMAS</v>
      </c>
      <c r="M160" s="6">
        <f>I160-F160</f>
        <v>1.3136574074451346E-2</v>
      </c>
      <c r="N160" s="7">
        <f>24*60*SUM($M160:$M160)</f>
        <v>18.916666667209938</v>
      </c>
      <c r="O160" s="7"/>
      <c r="P160" s="7"/>
      <c r="Q160" s="22"/>
      <c r="R160" s="174"/>
      <c r="S160" s="221">
        <f>1/IF(AG160="EC",12,1)*SUM(U160:U160)</f>
        <v>1</v>
      </c>
      <c r="T160" s="174" t="str">
        <f>IF(ISEVEN(LEFT(AD160,4)),"Southbound","NorthBound")</f>
        <v>Southbound</v>
      </c>
      <c r="U160" s="198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16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-10-23T04:05:39-0600',mode:absolute,to:'2017-10-23T06:26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0" s="204" t="str">
        <f>IF(AA160&lt;VLOOKUP(AG160,Variables!$AC$3:$AD$8,2,FALSE),"Y","N")</f>
        <v>N</v>
      </c>
      <c r="X160" s="204">
        <f>VALUE(LEFT(AD160,4))-VALUE(LEFT(AD159,4))</f>
        <v>556</v>
      </c>
      <c r="Y160" s="204">
        <f>RIGHT(D160,LEN(D160)-4)/10000</f>
        <v>5.8593999999999999</v>
      </c>
      <c r="Z160" s="204">
        <f>RIGHT(H160,LEN(H160)-4)/10000</f>
        <v>7.4099999999999999E-2</v>
      </c>
      <c r="AA160" s="204">
        <f>ABS(Z160-Y160)</f>
        <v>5.7853000000000003</v>
      </c>
      <c r="AB160" s="54" t="e">
        <f>VLOOKUP(A160,Enforcements!$C$7:$K$11,8,0)</f>
        <v>#N/A</v>
      </c>
      <c r="AC160" s="51" t="e">
        <f>VLOOKUP(A160,Enforcements!$C$7:$E$11,3,0)</f>
        <v>#N/A</v>
      </c>
      <c r="AD160" s="179">
        <f>VALUE(LEFT(A160,LEN(A160)-3))</f>
        <v>800</v>
      </c>
      <c r="AE160" s="77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s3://rtdc.mdm.uploadarchive.raw/RTDC4039/ "%USERPROFILE%\AppData\Local\Temp\OnboardLogs"\RTDC4039\2017-10-23 --exclude "*" --recursive --include "*20171023*" &amp; "%USERPROFILE%\Documents\GitHub\mrs-test-scripts\Headless Mode &amp; Sideloading\WalkAndUnGZ.bat" "%USERPROFILE%\AppData\Local\Temp\OnboardLogs"\RTDC4039\2017-10-23 &amp; aws s3 cp s3://rtdc.mdm.uploadarchive.raw/RTDC4039/ "%USERPROFILE%\AppData\Local\Temp\OnboardLogs"\RTDC4039\2017-10-24 --exclude "*" --recursive --include "*20171024*" &amp; "%USERPROFILE%\Documents\GitHub\mrs-test-scripts\Headless Mode &amp; Sideloading\WalkAndUnGZ.bat" "%USERPROFILE%\AppData\Local\Temp\OnboardLogs"\RTDC4039\2017-10-24</v>
      </c>
      <c r="AF160" s="74" t="str">
        <f>astrogrep_path&amp;" /e /r /s /spath="&amp;search_path&amp;" /stypes=""app*"&amp;B160&amp;"*"&amp;TEXT(I160-utc_offset/24,"YYYYMMDD")&amp;"*"" /stext="" "&amp;TEXT(I160-utc_offset/24,"HH")&amp;search_regexp&amp;""""</f>
        <v>"C:\Program Files (x86)\AstroGrep\AstroGrep.exe" /e /r /s /spath="%USERPROFILE%\AppData\Local\Temp\OnboardLogs" /stypes="app*4039*20171023*" /stext=" 11:.+((SYSTEM_STATE.+slice.+state.+changed )|(ment ac)|(multiple cpu faults)|(system.+state.+changed )|(\[timeout)|(PRM\|1\|D)|(kpr)|(kdp)|(train st.+moving)|(\|lc)|(penalty))"</v>
      </c>
      <c r="AG160" s="182" t="str">
        <f>DetSubdiv(A160)</f>
        <v>NW</v>
      </c>
      <c r="AH160" s="78" t="str">
        <f t="shared" si="26"/>
        <v>"%USERPROFILE%\Documents\GitHub\eaglep3\Utilities\RefineRTDCRunTimes.py" --tripid 800-23 --locoid 4039 --swversion DE.1.0.9.0 --startMP 300:58594 --initTime 2017-10-23T05:05:39 --startdatetime 2017-10-23T05:08:00 --delay 88 --endMP 204:741 --enddatetime 2017-10-23T05:26:55 --enforcementcount 0 &gt;&gt;%USERPROFILE%\Documents\GitHub\eaglep3-reporting\EC\2017-10-23-refined-times.txt</v>
      </c>
      <c r="AI160" s="96" t="str">
        <f t="shared" si="27"/>
        <v>echo {"issue":{"subject":"","project_id":79,"tracker_id":40,"status_id":1,"priority_id":2,"assigned_to_id":338,"start_date":"2017-10-23","description":"","custom_fields":[{"id":1,"name":"Subdivision","value":"NW"},{"id":4,"name":"Milepost","value":"0.0741"},{"id":17,"name":"Train ID","value":"800-23"},{"id":16,"name":"Locomotive ID","value":"4039"},{"id":130,"name":"Impact","value":""},{"id":150,"name":"Time of Event (Mountain Time)","value":"05:26:55"},{"id":151,"name":"Denver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0" s="47"/>
      <c r="AL160" s="47"/>
      <c r="AM160" s="142" t="str">
        <f t="shared" si="28"/>
        <v>start /low /b %USERPROFILE%\Documents\GitHub\eaglep3\Utilities\DownloadLogsFromS3.py --loco 4039 --day 2017-10-23</v>
      </c>
      <c r="AN160" s="151" t="str">
        <f t="shared" si="29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11:26:55"},{"id":29,"name":"Sharepoint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168" t="str">
        <f t="shared" si="30"/>
        <v>https://d0f6bd738d7f1b3e5a7ca70fe4ff75f0.us-east-1.aws.found.io/app/kibana#/discover/Steve-Slow-Train-Analysis-(2080s-and-2083s)?_g=(refreshInterval:(display:Off,pause:!f,section:0,value:0),time:(from:'2017-10-23T04:05:39-0600',mode:absolute,to:'2017-10-23T06:26:55-0600'))&amp;_a=(columns:!('Message%20ID',Summary),filters:!(),index:'emp_*',interval:auto,query:(query_string:(analyze_wildcard:!t,query:'%22rtdc.l.rtdc.4039%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3">
      <c r="A161" s="32" t="s">
        <v>715</v>
      </c>
      <c r="B161" s="7">
        <v>4040</v>
      </c>
      <c r="C161" s="21" t="s">
        <v>194</v>
      </c>
      <c r="D161" s="21" t="s">
        <v>988</v>
      </c>
      <c r="E161" s="13">
        <v>43031.228750000002</v>
      </c>
      <c r="F161" s="13">
        <v>43031.235937500001</v>
      </c>
      <c r="G161" s="7">
        <v>570</v>
      </c>
      <c r="H161" s="21" t="s">
        <v>616</v>
      </c>
      <c r="I161" s="13">
        <v>43031.24486111111</v>
      </c>
      <c r="J161" s="7">
        <v>0</v>
      </c>
      <c r="K161" s="89" t="str">
        <f>IF(ISEVEN(B161),(B161-1)&amp;"/"&amp;B161,B161&amp;"/"&amp;(B161+1))</f>
        <v>4039/4040</v>
      </c>
      <c r="L161" s="185" t="str">
        <f>VLOOKUP(A161,'Trips&amp;Operators'!$C$1:$G$99911,5,FALSE)</f>
        <v>MACDONALD THOMAS</v>
      </c>
      <c r="M161" s="6">
        <f>I161-F161</f>
        <v>8.923611108912155E-3</v>
      </c>
      <c r="N161" s="7">
        <f>24*60*SUM($M161:$M161)</f>
        <v>12.849999996833503</v>
      </c>
      <c r="O161" s="7"/>
      <c r="P161" s="7"/>
      <c r="Q161" s="22"/>
      <c r="R161" s="174"/>
      <c r="S161" s="221">
        <f>1/IF(AG161="EC",12,1)*SUM(U161:U161)</f>
        <v>1</v>
      </c>
      <c r="T161" s="174" t="str">
        <f>IF(ISEVEN(LEFT(AD161,4)),"Southbound","NorthBound")</f>
        <v>NorthBound</v>
      </c>
      <c r="U161" s="198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16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-10-23T04:29:24-0600',mode:absolute,to:'2017-10-23T06:52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61" s="204" t="str">
        <f>IF(AA161&lt;VLOOKUP(AG161,Variables!$AC$3:$AD$8,2,FALSE),"Y","N")</f>
        <v>N</v>
      </c>
      <c r="X161" s="204">
        <f>VALUE(LEFT(AD161,4))-VALUE(LEFT(AD160,4))</f>
        <v>1</v>
      </c>
      <c r="Y161" s="204">
        <f>RIGHT(D161,LEN(D161)-4)/10000</f>
        <v>0.10390000000000001</v>
      </c>
      <c r="Z161" s="204">
        <f>RIGHT(H161,LEN(H161)-4)/10000</f>
        <v>5.8906999999999998</v>
      </c>
      <c r="AA161" s="204">
        <f>ABS(Z161-Y161)</f>
        <v>5.7867999999999995</v>
      </c>
      <c r="AB161" s="54" t="e">
        <f>VLOOKUP(A161,Enforcements!$C$7:$K$11,8,0)</f>
        <v>#N/A</v>
      </c>
      <c r="AC161" s="51" t="e">
        <f>VLOOKUP(A161,Enforcements!$C$7:$E$11,3,0)</f>
        <v>#N/A</v>
      </c>
      <c r="AD161" s="179">
        <f>VALUE(LEFT(A161,LEN(A161)-3))</f>
        <v>801</v>
      </c>
      <c r="AE161" s="77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s3://rtdc.mdm.uploadarchive.raw/RTDC4040/ "%USERPROFILE%\AppData\Local\Temp\OnboardLogs"\RTDC4040\2017-10-23 --exclude "*" --recursive --include "*20171023*" &amp; "%USERPROFILE%\Documents\GitHub\mrs-test-scripts\Headless Mode &amp; Sideloading\WalkAndUnGZ.bat" "%USERPROFILE%\AppData\Local\Temp\OnboardLogs"\RTDC4040\2017-10-23 &amp; aws s3 cp s3://rtdc.mdm.uploadarchive.raw/RTDC4040/ "%USERPROFILE%\AppData\Local\Temp\OnboardLogs"\RTDC4040\2017-10-24 --exclude "*" --recursive --include "*20171024*" &amp; "%USERPROFILE%\Documents\GitHub\mrs-test-scripts\Headless Mode &amp; Sideloading\WalkAndUnGZ.bat" "%USERPROFILE%\AppData\Local\Temp\OnboardLogs"\RTDC4040\2017-10-24</v>
      </c>
      <c r="AF161" s="74" t="str">
        <f>astrogrep_path&amp;" /e /r /s /spath="&amp;search_path&amp;" /stypes=""app*"&amp;B161&amp;"*"&amp;TEXT(I161-utc_offset/24,"YYYYMMDD")&amp;"*"" /stext="" "&amp;TEXT(I161-utc_offset/24,"HH")&amp;search_regexp&amp;""""</f>
        <v>"C:\Program Files (x86)\AstroGrep\AstroGrep.exe" /e /r /s /spath="%USERPROFILE%\AppData\Local\Temp\OnboardLogs" /stypes="app*4040*20171023*" /stext=" 11:.+((SYSTEM_STATE.+slice.+state.+changed )|(ment ac)|(multiple cpu faults)|(system.+state.+changed )|(\[timeout)|(PRM\|1\|D)|(kpr)|(kdp)|(train st.+moving)|(\|lc)|(penalty))"</v>
      </c>
      <c r="AG161" s="182" t="str">
        <f>DetSubdiv(A161)</f>
        <v>NW</v>
      </c>
      <c r="AH161" s="78" t="str">
        <f t="shared" si="26"/>
        <v>"%USERPROFILE%\Documents\GitHub\eaglep3\Utilities\RefineRTDCRunTimes.py" --tripid 801-23 --locoid 4040 --swversion DE.1.0.9.0 --startMP 204:1039 --initTime 2017-10-23T05:29:24 --startdatetime 2017-10-23T05:39:45 --delay 570 --endMP 300:58907 --enddatetime 2017-10-23T05:52:36 --enforcementcount 0 &gt;&gt;%USERPROFILE%\Documents\GitHub\eaglep3-reporting\EC\2017-10-23-refined-times.txt</v>
      </c>
      <c r="AI161" s="96" t="str">
        <f t="shared" si="27"/>
        <v>echo {"issue":{"subject":"","project_id":79,"tracker_id":40,"status_id":1,"priority_id":2,"assigned_to_id":338,"start_date":"2017-10-23","description":"","custom_fields":[{"id":1,"name":"Subdivision","value":"NW"},{"id":4,"name":"Milepost","value":"5.8907"},{"id":17,"name":"Train ID","value":"801-23"},{"id":16,"name":"Locomotive ID","value":"4040"},{"id":130,"name":"Impact","value":""},{"id":150,"name":"Time of Event (Mountain Time)","value":"05:52:36"},{"id":151,"name":"Denver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47"/>
      <c r="AL161" s="47"/>
      <c r="AM161" s="142" t="str">
        <f t="shared" si="28"/>
        <v>start /low /b %USERPROFILE%\Documents\GitHub\eaglep3\Utilities\DownloadLogsFromS3.py --loco 4040 --day 2017-10-23</v>
      </c>
      <c r="AN161" s="151" t="str">
        <f t="shared" si="29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11:52:36"},{"id":29,"name":"Sharepoint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168" t="str">
        <f t="shared" si="30"/>
        <v>https://d0f6bd738d7f1b3e5a7ca70fe4ff75f0.us-east-1.aws.found.io/app/kibana#/discover/Steve-Slow-Train-Analysis-(2080s-and-2083s)?_g=(refreshInterval:(display:Off,pause:!f,section:0,value:0),time:(from:'2017-10-23T04:29:24-0600',mode:absolute,to:'2017-10-23T06:52:36-0600'))&amp;_a=(columns:!('Message%20ID',Summary),filters:!(),index:'emp_*',interval:auto,query:(query_string:(analyze_wildcard:!t,query:'%22rtdc.l.rtdc.4040%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3">
      <c r="A162" s="32" t="s">
        <v>720</v>
      </c>
      <c r="B162" s="7">
        <v>4039</v>
      </c>
      <c r="C162" s="21" t="s">
        <v>194</v>
      </c>
      <c r="D162" s="21" t="s">
        <v>989</v>
      </c>
      <c r="E162" s="13">
        <v>43031.245937500003</v>
      </c>
      <c r="F162" s="13">
        <v>43031.259675925925</v>
      </c>
      <c r="G162" s="7">
        <v>132</v>
      </c>
      <c r="H162" s="21" t="s">
        <v>990</v>
      </c>
      <c r="I162" s="13">
        <v>43031.268101851849</v>
      </c>
      <c r="J162" s="7">
        <v>0</v>
      </c>
      <c r="K162" s="89" t="str">
        <f>IF(ISEVEN(B162),(B162-1)&amp;"/"&amp;B162,B162&amp;"/"&amp;(B162+1))</f>
        <v>4039/4040</v>
      </c>
      <c r="L162" s="185" t="str">
        <f>VLOOKUP(A162,'Trips&amp;Operators'!$C$1:$G$99911,5,FALSE)</f>
        <v>MACDONALD THOMAS</v>
      </c>
      <c r="M162" s="6">
        <f>I162-F162</f>
        <v>8.4259259238024242E-3</v>
      </c>
      <c r="N162" s="7">
        <f>24*60*SUM($M162:$M162)</f>
        <v>12.133333330275491</v>
      </c>
      <c r="O162" s="7"/>
      <c r="P162" s="7"/>
      <c r="Q162" s="22"/>
      <c r="R162" s="174"/>
      <c r="S162" s="221">
        <f>1/IF(AG162="EC",12,1)*SUM(U162:U162)</f>
        <v>1</v>
      </c>
      <c r="T162" s="174" t="str">
        <f>IF(ISEVEN(LEFT(AD162,4)),"Southbound","NorthBound")</f>
        <v>Southbound</v>
      </c>
      <c r="U162" s="198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16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2017-10-23T04:54:09-0600',mode:absolute,to:'2017-10-23T07:26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2" s="204" t="str">
        <f>IF(AA162&lt;VLOOKUP(AG162,Variables!$AC$3:$AD$8,2,FALSE),"Y","N")</f>
        <v>N</v>
      </c>
      <c r="X162" s="204">
        <f>VALUE(LEFT(AD162,4))-VALUE(LEFT(AD161,4))</f>
        <v>1</v>
      </c>
      <c r="Y162" s="204">
        <f>RIGHT(D162,LEN(D162)-4)/10000</f>
        <v>5.8589000000000002</v>
      </c>
      <c r="Z162" s="204">
        <f>RIGHT(H162,LEN(H162)-4)/10000</f>
        <v>7.1499999999999994E-2</v>
      </c>
      <c r="AA162" s="204">
        <f>ABS(Z162-Y162)</f>
        <v>5.7873999999999999</v>
      </c>
      <c r="AB162" s="54" t="e">
        <f>VLOOKUP(A162,Enforcements!$C$7:$K$11,8,0)</f>
        <v>#N/A</v>
      </c>
      <c r="AC162" s="51" t="e">
        <f>VLOOKUP(A162,Enforcements!$C$7:$E$11,3,0)</f>
        <v>#N/A</v>
      </c>
      <c r="AD162" s="179">
        <f>VALUE(LEFT(A162,LEN(A162)-3))</f>
        <v>802</v>
      </c>
      <c r="AE162" s="77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s3://rtdc.mdm.uploadarchive.raw/RTDC4039/ "%USERPROFILE%\AppData\Local\Temp\OnboardLogs"\RTDC4039\2017-10-23 --exclude "*" --recursive --include "*20171023*" &amp; "%USERPROFILE%\Documents\GitHub\mrs-test-scripts\Headless Mode &amp; Sideloading\WalkAndUnGZ.bat" "%USERPROFILE%\AppData\Local\Temp\OnboardLogs"\RTDC4039\2017-10-23 &amp; aws s3 cp s3://rtdc.mdm.uploadarchive.raw/RTDC4039/ "%USERPROFILE%\AppData\Local\Temp\OnboardLogs"\RTDC4039\2017-10-24 --exclude "*" --recursive --include "*20171024*" &amp; "%USERPROFILE%\Documents\GitHub\mrs-test-scripts\Headless Mode &amp; Sideloading\WalkAndUnGZ.bat" "%USERPROFILE%\AppData\Local\Temp\OnboardLogs"\RTDC4039\2017-10-24</v>
      </c>
      <c r="AF162" s="74" t="str">
        <f>astrogrep_path&amp;" /e /r /s /spath="&amp;search_path&amp;" /stypes=""app*"&amp;B162&amp;"*"&amp;TEXT(I162-utc_offset/24,"YYYYMMDD")&amp;"*"" /stext="" "&amp;TEXT(I162-utc_offset/24,"HH")&amp;search_regexp&amp;""""</f>
        <v>"C:\Program Files (x86)\AstroGrep\AstroGrep.exe" /e /r /s /spath="%USERPROFILE%\AppData\Local\Temp\OnboardLogs" /stypes="app*4039*20171023*" /stext=" 12:.+((SYSTEM_STATE.+slice.+state.+changed )|(ment ac)|(multiple cpu faults)|(system.+state.+changed )|(\[timeout)|(PRM\|1\|D)|(kpr)|(kdp)|(train st.+moving)|(\|lc)|(penalty))"</v>
      </c>
      <c r="AG162" s="182" t="str">
        <f>DetSubdiv(A162)</f>
        <v>NW</v>
      </c>
      <c r="AH162" s="78" t="str">
        <f t="shared" si="26"/>
        <v>"%USERPROFILE%\Documents\GitHub\eaglep3\Utilities\RefineRTDCRunTimes.py" --tripid 802-23 --locoid 4039 --swversion DE.1.0.9.0 --startMP 300:58589 --initTime 2017-10-23T05:54:09 --startdatetime 2017-10-23T06:13:56 --delay 132 --endMP 204:715 --enddatetime 2017-10-23T06:26:04 --enforcementcount 0 &gt;&gt;%USERPROFILE%\Documents\GitHub\eaglep3-reporting\EC\2017-10-23-refined-times.txt</v>
      </c>
      <c r="AI162" s="96" t="str">
        <f t="shared" si="27"/>
        <v>echo {"issue":{"subject":"","project_id":79,"tracker_id":40,"status_id":1,"priority_id":2,"assigned_to_id":338,"start_date":"2017-10-23","description":"","custom_fields":[{"id":1,"name":"Subdivision","value":"NW"},{"id":4,"name":"Milepost","value":"0.0715"},{"id":17,"name":"Train ID","value":"802-23"},{"id":16,"name":"Locomotive ID","value":"4039"},{"id":130,"name":"Impact","value":""},{"id":150,"name":"Time of Event (Mountain Time)","value":"06:26:04"},{"id":151,"name":"Denver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2" s="47"/>
      <c r="AL162" s="47"/>
      <c r="AM162" s="142" t="str">
        <f t="shared" si="28"/>
        <v>start /low /b %USERPROFILE%\Documents\GitHub\eaglep3\Utilities\DownloadLogsFromS3.py --loco 4039 --day 2017-10-23</v>
      </c>
      <c r="AN162" s="151" t="str">
        <f t="shared" si="29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12:26:04"},{"id":29,"name":"Sharepoint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168" t="str">
        <f t="shared" si="30"/>
        <v>https://d0f6bd738d7f1b3e5a7ca70fe4ff75f0.us-east-1.aws.found.io/app/kibana#/discover/Steve-Slow-Train-Analysis-(2080s-and-2083s)?_g=(refreshInterval:(display:Off,pause:!f,section:0,value:0),time:(from:'2017-10-23T04:54:09-0600',mode:absolute,to:'2017-10-23T07:26:04-0600'))&amp;_a=(columns:!('Message%20ID',Summary),filters:!(),index:'emp_*',interval:auto,query:(query_string:(analyze_wildcard:!t,query:'%22rtdc.l.rtdc.4039%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3">
      <c r="A163" s="32" t="s">
        <v>641</v>
      </c>
      <c r="B163" s="7">
        <v>4060</v>
      </c>
      <c r="C163" s="21" t="s">
        <v>194</v>
      </c>
      <c r="D163" s="21" t="s">
        <v>621</v>
      </c>
      <c r="E163" s="13">
        <v>43031.246863425928</v>
      </c>
      <c r="F163" s="13">
        <v>43031.256423611114</v>
      </c>
      <c r="G163" s="7">
        <v>64</v>
      </c>
      <c r="H163" s="21" t="s">
        <v>991</v>
      </c>
      <c r="I163" s="13">
        <v>43031.267280092594</v>
      </c>
      <c r="J163" s="7">
        <v>0</v>
      </c>
      <c r="K163" s="89" t="str">
        <f>IF(ISEVEN(B163),(B163-1)&amp;"/"&amp;B163,B163&amp;"/"&amp;(B163+1))</f>
        <v>4059/4060</v>
      </c>
      <c r="L163" s="185" t="str">
        <f>VLOOKUP(A163,'Trips&amp;Operators'!$C$1:$G$99911,5,FALSE)</f>
        <v>YANAI IAN</v>
      </c>
      <c r="M163" s="6">
        <f>I163-F163</f>
        <v>1.0856481480004732E-2</v>
      </c>
      <c r="N163" s="7">
        <f>24*60*SUM($M163:$M163)</f>
        <v>15.633333331206813</v>
      </c>
      <c r="O163" s="7"/>
      <c r="P163" s="7"/>
      <c r="Q163" s="22"/>
      <c r="R163" s="174"/>
      <c r="S163" s="221">
        <f>1/IF(AG163="EC",12,1)*SUM(U163:U163)</f>
        <v>1</v>
      </c>
      <c r="T163" s="174" t="str">
        <f>IF(ISEVEN(LEFT(AD163,4)),"Southbound","NorthBound")</f>
        <v>NorthBound</v>
      </c>
      <c r="U163" s="198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16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2017-10-23T04:55:29-0600',mode:absolute,to:'2017-10-23T07:24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63" s="204" t="str">
        <f>IF(AA163&lt;VLOOKUP(AG163,Variables!$AC$3:$AD$8,2,FALSE),"Y","N")</f>
        <v>N</v>
      </c>
      <c r="X163" s="204">
        <f>VALUE(LEFT(AD163,4))-VALUE(LEFT(AD162,4))</f>
        <v>1</v>
      </c>
      <c r="Y163" s="204">
        <f>RIGHT(D163,LEN(D163)-4)/10000</f>
        <v>9.7600000000000006E-2</v>
      </c>
      <c r="Z163" s="204">
        <f>RIGHT(H163,LEN(H163)-4)/10000</f>
        <v>5.8921999999999999</v>
      </c>
      <c r="AA163" s="204">
        <f>ABS(Z163-Y163)</f>
        <v>5.7946</v>
      </c>
      <c r="AB163" s="54" t="e">
        <f>VLOOKUP(A163,Enforcements!$C$7:$K$11,8,0)</f>
        <v>#N/A</v>
      </c>
      <c r="AC163" s="51" t="e">
        <f>VLOOKUP(A163,Enforcements!$C$7:$E$11,3,0)</f>
        <v>#N/A</v>
      </c>
      <c r="AD163" s="179">
        <f>VALUE(LEFT(A163,LEN(A163)-3))</f>
        <v>803</v>
      </c>
      <c r="AE163" s="77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s3://rtdc.mdm.uploadarchive.raw/RTDC4060/ "%USERPROFILE%\AppData\Local\Temp\OnboardLogs"\RTDC4060\2017-10-23 --exclude "*" --recursive --include "*20171023*" &amp; "%USERPROFILE%\Documents\GitHub\mrs-test-scripts\Headless Mode &amp; Sideloading\WalkAndUnGZ.bat" "%USERPROFILE%\AppData\Local\Temp\OnboardLogs"\RTDC4060\2017-10-23 &amp; aws s3 cp s3://rtdc.mdm.uploadarchive.raw/RTDC4060/ "%USERPROFILE%\AppData\Local\Temp\OnboardLogs"\RTDC4060\2017-10-24 --exclude "*" --recursive --include "*20171024*" &amp; "%USERPROFILE%\Documents\GitHub\mrs-test-scripts\Headless Mode &amp; Sideloading\WalkAndUnGZ.bat" "%USERPROFILE%\AppData\Local\Temp\OnboardLogs"\RTDC4060\2017-10-24</v>
      </c>
      <c r="AF163" s="74" t="str">
        <f>astrogrep_path&amp;" /e /r /s /spath="&amp;search_path&amp;" /stypes=""app*"&amp;B163&amp;"*"&amp;TEXT(I163-utc_offset/24,"YYYYMMDD")&amp;"*"" /stext="" "&amp;TEXT(I163-utc_offset/24,"HH")&amp;search_regexp&amp;""""</f>
        <v>"C:\Program Files (x86)\AstroGrep\AstroGrep.exe" /e /r /s /spath="%USERPROFILE%\AppData\Local\Temp\OnboardLogs" /stypes="app*4060*20171023*" /stext=" 12:.+((SYSTEM_STATE.+slice.+state.+changed )|(ment ac)|(multiple cpu faults)|(system.+state.+changed )|(\[timeout)|(PRM\|1\|D)|(kpr)|(kdp)|(train st.+moving)|(\|lc)|(penalty))"</v>
      </c>
      <c r="AG163" s="182" t="str">
        <f>DetSubdiv(A163)</f>
        <v>NW</v>
      </c>
      <c r="AH163" s="78" t="str">
        <f t="shared" si="26"/>
        <v>"%USERPROFILE%\Documents\GitHub\eaglep3\Utilities\RefineRTDCRunTimes.py" --tripid 803-23 --locoid 4060 --swversion DE.1.0.9.0 --startMP 204:976 --initTime 2017-10-23T05:55:29 --startdatetime 2017-10-23T06:09:15 --delay 64 --endMP 300:58922 --enddatetime 2017-10-23T06:24:53 --enforcementcount 0 &gt;&gt;%USERPROFILE%\Documents\GitHub\eaglep3-reporting\EC\2017-10-23-refined-times.txt</v>
      </c>
      <c r="AI163" s="96" t="str">
        <f t="shared" si="27"/>
        <v>echo {"issue":{"subject":"","project_id":79,"tracker_id":40,"status_id":1,"priority_id":2,"assigned_to_id":338,"start_date":"2017-10-23","description":"","custom_fields":[{"id":1,"name":"Subdivision","value":"NW"},{"id":4,"name":"Milepost","value":"5.8922"},{"id":17,"name":"Train ID","value":"803-23"},{"id":16,"name":"Locomotive ID","value":"4060"},{"id":130,"name":"Impact","value":""},{"id":150,"name":"Time of Event (Mountain Time)","value":"06:24:53"},{"id":151,"name":"Denver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3" s="47"/>
      <c r="AL163" s="47"/>
      <c r="AM163" s="142" t="str">
        <f t="shared" si="28"/>
        <v>start /low /b %USERPROFILE%\Documents\GitHub\eaglep3\Utilities\DownloadLogsFromS3.py --loco 4060 --day 2017-10-23</v>
      </c>
      <c r="AN163" s="151" t="str">
        <f t="shared" si="29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12:24:53"},{"id":29,"name":"Sharepoint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168" t="str">
        <f t="shared" si="30"/>
        <v>https://d0f6bd738d7f1b3e5a7ca70fe4ff75f0.us-east-1.aws.found.io/app/kibana#/discover/Steve-Slow-Train-Analysis-(2080s-and-2083s)?_g=(refreshInterval:(display:Off,pause:!f,section:0,value:0),time:(from:'2017-10-23T04:55:29-0600',mode:absolute,to:'2017-10-23T07:24:53-0600'))&amp;_a=(columns:!('Message%20ID',Summary),filters:!(),index:'emp_*',interval:auto,query:(query_string:(analyze_wildcard:!t,query:'%22rtdc.l.rtdc.4060%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3">
      <c r="A164" s="32" t="s">
        <v>646</v>
      </c>
      <c r="B164" s="7">
        <v>4059</v>
      </c>
      <c r="C164" s="21" t="s">
        <v>194</v>
      </c>
      <c r="D164" s="21" t="s">
        <v>613</v>
      </c>
      <c r="E164" s="13">
        <v>43031.268206018518</v>
      </c>
      <c r="F164" s="13">
        <v>43031.279930555553</v>
      </c>
      <c r="G164" s="7">
        <v>54</v>
      </c>
      <c r="H164" s="21" t="s">
        <v>992</v>
      </c>
      <c r="I164" s="13">
        <v>43031.287870370368</v>
      </c>
      <c r="J164" s="7">
        <v>0</v>
      </c>
      <c r="K164" s="89" t="str">
        <f>IF(ISEVEN(B164),(B164-1)&amp;"/"&amp;B164,B164&amp;"/"&amp;(B164+1))</f>
        <v>4059/4060</v>
      </c>
      <c r="L164" s="185" t="str">
        <f>VLOOKUP(A164,'Trips&amp;Operators'!$C$1:$G$99911,5,FALSE)</f>
        <v>YANAI IAN</v>
      </c>
      <c r="M164" s="6">
        <f>I164-F164</f>
        <v>7.9398148154723458E-3</v>
      </c>
      <c r="N164" s="7">
        <f>24*60*SUM($M164:$M164)</f>
        <v>11.433333334280178</v>
      </c>
      <c r="O164" s="7"/>
      <c r="P164" s="7"/>
      <c r="Q164" s="22"/>
      <c r="R164" s="174"/>
      <c r="S164" s="221">
        <f>1/IF(AG164="EC",12,1)*SUM(U164:U164)</f>
        <v>1</v>
      </c>
      <c r="T164" s="174" t="str">
        <f>IF(ISEVEN(LEFT(AD164,4)),"Southbound","NorthBound")</f>
        <v>Southbound</v>
      </c>
      <c r="U164" s="198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16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2017-10-23T05:26:13-0600',mode:absolute,to:'2017-10-23T07:54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64" s="204" t="str">
        <f>IF(AA164&lt;VLOOKUP(AG164,Variables!$AC$3:$AD$8,2,FALSE),"Y","N")</f>
        <v>N</v>
      </c>
      <c r="X164" s="204">
        <f>VALUE(LEFT(AD164,4))-VALUE(LEFT(AD163,4))</f>
        <v>1</v>
      </c>
      <c r="Y164" s="204">
        <f>RIGHT(D164,LEN(D164)-4)/10000</f>
        <v>5.8597999999999999</v>
      </c>
      <c r="Z164" s="204">
        <f>RIGHT(H164,LEN(H164)-4)/10000</f>
        <v>7.4999999999999997E-2</v>
      </c>
      <c r="AA164" s="204">
        <f>ABS(Z164-Y164)</f>
        <v>5.7847999999999997</v>
      </c>
      <c r="AB164" s="54" t="e">
        <f>VLOOKUP(A164,Enforcements!$C$7:$K$11,8,0)</f>
        <v>#N/A</v>
      </c>
      <c r="AC164" s="51" t="e">
        <f>VLOOKUP(A164,Enforcements!$C$7:$E$11,3,0)</f>
        <v>#N/A</v>
      </c>
      <c r="AD164" s="179">
        <f>VALUE(LEFT(A164,LEN(A164)-3))</f>
        <v>804</v>
      </c>
      <c r="AE164" s="77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s3://rtdc.mdm.uploadarchive.raw/RTDC4059/ "%USERPROFILE%\AppData\Local\Temp\OnboardLogs"\RTDC4059\2017-10-23 --exclude "*" --recursive --include "*20171023*" &amp; "%USERPROFILE%\Documents\GitHub\mrs-test-scripts\Headless Mode &amp; Sideloading\WalkAndUnGZ.bat" "%USERPROFILE%\AppData\Local\Temp\OnboardLogs"\RTDC4059\2017-10-23 &amp; aws s3 cp s3://rtdc.mdm.uploadarchive.raw/RTDC4059/ "%USERPROFILE%\AppData\Local\Temp\OnboardLogs"\RTDC4059\2017-10-24 --exclude "*" --recursive --include "*20171024*" &amp; "%USERPROFILE%\Documents\GitHub\mrs-test-scripts\Headless Mode &amp; Sideloading\WalkAndUnGZ.bat" "%USERPROFILE%\AppData\Local\Temp\OnboardLogs"\RTDC4059\2017-10-24</v>
      </c>
      <c r="AF164" s="74" t="str">
        <f>astrogrep_path&amp;" /e /r /s /spath="&amp;search_path&amp;" /stypes=""app*"&amp;B164&amp;"*"&amp;TEXT(I164-utc_offset/24,"YYYYMMDD")&amp;"*"" /stext="" "&amp;TEXT(I164-utc_offset/24,"HH")&amp;search_regexp&amp;""""</f>
        <v>"C:\Program Files (x86)\AstroGrep\AstroGrep.exe" /e /r /s /spath="%USERPROFILE%\AppData\Local\Temp\OnboardLogs" /stypes="app*4059*20171023*" /stext=" 12:.+((SYSTEM_STATE.+slice.+state.+changed )|(ment ac)|(multiple cpu faults)|(system.+state.+changed )|(\[timeout)|(PRM\|1\|D)|(kpr)|(kdp)|(train st.+moving)|(\|lc)|(penalty))"</v>
      </c>
      <c r="AG164" s="182" t="str">
        <f>DetSubdiv(A164)</f>
        <v>NW</v>
      </c>
      <c r="AH164" s="78" t="str">
        <f t="shared" si="26"/>
        <v>"%USERPROFILE%\Documents\GitHub\eaglep3\Utilities\RefineRTDCRunTimes.py" --tripid 804-23 --locoid 4059 --swversion DE.1.0.9.0 --startMP 300:58598 --initTime 2017-10-23T06:26:13 --startdatetime 2017-10-23T06:43:06 --delay 54 --endMP 204:750 --enddatetime 2017-10-23T06:54:32 --enforcementcount 0 &gt;&gt;%USERPROFILE%\Documents\GitHub\eaglep3-reporting\EC\2017-10-23-refined-times.txt</v>
      </c>
      <c r="AI164" s="96" t="str">
        <f t="shared" si="27"/>
        <v>echo {"issue":{"subject":"","project_id":79,"tracker_id":40,"status_id":1,"priority_id":2,"assigned_to_id":338,"start_date":"2017-10-23","description":"","custom_fields":[{"id":1,"name":"Subdivision","value":"NW"},{"id":4,"name":"Milepost","value":"0.075"},{"id":17,"name":"Train ID","value":"804-23"},{"id":16,"name":"Locomotive ID","value":"4059"},{"id":130,"name":"Impact","value":""},{"id":150,"name":"Time of Event (Mountain Time)","value":"06:54:32"},{"id":151,"name":"Denver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4" s="47"/>
      <c r="AL164" s="47"/>
      <c r="AM164" s="142" t="str">
        <f t="shared" si="28"/>
        <v>start /low /b %USERPROFILE%\Documents\GitHub\eaglep3\Utilities\DownloadLogsFromS3.py --loco 4059 --day 2017-10-23</v>
      </c>
      <c r="AN164" s="151" t="str">
        <f t="shared" si="29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12:54:32"},{"id":29,"name":"Sharepoint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168" t="str">
        <f t="shared" si="30"/>
        <v>https://d0f6bd738d7f1b3e5a7ca70fe4ff75f0.us-east-1.aws.found.io/app/kibana#/discover/Steve-Slow-Train-Analysis-(2080s-and-2083s)?_g=(refreshInterval:(display:Off,pause:!f,section:0,value:0),time:(from:'2017-10-23T05:26:13-0600',mode:absolute,to:'2017-10-23T07:54:32-0600'))&amp;_a=(columns:!('Message%20ID',Summary),filters:!(),index:'emp_*',interval:auto,query:(query_string:(analyze_wildcard:!t,query:'%22rtdc.l.rtdc.4059%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3">
      <c r="A165" s="32" t="s">
        <v>727</v>
      </c>
      <c r="B165" s="7">
        <v>4040</v>
      </c>
      <c r="C165" s="21" t="s">
        <v>194</v>
      </c>
      <c r="D165" s="21" t="s">
        <v>993</v>
      </c>
      <c r="E165" s="13">
        <v>43031.268842592595</v>
      </c>
      <c r="F165" s="13">
        <v>43031.277546296296</v>
      </c>
      <c r="G165" s="7">
        <v>652</v>
      </c>
      <c r="H165" s="21" t="s">
        <v>994</v>
      </c>
      <c r="I165" s="13">
        <v>43031.287152777775</v>
      </c>
      <c r="J165" s="7">
        <v>0</v>
      </c>
      <c r="K165" s="89" t="str">
        <f>IF(ISEVEN(B165),(B165-1)&amp;"/"&amp;B165,B165&amp;"/"&amp;(B165+1))</f>
        <v>4039/4040</v>
      </c>
      <c r="L165" s="185" t="str">
        <f>VLOOKUP(A165,'Trips&amp;Operators'!$C$1:$G$99911,5,FALSE)</f>
        <v>MACDONALD THOMAS</v>
      </c>
      <c r="M165" s="6">
        <f>I165-F165</f>
        <v>9.6064814788405783E-3</v>
      </c>
      <c r="N165" s="7">
        <f>24*60*SUM($M165:$M165)</f>
        <v>13.833333329530433</v>
      </c>
      <c r="O165" s="7"/>
      <c r="P165" s="7"/>
      <c r="Q165" s="22"/>
      <c r="R165" s="174"/>
      <c r="S165" s="221">
        <f>1/IF(AG165="EC",12,1)*SUM(U165:U165)</f>
        <v>1</v>
      </c>
      <c r="T165" s="174" t="str">
        <f>IF(ISEVEN(LEFT(AD165,4)),"Southbound","NorthBound")</f>
        <v>NorthBound</v>
      </c>
      <c r="U165" s="198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16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2017-10-23T05:27:08-0600',mode:absolute,to:'2017-10-23T07:53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65" s="204" t="str">
        <f>IF(AA165&lt;VLOOKUP(AG165,Variables!$AC$3:$AD$8,2,FALSE),"Y","N")</f>
        <v>N</v>
      </c>
      <c r="X165" s="204">
        <f>VALUE(LEFT(AD165,4))-VALUE(LEFT(AD164,4))</f>
        <v>1</v>
      </c>
      <c r="Y165" s="204">
        <f>RIGHT(D165,LEN(D165)-4)/10000</f>
        <v>9.9000000000000005E-2</v>
      </c>
      <c r="Z165" s="204">
        <f>RIGHT(H165,LEN(H165)-4)/10000</f>
        <v>5.8910999999999998</v>
      </c>
      <c r="AA165" s="204">
        <f>ABS(Z165-Y165)</f>
        <v>5.7920999999999996</v>
      </c>
      <c r="AB165" s="54" t="e">
        <f>VLOOKUP(A165,Enforcements!$C$7:$K$11,8,0)</f>
        <v>#N/A</v>
      </c>
      <c r="AC165" s="51" t="e">
        <f>VLOOKUP(A165,Enforcements!$C$7:$E$11,3,0)</f>
        <v>#N/A</v>
      </c>
      <c r="AD165" s="179">
        <f>VALUE(LEFT(A165,LEN(A165)-3))</f>
        <v>805</v>
      </c>
      <c r="AE165" s="77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s3://rtdc.mdm.uploadarchive.raw/RTDC4040/ "%USERPROFILE%\AppData\Local\Temp\OnboardLogs"\RTDC4040\2017-10-23 --exclude "*" --recursive --include "*20171023*" &amp; "%USERPROFILE%\Documents\GitHub\mrs-test-scripts\Headless Mode &amp; Sideloading\WalkAndUnGZ.bat" "%USERPROFILE%\AppData\Local\Temp\OnboardLogs"\RTDC4040\2017-10-23 &amp; aws s3 cp s3://rtdc.mdm.uploadarchive.raw/RTDC4040/ "%USERPROFILE%\AppData\Local\Temp\OnboardLogs"\RTDC4040\2017-10-24 --exclude "*" --recursive --include "*20171024*" &amp; "%USERPROFILE%\Documents\GitHub\mrs-test-scripts\Headless Mode &amp; Sideloading\WalkAndUnGZ.bat" "%USERPROFILE%\AppData\Local\Temp\OnboardLogs"\RTDC4040\2017-10-24</v>
      </c>
      <c r="AF165" s="74" t="str">
        <f>astrogrep_path&amp;" /e /r /s /spath="&amp;search_path&amp;" /stypes=""app*"&amp;B165&amp;"*"&amp;TEXT(I165-utc_offset/24,"YYYYMMDD")&amp;"*"" /stext="" "&amp;TEXT(I165-utc_offset/24,"HH")&amp;search_regexp&amp;""""</f>
        <v>"C:\Program Files (x86)\AstroGrep\AstroGrep.exe" /e /r /s /spath="%USERPROFILE%\AppData\Local\Temp\OnboardLogs" /stypes="app*4040*20171023*" /stext=" 12:.+((SYSTEM_STATE.+slice.+state.+changed )|(ment ac)|(multiple cpu faults)|(system.+state.+changed )|(\[timeout)|(PRM\|1\|D)|(kpr)|(kdp)|(train st.+moving)|(\|lc)|(penalty))"</v>
      </c>
      <c r="AG165" s="182" t="str">
        <f>DetSubdiv(A165)</f>
        <v>NW</v>
      </c>
      <c r="AH165" s="78" t="str">
        <f t="shared" si="26"/>
        <v>"%USERPROFILE%\Documents\GitHub\eaglep3\Utilities\RefineRTDCRunTimes.py" --tripid 805-23 --locoid 4040 --swversion DE.1.0.9.0 --startMP 204:990 --initTime 2017-10-23T06:27:08 --startdatetime 2017-10-23T06:39:40 --delay 652 --endMP 300:58911 --enddatetime 2017-10-23T06:53:30 --enforcementcount 0 &gt;&gt;%USERPROFILE%\Documents\GitHub\eaglep3-reporting\EC\2017-10-23-refined-times.txt</v>
      </c>
      <c r="AI165" s="96" t="str">
        <f t="shared" si="27"/>
        <v>echo {"issue":{"subject":"","project_id":79,"tracker_id":40,"status_id":1,"priority_id":2,"assigned_to_id":338,"start_date":"2017-10-23","description":"","custom_fields":[{"id":1,"name":"Subdivision","value":"NW"},{"id":4,"name":"Milepost","value":"5.8911"},{"id":17,"name":"Train ID","value":"805-23"},{"id":16,"name":"Locomotive ID","value":"4040"},{"id":130,"name":"Impact","value":""},{"id":150,"name":"Time of Event (Mountain Time)","value":"06:53:30"},{"id":151,"name":"Denver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5" s="47"/>
      <c r="AL165" s="47"/>
      <c r="AM165" s="142" t="str">
        <f t="shared" si="28"/>
        <v>start /low /b %USERPROFILE%\Documents\GitHub\eaglep3\Utilities\DownloadLogsFromS3.py --loco 4040 --day 2017-10-23</v>
      </c>
      <c r="AN165" s="151" t="str">
        <f t="shared" si="29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12:53:30"},{"id":29,"name":"Sharepoint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168" t="str">
        <f t="shared" si="30"/>
        <v>https://d0f6bd738d7f1b3e5a7ca70fe4ff75f0.us-east-1.aws.found.io/app/kibana#/discover/Steve-Slow-Train-Analysis-(2080s-and-2083s)?_g=(refreshInterval:(display:Off,pause:!f,section:0,value:0),time:(from:'2017-10-23T05:27:08-0600',mode:absolute,to:'2017-10-23T07:53:30-0600'))&amp;_a=(columns:!('Message%20ID',Summary),filters:!(),index:'emp_*',interval:auto,query:(query_string:(analyze_wildcard:!t,query:'%22rtdc.l.rtdc.4040%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3">
      <c r="A166" s="32" t="s">
        <v>730</v>
      </c>
      <c r="B166" s="7">
        <v>4039</v>
      </c>
      <c r="C166" s="21" t="s">
        <v>194</v>
      </c>
      <c r="D166" s="21" t="s">
        <v>995</v>
      </c>
      <c r="E166" s="13">
        <v>43031.28800925926</v>
      </c>
      <c r="F166" s="13">
        <v>43031.300891203704</v>
      </c>
      <c r="G166" s="7">
        <v>47</v>
      </c>
      <c r="H166" s="21" t="s">
        <v>996</v>
      </c>
      <c r="I166" s="13">
        <v>43031.309027777781</v>
      </c>
      <c r="J166" s="7">
        <v>0</v>
      </c>
      <c r="K166" s="89" t="str">
        <f>IF(ISEVEN(B166),(B166-1)&amp;"/"&amp;B166,B166&amp;"/"&amp;(B166+1))</f>
        <v>4039/4040</v>
      </c>
      <c r="L166" s="185" t="str">
        <f>VLOOKUP(A166,'Trips&amp;Operators'!$C$1:$G$99911,5,FALSE)</f>
        <v>MACDONALD THOMAS</v>
      </c>
      <c r="M166" s="6">
        <f>I166-F166</f>
        <v>8.1365740770706907E-3</v>
      </c>
      <c r="N166" s="7">
        <f>24*60*SUM($M166:$M166)</f>
        <v>11.716666670981795</v>
      </c>
      <c r="O166" s="7"/>
      <c r="P166" s="7"/>
      <c r="Q166" s="22"/>
      <c r="R166" s="174"/>
      <c r="S166" s="221">
        <f>1/IF(AG166="EC",12,1)*SUM(U166:U166)</f>
        <v>1</v>
      </c>
      <c r="T166" s="174" t="str">
        <f>IF(ISEVEN(LEFT(AD166,4)),"Southbound","NorthBound")</f>
        <v>Southbound</v>
      </c>
      <c r="U166" s="198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16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2017-10-23T05:54:44-0600',mode:absolute,to:'2017-10-23T08:25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6" s="204" t="str">
        <f>IF(AA166&lt;VLOOKUP(AG166,Variables!$AC$3:$AD$8,2,FALSE),"Y","N")</f>
        <v>N</v>
      </c>
      <c r="X166" s="204">
        <f>VALUE(LEFT(AD166,4))-VALUE(LEFT(AD165,4))</f>
        <v>1</v>
      </c>
      <c r="Y166" s="204">
        <f>RIGHT(D166,LEN(D166)-4)/10000</f>
        <v>5.8592000000000004</v>
      </c>
      <c r="Z166" s="204">
        <f>RIGHT(H166,LEN(H166)-4)/10000</f>
        <v>7.3999999999999996E-2</v>
      </c>
      <c r="AA166" s="204">
        <f>ABS(Z166-Y166)</f>
        <v>5.7852000000000006</v>
      </c>
      <c r="AB166" s="54" t="e">
        <f>VLOOKUP(A166,Enforcements!$C$7:$K$11,8,0)</f>
        <v>#N/A</v>
      </c>
      <c r="AC166" s="51" t="e">
        <f>VLOOKUP(A166,Enforcements!$C$7:$E$11,3,0)</f>
        <v>#N/A</v>
      </c>
      <c r="AD166" s="179">
        <f>VALUE(LEFT(A166,LEN(A166)-3))</f>
        <v>806</v>
      </c>
      <c r="AE166" s="77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s3://rtdc.mdm.uploadarchive.raw/RTDC4039/ "%USERPROFILE%\AppData\Local\Temp\OnboardLogs"\RTDC4039\2017-10-23 --exclude "*" --recursive --include "*20171023*" &amp; "%USERPROFILE%\Documents\GitHub\mrs-test-scripts\Headless Mode &amp; Sideloading\WalkAndUnGZ.bat" "%USERPROFILE%\AppData\Local\Temp\OnboardLogs"\RTDC4039\2017-10-23 &amp; aws s3 cp s3://rtdc.mdm.uploadarchive.raw/RTDC4039/ "%USERPROFILE%\AppData\Local\Temp\OnboardLogs"\RTDC4039\2017-10-24 --exclude "*" --recursive --include "*20171024*" &amp; "%USERPROFILE%\Documents\GitHub\mrs-test-scripts\Headless Mode &amp; Sideloading\WalkAndUnGZ.bat" "%USERPROFILE%\AppData\Local\Temp\OnboardLogs"\RTDC4039\2017-10-24</v>
      </c>
      <c r="AF166" s="74" t="str">
        <f>astrogrep_path&amp;" /e /r /s /spath="&amp;search_path&amp;" /stypes=""app*"&amp;B166&amp;"*"&amp;TEXT(I166-utc_offset/24,"YYYYMMDD")&amp;"*"" /stext="" "&amp;TEXT(I166-utc_offset/24,"HH")&amp;search_regexp&amp;""""</f>
        <v>"C:\Program Files (x86)\AstroGrep\AstroGrep.exe" /e /r /s /spath="%USERPROFILE%\AppData\Local\Temp\OnboardLogs" /stypes="app*4039*20171023*" /stext=" 13:.+((SYSTEM_STATE.+slice.+state.+changed )|(ment ac)|(multiple cpu faults)|(system.+state.+changed )|(\[timeout)|(PRM\|1\|D)|(kpr)|(kdp)|(train st.+moving)|(\|lc)|(penalty))"</v>
      </c>
      <c r="AG166" s="182" t="str">
        <f>DetSubdiv(A166)</f>
        <v>NW</v>
      </c>
      <c r="AH166" s="78" t="str">
        <f t="shared" si="26"/>
        <v>"%USERPROFILE%\Documents\GitHub\eaglep3\Utilities\RefineRTDCRunTimes.py" --tripid 806-23 --locoid 4039 --swversion DE.1.0.9.0 --startMP 300:58592 --initTime 2017-10-23T06:54:44 --startdatetime 2017-10-23T07:13:17 --delay 47 --endMP 204:740 --enddatetime 2017-10-23T07:25:00 --enforcementcount 0 &gt;&gt;%USERPROFILE%\Documents\GitHub\eaglep3-reporting\EC\2017-10-23-refined-times.txt</v>
      </c>
      <c r="AI166" s="96" t="str">
        <f t="shared" si="27"/>
        <v>echo {"issue":{"subject":"","project_id":79,"tracker_id":40,"status_id":1,"priority_id":2,"assigned_to_id":338,"start_date":"2017-10-23","description":"","custom_fields":[{"id":1,"name":"Subdivision","value":"NW"},{"id":4,"name":"Milepost","value":"0.074"},{"id":17,"name":"Train ID","value":"806-23"},{"id":16,"name":"Locomotive ID","value":"4039"},{"id":130,"name":"Impact","value":""},{"id":150,"name":"Time of Event (Mountain Time)","value":"07:25:00"},{"id":151,"name":"Denver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6" s="47"/>
      <c r="AL166" s="47"/>
      <c r="AM166" s="142" t="str">
        <f t="shared" si="28"/>
        <v>start /low /b %USERPROFILE%\Documents\GitHub\eaglep3\Utilities\DownloadLogsFromS3.py --loco 4039 --day 2017-10-23</v>
      </c>
      <c r="AN166" s="151" t="str">
        <f t="shared" si="29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13:25:00"},{"id":29,"name":"Sharepoint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168" t="str">
        <f t="shared" si="30"/>
        <v>https://d0f6bd738d7f1b3e5a7ca70fe4ff75f0.us-east-1.aws.found.io/app/kibana#/discover/Steve-Slow-Train-Analysis-(2080s-and-2083s)?_g=(refreshInterval:(display:Off,pause:!f,section:0,value:0),time:(from:'2017-10-23T05:54:44-0600',mode:absolute,to:'2017-10-23T08:25:00-0600'))&amp;_a=(columns:!('Message%20ID',Summary),filters:!(),index:'emp_*',interval:auto,query:(query_string:(analyze_wildcard:!t,query:'%22rtdc.l.rtdc.4039%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3">
      <c r="A167" s="32" t="s">
        <v>732</v>
      </c>
      <c r="B167" s="7">
        <v>4060</v>
      </c>
      <c r="C167" s="21" t="s">
        <v>194</v>
      </c>
      <c r="D167" s="21" t="s">
        <v>997</v>
      </c>
      <c r="E167" s="13">
        <v>43031.288946759261</v>
      </c>
      <c r="F167" s="13">
        <v>43031.298113425924</v>
      </c>
      <c r="G167" s="7">
        <v>49</v>
      </c>
      <c r="H167" s="21" t="s">
        <v>998</v>
      </c>
      <c r="I167" s="13">
        <v>43031.30777777778</v>
      </c>
      <c r="J167" s="7">
        <v>0</v>
      </c>
      <c r="K167" s="89" t="str">
        <f>IF(ISEVEN(B167),(B167-1)&amp;"/"&amp;B167,B167&amp;"/"&amp;(B167+1))</f>
        <v>4059/4060</v>
      </c>
      <c r="L167" s="185" t="str">
        <f>VLOOKUP(A167,'Trips&amp;Operators'!$C$1:$G$99911,5,FALSE)</f>
        <v>YANAI IAN</v>
      </c>
      <c r="M167" s="6">
        <f>I167-F167</f>
        <v>9.6643518554628827E-3</v>
      </c>
      <c r="N167" s="7">
        <f>24*60*SUM($M167:$M167)</f>
        <v>13.916666671866551</v>
      </c>
      <c r="O167" s="7"/>
      <c r="P167" s="7"/>
      <c r="Q167" s="22"/>
      <c r="R167" s="174"/>
      <c r="S167" s="221">
        <f>1/IF(AG167="EC",12,1)*SUM(U167:U167)</f>
        <v>1</v>
      </c>
      <c r="T167" s="174" t="str">
        <f>IF(ISEVEN(LEFT(AD167,4)),"Southbound","NorthBound")</f>
        <v>NorthBound</v>
      </c>
      <c r="U167" s="198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16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2017-10-23T05:56:05-0600',mode:absolute,to:'2017-10-23T08:23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67" s="204" t="str">
        <f>IF(AA167&lt;VLOOKUP(AG167,Variables!$AC$3:$AD$8,2,FALSE),"Y","N")</f>
        <v>N</v>
      </c>
      <c r="X167" s="204">
        <f>VALUE(LEFT(AD167,4))-VALUE(LEFT(AD166,4))</f>
        <v>1</v>
      </c>
      <c r="Y167" s="204">
        <f>RIGHT(D167,LEN(D167)-4)/10000</f>
        <v>0.1028</v>
      </c>
      <c r="Z167" s="204">
        <f>RIGHT(H167,LEN(H167)-4)/10000</f>
        <v>5.8924000000000003</v>
      </c>
      <c r="AA167" s="204">
        <f>ABS(Z167-Y167)</f>
        <v>5.7896000000000001</v>
      </c>
      <c r="AB167" s="54" t="e">
        <f>VLOOKUP(A167,Enforcements!$C$7:$K$11,8,0)</f>
        <v>#N/A</v>
      </c>
      <c r="AC167" s="51" t="e">
        <f>VLOOKUP(A167,Enforcements!$C$7:$E$11,3,0)</f>
        <v>#N/A</v>
      </c>
      <c r="AD167" s="179">
        <f>VALUE(LEFT(A167,LEN(A167)-3))</f>
        <v>807</v>
      </c>
      <c r="AE167" s="77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s3://rtdc.mdm.uploadarchive.raw/RTDC4060/ "%USERPROFILE%\AppData\Local\Temp\OnboardLogs"\RTDC4060\2017-10-23 --exclude "*" --recursive --include "*20171023*" &amp; "%USERPROFILE%\Documents\GitHub\mrs-test-scripts\Headless Mode &amp; Sideloading\WalkAndUnGZ.bat" "%USERPROFILE%\AppData\Local\Temp\OnboardLogs"\RTDC4060\2017-10-23 &amp; aws s3 cp s3://rtdc.mdm.uploadarchive.raw/RTDC4060/ "%USERPROFILE%\AppData\Local\Temp\OnboardLogs"\RTDC4060\2017-10-24 --exclude "*" --recursive --include "*20171024*" &amp; "%USERPROFILE%\Documents\GitHub\mrs-test-scripts\Headless Mode &amp; Sideloading\WalkAndUnGZ.bat" "%USERPROFILE%\AppData\Local\Temp\OnboardLogs"\RTDC4060\2017-10-24</v>
      </c>
      <c r="AF167" s="74" t="str">
        <f>astrogrep_path&amp;" /e /r /s /spath="&amp;search_path&amp;" /stypes=""app*"&amp;B167&amp;"*"&amp;TEXT(I167-utc_offset/24,"YYYYMMDD")&amp;"*"" /stext="" "&amp;TEXT(I167-utc_offset/24,"HH")&amp;search_regexp&amp;""""</f>
        <v>"C:\Program Files (x86)\AstroGrep\AstroGrep.exe" /e /r /s /spath="%USERPROFILE%\AppData\Local\Temp\OnboardLogs" /stypes="app*4060*20171023*" /stext=" 13:.+((SYSTEM_STATE.+slice.+state.+changed )|(ment ac)|(multiple cpu faults)|(system.+state.+changed )|(\[timeout)|(PRM\|1\|D)|(kpr)|(kdp)|(train st.+moving)|(\|lc)|(penalty))"</v>
      </c>
      <c r="AG167" s="182" t="str">
        <f>DetSubdiv(A167)</f>
        <v>NW</v>
      </c>
      <c r="AH167" s="78" t="str">
        <f t="shared" si="26"/>
        <v>"%USERPROFILE%\Documents\GitHub\eaglep3\Utilities\RefineRTDCRunTimes.py" --tripid 807-23 --locoid 4060 --swversion DE.1.0.9.0 --startMP 204:1028 --initTime 2017-10-23T06:56:05 --startdatetime 2017-10-23T07:09:17 --delay 49 --endMP 300:58924 --enddatetime 2017-10-23T07:23:12 --enforcementcount 0 &gt;&gt;%USERPROFILE%\Documents\GitHub\eaglep3-reporting\EC\2017-10-23-refined-times.txt</v>
      </c>
      <c r="AI167" s="96" t="str">
        <f t="shared" si="27"/>
        <v>echo {"issue":{"subject":"","project_id":79,"tracker_id":40,"status_id":1,"priority_id":2,"assigned_to_id":338,"start_date":"2017-10-23","description":"","custom_fields":[{"id":1,"name":"Subdivision","value":"NW"},{"id":4,"name":"Milepost","value":"5.8924"},{"id":17,"name":"Train ID","value":"807-23"},{"id":16,"name":"Locomotive ID","value":"4060"},{"id":130,"name":"Impact","value":""},{"id":150,"name":"Time of Event (Mountain Time)","value":"07:23:12"},{"id":151,"name":"Denver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7" s="47"/>
      <c r="AL167" s="47"/>
      <c r="AM167" s="142" t="str">
        <f t="shared" si="28"/>
        <v>start /low /b %USERPROFILE%\Documents\GitHub\eaglep3\Utilities\DownloadLogsFromS3.py --loco 4060 --day 2017-10-23</v>
      </c>
      <c r="AN167" s="151" t="str">
        <f t="shared" si="29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13:23:12"},{"id":29,"name":"Sharepoint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168" t="str">
        <f t="shared" si="30"/>
        <v>https://d0f6bd738d7f1b3e5a7ca70fe4ff75f0.us-east-1.aws.found.io/app/kibana#/discover/Steve-Slow-Train-Analysis-(2080s-and-2083s)?_g=(refreshInterval:(display:Off,pause:!f,section:0,value:0),time:(from:'2017-10-23T05:56:05-0600',mode:absolute,to:'2017-10-23T08:23:12-0600'))&amp;_a=(columns:!('Message%20ID',Summary),filters:!(),index:'emp_*',interval:auto,query:(query_string:(analyze_wildcard:!t,query:'%22rtdc.l.rtdc.4060%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3">
      <c r="A168" s="32" t="s">
        <v>737</v>
      </c>
      <c r="B168" s="7">
        <v>4059</v>
      </c>
      <c r="C168" s="21" t="s">
        <v>194</v>
      </c>
      <c r="D168" s="21" t="s">
        <v>999</v>
      </c>
      <c r="E168" s="13">
        <v>43031.308553240742</v>
      </c>
      <c r="F168" s="13">
        <v>43031.321585648147</v>
      </c>
      <c r="G168" s="7">
        <v>71</v>
      </c>
      <c r="H168" s="21" t="s">
        <v>465</v>
      </c>
      <c r="I168" s="13">
        <v>43031.329641203702</v>
      </c>
      <c r="J168" s="7">
        <v>0</v>
      </c>
      <c r="K168" s="89" t="str">
        <f>IF(ISEVEN(B168),(B168-1)&amp;"/"&amp;B168,B168&amp;"/"&amp;(B168+1))</f>
        <v>4059/4060</v>
      </c>
      <c r="L168" s="185" t="str">
        <f>VLOOKUP(A168,'Trips&amp;Operators'!$C$1:$G$99911,5,FALSE)</f>
        <v>YANAI IAN</v>
      </c>
      <c r="M168" s="6">
        <f>I168-F168</f>
        <v>8.0555555541650392E-3</v>
      </c>
      <c r="N168" s="7">
        <f>24*60*SUM($M168:$M168)</f>
        <v>11.599999997997656</v>
      </c>
      <c r="O168" s="7"/>
      <c r="P168" s="7"/>
      <c r="Q168" s="22"/>
      <c r="R168" s="174"/>
      <c r="S168" s="221">
        <f>1/IF(AG168="EC",12,1)*SUM(U168:U168)</f>
        <v>1</v>
      </c>
      <c r="T168" s="174" t="str">
        <f>IF(ISEVEN(LEFT(AD168,4)),"Southbound","NorthBound")</f>
        <v>Southbound</v>
      </c>
      <c r="U168" s="198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16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2017-10-23T06:24:19-0600',mode:absolute,to:'2017-10-23T08:54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68" s="204" t="str">
        <f>IF(AA168&lt;VLOOKUP(AG168,Variables!$AC$3:$AD$8,2,FALSE),"Y","N")</f>
        <v>N</v>
      </c>
      <c r="X168" s="204">
        <f>VALUE(LEFT(AD168,4))-VALUE(LEFT(AD167,4))</f>
        <v>1</v>
      </c>
      <c r="Y168" s="204">
        <f>RIGHT(D168,LEN(D168)-4)/10000</f>
        <v>5.8608000000000002</v>
      </c>
      <c r="Z168" s="204">
        <f>RIGHT(H168,LEN(H168)-4)/10000</f>
        <v>7.0300000000000001E-2</v>
      </c>
      <c r="AA168" s="204">
        <f>ABS(Z168-Y168)</f>
        <v>5.7905000000000006</v>
      </c>
      <c r="AB168" s="54" t="e">
        <f>VLOOKUP(A168,Enforcements!$C$7:$K$11,8,0)</f>
        <v>#N/A</v>
      </c>
      <c r="AC168" s="51" t="e">
        <f>VLOOKUP(A168,Enforcements!$C$7:$E$11,3,0)</f>
        <v>#N/A</v>
      </c>
      <c r="AD168" s="179">
        <f>VALUE(LEFT(A168,LEN(A168)-3))</f>
        <v>808</v>
      </c>
      <c r="AE168" s="77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s3://rtdc.mdm.uploadarchive.raw/RTDC4059/ "%USERPROFILE%\AppData\Local\Temp\OnboardLogs"\RTDC4059\2017-10-23 --exclude "*" --recursive --include "*20171023*" &amp; "%USERPROFILE%\Documents\GitHub\mrs-test-scripts\Headless Mode &amp; Sideloading\WalkAndUnGZ.bat" "%USERPROFILE%\AppData\Local\Temp\OnboardLogs"\RTDC4059\2017-10-23 &amp; aws s3 cp s3://rtdc.mdm.uploadarchive.raw/RTDC4059/ "%USERPROFILE%\AppData\Local\Temp\OnboardLogs"\RTDC4059\2017-10-24 --exclude "*" --recursive --include "*20171024*" &amp; "%USERPROFILE%\Documents\GitHub\mrs-test-scripts\Headless Mode &amp; Sideloading\WalkAndUnGZ.bat" "%USERPROFILE%\AppData\Local\Temp\OnboardLogs"\RTDC4059\2017-10-24</v>
      </c>
      <c r="AF168" s="74" t="str">
        <f>astrogrep_path&amp;" /e /r /s /spath="&amp;search_path&amp;" /stypes=""app*"&amp;B168&amp;"*"&amp;TEXT(I168-utc_offset/24,"YYYYMMDD")&amp;"*"" /stext="" "&amp;TEXT(I168-utc_offset/24,"HH")&amp;search_regexp&amp;""""</f>
        <v>"C:\Program Files (x86)\AstroGrep\AstroGrep.exe" /e /r /s /spath="%USERPROFILE%\AppData\Local\Temp\OnboardLogs" /stypes="app*4059*20171023*" /stext=" 13:.+((SYSTEM_STATE.+slice.+state.+changed )|(ment ac)|(multiple cpu faults)|(system.+state.+changed )|(\[timeout)|(PRM\|1\|D)|(kpr)|(kdp)|(train st.+moving)|(\|lc)|(penalty))"</v>
      </c>
      <c r="AG168" s="182" t="str">
        <f>DetSubdiv(A168)</f>
        <v>NW</v>
      </c>
      <c r="AH168" s="78" t="str">
        <f t="shared" si="26"/>
        <v>"%USERPROFILE%\Documents\GitHub\eaglep3\Utilities\RefineRTDCRunTimes.py" --tripid 808-23 --locoid 4059 --swversion DE.1.0.9.0 --startMP 300:58608 --initTime 2017-10-23T07:24:19 --startdatetime 2017-10-23T07:43:05 --delay 71 --endMP 204:703 --enddatetime 2017-10-23T07:54:41 --enforcementcount 0 &gt;&gt;%USERPROFILE%\Documents\GitHub\eaglep3-reporting\EC\2017-10-23-refined-times.txt</v>
      </c>
      <c r="AI168" s="96" t="str">
        <f t="shared" si="27"/>
        <v>echo {"issue":{"subject":"","project_id":79,"tracker_id":40,"status_id":1,"priority_id":2,"assigned_to_id":338,"start_date":"2017-10-23","description":"","custom_fields":[{"id":1,"name":"Subdivision","value":"NW"},{"id":4,"name":"Milepost","value":"0.0703"},{"id":17,"name":"Train ID","value":"808-23"},{"id":16,"name":"Locomotive ID","value":"4059"},{"id":130,"name":"Impact","value":""},{"id":150,"name":"Time of Event (Mountain Time)","value":"07:54:41"},{"id":151,"name":"Denver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8" s="47"/>
      <c r="AL168" s="47"/>
      <c r="AM168" s="142" t="str">
        <f t="shared" si="28"/>
        <v>start /low /b %USERPROFILE%\Documents\GitHub\eaglep3\Utilities\DownloadLogsFromS3.py --loco 4059 --day 2017-10-23</v>
      </c>
      <c r="AN168" s="151" t="str">
        <f t="shared" si="29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13:54:41"},{"id":29,"name":"Sharepoint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168" t="str">
        <f t="shared" si="30"/>
        <v>https://d0f6bd738d7f1b3e5a7ca70fe4ff75f0.us-east-1.aws.found.io/app/kibana#/discover/Steve-Slow-Train-Analysis-(2080s-and-2083s)?_g=(refreshInterval:(display:Off,pause:!f,section:0,value:0),time:(from:'2017-10-23T06:24:19-0600',mode:absolute,to:'2017-10-23T08:54:41-0600'))&amp;_a=(columns:!('Message%20ID',Summary),filters:!(),index:'emp_*',interval:auto,query:(query_string:(analyze_wildcard:!t,query:'%22rtdc.l.rtdc.4059%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3">
      <c r="A169" s="32" t="s">
        <v>648</v>
      </c>
      <c r="B169" s="7">
        <v>4040</v>
      </c>
      <c r="C169" s="21" t="s">
        <v>194</v>
      </c>
      <c r="D169" s="21" t="s">
        <v>1000</v>
      </c>
      <c r="E169" s="13">
        <v>43031.309837962966</v>
      </c>
      <c r="F169" s="13">
        <v>43031.320219907408</v>
      </c>
      <c r="G169" s="7">
        <v>833</v>
      </c>
      <c r="H169" s="21" t="s">
        <v>998</v>
      </c>
      <c r="I169" s="13">
        <v>43031.329930555556</v>
      </c>
      <c r="J169" s="7">
        <v>0</v>
      </c>
      <c r="K169" s="89" t="str">
        <f>IF(ISEVEN(B169),(B169-1)&amp;"/"&amp;B169,B169&amp;"/"&amp;(B169+1))</f>
        <v>4039/4040</v>
      </c>
      <c r="L169" s="185" t="str">
        <f>VLOOKUP(A169,'Trips&amp;Operators'!$C$1:$G$99911,5,FALSE)</f>
        <v>MACDONALD THOMAS</v>
      </c>
      <c r="M169" s="6">
        <f>I169-F169</f>
        <v>9.710648148029577E-3</v>
      </c>
      <c r="N169" s="7">
        <f>24*60*SUM($M169:$M169)</f>
        <v>13.983333333162591</v>
      </c>
      <c r="O169" s="7"/>
      <c r="P169" s="7"/>
      <c r="Q169" s="22"/>
      <c r="R169" s="174"/>
      <c r="S169" s="221">
        <f>1/IF(AG169="EC",12,1)*SUM(U169:U169)</f>
        <v>1</v>
      </c>
      <c r="T169" s="174" t="str">
        <f>IF(ISEVEN(LEFT(AD169,4)),"Southbound","NorthBound")</f>
        <v>NorthBound</v>
      </c>
      <c r="U169" s="198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16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2017-10-23T06:26:10-0600',mode:absolute,to:'2017-10-23T08:55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69" s="204" t="str">
        <f>IF(AA169&lt;VLOOKUP(AG169,Variables!$AC$3:$AD$8,2,FALSE),"Y","N")</f>
        <v>N</v>
      </c>
      <c r="X169" s="204">
        <f>VALUE(LEFT(AD169,4))-VALUE(LEFT(AD168,4))</f>
        <v>1</v>
      </c>
      <c r="Y169" s="204">
        <f>RIGHT(D169,LEN(D169)-4)/10000</f>
        <v>0.10249999999999999</v>
      </c>
      <c r="Z169" s="204">
        <f>RIGHT(H169,LEN(H169)-4)/10000</f>
        <v>5.8924000000000003</v>
      </c>
      <c r="AA169" s="204">
        <f>ABS(Z169-Y169)</f>
        <v>5.7899000000000003</v>
      </c>
      <c r="AB169" s="54" t="e">
        <f>VLOOKUP(A169,Enforcements!$C$7:$K$11,8,0)</f>
        <v>#N/A</v>
      </c>
      <c r="AC169" s="51" t="e">
        <f>VLOOKUP(A169,Enforcements!$C$7:$E$11,3,0)</f>
        <v>#N/A</v>
      </c>
      <c r="AD169" s="179">
        <f>VALUE(LEFT(A169,LEN(A169)-3))</f>
        <v>809</v>
      </c>
      <c r="AE169" s="77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s3://rtdc.mdm.uploadarchive.raw/RTDC4040/ "%USERPROFILE%\AppData\Local\Temp\OnboardLogs"\RTDC4040\2017-10-23 --exclude "*" --recursive --include "*20171023*" &amp; "%USERPROFILE%\Documents\GitHub\mrs-test-scripts\Headless Mode &amp; Sideloading\WalkAndUnGZ.bat" "%USERPROFILE%\AppData\Local\Temp\OnboardLogs"\RTDC4040\2017-10-23 &amp; aws s3 cp s3://rtdc.mdm.uploadarchive.raw/RTDC4040/ "%USERPROFILE%\AppData\Local\Temp\OnboardLogs"\RTDC4040\2017-10-24 --exclude "*" --recursive --include "*20171024*" &amp; "%USERPROFILE%\Documents\GitHub\mrs-test-scripts\Headless Mode &amp; Sideloading\WalkAndUnGZ.bat" "%USERPROFILE%\AppData\Local\Temp\OnboardLogs"\RTDC4040\2017-10-24</v>
      </c>
      <c r="AF169" s="74" t="str">
        <f>astrogrep_path&amp;" /e /r /s /spath="&amp;search_path&amp;" /stypes=""app*"&amp;B169&amp;"*"&amp;TEXT(I169-utc_offset/24,"YYYYMMDD")&amp;"*"" /stext="" "&amp;TEXT(I169-utc_offset/24,"HH")&amp;search_regexp&amp;""""</f>
        <v>"C:\Program Files (x86)\AstroGrep\AstroGrep.exe" /e /r /s /spath="%USERPROFILE%\AppData\Local\Temp\OnboardLogs" /stypes="app*4040*20171023*" /stext=" 13:.+((SYSTEM_STATE.+slice.+state.+changed )|(ment ac)|(multiple cpu faults)|(system.+state.+changed )|(\[timeout)|(PRM\|1\|D)|(kpr)|(kdp)|(train st.+moving)|(\|lc)|(penalty))"</v>
      </c>
      <c r="AG169" s="182" t="str">
        <f>DetSubdiv(A169)</f>
        <v>NW</v>
      </c>
      <c r="AH169" s="78" t="str">
        <f t="shared" si="26"/>
        <v>"%USERPROFILE%\Documents\GitHub\eaglep3\Utilities\RefineRTDCRunTimes.py" --tripid 809-23 --locoid 4040 --swversion DE.1.0.9.0 --startMP 204:1025 --initTime 2017-10-23T07:26:10 --startdatetime 2017-10-23T07:41:07 --delay 833 --endMP 300:58924 --enddatetime 2017-10-23T07:55:06 --enforcementcount 0 &gt;&gt;%USERPROFILE%\Documents\GitHub\eaglep3-reporting\EC\2017-10-23-refined-times.txt</v>
      </c>
      <c r="AI169" s="96" t="str">
        <f t="shared" si="27"/>
        <v>echo {"issue":{"subject":"","project_id":79,"tracker_id":40,"status_id":1,"priority_id":2,"assigned_to_id":338,"start_date":"2017-10-23","description":"","custom_fields":[{"id":1,"name":"Subdivision","value":"NW"},{"id":4,"name":"Milepost","value":"5.8924"},{"id":17,"name":"Train ID","value":"809-23"},{"id":16,"name":"Locomotive ID","value":"4040"},{"id":130,"name":"Impact","value":""},{"id":150,"name":"Time of Event (Mountain Time)","value":"07:55:06"},{"id":151,"name":"Denver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9" s="47"/>
      <c r="AL169" s="47"/>
      <c r="AM169" s="142" t="str">
        <f t="shared" si="28"/>
        <v>start /low /b %USERPROFILE%\Documents\GitHub\eaglep3\Utilities\DownloadLogsFromS3.py --loco 4040 --day 2017-10-23</v>
      </c>
      <c r="AN169" s="151" t="str">
        <f t="shared" si="29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13:55:06"},{"id":29,"name":"Sharepoint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168" t="str">
        <f t="shared" si="30"/>
        <v>https://d0f6bd738d7f1b3e5a7ca70fe4ff75f0.us-east-1.aws.found.io/app/kibana#/discover/Steve-Slow-Train-Analysis-(2080s-and-2083s)?_g=(refreshInterval:(display:Off,pause:!f,section:0,value:0),time:(from:'2017-10-23T06:26:10-0600',mode:absolute,to:'2017-10-23T08:55:06-0600'))&amp;_a=(columns:!('Message%20ID',Summary),filters:!(),index:'emp_*',interval:auto,query:(query_string:(analyze_wildcard:!t,query:'%22rtdc.l.rtdc.4040%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3">
      <c r="A170" s="32" t="s">
        <v>741</v>
      </c>
      <c r="B170" s="7">
        <v>4039</v>
      </c>
      <c r="C170" s="21" t="s">
        <v>194</v>
      </c>
      <c r="D170" s="21" t="s">
        <v>568</v>
      </c>
      <c r="E170" s="13">
        <v>43031.330567129633</v>
      </c>
      <c r="F170" s="13">
        <v>43031.342581018522</v>
      </c>
      <c r="G170" s="7">
        <v>45</v>
      </c>
      <c r="H170" s="21" t="s">
        <v>595</v>
      </c>
      <c r="I170" s="13">
        <v>43031.351203703707</v>
      </c>
      <c r="J170" s="7">
        <v>0</v>
      </c>
      <c r="K170" s="89" t="str">
        <f>IF(ISEVEN(B170),(B170-1)&amp;"/"&amp;B170,B170&amp;"/"&amp;(B170+1))</f>
        <v>4039/4040</v>
      </c>
      <c r="L170" s="185" t="str">
        <f>VLOOKUP(A170,'Trips&amp;Operators'!$C$1:$G$99911,5,FALSE)</f>
        <v>MACDONALD THOMAS</v>
      </c>
      <c r="M170" s="6">
        <f>I170-F170</f>
        <v>8.6226851854007691E-3</v>
      </c>
      <c r="N170" s="7">
        <f>24*60*SUM($M170:$M170)</f>
        <v>12.416666666977108</v>
      </c>
      <c r="O170" s="7"/>
      <c r="P170" s="7"/>
      <c r="Q170" s="22"/>
      <c r="R170" s="174"/>
      <c r="S170" s="221">
        <f>1/IF(AG170="EC",12,1)*SUM(U170:U170)</f>
        <v>1</v>
      </c>
      <c r="T170" s="174" t="str">
        <f>IF(ISEVEN(LEFT(AD170,4)),"Southbound","NorthBound")</f>
        <v>Southbound</v>
      </c>
      <c r="U170" s="198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16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2017-10-23T06:56:01-0600',mode:absolute,to:'2017-10-23T09:25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70" s="204" t="str">
        <f>IF(AA170&lt;VLOOKUP(AG170,Variables!$AC$3:$AD$8,2,FALSE),"Y","N")</f>
        <v>N</v>
      </c>
      <c r="X170" s="204">
        <f>VALUE(LEFT(AD170,4))-VALUE(LEFT(AD169,4))</f>
        <v>1</v>
      </c>
      <c r="Y170" s="204">
        <f>RIGHT(D170,LEN(D170)-4)/10000</f>
        <v>5.86</v>
      </c>
      <c r="Z170" s="204">
        <f>RIGHT(H170,LEN(H170)-4)/10000</f>
        <v>7.5899999999999995E-2</v>
      </c>
      <c r="AA170" s="204">
        <f>ABS(Z170-Y170)</f>
        <v>5.7841000000000005</v>
      </c>
      <c r="AB170" s="54" t="e">
        <f>VLOOKUP(A170,Enforcements!$C$7:$K$11,8,0)</f>
        <v>#N/A</v>
      </c>
      <c r="AC170" s="51" t="e">
        <f>VLOOKUP(A170,Enforcements!$C$7:$E$11,3,0)</f>
        <v>#N/A</v>
      </c>
      <c r="AD170" s="179">
        <f>VALUE(LEFT(A170,LEN(A170)-3))</f>
        <v>810</v>
      </c>
      <c r="AE170" s="77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s3://rtdc.mdm.uploadarchive.raw/RTDC4039/ "%USERPROFILE%\AppData\Local\Temp\OnboardLogs"\RTDC4039\2017-10-23 --exclude "*" --recursive --include "*20171023*" &amp; "%USERPROFILE%\Documents\GitHub\mrs-test-scripts\Headless Mode &amp; Sideloading\WalkAndUnGZ.bat" "%USERPROFILE%\AppData\Local\Temp\OnboardLogs"\RTDC4039\2017-10-23 &amp; aws s3 cp s3://rtdc.mdm.uploadarchive.raw/RTDC4039/ "%USERPROFILE%\AppData\Local\Temp\OnboardLogs"\RTDC4039\2017-10-24 --exclude "*" --recursive --include "*20171024*" &amp; "%USERPROFILE%\Documents\GitHub\mrs-test-scripts\Headless Mode &amp; Sideloading\WalkAndUnGZ.bat" "%USERPROFILE%\AppData\Local\Temp\OnboardLogs"\RTDC4039\2017-10-24</v>
      </c>
      <c r="AF170" s="74" t="str">
        <f>astrogrep_path&amp;" /e /r /s /spath="&amp;search_path&amp;" /stypes=""app*"&amp;B170&amp;"*"&amp;TEXT(I170-utc_offset/24,"YYYYMMDD")&amp;"*"" /stext="" "&amp;TEXT(I170-utc_offset/24,"HH")&amp;search_regexp&amp;""""</f>
        <v>"C:\Program Files (x86)\AstroGrep\AstroGrep.exe" /e /r /s /spath="%USERPROFILE%\AppData\Local\Temp\OnboardLogs" /stypes="app*4039*20171023*" /stext=" 14:.+((SYSTEM_STATE.+slice.+state.+changed )|(ment ac)|(multiple cpu faults)|(system.+state.+changed )|(\[timeout)|(PRM\|1\|D)|(kpr)|(kdp)|(train st.+moving)|(\|lc)|(penalty))"</v>
      </c>
      <c r="AG170" s="182" t="str">
        <f>DetSubdiv(A170)</f>
        <v>NW</v>
      </c>
      <c r="AH170" s="78" t="str">
        <f t="shared" si="26"/>
        <v>"%USERPROFILE%\Documents\GitHub\eaglep3\Utilities\RefineRTDCRunTimes.py" --tripid 810-23 --locoid 4039 --swversion DE.1.0.9.0 --startMP 300:58600 --initTime 2017-10-23T07:56:01 --startdatetime 2017-10-23T08:13:19 --delay 45 --endMP 204:759 --enddatetime 2017-10-23T08:25:44 --enforcementcount 0 &gt;&gt;%USERPROFILE%\Documents\GitHub\eaglep3-reporting\EC\2017-10-23-refined-times.txt</v>
      </c>
      <c r="AI170" s="96" t="str">
        <f t="shared" si="27"/>
        <v>echo {"issue":{"subject":"","project_id":79,"tracker_id":40,"status_id":1,"priority_id":2,"assigned_to_id":338,"start_date":"2017-10-23","description":"","custom_fields":[{"id":1,"name":"Subdivision","value":"NW"},{"id":4,"name":"Milepost","value":"0.0759"},{"id":17,"name":"Train ID","value":"810-23"},{"id":16,"name":"Locomotive ID","value":"4039"},{"id":130,"name":"Impact","value":""},{"id":150,"name":"Time of Event (Mountain Time)","value":"08:25:44"},{"id":151,"name":"Denver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0" s="47"/>
      <c r="AL170" s="47"/>
      <c r="AM170" s="142" t="str">
        <f t="shared" si="28"/>
        <v>start /low /b %USERPROFILE%\Documents\GitHub\eaglep3\Utilities\DownloadLogsFromS3.py --loco 4039 --day 2017-10-23</v>
      </c>
      <c r="AN170" s="151" t="str">
        <f t="shared" si="29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14:25:44"},{"id":29,"name":"Sharepoint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168" t="str">
        <f t="shared" si="30"/>
        <v>https://d0f6bd738d7f1b3e5a7ca70fe4ff75f0.us-east-1.aws.found.io/app/kibana#/discover/Steve-Slow-Train-Analysis-(2080s-and-2083s)?_g=(refreshInterval:(display:Off,pause:!f,section:0,value:0),time:(from:'2017-10-23T06:56:01-0600',mode:absolute,to:'2017-10-23T09:25:44-0600'))&amp;_a=(columns:!('Message%20ID',Summary),filters:!(),index:'emp_*',interval:auto,query:(query_string:(analyze_wildcard:!t,query:'%22rtdc.l.rtdc.4039%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3">
      <c r="A171" s="32" t="s">
        <v>742</v>
      </c>
      <c r="B171" s="7">
        <v>4060</v>
      </c>
      <c r="C171" s="21" t="s">
        <v>194</v>
      </c>
      <c r="D171" s="21" t="s">
        <v>1001</v>
      </c>
      <c r="E171" s="13">
        <v>43031.330787037034</v>
      </c>
      <c r="F171" s="13">
        <v>43031.339861111112</v>
      </c>
      <c r="G171" s="7">
        <v>48</v>
      </c>
      <c r="H171" s="21" t="s">
        <v>1002</v>
      </c>
      <c r="I171" s="13">
        <v>43031.349398148152</v>
      </c>
      <c r="J171" s="7">
        <v>0</v>
      </c>
      <c r="K171" s="89" t="str">
        <f>IF(ISEVEN(B171),(B171-1)&amp;"/"&amp;B171,B171&amp;"/"&amp;(B171+1))</f>
        <v>4059/4060</v>
      </c>
      <c r="L171" s="185" t="str">
        <f>VLOOKUP(A171,'Trips&amp;Operators'!$C$1:$G$99911,5,FALSE)</f>
        <v>YANAI IAN</v>
      </c>
      <c r="M171" s="6">
        <f>I171-F171</f>
        <v>9.5370370399905369E-3</v>
      </c>
      <c r="N171" s="7">
        <f>24*60*SUM($M171:$M171)</f>
        <v>13.733333337586373</v>
      </c>
      <c r="O171" s="7"/>
      <c r="P171" s="7"/>
      <c r="Q171" s="22"/>
      <c r="R171" s="174"/>
      <c r="S171" s="221">
        <f>1/IF(AG171="EC",12,1)*SUM(U171:U171)</f>
        <v>1</v>
      </c>
      <c r="T171" s="174" t="str">
        <f>IF(ISEVEN(LEFT(AD171,4)),"Southbound","NorthBound")</f>
        <v>NorthBound</v>
      </c>
      <c r="U171" s="198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16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2017-10-23T06:56:20-0600',mode:absolute,to:'2017-10-23T09:23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71" s="204" t="str">
        <f>IF(AA171&lt;VLOOKUP(AG171,Variables!$AC$3:$AD$8,2,FALSE),"Y","N")</f>
        <v>N</v>
      </c>
      <c r="X171" s="204">
        <f>VALUE(LEFT(AD171,4))-VALUE(LEFT(AD170,4))</f>
        <v>1</v>
      </c>
      <c r="Y171" s="204">
        <f>RIGHT(D171,LEN(D171)-4)/10000</f>
        <v>9.8100000000000007E-2</v>
      </c>
      <c r="Z171" s="204">
        <f>RIGHT(H171,LEN(H171)-4)/10000</f>
        <v>5.8929</v>
      </c>
      <c r="AA171" s="204">
        <f>ABS(Z171-Y171)</f>
        <v>5.7948000000000004</v>
      </c>
      <c r="AB171" s="54" t="e">
        <f>VLOOKUP(A171,Enforcements!$C$7:$K$11,8,0)</f>
        <v>#N/A</v>
      </c>
      <c r="AC171" s="51" t="e">
        <f>VLOOKUP(A171,Enforcements!$C$7:$E$11,3,0)</f>
        <v>#N/A</v>
      </c>
      <c r="AD171" s="179">
        <f>VALUE(LEFT(A171,LEN(A171)-3))</f>
        <v>811</v>
      </c>
      <c r="AE171" s="77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s3://rtdc.mdm.uploadarchive.raw/RTDC4060/ "%USERPROFILE%\AppData\Local\Temp\OnboardLogs"\RTDC4060\2017-10-23 --exclude "*" --recursive --include "*20171023*" &amp; "%USERPROFILE%\Documents\GitHub\mrs-test-scripts\Headless Mode &amp; Sideloading\WalkAndUnGZ.bat" "%USERPROFILE%\AppData\Local\Temp\OnboardLogs"\RTDC4060\2017-10-23 &amp; aws s3 cp s3://rtdc.mdm.uploadarchive.raw/RTDC4060/ "%USERPROFILE%\AppData\Local\Temp\OnboardLogs"\RTDC4060\2017-10-24 --exclude "*" --recursive --include "*20171024*" &amp; "%USERPROFILE%\Documents\GitHub\mrs-test-scripts\Headless Mode &amp; Sideloading\WalkAndUnGZ.bat" "%USERPROFILE%\AppData\Local\Temp\OnboardLogs"\RTDC4060\2017-10-24</v>
      </c>
      <c r="AF171" s="74" t="str">
        <f>astrogrep_path&amp;" /e /r /s /spath="&amp;search_path&amp;" /stypes=""app*"&amp;B171&amp;"*"&amp;TEXT(I171-utc_offset/24,"YYYYMMDD")&amp;"*"" /stext="" "&amp;TEXT(I171-utc_offset/24,"HH")&amp;search_regexp&amp;""""</f>
        <v>"C:\Program Files (x86)\AstroGrep\AstroGrep.exe" /e /r /s /spath="%USERPROFILE%\AppData\Local\Temp\OnboardLogs" /stypes="app*4060*20171023*" /stext=" 14:.+((SYSTEM_STATE.+slice.+state.+changed )|(ment ac)|(multiple cpu faults)|(system.+state.+changed )|(\[timeout)|(PRM\|1\|D)|(kpr)|(kdp)|(train st.+moving)|(\|lc)|(penalty))"</v>
      </c>
      <c r="AG171" s="182" t="str">
        <f>DetSubdiv(A171)</f>
        <v>NW</v>
      </c>
      <c r="AH171" s="78" t="str">
        <f t="shared" si="26"/>
        <v>"%USERPROFILE%\Documents\GitHub\eaglep3\Utilities\RefineRTDCRunTimes.py" --tripid 811-23 --locoid 4060 --swversion DE.1.0.9.0 --startMP 204:981 --initTime 2017-10-23T07:56:20 --startdatetime 2017-10-23T08:09:24 --delay 48 --endMP 300:58929 --enddatetime 2017-10-23T08:23:08 --enforcementcount 0 &gt;&gt;%USERPROFILE%\Documents\GitHub\eaglep3-reporting\EC\2017-10-23-refined-times.txt</v>
      </c>
      <c r="AI171" s="96" t="str">
        <f t="shared" si="27"/>
        <v>echo {"issue":{"subject":"","project_id":79,"tracker_id":40,"status_id":1,"priority_id":2,"assigned_to_id":338,"start_date":"2017-10-23","description":"","custom_fields":[{"id":1,"name":"Subdivision","value":"NW"},{"id":4,"name":"Milepost","value":"5.8929"},{"id":17,"name":"Train ID","value":"811-23"},{"id":16,"name":"Locomotive ID","value":"4060"},{"id":130,"name":"Impact","value":""},{"id":150,"name":"Time of Event (Mountain Time)","value":"08:23:08"},{"id":151,"name":"Denver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1" s="47"/>
      <c r="AL171" s="47"/>
      <c r="AM171" s="142" t="str">
        <f t="shared" si="28"/>
        <v>start /low /b %USERPROFILE%\Documents\GitHub\eaglep3\Utilities\DownloadLogsFromS3.py --loco 4060 --day 2017-10-23</v>
      </c>
      <c r="AN171" s="151" t="str">
        <f t="shared" si="29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14:23:08"},{"id":29,"name":"Sharepoint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168" t="str">
        <f t="shared" si="30"/>
        <v>https://d0f6bd738d7f1b3e5a7ca70fe4ff75f0.us-east-1.aws.found.io/app/kibana#/discover/Steve-Slow-Train-Analysis-(2080s-and-2083s)?_g=(refreshInterval:(display:Off,pause:!f,section:0,value:0),time:(from:'2017-10-23T06:56:20-0600',mode:absolute,to:'2017-10-23T09:23:08-0600'))&amp;_a=(columns:!('Message%20ID',Summary),filters:!(),index:'emp_*',interval:auto,query:(query_string:(analyze_wildcard:!t,query:'%22rtdc.l.rtdc.4060%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3">
      <c r="A172" s="32" t="s">
        <v>750</v>
      </c>
      <c r="B172" s="7">
        <v>4059</v>
      </c>
      <c r="C172" s="21" t="s">
        <v>194</v>
      </c>
      <c r="D172" s="21" t="s">
        <v>1003</v>
      </c>
      <c r="E172" s="13">
        <v>43031.350104166668</v>
      </c>
      <c r="F172" s="13">
        <v>43031.363368055558</v>
      </c>
      <c r="G172" s="7">
        <v>54</v>
      </c>
      <c r="H172" s="21" t="s">
        <v>1004</v>
      </c>
      <c r="I172" s="13">
        <v>43031.372233796297</v>
      </c>
      <c r="J172" s="7">
        <v>0</v>
      </c>
      <c r="K172" s="89" t="str">
        <f>IF(ISEVEN(B172),(B172-1)&amp;"/"&amp;B172,B172&amp;"/"&amp;(B172+1))</f>
        <v>4059/4060</v>
      </c>
      <c r="L172" s="185" t="str">
        <f>VLOOKUP(A172,'Trips&amp;Operators'!$C$1:$G$99911,5,FALSE)</f>
        <v>YANAI IAN</v>
      </c>
      <c r="M172" s="6">
        <f>I172-F172</f>
        <v>8.8657407395658083E-3</v>
      </c>
      <c r="N172" s="7">
        <f>24*60*SUM($M172:$M172)</f>
        <v>12.766666664974764</v>
      </c>
      <c r="O172" s="7"/>
      <c r="P172" s="7"/>
      <c r="Q172" s="22"/>
      <c r="R172" s="174" t="s">
        <v>1082</v>
      </c>
      <c r="S172" s="221">
        <f>1/IF(AG172="EC",12,1)*SUM(U172:U173)</f>
        <v>1</v>
      </c>
      <c r="T172" s="174" t="str">
        <f>IF(ISEVEN(LEFT(AD172,4)),"Southbound","NorthBound")</f>
        <v>Southbound</v>
      </c>
      <c r="U172" s="198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0</v>
      </c>
      <c r="V172" s="216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2017-10-23T07:24:09-0600',mode:absolute,to:'2017-10-23T09:56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72" s="204" t="str">
        <f>IF(AA172&lt;VLOOKUP(AG172,Variables!$AC$3:$AD$8,2,FALSE),"Y","N")</f>
        <v>Y</v>
      </c>
      <c r="X172" s="204">
        <f>VALUE(LEFT(AD172,4))-VALUE(LEFT(AD171,4))</f>
        <v>1</v>
      </c>
      <c r="Y172" s="204">
        <f>RIGHT(D172,LEN(D172)-4)/10000</f>
        <v>5.8609</v>
      </c>
      <c r="Z172" s="204">
        <f>RIGHT(H172,LEN(H172)-4)/10000</f>
        <v>5.7244000000000002</v>
      </c>
      <c r="AA172" s="204">
        <f>ABS(Z172-Y172)</f>
        <v>0.13649999999999984</v>
      </c>
      <c r="AB172" s="54" t="e">
        <f>VLOOKUP(A172,Enforcements!$C$7:$K$11,8,0)</f>
        <v>#N/A</v>
      </c>
      <c r="AC172" s="51" t="e">
        <f>VLOOKUP(A172,Enforcements!$C$7:$E$11,3,0)</f>
        <v>#N/A</v>
      </c>
      <c r="AD172" s="179">
        <f>VALUE(LEFT(A172,LEN(A172)-3))</f>
        <v>812</v>
      </c>
      <c r="AE172" s="77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s3://rtdc.mdm.uploadarchive.raw/RTDC4059/ "%USERPROFILE%\AppData\Local\Temp\OnboardLogs"\RTDC4059\2017-10-23 --exclude "*" --recursive --include "*20171023*" &amp; "%USERPROFILE%\Documents\GitHub\mrs-test-scripts\Headless Mode &amp; Sideloading\WalkAndUnGZ.bat" "%USERPROFILE%\AppData\Local\Temp\OnboardLogs"\RTDC4059\2017-10-23 &amp; aws s3 cp s3://rtdc.mdm.uploadarchive.raw/RTDC4059/ "%USERPROFILE%\AppData\Local\Temp\OnboardLogs"\RTDC4059\2017-10-24 --exclude "*" --recursive --include "*20171024*" &amp; "%USERPROFILE%\Documents\GitHub\mrs-test-scripts\Headless Mode &amp; Sideloading\WalkAndUnGZ.bat" "%USERPROFILE%\AppData\Local\Temp\OnboardLogs"\RTDC4059\2017-10-24</v>
      </c>
      <c r="AF172" s="74" t="str">
        <f>astrogrep_path&amp;" /e /r /s /spath="&amp;search_path&amp;" /stypes=""app*"&amp;B172&amp;"*"&amp;TEXT(I172-utc_offset/24,"YYYYMMDD")&amp;"*"" /stext="" "&amp;TEXT(I172-utc_offset/24,"HH")&amp;search_regexp&amp;""""</f>
        <v>"C:\Program Files (x86)\AstroGrep\AstroGrep.exe" /e /r /s /spath="%USERPROFILE%\AppData\Local\Temp\OnboardLogs" /stypes="app*4059*20171023*" /stext=" 14:.+((SYSTEM_STATE.+slice.+state.+changed )|(ment ac)|(multiple cpu faults)|(system.+state.+changed )|(\[timeout)|(PRM\|1\|D)|(kpr)|(kdp)|(train st.+moving)|(\|lc)|(penalty))"</v>
      </c>
      <c r="AG172" s="182" t="str">
        <f>DetSubdiv(A172)</f>
        <v>NW</v>
      </c>
      <c r="AH172" s="78" t="str">
        <f t="shared" si="26"/>
        <v>"%USERPROFILE%\Documents\GitHub\eaglep3\Utilities\RefineRTDCRunTimes.py" --tripid 812-23 --locoid 4059 --swversion DE.1.0.9.0 --startMP 300:58609 --initTime 2017-10-23T08:24:09 --startdatetime 2017-10-23T08:43:15 --delay 54 --endMP 300:57244 --enddatetime 2017-10-23T08:56:01 --enforcementcount 0 &gt;&gt;%USERPROFILE%\Documents\GitHub\eaglep3-reporting\EC\2017-10-23-refined-times.txt</v>
      </c>
      <c r="AI172" s="96" t="str">
        <f t="shared" si="27"/>
        <v>echo {"issue":{"subject":"Operator hard cut-out, then re-initialized","project_id":79,"tracker_id":40,"status_id":1,"priority_id":2,"assigned_to_id":338,"start_date":"2017-10-23","description":"","custom_fields":[{"id":1,"name":"Subdivision","value":"NW"},{"id":4,"name":"Milepost","value":"5.7244"},{"id":17,"name":"Train ID","value":"812-23"},{"id":16,"name":"Locomotive ID","value":"4059"},{"id":130,"name":"Impact","value":""},{"id":150,"name":"Time of Event (Mountain Time)","value":"08:56:01"},{"id":151,"name":"Denver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2" s="47"/>
      <c r="AL172" s="47"/>
      <c r="AM172" s="142" t="str">
        <f t="shared" si="28"/>
        <v>start /low /b %USERPROFILE%\Documents\GitHub\eaglep3\Utilities\DownloadLogsFromS3.py --loco 4059 --day 2017-10-23</v>
      </c>
      <c r="AN172" s="151" t="str">
        <f t="shared" si="29"/>
        <v>echo {"issue":{"subject":"Operator hard cut-out, then re-initialized","project_id":30,"tracker_id":4,"status_id":1,"priority_id":1,"assigned_to_id":10,"start_date":"2017-10-23","description":"","custom_fields":[{"id":30,"name":"Category","value":"Issue"},{"id":3,"name":"Functional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14:56:01"},{"id":29,"name":"Sharepoint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168" t="str">
        <f t="shared" si="30"/>
        <v>https://d0f6bd738d7f1b3e5a7ca70fe4ff75f0.us-east-1.aws.found.io/app/kibana#/discover/Steve-Slow-Train-Analysis-(2080s-and-2083s)?_g=(refreshInterval:(display:Off,pause:!f,section:0,value:0),time:(from:'2017-10-23T07:24:09-0600',mode:absolute,to:'2017-10-23T09:56:01-0600'))&amp;_a=(columns:!('Message%20ID',Summary),filters:!(),index:'emp_*',interval:auto,query:(query_string:(analyze_wildcard:!t,query:'%22rtdc.l.rtdc.4059%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3">
      <c r="A173" s="32" t="s">
        <v>750</v>
      </c>
      <c r="B173" s="7">
        <v>4059</v>
      </c>
      <c r="C173" s="21" t="s">
        <v>194</v>
      </c>
      <c r="D173" s="21" t="s">
        <v>620</v>
      </c>
      <c r="E173" s="13">
        <v>43031.352708333332</v>
      </c>
      <c r="F173" s="13">
        <v>43031.363368055558</v>
      </c>
      <c r="G173" s="7">
        <v>46</v>
      </c>
      <c r="H173" s="21" t="s">
        <v>1005</v>
      </c>
      <c r="I173" s="13">
        <v>43031.372233796297</v>
      </c>
      <c r="J173" s="7">
        <v>0</v>
      </c>
      <c r="K173" s="89" t="str">
        <f>IF(ISEVEN(B173),(B173-1)&amp;"/"&amp;B173,B173&amp;"/"&amp;(B173+1))</f>
        <v>4059/4060</v>
      </c>
      <c r="L173" s="185" t="str">
        <f>VLOOKUP(A173,'Trips&amp;Operators'!$C$1:$G$99911,5,FALSE)</f>
        <v>YANAI IAN</v>
      </c>
      <c r="M173" s="6">
        <f>I173-F173</f>
        <v>8.8657407395658083E-3</v>
      </c>
      <c r="N173" s="7"/>
      <c r="O173" s="7"/>
      <c r="P173" s="7"/>
      <c r="Q173" s="22"/>
      <c r="R173" s="174"/>
      <c r="S173" s="221"/>
      <c r="T173" s="174" t="str">
        <f>IF(ISEVEN(LEFT(AD173,4)),"Southbound","NorthBound")</f>
        <v>Southbound</v>
      </c>
      <c r="U173" s="198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16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-10-23T07:27:54-0600',mode:absolute,to:'2017-10-23T09:56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73" s="204" t="str">
        <f>IF(AA173&lt;VLOOKUP(AG173,Variables!$AC$3:$AD$8,2,FALSE),"Y","N")</f>
        <v>N</v>
      </c>
      <c r="X173" s="204">
        <f>VALUE(LEFT(AD173,4))-VALUE(LEFT(AD172,4))</f>
        <v>0</v>
      </c>
      <c r="Y173" s="204">
        <f>RIGHT(D173,LEN(D173)-4)/10000</f>
        <v>5.7245999999999997</v>
      </c>
      <c r="Z173" s="204">
        <f>RIGHT(H173,LEN(H173)-4)/10000</f>
        <v>6.9400000000000003E-2</v>
      </c>
      <c r="AA173" s="204">
        <f>ABS(Z173-Y173)</f>
        <v>5.6551999999999998</v>
      </c>
      <c r="AB173" s="54" t="e">
        <f>VLOOKUP(A173,Enforcements!$C$7:$K$11,8,0)</f>
        <v>#N/A</v>
      </c>
      <c r="AC173" s="51" t="e">
        <f>VLOOKUP(A173,Enforcements!$C$7:$E$11,3,0)</f>
        <v>#N/A</v>
      </c>
      <c r="AD173" s="179">
        <f>VALUE(LEFT(A173,LEN(A173)-3))</f>
        <v>812</v>
      </c>
      <c r="AE173" s="77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s3://rtdc.mdm.uploadarchive.raw/RTDC4059/ "%USERPROFILE%\AppData\Local\Temp\OnboardLogs"\RTDC4059\2017-10-23 --exclude "*" --recursive --include "*20171023*" &amp; "%USERPROFILE%\Documents\GitHub\mrs-test-scripts\Headless Mode &amp; Sideloading\WalkAndUnGZ.bat" "%USERPROFILE%\AppData\Local\Temp\OnboardLogs"\RTDC4059\2017-10-23 &amp; aws s3 cp s3://rtdc.mdm.uploadarchive.raw/RTDC4059/ "%USERPROFILE%\AppData\Local\Temp\OnboardLogs"\RTDC4059\2017-10-24 --exclude "*" --recursive --include "*20171024*" &amp; "%USERPROFILE%\Documents\GitHub\mrs-test-scripts\Headless Mode &amp; Sideloading\WalkAndUnGZ.bat" "%USERPROFILE%\AppData\Local\Temp\OnboardLogs"\RTDC4059\2017-10-24</v>
      </c>
      <c r="AF173" s="74" t="str">
        <f>astrogrep_path&amp;" /e /r /s /spath="&amp;search_path&amp;" /stypes=""app*"&amp;B173&amp;"*"&amp;TEXT(I173-utc_offset/24,"YYYYMMDD")&amp;"*"" /stext="" "&amp;TEXT(I173-utc_offset/24,"HH")&amp;search_regexp&amp;""""</f>
        <v>"C:\Program Files (x86)\AstroGrep\AstroGrep.exe" /e /r /s /spath="%USERPROFILE%\AppData\Local\Temp\OnboardLogs" /stypes="app*4059*20171023*" /stext=" 14:.+((SYSTEM_STATE.+slice.+state.+changed )|(ment ac)|(multiple cpu faults)|(system.+state.+changed )|(\[timeout)|(PRM\|1\|D)|(kpr)|(kdp)|(train st.+moving)|(\|lc)|(penalty))"</v>
      </c>
      <c r="AG173" s="182" t="str">
        <f>DetSubdiv(A173)</f>
        <v>NW</v>
      </c>
      <c r="AH173" s="78" t="str">
        <f t="shared" si="26"/>
        <v>"%USERPROFILE%\Documents\GitHub\eaglep3\Utilities\RefineRTDCRunTimes.py" --tripid 812-23 --locoid 4059 --swversion DE.1.0.9.0 --startMP 300:57246 --initTime 2017-10-23T08:27:54 --startdatetime 2017-10-23T08:43:15 --delay 46 --endMP 204:694 --enddatetime 2017-10-23T08:56:01 --enforcementcount 0 &gt;&gt;%USERPROFILE%\Documents\GitHub\eaglep3-reporting\EC\2017-10-23-refined-times.txt</v>
      </c>
      <c r="AI173" s="96" t="str">
        <f t="shared" si="27"/>
        <v>echo {"issue":{"subject":"","project_id":79,"tracker_id":40,"status_id":1,"priority_id":2,"assigned_to_id":338,"start_date":"2017-10-23","description":"","custom_fields":[{"id":1,"name":"Subdivision","value":"NW"},{"id":4,"name":"Milepost","value":"0.0694"},{"id":17,"name":"Train ID","value":"812-23"},{"id":16,"name":"Locomotive ID","value":"4059"},{"id":130,"name":"Impact","value":""},{"id":150,"name":"Time of Event (Mountain Time)","value":"08:56:01"},{"id":151,"name":"Denver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3" s="47"/>
      <c r="AL173" s="47"/>
      <c r="AM173" s="142" t="str">
        <f t="shared" si="28"/>
        <v>start /low /b %USERPROFILE%\Documents\GitHub\eaglep3\Utilities\DownloadLogsFromS3.py --loco 4059 --day 2017-10-23</v>
      </c>
      <c r="AN173" s="151" t="str">
        <f t="shared" si="29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14:56:01"},{"id":29,"name":"Sharepoint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168" t="str">
        <f t="shared" si="30"/>
        <v>https://d0f6bd738d7f1b3e5a7ca70fe4ff75f0.us-east-1.aws.found.io/app/kibana#/discover/Steve-Slow-Train-Analysis-(2080s-and-2083s)?_g=(refreshInterval:(display:Off,pause:!f,section:0,value:0),time:(from:'2017-10-23T07:27:54-0600',mode:absolute,to:'2017-10-23T09:56:01-0600'))&amp;_a=(columns:!('Message%20ID',Summary),filters:!(),index:'emp_*',interval:auto,query:(query_string:(analyze_wildcard:!t,query:'%22rtdc.l.rtdc.4059%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3">
      <c r="A174" s="32" t="s">
        <v>652</v>
      </c>
      <c r="B174" s="7">
        <v>4060</v>
      </c>
      <c r="C174" s="21" t="s">
        <v>194</v>
      </c>
      <c r="D174" s="21" t="s">
        <v>1006</v>
      </c>
      <c r="E174" s="13">
        <v>43031.382256944446</v>
      </c>
      <c r="F174" s="13">
        <v>43031.383506944447</v>
      </c>
      <c r="G174" s="7">
        <v>50</v>
      </c>
      <c r="H174" s="21" t="s">
        <v>619</v>
      </c>
      <c r="I174" s="13">
        <v>43031.392233796294</v>
      </c>
      <c r="J174" s="7">
        <v>0</v>
      </c>
      <c r="K174" s="89" t="str">
        <f>IF(ISEVEN(B174),(B174-1)&amp;"/"&amp;B174,B174&amp;"/"&amp;(B174+1))</f>
        <v>4059/4060</v>
      </c>
      <c r="L174" s="185" t="str">
        <f>VLOOKUP(A174,'Trips&amp;Operators'!$C$1:$G$99911,5,FALSE)</f>
        <v>YANAI IAN</v>
      </c>
      <c r="M174" s="6">
        <f>I174-F174</f>
        <v>8.7268518473138101E-3</v>
      </c>
      <c r="N174" s="7">
        <f>24*60*SUM($M174:$M174)</f>
        <v>12.566666660131887</v>
      </c>
      <c r="O174" s="7"/>
      <c r="P174" s="7"/>
      <c r="Q174" s="22"/>
      <c r="R174" s="174" t="s">
        <v>1081</v>
      </c>
      <c r="S174" s="221">
        <f>1/IF(AG174="EC",12,1)*SUM(U174:U174)</f>
        <v>1</v>
      </c>
      <c r="T174" s="174" t="str">
        <f>IF(ISEVEN(LEFT(AD174,4)),"Southbound","NorthBound")</f>
        <v>NorthBound</v>
      </c>
      <c r="U174" s="198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16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2017-10-23T08:10:27-0600',mode:absolute,to:'2017-10-23T10:24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74" s="204" t="str">
        <f>IF(AA174&lt;VLOOKUP(AG174,Variables!$AC$3:$AD$8,2,FALSE),"Y","N")</f>
        <v>N</v>
      </c>
      <c r="X174" s="204">
        <f>VALUE(LEFT(AD174,4))-VALUE(LEFT(AD173,4))</f>
        <v>1</v>
      </c>
      <c r="Y174" s="204">
        <f>RIGHT(D174,LEN(D174)-4)/10000</f>
        <v>0.19020000000000001</v>
      </c>
      <c r="Z174" s="204">
        <f>RIGHT(H174,LEN(H174)-4)/10000</f>
        <v>5.8920000000000003</v>
      </c>
      <c r="AA174" s="204">
        <f>ABS(Z174-Y174)</f>
        <v>5.7018000000000004</v>
      </c>
      <c r="AB174" s="54" t="e">
        <f>VLOOKUP(A174,Enforcements!$C$7:$K$11,8,0)</f>
        <v>#N/A</v>
      </c>
      <c r="AC174" s="51" t="e">
        <f>VLOOKUP(A174,Enforcements!$C$7:$E$11,3,0)</f>
        <v>#N/A</v>
      </c>
      <c r="AD174" s="179">
        <f>VALUE(LEFT(A174,LEN(A174)-3))</f>
        <v>813</v>
      </c>
      <c r="AE174" s="77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s3://rtdc.mdm.uploadarchive.raw/RTDC4060/ "%USERPROFILE%\AppData\Local\Temp\OnboardLogs"\RTDC4060\2017-10-23 --exclude "*" --recursive --include "*20171023*" &amp; "%USERPROFILE%\Documents\GitHub\mrs-test-scripts\Headless Mode &amp; Sideloading\WalkAndUnGZ.bat" "%USERPROFILE%\AppData\Local\Temp\OnboardLogs"\RTDC4060\2017-10-23 &amp; aws s3 cp s3://rtdc.mdm.uploadarchive.raw/RTDC4060/ "%USERPROFILE%\AppData\Local\Temp\OnboardLogs"\RTDC4060\2017-10-24 --exclude "*" --recursive --include "*20171024*" &amp; "%USERPROFILE%\Documents\GitHub\mrs-test-scripts\Headless Mode &amp; Sideloading\WalkAndUnGZ.bat" "%USERPROFILE%\AppData\Local\Temp\OnboardLogs"\RTDC4060\2017-10-24</v>
      </c>
      <c r="AF174" s="74" t="str">
        <f>astrogrep_path&amp;" /e /r /s /spath="&amp;search_path&amp;" /stypes=""app*"&amp;B174&amp;"*"&amp;TEXT(I174-utc_offset/24,"YYYYMMDD")&amp;"*"" /stext="" "&amp;TEXT(I174-utc_offset/24,"HH")&amp;search_regexp&amp;""""</f>
        <v>"C:\Program Files (x86)\AstroGrep\AstroGrep.exe" /e /r /s /spath="%USERPROFILE%\AppData\Local\Temp\OnboardLogs" /stypes="app*4060*20171023*" /stext=" 15:.+((SYSTEM_STATE.+slice.+state.+changed )|(ment ac)|(multiple cpu faults)|(system.+state.+changed )|(\[timeout)|(PRM\|1\|D)|(kpr)|(kdp)|(train st.+moving)|(\|lc)|(penalty))"</v>
      </c>
      <c r="AG174" s="182" t="str">
        <f>DetSubdiv(A174)</f>
        <v>NW</v>
      </c>
      <c r="AH174" s="78" t="str">
        <f t="shared" si="26"/>
        <v>"%USERPROFILE%\Documents\GitHub\eaglep3\Utilities\RefineRTDCRunTimes.py" --tripid 813-23 --locoid 4060 --swversion DE.1.0.9.0 --startMP 204:1902 --initTime 2017-10-23T09:10:27 --startdatetime 2017-10-23T09:12:15 --delay 50 --endMP 300:58920 --enddatetime 2017-10-23T09:24:49 --enforcementcount 0 &gt;&gt;%USERPROFILE%\Documents\GitHub\eaglep3-reporting\EC\2017-10-23-refined-times.txt</v>
      </c>
      <c r="AI174" s="96" t="str">
        <f t="shared" si="27"/>
        <v>echo {"issue":{"subject":"Poor GPS at DUS","project_id":79,"tracker_id":40,"status_id":1,"priority_id":2,"assigned_to_id":338,"start_date":"2017-10-23","description":"","custom_fields":[{"id":1,"name":"Subdivision","value":"NW"},{"id":4,"name":"Milepost","value":"5.892"},{"id":17,"name":"Train ID","value":"813-23"},{"id":16,"name":"Locomotive ID","value":"4060"},{"id":130,"name":"Impact","value":""},{"id":150,"name":"Time of Event (Mountain Time)","value":"09:24:49"},{"id":151,"name":"Denver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4" s="47"/>
      <c r="AL174" s="47"/>
      <c r="AM174" s="142" t="str">
        <f t="shared" si="28"/>
        <v>start /low /b %USERPROFILE%\Documents\GitHub\eaglep3\Utilities\DownloadLogsFromS3.py --loco 4060 --day 2017-10-23</v>
      </c>
      <c r="AN174" s="151" t="str">
        <f t="shared" si="29"/>
        <v>echo {"issue":{"subject":"Poor GPS at DUS","project_id":30,"tracker_id":4,"status_id":1,"priority_id":1,"assigned_to_id":10,"start_date":"2017-10-23","description":"","custom_fields":[{"id":30,"name":"Category","value":"Issue"},{"id":3,"name":"Functional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15:24:49"},{"id":29,"name":"Sharepoint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168" t="str">
        <f t="shared" si="30"/>
        <v>https://d0f6bd738d7f1b3e5a7ca70fe4ff75f0.us-east-1.aws.found.io/app/kibana#/discover/Steve-Slow-Train-Analysis-(2080s-and-2083s)?_g=(refreshInterval:(display:Off,pause:!f,section:0,value:0),time:(from:'2017-10-23T08:10:27-0600',mode:absolute,to:'2017-10-23T10:24:49-0600'))&amp;_a=(columns:!('Message%20ID',Summary),filters:!(),index:'emp_*',interval:auto,query:(query_string:(analyze_wildcard:!t,query:'%22rtdc.l.rtdc.4060%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3">
      <c r="A175" s="32" t="s">
        <v>652</v>
      </c>
      <c r="B175" s="7">
        <v>4060</v>
      </c>
      <c r="C175" s="21" t="s">
        <v>194</v>
      </c>
      <c r="D175" s="21" t="s">
        <v>1007</v>
      </c>
      <c r="E175" s="13">
        <v>43031.373564814814</v>
      </c>
      <c r="F175" s="13">
        <v>43031.383506944447</v>
      </c>
      <c r="G175" s="7">
        <v>52</v>
      </c>
      <c r="H175" s="21" t="s">
        <v>1008</v>
      </c>
      <c r="I175" s="13">
        <v>43031.392233796294</v>
      </c>
      <c r="J175" s="7">
        <v>0</v>
      </c>
      <c r="K175" s="89" t="str">
        <f>IF(ISEVEN(B175),(B175-1)&amp;"/"&amp;B175,B175&amp;"/"&amp;(B175+1))</f>
        <v>4059/4060</v>
      </c>
      <c r="L175" s="185" t="str">
        <f>VLOOKUP(A175,'Trips&amp;Operators'!$C$1:$G$99911,5,FALSE)</f>
        <v>YANAI IAN</v>
      </c>
      <c r="M175" s="6">
        <f>I175-F175</f>
        <v>8.7268518473138101E-3</v>
      </c>
      <c r="N175" s="7"/>
      <c r="O175" s="7"/>
      <c r="P175" s="7"/>
      <c r="Q175" s="22"/>
      <c r="R175" s="174"/>
      <c r="S175" s="221"/>
      <c r="T175" s="174" t="str">
        <f>IF(ISEVEN(LEFT(AD175,4)),"Southbound","NorthBound")</f>
        <v>NorthBound</v>
      </c>
      <c r="U175" s="198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0</v>
      </c>
      <c r="V175" s="216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2017-10-23T07:57:56-0600',mode:absolute,to:'2017-10-23T10:24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75" s="204" t="str">
        <f>IF(AA175&lt;VLOOKUP(AG175,Variables!$AC$3:$AD$8,2,FALSE),"Y","N")</f>
        <v>Y</v>
      </c>
      <c r="X175" s="204">
        <f>VALUE(LEFT(AD175,4))-VALUE(LEFT(AD174,4))</f>
        <v>0</v>
      </c>
      <c r="Y175" s="204">
        <f>RIGHT(D175,LEN(D175)-4)/10000</f>
        <v>9.9699999999999997E-2</v>
      </c>
      <c r="Z175" s="204">
        <f>RIGHT(H175,LEN(H175)-4)/10000</f>
        <v>0.1918</v>
      </c>
      <c r="AA175" s="204">
        <f>ABS(Z175-Y175)</f>
        <v>9.2100000000000001E-2</v>
      </c>
      <c r="AB175" s="54" t="e">
        <f>VLOOKUP(A175,Enforcements!$C$7:$K$11,8,0)</f>
        <v>#N/A</v>
      </c>
      <c r="AC175" s="51" t="e">
        <f>VLOOKUP(A175,Enforcements!$C$7:$E$11,3,0)</f>
        <v>#N/A</v>
      </c>
      <c r="AD175" s="179">
        <f>VALUE(LEFT(A175,LEN(A175)-3))</f>
        <v>813</v>
      </c>
      <c r="AE175" s="77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s3://rtdc.mdm.uploadarchive.raw/RTDC4060/ "%USERPROFILE%\AppData\Local\Temp\OnboardLogs"\RTDC4060\2017-10-23 --exclude "*" --recursive --include "*20171023*" &amp; "%USERPROFILE%\Documents\GitHub\mrs-test-scripts\Headless Mode &amp; Sideloading\WalkAndUnGZ.bat" "%USERPROFILE%\AppData\Local\Temp\OnboardLogs"\RTDC4060\2017-10-23 &amp; aws s3 cp s3://rtdc.mdm.uploadarchive.raw/RTDC4060/ "%USERPROFILE%\AppData\Local\Temp\OnboardLogs"\RTDC4060\2017-10-24 --exclude "*" --recursive --include "*20171024*" &amp; "%USERPROFILE%\Documents\GitHub\mrs-test-scripts\Headless Mode &amp; Sideloading\WalkAndUnGZ.bat" "%USERPROFILE%\AppData\Local\Temp\OnboardLogs"\RTDC4060\2017-10-24</v>
      </c>
      <c r="AF175" s="74" t="str">
        <f>astrogrep_path&amp;" /e /r /s /spath="&amp;search_path&amp;" /stypes=""app*"&amp;B175&amp;"*"&amp;TEXT(I175-utc_offset/24,"YYYYMMDD")&amp;"*"" /stext="" "&amp;TEXT(I175-utc_offset/24,"HH")&amp;search_regexp&amp;""""</f>
        <v>"C:\Program Files (x86)\AstroGrep\AstroGrep.exe" /e /r /s /spath="%USERPROFILE%\AppData\Local\Temp\OnboardLogs" /stypes="app*4060*20171023*" /stext=" 15:.+((SYSTEM_STATE.+slice.+state.+changed )|(ment ac)|(multiple cpu faults)|(system.+state.+changed )|(\[timeout)|(PRM\|1\|D)|(kpr)|(kdp)|(train st.+moving)|(\|lc)|(penalty))"</v>
      </c>
      <c r="AG175" s="182" t="str">
        <f>DetSubdiv(A175)</f>
        <v>NW</v>
      </c>
      <c r="AH175" s="78" t="str">
        <f t="shared" si="26"/>
        <v>"%USERPROFILE%\Documents\GitHub\eaglep3\Utilities\RefineRTDCRunTimes.py" --tripid 813-23 --locoid 4060 --swversion DE.1.0.9.0 --startMP 204:997 --initTime 2017-10-23T08:57:56 --startdatetime 2017-10-23T09:12:15 --delay 52 --endMP 204:1918 --enddatetime 2017-10-23T09:24:49 --enforcementcount 0 &gt;&gt;%USERPROFILE%\Documents\GitHub\eaglep3-reporting\EC\2017-10-23-refined-times.txt</v>
      </c>
      <c r="AI175" s="96" t="str">
        <f t="shared" si="27"/>
        <v>echo {"issue":{"subject":"","project_id":79,"tracker_id":40,"status_id":1,"priority_id":2,"assigned_to_id":338,"start_date":"2017-10-23","description":"","custom_fields":[{"id":1,"name":"Subdivision","value":"NW"},{"id":4,"name":"Milepost","value":"0.1918"},{"id":17,"name":"Train ID","value":"813-23"},{"id":16,"name":"Locomotive ID","value":"4060"},{"id":130,"name":"Impact","value":""},{"id":150,"name":"Time of Event (Mountain Time)","value":"09:24:49"},{"id":151,"name":"Denver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5" s="47"/>
      <c r="AL175" s="47"/>
      <c r="AM175" s="142" t="str">
        <f t="shared" si="28"/>
        <v>start /low /b %USERPROFILE%\Documents\GitHub\eaglep3\Utilities\DownloadLogsFromS3.py --loco 4060 --day 2017-10-23</v>
      </c>
      <c r="AN175" s="151" t="str">
        <f t="shared" si="29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15:24:49"},{"id":29,"name":"Sharepoint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168" t="str">
        <f t="shared" si="30"/>
        <v>https://d0f6bd738d7f1b3e5a7ca70fe4ff75f0.us-east-1.aws.found.io/app/kibana#/discover/Steve-Slow-Train-Analysis-(2080s-and-2083s)?_g=(refreshInterval:(display:Off,pause:!f,section:0,value:0),time:(from:'2017-10-23T07:57:56-0600',mode:absolute,to:'2017-10-23T10:24:49-0600'))&amp;_a=(columns:!('Message%20ID',Summary),filters:!(),index:'emp_*',interval:auto,query:(query_string:(analyze_wildcard:!t,query:'%22rtdc.l.rtdc.4060%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3">
      <c r="A176" s="32" t="s">
        <v>758</v>
      </c>
      <c r="B176" s="7">
        <v>4059</v>
      </c>
      <c r="C176" s="21" t="s">
        <v>194</v>
      </c>
      <c r="D176" s="21" t="s">
        <v>1009</v>
      </c>
      <c r="E176" s="13">
        <v>43031.393009259256</v>
      </c>
      <c r="F176" s="13">
        <v>43031.404618055552</v>
      </c>
      <c r="G176" s="7">
        <v>59</v>
      </c>
      <c r="H176" s="21" t="s">
        <v>464</v>
      </c>
      <c r="I176" s="13">
        <v>43031.41337962963</v>
      </c>
      <c r="J176" s="7">
        <v>0</v>
      </c>
      <c r="K176" s="89" t="str">
        <f>IF(ISEVEN(B176),(B176-1)&amp;"/"&amp;B176,B176&amp;"/"&amp;(B176+1))</f>
        <v>4059/4060</v>
      </c>
      <c r="L176" s="185" t="str">
        <f>VLOOKUP(A176,'Trips&amp;Operators'!$C$1:$G$99911,5,FALSE)</f>
        <v>YANAI IAN</v>
      </c>
      <c r="M176" s="6">
        <f>I176-F176</f>
        <v>8.7615740776527673E-3</v>
      </c>
      <c r="N176" s="7">
        <f>24*60*SUM($M176:$M176)</f>
        <v>12.616666671819985</v>
      </c>
      <c r="O176" s="7"/>
      <c r="P176" s="7"/>
      <c r="Q176" s="22"/>
      <c r="R176" s="174"/>
      <c r="S176" s="221">
        <f>1/IF(AG176="EC",12,1)*SUM(U176:U176)</f>
        <v>1</v>
      </c>
      <c r="T176" s="174" t="str">
        <f>IF(ISEVEN(LEFT(AD176,4)),"Southbound","NorthBound")</f>
        <v>Southbound</v>
      </c>
      <c r="U176" s="198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16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2017-10-23T08:25:56-0600',mode:absolute,to:'2017-10-23T10:55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76" s="204" t="str">
        <f>IF(AA176&lt;VLOOKUP(AG176,Variables!$AC$3:$AD$8,2,FALSE),"Y","N")</f>
        <v>N</v>
      </c>
      <c r="X176" s="204">
        <f>VALUE(LEFT(AD176,4))-VALUE(LEFT(AD175,4))</f>
        <v>1</v>
      </c>
      <c r="Y176" s="204">
        <f>RIGHT(D176,LEN(D176)-4)/10000</f>
        <v>5.8604000000000003</v>
      </c>
      <c r="Z176" s="204">
        <f>RIGHT(H176,LEN(H176)-4)/10000</f>
        <v>7.0099999999999996E-2</v>
      </c>
      <c r="AA176" s="204">
        <f>ABS(Z176-Y176)</f>
        <v>5.7903000000000002</v>
      </c>
      <c r="AB176" s="54" t="e">
        <f>VLOOKUP(A176,Enforcements!$C$7:$K$11,8,0)</f>
        <v>#N/A</v>
      </c>
      <c r="AC176" s="51" t="e">
        <f>VLOOKUP(A176,Enforcements!$C$7:$E$11,3,0)</f>
        <v>#N/A</v>
      </c>
      <c r="AD176" s="179">
        <f>VALUE(LEFT(A176,LEN(A176)-3))</f>
        <v>814</v>
      </c>
      <c r="AE176" s="77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s3://rtdc.mdm.uploadarchive.raw/RTDC4059/ "%USERPROFILE%\AppData\Local\Temp\OnboardLogs"\RTDC4059\2017-10-23 --exclude "*" --recursive --include "*20171023*" &amp; "%USERPROFILE%\Documents\GitHub\mrs-test-scripts\Headless Mode &amp; Sideloading\WalkAndUnGZ.bat" "%USERPROFILE%\AppData\Local\Temp\OnboardLogs"\RTDC4059\2017-10-23 &amp; aws s3 cp s3://rtdc.mdm.uploadarchive.raw/RTDC4059/ "%USERPROFILE%\AppData\Local\Temp\OnboardLogs"\RTDC4059\2017-10-24 --exclude "*" --recursive --include "*20171024*" &amp; "%USERPROFILE%\Documents\GitHub\mrs-test-scripts\Headless Mode &amp; Sideloading\WalkAndUnGZ.bat" "%USERPROFILE%\AppData\Local\Temp\OnboardLogs"\RTDC4059\2017-10-24</v>
      </c>
      <c r="AF176" s="74" t="str">
        <f>astrogrep_path&amp;" /e /r /s /spath="&amp;search_path&amp;" /stypes=""app*"&amp;B176&amp;"*"&amp;TEXT(I176-utc_offset/24,"YYYYMMDD")&amp;"*"" /stext="" "&amp;TEXT(I176-utc_offset/24,"HH")&amp;search_regexp&amp;""""</f>
        <v>"C:\Program Files (x86)\AstroGrep\AstroGrep.exe" /e /r /s /spath="%USERPROFILE%\AppData\Local\Temp\OnboardLogs" /stypes="app*4059*20171023*" /stext=" 15:.+((SYSTEM_STATE.+slice.+state.+changed )|(ment ac)|(multiple cpu faults)|(system.+state.+changed )|(\[timeout)|(PRM\|1\|D)|(kpr)|(kdp)|(train st.+moving)|(\|lc)|(penalty))"</v>
      </c>
      <c r="AG176" s="182" t="str">
        <f>DetSubdiv(A176)</f>
        <v>NW</v>
      </c>
      <c r="AH176" s="78" t="str">
        <f t="shared" si="26"/>
        <v>"%USERPROFILE%\Documents\GitHub\eaglep3\Utilities\RefineRTDCRunTimes.py" --tripid 814-23 --locoid 4059 --swversion DE.1.0.9.0 --startMP 300:58604 --initTime 2017-10-23T09:25:56 --startdatetime 2017-10-23T09:42:39 --delay 59 --endMP 204:701 --enddatetime 2017-10-23T09:55:16 --enforcementcount 0 &gt;&gt;%USERPROFILE%\Documents\GitHub\eaglep3-reporting\EC\2017-10-23-refined-times.txt</v>
      </c>
      <c r="AI176" s="96" t="str">
        <f t="shared" si="27"/>
        <v>echo {"issue":{"subject":"","project_id":79,"tracker_id":40,"status_id":1,"priority_id":2,"assigned_to_id":338,"start_date":"2017-10-23","description":"","custom_fields":[{"id":1,"name":"Subdivision","value":"NW"},{"id":4,"name":"Milepost","value":"0.0701"},{"id":17,"name":"Train ID","value":"814-23"},{"id":16,"name":"Locomotive ID","value":"4059"},{"id":130,"name":"Impact","value":""},{"id":150,"name":"Time of Event (Mountain Time)","value":"09:55:16"},{"id":151,"name":"Denver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6" s="47"/>
      <c r="AL176" s="47"/>
      <c r="AM176" s="142" t="str">
        <f t="shared" si="28"/>
        <v>start /low /b %USERPROFILE%\Documents\GitHub\eaglep3\Utilities\DownloadLogsFromS3.py --loco 4059 --day 2017-10-23</v>
      </c>
      <c r="AN176" s="151" t="str">
        <f t="shared" si="29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15:55:16"},{"id":29,"name":"Sharepoint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168" t="str">
        <f t="shared" si="30"/>
        <v>https://d0f6bd738d7f1b3e5a7ca70fe4ff75f0.us-east-1.aws.found.io/app/kibana#/discover/Steve-Slow-Train-Analysis-(2080s-and-2083s)?_g=(refreshInterval:(display:Off,pause:!f,section:0,value:0),time:(from:'2017-10-23T08:25:56-0600',mode:absolute,to:'2017-10-23T10:55:16-0600'))&amp;_a=(columns:!('Message%20ID',Summary),filters:!(),index:'emp_*',interval:auto,query:(query_string:(analyze_wildcard:!t,query:'%22rtdc.l.rtdc.4059%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3">
      <c r="A177" s="32" t="s">
        <v>764</v>
      </c>
      <c r="B177" s="7">
        <v>4060</v>
      </c>
      <c r="C177" s="21" t="s">
        <v>194</v>
      </c>
      <c r="D177" s="21" t="s">
        <v>1010</v>
      </c>
      <c r="E177" s="13">
        <v>43031.414826388886</v>
      </c>
      <c r="F177" s="13">
        <v>43031.423078703701</v>
      </c>
      <c r="G177" s="7">
        <v>47</v>
      </c>
      <c r="H177" s="21" t="s">
        <v>1011</v>
      </c>
      <c r="I177" s="13">
        <v>43031.432222222225</v>
      </c>
      <c r="J177" s="7">
        <v>0</v>
      </c>
      <c r="K177" s="89" t="str">
        <f>IF(ISEVEN(B177),(B177-1)&amp;"/"&amp;B177,B177&amp;"/"&amp;(B177+1))</f>
        <v>4059/4060</v>
      </c>
      <c r="L177" s="185" t="str">
        <f>VLOOKUP(A177,'Trips&amp;Operators'!$C$1:$G$99911,5,FALSE)</f>
        <v>YANAI IAN</v>
      </c>
      <c r="M177" s="6">
        <f>I177-F177</f>
        <v>9.1435185240698047E-3</v>
      </c>
      <c r="N177" s="7">
        <f>24*60*SUM($M177:$M177)</f>
        <v>13.166666674660519</v>
      </c>
      <c r="O177" s="7"/>
      <c r="P177" s="7"/>
      <c r="Q177" s="22"/>
      <c r="R177" s="174"/>
      <c r="S177" s="221">
        <f>1/IF(AG177="EC",12,1)*SUM(U177:U177)</f>
        <v>1</v>
      </c>
      <c r="T177" s="174" t="str">
        <f>IF(ISEVEN(LEFT(AD177,4)),"Southbound","NorthBound")</f>
        <v>NorthBound</v>
      </c>
      <c r="U177" s="198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16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-10-23T08:57:21-0600',mode:absolute,to:'2017-10-23T11:22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77" s="204" t="str">
        <f>IF(AA177&lt;VLOOKUP(AG177,Variables!$AC$3:$AD$8,2,FALSE),"Y","N")</f>
        <v>N</v>
      </c>
      <c r="X177" s="204">
        <f>VALUE(LEFT(AD177,4))-VALUE(LEFT(AD176,4))</f>
        <v>1</v>
      </c>
      <c r="Y177" s="204">
        <f>RIGHT(D177,LEN(D177)-4)/10000</f>
        <v>9.7100000000000006E-2</v>
      </c>
      <c r="Z177" s="204">
        <f>RIGHT(H177,LEN(H177)-4)/10000</f>
        <v>5.8925999999999998</v>
      </c>
      <c r="AA177" s="204">
        <f>ABS(Z177-Y177)</f>
        <v>5.7954999999999997</v>
      </c>
      <c r="AB177" s="54" t="e">
        <f>VLOOKUP(A177,Enforcements!$C$7:$K$11,8,0)</f>
        <v>#N/A</v>
      </c>
      <c r="AC177" s="51" t="e">
        <f>VLOOKUP(A177,Enforcements!$C$7:$E$11,3,0)</f>
        <v>#N/A</v>
      </c>
      <c r="AD177" s="179">
        <f>VALUE(LEFT(A177,LEN(A177)-3))</f>
        <v>815</v>
      </c>
      <c r="AE177" s="77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s3://rtdc.mdm.uploadarchive.raw/RTDC4060/ "%USERPROFILE%\AppData\Local\Temp\OnboardLogs"\RTDC4060\2017-10-23 --exclude "*" --recursive --include "*20171023*" &amp; "%USERPROFILE%\Documents\GitHub\mrs-test-scripts\Headless Mode &amp; Sideloading\WalkAndUnGZ.bat" "%USERPROFILE%\AppData\Local\Temp\OnboardLogs"\RTDC4060\2017-10-23 &amp; aws s3 cp s3://rtdc.mdm.uploadarchive.raw/RTDC4060/ "%USERPROFILE%\AppData\Local\Temp\OnboardLogs"\RTDC4060\2017-10-24 --exclude "*" --recursive --include "*20171024*" &amp; "%USERPROFILE%\Documents\GitHub\mrs-test-scripts\Headless Mode &amp; Sideloading\WalkAndUnGZ.bat" "%USERPROFILE%\AppData\Local\Temp\OnboardLogs"\RTDC4060\2017-10-24</v>
      </c>
      <c r="AF177" s="74" t="str">
        <f>astrogrep_path&amp;" /e /r /s /spath="&amp;search_path&amp;" /stypes=""app*"&amp;B177&amp;"*"&amp;TEXT(I177-utc_offset/24,"YYYYMMDD")&amp;"*"" /stext="" "&amp;TEXT(I177-utc_offset/24,"HH")&amp;search_regexp&amp;""""</f>
        <v>"C:\Program Files (x86)\AstroGrep\AstroGrep.exe" /e /r /s /spath="%USERPROFILE%\AppData\Local\Temp\OnboardLogs" /stypes="app*4060*20171023*" /stext=" 16:.+((SYSTEM_STATE.+slice.+state.+changed )|(ment ac)|(multiple cpu faults)|(system.+state.+changed )|(\[timeout)|(PRM\|1\|D)|(kpr)|(kdp)|(train st.+moving)|(\|lc)|(penalty))"</v>
      </c>
      <c r="AG177" s="182" t="str">
        <f>DetSubdiv(A177)</f>
        <v>NW</v>
      </c>
      <c r="AH177" s="78" t="str">
        <f t="shared" si="26"/>
        <v>"%USERPROFILE%\Documents\GitHub\eaglep3\Utilities\RefineRTDCRunTimes.py" --tripid 815-23 --locoid 4060 --swversion DE.1.0.9.0 --startMP 204:971 --initTime 2017-10-23T09:57:21 --startdatetime 2017-10-23T10:09:14 --delay 47 --endMP 300:58926 --enddatetime 2017-10-23T10:22:24 --enforcementcount 0 &gt;&gt;%USERPROFILE%\Documents\GitHub\eaglep3-reporting\EC\2017-10-23-refined-times.txt</v>
      </c>
      <c r="AI177" s="96" t="str">
        <f t="shared" si="27"/>
        <v>echo {"issue":{"subject":"","project_id":79,"tracker_id":40,"status_id":1,"priority_id":2,"assigned_to_id":338,"start_date":"2017-10-23","description":"","custom_fields":[{"id":1,"name":"Subdivision","value":"NW"},{"id":4,"name":"Milepost","value":"5.8926"},{"id":17,"name":"Train ID","value":"815-23"},{"id":16,"name":"Locomotive ID","value":"4060"},{"id":130,"name":"Impact","value":""},{"id":150,"name":"Time of Event (Mountain Time)","value":"10:22:24"},{"id":151,"name":"Denver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7" s="47"/>
      <c r="AL177" s="47"/>
      <c r="AM177" s="142" t="str">
        <f t="shared" si="28"/>
        <v>start /low /b %USERPROFILE%\Documents\GitHub\eaglep3\Utilities\DownloadLogsFromS3.py --loco 4060 --day 2017-10-23</v>
      </c>
      <c r="AN177" s="151" t="str">
        <f t="shared" si="29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16:22:24"},{"id":29,"name":"Sharepoint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168" t="str">
        <f t="shared" si="30"/>
        <v>https://d0f6bd738d7f1b3e5a7ca70fe4ff75f0.us-east-1.aws.found.io/app/kibana#/discover/Steve-Slow-Train-Analysis-(2080s-and-2083s)?_g=(refreshInterval:(display:Off,pause:!f,section:0,value:0),time:(from:'2017-10-23T08:57:21-0600',mode:absolute,to:'2017-10-23T11:22:24-0600'))&amp;_a=(columns:!('Message%20ID',Summary),filters:!(),index:'emp_*',interval:auto,query:(query_string:(analyze_wildcard:!t,query:'%22rtdc.l.rtdc.4060%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3">
      <c r="A178" s="32" t="s">
        <v>769</v>
      </c>
      <c r="B178" s="7">
        <v>4059</v>
      </c>
      <c r="C178" s="21" t="s">
        <v>194</v>
      </c>
      <c r="D178" s="21" t="s">
        <v>999</v>
      </c>
      <c r="E178" s="13">
        <v>43031.43310185185</v>
      </c>
      <c r="F178" s="13">
        <v>43031.446712962963</v>
      </c>
      <c r="G178" s="7">
        <v>85</v>
      </c>
      <c r="H178" s="21" t="s">
        <v>1012</v>
      </c>
      <c r="I178" s="13">
        <v>43031.455393518518</v>
      </c>
      <c r="J178" s="7">
        <v>0</v>
      </c>
      <c r="K178" s="89" t="str">
        <f>IF(ISEVEN(B178),(B178-1)&amp;"/"&amp;B178,B178&amp;"/"&amp;(B178+1))</f>
        <v>4059/4060</v>
      </c>
      <c r="L178" s="185" t="str">
        <f>VLOOKUP(A178,'Trips&amp;Operators'!$C$1:$G$99911,5,FALSE)</f>
        <v>YANAI IAN</v>
      </c>
      <c r="M178" s="6">
        <f>I178-F178</f>
        <v>8.6805555547471158E-3</v>
      </c>
      <c r="N178" s="7">
        <f>24*60*SUM($M178:$M178)</f>
        <v>12.499999998835847</v>
      </c>
      <c r="O178" s="7"/>
      <c r="P178" s="7"/>
      <c r="Q178" s="22"/>
      <c r="R178" s="174" t="s">
        <v>1082</v>
      </c>
      <c r="S178" s="221">
        <f>1/IF(AG178="EC",12,1)*SUM(U178:U179)</f>
        <v>1</v>
      </c>
      <c r="T178" s="174" t="str">
        <f>IF(ISEVEN(LEFT(AD178,4)),"Southbound","NorthBound")</f>
        <v>Southbound</v>
      </c>
      <c r="U178" s="198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0</v>
      </c>
      <c r="V178" s="216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2017-10-23T09:23:40-0600',mode:absolute,to:'2017-10-23T11:55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78" s="204" t="str">
        <f>IF(AA178&lt;VLOOKUP(AG178,Variables!$AC$3:$AD$8,2,FALSE),"Y","N")</f>
        <v>Y</v>
      </c>
      <c r="X178" s="204">
        <f>VALUE(LEFT(AD178,4))-VALUE(LEFT(AD177,4))</f>
        <v>1</v>
      </c>
      <c r="Y178" s="204">
        <f>RIGHT(D178,LEN(D178)-4)/10000</f>
        <v>5.8608000000000002</v>
      </c>
      <c r="Z178" s="204">
        <f>RIGHT(H178,LEN(H178)-4)/10000</f>
        <v>5.7248000000000001</v>
      </c>
      <c r="AA178" s="204">
        <f>ABS(Z178-Y178)</f>
        <v>0.13600000000000012</v>
      </c>
      <c r="AB178" s="54" t="e">
        <f>VLOOKUP(A178,Enforcements!$C$7:$K$11,8,0)</f>
        <v>#N/A</v>
      </c>
      <c r="AC178" s="51" t="e">
        <f>VLOOKUP(A178,Enforcements!$C$7:$E$11,3,0)</f>
        <v>#N/A</v>
      </c>
      <c r="AD178" s="179">
        <f>VALUE(LEFT(A178,LEN(A178)-3))</f>
        <v>816</v>
      </c>
      <c r="AE178" s="77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s3://rtdc.mdm.uploadarchive.raw/RTDC4059/ "%USERPROFILE%\AppData\Local\Temp\OnboardLogs"\RTDC4059\2017-10-23 --exclude "*" --recursive --include "*20171023*" &amp; "%USERPROFILE%\Documents\GitHub\mrs-test-scripts\Headless Mode &amp; Sideloading\WalkAndUnGZ.bat" "%USERPROFILE%\AppData\Local\Temp\OnboardLogs"\RTDC4059\2017-10-23 &amp; aws s3 cp s3://rtdc.mdm.uploadarchive.raw/RTDC4059/ "%USERPROFILE%\AppData\Local\Temp\OnboardLogs"\RTDC4059\2017-10-24 --exclude "*" --recursive --include "*20171024*" &amp; "%USERPROFILE%\Documents\GitHub\mrs-test-scripts\Headless Mode &amp; Sideloading\WalkAndUnGZ.bat" "%USERPROFILE%\AppData\Local\Temp\OnboardLogs"\RTDC4059\2017-10-24</v>
      </c>
      <c r="AF178" s="74" t="str">
        <f>astrogrep_path&amp;" /e /r /s /spath="&amp;search_path&amp;" /stypes=""app*"&amp;B178&amp;"*"&amp;TEXT(I178-utc_offset/24,"YYYYMMDD")&amp;"*"" /stext="" "&amp;TEXT(I178-utc_offset/24,"HH")&amp;search_regexp&amp;""""</f>
        <v>"C:\Program Files (x86)\AstroGrep\AstroGrep.exe" /e /r /s /spath="%USERPROFILE%\AppData\Local\Temp\OnboardLogs" /stypes="app*4059*20171023*" /stext=" 16:.+((SYSTEM_STATE.+slice.+state.+changed )|(ment ac)|(multiple cpu faults)|(system.+state.+changed )|(\[timeout)|(PRM\|1\|D)|(kpr)|(kdp)|(train st.+moving)|(\|lc)|(penalty))"</v>
      </c>
      <c r="AG178" s="182" t="str">
        <f>DetSubdiv(A178)</f>
        <v>NW</v>
      </c>
      <c r="AH178" s="78" t="str">
        <f t="shared" si="26"/>
        <v>"%USERPROFILE%\Documents\GitHub\eaglep3\Utilities\RefineRTDCRunTimes.py" --tripid 816-23 --locoid 4059 --swversion DE.1.0.9.0 --startMP 300:58608 --initTime 2017-10-23T10:23:40 --startdatetime 2017-10-23T10:43:16 --delay 85 --endMP 300:57248 --enddatetime 2017-10-23T10:55:46 --enforcementcount 0 &gt;&gt;%USERPROFILE%\Documents\GitHub\eaglep3-reporting\EC\2017-10-23-refined-times.txt</v>
      </c>
      <c r="AI178" s="96" t="str">
        <f t="shared" si="27"/>
        <v>echo {"issue":{"subject":"Operator hard cut-out, then re-initialized","project_id":79,"tracker_id":40,"status_id":1,"priority_id":2,"assigned_to_id":338,"start_date":"2017-10-23","description":"","custom_fields":[{"id":1,"name":"Subdivision","value":"NW"},{"id":4,"name":"Milepost","value":"5.7248"},{"id":17,"name":"Train ID","value":"816-23"},{"id":16,"name":"Locomotive ID","value":"4059"},{"id":130,"name":"Impact","value":""},{"id":150,"name":"Time of Event (Mountain Time)","value":"10:55:46"},{"id":151,"name":"Denver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8" s="47"/>
      <c r="AL178" s="47"/>
      <c r="AM178" s="142" t="str">
        <f t="shared" si="28"/>
        <v>start /low /b %USERPROFILE%\Documents\GitHub\eaglep3\Utilities\DownloadLogsFromS3.py --loco 4059 --day 2017-10-23</v>
      </c>
      <c r="AN178" s="151" t="str">
        <f t="shared" si="29"/>
        <v>echo {"issue":{"subject":"Operator hard cut-out, then re-initialized","project_id":30,"tracker_id":4,"status_id":1,"priority_id":1,"assigned_to_id":10,"start_date":"2017-10-23","description":"","custom_fields":[{"id":30,"name":"Category","value":"Issue"},{"id":3,"name":"Functional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16:55:46"},{"id":29,"name":"Sharepoint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168" t="str">
        <f t="shared" si="30"/>
        <v>https://d0f6bd738d7f1b3e5a7ca70fe4ff75f0.us-east-1.aws.found.io/app/kibana#/discover/Steve-Slow-Train-Analysis-(2080s-and-2083s)?_g=(refreshInterval:(display:Off,pause:!f,section:0,value:0),time:(from:'2017-10-23T09:23:40-0600',mode:absolute,to:'2017-10-23T11:55:46-0600'))&amp;_a=(columns:!('Message%20ID',Summary),filters:!(),index:'emp_*',interval:auto,query:(query_string:(analyze_wildcard:!t,query:'%22rtdc.l.rtdc.4059%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3">
      <c r="A179" s="32" t="s">
        <v>769</v>
      </c>
      <c r="B179" s="7">
        <v>4059</v>
      </c>
      <c r="C179" s="21" t="s">
        <v>194</v>
      </c>
      <c r="D179" s="21" t="s">
        <v>1004</v>
      </c>
      <c r="E179" s="13">
        <v>43031.435717592591</v>
      </c>
      <c r="F179" s="13">
        <v>43031.446712962963</v>
      </c>
      <c r="G179" s="7">
        <v>59</v>
      </c>
      <c r="H179" s="21" t="s">
        <v>1005</v>
      </c>
      <c r="I179" s="13">
        <v>43031.455393518518</v>
      </c>
      <c r="J179" s="7">
        <v>0</v>
      </c>
      <c r="K179" s="89" t="str">
        <f>IF(ISEVEN(B179),(B179-1)&amp;"/"&amp;B179,B179&amp;"/"&amp;(B179+1))</f>
        <v>4059/4060</v>
      </c>
      <c r="L179" s="185" t="str">
        <f>VLOOKUP(A179,'Trips&amp;Operators'!$C$1:$G$99911,5,FALSE)</f>
        <v>YANAI IAN</v>
      </c>
      <c r="M179" s="6">
        <f>I179-F179</f>
        <v>8.6805555547471158E-3</v>
      </c>
      <c r="N179" s="7"/>
      <c r="O179" s="7"/>
      <c r="P179" s="7"/>
      <c r="Q179" s="22"/>
      <c r="R179" s="174"/>
      <c r="S179" s="221"/>
      <c r="T179" s="174" t="str">
        <f>IF(ISEVEN(LEFT(AD179,4)),"Southbound","NorthBound")</f>
        <v>Southbound</v>
      </c>
      <c r="U179" s="198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16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-10-23T09:27:26-0600',mode:absolute,to:'2017-10-23T11:55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79" s="204" t="str">
        <f>IF(AA179&lt;VLOOKUP(AG179,Variables!$AC$3:$AD$8,2,FALSE),"Y","N")</f>
        <v>N</v>
      </c>
      <c r="X179" s="204">
        <f>VALUE(LEFT(AD179,4))-VALUE(LEFT(AD178,4))</f>
        <v>0</v>
      </c>
      <c r="Y179" s="204">
        <f>RIGHT(D179,LEN(D179)-4)/10000</f>
        <v>5.7244000000000002</v>
      </c>
      <c r="Z179" s="204">
        <f>RIGHT(H179,LEN(H179)-4)/10000</f>
        <v>6.9400000000000003E-2</v>
      </c>
      <c r="AA179" s="204">
        <f>ABS(Z179-Y179)</f>
        <v>5.6550000000000002</v>
      </c>
      <c r="AB179" s="54" t="e">
        <f>VLOOKUP(A179,Enforcements!$C$7:$K$11,8,0)</f>
        <v>#N/A</v>
      </c>
      <c r="AC179" s="51" t="e">
        <f>VLOOKUP(A179,Enforcements!$C$7:$E$11,3,0)</f>
        <v>#N/A</v>
      </c>
      <c r="AD179" s="179">
        <f>VALUE(LEFT(A179,LEN(A179)-3))</f>
        <v>816</v>
      </c>
      <c r="AE179" s="77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s3://rtdc.mdm.uploadarchive.raw/RTDC4059/ "%USERPROFILE%\AppData\Local\Temp\OnboardLogs"\RTDC4059\2017-10-23 --exclude "*" --recursive --include "*20171023*" &amp; "%USERPROFILE%\Documents\GitHub\mrs-test-scripts\Headless Mode &amp; Sideloading\WalkAndUnGZ.bat" "%USERPROFILE%\AppData\Local\Temp\OnboardLogs"\RTDC4059\2017-10-23 &amp; aws s3 cp s3://rtdc.mdm.uploadarchive.raw/RTDC4059/ "%USERPROFILE%\AppData\Local\Temp\OnboardLogs"\RTDC4059\2017-10-24 --exclude "*" --recursive --include "*20171024*" &amp; "%USERPROFILE%\Documents\GitHub\mrs-test-scripts\Headless Mode &amp; Sideloading\WalkAndUnGZ.bat" "%USERPROFILE%\AppData\Local\Temp\OnboardLogs"\RTDC4059\2017-10-24</v>
      </c>
      <c r="AF179" s="74" t="str">
        <f>astrogrep_path&amp;" /e /r /s /spath="&amp;search_path&amp;" /stypes=""app*"&amp;B179&amp;"*"&amp;TEXT(I179-utc_offset/24,"YYYYMMDD")&amp;"*"" /stext="" "&amp;TEXT(I179-utc_offset/24,"HH")&amp;search_regexp&amp;""""</f>
        <v>"C:\Program Files (x86)\AstroGrep\AstroGrep.exe" /e /r /s /spath="%USERPROFILE%\AppData\Local\Temp\OnboardLogs" /stypes="app*4059*20171023*" /stext=" 16:.+((SYSTEM_STATE.+slice.+state.+changed )|(ment ac)|(multiple cpu faults)|(system.+state.+changed )|(\[timeout)|(PRM\|1\|D)|(kpr)|(kdp)|(train st.+moving)|(\|lc)|(penalty))"</v>
      </c>
      <c r="AG179" s="182" t="str">
        <f>DetSubdiv(A179)</f>
        <v>NW</v>
      </c>
      <c r="AH179" s="78" t="str">
        <f t="shared" si="26"/>
        <v>"%USERPROFILE%\Documents\GitHub\eaglep3\Utilities\RefineRTDCRunTimes.py" --tripid 816-23 --locoid 4059 --swversion DE.1.0.9.0 --startMP 300:57244 --initTime 2017-10-23T10:27:26 --startdatetime 2017-10-23T10:43:16 --delay 59 --endMP 204:694 --enddatetime 2017-10-23T10:55:46 --enforcementcount 0 &gt;&gt;%USERPROFILE%\Documents\GitHub\eaglep3-reporting\EC\2017-10-23-refined-times.txt</v>
      </c>
      <c r="AI179" s="96" t="str">
        <f t="shared" si="27"/>
        <v>echo {"issue":{"subject":"","project_id":79,"tracker_id":40,"status_id":1,"priority_id":2,"assigned_to_id":338,"start_date":"2017-10-23","description":"","custom_fields":[{"id":1,"name":"Subdivision","value":"NW"},{"id":4,"name":"Milepost","value":"0.0694"},{"id":17,"name":"Train ID","value":"816-23"},{"id":16,"name":"Locomotive ID","value":"4059"},{"id":130,"name":"Impact","value":""},{"id":150,"name":"Time of Event (Mountain Time)","value":"10:55:46"},{"id":151,"name":"Denver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9" s="47"/>
      <c r="AL179" s="47"/>
      <c r="AM179" s="142" t="str">
        <f t="shared" si="28"/>
        <v>start /low /b %USERPROFILE%\Documents\GitHub\eaglep3\Utilities\DownloadLogsFromS3.py --loco 4059 --day 2017-10-23</v>
      </c>
      <c r="AN179" s="151" t="str">
        <f t="shared" si="29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16:55:46"},{"id":29,"name":"Sharepoint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168" t="str">
        <f t="shared" si="30"/>
        <v>https://d0f6bd738d7f1b3e5a7ca70fe4ff75f0.us-east-1.aws.found.io/app/kibana#/discover/Steve-Slow-Train-Analysis-(2080s-and-2083s)?_g=(refreshInterval:(display:Off,pause:!f,section:0,value:0),time:(from:'2017-10-23T09:27:26-0600',mode:absolute,to:'2017-10-23T11:55:46-0600'))&amp;_a=(columns:!('Message%20ID',Summary),filters:!(),index:'emp_*',interval:auto,query:(query_string:(analyze_wildcard:!t,query:'%22rtdc.l.rtdc.4059%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3">
      <c r="A180" s="32" t="s">
        <v>772</v>
      </c>
      <c r="B180" s="7">
        <v>4060</v>
      </c>
      <c r="C180" s="21" t="s">
        <v>194</v>
      </c>
      <c r="D180" s="21" t="s">
        <v>993</v>
      </c>
      <c r="E180" s="13">
        <v>43031.456331018519</v>
      </c>
      <c r="F180" s="13">
        <v>43031.464756944442</v>
      </c>
      <c r="G180" s="7">
        <v>50</v>
      </c>
      <c r="H180" s="21" t="s">
        <v>1011</v>
      </c>
      <c r="I180" s="13">
        <v>43031.473912037036</v>
      </c>
      <c r="J180" s="7">
        <v>0</v>
      </c>
      <c r="K180" s="89" t="str">
        <f>IF(ISEVEN(B180),(B180-1)&amp;"/"&amp;B180,B180&amp;"/"&amp;(B180+1))</f>
        <v>4059/4060</v>
      </c>
      <c r="L180" s="185" t="str">
        <f>VLOOKUP(A180,'Trips&amp;Operators'!$C$1:$G$99911,5,FALSE)</f>
        <v>YANAI IAN</v>
      </c>
      <c r="M180" s="6">
        <f>I180-F180</f>
        <v>9.1550925935734995E-3</v>
      </c>
      <c r="N180" s="7">
        <f>24*60*SUM($M180:$M180)</f>
        <v>13.183333334745839</v>
      </c>
      <c r="O180" s="7"/>
      <c r="P180" s="7"/>
      <c r="Q180" s="22"/>
      <c r="R180" s="174"/>
      <c r="S180" s="221">
        <f>1/IF(AG180="EC",12,1)*SUM(U180:U180)</f>
        <v>1</v>
      </c>
      <c r="T180" s="174" t="str">
        <f>IF(ISEVEN(LEFT(AD180,4)),"Southbound","NorthBound")</f>
        <v>NorthBound</v>
      </c>
      <c r="U180" s="198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16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2017-10-23T09:57:07-0600',mode:absolute,to:'2017-10-23T12:22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80" s="204" t="str">
        <f>IF(AA180&lt;VLOOKUP(AG180,Variables!$AC$3:$AD$8,2,FALSE),"Y","N")</f>
        <v>N</v>
      </c>
      <c r="X180" s="204">
        <f>VALUE(LEFT(AD180,4))-VALUE(LEFT(AD179,4))</f>
        <v>1</v>
      </c>
      <c r="Y180" s="204">
        <f>RIGHT(D180,LEN(D180)-4)/10000</f>
        <v>9.9000000000000005E-2</v>
      </c>
      <c r="Z180" s="204">
        <f>RIGHT(H180,LEN(H180)-4)/10000</f>
        <v>5.8925999999999998</v>
      </c>
      <c r="AA180" s="204">
        <f>ABS(Z180-Y180)</f>
        <v>5.7935999999999996</v>
      </c>
      <c r="AB180" s="54" t="e">
        <f>VLOOKUP(A180,Enforcements!$C$7:$K$11,8,0)</f>
        <v>#N/A</v>
      </c>
      <c r="AC180" s="51" t="e">
        <f>VLOOKUP(A180,Enforcements!$C$7:$E$11,3,0)</f>
        <v>#N/A</v>
      </c>
      <c r="AD180" s="179">
        <f>VALUE(LEFT(A180,LEN(A180)-3))</f>
        <v>817</v>
      </c>
      <c r="AE180" s="77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s3://rtdc.mdm.uploadarchive.raw/RTDC4060/ "%USERPROFILE%\AppData\Local\Temp\OnboardLogs"\RTDC4060\2017-10-23 --exclude "*" --recursive --include "*20171023*" &amp; "%USERPROFILE%\Documents\GitHub\mrs-test-scripts\Headless Mode &amp; Sideloading\WalkAndUnGZ.bat" "%USERPROFILE%\AppData\Local\Temp\OnboardLogs"\RTDC4060\2017-10-23 &amp; aws s3 cp s3://rtdc.mdm.uploadarchive.raw/RTDC4060/ "%USERPROFILE%\AppData\Local\Temp\OnboardLogs"\RTDC4060\2017-10-24 --exclude "*" --recursive --include "*20171024*" &amp; "%USERPROFILE%\Documents\GitHub\mrs-test-scripts\Headless Mode &amp; Sideloading\WalkAndUnGZ.bat" "%USERPROFILE%\AppData\Local\Temp\OnboardLogs"\RTDC4060\2017-10-24</v>
      </c>
      <c r="AF180" s="74" t="str">
        <f>astrogrep_path&amp;" /e /r /s /spath="&amp;search_path&amp;" /stypes=""app*"&amp;B180&amp;"*"&amp;TEXT(I180-utc_offset/24,"YYYYMMDD")&amp;"*"" /stext="" "&amp;TEXT(I180-utc_offset/24,"HH")&amp;search_regexp&amp;""""</f>
        <v>"C:\Program Files (x86)\AstroGrep\AstroGrep.exe" /e /r /s /spath="%USERPROFILE%\AppData\Local\Temp\OnboardLogs" /stypes="app*4060*20171023*" /stext=" 17:.+((SYSTEM_STATE.+slice.+state.+changed )|(ment ac)|(multiple cpu faults)|(system.+state.+changed )|(\[timeout)|(PRM\|1\|D)|(kpr)|(kdp)|(train st.+moving)|(\|lc)|(penalty))"</v>
      </c>
      <c r="AG180" s="182" t="str">
        <f>DetSubdiv(A180)</f>
        <v>NW</v>
      </c>
      <c r="AH180" s="78" t="str">
        <f t="shared" si="26"/>
        <v>"%USERPROFILE%\Documents\GitHub\eaglep3\Utilities\RefineRTDCRunTimes.py" --tripid 817-23 --locoid 4060 --swversion DE.1.0.9.0 --startMP 204:990 --initTime 2017-10-23T10:57:07 --startdatetime 2017-10-23T11:09:15 --delay 50 --endMP 300:58926 --enddatetime 2017-10-23T11:22:26 --enforcementcount 0 &gt;&gt;%USERPROFILE%\Documents\GitHub\eaglep3-reporting\EC\2017-10-23-refined-times.txt</v>
      </c>
      <c r="AI180" s="96" t="str">
        <f t="shared" si="27"/>
        <v>echo {"issue":{"subject":"","project_id":79,"tracker_id":40,"status_id":1,"priority_id":2,"assigned_to_id":338,"start_date":"2017-10-23","description":"","custom_fields":[{"id":1,"name":"Subdivision","value":"NW"},{"id":4,"name":"Milepost","value":"5.8926"},{"id":17,"name":"Train ID","value":"817-23"},{"id":16,"name":"Locomotive ID","value":"4060"},{"id":130,"name":"Impact","value":""},{"id":150,"name":"Time of Event (Mountain Time)","value":"11:22:26"},{"id":151,"name":"Denver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0" s="47"/>
      <c r="AL180" s="47"/>
      <c r="AM180" s="142" t="str">
        <f t="shared" si="28"/>
        <v>start /low /b %USERPROFILE%\Documents\GitHub\eaglep3\Utilities\DownloadLogsFromS3.py --loco 4060 --day 2017-10-23</v>
      </c>
      <c r="AN180" s="151" t="str">
        <f t="shared" si="29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17:22:26"},{"id":29,"name":"Sharepoint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168" t="str">
        <f t="shared" si="30"/>
        <v>https://d0f6bd738d7f1b3e5a7ca70fe4ff75f0.us-east-1.aws.found.io/app/kibana#/discover/Steve-Slow-Train-Analysis-(2080s-and-2083s)?_g=(refreshInterval:(display:Off,pause:!f,section:0,value:0),time:(from:'2017-10-23T09:57:07-0600',mode:absolute,to:'2017-10-23T12:22:26-0600'))&amp;_a=(columns:!('Message%20ID',Summary),filters:!(),index:'emp_*',interval:auto,query:(query_string:(analyze_wildcard:!t,query:'%22rtdc.l.rtdc.4060%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3">
      <c r="A181" s="32" t="s">
        <v>777</v>
      </c>
      <c r="B181" s="7">
        <v>4059</v>
      </c>
      <c r="C181" s="21" t="s">
        <v>194</v>
      </c>
      <c r="D181" s="21" t="s">
        <v>1013</v>
      </c>
      <c r="E181" s="13">
        <v>43031.474756944444</v>
      </c>
      <c r="F181" s="13">
        <v>43031.487997685188</v>
      </c>
      <c r="G181" s="7">
        <v>52</v>
      </c>
      <c r="H181" s="21" t="s">
        <v>1005</v>
      </c>
      <c r="I181" s="13">
        <v>43031.496562499997</v>
      </c>
      <c r="J181" s="7">
        <v>0</v>
      </c>
      <c r="K181" s="89" t="str">
        <f>IF(ISEVEN(B181),(B181-1)&amp;"/"&amp;B181,B181&amp;"/"&amp;(B181+1))</f>
        <v>4059/4060</v>
      </c>
      <c r="L181" s="185" t="str">
        <f>VLOOKUP(A181,'Trips&amp;Operators'!$C$1:$G$99911,5,FALSE)</f>
        <v>YANAI IAN</v>
      </c>
      <c r="M181" s="6">
        <f>I181-F181</f>
        <v>8.5648148087784648E-3</v>
      </c>
      <c r="N181" s="7">
        <f>24*60*SUM($M181:$M181)</f>
        <v>12.333333324640989</v>
      </c>
      <c r="O181" s="7"/>
      <c r="P181" s="7"/>
      <c r="Q181" s="22"/>
      <c r="R181" s="174"/>
      <c r="S181" s="221">
        <f>1/IF(AG181="EC",12,1)*SUM(U181:U181)</f>
        <v>1</v>
      </c>
      <c r="T181" s="174" t="str">
        <f>IF(ISEVEN(LEFT(AD181,4)),"Southbound","NorthBound")</f>
        <v>Southbound</v>
      </c>
      <c r="U181" s="198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16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-10-23T10:23:39-0600',mode:absolute,to:'2017-10-23T12:55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81" s="204" t="str">
        <f>IF(AA181&lt;VLOOKUP(AG181,Variables!$AC$3:$AD$8,2,FALSE),"Y","N")</f>
        <v>N</v>
      </c>
      <c r="X181" s="204">
        <f>VALUE(LEFT(AD181,4))-VALUE(LEFT(AD180,4))</f>
        <v>1</v>
      </c>
      <c r="Y181" s="204">
        <f>RIGHT(D181,LEN(D181)-4)/10000</f>
        <v>5.8605999999999998</v>
      </c>
      <c r="Z181" s="204">
        <f>RIGHT(H181,LEN(H181)-4)/10000</f>
        <v>6.9400000000000003E-2</v>
      </c>
      <c r="AA181" s="204">
        <f>ABS(Z181-Y181)</f>
        <v>5.7911999999999999</v>
      </c>
      <c r="AB181" s="54" t="e">
        <f>VLOOKUP(A181,Enforcements!$C$7:$K$11,8,0)</f>
        <v>#N/A</v>
      </c>
      <c r="AC181" s="51" t="e">
        <f>VLOOKUP(A181,Enforcements!$C$7:$E$11,3,0)</f>
        <v>#N/A</v>
      </c>
      <c r="AD181" s="179">
        <f>VALUE(LEFT(A181,LEN(A181)-3))</f>
        <v>818</v>
      </c>
      <c r="AE181" s="77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s3://rtdc.mdm.uploadarchive.raw/RTDC4059/ "%USERPROFILE%\AppData\Local\Temp\OnboardLogs"\RTDC4059\2017-10-23 --exclude "*" --recursive --include "*20171023*" &amp; "%USERPROFILE%\Documents\GitHub\mrs-test-scripts\Headless Mode &amp; Sideloading\WalkAndUnGZ.bat" "%USERPROFILE%\AppData\Local\Temp\OnboardLogs"\RTDC4059\2017-10-23 &amp; aws s3 cp s3://rtdc.mdm.uploadarchive.raw/RTDC4059/ "%USERPROFILE%\AppData\Local\Temp\OnboardLogs"\RTDC4059\2017-10-24 --exclude "*" --recursive --include "*20171024*" &amp; "%USERPROFILE%\Documents\GitHub\mrs-test-scripts\Headless Mode &amp; Sideloading\WalkAndUnGZ.bat" "%USERPROFILE%\AppData\Local\Temp\OnboardLogs"\RTDC4059\2017-10-24</v>
      </c>
      <c r="AF181" s="74" t="str">
        <f>astrogrep_path&amp;" /e /r /s /spath="&amp;search_path&amp;" /stypes=""app*"&amp;B181&amp;"*"&amp;TEXT(I181-utc_offset/24,"YYYYMMDD")&amp;"*"" /stext="" "&amp;TEXT(I181-utc_offset/24,"HH")&amp;search_regexp&amp;""""</f>
        <v>"C:\Program Files (x86)\AstroGrep\AstroGrep.exe" /e /r /s /spath="%USERPROFILE%\AppData\Local\Temp\OnboardLogs" /stypes="app*4059*20171023*" /stext=" 17:.+((SYSTEM_STATE.+slice.+state.+changed )|(ment ac)|(multiple cpu faults)|(system.+state.+changed )|(\[timeout)|(PRM\|1\|D)|(kpr)|(kdp)|(train st.+moving)|(\|lc)|(penalty))"</v>
      </c>
      <c r="AG181" s="182" t="str">
        <f>DetSubdiv(A181)</f>
        <v>NW</v>
      </c>
      <c r="AH181" s="78" t="str">
        <f t="shared" si="26"/>
        <v>"%USERPROFILE%\Documents\GitHub\eaglep3\Utilities\RefineRTDCRunTimes.py" --tripid 818-23 --locoid 4059 --swversion DE.1.0.9.0 --startMP 300:58606 --initTime 2017-10-23T11:23:39 --startdatetime 2017-10-23T11:42:43 --delay 52 --endMP 204:694 --enddatetime 2017-10-23T11:55:03 --enforcementcount 0 &gt;&gt;%USERPROFILE%\Documents\GitHub\eaglep3-reporting\EC\2017-10-23-refined-times.txt</v>
      </c>
      <c r="AI181" s="96" t="str">
        <f t="shared" si="27"/>
        <v>echo {"issue":{"subject":"","project_id":79,"tracker_id":40,"status_id":1,"priority_id":2,"assigned_to_id":338,"start_date":"2017-10-23","description":"","custom_fields":[{"id":1,"name":"Subdivision","value":"NW"},{"id":4,"name":"Milepost","value":"0.0694"},{"id":17,"name":"Train ID","value":"818-23"},{"id":16,"name":"Locomotive ID","value":"4059"},{"id":130,"name":"Impact","value":""},{"id":150,"name":"Time of Event (Mountain Time)","value":"11:55:03"},{"id":151,"name":"Denver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1" s="47"/>
      <c r="AL181" s="47"/>
      <c r="AM181" s="142" t="str">
        <f t="shared" si="28"/>
        <v>start /low /b %USERPROFILE%\Documents\GitHub\eaglep3\Utilities\DownloadLogsFromS3.py --loco 4059 --day 2017-10-23</v>
      </c>
      <c r="AN181" s="151" t="str">
        <f t="shared" si="29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17:55:03"},{"id":29,"name":"Sharepoint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168" t="str">
        <f t="shared" si="30"/>
        <v>https://d0f6bd738d7f1b3e5a7ca70fe4ff75f0.us-east-1.aws.found.io/app/kibana#/discover/Steve-Slow-Train-Analysis-(2080s-and-2083s)?_g=(refreshInterval:(display:Off,pause:!f,section:0,value:0),time:(from:'2017-10-23T10:23:39-0600',mode:absolute,to:'2017-10-23T12:55:03-0600'))&amp;_a=(columns:!('Message%20ID',Summary),filters:!(),index:'emp_*',interval:auto,query:(query_string:(analyze_wildcard:!t,query:'%22rtdc.l.rtdc.4059%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3">
      <c r="A182" s="32" t="s">
        <v>781</v>
      </c>
      <c r="B182" s="7">
        <v>4060</v>
      </c>
      <c r="C182" s="21" t="s">
        <v>194</v>
      </c>
      <c r="D182" s="21" t="s">
        <v>1014</v>
      </c>
      <c r="E182" s="13">
        <v>43031.497430555559</v>
      </c>
      <c r="F182" s="13">
        <v>43031.50640046296</v>
      </c>
      <c r="G182" s="7">
        <v>45</v>
      </c>
      <c r="H182" s="21" t="s">
        <v>624</v>
      </c>
      <c r="I182" s="13">
        <v>43031.515393518515</v>
      </c>
      <c r="J182" s="7">
        <v>0</v>
      </c>
      <c r="K182" s="89" t="str">
        <f>IF(ISEVEN(B182),(B182-1)&amp;"/"&amp;B182,B182&amp;"/"&amp;(B182+1))</f>
        <v>4059/4060</v>
      </c>
      <c r="L182" s="185" t="str">
        <f>VLOOKUP(A182,'Trips&amp;Operators'!$C$1:$G$99911,5,FALSE)</f>
        <v>YANAI IAN</v>
      </c>
      <c r="M182" s="6">
        <f>I182-F182</f>
        <v>8.9930555550381541E-3</v>
      </c>
      <c r="N182" s="7">
        <f>24*60*SUM($M182:$M182)</f>
        <v>12.949999999254942</v>
      </c>
      <c r="O182" s="7"/>
      <c r="P182" s="7"/>
      <c r="Q182" s="22"/>
      <c r="R182" s="174"/>
      <c r="S182" s="221">
        <f>1/IF(AG182="EC",12,1)*SUM(U182:U182)</f>
        <v>1</v>
      </c>
      <c r="T182" s="174" t="str">
        <f>IF(ISEVEN(LEFT(AD182,4)),"Southbound","NorthBound")</f>
        <v>NorthBound</v>
      </c>
      <c r="U182" s="198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16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-10-23T10:56:18-0600',mode:absolute,to:'2017-10-23T13:22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82" s="204" t="str">
        <f>IF(AA182&lt;VLOOKUP(AG182,Variables!$AC$3:$AD$8,2,FALSE),"Y","N")</f>
        <v>N</v>
      </c>
      <c r="X182" s="204">
        <f>VALUE(LEFT(AD182,4))-VALUE(LEFT(AD181,4))</f>
        <v>1</v>
      </c>
      <c r="Y182" s="204">
        <f>RIGHT(D182,LEN(D182)-4)/10000</f>
        <v>9.5699999999999993E-2</v>
      </c>
      <c r="Z182" s="204">
        <f>RIGHT(H182,LEN(H182)-4)/10000</f>
        <v>5.8933</v>
      </c>
      <c r="AA182" s="204">
        <f>ABS(Z182-Y182)</f>
        <v>5.7976000000000001</v>
      </c>
      <c r="AB182" s="54" t="e">
        <f>VLOOKUP(A182,Enforcements!$C$7:$K$11,8,0)</f>
        <v>#N/A</v>
      </c>
      <c r="AC182" s="51" t="e">
        <f>VLOOKUP(A182,Enforcements!$C$7:$E$11,3,0)</f>
        <v>#N/A</v>
      </c>
      <c r="AD182" s="179">
        <f>VALUE(LEFT(A182,LEN(A182)-3))</f>
        <v>819</v>
      </c>
      <c r="AE182" s="77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s3://rtdc.mdm.uploadarchive.raw/RTDC4060/ "%USERPROFILE%\AppData\Local\Temp\OnboardLogs"\RTDC4060\2017-10-23 --exclude "*" --recursive --include "*20171023*" &amp; "%USERPROFILE%\Documents\GitHub\mrs-test-scripts\Headless Mode &amp; Sideloading\WalkAndUnGZ.bat" "%USERPROFILE%\AppData\Local\Temp\OnboardLogs"\RTDC4060\2017-10-23 &amp; aws s3 cp s3://rtdc.mdm.uploadarchive.raw/RTDC4060/ "%USERPROFILE%\AppData\Local\Temp\OnboardLogs"\RTDC4060\2017-10-24 --exclude "*" --recursive --include "*20171024*" &amp; "%USERPROFILE%\Documents\GitHub\mrs-test-scripts\Headless Mode &amp; Sideloading\WalkAndUnGZ.bat" "%USERPROFILE%\AppData\Local\Temp\OnboardLogs"\RTDC4060\2017-10-24</v>
      </c>
      <c r="AF182" s="74" t="str">
        <f>astrogrep_path&amp;" /e /r /s /spath="&amp;search_path&amp;" /stypes=""app*"&amp;B182&amp;"*"&amp;TEXT(I182-utc_offset/24,"YYYYMMDD")&amp;"*"" /stext="" "&amp;TEXT(I182-utc_offset/24,"HH")&amp;search_regexp&amp;""""</f>
        <v>"C:\Program Files (x86)\AstroGrep\AstroGrep.exe" /e /r /s /spath="%USERPROFILE%\AppData\Local\Temp\OnboardLogs" /stypes="app*4060*20171023*" /stext=" 18:.+((SYSTEM_STATE.+slice.+state.+changed )|(ment ac)|(multiple cpu faults)|(system.+state.+changed )|(\[timeout)|(PRM\|1\|D)|(kpr)|(kdp)|(train st.+moving)|(\|lc)|(penalty))"</v>
      </c>
      <c r="AG182" s="182" t="str">
        <f>DetSubdiv(A182)</f>
        <v>NW</v>
      </c>
      <c r="AH182" s="78" t="str">
        <f t="shared" si="26"/>
        <v>"%USERPROFILE%\Documents\GitHub\eaglep3\Utilities\RefineRTDCRunTimes.py" --tripid 819-23 --locoid 4060 --swversion DE.1.0.9.0 --startMP 204:957 --initTime 2017-10-23T11:56:18 --startdatetime 2017-10-23T12:09:13 --delay 45 --endMP 300:58933 --enddatetime 2017-10-23T12:22:10 --enforcementcount 0 &gt;&gt;%USERPROFILE%\Documents\GitHub\eaglep3-reporting\EC\2017-10-23-refined-times.txt</v>
      </c>
      <c r="AI182" s="96" t="str">
        <f t="shared" si="27"/>
        <v>echo {"issue":{"subject":"","project_id":79,"tracker_id":40,"status_id":1,"priority_id":2,"assigned_to_id":338,"start_date":"2017-10-23","description":"","custom_fields":[{"id":1,"name":"Subdivision","value":"NW"},{"id":4,"name":"Milepost","value":"5.8933"},{"id":17,"name":"Train ID","value":"819-23"},{"id":16,"name":"Locomotive ID","value":"4060"},{"id":130,"name":"Impact","value":""},{"id":150,"name":"Time of Event (Mountain Time)","value":"12:22:10"},{"id":151,"name":"Denver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2" s="47"/>
      <c r="AL182" s="47"/>
      <c r="AM182" s="142" t="str">
        <f t="shared" si="28"/>
        <v>start /low /b %USERPROFILE%\Documents\GitHub\eaglep3\Utilities\DownloadLogsFromS3.py --loco 4060 --day 2017-10-23</v>
      </c>
      <c r="AN182" s="151" t="str">
        <f t="shared" si="29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18:22:10"},{"id":29,"name":"Sharepoint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168" t="str">
        <f t="shared" si="30"/>
        <v>https://d0f6bd738d7f1b3e5a7ca70fe4ff75f0.us-east-1.aws.found.io/app/kibana#/discover/Steve-Slow-Train-Analysis-(2080s-and-2083s)?_g=(refreshInterval:(display:Off,pause:!f,section:0,value:0),time:(from:'2017-10-23T10:56:18-0600',mode:absolute,to:'2017-10-23T13:22:10-0600'))&amp;_a=(columns:!('Message%20ID',Summary),filters:!(),index:'emp_*',interval:auto,query:(query_string:(analyze_wildcard:!t,query:'%22rtdc.l.rtdc.4060%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3">
      <c r="A183" s="32" t="s">
        <v>786</v>
      </c>
      <c r="B183" s="7">
        <v>4059</v>
      </c>
      <c r="C183" s="21" t="s">
        <v>194</v>
      </c>
      <c r="D183" s="21" t="s">
        <v>466</v>
      </c>
      <c r="E183" s="13">
        <v>43031.516562500001</v>
      </c>
      <c r="F183" s="13">
        <v>43031.529432870368</v>
      </c>
      <c r="G183" s="7">
        <v>45</v>
      </c>
      <c r="H183" s="21" t="s">
        <v>1015</v>
      </c>
      <c r="I183" s="13">
        <v>43031.538159722222</v>
      </c>
      <c r="J183" s="7">
        <v>0</v>
      </c>
      <c r="K183" s="89" t="str">
        <f>IF(ISEVEN(B183),(B183-1)&amp;"/"&amp;B183,B183&amp;"/"&amp;(B183+1))</f>
        <v>4059/4060</v>
      </c>
      <c r="L183" s="185" t="str">
        <f>VLOOKUP(A183,'Trips&amp;Operators'!$C$1:$G$99911,5,FALSE)</f>
        <v>YANAI IAN</v>
      </c>
      <c r="M183" s="6">
        <f>I183-F183</f>
        <v>8.7268518545897678E-3</v>
      </c>
      <c r="N183" s="7">
        <f>24*60*SUM($M183:$M183)</f>
        <v>12.566666670609266</v>
      </c>
      <c r="O183" s="7"/>
      <c r="P183" s="7"/>
      <c r="Q183" s="22"/>
      <c r="R183" s="174"/>
      <c r="S183" s="221">
        <f>1/IF(AG183="EC",12,1)*SUM(U183:U183)</f>
        <v>1</v>
      </c>
      <c r="T183" s="174" t="str">
        <f>IF(ISEVEN(LEFT(AD183,4)),"Southbound","NorthBound")</f>
        <v>Southbound</v>
      </c>
      <c r="U183" s="198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16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2017-10-23T11:23:51-0600',mode:absolute,to:'2017-10-23T13:54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83" s="204" t="str">
        <f>IF(AA183&lt;VLOOKUP(AG183,Variables!$AC$3:$AD$8,2,FALSE),"Y","N")</f>
        <v>N</v>
      </c>
      <c r="X183" s="204">
        <f>VALUE(LEFT(AD183,4))-VALUE(LEFT(AD182,4))</f>
        <v>1</v>
      </c>
      <c r="Y183" s="204">
        <f>RIGHT(D183,LEN(D183)-4)/10000</f>
        <v>5.8615000000000004</v>
      </c>
      <c r="Z183" s="204">
        <f>RIGHT(H183,LEN(H183)-4)/10000</f>
        <v>6.8500000000000005E-2</v>
      </c>
      <c r="AA183" s="204">
        <f>ABS(Z183-Y183)</f>
        <v>5.7930000000000001</v>
      </c>
      <c r="AB183" s="54" t="e">
        <f>VLOOKUP(A183,Enforcements!$C$7:$K$11,8,0)</f>
        <v>#N/A</v>
      </c>
      <c r="AC183" s="51" t="e">
        <f>VLOOKUP(A183,Enforcements!$C$7:$E$11,3,0)</f>
        <v>#N/A</v>
      </c>
      <c r="AD183" s="179">
        <f>VALUE(LEFT(A183,LEN(A183)-3))</f>
        <v>820</v>
      </c>
      <c r="AE183" s="77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s3://rtdc.mdm.uploadarchive.raw/RTDC4059/ "%USERPROFILE%\AppData\Local\Temp\OnboardLogs"\RTDC4059\2017-10-23 --exclude "*" --recursive --include "*20171023*" &amp; "%USERPROFILE%\Documents\GitHub\mrs-test-scripts\Headless Mode &amp; Sideloading\WalkAndUnGZ.bat" "%USERPROFILE%\AppData\Local\Temp\OnboardLogs"\RTDC4059\2017-10-23 &amp; aws s3 cp s3://rtdc.mdm.uploadarchive.raw/RTDC4059/ "%USERPROFILE%\AppData\Local\Temp\OnboardLogs"\RTDC4059\2017-10-24 --exclude "*" --recursive --include "*20171024*" &amp; "%USERPROFILE%\Documents\GitHub\mrs-test-scripts\Headless Mode &amp; Sideloading\WalkAndUnGZ.bat" "%USERPROFILE%\AppData\Local\Temp\OnboardLogs"\RTDC4059\2017-10-24</v>
      </c>
      <c r="AF183" s="74" t="str">
        <f>astrogrep_path&amp;" /e /r /s /spath="&amp;search_path&amp;" /stypes=""app*"&amp;B183&amp;"*"&amp;TEXT(I183-utc_offset/24,"YYYYMMDD")&amp;"*"" /stext="" "&amp;TEXT(I183-utc_offset/24,"HH")&amp;search_regexp&amp;""""</f>
        <v>"C:\Program Files (x86)\AstroGrep\AstroGrep.exe" /e /r /s /spath="%USERPROFILE%\AppData\Local\Temp\OnboardLogs" /stypes="app*4059*20171023*" /stext=" 18:.+((SYSTEM_STATE.+slice.+state.+changed )|(ment ac)|(multiple cpu faults)|(system.+state.+changed )|(\[timeout)|(PRM\|1\|D)|(kpr)|(kdp)|(train st.+moving)|(\|lc)|(penalty))"</v>
      </c>
      <c r="AG183" s="182" t="str">
        <f>DetSubdiv(A183)</f>
        <v>NW</v>
      </c>
      <c r="AH183" s="78" t="str">
        <f t="shared" si="26"/>
        <v>"%USERPROFILE%\Documents\GitHub\eaglep3\Utilities\RefineRTDCRunTimes.py" --tripid 820-23 --locoid 4059 --swversion DE.1.0.9.0 --startMP 300:58615 --initTime 2017-10-23T12:23:51 --startdatetime 2017-10-23T12:42:23 --delay 45 --endMP 204:685 --enddatetime 2017-10-23T12:54:57 --enforcementcount 0 &gt;&gt;%USERPROFILE%\Documents\GitHub\eaglep3-reporting\EC\2017-10-23-refined-times.txt</v>
      </c>
      <c r="AI183" s="96" t="str">
        <f t="shared" si="27"/>
        <v>echo {"issue":{"subject":"","project_id":79,"tracker_id":40,"status_id":1,"priority_id":2,"assigned_to_id":338,"start_date":"2017-10-23","description":"","custom_fields":[{"id":1,"name":"Subdivision","value":"NW"},{"id":4,"name":"Milepost","value":"0.0685"},{"id":17,"name":"Train ID","value":"820-23"},{"id":16,"name":"Locomotive ID","value":"4059"},{"id":130,"name":"Impact","value":""},{"id":150,"name":"Time of Event (Mountain Time)","value":"12:54:57"},{"id":151,"name":"Denver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3" s="47"/>
      <c r="AL183" s="47"/>
      <c r="AM183" s="142" t="str">
        <f t="shared" si="28"/>
        <v>start /low /b %USERPROFILE%\Documents\GitHub\eaglep3\Utilities\DownloadLogsFromS3.py --loco 4059 --day 2017-10-23</v>
      </c>
      <c r="AN183" s="151" t="str">
        <f t="shared" si="29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18:54:57"},{"id":29,"name":"Sharepoint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168" t="str">
        <f t="shared" si="30"/>
        <v>https://d0f6bd738d7f1b3e5a7ca70fe4ff75f0.us-east-1.aws.found.io/app/kibana#/discover/Steve-Slow-Train-Analysis-(2080s-and-2083s)?_g=(refreshInterval:(display:Off,pause:!f,section:0,value:0),time:(from:'2017-10-23T11:23:51-0600',mode:absolute,to:'2017-10-23T13:54:57-0600'))&amp;_a=(columns:!('Message%20ID',Summary),filters:!(),index:'emp_*',interval:auto,query:(query_string:(analyze_wildcard:!t,query:'%22rtdc.l.rtdc.4059%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3">
      <c r="A184" s="32" t="s">
        <v>658</v>
      </c>
      <c r="B184" s="7">
        <v>4060</v>
      </c>
      <c r="C184" s="21" t="s">
        <v>194</v>
      </c>
      <c r="D184" s="21" t="s">
        <v>1016</v>
      </c>
      <c r="E184" s="13">
        <v>43031.549467592595</v>
      </c>
      <c r="F184" s="13">
        <v>43031.550543981481</v>
      </c>
      <c r="G184" s="7">
        <v>39</v>
      </c>
      <c r="H184" s="21" t="s">
        <v>567</v>
      </c>
      <c r="I184" s="13">
        <v>43031.558958333335</v>
      </c>
      <c r="J184" s="7">
        <v>0</v>
      </c>
      <c r="K184" s="89" t="str">
        <f>IF(ISEVEN(B184),(B184-1)&amp;"/"&amp;B184,B184&amp;"/"&amp;(B184+1))</f>
        <v>4059/4060</v>
      </c>
      <c r="L184" s="185" t="str">
        <f>VLOOKUP(A184,'Trips&amp;Operators'!$C$1:$G$99911,5,FALSE)</f>
        <v>LEVIN SCOTT</v>
      </c>
      <c r="M184" s="6">
        <f>I184-F184</f>
        <v>8.4143518542987294E-3</v>
      </c>
      <c r="N184" s="7"/>
      <c r="O184" s="7"/>
      <c r="P184" s="7">
        <f>24*60*SUM($M184:$M184)</f>
        <v>12.11666667019017</v>
      </c>
      <c r="Q184" s="22"/>
      <c r="R184" s="174" t="s">
        <v>1081</v>
      </c>
      <c r="S184" s="221">
        <f>1/IF(AG184="EC",12,1)*SUM(U184:U184)</f>
        <v>1</v>
      </c>
      <c r="T184" s="174" t="str">
        <f>IF(ISEVEN(LEFT(AD184,4)),"Southbound","NorthBound")</f>
        <v>NorthBound</v>
      </c>
      <c r="U184" s="198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16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2017-10-23T12:11:14-0600',mode:absolute,to:'2017-10-23T14:24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84" s="204" t="str">
        <f>IF(AA184&lt;VLOOKUP(AG184,Variables!$AC$3:$AD$8,2,FALSE),"Y","N")</f>
        <v>Y</v>
      </c>
      <c r="X184" s="204">
        <f>VALUE(LEFT(AD184,4))-VALUE(LEFT(AD183,4))</f>
        <v>1</v>
      </c>
      <c r="Y184" s="204">
        <f>RIGHT(D184,LEN(D184)-4)/10000</f>
        <v>0.50439999999999996</v>
      </c>
      <c r="Z184" s="204">
        <f>RIGHT(H184,LEN(H184)-4)/10000</f>
        <v>5.8935000000000004</v>
      </c>
      <c r="AA184" s="204">
        <f>ABS(Z184-Y184)</f>
        <v>5.3891000000000009</v>
      </c>
      <c r="AB184" s="54" t="e">
        <f>VLOOKUP(A184,Enforcements!$C$7:$K$11,8,0)</f>
        <v>#N/A</v>
      </c>
      <c r="AC184" s="51" t="e">
        <f>VLOOKUP(A184,Enforcements!$C$7:$E$11,3,0)</f>
        <v>#N/A</v>
      </c>
      <c r="AD184" s="179">
        <f>VALUE(LEFT(A184,LEN(A184)-3))</f>
        <v>821</v>
      </c>
      <c r="AE184" s="77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s3://rtdc.mdm.uploadarchive.raw/RTDC4060/ "%USERPROFILE%\AppData\Local\Temp\OnboardLogs"\RTDC4060\2017-10-23 --exclude "*" --recursive --include "*20171023*" &amp; "%USERPROFILE%\Documents\GitHub\mrs-test-scripts\Headless Mode &amp; Sideloading\WalkAndUnGZ.bat" "%USERPROFILE%\AppData\Local\Temp\OnboardLogs"\RTDC4060\2017-10-23 &amp; aws s3 cp s3://rtdc.mdm.uploadarchive.raw/RTDC4060/ "%USERPROFILE%\AppData\Local\Temp\OnboardLogs"\RTDC4060\2017-10-24 --exclude "*" --recursive --include "*20171024*" &amp; "%USERPROFILE%\Documents\GitHub\mrs-test-scripts\Headless Mode &amp; Sideloading\WalkAndUnGZ.bat" "%USERPROFILE%\AppData\Local\Temp\OnboardLogs"\RTDC4060\2017-10-24</v>
      </c>
      <c r="AF184" s="74" t="str">
        <f>astrogrep_path&amp;" /e /r /s /spath="&amp;search_path&amp;" /stypes=""app*"&amp;B184&amp;"*"&amp;TEXT(I184-utc_offset/24,"YYYYMMDD")&amp;"*"" /stext="" "&amp;TEXT(I184-utc_offset/24,"HH")&amp;search_regexp&amp;""""</f>
        <v>"C:\Program Files (x86)\AstroGrep\AstroGrep.exe" /e /r /s /spath="%USERPROFILE%\AppData\Local\Temp\OnboardLogs" /stypes="app*4060*20171023*" /stext=" 19:.+((SYSTEM_STATE.+slice.+state.+changed )|(ment ac)|(multiple cpu faults)|(system.+state.+changed )|(\[timeout)|(PRM\|1\|D)|(kpr)|(kdp)|(train st.+moving)|(\|lc)|(penalty))"</v>
      </c>
      <c r="AG184" s="182" t="str">
        <f>DetSubdiv(A184)</f>
        <v>NW</v>
      </c>
      <c r="AH184" s="78" t="str">
        <f t="shared" si="26"/>
        <v>"%USERPROFILE%\Documents\GitHub\eaglep3\Utilities\RefineRTDCRunTimes.py" --tripid 821-23 --locoid 4060 --swversion DE.1.0.9.0 --startMP 300:5044 --initTime 2017-10-23T13:11:14 --startdatetime 2017-10-23T13:12:47 --delay 39 --endMP 300:58935 --enddatetime 2017-10-23T13:24:54 --enforcementcount 0 &gt;&gt;%USERPROFILE%\Documents\GitHub\eaglep3-reporting\EC\2017-10-23-refined-times.txt</v>
      </c>
      <c r="AI184" s="96" t="str">
        <f t="shared" si="27"/>
        <v>echo {"issue":{"subject":"Poor GPS at DUS","project_id":79,"tracker_id":40,"status_id":1,"priority_id":2,"assigned_to_id":338,"start_date":"2017-10-23","description":"","custom_fields":[{"id":1,"name":"Subdivision","value":"NW"},{"id":4,"name":"Milepost","value":"5.8935"},{"id":17,"name":"Train ID","value":"821-23"},{"id":16,"name":"Locomotive ID","value":"4060"},{"id":130,"name":"Impact","value":""},{"id":150,"name":"Time of Event (Mountain Time)","value":"13:24:54"},{"id":151,"name":"Denver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4" s="47"/>
      <c r="AL184" s="47"/>
      <c r="AM184" s="142" t="str">
        <f t="shared" si="28"/>
        <v>start /low /b %USERPROFILE%\Documents\GitHub\eaglep3\Utilities\DownloadLogsFromS3.py --loco 4060 --day 2017-10-23</v>
      </c>
      <c r="AN184" s="151" t="str">
        <f t="shared" si="29"/>
        <v>echo {"issue":{"subject":"Poor GPS at DUS","project_id":30,"tracker_id":4,"status_id":1,"priority_id":1,"assigned_to_id":10,"start_date":"2017-10-23","description":"","custom_fields":[{"id":30,"name":"Category","value":"Issue"},{"id":3,"name":"Functional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19:24:54"},{"id":29,"name":"Sharepoint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168" t="str">
        <f t="shared" si="30"/>
        <v>https://d0f6bd738d7f1b3e5a7ca70fe4ff75f0.us-east-1.aws.found.io/app/kibana#/discover/Steve-Slow-Train-Analysis-(2080s-and-2083s)?_g=(refreshInterval:(display:Off,pause:!f,section:0,value:0),time:(from:'2017-10-23T12:11:14-0600',mode:absolute,to:'2017-10-23T14:24:54-0600'))&amp;_a=(columns:!('Message%20ID',Summary),filters:!(),index:'emp_*',interval:auto,query:(query_string:(analyze_wildcard:!t,query:'%22rtdc.l.rtdc.4060%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3">
      <c r="A185" s="32" t="s">
        <v>658</v>
      </c>
      <c r="B185" s="7">
        <v>4060</v>
      </c>
      <c r="C185" s="21" t="s">
        <v>194</v>
      </c>
      <c r="D185" s="21" t="s">
        <v>1007</v>
      </c>
      <c r="E185" s="13">
        <v>43031.541805555556</v>
      </c>
      <c r="F185" s="13">
        <v>43031.550543981481</v>
      </c>
      <c r="G185" s="7">
        <v>79</v>
      </c>
      <c r="H185" s="21" t="s">
        <v>1017</v>
      </c>
      <c r="I185" s="13">
        <v>43031.558958333335</v>
      </c>
      <c r="J185" s="7">
        <v>0</v>
      </c>
      <c r="K185" s="89" t="str">
        <f>IF(ISEVEN(B185),(B185-1)&amp;"/"&amp;B185,B185&amp;"/"&amp;(B185+1))</f>
        <v>4059/4060</v>
      </c>
      <c r="L185" s="185" t="str">
        <f>VLOOKUP(A185,'Trips&amp;Operators'!$C$1:$G$99911,5,FALSE)</f>
        <v>LEVIN SCOTT</v>
      </c>
      <c r="M185" s="6">
        <f>I185-F185</f>
        <v>8.4143518542987294E-3</v>
      </c>
      <c r="N185" s="7"/>
      <c r="O185" s="7"/>
      <c r="P185" s="7"/>
      <c r="Q185" s="22"/>
      <c r="R185" s="174"/>
      <c r="S185" s="221"/>
      <c r="T185" s="174" t="str">
        <f>IF(ISEVEN(LEFT(AD185,4)),"Southbound","NorthBound")</f>
        <v>NorthBound</v>
      </c>
      <c r="U185" s="198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0</v>
      </c>
      <c r="V185" s="216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-10-23T12:00:12-0600',mode:absolute,to:'2017-10-23T14:24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85" s="204" t="str">
        <f>IF(AA185&lt;VLOOKUP(AG185,Variables!$AC$3:$AD$8,2,FALSE),"Y","N")</f>
        <v>Y</v>
      </c>
      <c r="X185" s="204">
        <f>VALUE(LEFT(AD185,4))-VALUE(LEFT(AD184,4))</f>
        <v>0</v>
      </c>
      <c r="Y185" s="204">
        <f>RIGHT(D185,LEN(D185)-4)/10000</f>
        <v>9.9699999999999997E-2</v>
      </c>
      <c r="Z185" s="204">
        <f>RIGHT(H185,LEN(H185)-4)/10000</f>
        <v>0.3382</v>
      </c>
      <c r="AA185" s="204">
        <f>ABS(Z185-Y185)</f>
        <v>0.23849999999999999</v>
      </c>
      <c r="AB185" s="54" t="e">
        <f>VLOOKUP(A185,Enforcements!$C$7:$K$11,8,0)</f>
        <v>#N/A</v>
      </c>
      <c r="AC185" s="51" t="e">
        <f>VLOOKUP(A185,Enforcements!$C$7:$E$11,3,0)</f>
        <v>#N/A</v>
      </c>
      <c r="AD185" s="179">
        <f>VALUE(LEFT(A185,LEN(A185)-3))</f>
        <v>821</v>
      </c>
      <c r="AE185" s="77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s3://rtdc.mdm.uploadarchive.raw/RTDC4060/ "%USERPROFILE%\AppData\Local\Temp\OnboardLogs"\RTDC4060\2017-10-23 --exclude "*" --recursive --include "*20171023*" &amp; "%USERPROFILE%\Documents\GitHub\mrs-test-scripts\Headless Mode &amp; Sideloading\WalkAndUnGZ.bat" "%USERPROFILE%\AppData\Local\Temp\OnboardLogs"\RTDC4060\2017-10-23 &amp; aws s3 cp s3://rtdc.mdm.uploadarchive.raw/RTDC4060/ "%USERPROFILE%\AppData\Local\Temp\OnboardLogs"\RTDC4060\2017-10-24 --exclude "*" --recursive --include "*20171024*" &amp; "%USERPROFILE%\Documents\GitHub\mrs-test-scripts\Headless Mode &amp; Sideloading\WalkAndUnGZ.bat" "%USERPROFILE%\AppData\Local\Temp\OnboardLogs"\RTDC4060\2017-10-24</v>
      </c>
      <c r="AF185" s="74" t="str">
        <f>astrogrep_path&amp;" /e /r /s /spath="&amp;search_path&amp;" /stypes=""app*"&amp;B185&amp;"*"&amp;TEXT(I185-utc_offset/24,"YYYYMMDD")&amp;"*"" /stext="" "&amp;TEXT(I185-utc_offset/24,"HH")&amp;search_regexp&amp;""""</f>
        <v>"C:\Program Files (x86)\AstroGrep\AstroGrep.exe" /e /r /s /spath="%USERPROFILE%\AppData\Local\Temp\OnboardLogs" /stypes="app*4060*20171023*" /stext=" 19:.+((SYSTEM_STATE.+slice.+state.+changed )|(ment ac)|(multiple cpu faults)|(system.+state.+changed )|(\[timeout)|(PRM\|1\|D)|(kpr)|(kdp)|(train st.+moving)|(\|lc)|(penalty))"</v>
      </c>
      <c r="AG185" s="182" t="str">
        <f>DetSubdiv(A185)</f>
        <v>NW</v>
      </c>
      <c r="AH185" s="78" t="str">
        <f t="shared" si="26"/>
        <v>"%USERPROFILE%\Documents\GitHub\eaglep3\Utilities\RefineRTDCRunTimes.py" --tripid 821-23 --locoid 4060 --swversion DE.1.0.9.0 --startMP 204:997 --initTime 2017-10-23T13:00:12 --startdatetime 2017-10-23T13:12:47 --delay 79 --endMP 204:3382 --enddatetime 2017-10-23T13:24:54 --enforcementcount 0 &gt;&gt;%USERPROFILE%\Documents\GitHub\eaglep3-reporting\EC\2017-10-23-refined-times.txt</v>
      </c>
      <c r="AI185" s="96" t="str">
        <f t="shared" si="27"/>
        <v>echo {"issue":{"subject":"","project_id":79,"tracker_id":40,"status_id":1,"priority_id":2,"assigned_to_id":338,"start_date":"2017-10-23","description":"","custom_fields":[{"id":1,"name":"Subdivision","value":"NW"},{"id":4,"name":"Milepost","value":"0.3382"},{"id":17,"name":"Train ID","value":"821-23"},{"id":16,"name":"Locomotive ID","value":"4060"},{"id":130,"name":"Impact","value":""},{"id":150,"name":"Time of Event (Mountain Time)","value":"13:24:54"},{"id":151,"name":"Denver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5" s="47"/>
      <c r="AL185" s="47"/>
      <c r="AM185" s="142" t="str">
        <f t="shared" si="28"/>
        <v>start /low /b %USERPROFILE%\Documents\GitHub\eaglep3\Utilities\DownloadLogsFromS3.py --loco 4060 --day 2017-10-23</v>
      </c>
      <c r="AN185" s="151" t="str">
        <f t="shared" si="29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19:24:54"},{"id":29,"name":"Sharepoint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168" t="str">
        <f t="shared" si="30"/>
        <v>https://d0f6bd738d7f1b3e5a7ca70fe4ff75f0.us-east-1.aws.found.io/app/kibana#/discover/Steve-Slow-Train-Analysis-(2080s-and-2083s)?_g=(refreshInterval:(display:Off,pause:!f,section:0,value:0),time:(from:'2017-10-23T12:00:12-0600',mode:absolute,to:'2017-10-23T14:24:54-0600'))&amp;_a=(columns:!('Message%20ID',Summary),filters:!(),index:'emp_*',interval:auto,query:(query_string:(analyze_wildcard:!t,query:'%22rtdc.l.rtdc.4060%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3">
      <c r="A186" s="32" t="s">
        <v>795</v>
      </c>
      <c r="B186" s="7">
        <v>4059</v>
      </c>
      <c r="C186" s="21" t="s">
        <v>194</v>
      </c>
      <c r="D186" s="21" t="s">
        <v>1018</v>
      </c>
      <c r="E186" s="13">
        <v>43031.559976851851</v>
      </c>
      <c r="F186" s="13">
        <v>43031.571631944447</v>
      </c>
      <c r="G186" s="7">
        <v>69</v>
      </c>
      <c r="H186" s="21" t="s">
        <v>1019</v>
      </c>
      <c r="I186" s="13">
        <v>43031.579965277779</v>
      </c>
      <c r="J186" s="7">
        <v>0</v>
      </c>
      <c r="K186" s="89" t="str">
        <f>IF(ISEVEN(B186),(B186-1)&amp;"/"&amp;B186,B186&amp;"/"&amp;(B186+1))</f>
        <v>4059/4060</v>
      </c>
      <c r="L186" s="185" t="str">
        <f>VLOOKUP(A186,'Trips&amp;Operators'!$C$1:$G$99911,5,FALSE)</f>
        <v>LEVIN SCOTT</v>
      </c>
      <c r="M186" s="6">
        <f>I186-F186</f>
        <v>8.333333331393078E-3</v>
      </c>
      <c r="N186" s="7">
        <f>24*60*SUM($M186:$M186)</f>
        <v>11.999999997206032</v>
      </c>
      <c r="O186" s="7"/>
      <c r="P186" s="7"/>
      <c r="Q186" s="22"/>
      <c r="R186" s="174"/>
      <c r="S186" s="221">
        <f>1/IF(AG186="EC",12,1)*SUM(U186:U186)</f>
        <v>1</v>
      </c>
      <c r="T186" s="174" t="str">
        <f>IF(ISEVEN(LEFT(AD186,4)),"Southbound","NorthBound")</f>
        <v>Southbound</v>
      </c>
      <c r="U186" s="198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16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-10-23T12:26:22-0600',mode:absolute,to:'2017-10-23T14:55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86" s="204" t="str">
        <f>IF(AA186&lt;VLOOKUP(AG186,Variables!$AC$3:$AD$8,2,FALSE),"Y","N")</f>
        <v>N</v>
      </c>
      <c r="X186" s="204">
        <f>VALUE(LEFT(AD186,4))-VALUE(LEFT(AD185,4))</f>
        <v>1</v>
      </c>
      <c r="Y186" s="204">
        <f>RIGHT(D186,LEN(D186)-4)/10000</f>
        <v>5.8619000000000003</v>
      </c>
      <c r="Z186" s="204">
        <f>RIGHT(H186,LEN(H186)-4)/10000</f>
        <v>6.6400000000000001E-2</v>
      </c>
      <c r="AA186" s="204">
        <f>ABS(Z186-Y186)</f>
        <v>5.7955000000000005</v>
      </c>
      <c r="AB186" s="54" t="e">
        <f>VLOOKUP(A186,Enforcements!$C$7:$K$11,8,0)</f>
        <v>#N/A</v>
      </c>
      <c r="AC186" s="51" t="e">
        <f>VLOOKUP(A186,Enforcements!$C$7:$E$11,3,0)</f>
        <v>#N/A</v>
      </c>
      <c r="AD186" s="179">
        <f>VALUE(LEFT(A186,LEN(A186)-3))</f>
        <v>822</v>
      </c>
      <c r="AE186" s="77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s3://rtdc.mdm.uploadarchive.raw/RTDC4059/ "%USERPROFILE%\AppData\Local\Temp\OnboardLogs"\RTDC4059\2017-10-23 --exclude "*" --recursive --include "*20171023*" &amp; "%USERPROFILE%\Documents\GitHub\mrs-test-scripts\Headless Mode &amp; Sideloading\WalkAndUnGZ.bat" "%USERPROFILE%\AppData\Local\Temp\OnboardLogs"\RTDC4059\2017-10-23 &amp; aws s3 cp s3://rtdc.mdm.uploadarchive.raw/RTDC4059/ "%USERPROFILE%\AppData\Local\Temp\OnboardLogs"\RTDC4059\2017-10-24 --exclude "*" --recursive --include "*20171024*" &amp; "%USERPROFILE%\Documents\GitHub\mrs-test-scripts\Headless Mode &amp; Sideloading\WalkAndUnGZ.bat" "%USERPROFILE%\AppData\Local\Temp\OnboardLogs"\RTDC4059\2017-10-24</v>
      </c>
      <c r="AF186" s="74" t="str">
        <f>astrogrep_path&amp;" /e /r /s /spath="&amp;search_path&amp;" /stypes=""app*"&amp;B186&amp;"*"&amp;TEXT(I186-utc_offset/24,"YYYYMMDD")&amp;"*"" /stext="" "&amp;TEXT(I186-utc_offset/24,"HH")&amp;search_regexp&amp;""""</f>
        <v>"C:\Program Files (x86)\AstroGrep\AstroGrep.exe" /e /r /s /spath="%USERPROFILE%\AppData\Local\Temp\OnboardLogs" /stypes="app*4059*20171023*" /stext=" 19:.+((SYSTEM_STATE.+slice.+state.+changed )|(ment ac)|(multiple cpu faults)|(system.+state.+changed )|(\[timeout)|(PRM\|1\|D)|(kpr)|(kdp)|(train st.+moving)|(\|lc)|(penalty))"</v>
      </c>
      <c r="AG186" s="182" t="str">
        <f>DetSubdiv(A186)</f>
        <v>NW</v>
      </c>
      <c r="AH186" s="78" t="str">
        <f t="shared" si="26"/>
        <v>"%USERPROFILE%\Documents\GitHub\eaglep3\Utilities\RefineRTDCRunTimes.py" --tripid 822-23 --locoid 4059 --swversion DE.1.0.9.0 --startMP 300:58619 --initTime 2017-10-23T13:26:22 --startdatetime 2017-10-23T13:43:09 --delay 69 --endMP 204:664 --enddatetime 2017-10-23T13:55:09 --enforcementcount 0 &gt;&gt;%USERPROFILE%\Documents\GitHub\eaglep3-reporting\EC\2017-10-23-refined-times.txt</v>
      </c>
      <c r="AI186" s="96" t="str">
        <f t="shared" si="27"/>
        <v>echo {"issue":{"subject":"","project_id":79,"tracker_id":40,"status_id":1,"priority_id":2,"assigned_to_id":338,"start_date":"2017-10-23","description":"","custom_fields":[{"id":1,"name":"Subdivision","value":"NW"},{"id":4,"name":"Milepost","value":"0.0664"},{"id":17,"name":"Train ID","value":"822-23"},{"id":16,"name":"Locomotive ID","value":"4059"},{"id":130,"name":"Impact","value":""},{"id":150,"name":"Time of Event (Mountain Time)","value":"13:55:09"},{"id":151,"name":"Denver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6" s="47"/>
      <c r="AL186" s="47"/>
      <c r="AM186" s="142" t="str">
        <f t="shared" si="28"/>
        <v>start /low /b %USERPROFILE%\Documents\GitHub\eaglep3\Utilities\DownloadLogsFromS3.py --loco 4059 --day 2017-10-23</v>
      </c>
      <c r="AN186" s="151" t="str">
        <f t="shared" si="29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19:55:09"},{"id":29,"name":"Sharepoint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168" t="str">
        <f t="shared" si="30"/>
        <v>https://d0f6bd738d7f1b3e5a7ca70fe4ff75f0.us-east-1.aws.found.io/app/kibana#/discover/Steve-Slow-Train-Analysis-(2080s-and-2083s)?_g=(refreshInterval:(display:Off,pause:!f,section:0,value:0),time:(from:'2017-10-23T12:26:22-0600',mode:absolute,to:'2017-10-23T14:55:09-0600'))&amp;_a=(columns:!('Message%20ID',Summary),filters:!(),index:'emp_*',interval:auto,query:(query_string:(analyze_wildcard:!t,query:'%22rtdc.l.rtdc.4059%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3">
      <c r="A187" s="32" t="s">
        <v>800</v>
      </c>
      <c r="B187" s="7">
        <v>4060</v>
      </c>
      <c r="C187" s="21" t="s">
        <v>194</v>
      </c>
      <c r="D187" s="21" t="s">
        <v>1020</v>
      </c>
      <c r="E187" s="13">
        <v>43031.582604166666</v>
      </c>
      <c r="F187" s="13">
        <v>43031.589756944442</v>
      </c>
      <c r="G187" s="7">
        <v>70</v>
      </c>
      <c r="H187" s="21" t="s">
        <v>1021</v>
      </c>
      <c r="I187" s="13">
        <v>43031.599583333336</v>
      </c>
      <c r="J187" s="7">
        <v>0</v>
      </c>
      <c r="K187" s="89" t="str">
        <f>IF(ISEVEN(B187),(B187-1)&amp;"/"&amp;B187,B187&amp;"/"&amp;(B187+1))</f>
        <v>4059/4060</v>
      </c>
      <c r="L187" s="185" t="str">
        <f>VLOOKUP(A187,'Trips&amp;Operators'!$C$1:$G$99911,5,FALSE)</f>
        <v>LEVIN SCOTT</v>
      </c>
      <c r="M187" s="6">
        <f>I187-F187</f>
        <v>9.826388893998228E-3</v>
      </c>
      <c r="N187" s="7">
        <f>24*60*SUM($M187:$M187)</f>
        <v>14.150000007357448</v>
      </c>
      <c r="O187" s="7"/>
      <c r="P187" s="7"/>
      <c r="Q187" s="22"/>
      <c r="R187" s="174"/>
      <c r="S187" s="221">
        <f>1/IF(AG187="EC",12,1)*SUM(U187:U187)</f>
        <v>1</v>
      </c>
      <c r="T187" s="174" t="str">
        <f>IF(ISEVEN(LEFT(AD187,4)),"Southbound","NorthBound")</f>
        <v>NorthBound</v>
      </c>
      <c r="U187" s="198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16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-10-23T12:58:57-0600',mode:absolute,to:'2017-10-23T15:23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87" s="204" t="str">
        <f>IF(AA187&lt;VLOOKUP(AG187,Variables!$AC$3:$AD$8,2,FALSE),"Y","N")</f>
        <v>N</v>
      </c>
      <c r="X187" s="204">
        <f>VALUE(LEFT(AD187,4))-VALUE(LEFT(AD186,4))</f>
        <v>1</v>
      </c>
      <c r="Y187" s="204">
        <f>RIGHT(D187,LEN(D187)-4)/10000</f>
        <v>9.6000000000000002E-2</v>
      </c>
      <c r="Z187" s="204">
        <f>RIGHT(H187,LEN(H187)-4)/10000</f>
        <v>5.8930999999999996</v>
      </c>
      <c r="AA187" s="204">
        <f>ABS(Z187-Y187)</f>
        <v>5.7970999999999995</v>
      </c>
      <c r="AB187" s="54" t="e">
        <f>VLOOKUP(A187,Enforcements!$C$7:$K$11,8,0)</f>
        <v>#N/A</v>
      </c>
      <c r="AC187" s="51" t="e">
        <f>VLOOKUP(A187,Enforcements!$C$7:$E$11,3,0)</f>
        <v>#N/A</v>
      </c>
      <c r="AD187" s="179">
        <f>VALUE(LEFT(A187,LEN(A187)-3))</f>
        <v>823</v>
      </c>
      <c r="AE187" s="77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s3://rtdc.mdm.uploadarchive.raw/RTDC4060/ "%USERPROFILE%\AppData\Local\Temp\OnboardLogs"\RTDC4060\2017-10-23 --exclude "*" --recursive --include "*20171023*" &amp; "%USERPROFILE%\Documents\GitHub\mrs-test-scripts\Headless Mode &amp; Sideloading\WalkAndUnGZ.bat" "%USERPROFILE%\AppData\Local\Temp\OnboardLogs"\RTDC4060\2017-10-23 &amp; aws s3 cp s3://rtdc.mdm.uploadarchive.raw/RTDC4060/ "%USERPROFILE%\AppData\Local\Temp\OnboardLogs"\RTDC4060\2017-10-24 --exclude "*" --recursive --include "*20171024*" &amp; "%USERPROFILE%\Documents\GitHub\mrs-test-scripts\Headless Mode &amp; Sideloading\WalkAndUnGZ.bat" "%USERPROFILE%\AppData\Local\Temp\OnboardLogs"\RTDC4060\2017-10-24</v>
      </c>
      <c r="AF187" s="74" t="str">
        <f>astrogrep_path&amp;" /e /r /s /spath="&amp;search_path&amp;" /stypes=""app*"&amp;B187&amp;"*"&amp;TEXT(I187-utc_offset/24,"YYYYMMDD")&amp;"*"" /stext="" "&amp;TEXT(I187-utc_offset/24,"HH")&amp;search_regexp&amp;""""</f>
        <v>"C:\Program Files (x86)\AstroGrep\AstroGrep.exe" /e /r /s /spath="%USERPROFILE%\AppData\Local\Temp\OnboardLogs" /stypes="app*4060*20171023*" /stext=" 20:.+((SYSTEM_STATE.+slice.+state.+changed )|(ment ac)|(multiple cpu faults)|(system.+state.+changed )|(\[timeout)|(PRM\|1\|D)|(kpr)|(kdp)|(train st.+moving)|(\|lc)|(penalty))"</v>
      </c>
      <c r="AG187" s="182" t="str">
        <f>DetSubdiv(A187)</f>
        <v>NW</v>
      </c>
      <c r="AH187" s="78" t="str">
        <f t="shared" si="26"/>
        <v>"%USERPROFILE%\Documents\GitHub\eaglep3\Utilities\RefineRTDCRunTimes.py" --tripid 823-23 --locoid 4060 --swversion DE.1.0.9.0 --startMP 204:960 --initTime 2017-10-23T13:58:57 --startdatetime 2017-10-23T14:09:15 --delay 70 --endMP 300:58931 --enddatetime 2017-10-23T14:23:24 --enforcementcount 0 &gt;&gt;%USERPROFILE%\Documents\GitHub\eaglep3-reporting\EC\2017-10-23-refined-times.txt</v>
      </c>
      <c r="AI187" s="96" t="str">
        <f t="shared" si="27"/>
        <v>echo {"issue":{"subject":"","project_id":79,"tracker_id":40,"status_id":1,"priority_id":2,"assigned_to_id":338,"start_date":"2017-10-23","description":"","custom_fields":[{"id":1,"name":"Subdivision","value":"NW"},{"id":4,"name":"Milepost","value":"5.8931"},{"id":17,"name":"Train ID","value":"823-23"},{"id":16,"name":"Locomotive ID","value":"4060"},{"id":130,"name":"Impact","value":""},{"id":150,"name":"Time of Event (Mountain Time)","value":"14:23:24"},{"id":151,"name":"Denver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7" s="47"/>
      <c r="AL187" s="47"/>
      <c r="AM187" s="142" t="str">
        <f t="shared" si="28"/>
        <v>start /low /b %USERPROFILE%\Documents\GitHub\eaglep3\Utilities\DownloadLogsFromS3.py --loco 4060 --day 2017-10-23</v>
      </c>
      <c r="AN187" s="151" t="str">
        <f t="shared" si="29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20:23:24"},{"id":29,"name":"Sharepoint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168" t="str">
        <f t="shared" si="30"/>
        <v>https://d0f6bd738d7f1b3e5a7ca70fe4ff75f0.us-east-1.aws.found.io/app/kibana#/discover/Steve-Slow-Train-Analysis-(2080s-and-2083s)?_g=(refreshInterval:(display:Off,pause:!f,section:0,value:0),time:(from:'2017-10-23T12:58:57-0600',mode:absolute,to:'2017-10-23T15:23:24-0600'))&amp;_a=(columns:!('Message%20ID',Summary),filters:!(),index:'emp_*',interval:auto,query:(query_string:(analyze_wildcard:!t,query:'%22rtdc.l.rtdc.4060%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3">
      <c r="A188" s="32" t="s">
        <v>660</v>
      </c>
      <c r="B188" s="7">
        <v>4059</v>
      </c>
      <c r="C188" s="21" t="s">
        <v>194</v>
      </c>
      <c r="D188" s="21" t="s">
        <v>1003</v>
      </c>
      <c r="E188" s="13">
        <v>43031.600474537037</v>
      </c>
      <c r="F188" s="13">
        <v>43031.613252314812</v>
      </c>
      <c r="G188" s="7">
        <v>60</v>
      </c>
      <c r="H188" s="21" t="s">
        <v>1022</v>
      </c>
      <c r="I188" s="13">
        <v>43031.620219907411</v>
      </c>
      <c r="J188" s="7">
        <v>0</v>
      </c>
      <c r="K188" s="89" t="str">
        <f>IF(ISEVEN(B188),(B188-1)&amp;"/"&amp;B188,B188&amp;"/"&amp;(B188+1))</f>
        <v>4059/4060</v>
      </c>
      <c r="L188" s="185" t="str">
        <f>VLOOKUP(A188,'Trips&amp;Operators'!$C$1:$G$99911,5,FALSE)</f>
        <v>LEVIN SCOTT</v>
      </c>
      <c r="M188" s="6">
        <f>I188-F188</f>
        <v>6.967592598812189E-3</v>
      </c>
      <c r="N188" s="7">
        <f>24*60*SUM($M188:$M188)</f>
        <v>10.033333342289552</v>
      </c>
      <c r="O188" s="7"/>
      <c r="P188" s="7"/>
      <c r="Q188" s="22"/>
      <c r="R188" s="174"/>
      <c r="S188" s="221">
        <f>1/IF(AG188="EC",12,1)*SUM(U188:U188)</f>
        <v>1</v>
      </c>
      <c r="T188" s="174" t="str">
        <f>IF(ISEVEN(LEFT(AD188,4)),"Southbound","NorthBound")</f>
        <v>Southbound</v>
      </c>
      <c r="U188" s="198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16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-10-23T13:24:41-0600',mode:absolute,to:'2017-10-23T15:53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88" s="204" t="str">
        <f>IF(AA188&lt;VLOOKUP(AG188,Variables!$AC$3:$AD$8,2,FALSE),"Y","N")</f>
        <v>Y</v>
      </c>
      <c r="X188" s="204">
        <f>VALUE(LEFT(AD188,4))-VALUE(LEFT(AD187,4))</f>
        <v>1</v>
      </c>
      <c r="Y188" s="204">
        <f>RIGHT(D188,LEN(D188)-4)/10000</f>
        <v>5.8609</v>
      </c>
      <c r="Z188" s="204">
        <f>RIGHT(H188,LEN(H188)-4)/10000</f>
        <v>0.4486</v>
      </c>
      <c r="AA188" s="204">
        <f>ABS(Z188-Y188)</f>
        <v>5.4123000000000001</v>
      </c>
      <c r="AB188" s="54" t="e">
        <f>VLOOKUP(A188,Enforcements!$C$7:$K$11,8,0)</f>
        <v>#N/A</v>
      </c>
      <c r="AC188" s="51" t="e">
        <f>VLOOKUP(A188,Enforcements!$C$7:$E$11,3,0)</f>
        <v>#N/A</v>
      </c>
      <c r="AD188" s="179">
        <f>VALUE(LEFT(A188,LEN(A188)-3))</f>
        <v>824</v>
      </c>
      <c r="AE188" s="77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s3://rtdc.mdm.uploadarchive.raw/RTDC4059/ "%USERPROFILE%\AppData\Local\Temp\OnboardLogs"\RTDC4059\2017-10-23 --exclude "*" --recursive --include "*20171023*" &amp; "%USERPROFILE%\Documents\GitHub\mrs-test-scripts\Headless Mode &amp; Sideloading\WalkAndUnGZ.bat" "%USERPROFILE%\AppData\Local\Temp\OnboardLogs"\RTDC4059\2017-10-23 &amp; aws s3 cp s3://rtdc.mdm.uploadarchive.raw/RTDC4059/ "%USERPROFILE%\AppData\Local\Temp\OnboardLogs"\RTDC4059\2017-10-24 --exclude "*" --recursive --include "*20171024*" &amp; "%USERPROFILE%\Documents\GitHub\mrs-test-scripts\Headless Mode &amp; Sideloading\WalkAndUnGZ.bat" "%USERPROFILE%\AppData\Local\Temp\OnboardLogs"\RTDC4059\2017-10-24</v>
      </c>
      <c r="AF188" s="74" t="str">
        <f>astrogrep_path&amp;" /e /r /s /spath="&amp;search_path&amp;" /stypes=""app*"&amp;B188&amp;"*"&amp;TEXT(I188-utc_offset/24,"YYYYMMDD")&amp;"*"" /stext="" "&amp;TEXT(I188-utc_offset/24,"HH")&amp;search_regexp&amp;""""</f>
        <v>"C:\Program Files (x86)\AstroGrep\AstroGrep.exe" /e /r /s /spath="%USERPROFILE%\AppData\Local\Temp\OnboardLogs" /stypes="app*4059*20171023*" /stext=" 20:.+((SYSTEM_STATE.+slice.+state.+changed )|(ment ac)|(multiple cpu faults)|(system.+state.+changed )|(\[timeout)|(PRM\|1\|D)|(kpr)|(kdp)|(train st.+moving)|(\|lc)|(penalty))"</v>
      </c>
      <c r="AG188" s="182" t="str">
        <f>DetSubdiv(A188)</f>
        <v>NW</v>
      </c>
      <c r="AH188" s="78" t="str">
        <f t="shared" si="26"/>
        <v>"%USERPROFILE%\Documents\GitHub\eaglep3\Utilities\RefineRTDCRunTimes.py" --tripid 824-23 --locoid 4059 --swversion DE.1.0.9.0 --startMP 300:58609 --initTime 2017-10-23T14:24:41 --startdatetime 2017-10-23T14:43:05 --delay 60 --endMP 204:4486 --enddatetime 2017-10-23T14:53:07 --enforcementcount 0 &gt;&gt;%USERPROFILE%\Documents\GitHub\eaglep3-reporting\EC\2017-10-23-refined-times.txt</v>
      </c>
      <c r="AI188" s="96" t="str">
        <f t="shared" si="27"/>
        <v>echo {"issue":{"subject":"","project_id":79,"tracker_id":40,"status_id":1,"priority_id":2,"assigned_to_id":338,"start_date":"2017-10-23","description":"","custom_fields":[{"id":1,"name":"Subdivision","value":"NW"},{"id":4,"name":"Milepost","value":"0.4486"},{"id":17,"name":"Train ID","value":"824-23"},{"id":16,"name":"Locomotive ID","value":"4059"},{"id":130,"name":"Impact","value":""},{"id":150,"name":"Time of Event (Mountain Time)","value":"14:53:07"},{"id":151,"name":"Denver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8" s="47"/>
      <c r="AL188" s="47"/>
      <c r="AM188" s="142" t="str">
        <f t="shared" si="28"/>
        <v>start /low /b %USERPROFILE%\Documents\GitHub\eaglep3\Utilities\DownloadLogsFromS3.py --loco 4059 --day 2017-10-23</v>
      </c>
      <c r="AN188" s="151" t="str">
        <f t="shared" si="29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20:53:07"},{"id":29,"name":"Sharepoint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168" t="str">
        <f t="shared" si="30"/>
        <v>https://d0f6bd738d7f1b3e5a7ca70fe4ff75f0.us-east-1.aws.found.io/app/kibana#/discover/Steve-Slow-Train-Analysis-(2080s-and-2083s)?_g=(refreshInterval:(display:Off,pause:!f,section:0,value:0),time:(from:'2017-10-23T13:24:41-0600',mode:absolute,to:'2017-10-23T15:53:07-0600'))&amp;_a=(columns:!('Message%20ID',Summary),filters:!(),index:'emp_*',interval:auto,query:(query_string:(analyze_wildcard:!t,query:'%22rtdc.l.rtdc.4059%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3">
      <c r="A189" s="32" t="s">
        <v>809</v>
      </c>
      <c r="B189" s="7">
        <v>4060</v>
      </c>
      <c r="C189" s="21" t="s">
        <v>194</v>
      </c>
      <c r="D189" s="21" t="s">
        <v>1023</v>
      </c>
      <c r="E189" s="13">
        <v>43031.623819444445</v>
      </c>
      <c r="F189" s="13">
        <v>43031.63144675926</v>
      </c>
      <c r="G189" s="7">
        <v>66</v>
      </c>
      <c r="H189" s="21" t="s">
        <v>1024</v>
      </c>
      <c r="I189" s="13">
        <v>43031.641319444447</v>
      </c>
      <c r="J189" s="7">
        <v>0</v>
      </c>
      <c r="K189" s="89" t="str">
        <f>IF(ISEVEN(B189),(B189-1)&amp;"/"&amp;B189,B189&amp;"/"&amp;(B189+1))</f>
        <v>4059/4060</v>
      </c>
      <c r="L189" s="185" t="str">
        <f>VLOOKUP(A189,'Trips&amp;Operators'!$C$1:$G$99911,5,FALSE)</f>
        <v>LEVIN SCOTT</v>
      </c>
      <c r="M189" s="6">
        <f>I189-F189</f>
        <v>9.8726851865649223E-3</v>
      </c>
      <c r="N189" s="7">
        <f>24*60*SUM($M189:$M189)</f>
        <v>14.216666668653488</v>
      </c>
      <c r="O189" s="7"/>
      <c r="P189" s="7"/>
      <c r="Q189" s="22"/>
      <c r="R189" s="174"/>
      <c r="S189" s="221">
        <f>1/IF(AG189="EC",12,1)*SUM(U189:U189)</f>
        <v>1</v>
      </c>
      <c r="T189" s="174" t="str">
        <f>IF(ISEVEN(LEFT(AD189,4)),"Southbound","NorthBound")</f>
        <v>NorthBound</v>
      </c>
      <c r="U189" s="198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16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2017-10-23T13:58:18-0600',mode:absolute,to:'2017-10-23T16:23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89" s="204" t="str">
        <f>IF(AA189&lt;VLOOKUP(AG189,Variables!$AC$3:$AD$8,2,FALSE),"Y","N")</f>
        <v>N</v>
      </c>
      <c r="X189" s="204">
        <f>VALUE(LEFT(AD189,4))-VALUE(LEFT(AD188,4))</f>
        <v>1</v>
      </c>
      <c r="Y189" s="204">
        <f>RIGHT(D189,LEN(D189)-4)/10000</f>
        <v>9.3600000000000003E-2</v>
      </c>
      <c r="Z189" s="204">
        <f>RIGHT(H189,LEN(H189)-4)/10000</f>
        <v>5.8940999999999999</v>
      </c>
      <c r="AA189" s="204">
        <f>ABS(Z189-Y189)</f>
        <v>5.8004999999999995</v>
      </c>
      <c r="AB189" s="54" t="e">
        <f>VLOOKUP(A189,Enforcements!$C$7:$K$11,8,0)</f>
        <v>#N/A</v>
      </c>
      <c r="AC189" s="51" t="e">
        <f>VLOOKUP(A189,Enforcements!$C$7:$E$11,3,0)</f>
        <v>#N/A</v>
      </c>
      <c r="AD189" s="179">
        <f>VALUE(LEFT(A189,LEN(A189)-3))</f>
        <v>825</v>
      </c>
      <c r="AE189" s="77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s3://rtdc.mdm.uploadarchive.raw/RTDC4060/ "%USERPROFILE%\AppData\Local\Temp\OnboardLogs"\RTDC4060\2017-10-23 --exclude "*" --recursive --include "*20171023*" &amp; "%USERPROFILE%\Documents\GitHub\mrs-test-scripts\Headless Mode &amp; Sideloading\WalkAndUnGZ.bat" "%USERPROFILE%\AppData\Local\Temp\OnboardLogs"\RTDC4060\2017-10-23 &amp; aws s3 cp s3://rtdc.mdm.uploadarchive.raw/RTDC4060/ "%USERPROFILE%\AppData\Local\Temp\OnboardLogs"\RTDC4060\2017-10-24 --exclude "*" --recursive --include "*20171024*" &amp; "%USERPROFILE%\Documents\GitHub\mrs-test-scripts\Headless Mode &amp; Sideloading\WalkAndUnGZ.bat" "%USERPROFILE%\AppData\Local\Temp\OnboardLogs"\RTDC4060\2017-10-24</v>
      </c>
      <c r="AF189" s="74" t="str">
        <f>astrogrep_path&amp;" /e /r /s /spath="&amp;search_path&amp;" /stypes=""app*"&amp;B189&amp;"*"&amp;TEXT(I189-utc_offset/24,"YYYYMMDD")&amp;"*"" /stext="" "&amp;TEXT(I189-utc_offset/24,"HH")&amp;search_regexp&amp;""""</f>
        <v>"C:\Program Files (x86)\AstroGrep\AstroGrep.exe" /e /r /s /spath="%USERPROFILE%\AppData\Local\Temp\OnboardLogs" /stypes="app*4060*20171023*" /stext=" 21:.+((SYSTEM_STATE.+slice.+state.+changed )|(ment ac)|(multiple cpu faults)|(system.+state.+changed )|(\[timeout)|(PRM\|1\|D)|(kpr)|(kdp)|(train st.+moving)|(\|lc)|(penalty))"</v>
      </c>
      <c r="AG189" s="182" t="str">
        <f>DetSubdiv(A189)</f>
        <v>NW</v>
      </c>
      <c r="AH189" s="78" t="str">
        <f t="shared" si="26"/>
        <v>"%USERPROFILE%\Documents\GitHub\eaglep3\Utilities\RefineRTDCRunTimes.py" --tripid 825-23 --locoid 4060 --swversion DE.1.0.9.0 --startMP 204:936 --initTime 2017-10-23T14:58:18 --startdatetime 2017-10-23T15:09:17 --delay 66 --endMP 300:58941 --enddatetime 2017-10-23T15:23:30 --enforcementcount 0 &gt;&gt;%USERPROFILE%\Documents\GitHub\eaglep3-reporting\EC\2017-10-23-refined-times.txt</v>
      </c>
      <c r="AI189" s="96" t="str">
        <f t="shared" si="27"/>
        <v>echo {"issue":{"subject":"","project_id":79,"tracker_id":40,"status_id":1,"priority_id":2,"assigned_to_id":338,"start_date":"2017-10-23","description":"","custom_fields":[{"id":1,"name":"Subdivision","value":"NW"},{"id":4,"name":"Milepost","value":"5.8941"},{"id":17,"name":"Train ID","value":"825-23"},{"id":16,"name":"Locomotive ID","value":"4060"},{"id":130,"name":"Impact","value":""},{"id":150,"name":"Time of Event (Mountain Time)","value":"15:23:30"},{"id":151,"name":"Denver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9" s="47"/>
      <c r="AL189" s="47"/>
      <c r="AM189" s="142" t="str">
        <f t="shared" si="28"/>
        <v>start /low /b %USERPROFILE%\Documents\GitHub\eaglep3\Utilities\DownloadLogsFromS3.py --loco 4060 --day 2017-10-23</v>
      </c>
      <c r="AN189" s="151" t="str">
        <f t="shared" si="29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21:23:30"},{"id":29,"name":"Sharepoint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168" t="str">
        <f t="shared" si="30"/>
        <v>https://d0f6bd738d7f1b3e5a7ca70fe4ff75f0.us-east-1.aws.found.io/app/kibana#/discover/Steve-Slow-Train-Analysis-(2080s-and-2083s)?_g=(refreshInterval:(display:Off,pause:!f,section:0,value:0),time:(from:'2017-10-23T13:58:18-0600',mode:absolute,to:'2017-10-23T16:23:30-0600'))&amp;_a=(columns:!('Message%20ID',Summary),filters:!(),index:'emp_*',interval:auto,query:(query_string:(analyze_wildcard:!t,query:'%22rtdc.l.rtdc.4060%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3">
      <c r="A190" s="32" t="s">
        <v>813</v>
      </c>
      <c r="B190" s="7">
        <v>4059</v>
      </c>
      <c r="C190" s="21" t="s">
        <v>194</v>
      </c>
      <c r="D190" s="21" t="s">
        <v>467</v>
      </c>
      <c r="E190" s="13">
        <v>43031.642407407409</v>
      </c>
      <c r="F190" s="13">
        <v>43031.654490740744</v>
      </c>
      <c r="G190" s="7">
        <v>55</v>
      </c>
      <c r="H190" s="21" t="s">
        <v>1025</v>
      </c>
      <c r="I190" s="13">
        <v>43031.66375</v>
      </c>
      <c r="J190" s="7">
        <v>0</v>
      </c>
      <c r="K190" s="89" t="str">
        <f>IF(ISEVEN(B190),(B190-1)&amp;"/"&amp;B190,B190&amp;"/"&amp;(B190+1))</f>
        <v>4059/4060</v>
      </c>
      <c r="L190" s="185" t="str">
        <f>VLOOKUP(A190,'Trips&amp;Operators'!$C$1:$G$99911,5,FALSE)</f>
        <v>LEVIN SCOTT</v>
      </c>
      <c r="M190" s="6">
        <f>I190-F190</f>
        <v>9.2592592554865405E-3</v>
      </c>
      <c r="N190" s="7">
        <f>24*60*SUM($M190:$M190)</f>
        <v>13.333333327900618</v>
      </c>
      <c r="O190" s="7"/>
      <c r="P190" s="7"/>
      <c r="Q190" s="22"/>
      <c r="R190" s="174"/>
      <c r="S190" s="221">
        <f>1/IF(AG190="EC",12,1)*SUM(U190:U190)</f>
        <v>1</v>
      </c>
      <c r="T190" s="174" t="str">
        <f>IF(ISEVEN(LEFT(AD190,4)),"Southbound","NorthBound")</f>
        <v>Southbound</v>
      </c>
      <c r="U190" s="198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16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-10-23T14:25:04-0600',mode:absolute,to:'2017-10-23T16:55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90" s="204" t="str">
        <f>IF(AA190&lt;VLOOKUP(AG190,Variables!$AC$3:$AD$8,2,FALSE),"Y","N")</f>
        <v>N</v>
      </c>
      <c r="X190" s="204">
        <f>VALUE(LEFT(AD190,4))-VALUE(LEFT(AD189,4))</f>
        <v>1</v>
      </c>
      <c r="Y190" s="204">
        <f>RIGHT(D190,LEN(D190)-4)/10000</f>
        <v>5.8625999999999996</v>
      </c>
      <c r="Z190" s="204">
        <f>RIGHT(H190,LEN(H190)-4)/10000</f>
        <v>6.4299999999999996E-2</v>
      </c>
      <c r="AA190" s="204">
        <f>ABS(Z190-Y190)</f>
        <v>5.7982999999999993</v>
      </c>
      <c r="AB190" s="54" t="e">
        <f>VLOOKUP(A190,Enforcements!$C$7:$K$11,8,0)</f>
        <v>#N/A</v>
      </c>
      <c r="AC190" s="51" t="e">
        <f>VLOOKUP(A190,Enforcements!$C$7:$E$11,3,0)</f>
        <v>#N/A</v>
      </c>
      <c r="AD190" s="179">
        <f>VALUE(LEFT(A190,LEN(A190)-3))</f>
        <v>826</v>
      </c>
      <c r="AE190" s="77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s3://rtdc.mdm.uploadarchive.raw/RTDC4059/ "%USERPROFILE%\AppData\Local\Temp\OnboardLogs"\RTDC4059\2017-10-23 --exclude "*" --recursive --include "*20171023*" &amp; "%USERPROFILE%\Documents\GitHub\mrs-test-scripts\Headless Mode &amp; Sideloading\WalkAndUnGZ.bat" "%USERPROFILE%\AppData\Local\Temp\OnboardLogs"\RTDC4059\2017-10-23 &amp; aws s3 cp s3://rtdc.mdm.uploadarchive.raw/RTDC4059/ "%USERPROFILE%\AppData\Local\Temp\OnboardLogs"\RTDC4059\2017-10-24 --exclude "*" --recursive --include "*20171024*" &amp; "%USERPROFILE%\Documents\GitHub\mrs-test-scripts\Headless Mode &amp; Sideloading\WalkAndUnGZ.bat" "%USERPROFILE%\AppData\Local\Temp\OnboardLogs"\RTDC4059\2017-10-24</v>
      </c>
      <c r="AF190" s="74" t="str">
        <f>astrogrep_path&amp;" /e /r /s /spath="&amp;search_path&amp;" /stypes=""app*"&amp;B190&amp;"*"&amp;TEXT(I190-utc_offset/24,"YYYYMMDD")&amp;"*"" /stext="" "&amp;TEXT(I190-utc_offset/24,"HH")&amp;search_regexp&amp;""""</f>
        <v>"C:\Program Files (x86)\AstroGrep\AstroGrep.exe" /e /r /s /spath="%USERPROFILE%\AppData\Local\Temp\OnboardLogs" /stypes="app*4059*20171023*" /stext=" 21:.+((SYSTEM_STATE.+slice.+state.+changed )|(ment ac)|(multiple cpu faults)|(system.+state.+changed )|(\[timeout)|(PRM\|1\|D)|(kpr)|(kdp)|(train st.+moving)|(\|lc)|(penalty))"</v>
      </c>
      <c r="AG190" s="182" t="str">
        <f>DetSubdiv(A190)</f>
        <v>NW</v>
      </c>
      <c r="AH190" s="78" t="str">
        <f t="shared" si="26"/>
        <v>"%USERPROFILE%\Documents\GitHub\eaglep3\Utilities\RefineRTDCRunTimes.py" --tripid 826-23 --locoid 4059 --swversion DE.1.0.9.0 --startMP 300:58626 --initTime 2017-10-23T15:25:04 --startdatetime 2017-10-23T15:42:28 --delay 55 --endMP 204:643 --enddatetime 2017-10-23T15:55:48 --enforcementcount 0 &gt;&gt;%USERPROFILE%\Documents\GitHub\eaglep3-reporting\EC\2017-10-23-refined-times.txt</v>
      </c>
      <c r="AI190" s="96" t="str">
        <f t="shared" si="27"/>
        <v>echo {"issue":{"subject":"","project_id":79,"tracker_id":40,"status_id":1,"priority_id":2,"assigned_to_id":338,"start_date":"2017-10-23","description":"","custom_fields":[{"id":1,"name":"Subdivision","value":"NW"},{"id":4,"name":"Milepost","value":"0.0643"},{"id":17,"name":"Train ID","value":"826-23"},{"id":16,"name":"Locomotive ID","value":"4059"},{"id":130,"name":"Impact","value":""},{"id":150,"name":"Time of Event (Mountain Time)","value":"15:55:48"},{"id":151,"name":"Denver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0" s="47"/>
      <c r="AL190" s="47"/>
      <c r="AM190" s="142" t="str">
        <f t="shared" si="28"/>
        <v>start /low /b %USERPROFILE%\Documents\GitHub\eaglep3\Utilities\DownloadLogsFromS3.py --loco 4059 --day 2017-10-23</v>
      </c>
      <c r="AN190" s="151" t="str">
        <f t="shared" si="29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21:55:48"},{"id":29,"name":"Sharepoint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168" t="str">
        <f t="shared" si="30"/>
        <v>https://d0f6bd738d7f1b3e5a7ca70fe4ff75f0.us-east-1.aws.found.io/app/kibana#/discover/Steve-Slow-Train-Analysis-(2080s-and-2083s)?_g=(refreshInterval:(display:Off,pause:!f,section:0,value:0),time:(from:'2017-10-23T14:25:04-0600',mode:absolute,to:'2017-10-23T16:55:48-0600'))&amp;_a=(columns:!('Message%20ID',Summary),filters:!(),index:'emp_*',interval:auto,query:(query_string:(analyze_wildcard:!t,query:'%22rtdc.l.rtdc.4059%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3">
      <c r="A191" s="32" t="s">
        <v>663</v>
      </c>
      <c r="B191" s="7">
        <v>4040</v>
      </c>
      <c r="C191" s="21" t="s">
        <v>194</v>
      </c>
      <c r="D191" s="21" t="s">
        <v>467</v>
      </c>
      <c r="E191" s="13">
        <v>43031.642407407409</v>
      </c>
      <c r="F191" s="13">
        <v>43031.652349537035</v>
      </c>
      <c r="G191" s="7">
        <v>55</v>
      </c>
      <c r="H191" s="21" t="s">
        <v>1025</v>
      </c>
      <c r="I191" s="13">
        <v>43031.661898148152</v>
      </c>
      <c r="J191" s="7">
        <v>0</v>
      </c>
      <c r="K191" s="89" t="str">
        <f>IF(ISEVEN(B191),(B191-1)&amp;"/"&amp;B191,B191&amp;"/"&amp;(B191+1))</f>
        <v>4039/4040</v>
      </c>
      <c r="L191" s="185" t="str">
        <f>VLOOKUP(A191,'Trips&amp;Operators'!$C$1:$G$99911,5,FALSE)</f>
        <v>STAMBAUGH JAMES</v>
      </c>
      <c r="M191" s="6">
        <f>I191-F191</f>
        <v>9.5486111167701893E-3</v>
      </c>
      <c r="N191" s="7">
        <f>24*60*SUM($M191:$M191)</f>
        <v>13.750000008149073</v>
      </c>
      <c r="O191" s="7"/>
      <c r="P191" s="7"/>
      <c r="Q191" s="22"/>
      <c r="R191" s="174"/>
      <c r="S191" s="221">
        <f>1/IF(AG191="EC",12,1)*SUM(U191:U191)</f>
        <v>1</v>
      </c>
      <c r="T191" s="174" t="str">
        <f>IF(ISEVEN(LEFT(AD191,4)),"Southbound","NorthBound")</f>
        <v>NorthBound</v>
      </c>
      <c r="U191" s="198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16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2017-10-23T14:25:04-0600',mode:absolute,to:'2017-10-23T16:53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1" s="204" t="str">
        <f>IF(AA191&lt;VLOOKUP(AG191,Variables!$AC$3:$AD$8,2,FALSE),"Y","N")</f>
        <v>N</v>
      </c>
      <c r="X191" s="204">
        <f>VALUE(LEFT(AD191,4))-VALUE(LEFT(AD190,4))</f>
        <v>1</v>
      </c>
      <c r="Y191" s="204">
        <v>9.3600000000000003E-2</v>
      </c>
      <c r="Z191" s="204">
        <v>5.8940999999999999</v>
      </c>
      <c r="AA191" s="204">
        <f>ABS(Z191-Y191)</f>
        <v>5.8004999999999995</v>
      </c>
      <c r="AB191" s="54" t="e">
        <f>VLOOKUP(A191,Enforcements!$C$7:$K$11,8,0)</f>
        <v>#N/A</v>
      </c>
      <c r="AC191" s="51" t="e">
        <f>VLOOKUP(A191,Enforcements!$C$7:$E$11,3,0)</f>
        <v>#N/A</v>
      </c>
      <c r="AD191" s="179">
        <f>VALUE(LEFT(A191,LEN(A191)-3))</f>
        <v>827</v>
      </c>
      <c r="AE191" s="77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s3://rtdc.mdm.uploadarchive.raw/RTDC4040/ "%USERPROFILE%\AppData\Local\Temp\OnboardLogs"\RTDC4040\2017-10-23 --exclude "*" --recursive --include "*20171023*" &amp; "%USERPROFILE%\Documents\GitHub\mrs-test-scripts\Headless Mode &amp; Sideloading\WalkAndUnGZ.bat" "%USERPROFILE%\AppData\Local\Temp\OnboardLogs"\RTDC4040\2017-10-23 &amp; aws s3 cp s3://rtdc.mdm.uploadarchive.raw/RTDC4040/ "%USERPROFILE%\AppData\Local\Temp\OnboardLogs"\RTDC4040\2017-10-24 --exclude "*" --recursive --include "*20171024*" &amp; "%USERPROFILE%\Documents\GitHub\mrs-test-scripts\Headless Mode &amp; Sideloading\WalkAndUnGZ.bat" "%USERPROFILE%\AppData\Local\Temp\OnboardLogs"\RTDC4040\2017-10-24</v>
      </c>
      <c r="AF191" s="74" t="str">
        <f>astrogrep_path&amp;" /e /r /s /spath="&amp;search_path&amp;" /stypes=""app*"&amp;B191&amp;"*"&amp;TEXT(I191-utc_offset/24,"YYYYMMDD")&amp;"*"" /stext="" "&amp;TEXT(I191-utc_offset/24,"HH")&amp;search_regexp&amp;""""</f>
        <v>"C:\Program Files (x86)\AstroGrep\AstroGrep.exe" /e /r /s /spath="%USERPROFILE%\AppData\Local\Temp\OnboardLogs" /stypes="app*4040*20171023*" /stext=" 21:.+((SYSTEM_STATE.+slice.+state.+changed )|(ment ac)|(multiple cpu faults)|(system.+state.+changed )|(\[timeout)|(PRM\|1\|D)|(kpr)|(kdp)|(train st.+moving)|(\|lc)|(penalty))"</v>
      </c>
      <c r="AG191" s="182" t="str">
        <f>DetSubdiv(A191)</f>
        <v>NW</v>
      </c>
      <c r="AH191" s="78" t="str">
        <f t="shared" ref="AH191" si="41">refinertdcruntimes&amp;" --tripid "&amp;A191&amp;" --locoid "&amp;B191&amp;" --swversion "&amp;C191&amp;" --startMP "&amp;D191&amp;" --initTime "&amp;TEXT(E191,"yyyy-mm-ddTHH:MM:SS")&amp;" --startdatetime "&amp;TEXT(F191,"yyyy-mm-ddTHH:MM:SS")&amp;" --delay "&amp;G191&amp;" --endMP "&amp;H191&amp;" --enddatetime "&amp;TEXT(I191,"yyyy-mm-ddTHH:MM:SS")&amp;" --enforcementcount "&amp;J191&amp;IF(outputrefinedruntimes," &gt;&gt;"&amp;RefinedRTDCRunTimesOutputFile,"")</f>
        <v>"%USERPROFILE%\Documents\GitHub\eaglep3\Utilities\RefineRTDCRunTimes.py" --tripid 827-23 --locoid 4040 --swversion DE.1.0.9.0 --startMP 300:58626 --initTime 2017-10-23T15:25:04 --startdatetime 2017-10-23T15:39:23 --delay 55 --endMP 204:643 --enddatetime 2017-10-23T15:53:08 --enforcementcount 0 &gt;&gt;%USERPROFILE%\Documents\GitHub\eaglep3-reporting\EC\2017-10-23-refined-times.txt</v>
      </c>
      <c r="AI191" s="96" t="str">
        <f t="shared" ref="AI191" si="42">"echo {""issue"":{""subject"":"""&amp;R191&amp;""",""project_id"":79,""tracker_id"":40,""status_id"":"&amp;redmine_status&amp;",""priority_id"":"&amp;redmine_priority&amp;",""assigned_to_id"":"&amp;redmine_assignee&amp;",""start_date"":"""&amp;TEXT(I191,"YYYY-mm-dd")&amp;""",""description"":"""&amp;AJ191&amp;""",""custom_fields"":[{""id"":1,""name"":""Subdivision"",""value"":"""&amp;AG191&amp;"""},{""id"":4,""name"":""Milepost"",""value"":"""&amp;Z191&amp;"""},{""id"":17,""name"":""Train ID"",""value"":"""&amp;A191&amp;"""},{""id"":16,""name"":""Locomotive ID"",""value"":"""&amp;B191&amp;"""},{""id"":130,""name"":""Impact"",""value"":"""&amp;AK191&amp;"""},{""id"":150,""name"":""Time of Event (Mountain Time)"",""value"":"""&amp;TEXT(I191,"hh:mm:ss")&amp;"""},{""id"":151,""name"":""Denver Issue ID"",""value"":"""&amp;"""},{""id"":178,""name"":""Operational Impact"",""value"":"""&amp;redmine_op_impact&amp;"""},{""id"":179,""name"":""Denver Segment Assigned"",""value"":"""&amp;AL191&amp;"""}]}}"&amp;"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{"issue":{"subject":"","project_id":79,"tracker_id":40,"status_id":1,"priority_id":2,"assigned_to_id":338,"start_date":"2017-10-23","description":"","custom_fields":[{"id":1,"name":"Subdivision","value":"NW"},{"id":4,"name":"Milepost","value":"5.8941"},{"id":17,"name":"Train ID","value":"827-23"},{"id":16,"name":"Locomotive ID","value":"4040"},{"id":130,"name":"Impact","value":""},{"id":150,"name":"Time of Event (Mountain Time)","value":"15:53:08"},{"id":151,"name":"Denver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1" s="47"/>
      <c r="AL191" s="47"/>
      <c r="AM191" s="142" t="str">
        <f t="shared" ref="AM191" si="43">"start /low /b "&amp;dls3logs&amp;" --loco "&amp;B191&amp;" --day "&amp;TEXT(F191,"YYYY-MM-DD")</f>
        <v>start /low /b %USERPROFILE%\Documents\GitHub\eaglep3\Utilities\DownloadLogsFromS3.py --loco 4040 --day 2017-10-23</v>
      </c>
      <c r="AN191" s="151" t="str">
        <f t="shared" ref="AN191" si="44">"echo {""issue"":{""subject"":"""&amp;R191&amp;""",""project_id"":30,""tracker_id"":4,""status_id"":"&amp;redmine_status_wcr&amp;",""priority_id"":"&amp;redmine_priority_wcr&amp;",""assigned_to_id"":"&amp;redmine_assignee_wcr&amp;",""start_date"":"""&amp;TEXT(I191-utc_offset/24,"YYYY-mm-dd")&amp;""",""description"":"""&amp;AJ191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21:53:08"},{"id":29,"name":"Sharepoint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168" t="str">
        <f t="shared" ref="AO191" si="45"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Message%20ID',Summary),filters:!(),index:'emp_*',interval:auto,query:"&amp;"(query_string:(analyze_wildcard:!t,query:'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2017-10-23T14:25:04-0600',mode:absolute,to:'2017-10-23T16:53:08-0600'))&amp;_a=(columns:!('Message%20ID',Summary),filters:!(),index:'emp_*',interval:auto,query:(query_string:(analyze_wildcard:!t,query:'%22rtdc.l.rtdc.4040%22')),sort:!(Time.ISO8601,asc))</v>
      </c>
    </row>
    <row r="192" spans="1:91" s="20" customFormat="1" x14ac:dyDescent="0.3">
      <c r="A192" s="32" t="s">
        <v>818</v>
      </c>
      <c r="B192" s="7">
        <v>4039</v>
      </c>
      <c r="C192" s="21" t="s">
        <v>194</v>
      </c>
      <c r="D192" s="21" t="s">
        <v>622</v>
      </c>
      <c r="E192" s="13">
        <v>43031.662916666668</v>
      </c>
      <c r="F192" s="13">
        <v>43031.675752314812</v>
      </c>
      <c r="G192" s="7">
        <v>73</v>
      </c>
      <c r="H192" s="21" t="s">
        <v>1026</v>
      </c>
      <c r="I192" s="13">
        <v>43031.683506944442</v>
      </c>
      <c r="J192" s="7">
        <v>0</v>
      </c>
      <c r="K192" s="89" t="str">
        <f>IF(ISEVEN(B192),(B192-1)&amp;"/"&amp;B192,B192&amp;"/"&amp;(B192+1))</f>
        <v>4039/4040</v>
      </c>
      <c r="L192" s="185" t="str">
        <f>VLOOKUP(A192,'Trips&amp;Operators'!$C$1:$G$99911,5,FALSE)</f>
        <v>STAMBAUGH JAMES</v>
      </c>
      <c r="M192" s="6">
        <f>I192-F192</f>
        <v>7.7546296306536533E-3</v>
      </c>
      <c r="N192" s="7">
        <f>24*60*SUM($M192:$M192)</f>
        <v>11.166666668141261</v>
      </c>
      <c r="O192" s="7"/>
      <c r="P192" s="7"/>
      <c r="Q192" s="22"/>
      <c r="R192" s="174"/>
      <c r="S192" s="221">
        <f>1/IF(AG192="EC",12,1)*SUM(U192:U192)</f>
        <v>1</v>
      </c>
      <c r="T192" s="174" t="str">
        <f>IF(ISEVEN(LEFT(AD192,4)),"Southbound","NorthBound")</f>
        <v>Southbound</v>
      </c>
      <c r="U192" s="198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16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2017-10-23T14:54:36-0600',mode:absolute,to:'2017-10-23T17:24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92" s="204" t="str">
        <f>IF(AA192&lt;VLOOKUP(AG192,Variables!$AC$3:$AD$8,2,FALSE),"Y","N")</f>
        <v>N</v>
      </c>
      <c r="X192" s="204">
        <f t="shared" ref="X192:X193" si="46">VALUE(LEFT(AD192,4))-VALUE(LEFT(AD191,4))</f>
        <v>1</v>
      </c>
      <c r="Y192" s="204">
        <f>RIGHT(D192,LEN(D192)-4)/10000</f>
        <v>5.8648999999999996</v>
      </c>
      <c r="Z192" s="204">
        <f>RIGHT(H192,LEN(H192)-4)/10000</f>
        <v>6.7000000000000004E-2</v>
      </c>
      <c r="AA192" s="204">
        <f>ABS(Z192-Y192)</f>
        <v>5.7978999999999994</v>
      </c>
      <c r="AB192" s="54" t="e">
        <f>VLOOKUP(A192,Enforcements!$C$7:$K$11,8,0)</f>
        <v>#N/A</v>
      </c>
      <c r="AC192" s="51" t="e">
        <f>VLOOKUP(A192,Enforcements!$C$7:$E$11,3,0)</f>
        <v>#N/A</v>
      </c>
      <c r="AD192" s="179">
        <f>VALUE(LEFT(A192,LEN(A192)-3))</f>
        <v>828</v>
      </c>
      <c r="AE192" s="77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s3://rtdc.mdm.uploadarchive.raw/RTDC4039/ "%USERPROFILE%\AppData\Local\Temp\OnboardLogs"\RTDC4039\2017-10-23 --exclude "*" --recursive --include "*20171023*" &amp; "%USERPROFILE%\Documents\GitHub\mrs-test-scripts\Headless Mode &amp; Sideloading\WalkAndUnGZ.bat" "%USERPROFILE%\AppData\Local\Temp\OnboardLogs"\RTDC4039\2017-10-23 &amp; aws s3 cp s3://rtdc.mdm.uploadarchive.raw/RTDC4039/ "%USERPROFILE%\AppData\Local\Temp\OnboardLogs"\RTDC4039\2017-10-24 --exclude "*" --recursive --include "*20171024*" &amp; "%USERPROFILE%\Documents\GitHub\mrs-test-scripts\Headless Mode &amp; Sideloading\WalkAndUnGZ.bat" "%USERPROFILE%\AppData\Local\Temp\OnboardLogs"\RTDC4039\2017-10-24</v>
      </c>
      <c r="AF192" s="74" t="str">
        <f>astrogrep_path&amp;" /e /r /s /spath="&amp;search_path&amp;" /stypes=""app*"&amp;B192&amp;"*"&amp;TEXT(I192-utc_offset/24,"YYYYMMDD")&amp;"*"" /stext="" "&amp;TEXT(I192-utc_offset/24,"HH")&amp;search_regexp&amp;""""</f>
        <v>"C:\Program Files (x86)\AstroGrep\AstroGrep.exe" /e /r /s /spath="%USERPROFILE%\AppData\Local\Temp\OnboardLogs" /stypes="app*4039*20171023*" /stext=" 22:.+((SYSTEM_STATE.+slice.+state.+changed )|(ment ac)|(multiple cpu faults)|(system.+state.+changed )|(\[timeout)|(PRM\|1\|D)|(kpr)|(kdp)|(train st.+moving)|(\|lc)|(penalty))"</v>
      </c>
      <c r="AG192" s="182" t="str">
        <f>DetSubdiv(A192)</f>
        <v>NW</v>
      </c>
      <c r="AH192" s="78" t="str">
        <f t="shared" si="26"/>
        <v>"%USERPROFILE%\Documents\GitHub\eaglep3\Utilities\RefineRTDCRunTimes.py" --tripid 828-23 --locoid 4039 --swversion DE.1.0.9.0 --startMP 300:58649 --initTime 2017-10-23T15:54:36 --startdatetime 2017-10-23T16:13:05 --delay 73 --endMP 204:670 --enddatetime 2017-10-23T16:24:15 --enforcementcount 0 &gt;&gt;%USERPROFILE%\Documents\GitHub\eaglep3-reporting\EC\2017-10-23-refined-times.txt</v>
      </c>
      <c r="AI192" s="96" t="str">
        <f t="shared" si="27"/>
        <v>echo {"issue":{"subject":"","project_id":79,"tracker_id":40,"status_id":1,"priority_id":2,"assigned_to_id":338,"start_date":"2017-10-23","description":"","custom_fields":[{"id":1,"name":"Subdivision","value":"NW"},{"id":4,"name":"Milepost","value":"0.067"},{"id":17,"name":"Train ID","value":"828-23"},{"id":16,"name":"Locomotive ID","value":"4039"},{"id":130,"name":"Impact","value":""},{"id":150,"name":"Time of Event (Mountain Time)","value":"16:24:15"},{"id":151,"name":"Denver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2" s="47"/>
      <c r="AL192" s="47"/>
      <c r="AM192" s="142" t="str">
        <f t="shared" si="28"/>
        <v>start /low /b %USERPROFILE%\Documents\GitHub\eaglep3\Utilities\DownloadLogsFromS3.py --loco 4039 --day 2017-10-23</v>
      </c>
      <c r="AN192" s="151" t="str">
        <f t="shared" si="29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22:24:15"},{"id":29,"name":"Sharepoint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168" t="str">
        <f t="shared" si="30"/>
        <v>https://d0f6bd738d7f1b3e5a7ca70fe4ff75f0.us-east-1.aws.found.io/app/kibana#/discover/Steve-Slow-Train-Analysis-(2080s-and-2083s)?_g=(refreshInterval:(display:Off,pause:!f,section:0,value:0),time:(from:'2017-10-23T14:54:36-0600',mode:absolute,to:'2017-10-23T17:24:15-0600'))&amp;_a=(columns:!('Message%20ID',Summary),filters:!(),index:'emp_*',interval:auto,query:(query_string:(analyze_wildcard:!t,query:'%22rtdc.l.rtdc.4039%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3">
      <c r="A193" s="32" t="s">
        <v>665</v>
      </c>
      <c r="B193" s="7">
        <v>4060</v>
      </c>
      <c r="C193" s="21" t="s">
        <v>194</v>
      </c>
      <c r="D193" s="21" t="s">
        <v>1027</v>
      </c>
      <c r="E193" s="13">
        <v>43031.665358796294</v>
      </c>
      <c r="F193" s="13">
        <v>43031.673182870371</v>
      </c>
      <c r="G193" s="7">
        <v>67</v>
      </c>
      <c r="H193" s="21" t="s">
        <v>1028</v>
      </c>
      <c r="I193" s="13">
        <v>43031.682881944442</v>
      </c>
      <c r="J193" s="7">
        <v>0</v>
      </c>
      <c r="K193" s="89" t="str">
        <f>IF(ISEVEN(B193),(B193-1)&amp;"/"&amp;B193,B193&amp;"/"&amp;(B193+1))</f>
        <v>4059/4060</v>
      </c>
      <c r="L193" s="185" t="str">
        <f>VLOOKUP(A193,'Trips&amp;Operators'!$C$1:$G$99911,5,FALSE)</f>
        <v>LEVIN SCOTT</v>
      </c>
      <c r="M193" s="6">
        <f>I193-F193</f>
        <v>9.6990740712499246E-3</v>
      </c>
      <c r="N193" s="7">
        <f>24*60*SUM($M193:$M193)</f>
        <v>13.966666662599891</v>
      </c>
      <c r="O193" s="7"/>
      <c r="P193" s="7"/>
      <c r="Q193" s="22"/>
      <c r="R193" s="174"/>
      <c r="S193" s="221">
        <f>1/IF(AG193="EC",12,1)*SUM(U193:U193)</f>
        <v>1</v>
      </c>
      <c r="T193" s="174" t="str">
        <f>IF(ISEVEN(LEFT(AD193,4)),"Southbound","NorthBound")</f>
        <v>NorthBound</v>
      </c>
      <c r="U193" s="198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16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-10-23T14:58:07-0600',mode:absolute,to:'2017-10-23T17:23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93" s="204" t="str">
        <f>IF(AA193&lt;VLOOKUP(AG193,Variables!$AC$3:$AD$8,2,FALSE),"Y","N")</f>
        <v>N</v>
      </c>
      <c r="X193" s="204">
        <f t="shared" si="46"/>
        <v>1</v>
      </c>
      <c r="Y193" s="204">
        <f>RIGHT(D193,LEN(D193)-4)/10000</f>
        <v>9.3399999999999997E-2</v>
      </c>
      <c r="Z193" s="204">
        <f>RIGHT(H193,LEN(H193)-4)/10000</f>
        <v>5.8943000000000003</v>
      </c>
      <c r="AA193" s="204">
        <f>ABS(Z193-Y193)</f>
        <v>5.8009000000000004</v>
      </c>
      <c r="AB193" s="54" t="e">
        <f>VLOOKUP(A193,Enforcements!$C$7:$K$11,8,0)</f>
        <v>#N/A</v>
      </c>
      <c r="AC193" s="51" t="e">
        <f>VLOOKUP(A193,Enforcements!$C$7:$E$11,3,0)</f>
        <v>#N/A</v>
      </c>
      <c r="AD193" s="179">
        <f>VALUE(LEFT(A193,LEN(A193)-3))</f>
        <v>829</v>
      </c>
      <c r="AE193" s="77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s3://rtdc.mdm.uploadarchive.raw/RTDC4060/ "%USERPROFILE%\AppData\Local\Temp\OnboardLogs"\RTDC4060\2017-10-23 --exclude "*" --recursive --include "*20171023*" &amp; "%USERPROFILE%\Documents\GitHub\mrs-test-scripts\Headless Mode &amp; Sideloading\WalkAndUnGZ.bat" "%USERPROFILE%\AppData\Local\Temp\OnboardLogs"\RTDC4060\2017-10-23 &amp; aws s3 cp s3://rtdc.mdm.uploadarchive.raw/RTDC4060/ "%USERPROFILE%\AppData\Local\Temp\OnboardLogs"\RTDC4060\2017-10-24 --exclude "*" --recursive --include "*20171024*" &amp; "%USERPROFILE%\Documents\GitHub\mrs-test-scripts\Headless Mode &amp; Sideloading\WalkAndUnGZ.bat" "%USERPROFILE%\AppData\Local\Temp\OnboardLogs"\RTDC4060\2017-10-24</v>
      </c>
      <c r="AF193" s="74" t="str">
        <f>astrogrep_path&amp;" /e /r /s /spath="&amp;search_path&amp;" /stypes=""app*"&amp;B193&amp;"*"&amp;TEXT(I193-utc_offset/24,"YYYYMMDD")&amp;"*"" /stext="" "&amp;TEXT(I193-utc_offset/24,"HH")&amp;search_regexp&amp;""""</f>
        <v>"C:\Program Files (x86)\AstroGrep\AstroGrep.exe" /e /r /s /spath="%USERPROFILE%\AppData\Local\Temp\OnboardLogs" /stypes="app*4060*20171023*" /stext=" 22:.+((SYSTEM_STATE.+slice.+state.+changed )|(ment ac)|(multiple cpu faults)|(system.+state.+changed )|(\[timeout)|(PRM\|1\|D)|(kpr)|(kdp)|(train st.+moving)|(\|lc)|(penalty))"</v>
      </c>
      <c r="AG193" s="182" t="str">
        <f>DetSubdiv(A193)</f>
        <v>NW</v>
      </c>
      <c r="AH193" s="78" t="str">
        <f t="shared" si="26"/>
        <v>"%USERPROFILE%\Documents\GitHub\eaglep3\Utilities\RefineRTDCRunTimes.py" --tripid 829-23 --locoid 4060 --swversion DE.1.0.9.0 --startMP 204:934 --initTime 2017-10-23T15:58:07 --startdatetime 2017-10-23T16:09:23 --delay 67 --endMP 300:58943 --enddatetime 2017-10-23T16:23:21 --enforcementcount 0 &gt;&gt;%USERPROFILE%\Documents\GitHub\eaglep3-reporting\EC\2017-10-23-refined-times.txt</v>
      </c>
      <c r="AI193" s="96" t="str">
        <f t="shared" si="27"/>
        <v>echo {"issue":{"subject":"","project_id":79,"tracker_id":40,"status_id":1,"priority_id":2,"assigned_to_id":338,"start_date":"2017-10-23","description":"","custom_fields":[{"id":1,"name":"Subdivision","value":"NW"},{"id":4,"name":"Milepost","value":"5.8943"},{"id":17,"name":"Train ID","value":"829-23"},{"id":16,"name":"Locomotive ID","value":"4060"},{"id":130,"name":"Impact","value":""},{"id":150,"name":"Time of Event (Mountain Time)","value":"16:23:21"},{"id":151,"name":"Denver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3" s="47"/>
      <c r="AL193" s="47"/>
      <c r="AM193" s="142" t="str">
        <f t="shared" si="28"/>
        <v>start /low /b %USERPROFILE%\Documents\GitHub\eaglep3\Utilities\DownloadLogsFromS3.py --loco 4060 --day 2017-10-23</v>
      </c>
      <c r="AN193" s="151" t="str">
        <f t="shared" si="29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22:23:21"},{"id":29,"name":"Sharepoint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168" t="str">
        <f t="shared" si="30"/>
        <v>https://d0f6bd738d7f1b3e5a7ca70fe4ff75f0.us-east-1.aws.found.io/app/kibana#/discover/Steve-Slow-Train-Analysis-(2080s-and-2083s)?_g=(refreshInterval:(display:Off,pause:!f,section:0,value:0),time:(from:'2017-10-23T14:58:07-0600',mode:absolute,to:'2017-10-23T17:23:21-0600'))&amp;_a=(columns:!('Message%20ID',Summary),filters:!(),index:'emp_*',interval:auto,query:(query_string:(analyze_wildcard:!t,query:'%22rtdc.l.rtdc.4060%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3">
      <c r="A194" s="32" t="s">
        <v>821</v>
      </c>
      <c r="B194" s="7">
        <v>4059</v>
      </c>
      <c r="C194" s="21" t="s">
        <v>194</v>
      </c>
      <c r="D194" s="21" t="s">
        <v>569</v>
      </c>
      <c r="E194" s="13">
        <v>43031.684236111112</v>
      </c>
      <c r="F194" s="13">
        <v>43031.714907407404</v>
      </c>
      <c r="G194" s="7">
        <v>52</v>
      </c>
      <c r="H194" s="21" t="s">
        <v>1029</v>
      </c>
      <c r="I194" s="13">
        <v>43031.725393518522</v>
      </c>
      <c r="J194" s="7">
        <v>0</v>
      </c>
      <c r="K194" s="89" t="str">
        <f>IF(ISEVEN(B194),(B194-1)&amp;"/"&amp;B194,B194&amp;"/"&amp;(B194+1))</f>
        <v>4059/4060</v>
      </c>
      <c r="L194" s="185" t="str">
        <f>VLOOKUP(A194,'Trips&amp;Operators'!$C$1:$G$99911,5,FALSE)</f>
        <v>LEVIN SCOTT</v>
      </c>
      <c r="M194" s="6">
        <f>I194-F194</f>
        <v>1.0486111117643304E-2</v>
      </c>
      <c r="N194" s="7">
        <f>24*60*SUM($M194:$M194)</f>
        <v>15.100000009406358</v>
      </c>
      <c r="O194" s="7"/>
      <c r="P194" s="7"/>
      <c r="Q194" s="22"/>
      <c r="R194" s="174"/>
      <c r="S194" s="221">
        <f>1/IF(AG194="EC",12,1)*SUM(U194:U194)</f>
        <v>1</v>
      </c>
      <c r="T194" s="174" t="str">
        <f>IF(ISEVEN(LEFT(AD194,4)),"Southbound","NorthBound")</f>
        <v>Southbound</v>
      </c>
      <c r="U194" s="198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16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-10-23T15:25:18-0600',mode:absolute,to:'2017-10-23T18:24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94" s="204" t="str">
        <f>IF(AA194&lt;VLOOKUP(AG194,Variables!$AC$3:$AD$8,2,FALSE),"Y","N")</f>
        <v>N</v>
      </c>
      <c r="X194" s="204">
        <f>VALUE(LEFT(AD194,4))-VALUE(LEFT(AD193,4))</f>
        <v>1</v>
      </c>
      <c r="Y194" s="204">
        <f>RIGHT(D194,LEN(D194)-4)/10000</f>
        <v>5.8624000000000001</v>
      </c>
      <c r="Z194" s="204">
        <f>RIGHT(H194,LEN(H194)-4)/10000</f>
        <v>6.9900000000000004E-2</v>
      </c>
      <c r="AA194" s="204">
        <f>ABS(Z194-Y194)</f>
        <v>5.7925000000000004</v>
      </c>
      <c r="AB194" s="54" t="e">
        <f>VLOOKUP(A194,Enforcements!$C$7:$K$11,8,0)</f>
        <v>#N/A</v>
      </c>
      <c r="AC194" s="51" t="e">
        <f>VLOOKUP(A194,Enforcements!$C$7:$E$11,3,0)</f>
        <v>#N/A</v>
      </c>
      <c r="AD194" s="179">
        <f>VALUE(LEFT(A194,LEN(A194)-3))</f>
        <v>830</v>
      </c>
      <c r="AE194" s="77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s3://rtdc.mdm.uploadarchive.raw/RTDC4059/ "%USERPROFILE%\AppData\Local\Temp\OnboardLogs"\RTDC4059\2017-10-23 --exclude "*" --recursive --include "*20171023*" &amp; "%USERPROFILE%\Documents\GitHub\mrs-test-scripts\Headless Mode &amp; Sideloading\WalkAndUnGZ.bat" "%USERPROFILE%\AppData\Local\Temp\OnboardLogs"\RTDC4059\2017-10-23 &amp; aws s3 cp s3://rtdc.mdm.uploadarchive.raw/RTDC4059/ "%USERPROFILE%\AppData\Local\Temp\OnboardLogs"\RTDC4059\2017-10-24 --exclude "*" --recursive --include "*20171024*" &amp; "%USERPROFILE%\Documents\GitHub\mrs-test-scripts\Headless Mode &amp; Sideloading\WalkAndUnGZ.bat" "%USERPROFILE%\AppData\Local\Temp\OnboardLogs"\RTDC4059\2017-10-24</v>
      </c>
      <c r="AF194" s="74" t="str">
        <f>astrogrep_path&amp;" /e /r /s /spath="&amp;search_path&amp;" /stypes=""app*"&amp;B194&amp;"*"&amp;TEXT(I194-utc_offset/24,"YYYYMMDD")&amp;"*"" /stext="" "&amp;TEXT(I194-utc_offset/24,"HH")&amp;search_regexp&amp;""""</f>
        <v>"C:\Program Files (x86)\AstroGrep\AstroGrep.exe" /e /r /s /spath="%USERPROFILE%\AppData\Local\Temp\OnboardLogs" /stypes="app*4059*20171023*" /stext=" 23:.+((SYSTEM_STATE.+slice.+state.+changed )|(ment ac)|(multiple cpu faults)|(system.+state.+changed )|(\[timeout)|(PRM\|1\|D)|(kpr)|(kdp)|(train st.+moving)|(\|lc)|(penalty))"</v>
      </c>
      <c r="AG194" s="182" t="str">
        <f>DetSubdiv(A194)</f>
        <v>NW</v>
      </c>
      <c r="AH194" s="78" t="str">
        <f t="shared" si="26"/>
        <v>"%USERPROFILE%\Documents\GitHub\eaglep3\Utilities\RefineRTDCRunTimes.py" --tripid 830-23 --locoid 4059 --swversion DE.1.0.9.0 --startMP 300:58624 --initTime 2017-10-23T16:25:18 --startdatetime 2017-10-23T17:09:28 --delay 52 --endMP 204:699 --enddatetime 2017-10-23T17:24:34 --enforcementcount 0 &gt;&gt;%USERPROFILE%\Documents\GitHub\eaglep3-reporting\EC\2017-10-23-refined-times.txt</v>
      </c>
      <c r="AI194" s="96" t="str">
        <f t="shared" si="27"/>
        <v>echo {"issue":{"subject":"","project_id":79,"tracker_id":40,"status_id":1,"priority_id":2,"assigned_to_id":338,"start_date":"2017-10-23","description":"","custom_fields":[{"id":1,"name":"Subdivision","value":"NW"},{"id":4,"name":"Milepost","value":"0.0699"},{"id":17,"name":"Train ID","value":"830-23"},{"id":16,"name":"Locomotive ID","value":"4059"},{"id":130,"name":"Impact","value":""},{"id":150,"name":"Time of Event (Mountain Time)","value":"17:24:34"},{"id":151,"name":"Denver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4" s="47"/>
      <c r="AL194" s="47"/>
      <c r="AM194" s="142" t="str">
        <f t="shared" si="28"/>
        <v>start /low /b %USERPROFILE%\Documents\GitHub\eaglep3\Utilities\DownloadLogsFromS3.py --loco 4059 --day 2017-10-23</v>
      </c>
      <c r="AN194" s="151" t="str">
        <f t="shared" si="29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23:24:34"},{"id":29,"name":"Sharepoint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168" t="str">
        <f t="shared" si="30"/>
        <v>https://d0f6bd738d7f1b3e5a7ca70fe4ff75f0.us-east-1.aws.found.io/app/kibana#/discover/Steve-Slow-Train-Analysis-(2080s-and-2083s)?_g=(refreshInterval:(display:Off,pause:!f,section:0,value:0),time:(from:'2017-10-23T15:25:18-0600',mode:absolute,to:'2017-10-23T18:24:34-0600'))&amp;_a=(columns:!('Message%20ID',Summary),filters:!(),index:'emp_*',interval:auto,query:(query_string:(analyze_wildcard:!t,query:'%22rtdc.l.rtdc.4059%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3">
      <c r="A195" s="32" t="s">
        <v>667</v>
      </c>
      <c r="B195" s="7">
        <v>4040</v>
      </c>
      <c r="C195" s="21" t="s">
        <v>194</v>
      </c>
      <c r="D195" s="21" t="s">
        <v>569</v>
      </c>
      <c r="E195" s="13">
        <v>43031.684236111112</v>
      </c>
      <c r="F195" s="13">
        <v>43031.694050925929</v>
      </c>
      <c r="G195" s="7">
        <v>52</v>
      </c>
      <c r="H195" s="21" t="s">
        <v>1029</v>
      </c>
      <c r="I195" s="13">
        <v>43031.703240740739</v>
      </c>
      <c r="J195" s="7">
        <v>0</v>
      </c>
      <c r="K195" s="89" t="str">
        <f>IF(ISEVEN(B195),(B195-1)&amp;"/"&amp;B195,B195&amp;"/"&amp;(B195+1))</f>
        <v>4039/4040</v>
      </c>
      <c r="L195" s="185" t="str">
        <f>VLOOKUP(A195,'Trips&amp;Operators'!$C$1:$G$99911,5,FALSE)</f>
        <v>STAMBAUGH JAMES</v>
      </c>
      <c r="M195" s="6">
        <f>I195-F195</f>
        <v>9.1898148093605414E-3</v>
      </c>
      <c r="N195" s="7">
        <f>24*60*SUM($M195:$M195)</f>
        <v>13.23333332547918</v>
      </c>
      <c r="O195" s="7"/>
      <c r="P195" s="7"/>
      <c r="Q195" s="22"/>
      <c r="R195" s="174"/>
      <c r="S195" s="221">
        <f>1/IF(AG195="EC",12,1)*SUM(U195:U195)</f>
        <v>1</v>
      </c>
      <c r="T195" s="174" t="str">
        <f>IF(ISEVEN(LEFT(AD195,4)),"Southbound","NorthBound")</f>
        <v>NorthBound</v>
      </c>
      <c r="U195" s="198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16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2017-10-23T15:25:18-0600',mode:absolute,to:'2017-10-23T17:52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5" s="204" t="str">
        <f>IF(AA195&lt;VLOOKUP(AG195,Variables!$AC$3:$AD$8,2,FALSE),"Y","N")</f>
        <v>N</v>
      </c>
      <c r="X195" s="204">
        <f>VALUE(LEFT(AD195,4))-VALUE(LEFT(AD194,4))</f>
        <v>1</v>
      </c>
      <c r="Y195" s="204">
        <v>9.3399999999999997E-2</v>
      </c>
      <c r="Z195" s="204">
        <v>5.8943000000000003</v>
      </c>
      <c r="AA195" s="204">
        <f>ABS(Z195-Y195)</f>
        <v>5.8009000000000004</v>
      </c>
      <c r="AB195" s="54" t="e">
        <f>VLOOKUP(A195,Enforcements!$C$7:$K$11,8,0)</f>
        <v>#N/A</v>
      </c>
      <c r="AC195" s="51" t="e">
        <f>VLOOKUP(A195,Enforcements!$C$7:$E$11,3,0)</f>
        <v>#N/A</v>
      </c>
      <c r="AD195" s="179">
        <f>VALUE(LEFT(A195,LEN(A195)-3))</f>
        <v>831</v>
      </c>
      <c r="AE195" s="77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s3://rtdc.mdm.uploadarchive.raw/RTDC4040/ "%USERPROFILE%\AppData\Local\Temp\OnboardLogs"\RTDC4040\2017-10-23 --exclude "*" --recursive --include "*20171023*" &amp; "%USERPROFILE%\Documents\GitHub\mrs-test-scripts\Headless Mode &amp; Sideloading\WalkAndUnGZ.bat" "%USERPROFILE%\AppData\Local\Temp\OnboardLogs"\RTDC4040\2017-10-23 &amp; aws s3 cp s3://rtdc.mdm.uploadarchive.raw/RTDC4040/ "%USERPROFILE%\AppData\Local\Temp\OnboardLogs"\RTDC4040\2017-10-24 --exclude "*" --recursive --include "*20171024*" &amp; "%USERPROFILE%\Documents\GitHub\mrs-test-scripts\Headless Mode &amp; Sideloading\WalkAndUnGZ.bat" "%USERPROFILE%\AppData\Local\Temp\OnboardLogs"\RTDC4040\2017-10-24</v>
      </c>
      <c r="AF195" s="74" t="str">
        <f>astrogrep_path&amp;" /e /r /s /spath="&amp;search_path&amp;" /stypes=""app*"&amp;B195&amp;"*"&amp;TEXT(I195-utc_offset/24,"YYYYMMDD")&amp;"*"" /stext="" "&amp;TEXT(I195-utc_offset/24,"HH")&amp;search_regexp&amp;""""</f>
        <v>"C:\Program Files (x86)\AstroGrep\AstroGrep.exe" /e /r /s /spath="%USERPROFILE%\AppData\Local\Temp\OnboardLogs" /stypes="app*4040*20171023*" /stext=" 22:.+((SYSTEM_STATE.+slice.+state.+changed )|(ment ac)|(multiple cpu faults)|(system.+state.+changed )|(\[timeout)|(PRM\|1\|D)|(kpr)|(kdp)|(train st.+moving)|(\|lc)|(penalty))"</v>
      </c>
      <c r="AG195" s="182" t="str">
        <f>DetSubdiv(A195)</f>
        <v>NW</v>
      </c>
      <c r="AH195" s="78" t="str">
        <f t="shared" ref="AH195" si="47">refinertdcruntimes&amp;" --tripid "&amp;A195&amp;" --locoid "&amp;B195&amp;" --swversion "&amp;C195&amp;" --startMP "&amp;D195&amp;" --initTime "&amp;TEXT(E195,"yyyy-mm-ddTHH:MM:SS")&amp;" --startdatetime "&amp;TEXT(F195,"yyyy-mm-ddTHH:MM:SS")&amp;" --delay "&amp;G195&amp;" --endMP "&amp;H195&amp;" --enddatetime "&amp;TEXT(I195,"yyyy-mm-ddTHH:MM:SS")&amp;" --enforcementcount "&amp;J195&amp;IF(outputrefinedruntimes," &gt;&gt;"&amp;RefinedRTDCRunTimesOutputFile,"")</f>
        <v>"%USERPROFILE%\Documents\GitHub\eaglep3\Utilities\RefineRTDCRunTimes.py" --tripid 831-23 --locoid 4040 --swversion DE.1.0.9.0 --startMP 300:58624 --initTime 2017-10-23T16:25:18 --startdatetime 2017-10-23T16:39:26 --delay 52 --endMP 204:699 --enddatetime 2017-10-23T16:52:40 --enforcementcount 0 &gt;&gt;%USERPROFILE%\Documents\GitHub\eaglep3-reporting\EC\2017-10-23-refined-times.txt</v>
      </c>
      <c r="AI195" s="96" t="str">
        <f t="shared" ref="AI195" si="48">"echo {""issue"":{""subject"":"""&amp;R195&amp;""",""project_id"":79,""tracker_id"":40,""status_id"":"&amp;redmine_status&amp;",""priority_id"":"&amp;redmine_priority&amp;",""assigned_to_id"":"&amp;redmine_assignee&amp;",""start_date"":"""&amp;TEXT(I195,"YYYY-mm-dd")&amp;""",""description"":"""&amp;AJ195&amp;""",""custom_fields"":[{""id"":1,""name"":""Subdivision"",""value"":"""&amp;AG195&amp;"""},{""id"":4,""name"":""Milepost"",""value"":"""&amp;Z195&amp;"""},{""id"":17,""name"":""Train ID"",""value"":"""&amp;A195&amp;"""},{""id"":16,""name"":""Locomotive ID"",""value"":"""&amp;B195&amp;"""},{""id"":130,""name"":""Impact"",""value"":"""&amp;AK195&amp;"""},{""id"":150,""name"":""Time of Event (Mountain Time)"",""value"":"""&amp;TEXT(I195,"hh:mm:ss")&amp;"""},{""id"":151,""name"":""Denver Issue ID"",""value"":"""&amp;"""},{""id"":178,""name"":""Operational Impact"",""value"":"""&amp;redmine_op_impact&amp;"""},{""id"":179,""name"":""Denver Segment Assigned"",""value"":"""&amp;AL195&amp;"""}]}}"&amp;"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{"issue":{"subject":"","project_id":79,"tracker_id":40,"status_id":1,"priority_id":2,"assigned_to_id":338,"start_date":"2017-10-23","description":"","custom_fields":[{"id":1,"name":"Subdivision","value":"NW"},{"id":4,"name":"Milepost","value":"5.8943"},{"id":17,"name":"Train ID","value":"831-23"},{"id":16,"name":"Locomotive ID","value":"4040"},{"id":130,"name":"Impact","value":""},{"id":150,"name":"Time of Event (Mountain Time)","value":"16:52:40"},{"id":151,"name":"Denver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5" s="47"/>
      <c r="AL195" s="47"/>
      <c r="AM195" s="142" t="str">
        <f t="shared" ref="AM195" si="49">"start /low /b "&amp;dls3logs&amp;" --loco "&amp;B195&amp;" --day "&amp;TEXT(F195,"YYYY-MM-DD")</f>
        <v>start /low /b %USERPROFILE%\Documents\GitHub\eaglep3\Utilities\DownloadLogsFromS3.py --loco 4040 --day 2017-10-23</v>
      </c>
      <c r="AN195" s="151" t="str">
        <f t="shared" ref="AN195" si="50">"echo {""issue"":{""subject"":"""&amp;R195&amp;""",""project_id"":30,""tracker_id"":4,""status_id"":"&amp;redmine_status_wcr&amp;",""priority_id"":"&amp;redmine_priority_wcr&amp;",""assigned_to_id"":"&amp;redmine_assignee_wcr&amp;",""start_date"":"""&amp;TEXT(I195-utc_offset/24,"YYYY-mm-dd")&amp;""",""description"":"""&amp;AJ195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22:52:40"},{"id":29,"name":"Sharepoint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168" t="str">
        <f t="shared" ref="AO195" si="51"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Message%20ID',Summary),filters:!(),index:'emp_*',interval:auto,query:"&amp;"(query_string:(analyze_wildcard:!t,query:'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2017-10-23T15:25:18-0600',mode:absolute,to:'2017-10-23T17:52:40-0600'))&amp;_a=(columns:!('Message%20ID',Summary),filters:!(),index:'emp_*',interval:auto,query:(query_string:(analyze_wildcard:!t,query:'%22rtdc.l.rtdc.4040%22')),sort:!(Time.ISO8601,asc))</v>
      </c>
    </row>
    <row r="196" spans="1:91" s="20" customFormat="1" x14ac:dyDescent="0.3">
      <c r="A196" s="32" t="s">
        <v>830</v>
      </c>
      <c r="B196" s="7">
        <v>4039</v>
      </c>
      <c r="C196" s="21" t="s">
        <v>194</v>
      </c>
      <c r="D196" s="21" t="s">
        <v>1030</v>
      </c>
      <c r="E196" s="13">
        <v>43031.704409722224</v>
      </c>
      <c r="F196" s="13">
        <v>43031.717465277776</v>
      </c>
      <c r="G196" s="7">
        <v>52</v>
      </c>
      <c r="H196" s="21" t="s">
        <v>1031</v>
      </c>
      <c r="I196" s="13">
        <v>43031.725358796299</v>
      </c>
      <c r="J196" s="7">
        <v>0</v>
      </c>
      <c r="K196" s="89" t="str">
        <f>IF(ISEVEN(B196),(B196-1)&amp;"/"&amp;B196,B196&amp;"/"&amp;(B196+1))</f>
        <v>4039/4040</v>
      </c>
      <c r="L196" s="185" t="str">
        <f>VLOOKUP(A196,'Trips&amp;Operators'!$C$1:$G$99911,5,FALSE)</f>
        <v>STAMBAUGH JAMES</v>
      </c>
      <c r="M196" s="6">
        <f>I196-F196</f>
        <v>7.8935185229056515E-3</v>
      </c>
      <c r="N196" s="7">
        <f>24*60*SUM($M196:$M196)</f>
        <v>11.366666672984138</v>
      </c>
      <c r="O196" s="7"/>
      <c r="P196" s="7"/>
      <c r="Q196" s="22"/>
      <c r="R196" s="174"/>
      <c r="S196" s="221">
        <f>1/IF(AG196="EC",12,1)*SUM(U196:U196)</f>
        <v>1</v>
      </c>
      <c r="T196" s="174" t="str">
        <f>IF(ISEVEN(LEFT(AD196,4)),"Southbound","NorthBound")</f>
        <v>Southbound</v>
      </c>
      <c r="U196" s="198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16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-10-23T15:54:21-0600',mode:absolute,to:'2017-10-23T18:24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96" s="204" t="str">
        <f>IF(AA196&lt;VLOOKUP(AG196,Variables!$AC$3:$AD$8,2,FALSE),"Y","N")</f>
        <v>N</v>
      </c>
      <c r="X196" s="204">
        <f t="shared" ref="X196:X198" si="52">VALUE(LEFT(AD196,4))-VALUE(LEFT(AD195,4))</f>
        <v>1</v>
      </c>
      <c r="Y196" s="204">
        <f>RIGHT(D196,LEN(D196)-4)/10000</f>
        <v>5.8639999999999999</v>
      </c>
      <c r="Z196" s="204">
        <f>RIGHT(H196,LEN(H196)-4)/10000</f>
        <v>6.9800000000000001E-2</v>
      </c>
      <c r="AA196" s="204">
        <f>ABS(Z196-Y196)</f>
        <v>5.7942</v>
      </c>
      <c r="AB196" s="54" t="e">
        <f>VLOOKUP(A196,Enforcements!$C$7:$K$11,8,0)</f>
        <v>#N/A</v>
      </c>
      <c r="AC196" s="51" t="e">
        <f>VLOOKUP(A196,Enforcements!$C$7:$E$11,3,0)</f>
        <v>#N/A</v>
      </c>
      <c r="AD196" s="179">
        <f>VALUE(LEFT(A196,LEN(A196)-3))</f>
        <v>832</v>
      </c>
      <c r="AE196" s="77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s3://rtdc.mdm.uploadarchive.raw/RTDC4039/ "%USERPROFILE%\AppData\Local\Temp\OnboardLogs"\RTDC4039\2017-10-23 --exclude "*" --recursive --include "*20171023*" &amp; "%USERPROFILE%\Documents\GitHub\mrs-test-scripts\Headless Mode &amp; Sideloading\WalkAndUnGZ.bat" "%USERPROFILE%\AppData\Local\Temp\OnboardLogs"\RTDC4039\2017-10-23 &amp; aws s3 cp s3://rtdc.mdm.uploadarchive.raw/RTDC4039/ "%USERPROFILE%\AppData\Local\Temp\OnboardLogs"\RTDC4039\2017-10-24 --exclude "*" --recursive --include "*20171024*" &amp; "%USERPROFILE%\Documents\GitHub\mrs-test-scripts\Headless Mode &amp; Sideloading\WalkAndUnGZ.bat" "%USERPROFILE%\AppData\Local\Temp\OnboardLogs"\RTDC4039\2017-10-24</v>
      </c>
      <c r="AF196" s="74" t="str">
        <f>astrogrep_path&amp;" /e /r /s /spath="&amp;search_path&amp;" /stypes=""app*"&amp;B196&amp;"*"&amp;TEXT(I196-utc_offset/24,"YYYYMMDD")&amp;"*"" /stext="" "&amp;TEXT(I196-utc_offset/24,"HH")&amp;search_regexp&amp;""""</f>
        <v>"C:\Program Files (x86)\AstroGrep\AstroGrep.exe" /e /r /s /spath="%USERPROFILE%\AppData\Local\Temp\OnboardLogs" /stypes="app*4039*20171023*" /stext=" 23:.+((SYSTEM_STATE.+slice.+state.+changed )|(ment ac)|(multiple cpu faults)|(system.+state.+changed )|(\[timeout)|(PRM\|1\|D)|(kpr)|(kdp)|(train st.+moving)|(\|lc)|(penalty))"</v>
      </c>
      <c r="AG196" s="182" t="str">
        <f>DetSubdiv(A196)</f>
        <v>NW</v>
      </c>
      <c r="AH196" s="78" t="str">
        <f t="shared" si="26"/>
        <v>"%USERPROFILE%\Documents\GitHub\eaglep3\Utilities\RefineRTDCRunTimes.py" --tripid 832-23 --locoid 4039 --swversion DE.1.0.9.0 --startMP 300:58640 --initTime 2017-10-23T16:54:21 --startdatetime 2017-10-23T17:13:09 --delay 52 --endMP 204:698 --enddatetime 2017-10-23T17:24:31 --enforcementcount 0 &gt;&gt;%USERPROFILE%\Documents\GitHub\eaglep3-reporting\EC\2017-10-23-refined-times.txt</v>
      </c>
      <c r="AI196" s="96" t="str">
        <f t="shared" si="27"/>
        <v>echo {"issue":{"subject":"","project_id":79,"tracker_id":40,"status_id":1,"priority_id":2,"assigned_to_id":338,"start_date":"2017-10-23","description":"","custom_fields":[{"id":1,"name":"Subdivision","value":"NW"},{"id":4,"name":"Milepost","value":"0.0698"},{"id":17,"name":"Train ID","value":"832-23"},{"id":16,"name":"Locomotive ID","value":"4039"},{"id":130,"name":"Impact","value":""},{"id":150,"name":"Time of Event (Mountain Time)","value":"17:24:31"},{"id":151,"name":"Denver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6" s="47"/>
      <c r="AL196" s="47"/>
      <c r="AM196" s="142" t="str">
        <f t="shared" si="28"/>
        <v>start /low /b %USERPROFILE%\Documents\GitHub\eaglep3\Utilities\DownloadLogsFromS3.py --loco 4039 --day 2017-10-23</v>
      </c>
      <c r="AN196" s="151" t="str">
        <f t="shared" si="29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23:24:31"},{"id":29,"name":"Sharepoint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168" t="str">
        <f t="shared" si="30"/>
        <v>https://d0f6bd738d7f1b3e5a7ca70fe4ff75f0.us-east-1.aws.found.io/app/kibana#/discover/Steve-Slow-Train-Analysis-(2080s-and-2083s)?_g=(refreshInterval:(display:Off,pause:!f,section:0,value:0),time:(from:'2017-10-23T15:54:21-0600',mode:absolute,to:'2017-10-23T18:24:31-0600'))&amp;_a=(columns:!('Message%20ID',Summary),filters:!(),index:'emp_*',interval:auto,query:(query_string:(analyze_wildcard:!t,query:'%22rtdc.l.rtdc.4039%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3">
      <c r="A197" s="32" t="s">
        <v>832</v>
      </c>
      <c r="B197" s="7">
        <v>4060</v>
      </c>
      <c r="C197" s="21" t="s">
        <v>194</v>
      </c>
      <c r="D197" s="21" t="s">
        <v>566</v>
      </c>
      <c r="E197" s="13">
        <v>43031.707939814813</v>
      </c>
      <c r="F197" s="13">
        <v>43031.714907407404</v>
      </c>
      <c r="G197" s="7">
        <v>65</v>
      </c>
      <c r="H197" s="21" t="s">
        <v>617</v>
      </c>
      <c r="I197" s="13">
        <v>43031.725393518522</v>
      </c>
      <c r="J197" s="7">
        <v>0</v>
      </c>
      <c r="K197" s="89" t="str">
        <f>IF(ISEVEN(B197),(B197-1)&amp;"/"&amp;B197,B197&amp;"/"&amp;(B197+1))</f>
        <v>4059/4060</v>
      </c>
      <c r="L197" s="185" t="str">
        <f>VLOOKUP(A197,'Trips&amp;Operators'!$C$1:$G$99911,5,FALSE)</f>
        <v>LEVIN SCOTT</v>
      </c>
      <c r="M197" s="6">
        <f>I197-F197</f>
        <v>1.0486111117643304E-2</v>
      </c>
      <c r="N197" s="7">
        <f>24*60*SUM($M197:$M197)</f>
        <v>15.100000009406358</v>
      </c>
      <c r="O197" s="7"/>
      <c r="P197" s="7"/>
      <c r="Q197" s="22"/>
      <c r="R197" s="174"/>
      <c r="S197" s="221">
        <f>1/IF(AG197="EC",12,1)*SUM(U197:U197)</f>
        <v>1</v>
      </c>
      <c r="T197" s="174" t="str">
        <f>IF(ISEVEN(LEFT(AD197,4)),"Southbound","NorthBound")</f>
        <v>NorthBound</v>
      </c>
      <c r="U197" s="198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16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-10-23T15:59:26-0600',mode:absolute,to:'2017-10-23T18:24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97" s="204" t="str">
        <f>IF(AA197&lt;VLOOKUP(AG197,Variables!$AC$3:$AD$8,2,FALSE),"Y","N")</f>
        <v>N</v>
      </c>
      <c r="X197" s="204">
        <f t="shared" si="52"/>
        <v>1</v>
      </c>
      <c r="Y197" s="204">
        <f>RIGHT(D197,LEN(D197)-4)/10000</f>
        <v>9.6699999999999994E-2</v>
      </c>
      <c r="Z197" s="204">
        <f>RIGHT(H197,LEN(H197)-4)/10000</f>
        <v>5.8928000000000003</v>
      </c>
      <c r="AA197" s="204">
        <f>ABS(Z197-Y197)</f>
        <v>5.7961</v>
      </c>
      <c r="AB197" s="54" t="e">
        <f>VLOOKUP(A197,Enforcements!$C$7:$K$11,8,0)</f>
        <v>#N/A</v>
      </c>
      <c r="AC197" s="51" t="e">
        <f>VLOOKUP(A197,Enforcements!$C$7:$E$11,3,0)</f>
        <v>#N/A</v>
      </c>
      <c r="AD197" s="179">
        <f>VALUE(LEFT(A197,LEN(A197)-3))</f>
        <v>833</v>
      </c>
      <c r="AE197" s="77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s3://rtdc.mdm.uploadarchive.raw/RTDC4060/ "%USERPROFILE%\AppData\Local\Temp\OnboardLogs"\RTDC4060\2017-10-23 --exclude "*" --recursive --include "*20171023*" &amp; "%USERPROFILE%\Documents\GitHub\mrs-test-scripts\Headless Mode &amp; Sideloading\WalkAndUnGZ.bat" "%USERPROFILE%\AppData\Local\Temp\OnboardLogs"\RTDC4060\2017-10-23 &amp; aws s3 cp s3://rtdc.mdm.uploadarchive.raw/RTDC4060/ "%USERPROFILE%\AppData\Local\Temp\OnboardLogs"\RTDC4060\2017-10-24 --exclude "*" --recursive --include "*20171024*" &amp; "%USERPROFILE%\Documents\GitHub\mrs-test-scripts\Headless Mode &amp; Sideloading\WalkAndUnGZ.bat" "%USERPROFILE%\AppData\Local\Temp\OnboardLogs"\RTDC4060\2017-10-24</v>
      </c>
      <c r="AF197" s="74" t="str">
        <f>astrogrep_path&amp;" /e /r /s /spath="&amp;search_path&amp;" /stypes=""app*"&amp;B197&amp;"*"&amp;TEXT(I197-utc_offset/24,"YYYYMMDD")&amp;"*"" /stext="" "&amp;TEXT(I197-utc_offset/24,"HH")&amp;search_regexp&amp;""""</f>
        <v>"C:\Program Files (x86)\AstroGrep\AstroGrep.exe" /e /r /s /spath="%USERPROFILE%\AppData\Local\Temp\OnboardLogs" /stypes="app*4060*20171023*" /stext=" 23:.+((SYSTEM_STATE.+slice.+state.+changed )|(ment ac)|(multiple cpu faults)|(system.+state.+changed )|(\[timeout)|(PRM\|1\|D)|(kpr)|(kdp)|(train st.+moving)|(\|lc)|(penalty))"</v>
      </c>
      <c r="AG197" s="182" t="str">
        <f>DetSubdiv(A197)</f>
        <v>NW</v>
      </c>
      <c r="AH197" s="78" t="str">
        <f t="shared" si="26"/>
        <v>"%USERPROFILE%\Documents\GitHub\eaglep3\Utilities\RefineRTDCRunTimes.py" --tripid 833-23 --locoid 4060 --swversion DE.1.0.9.0 --startMP 204:967 --initTime 2017-10-23T16:59:26 --startdatetime 2017-10-23T17:09:28 --delay 65 --endMP 300:58928 --enddatetime 2017-10-23T17:24:34 --enforcementcount 0 &gt;&gt;%USERPROFILE%\Documents\GitHub\eaglep3-reporting\EC\2017-10-23-refined-times.txt</v>
      </c>
      <c r="AI197" s="96" t="str">
        <f t="shared" si="27"/>
        <v>echo {"issue":{"subject":"","project_id":79,"tracker_id":40,"status_id":1,"priority_id":2,"assigned_to_id":338,"start_date":"2017-10-23","description":"","custom_fields":[{"id":1,"name":"Subdivision","value":"NW"},{"id":4,"name":"Milepost","value":"5.8928"},{"id":17,"name":"Train ID","value":"833-23"},{"id":16,"name":"Locomotive ID","value":"4060"},{"id":130,"name":"Impact","value":""},{"id":150,"name":"Time of Event (Mountain Time)","value":"17:24:34"},{"id":151,"name":"Denver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7" s="47"/>
      <c r="AL197" s="47"/>
      <c r="AM197" s="142" t="str">
        <f t="shared" si="28"/>
        <v>start /low /b %USERPROFILE%\Documents\GitHub\eaglep3\Utilities\DownloadLogsFromS3.py --loco 4060 --day 2017-10-23</v>
      </c>
      <c r="AN197" s="151" t="str">
        <f t="shared" si="29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23:24:34"},{"id":29,"name":"Sharepoint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168" t="str">
        <f t="shared" si="30"/>
        <v>https://d0f6bd738d7f1b3e5a7ca70fe4ff75f0.us-east-1.aws.found.io/app/kibana#/discover/Steve-Slow-Train-Analysis-(2080s-and-2083s)?_g=(refreshInterval:(display:Off,pause:!f,section:0,value:0),time:(from:'2017-10-23T15:59:26-0600',mode:absolute,to:'2017-10-23T18:24:34-0600'))&amp;_a=(columns:!('Message%20ID',Summary),filters:!(),index:'emp_*',interval:auto,query:(query_string:(analyze_wildcard:!t,query:'%22rtdc.l.rtdc.4060%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3">
      <c r="A198" s="32" t="s">
        <v>837</v>
      </c>
      <c r="B198" s="7">
        <v>4059</v>
      </c>
      <c r="C198" s="21" t="s">
        <v>194</v>
      </c>
      <c r="D198" s="21" t="s">
        <v>1032</v>
      </c>
      <c r="E198" s="13">
        <v>43031.726319444446</v>
      </c>
      <c r="F198" s="13">
        <v>43031.737986111111</v>
      </c>
      <c r="G198" s="7">
        <v>68</v>
      </c>
      <c r="H198" s="21" t="s">
        <v>623</v>
      </c>
      <c r="I198" s="13">
        <v>43031.746481481481</v>
      </c>
      <c r="J198" s="7">
        <v>0</v>
      </c>
      <c r="K198" s="89" t="str">
        <f>IF(ISEVEN(B198),(B198-1)&amp;"/"&amp;B198,B198&amp;"/"&amp;(B198+1))</f>
        <v>4059/4060</v>
      </c>
      <c r="L198" s="185" t="str">
        <f>VLOOKUP(A198,'Trips&amp;Operators'!$C$1:$G$99911,5,FALSE)</f>
        <v>LEVIN SCOTT</v>
      </c>
      <c r="M198" s="6">
        <f>I198-F198</f>
        <v>8.4953703699284233E-3</v>
      </c>
      <c r="N198" s="7">
        <f>24*60*SUM($M198:$M198)</f>
        <v>12.23333333269693</v>
      </c>
      <c r="O198" s="7"/>
      <c r="P198" s="7"/>
      <c r="Q198" s="22"/>
      <c r="R198" s="174"/>
      <c r="S198" s="221">
        <f>1/IF(AG198="EC",12,1)*SUM(U198:U198)</f>
        <v>1</v>
      </c>
      <c r="T198" s="174" t="str">
        <f>IF(ISEVEN(LEFT(AD198,4)),"Southbound","NorthBound")</f>
        <v>Southbound</v>
      </c>
      <c r="U198" s="198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16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-10-23T16:25:54-0600',mode:absolute,to:'2017-10-23T18:54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98" s="204" t="str">
        <f>IF(AA198&lt;VLOOKUP(AG198,Variables!$AC$3:$AD$8,2,FALSE),"Y","N")</f>
        <v>N</v>
      </c>
      <c r="X198" s="204">
        <f t="shared" si="52"/>
        <v>1</v>
      </c>
      <c r="Y198" s="204">
        <f>RIGHT(D198,LEN(D198)-4)/10000</f>
        <v>5.8613</v>
      </c>
      <c r="Z198" s="204">
        <f>RIGHT(H198,LEN(H198)-4)/10000</f>
        <v>6.8900000000000003E-2</v>
      </c>
      <c r="AA198" s="204">
        <f>ABS(Z198-Y198)</f>
        <v>5.7923999999999998</v>
      </c>
      <c r="AB198" s="54" t="e">
        <f>VLOOKUP(A198,Enforcements!$C$7:$K$11,8,0)</f>
        <v>#N/A</v>
      </c>
      <c r="AC198" s="51" t="e">
        <f>VLOOKUP(A198,Enforcements!$C$7:$E$11,3,0)</f>
        <v>#N/A</v>
      </c>
      <c r="AD198" s="179">
        <f>VALUE(LEFT(A198,LEN(A198)-3))</f>
        <v>834</v>
      </c>
      <c r="AE198" s="77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s3://rtdc.mdm.uploadarchive.raw/RTDC4059/ "%USERPROFILE%\AppData\Local\Temp\OnboardLogs"\RTDC4059\2017-10-23 --exclude "*" --recursive --include "*20171023*" &amp; "%USERPROFILE%\Documents\GitHub\mrs-test-scripts\Headless Mode &amp; Sideloading\WalkAndUnGZ.bat" "%USERPROFILE%\AppData\Local\Temp\OnboardLogs"\RTDC4059\2017-10-23 &amp; aws s3 cp s3://rtdc.mdm.uploadarchive.raw/RTDC4059/ "%USERPROFILE%\AppData\Local\Temp\OnboardLogs"\RTDC4059\2017-10-24 --exclude "*" --recursive --include "*20171024*" &amp; "%USERPROFILE%\Documents\GitHub\mrs-test-scripts\Headless Mode &amp; Sideloading\WalkAndUnGZ.bat" "%USERPROFILE%\AppData\Local\Temp\OnboardLogs"\RTDC4059\2017-10-24</v>
      </c>
      <c r="AF198" s="74" t="str">
        <f>astrogrep_path&amp;" /e /r /s /spath="&amp;search_path&amp;" /stypes=""app*"&amp;B198&amp;"*"&amp;TEXT(I198-utc_offset/24,"YYYYMMDD")&amp;"*"" /stext="" "&amp;TEXT(I198-utc_offset/24,"HH")&amp;search_regexp&amp;""""</f>
        <v>"C:\Program Files (x86)\AstroGrep\AstroGrep.exe" /e /r /s /spath="%USERPROFILE%\AppData\Local\Temp\OnboardLogs" /stypes="app*4059*20171023*" /stext=" 23:.+((SYSTEM_STATE.+slice.+state.+changed )|(ment ac)|(multiple cpu faults)|(system.+state.+changed )|(\[timeout)|(PRM\|1\|D)|(kpr)|(kdp)|(train st.+moving)|(\|lc)|(penalty))"</v>
      </c>
      <c r="AG198" s="182" t="str">
        <f>DetSubdiv(A198)</f>
        <v>NW</v>
      </c>
      <c r="AH198" s="78" t="str">
        <f t="shared" si="26"/>
        <v>"%USERPROFILE%\Documents\GitHub\eaglep3\Utilities\RefineRTDCRunTimes.py" --tripid 834-23 --locoid 4059 --swversion DE.1.0.9.0 --startMP 300:58613 --initTime 2017-10-23T17:25:54 --startdatetime 2017-10-23T17:42:42 --delay 68 --endMP 204:689 --enddatetime 2017-10-23T17:54:56 --enforcementcount 0 &gt;&gt;%USERPROFILE%\Documents\GitHub\eaglep3-reporting\EC\2017-10-23-refined-times.txt</v>
      </c>
      <c r="AI198" s="96" t="str">
        <f t="shared" si="27"/>
        <v>echo {"issue":{"subject":"","project_id":79,"tracker_id":40,"status_id":1,"priority_id":2,"assigned_to_id":338,"start_date":"2017-10-23","description":"","custom_fields":[{"id":1,"name":"Subdivision","value":"NW"},{"id":4,"name":"Milepost","value":"0.0689"},{"id":17,"name":"Train ID","value":"834-23"},{"id":16,"name":"Locomotive ID","value":"4059"},{"id":130,"name":"Impact","value":""},{"id":150,"name":"Time of Event (Mountain Time)","value":"17:54:56"},{"id":151,"name":"Denver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8" s="47"/>
      <c r="AL198" s="47"/>
      <c r="AM198" s="142" t="str">
        <f t="shared" si="28"/>
        <v>start /low /b %USERPROFILE%\Documents\GitHub\eaglep3\Utilities\DownloadLogsFromS3.py --loco 4059 --day 2017-10-23</v>
      </c>
      <c r="AN198" s="151" t="str">
        <f t="shared" si="29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23:54:56"},{"id":29,"name":"Sharepoint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168" t="str">
        <f t="shared" si="30"/>
        <v>https://d0f6bd738d7f1b3e5a7ca70fe4ff75f0.us-east-1.aws.found.io/app/kibana#/discover/Steve-Slow-Train-Analysis-(2080s-and-2083s)?_g=(refreshInterval:(display:Off,pause:!f,section:0,value:0),time:(from:'2017-10-23T16:25:54-0600',mode:absolute,to:'2017-10-23T18:54:56-0600'))&amp;_a=(columns:!('Message%20ID',Summary),filters:!(),index:'emp_*',interval:auto,query:(query_string:(analyze_wildcard:!t,query:'%22rtdc.l.rtdc.4059%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3">
      <c r="A199" s="32" t="s">
        <v>838</v>
      </c>
      <c r="B199" s="7">
        <v>4040</v>
      </c>
      <c r="C199" s="21" t="s">
        <v>194</v>
      </c>
      <c r="D199" s="21" t="s">
        <v>1033</v>
      </c>
      <c r="E199" s="13">
        <v>43031.732187499998</v>
      </c>
      <c r="F199" s="13">
        <v>43031.735949074071</v>
      </c>
      <c r="G199" s="7">
        <v>52</v>
      </c>
      <c r="H199" s="21" t="s">
        <v>1034</v>
      </c>
      <c r="I199" s="13">
        <v>43031.746168981481</v>
      </c>
      <c r="J199" s="7">
        <v>0</v>
      </c>
      <c r="K199" s="89" t="str">
        <f>IF(ISEVEN(B199),(B199-1)&amp;"/"&amp;B199,B199&amp;"/"&amp;(B199+1))</f>
        <v>4039/4040</v>
      </c>
      <c r="L199" s="185" t="str">
        <f>VLOOKUP(A199,'Trips&amp;Operators'!$C$1:$G$99911,5,FALSE)</f>
        <v>STAMBAUGH JAMES</v>
      </c>
      <c r="M199" s="6">
        <f>I199-F199</f>
        <v>1.021990740991896E-2</v>
      </c>
      <c r="N199" s="7">
        <f>24*60*SUM($M199:$M199)</f>
        <v>14.716666670283303</v>
      </c>
      <c r="O199" s="7"/>
      <c r="P199" s="7"/>
      <c r="Q199" s="22"/>
      <c r="R199" s="174"/>
      <c r="S199" s="221">
        <f>1/IF(AG199="EC",12,1)*SUM(U199:U199)</f>
        <v>1</v>
      </c>
      <c r="T199" s="174" t="str">
        <f>IF(ISEVEN(LEFT(AD199,4)),"Southbound","NorthBound")</f>
        <v>NorthBound</v>
      </c>
      <c r="U199" s="198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16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2017-10-23T16:34:21-0600',mode:absolute,to:'2017-10-23T18:54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9" s="204" t="str">
        <f>IF(AA199&lt;VLOOKUP(AG199,Variables!$AC$3:$AD$8,2,FALSE),"Y","N")</f>
        <v>N</v>
      </c>
      <c r="X199" s="204">
        <f>VALUE(LEFT(AD199,4))-VALUE(LEFT(AD198,4))</f>
        <v>1</v>
      </c>
      <c r="Y199" s="204">
        <f>RIGHT(D199,LEN(D199)-4)/10000</f>
        <v>9.4600000000000004E-2</v>
      </c>
      <c r="Z199" s="204">
        <f>RIGHT(H199,LEN(H199)-4)/10000</f>
        <v>5.8948</v>
      </c>
      <c r="AA199" s="204">
        <f>ABS(Z199-Y199)</f>
        <v>5.8002000000000002</v>
      </c>
      <c r="AB199" s="54" t="e">
        <f>VLOOKUP(A199,Enforcements!$C$7:$K$11,8,0)</f>
        <v>#N/A</v>
      </c>
      <c r="AC199" s="51" t="e">
        <f>VLOOKUP(A199,Enforcements!$C$7:$E$11,3,0)</f>
        <v>#N/A</v>
      </c>
      <c r="AD199" s="179">
        <f>VALUE(LEFT(A199,LEN(A199)-3))</f>
        <v>835</v>
      </c>
      <c r="AE199" s="77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s3://rtdc.mdm.uploadarchive.raw/RTDC4040/ "%USERPROFILE%\AppData\Local\Temp\OnboardLogs"\RTDC4040\2017-10-23 --exclude "*" --recursive --include "*20171023*" &amp; "%USERPROFILE%\Documents\GitHub\mrs-test-scripts\Headless Mode &amp; Sideloading\WalkAndUnGZ.bat" "%USERPROFILE%\AppData\Local\Temp\OnboardLogs"\RTDC4040\2017-10-23 &amp; aws s3 cp s3://rtdc.mdm.uploadarchive.raw/RTDC4040/ "%USERPROFILE%\AppData\Local\Temp\OnboardLogs"\RTDC4040\2017-10-24 --exclude "*" --recursive --include "*20171024*" &amp; "%USERPROFILE%\Documents\GitHub\mrs-test-scripts\Headless Mode &amp; Sideloading\WalkAndUnGZ.bat" "%USERPROFILE%\AppData\Local\Temp\OnboardLogs"\RTDC4040\2017-10-24</v>
      </c>
      <c r="AF199" s="74" t="str">
        <f>astrogrep_path&amp;" /e /r /s /spath="&amp;search_path&amp;" /stypes=""app*"&amp;B199&amp;"*"&amp;TEXT(I199-utc_offset/24,"YYYYMMDD")&amp;"*"" /stext="" "&amp;TEXT(I199-utc_offset/24,"HH")&amp;search_regexp&amp;""""</f>
        <v>"C:\Program Files (x86)\AstroGrep\AstroGrep.exe" /e /r /s /spath="%USERPROFILE%\AppData\Local\Temp\OnboardLogs" /stypes="app*4040*20171023*" /stext=" 23:.+((SYSTEM_STATE.+slice.+state.+changed )|(ment ac)|(multiple cpu faults)|(system.+state.+changed )|(\[timeout)|(PRM\|1\|D)|(kpr)|(kdp)|(train st.+moving)|(\|lc)|(penalty))"</v>
      </c>
      <c r="AG199" s="182" t="str">
        <f>DetSubdiv(A199)</f>
        <v>NW</v>
      </c>
      <c r="AH199" s="78" t="str">
        <f t="shared" si="26"/>
        <v>"%USERPROFILE%\Documents\GitHub\eaglep3\Utilities\RefineRTDCRunTimes.py" --tripid 835-23 --locoid 4040 --swversion DE.1.0.9.0 --startMP 204:946 --initTime 2017-10-23T17:34:21 --startdatetime 2017-10-23T17:39:46 --delay 52 --endMP 300:58948 --enddatetime 2017-10-23T17:54:29 --enforcementcount 0 &gt;&gt;%USERPROFILE%\Documents\GitHub\eaglep3-reporting\EC\2017-10-23-refined-times.txt</v>
      </c>
      <c r="AI199" s="96" t="str">
        <f t="shared" si="27"/>
        <v>echo {"issue":{"subject":"","project_id":79,"tracker_id":40,"status_id":1,"priority_id":2,"assigned_to_id":338,"start_date":"2017-10-23","description":"","custom_fields":[{"id":1,"name":"Subdivision","value":"NW"},{"id":4,"name":"Milepost","value":"5.8948"},{"id":17,"name":"Train ID","value":"835-23"},{"id":16,"name":"Locomotive ID","value":"4040"},{"id":130,"name":"Impact","value":""},{"id":150,"name":"Time of Event (Mountain Time)","value":"17:54:29"},{"id":151,"name":"Denver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9" s="47"/>
      <c r="AL199" s="47"/>
      <c r="AM199" s="142" t="str">
        <f t="shared" si="28"/>
        <v>start /low /b %USERPROFILE%\Documents\GitHub\eaglep3\Utilities\DownloadLogsFromS3.py --loco 4040 --day 2017-10-23</v>
      </c>
      <c r="AN199" s="151" t="str">
        <f t="shared" si="29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23:54:29"},{"id":29,"name":"Sharepoint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168" t="str">
        <f t="shared" si="30"/>
        <v>https://d0f6bd738d7f1b3e5a7ca70fe4ff75f0.us-east-1.aws.found.io/app/kibana#/discover/Steve-Slow-Train-Analysis-(2080s-and-2083s)?_g=(refreshInterval:(display:Off,pause:!f,section:0,value:0),time:(from:'2017-10-23T16:34:21-0600',mode:absolute,to:'2017-10-23T18:54:29-0600'))&amp;_a=(columns:!('Message%20ID',Summary),filters:!(),index:'emp_*',interval:auto,query:(query_string:(analyze_wildcard:!t,query:'%22rtdc.l.rtdc.4040%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3">
      <c r="A200" s="32" t="s">
        <v>668</v>
      </c>
      <c r="B200" s="7">
        <v>4039</v>
      </c>
      <c r="C200" s="21" t="s">
        <v>194</v>
      </c>
      <c r="D200" s="21" t="s">
        <v>1035</v>
      </c>
      <c r="E200" s="13">
        <v>43031.747754629629</v>
      </c>
      <c r="F200" s="13">
        <v>43031.759027777778</v>
      </c>
      <c r="G200" s="7">
        <v>55</v>
      </c>
      <c r="H200" s="21" t="s">
        <v>1036</v>
      </c>
      <c r="I200" s="13">
        <v>43031.766863425924</v>
      </c>
      <c r="J200" s="7">
        <v>0</v>
      </c>
      <c r="K200" s="89" t="str">
        <f>IF(ISEVEN(B200),(B200-1)&amp;"/"&amp;B200,B200&amp;"/"&amp;(B200+1))</f>
        <v>4039/4040</v>
      </c>
      <c r="L200" s="185" t="str">
        <f>VLOOKUP(A200,'Trips&amp;Operators'!$C$1:$G$99911,5,FALSE)</f>
        <v>STAMBAUGH JAMES</v>
      </c>
      <c r="M200" s="6">
        <f>I200-F200</f>
        <v>7.8356481462833472E-3</v>
      </c>
      <c r="N200" s="7">
        <f>24*60*SUM($M200:$M200)</f>
        <v>11.28333333064802</v>
      </c>
      <c r="O200" s="7"/>
      <c r="P200" s="7"/>
      <c r="Q200" s="22"/>
      <c r="R200" s="174"/>
      <c r="S200" s="221">
        <f>1/IF(AG200="EC",12,1)*SUM(U200:U200)</f>
        <v>1</v>
      </c>
      <c r="T200" s="174" t="str">
        <f>IF(ISEVEN(LEFT(AD200,4)),"Southbound","NorthBound")</f>
        <v>Southbound</v>
      </c>
      <c r="U200" s="198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16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-10-23T16:56:46-0600',mode:absolute,to:'2017-10-23T19:24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00" s="204" t="str">
        <f>IF(AA200&lt;VLOOKUP(AG200,Variables!$AC$3:$AD$8,2,FALSE),"Y","N")</f>
        <v>N</v>
      </c>
      <c r="X200" s="204">
        <f>VALUE(LEFT(AD200,4))-VALUE(LEFT(AD199,4))</f>
        <v>1</v>
      </c>
      <c r="Y200" s="204">
        <f>RIGHT(D200,LEN(D200)-4)/10000</f>
        <v>5.8630000000000004</v>
      </c>
      <c r="Z200" s="204">
        <f>RIGHT(H200,LEN(H200)-4)/10000</f>
        <v>7.4800000000000005E-2</v>
      </c>
      <c r="AA200" s="204">
        <f>ABS(Z200-Y200)</f>
        <v>5.7882000000000007</v>
      </c>
      <c r="AB200" s="54" t="e">
        <f>VLOOKUP(A200,Enforcements!$C$7:$K$11,8,0)</f>
        <v>#N/A</v>
      </c>
      <c r="AC200" s="51" t="e">
        <f>VLOOKUP(A200,Enforcements!$C$7:$E$11,3,0)</f>
        <v>#N/A</v>
      </c>
      <c r="AD200" s="179">
        <f>VALUE(LEFT(A200,LEN(A200)-3))</f>
        <v>836</v>
      </c>
      <c r="AE200" s="77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s3://rtdc.mdm.uploadarchive.raw/RTDC4039/ "%USERPROFILE%\AppData\Local\Temp\OnboardLogs"\RTDC4039\2017-10-23 --exclude "*" --recursive --include "*20171023*" &amp; "%USERPROFILE%\Documents\GitHub\mrs-test-scripts\Headless Mode &amp; Sideloading\WalkAndUnGZ.bat" "%USERPROFILE%\AppData\Local\Temp\OnboardLogs"\RTDC4039\2017-10-23 &amp; aws s3 cp s3://rtdc.mdm.uploadarchive.raw/RTDC4039/ "%USERPROFILE%\AppData\Local\Temp\OnboardLogs"\RTDC4039\2017-10-24 --exclude "*" --recursive --include "*20171024*" &amp; "%USERPROFILE%\Documents\GitHub\mrs-test-scripts\Headless Mode &amp; Sideloading\WalkAndUnGZ.bat" "%USERPROFILE%\AppData\Local\Temp\OnboardLogs"\RTDC4039\2017-10-24</v>
      </c>
      <c r="AF200" s="74" t="str">
        <f>astrogrep_path&amp;" /e /r /s /spath="&amp;search_path&amp;" /stypes=""app*"&amp;B200&amp;"*"&amp;TEXT(I200-utc_offset/24,"YYYYMMDD")&amp;"*"" /stext="" "&amp;TEXT(I200-utc_offset/24,"HH")&amp;search_regexp&amp;""""</f>
        <v>"C:\Program Files (x86)\AstroGrep\AstroGrep.exe" /e /r /s /spath="%USERPROFILE%\AppData\Local\Temp\OnboardLogs" /stypes="app*4039*20171024*" /stext=" 00:.+((SYSTEM_STATE.+slice.+state.+changed )|(ment ac)|(multiple cpu faults)|(system.+state.+changed )|(\[timeout)|(PRM\|1\|D)|(kpr)|(kdp)|(train st.+moving)|(\|lc)|(penalty))"</v>
      </c>
      <c r="AG200" s="182" t="str">
        <f>DetSubdiv(A200)</f>
        <v>NW</v>
      </c>
      <c r="AH200" s="78" t="str">
        <f t="shared" si="26"/>
        <v>"%USERPROFILE%\Documents\GitHub\eaglep3\Utilities\RefineRTDCRunTimes.py" --tripid 836-23 --locoid 4039 --swversion DE.1.0.9.0 --startMP 300:58630 --initTime 2017-10-23T17:56:46 --startdatetime 2017-10-23T18:13:00 --delay 55 --endMP 204:748 --enddatetime 2017-10-23T18:24:17 --enforcementcount 0 &gt;&gt;%USERPROFILE%\Documents\GitHub\eaglep3-reporting\EC\2017-10-23-refined-times.txt</v>
      </c>
      <c r="AI200" s="96" t="str">
        <f t="shared" si="27"/>
        <v>echo {"issue":{"subject":"","project_id":79,"tracker_id":40,"status_id":1,"priority_id":2,"assigned_to_id":338,"start_date":"2017-10-23","description":"","custom_fields":[{"id":1,"name":"Subdivision","value":"NW"},{"id":4,"name":"Milepost","value":"0.0748"},{"id":17,"name":"Train ID","value":"836-23"},{"id":16,"name":"Locomotive ID","value":"4039"},{"id":130,"name":"Impact","value":""},{"id":150,"name":"Time of Event (Mountain Time)","value":"18:24:17"},{"id":151,"name":"Denver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0" s="47"/>
      <c r="AL200" s="47"/>
      <c r="AM200" s="142" t="str">
        <f t="shared" si="28"/>
        <v>start /low /b %USERPROFILE%\Documents\GitHub\eaglep3\Utilities\DownloadLogsFromS3.py --loco 4039 --day 2017-10-23</v>
      </c>
      <c r="AN200" s="151" t="str">
        <f t="shared" si="29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00:24:17"},{"id":29,"name":"Sharepoint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168" t="str">
        <f t="shared" si="30"/>
        <v>https://d0f6bd738d7f1b3e5a7ca70fe4ff75f0.us-east-1.aws.found.io/app/kibana#/discover/Steve-Slow-Train-Analysis-(2080s-and-2083s)?_g=(refreshInterval:(display:Off,pause:!f,section:0,value:0),time:(from:'2017-10-23T16:56:46-0600',mode:absolute,to:'2017-10-23T19:24:17-0600'))&amp;_a=(columns:!('Message%20ID',Summary),filters:!(),index:'emp_*',interval:auto,query:(query_string:(analyze_wildcard:!t,query:'%22rtdc.l.rtdc.4039%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3">
      <c r="A201" s="32" t="s">
        <v>847</v>
      </c>
      <c r="B201" s="7">
        <v>4060</v>
      </c>
      <c r="C201" s="21" t="s">
        <v>194</v>
      </c>
      <c r="D201" s="21" t="s">
        <v>1035</v>
      </c>
      <c r="E201" s="13">
        <v>43031.747754629629</v>
      </c>
      <c r="F201" s="13">
        <v>43031.756469907406</v>
      </c>
      <c r="G201" s="7">
        <v>55</v>
      </c>
      <c r="H201" s="21" t="s">
        <v>1036</v>
      </c>
      <c r="I201" s="13">
        <v>43031.767164351855</v>
      </c>
      <c r="J201" s="7">
        <v>0</v>
      </c>
      <c r="K201" s="89" t="str">
        <f>IF(ISEVEN(B201),(B201-1)&amp;"/"&amp;B201,B201&amp;"/"&amp;(B201+1))</f>
        <v>4059/4060</v>
      </c>
      <c r="L201" s="185" t="str">
        <f>VLOOKUP(A201,'Trips&amp;Operators'!$C$1:$G$99911,5,FALSE)</f>
        <v>LEVIN SCOTT</v>
      </c>
      <c r="M201" s="6">
        <f>I201-F201</f>
        <v>1.0694444448745344E-2</v>
      </c>
      <c r="N201" s="7">
        <f>24*60*SUM($M201:$M201)</f>
        <v>15.400000006193295</v>
      </c>
      <c r="O201" s="7"/>
      <c r="P201" s="7"/>
      <c r="Q201" s="22"/>
      <c r="R201" s="174"/>
      <c r="S201" s="221">
        <f>1/IF(AG201="EC",12,1)*SUM(U201:U201)</f>
        <v>1</v>
      </c>
      <c r="T201" s="174" t="str">
        <f>IF(ISEVEN(LEFT(AD201,4)),"Southbound","NorthBound")</f>
        <v>NorthBound</v>
      </c>
      <c r="U201" s="198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16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-10-23T16:56:46-0600',mode:absolute,to:'2017-10-23T19:24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01" s="204" t="str">
        <f>IF(AA201&lt;VLOOKUP(AG201,Variables!$AC$3:$AD$8,2,FALSE),"Y","N")</f>
        <v>N</v>
      </c>
      <c r="X201" s="204">
        <f>VALUE(LEFT(AD201,4))-VALUE(LEFT(AD200,4))</f>
        <v>1</v>
      </c>
      <c r="Y201" s="204">
        <v>9.4600000000000004E-2</v>
      </c>
      <c r="Z201" s="204">
        <v>5.8948</v>
      </c>
      <c r="AA201" s="204">
        <f>ABS(Z201-Y201)</f>
        <v>5.8002000000000002</v>
      </c>
      <c r="AB201" s="54" t="e">
        <f>VLOOKUP(A201,Enforcements!$C$7:$K$11,8,0)</f>
        <v>#N/A</v>
      </c>
      <c r="AC201" s="51" t="e">
        <f>VLOOKUP(A201,Enforcements!$C$7:$E$11,3,0)</f>
        <v>#N/A</v>
      </c>
      <c r="AD201" s="179">
        <f>VALUE(LEFT(A201,LEN(A201)-3))</f>
        <v>837</v>
      </c>
      <c r="AE201" s="77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s3://rtdc.mdm.uploadarchive.raw/RTDC4060/ "%USERPROFILE%\AppData\Local\Temp\OnboardLogs"\RTDC4060\2017-10-23 --exclude "*" --recursive --include "*20171023*" &amp; "%USERPROFILE%\Documents\GitHub\mrs-test-scripts\Headless Mode &amp; Sideloading\WalkAndUnGZ.bat" "%USERPROFILE%\AppData\Local\Temp\OnboardLogs"\RTDC4060\2017-10-23 &amp; aws s3 cp s3://rtdc.mdm.uploadarchive.raw/RTDC4060/ "%USERPROFILE%\AppData\Local\Temp\OnboardLogs"\RTDC4060\2017-10-24 --exclude "*" --recursive --include "*20171024*" &amp; "%USERPROFILE%\Documents\GitHub\mrs-test-scripts\Headless Mode &amp; Sideloading\WalkAndUnGZ.bat" "%USERPROFILE%\AppData\Local\Temp\OnboardLogs"\RTDC4060\2017-10-24</v>
      </c>
      <c r="AF201" s="74" t="str">
        <f>astrogrep_path&amp;" /e /r /s /spath="&amp;search_path&amp;" /stypes=""app*"&amp;B201&amp;"*"&amp;TEXT(I201-utc_offset/24,"YYYYMMDD")&amp;"*"" /stext="" "&amp;TEXT(I201-utc_offset/24,"HH")&amp;search_regexp&amp;""""</f>
        <v>"C:\Program Files (x86)\AstroGrep\AstroGrep.exe" /e /r /s /spath="%USERPROFILE%\AppData\Local\Temp\OnboardLogs" /stypes="app*4060*20171024*" /stext=" 00:.+((SYSTEM_STATE.+slice.+state.+changed )|(ment ac)|(multiple cpu faults)|(system.+state.+changed )|(\[timeout)|(PRM\|1\|D)|(kpr)|(kdp)|(train st.+moving)|(\|lc)|(penalty))"</v>
      </c>
      <c r="AG201" s="182" t="str">
        <f>DetSubdiv(A201)</f>
        <v>NW</v>
      </c>
      <c r="AH201" s="78" t="str">
        <f t="shared" ref="AH201" si="53">refinertdcruntimes&amp;" --tripid "&amp;A201&amp;" --locoid "&amp;B201&amp;" --swversion "&amp;C201&amp;" --startMP "&amp;D201&amp;" --initTime "&amp;TEXT(E201,"yyyy-mm-ddTHH:MM:SS")&amp;" --startdatetime "&amp;TEXT(F201,"yyyy-mm-ddTHH:MM:SS")&amp;" --delay "&amp;G201&amp;" --endMP "&amp;H201&amp;" --enddatetime "&amp;TEXT(I201,"yyyy-mm-ddTHH:MM:SS")&amp;" --enforcementcount "&amp;J201&amp;IF(outputrefinedruntimes," &gt;&gt;"&amp;RefinedRTDCRunTimesOutputFile,"")</f>
        <v>"%USERPROFILE%\Documents\GitHub\eaglep3\Utilities\RefineRTDCRunTimes.py" --tripid 837-23 --locoid 4060 --swversion DE.1.0.9.0 --startMP 300:58630 --initTime 2017-10-23T17:56:46 --startdatetime 2017-10-23T18:09:19 --delay 55 --endMP 204:748 --enddatetime 2017-10-23T18:24:43 --enforcementcount 0 &gt;&gt;%USERPROFILE%\Documents\GitHub\eaglep3-reporting\EC\2017-10-23-refined-times.txt</v>
      </c>
      <c r="AI201" s="96" t="str">
        <f t="shared" ref="AI201" si="54">"echo {""issue"":{""subject"":"""&amp;R201&amp;""",""project_id"":79,""tracker_id"":40,""status_id"":"&amp;redmine_status&amp;",""priority_id"":"&amp;redmine_priority&amp;",""assigned_to_id"":"&amp;redmine_assignee&amp;",""start_date"":"""&amp;TEXT(I201,"YYYY-mm-dd")&amp;""",""description"":"""&amp;AJ201&amp;""",""custom_fields"":[{""id"":1,""name"":""Subdivision"",""value"":"""&amp;AG201&amp;"""},{""id"":4,""name"":""Milepost"",""value"":"""&amp;Z201&amp;"""},{""id"":17,""name"":""Train ID"",""value"":"""&amp;A201&amp;"""},{""id"":16,""name"":""Locomotive ID"",""value"":"""&amp;B201&amp;"""},{""id"":130,""name"":""Impact"",""value"":"""&amp;AK201&amp;"""},{""id"":150,""name"":""Time of Event (Mountain Time)"",""value"":"""&amp;TEXT(I201,"hh:mm:ss")&amp;"""},{""id"":151,""name"":""Denver Issue ID"",""value"":"""&amp;"""},{""id"":178,""name"":""Operational Impact"",""value"":"""&amp;redmine_op_impact&amp;"""},{""id"":179,""name"":""Denver Segment Assigned"",""value"":"""&amp;AL201&amp;"""}]}}"&amp;"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{"issue":{"subject":"","project_id":79,"tracker_id":40,"status_id":1,"priority_id":2,"assigned_to_id":338,"start_date":"2017-10-23","description":"","custom_fields":[{"id":1,"name":"Subdivision","value":"NW"},{"id":4,"name":"Milepost","value":"5.8948"},{"id":17,"name":"Train ID","value":"837-23"},{"id":16,"name":"Locomotive ID","value":"4060"},{"id":130,"name":"Impact","value":""},{"id":150,"name":"Time of Event (Mountain Time)","value":"18:24:43"},{"id":151,"name":"Denver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1" s="47"/>
      <c r="AL201" s="47"/>
      <c r="AM201" s="142" t="str">
        <f t="shared" ref="AM201" si="55">"start /low /b "&amp;dls3logs&amp;" --loco "&amp;B201&amp;" --day "&amp;TEXT(F201,"YYYY-MM-DD")</f>
        <v>start /low /b %USERPROFILE%\Documents\GitHub\eaglep3\Utilities\DownloadLogsFromS3.py --loco 4060 --day 2017-10-23</v>
      </c>
      <c r="AN201" s="151" t="str">
        <f t="shared" ref="AN201" si="56">"echo {""issue"":{""subject"":"""&amp;R201&amp;""",""project_id"":30,""tracker_id"":4,""status_id"":"&amp;redmine_status_wcr&amp;",""priority_id"":"&amp;redmine_priority_wcr&amp;",""assigned_to_id"":"&amp;redmine_assignee_wcr&amp;",""start_date"":"""&amp;TEXT(I201-utc_offset/24,"YYYY-mm-dd")&amp;""",""description"":"""&amp;AJ201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00:24:43"},{"id":29,"name":"Sharepoint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168" t="str">
        <f t="shared" ref="AO201" si="57"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Message%20ID',Summary),filters:!(),index:'emp_*',interval:auto,query:"&amp;"(query_string:(analyze_wildcard:!t,query:'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-10-23T16:56:46-0600',mode:absolute,to:'2017-10-23T19:24:43-0600'))&amp;_a=(columns:!('Message%20ID',Summary),filters:!(),index:'emp_*',interval:auto,query:(query_string:(analyze_wildcard:!t,query:'%22rtdc.l.rtdc.4060%22')),sort:!(Time.ISO8601,asc))</v>
      </c>
    </row>
    <row r="202" spans="1:91" s="20" customFormat="1" x14ac:dyDescent="0.3">
      <c r="A202" s="32" t="s">
        <v>851</v>
      </c>
      <c r="B202" s="7">
        <v>4059</v>
      </c>
      <c r="C202" s="21" t="s">
        <v>194</v>
      </c>
      <c r="D202" s="21" t="s">
        <v>1037</v>
      </c>
      <c r="E202" s="13">
        <v>43031.768125000002</v>
      </c>
      <c r="F202" s="13">
        <v>43031.779768518521</v>
      </c>
      <c r="G202" s="7">
        <v>65</v>
      </c>
      <c r="H202" s="21" t="s">
        <v>623</v>
      </c>
      <c r="I202" s="13">
        <v>43031.788668981484</v>
      </c>
      <c r="J202" s="7">
        <v>0</v>
      </c>
      <c r="K202" s="89" t="str">
        <f>IF(ISEVEN(B202),(B202-1)&amp;"/"&amp;B202,B202&amp;"/"&amp;(B202+1))</f>
        <v>4059/4060</v>
      </c>
      <c r="L202" s="185" t="str">
        <f>VLOOKUP(A202,'Trips&amp;Operators'!$C$1:$G$99911,5,FALSE)</f>
        <v>LEVIN SCOTT</v>
      </c>
      <c r="M202" s="6">
        <f>I202-F202</f>
        <v>8.9004629626288079E-3</v>
      </c>
      <c r="N202" s="7">
        <f>24*60*SUM($M202:$M202)</f>
        <v>12.816666666185483</v>
      </c>
      <c r="O202" s="7"/>
      <c r="P202" s="7"/>
      <c r="Q202" s="22"/>
      <c r="R202" s="174"/>
      <c r="S202" s="221">
        <f>1/IF(AG202="EC",12,1)*SUM(U202:U202)</f>
        <v>1</v>
      </c>
      <c r="T202" s="174" t="str">
        <f>IF(ISEVEN(LEFT(AD202,4)),"Southbound","NorthBound")</f>
        <v>Southbound</v>
      </c>
      <c r="U202" s="198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16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-10-23T17:26:06-0600',mode:absolute,to:'2017-10-23T19:55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02" s="204" t="str">
        <f>IF(AA202&lt;VLOOKUP(AG202,Variables!$AC$3:$AD$8,2,FALSE),"Y","N")</f>
        <v>N</v>
      </c>
      <c r="X202" s="204">
        <f t="shared" ref="X202:X203" si="58">VALUE(LEFT(AD202,4))-VALUE(LEFT(AD201,4))</f>
        <v>1</v>
      </c>
      <c r="Y202" s="204">
        <f>RIGHT(D202,LEN(D202)-4)/10000</f>
        <v>5.8616999999999999</v>
      </c>
      <c r="Z202" s="204">
        <f>RIGHT(H202,LEN(H202)-4)/10000</f>
        <v>6.8900000000000003E-2</v>
      </c>
      <c r="AA202" s="204">
        <f>ABS(Z202-Y202)</f>
        <v>5.7927999999999997</v>
      </c>
      <c r="AB202" s="54" t="e">
        <f>VLOOKUP(A202,Enforcements!$C$7:$K$11,8,0)</f>
        <v>#N/A</v>
      </c>
      <c r="AC202" s="51" t="e">
        <f>VLOOKUP(A202,Enforcements!$C$7:$E$11,3,0)</f>
        <v>#N/A</v>
      </c>
      <c r="AD202" s="179">
        <f>VALUE(LEFT(A202,LEN(A202)-3))</f>
        <v>838</v>
      </c>
      <c r="AE202" s="77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s3://rtdc.mdm.uploadarchive.raw/RTDC4059/ "%USERPROFILE%\AppData\Local\Temp\OnboardLogs"\RTDC4059\2017-10-23 --exclude "*" --recursive --include "*20171023*" &amp; "%USERPROFILE%\Documents\GitHub\mrs-test-scripts\Headless Mode &amp; Sideloading\WalkAndUnGZ.bat" "%USERPROFILE%\AppData\Local\Temp\OnboardLogs"\RTDC4059\2017-10-23 &amp; aws s3 cp s3://rtdc.mdm.uploadarchive.raw/RTDC4059/ "%USERPROFILE%\AppData\Local\Temp\OnboardLogs"\RTDC4059\2017-10-24 --exclude "*" --recursive --include "*20171024*" &amp; "%USERPROFILE%\Documents\GitHub\mrs-test-scripts\Headless Mode &amp; Sideloading\WalkAndUnGZ.bat" "%USERPROFILE%\AppData\Local\Temp\OnboardLogs"\RTDC4059\2017-10-24</v>
      </c>
      <c r="AF202" s="74" t="str">
        <f>astrogrep_path&amp;" /e /r /s /spath="&amp;search_path&amp;" /stypes=""app*"&amp;B202&amp;"*"&amp;TEXT(I202-utc_offset/24,"YYYYMMDD")&amp;"*"" /stext="" "&amp;TEXT(I202-utc_offset/24,"HH")&amp;search_regexp&amp;""""</f>
        <v>"C:\Program Files (x86)\AstroGrep\AstroGrep.exe" /e /r /s /spath="%USERPROFILE%\AppData\Local\Temp\OnboardLogs" /stypes="app*4059*20171024*" /stext=" 00:.+((SYSTEM_STATE.+slice.+state.+changed )|(ment ac)|(multiple cpu faults)|(system.+state.+changed )|(\[timeout)|(PRM\|1\|D)|(kpr)|(kdp)|(train st.+moving)|(\|lc)|(penalty))"</v>
      </c>
      <c r="AG202" s="182" t="str">
        <f>DetSubdiv(A202)</f>
        <v>NW</v>
      </c>
      <c r="AH202" s="78" t="str">
        <f t="shared" si="26"/>
        <v>"%USERPROFILE%\Documents\GitHub\eaglep3\Utilities\RefineRTDCRunTimes.py" --tripid 838-23 --locoid 4059 --swversion DE.1.0.9.0 --startMP 300:58617 --initTime 2017-10-23T18:26:06 --startdatetime 2017-10-23T18:42:52 --delay 65 --endMP 204:689 --enddatetime 2017-10-23T18:55:41 --enforcementcount 0 &gt;&gt;%USERPROFILE%\Documents\GitHub\eaglep3-reporting\EC\2017-10-23-refined-times.txt</v>
      </c>
      <c r="AI202" s="96" t="str">
        <f t="shared" si="27"/>
        <v>echo {"issue":{"subject":"","project_id":79,"tracker_id":40,"status_id":1,"priority_id":2,"assigned_to_id":338,"start_date":"2017-10-23","description":"","custom_fields":[{"id":1,"name":"Subdivision","value":"NW"},{"id":4,"name":"Milepost","value":"0.0689"},{"id":17,"name":"Train ID","value":"838-23"},{"id":16,"name":"Locomotive ID","value":"4059"},{"id":130,"name":"Impact","value":""},{"id":150,"name":"Time of Event (Mountain Time)","value":"18:55:41"},{"id":151,"name":"Denver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2" s="47"/>
      <c r="AL202" s="47"/>
      <c r="AM202" s="142" t="str">
        <f t="shared" si="28"/>
        <v>start /low /b %USERPROFILE%\Documents\GitHub\eaglep3\Utilities\DownloadLogsFromS3.py --loco 4059 --day 2017-10-23</v>
      </c>
      <c r="AN202" s="151" t="str">
        <f t="shared" si="29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00:55:41"},{"id":29,"name":"Sharepoint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168" t="str">
        <f t="shared" si="30"/>
        <v>https://d0f6bd738d7f1b3e5a7ca70fe4ff75f0.us-east-1.aws.found.io/app/kibana#/discover/Steve-Slow-Train-Analysis-(2080s-and-2083s)?_g=(refreshInterval:(display:Off,pause:!f,section:0,value:0),time:(from:'2017-10-23T17:26:06-0600',mode:absolute,to:'2017-10-23T19:55:41-0600'))&amp;_a=(columns:!('Message%20ID',Summary),filters:!(),index:'emp_*',interval:auto,query:(query_string:(analyze_wildcard:!t,query:'%22rtdc.l.rtdc.4059%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3">
      <c r="A203" s="32" t="s">
        <v>669</v>
      </c>
      <c r="B203" s="7">
        <v>4040</v>
      </c>
      <c r="C203" s="21" t="s">
        <v>194</v>
      </c>
      <c r="D203" s="21" t="s">
        <v>1038</v>
      </c>
      <c r="E203" s="13">
        <v>43031.774722222224</v>
      </c>
      <c r="F203" s="13">
        <v>43031.777314814812</v>
      </c>
      <c r="G203" s="7">
        <v>62</v>
      </c>
      <c r="H203" s="21" t="s">
        <v>1028</v>
      </c>
      <c r="I203" s="13">
        <v>43031.787789351853</v>
      </c>
      <c r="J203" s="7">
        <v>0</v>
      </c>
      <c r="K203" s="89" t="str">
        <f>IF(ISEVEN(B203),(B203-1)&amp;"/"&amp;B203,B203&amp;"/"&amp;(B203+1))</f>
        <v>4039/4040</v>
      </c>
      <c r="L203" s="185" t="str">
        <f>VLOOKUP(A203,'Trips&amp;Operators'!$C$1:$G$99911,5,FALSE)</f>
        <v>STAMBAUGH JAMES</v>
      </c>
      <c r="M203" s="6">
        <f>I203-F203</f>
        <v>1.0474537040863652E-2</v>
      </c>
      <c r="N203" s="7">
        <f>24*60*SUM($M203:$M203)</f>
        <v>15.083333338843659</v>
      </c>
      <c r="O203" s="7"/>
      <c r="P203" s="7"/>
      <c r="Q203" s="22"/>
      <c r="R203" s="174"/>
      <c r="S203" s="221">
        <f>1/IF(AG203="EC",12,1)*SUM(U203:U203)</f>
        <v>1</v>
      </c>
      <c r="T203" s="174" t="str">
        <f>IF(ISEVEN(LEFT(AD203,4)),"Southbound","NorthBound")</f>
        <v>NorthBound</v>
      </c>
      <c r="U203" s="198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16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-10-23T17:35:36-0600',mode:absolute,to:'2017-10-23T19:54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03" s="204" t="str">
        <f>IF(AA203&lt;VLOOKUP(AG203,Variables!$AC$3:$AD$8,2,FALSE),"Y","N")</f>
        <v>N</v>
      </c>
      <c r="X203" s="204">
        <f t="shared" si="58"/>
        <v>1</v>
      </c>
      <c r="Y203" s="204">
        <f>RIGHT(D203,LEN(D203)-4)/10000</f>
        <v>0.1056</v>
      </c>
      <c r="Z203" s="204">
        <f>RIGHT(H203,LEN(H203)-4)/10000</f>
        <v>5.8943000000000003</v>
      </c>
      <c r="AA203" s="204">
        <f>ABS(Z203-Y203)</f>
        <v>5.7887000000000004</v>
      </c>
      <c r="AB203" s="54" t="e">
        <f>VLOOKUP(A203,Enforcements!$C$7:$K$11,8,0)</f>
        <v>#N/A</v>
      </c>
      <c r="AC203" s="51" t="e">
        <f>VLOOKUP(A203,Enforcements!$C$7:$E$11,3,0)</f>
        <v>#N/A</v>
      </c>
      <c r="AD203" s="179">
        <f>VALUE(LEFT(A203,LEN(A203)-3))</f>
        <v>839</v>
      </c>
      <c r="AE203" s="77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s3://rtdc.mdm.uploadarchive.raw/RTDC4040/ "%USERPROFILE%\AppData\Local\Temp\OnboardLogs"\RTDC4040\2017-10-23 --exclude "*" --recursive --include "*20171023*" &amp; "%USERPROFILE%\Documents\GitHub\mrs-test-scripts\Headless Mode &amp; Sideloading\WalkAndUnGZ.bat" "%USERPROFILE%\AppData\Local\Temp\OnboardLogs"\RTDC4040\2017-10-23 &amp; aws s3 cp s3://rtdc.mdm.uploadarchive.raw/RTDC4040/ "%USERPROFILE%\AppData\Local\Temp\OnboardLogs"\RTDC4040\2017-10-24 --exclude "*" --recursive --include "*20171024*" &amp; "%USERPROFILE%\Documents\GitHub\mrs-test-scripts\Headless Mode &amp; Sideloading\WalkAndUnGZ.bat" "%USERPROFILE%\AppData\Local\Temp\OnboardLogs"\RTDC4040\2017-10-24</v>
      </c>
      <c r="AF203" s="74" t="str">
        <f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/stypes="app*4040*20171024*" /stext=" 00:.+((SYSTEM_STATE.+slice.+state.+changed )|(ment ac)|(multiple cpu faults)|(system.+state.+changed )|(\[timeout)|(PRM\|1\|D)|(kpr)|(kdp)|(train st.+moving)|(\|lc)|(penalty))"</v>
      </c>
      <c r="AG203" s="182" t="str">
        <f>DetSubdiv(A203)</f>
        <v>NW</v>
      </c>
      <c r="AH203" s="78" t="str">
        <f t="shared" si="26"/>
        <v>"%USERPROFILE%\Documents\GitHub\eaglep3\Utilities\RefineRTDCRunTimes.py" --tripid 839-23 --locoid 4040 --swversion DE.1.0.9.0 --startMP 204:1056 --initTime 2017-10-23T18:35:36 --startdatetime 2017-10-23T18:39:20 --delay 62 --endMP 300:58943 --enddatetime 2017-10-23T18:54:25 --enforcementcount 0 &gt;&gt;%USERPROFILE%\Documents\GitHub\eaglep3-reporting\EC\2017-10-23-refined-times.txt</v>
      </c>
      <c r="AI203" s="96" t="str">
        <f t="shared" si="27"/>
        <v>echo {"issue":{"subject":"","project_id":79,"tracker_id":40,"status_id":1,"priority_id":2,"assigned_to_id":338,"start_date":"2017-10-23","description":"","custom_fields":[{"id":1,"name":"Subdivision","value":"NW"},{"id":4,"name":"Milepost","value":"5.8943"},{"id":17,"name":"Train ID","value":"839-23"},{"id":16,"name":"Locomotive ID","value":"4040"},{"id":130,"name":"Impact","value":""},{"id":150,"name":"Time of Event (Mountain Time)","value":"18:54:25"},{"id":151,"name":"Denver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3" s="47"/>
      <c r="AL203" s="47"/>
      <c r="AM203" s="142" t="str">
        <f t="shared" si="28"/>
        <v>start /low /b %USERPROFILE%\Documents\GitHub\eaglep3\Utilities\DownloadLogsFromS3.py --loco 4040 --day 2017-10-23</v>
      </c>
      <c r="AN203" s="151" t="str">
        <f t="shared" si="29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00:54:25"},{"id":29,"name":"Sharepoint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168" t="str">
        <f t="shared" si="30"/>
        <v>https://d0f6bd738d7f1b3e5a7ca70fe4ff75f0.us-east-1.aws.found.io/app/kibana#/discover/Steve-Slow-Train-Analysis-(2080s-and-2083s)?_g=(refreshInterval:(display:Off,pause:!f,section:0,value:0),time:(from:'2017-10-23T17:35:36-0600',mode:absolute,to:'2017-10-23T19:54:25-0600'))&amp;_a=(columns:!('Message%20ID',Summary),filters:!(),index:'emp_*',interval:auto,query:(query_string:(analyze_wildcard:!t,query:'%22rtdc.l.rtdc.4040%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3">
      <c r="A204" s="32" t="s">
        <v>861</v>
      </c>
      <c r="B204" s="7">
        <v>4059</v>
      </c>
      <c r="C204" s="21" t="s">
        <v>194</v>
      </c>
      <c r="D204" s="21" t="s">
        <v>1032</v>
      </c>
      <c r="E204" s="13">
        <v>43031.812164351853</v>
      </c>
      <c r="F204" s="13">
        <v>43031.813888888886</v>
      </c>
      <c r="G204" s="7">
        <v>64</v>
      </c>
      <c r="H204" s="21" t="s">
        <v>1039</v>
      </c>
      <c r="I204" s="13">
        <v>43031.830243055556</v>
      </c>
      <c r="J204" s="7">
        <v>0</v>
      </c>
      <c r="K204" s="89" t="str">
        <f>IF(ISEVEN(B204),(B204-1)&amp;"/"&amp;B204,B204&amp;"/"&amp;(B204+1))</f>
        <v>4059/4060</v>
      </c>
      <c r="L204" s="185" t="str">
        <f>VLOOKUP(A204,'Trips&amp;Operators'!$C$1:$G$99911,5,FALSE)</f>
        <v>LEVIN SCOTT</v>
      </c>
      <c r="M204" s="6">
        <f>I204-F204</f>
        <v>1.6354166669771075E-2</v>
      </c>
      <c r="N204" s="7">
        <f>24*60*SUM($M204:$M204)</f>
        <v>23.550000004470348</v>
      </c>
      <c r="O204" s="7"/>
      <c r="P204" s="7"/>
      <c r="Q204" s="22"/>
      <c r="R204" s="174"/>
      <c r="S204" s="221">
        <f>1/IF(AG204="EC",12,1)*SUM(U204:U204)</f>
        <v>1</v>
      </c>
      <c r="T204" s="174" t="str">
        <f>IF(ISEVEN(LEFT(AD204,4)),"Southbound","NorthBound")</f>
        <v>Southbound</v>
      </c>
      <c r="U204" s="198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16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-10-23T18:29:31-0600',mode:absolute,to:'2017-10-23T20:55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04" s="204" t="str">
        <f>IF(AA204&lt;VLOOKUP(AG204,Variables!$AC$3:$AD$8,2,FALSE),"Y","N")</f>
        <v>N</v>
      </c>
      <c r="X204" s="204">
        <f>VALUE(LEFT(AD204,4))-VALUE(LEFT(AD203,4))</f>
        <v>1</v>
      </c>
      <c r="Y204" s="204">
        <f>RIGHT(D204,LEN(D204)-4)/10000</f>
        <v>5.8613</v>
      </c>
      <c r="Z204" s="204">
        <f>RIGHT(H204,LEN(H204)-4)/10000</f>
        <v>6.6799999999999998E-2</v>
      </c>
      <c r="AA204" s="204">
        <f>ABS(Z204-Y204)</f>
        <v>5.7945000000000002</v>
      </c>
      <c r="AB204" s="54" t="e">
        <f>VLOOKUP(A204,Enforcements!$C$7:$K$11,8,0)</f>
        <v>#N/A</v>
      </c>
      <c r="AC204" s="51" t="e">
        <f>VLOOKUP(A204,Enforcements!$C$7:$E$11,3,0)</f>
        <v>#N/A</v>
      </c>
      <c r="AD204" s="179">
        <f>VALUE(LEFT(A204,LEN(A204)-3))</f>
        <v>840</v>
      </c>
      <c r="AE204" s="77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s3://rtdc.mdm.uploadarchive.raw/RTDC4059/ "%USERPROFILE%\AppData\Local\Temp\OnboardLogs"\RTDC4059\2017-10-23 --exclude "*" --recursive --include "*20171023*" &amp; "%USERPROFILE%\Documents\GitHub\mrs-test-scripts\Headless Mode &amp; Sideloading\WalkAndUnGZ.bat" "%USERPROFILE%\AppData\Local\Temp\OnboardLogs"\RTDC4059\2017-10-23 &amp; aws s3 cp s3://rtdc.mdm.uploadarchive.raw/RTDC4059/ "%USERPROFILE%\AppData\Local\Temp\OnboardLogs"\RTDC4059\2017-10-24 --exclude "*" --recursive --include "*20171024*" &amp; "%USERPROFILE%\Documents\GitHub\mrs-test-scripts\Headless Mode &amp; Sideloading\WalkAndUnGZ.bat" "%USERPROFILE%\AppData\Local\Temp\OnboardLogs"\RTDC4059\2017-10-24</v>
      </c>
      <c r="AF204" s="74" t="str">
        <f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/stypes="app*4059*20171024*" /stext=" 01:.+((SYSTEM_STATE.+slice.+state.+changed )|(ment ac)|(multiple cpu faults)|(system.+state.+changed )|(\[timeout)|(PRM\|1\|D)|(kpr)|(kdp)|(train st.+moving)|(\|lc)|(penalty))"</v>
      </c>
      <c r="AG204" s="182" t="str">
        <f>DetSubdiv(A204)</f>
        <v>NW</v>
      </c>
      <c r="AH204" s="78" t="str">
        <f t="shared" si="26"/>
        <v>"%USERPROFILE%\Documents\GitHub\eaglep3\Utilities\RefineRTDCRunTimes.py" --tripid 840-23 --locoid 4059 --swversion DE.1.0.9.0 --startMP 300:58613 --initTime 2017-10-23T19:29:31 --startdatetime 2017-10-23T19:32:00 --delay 64 --endMP 204:668 --enddatetime 2017-10-23T19:55:33 --enforcementcount 0 &gt;&gt;%USERPROFILE%\Documents\GitHub\eaglep3-reporting\EC\2017-10-23-refined-times.txt</v>
      </c>
      <c r="AI204" s="96" t="str">
        <f t="shared" si="27"/>
        <v>echo {"issue":{"subject":"","project_id":79,"tracker_id":40,"status_id":1,"priority_id":2,"assigned_to_id":338,"start_date":"2017-10-23","description":"","custom_fields":[{"id":1,"name":"Subdivision","value":"NW"},{"id":4,"name":"Milepost","value":"0.0668"},{"id":17,"name":"Train ID","value":"840-23"},{"id":16,"name":"Locomotive ID","value":"4059"},{"id":130,"name":"Impact","value":""},{"id":150,"name":"Time of Event (Mountain Time)","value":"19:55:33"},{"id":151,"name":"Denver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4" s="47"/>
      <c r="AL204" s="47"/>
      <c r="AM204" s="142" t="str">
        <f t="shared" si="28"/>
        <v>start /low /b %USERPROFILE%\Documents\GitHub\eaglep3\Utilities\DownloadLogsFromS3.py --loco 4059 --day 2017-10-23</v>
      </c>
      <c r="AN204" s="151" t="str">
        <f t="shared" si="29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01:55:33"},{"id":29,"name":"Sharepoint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168" t="str">
        <f t="shared" si="30"/>
        <v>https://d0f6bd738d7f1b3e5a7ca70fe4ff75f0.us-east-1.aws.found.io/app/kibana#/discover/Steve-Slow-Train-Analysis-(2080s-and-2083s)?_g=(refreshInterval:(display:Off,pause:!f,section:0,value:0),time:(from:'2017-10-23T18:29:31-0600',mode:absolute,to:'2017-10-23T20:55:33-0600'))&amp;_a=(columns:!('Message%20ID',Summary),filters:!(),index:'emp_*',interval:auto,query:(query_string:(analyze_wildcard:!t,query:'%22rtdc.l.rtdc.4059%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3">
      <c r="A205" s="32" t="s">
        <v>856</v>
      </c>
      <c r="B205" s="7">
        <v>4060</v>
      </c>
      <c r="C205" s="21" t="s">
        <v>194</v>
      </c>
      <c r="D205" s="21" t="s">
        <v>1040</v>
      </c>
      <c r="E205" s="13">
        <v>43031.790069444447</v>
      </c>
      <c r="F205" s="13">
        <v>43031.798472222225</v>
      </c>
      <c r="G205" s="7">
        <v>53</v>
      </c>
      <c r="H205" s="21" t="s">
        <v>1002</v>
      </c>
      <c r="I205" s="13">
        <v>43031.808865740742</v>
      </c>
      <c r="J205" s="7">
        <v>0</v>
      </c>
      <c r="K205" s="89" t="str">
        <f>IF(ISEVEN(B205),(B205-1)&amp;"/"&amp;B205,B205&amp;"/"&amp;(B205+1))</f>
        <v>4059/4060</v>
      </c>
      <c r="L205" s="185" t="str">
        <f>VLOOKUP(A205,'Trips&amp;Operators'!$C$1:$G$99911,5,FALSE)</f>
        <v>LEVIN SCOTT</v>
      </c>
      <c r="M205" s="6">
        <f>I205-F205</f>
        <v>1.0393518517958E-2</v>
      </c>
      <c r="N205" s="7">
        <f>24*60*SUM($M205:$M205)</f>
        <v>14.96666666585952</v>
      </c>
      <c r="O205" s="7"/>
      <c r="P205" s="7"/>
      <c r="Q205" s="22"/>
      <c r="R205" s="174"/>
      <c r="S205" s="221">
        <f>1/IF(AG205="EC",12,1)*SUM(U205:U205)</f>
        <v>1</v>
      </c>
      <c r="T205" s="174" t="str">
        <f>IF(ISEVEN(LEFT(AD205,4)),"Southbound","NorthBound")</f>
        <v>NorthBound</v>
      </c>
      <c r="U205" s="198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16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-10-23T17:57:42-0600',mode:absolute,to:'2017-10-23T20:24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05" s="204" t="str">
        <f>IF(AA205&lt;VLOOKUP(AG205,Variables!$AC$3:$AD$8,2,FALSE),"Y","N")</f>
        <v>N</v>
      </c>
      <c r="X205" s="204">
        <f>VALUE(LEFT(AD205,4))-VALUE(LEFT(AD204,4))</f>
        <v>1</v>
      </c>
      <c r="Y205" s="204">
        <f>RIGHT(D205,LEN(D205)-4)/10000</f>
        <v>9.3700000000000006E-2</v>
      </c>
      <c r="Z205" s="204">
        <f>RIGHT(H205,LEN(H205)-4)/10000</f>
        <v>5.8929</v>
      </c>
      <c r="AA205" s="204">
        <f>ABS(Z205-Y205)</f>
        <v>5.7991999999999999</v>
      </c>
      <c r="AB205" s="54" t="e">
        <f>VLOOKUP(A205,Enforcements!$C$7:$K$11,8,0)</f>
        <v>#N/A</v>
      </c>
      <c r="AC205" s="51" t="e">
        <f>VLOOKUP(A205,Enforcements!$C$7:$E$11,3,0)</f>
        <v>#N/A</v>
      </c>
      <c r="AD205" s="179">
        <f>VALUE(LEFT(A205,LEN(A205)-3))</f>
        <v>841</v>
      </c>
      <c r="AE205" s="77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s3://rtdc.mdm.uploadarchive.raw/RTDC4060/ "%USERPROFILE%\AppData\Local\Temp\OnboardLogs"\RTDC4060\2017-10-23 --exclude "*" --recursive --include "*20171023*" &amp; "%USERPROFILE%\Documents\GitHub\mrs-test-scripts\Headless Mode &amp; Sideloading\WalkAndUnGZ.bat" "%USERPROFILE%\AppData\Local\Temp\OnboardLogs"\RTDC4060\2017-10-23 &amp; aws s3 cp s3://rtdc.mdm.uploadarchive.raw/RTDC4060/ "%USERPROFILE%\AppData\Local\Temp\OnboardLogs"\RTDC4060\2017-10-24 --exclude "*" --recursive --include "*20171024*" &amp; "%USERPROFILE%\Documents\GitHub\mrs-test-scripts\Headless Mode &amp; Sideloading\WalkAndUnGZ.bat" "%USERPROFILE%\AppData\Local\Temp\OnboardLogs"\RTDC4060\2017-10-24</v>
      </c>
      <c r="AF205" s="74" t="str">
        <f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/stypes="app*4060*20171024*" /stext=" 01:.+((SYSTEM_STATE.+slice.+state.+changed )|(ment ac)|(multiple cpu faults)|(system.+state.+changed )|(\[timeout)|(PRM\|1\|D)|(kpr)|(kdp)|(train st.+moving)|(\|lc)|(penalty))"</v>
      </c>
      <c r="AG205" s="182" t="str">
        <f>DetSubdiv(A205)</f>
        <v>NW</v>
      </c>
      <c r="AH205" s="78" t="str">
        <f t="shared" si="26"/>
        <v>"%USERPROFILE%\Documents\GitHub\eaglep3\Utilities\RefineRTDCRunTimes.py" --tripid 841-23 --locoid 4060 --swversion DE.1.0.9.0 --startMP 204:937 --initTime 2017-10-23T18:57:42 --startdatetime 2017-10-23T19:09:48 --delay 53 --endMP 300:58929 --enddatetime 2017-10-23T19:24:46 --enforcementcount 0 &gt;&gt;%USERPROFILE%\Documents\GitHub\eaglep3-reporting\EC\2017-10-23-refined-times.txt</v>
      </c>
      <c r="AI205" s="96" t="str">
        <f t="shared" si="27"/>
        <v>echo {"issue":{"subject":"","project_id":79,"tracker_id":40,"status_id":1,"priority_id":2,"assigned_to_id":338,"start_date":"2017-10-23","description":"","custom_fields":[{"id":1,"name":"Subdivision","value":"NW"},{"id":4,"name":"Milepost","value":"5.8929"},{"id":17,"name":"Train ID","value":"841-23"},{"id":16,"name":"Locomotive ID","value":"4060"},{"id":130,"name":"Impact","value":""},{"id":150,"name":"Time of Event (Mountain Time)","value":"19:24:46"},{"id":151,"name":"Denver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5" s="47"/>
      <c r="AL205" s="47"/>
      <c r="AM205" s="142" t="str">
        <f t="shared" si="28"/>
        <v>start /low /b %USERPROFILE%\Documents\GitHub\eaglep3\Utilities\DownloadLogsFromS3.py --loco 4060 --day 2017-10-23</v>
      </c>
      <c r="AN205" s="151" t="str">
        <f t="shared" si="29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01:24:46"},{"id":29,"name":"Sharepoint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168" t="str">
        <f t="shared" si="30"/>
        <v>https://d0f6bd738d7f1b3e5a7ca70fe4ff75f0.us-east-1.aws.found.io/app/kibana#/discover/Steve-Slow-Train-Analysis-(2080s-and-2083s)?_g=(refreshInterval:(display:Off,pause:!f,section:0,value:0),time:(from:'2017-10-23T17:57:42-0600',mode:absolute,to:'2017-10-23T20:24:46-0600'))&amp;_a=(columns:!('Message%20ID',Summary),filters:!(),index:'emp_*',interval:auto,query:(query_string:(analyze_wildcard:!t,query:'%22rtdc.l.rtdc.4060%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3">
      <c r="A206" s="32" t="s">
        <v>868</v>
      </c>
      <c r="B206" s="7">
        <v>4059</v>
      </c>
      <c r="C206" s="21" t="s">
        <v>194</v>
      </c>
      <c r="D206" s="21" t="s">
        <v>1035</v>
      </c>
      <c r="E206" s="13">
        <v>43031.850451388891</v>
      </c>
      <c r="F206" s="13">
        <v>43031.863252314812</v>
      </c>
      <c r="G206" s="7">
        <v>50</v>
      </c>
      <c r="H206" s="21" t="s">
        <v>1041</v>
      </c>
      <c r="I206" s="13">
        <v>43031.87159722222</v>
      </c>
      <c r="J206" s="7">
        <v>0</v>
      </c>
      <c r="K206" s="89" t="str">
        <f>IF(ISEVEN(B206),(B206-1)&amp;"/"&amp;B206,B206&amp;"/"&amp;(B206+1))</f>
        <v>4059/4060</v>
      </c>
      <c r="L206" s="185" t="str">
        <f>VLOOKUP(A206,'Trips&amp;Operators'!$C$1:$G$99911,5,FALSE)</f>
        <v>LEVIN SCOTT</v>
      </c>
      <c r="M206" s="6">
        <f>I206-F206</f>
        <v>8.3449074081727304E-3</v>
      </c>
      <c r="N206" s="7">
        <f>24*60*SUM($M206:$M206)</f>
        <v>12.016666667768732</v>
      </c>
      <c r="O206" s="7"/>
      <c r="P206" s="7"/>
      <c r="Q206" s="22"/>
      <c r="R206" s="174"/>
      <c r="S206" s="221">
        <f>1/IF(AG206="EC",12,1)*SUM(U206:U206)</f>
        <v>1</v>
      </c>
      <c r="T206" s="174" t="str">
        <f>IF(ISEVEN(LEFT(AD206,4)),"Southbound","NorthBound")</f>
        <v>Southbound</v>
      </c>
      <c r="U206" s="198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16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-10-23T19:24:39-0600',mode:absolute,to:'2017-10-23T21:55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06" s="204" t="str">
        <f>IF(AA206&lt;VLOOKUP(AG206,Variables!$AC$3:$AD$8,2,FALSE),"Y","N")</f>
        <v>N</v>
      </c>
      <c r="X206" s="204">
        <f>VALUE(LEFT(AD206,4))-VALUE(LEFT(AD205,4))</f>
        <v>1</v>
      </c>
      <c r="Y206" s="204">
        <f>RIGHT(D206,LEN(D206)-4)/10000</f>
        <v>5.8630000000000004</v>
      </c>
      <c r="Z206" s="204">
        <f>RIGHT(H206,LEN(H206)-4)/10000</f>
        <v>6.4500000000000002E-2</v>
      </c>
      <c r="AA206" s="204">
        <f>ABS(Z206-Y206)</f>
        <v>5.7985000000000007</v>
      </c>
      <c r="AB206" s="54" t="e">
        <f>VLOOKUP(A206,Enforcements!$C$7:$K$11,8,0)</f>
        <v>#N/A</v>
      </c>
      <c r="AC206" s="51" t="e">
        <f>VLOOKUP(A206,Enforcements!$C$7:$E$11,3,0)</f>
        <v>#N/A</v>
      </c>
      <c r="AD206" s="179">
        <f>VALUE(LEFT(A206,LEN(A206)-3))</f>
        <v>842</v>
      </c>
      <c r="AE206" s="77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s3://rtdc.mdm.uploadarchive.raw/RTDC4059/ "%USERPROFILE%\AppData\Local\Temp\OnboardLogs"\RTDC4059\2017-10-23 --exclude "*" --recursive --include "*20171023*" &amp; "%USERPROFILE%\Documents\GitHub\mrs-test-scripts\Headless Mode &amp; Sideloading\WalkAndUnGZ.bat" "%USERPROFILE%\AppData\Local\Temp\OnboardLogs"\RTDC4059\2017-10-23 &amp; aws s3 cp s3://rtdc.mdm.uploadarchive.raw/RTDC4059/ "%USERPROFILE%\AppData\Local\Temp\OnboardLogs"\RTDC4059\2017-10-24 --exclude "*" --recursive --include "*20171024*" &amp; "%USERPROFILE%\Documents\GitHub\mrs-test-scripts\Headless Mode &amp; Sideloading\WalkAndUnGZ.bat" "%USERPROFILE%\AppData\Local\Temp\OnboardLogs"\RTDC4059\2017-10-24</v>
      </c>
      <c r="AF206" s="74" t="str">
        <f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/stypes="app*4059*20171024*" /stext=" 02:.+((SYSTEM_STATE.+slice.+state.+changed )|(ment ac)|(multiple cpu faults)|(system.+state.+changed )|(\[timeout)|(PRM\|1\|D)|(kpr)|(kdp)|(train st.+moving)|(\|lc)|(penalty))"</v>
      </c>
      <c r="AG206" s="182" t="str">
        <f>DetSubdiv(A206)</f>
        <v>NW</v>
      </c>
      <c r="AH206" s="78" t="str">
        <f t="shared" si="26"/>
        <v>"%USERPROFILE%\Documents\GitHub\eaglep3\Utilities\RefineRTDCRunTimes.py" --tripid 842-23 --locoid 4059 --swversion DE.1.0.9.0 --startMP 300:58630 --initTime 2017-10-23T20:24:39 --startdatetime 2017-10-23T20:43:05 --delay 50 --endMP 204:645 --enddatetime 2017-10-23T20:55:06 --enforcementcount 0 &gt;&gt;%USERPROFILE%\Documents\GitHub\eaglep3-reporting\EC\2017-10-23-refined-times.txt</v>
      </c>
      <c r="AI206" s="96" t="str">
        <f t="shared" si="27"/>
        <v>echo {"issue":{"subject":"","project_id":79,"tracker_id":40,"status_id":1,"priority_id":2,"assigned_to_id":338,"start_date":"2017-10-23","description":"","custom_fields":[{"id":1,"name":"Subdivision","value":"NW"},{"id":4,"name":"Milepost","value":"0.0645"},{"id":17,"name":"Train ID","value":"842-23"},{"id":16,"name":"Locomotive ID","value":"4059"},{"id":130,"name":"Impact","value":""},{"id":150,"name":"Time of Event (Mountain Time)","value":"20:55:06"},{"id":151,"name":"Denver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6" s="47"/>
      <c r="AL206" s="47"/>
      <c r="AM206" s="142" t="str">
        <f t="shared" si="28"/>
        <v>start /low /b %USERPROFILE%\Documents\GitHub\eaglep3\Utilities\DownloadLogsFromS3.py --loco 4059 --day 2017-10-23</v>
      </c>
      <c r="AN206" s="151" t="str">
        <f t="shared" si="29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02:55:06"},{"id":29,"name":"Sharepoint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168" t="str">
        <f t="shared" si="30"/>
        <v>https://d0f6bd738d7f1b3e5a7ca70fe4ff75f0.us-east-1.aws.found.io/app/kibana#/discover/Steve-Slow-Train-Analysis-(2080s-and-2083s)?_g=(refreshInterval:(display:Off,pause:!f,section:0,value:0),time:(from:'2017-10-23T19:24:39-0600',mode:absolute,to:'2017-10-23T21:55:06-0600'))&amp;_a=(columns:!('Message%20ID',Summary),filters:!(),index:'emp_*',interval:auto,query:(query_string:(analyze_wildcard:!t,query:'%22rtdc.l.rtdc.4059%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3">
      <c r="A207" s="32" t="s">
        <v>865</v>
      </c>
      <c r="B207" s="7">
        <v>4060</v>
      </c>
      <c r="C207" s="21" t="s">
        <v>194</v>
      </c>
      <c r="D207" s="21" t="s">
        <v>1035</v>
      </c>
      <c r="E207" s="13">
        <v>43031.850451388891</v>
      </c>
      <c r="F207" s="13">
        <v>43031.839791666665</v>
      </c>
      <c r="G207" s="7">
        <v>50</v>
      </c>
      <c r="H207" s="21" t="s">
        <v>1041</v>
      </c>
      <c r="I207" s="13">
        <v>43031.849421296298</v>
      </c>
      <c r="J207" s="7">
        <v>0</v>
      </c>
      <c r="K207" s="89" t="str">
        <f>IF(ISEVEN(B207),(B207-1)&amp;"/"&amp;B207,B207&amp;"/"&amp;(B207+1))</f>
        <v>4059/4060</v>
      </c>
      <c r="L207" s="185" t="str">
        <f>VLOOKUP(A207,'Trips&amp;Operators'!$C$1:$G$99911,5,FALSE)</f>
        <v>LEVIN SCOTT</v>
      </c>
      <c r="M207" s="6">
        <f>I207-F207</f>
        <v>9.6296296323998831E-3</v>
      </c>
      <c r="N207" s="7">
        <f>24*60*SUM($M207:$M207)</f>
        <v>13.866666670655832</v>
      </c>
      <c r="O207" s="7"/>
      <c r="P207" s="7"/>
      <c r="Q207" s="22"/>
      <c r="R207" s="174"/>
      <c r="S207" s="221">
        <f>1/IF(AG207="EC",12,1)*SUM(U207:U207)</f>
        <v>1</v>
      </c>
      <c r="T207" s="174" t="str">
        <f>IF(ISEVEN(LEFT(AD207,4)),"Southbound","NorthBound")</f>
        <v>NorthBound</v>
      </c>
      <c r="U207" s="198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16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-10-23T19:24:39-0600',mode:absolute,to:'2017-10-23T21:23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07" s="204" t="str">
        <f>IF(AA207&lt;VLOOKUP(AG207,Variables!$AC$3:$AD$8,2,FALSE),"Y","N")</f>
        <v>N</v>
      </c>
      <c r="X207" s="204">
        <f>VALUE(LEFT(AD207,4))-VALUE(LEFT(AD206,4))</f>
        <v>1</v>
      </c>
      <c r="Y207" s="204">
        <v>9.3700000000000006E-2</v>
      </c>
      <c r="Z207" s="204">
        <v>5.8929</v>
      </c>
      <c r="AA207" s="204">
        <f>ABS(Z207-Y207)</f>
        <v>5.7991999999999999</v>
      </c>
      <c r="AB207" s="54" t="e">
        <f>VLOOKUP(A207,Enforcements!$C$7:$K$11,8,0)</f>
        <v>#N/A</v>
      </c>
      <c r="AC207" s="51" t="e">
        <f>VLOOKUP(A207,Enforcements!$C$7:$E$11,3,0)</f>
        <v>#N/A</v>
      </c>
      <c r="AD207" s="179">
        <f>VALUE(LEFT(A207,LEN(A207)-3))</f>
        <v>843</v>
      </c>
      <c r="AE207" s="77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s3://rtdc.mdm.uploadarchive.raw/RTDC4060/ "%USERPROFILE%\AppData\Local\Temp\OnboardLogs"\RTDC4060\2017-10-23 --exclude "*" --recursive --include "*20171023*" &amp; "%USERPROFILE%\Documents\GitHub\mrs-test-scripts\Headless Mode &amp; Sideloading\WalkAndUnGZ.bat" "%USERPROFILE%\AppData\Local\Temp\OnboardLogs"\RTDC4060\2017-10-23 &amp; aws s3 cp s3://rtdc.mdm.uploadarchive.raw/RTDC4060/ "%USERPROFILE%\AppData\Local\Temp\OnboardLogs"\RTDC4060\2017-10-24 --exclude "*" --recursive --include "*20171024*" &amp; "%USERPROFILE%\Documents\GitHub\mrs-test-scripts\Headless Mode &amp; Sideloading\WalkAndUnGZ.bat" "%USERPROFILE%\AppData\Local\Temp\OnboardLogs"\RTDC4060\2017-10-24</v>
      </c>
      <c r="AF207" s="74" t="str">
        <f>astrogrep_path&amp;" /e /r /s /spath="&amp;search_path&amp;" /stypes=""app*"&amp;B207&amp;"*"&amp;TEXT(I207-utc_offset/24,"YYYYMMDD")&amp;"*"" /stext="" "&amp;TEXT(I207-utc_offset/24,"HH")&amp;search_regexp&amp;""""</f>
        <v>"C:\Program Files (x86)\AstroGrep\AstroGrep.exe" /e /r /s /spath="%USERPROFILE%\AppData\Local\Temp\OnboardLogs" /stypes="app*4060*20171024*" /stext=" 02:.+((SYSTEM_STATE.+slice.+state.+changed )|(ment ac)|(multiple cpu faults)|(system.+state.+changed )|(\[timeout)|(PRM\|1\|D)|(kpr)|(kdp)|(train st.+moving)|(\|lc)|(penalty))"</v>
      </c>
      <c r="AG207" s="182" t="str">
        <f>DetSubdiv(A207)</f>
        <v>NW</v>
      </c>
      <c r="AH207" s="78" t="str">
        <f t="shared" ref="AH207" si="59">refinertdcruntimes&amp;" --tripid "&amp;A207&amp;" --locoid "&amp;B207&amp;" --swversion "&amp;C207&amp;" --startMP "&amp;D207&amp;" --initTime "&amp;TEXT(E207,"yyyy-mm-ddTHH:MM:SS")&amp;" --startdatetime "&amp;TEXT(F207,"yyyy-mm-ddTHH:MM:SS")&amp;" --delay "&amp;G207&amp;" --endMP "&amp;H207&amp;" --enddatetime "&amp;TEXT(I207,"yyyy-mm-ddTHH:MM:SS")&amp;" --enforcementcount "&amp;J207&amp;IF(outputrefinedruntimes," &gt;&gt;"&amp;RefinedRTDCRunTimesOutputFile,"")</f>
        <v>"%USERPROFILE%\Documents\GitHub\eaglep3\Utilities\RefineRTDCRunTimes.py" --tripid 843-23 --locoid 4060 --swversion DE.1.0.9.0 --startMP 300:58630 --initTime 2017-10-23T20:24:39 --startdatetime 2017-10-23T20:09:18 --delay 50 --endMP 204:645 --enddatetime 2017-10-23T20:23:10 --enforcementcount 0 &gt;&gt;%USERPROFILE%\Documents\GitHub\eaglep3-reporting\EC\2017-10-23-refined-times.txt</v>
      </c>
      <c r="AI207" s="96" t="str">
        <f t="shared" ref="AI207" si="60">"echo {""issue"":{""subject"":"""&amp;R207&amp;""",""project_id"":79,""tracker_id"":40,""status_id"":"&amp;redmine_status&amp;",""priority_id"":"&amp;redmine_priority&amp;",""assigned_to_id"":"&amp;redmine_assignee&amp;",""start_date"":"""&amp;TEXT(I207,"YYYY-mm-dd")&amp;""",""description"":"""&amp;AJ207&amp;""",""custom_fields"":[{""id"":1,""name"":""Subdivision"",""value"":"""&amp;AG207&amp;"""},{""id"":4,""name"":""Milepost"",""value"":"""&amp;Z207&amp;"""},{""id"":17,""name"":""Train ID"",""value"":"""&amp;A207&amp;"""},{""id"":16,""name"":""Locomotive ID"",""value"":"""&amp;B207&amp;"""},{""id"":130,""name"":""Impact"",""value"":"""&amp;AK207&amp;"""},{""id"":150,""name"":""Time of Event (Mountain Time)"",""value"":"""&amp;TEXT(I207,"hh:mm:ss")&amp;"""},{""id"":151,""name"":""Denver Issue ID"",""value"":"""&amp;"""},{""id"":178,""name"":""Operational Impact"",""value"":"""&amp;redmine_op_impact&amp;"""},{""id"":179,""name"":""Denver Segment Assigned"",""value"":"""&amp;AL207&amp;"""}]}}"&amp;"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{"issue":{"subject":"","project_id":79,"tracker_id":40,"status_id":1,"priority_id":2,"assigned_to_id":338,"start_date":"2017-10-23","description":"","custom_fields":[{"id":1,"name":"Subdivision","value":"NW"},{"id":4,"name":"Milepost","value":"5.8929"},{"id":17,"name":"Train ID","value":"843-23"},{"id":16,"name":"Locomotive ID","value":"4060"},{"id":130,"name":"Impact","value":""},{"id":150,"name":"Time of Event (Mountain Time)","value":"20:23:10"},{"id":151,"name":"Denver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7" s="47"/>
      <c r="AL207" s="47"/>
      <c r="AM207" s="142" t="str">
        <f t="shared" ref="AM207" si="61">"start /low /b "&amp;dls3logs&amp;" --loco "&amp;B207&amp;" --day "&amp;TEXT(F207,"YYYY-MM-DD")</f>
        <v>start /low /b %USERPROFILE%\Documents\GitHub\eaglep3\Utilities\DownloadLogsFromS3.py --loco 4060 --day 2017-10-23</v>
      </c>
      <c r="AN207" s="151" t="str">
        <f t="shared" ref="AN207" si="62">"echo {""issue"":{""subject"":"""&amp;R207&amp;""",""project_id"":30,""tracker_id"":4,""status_id"":"&amp;redmine_status_wcr&amp;",""priority_id"":"&amp;redmine_priority_wcr&amp;",""assigned_to_id"":"&amp;redmine_assignee_wcr&amp;",""start_date"":"""&amp;TEXT(I207-utc_offset/24,"YYYY-mm-dd")&amp;""",""description"":"""&amp;AJ207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02:23:10"},{"id":29,"name":"Sharepoint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168" t="str">
        <f t="shared" ref="AO207" si="63"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Message%20ID',Summary),filters:!(),index:'emp_*',interval:auto,query:"&amp;"(query_string:(analyze_wildcard:!t,query:'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-10-23T19:24:39-0600',mode:absolute,to:'2017-10-23T21:23:10-0600'))&amp;_a=(columns:!('Message%20ID',Summary),filters:!(),index:'emp_*',interval:auto,query:(query_string:(analyze_wildcard:!t,query:'%22rtdc.l.rtdc.4060%22')),sort:!(Time.ISO8601,asc))</v>
      </c>
    </row>
    <row r="208" spans="1:91" s="20" customFormat="1" x14ac:dyDescent="0.3">
      <c r="A208" s="32" t="s">
        <v>875</v>
      </c>
      <c r="B208" s="7">
        <v>4059</v>
      </c>
      <c r="C208" s="21" t="s">
        <v>194</v>
      </c>
      <c r="D208" s="21" t="s">
        <v>1042</v>
      </c>
      <c r="E208" s="13">
        <v>43031.891527777778</v>
      </c>
      <c r="F208" s="13">
        <v>43031.904918981483</v>
      </c>
      <c r="G208" s="7">
        <v>59</v>
      </c>
      <c r="H208" s="21" t="s">
        <v>1043</v>
      </c>
      <c r="I208" s="13">
        <v>43031.912731481483</v>
      </c>
      <c r="J208" s="7">
        <v>0</v>
      </c>
      <c r="K208" s="89" t="str">
        <f>IF(ISEVEN(B208),(B208-1)&amp;"/"&amp;B208,B208&amp;"/"&amp;(B208+1))</f>
        <v>4059/4060</v>
      </c>
      <c r="L208" s="185" t="str">
        <f>VLOOKUP(A208,'Trips&amp;Operators'!$C$1:$G$99911,5,FALSE)</f>
        <v>STAMBAUGH JAMES</v>
      </c>
      <c r="M208" s="6">
        <f>I208-F208</f>
        <v>7.8125E-3</v>
      </c>
      <c r="N208" s="7">
        <f>24*60*SUM($M208:$M208)</f>
        <v>11.25</v>
      </c>
      <c r="O208" s="7"/>
      <c r="P208" s="7"/>
      <c r="Q208" s="22"/>
      <c r="R208" s="174"/>
      <c r="S208" s="221">
        <f>1/IF(AG208="EC",12,1)*SUM(U208:U208)</f>
        <v>1</v>
      </c>
      <c r="T208" s="174" t="str">
        <f>IF(ISEVEN(LEFT(AD208,4)),"Southbound","NorthBound")</f>
        <v>Southbound</v>
      </c>
      <c r="U208" s="198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16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-10-23T20:23:48-0600',mode:absolute,to:'2017-10-23T22:54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08" s="204" t="str">
        <f>IF(AA208&lt;VLOOKUP(AG208,Variables!$AC$3:$AD$8,2,FALSE),"Y","N")</f>
        <v>N</v>
      </c>
      <c r="X208" s="204">
        <f t="shared" ref="X208:X209" si="64">VALUE(LEFT(AD208,4))-VALUE(LEFT(AD207,4))</f>
        <v>1</v>
      </c>
      <c r="Y208" s="204">
        <f>RIGHT(D208,LEN(D208)-4)/10000</f>
        <v>5.8638000000000003</v>
      </c>
      <c r="Z208" s="204">
        <f>RIGHT(H208,LEN(H208)-4)/10000</f>
        <v>6.4699999999999994E-2</v>
      </c>
      <c r="AA208" s="204">
        <f>ABS(Z208-Y208)</f>
        <v>5.7991000000000001</v>
      </c>
      <c r="AB208" s="54" t="e">
        <f>VLOOKUP(A208,Enforcements!$C$7:$K$11,8,0)</f>
        <v>#N/A</v>
      </c>
      <c r="AC208" s="51" t="e">
        <f>VLOOKUP(A208,Enforcements!$C$7:$E$11,3,0)</f>
        <v>#N/A</v>
      </c>
      <c r="AD208" s="179">
        <f>VALUE(LEFT(A208,LEN(A208)-3))</f>
        <v>844</v>
      </c>
      <c r="AE208" s="77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s3://rtdc.mdm.uploadarchive.raw/RTDC4059/ "%USERPROFILE%\AppData\Local\Temp\OnboardLogs"\RTDC4059\2017-10-23 --exclude "*" --recursive --include "*20171023*" &amp; "%USERPROFILE%\Documents\GitHub\mrs-test-scripts\Headless Mode &amp; Sideloading\WalkAndUnGZ.bat" "%USERPROFILE%\AppData\Local\Temp\OnboardLogs"\RTDC4059\2017-10-23 &amp; aws s3 cp s3://rtdc.mdm.uploadarchive.raw/RTDC4059/ "%USERPROFILE%\AppData\Local\Temp\OnboardLogs"\RTDC4059\2017-10-24 --exclude "*" --recursive --include "*20171024*" &amp; "%USERPROFILE%\Documents\GitHub\mrs-test-scripts\Headless Mode &amp; Sideloading\WalkAndUnGZ.bat" "%USERPROFILE%\AppData\Local\Temp\OnboardLogs"\RTDC4059\2017-10-24</v>
      </c>
      <c r="AF208" s="74" t="str">
        <f>astrogrep_path&amp;" /e /r /s /spath="&amp;search_path&amp;" /stypes=""app*"&amp;B208&amp;"*"&amp;TEXT(I208-utc_offset/24,"YYYYMMDD")&amp;"*"" /stext="" "&amp;TEXT(I208-utc_offset/24,"HH")&amp;search_regexp&amp;""""</f>
        <v>"C:\Program Files (x86)\AstroGrep\AstroGrep.exe" /e /r /s /spath="%USERPROFILE%\AppData\Local\Temp\OnboardLogs" /stypes="app*4059*20171024*" /stext=" 03:.+((SYSTEM_STATE.+slice.+state.+changed )|(ment ac)|(multiple cpu faults)|(system.+state.+changed )|(\[timeout)|(PRM\|1\|D)|(kpr)|(kdp)|(train st.+moving)|(\|lc)|(penalty))"</v>
      </c>
      <c r="AG208" s="182" t="str">
        <f>DetSubdiv(A208)</f>
        <v>NW</v>
      </c>
      <c r="AH208" s="78" t="str">
        <f t="shared" si="26"/>
        <v>"%USERPROFILE%\Documents\GitHub\eaglep3\Utilities\RefineRTDCRunTimes.py" --tripid 844-23 --locoid 4059 --swversion DE.1.0.9.0 --startMP 300:58638 --initTime 2017-10-23T21:23:48 --startdatetime 2017-10-23T21:43:05 --delay 59 --endMP 204:647 --enddatetime 2017-10-23T21:54:20 --enforcementcount 0 &gt;&gt;%USERPROFILE%\Documents\GitHub\eaglep3-reporting\EC\2017-10-23-refined-times.txt</v>
      </c>
      <c r="AI208" s="96" t="str">
        <f t="shared" si="27"/>
        <v>echo {"issue":{"subject":"","project_id":79,"tracker_id":40,"status_id":1,"priority_id":2,"assigned_to_id":338,"start_date":"2017-10-23","description":"","custom_fields":[{"id":1,"name":"Subdivision","value":"NW"},{"id":4,"name":"Milepost","value":"0.0647"},{"id":17,"name":"Train ID","value":"844-23"},{"id":16,"name":"Locomotive ID","value":"4059"},{"id":130,"name":"Impact","value":""},{"id":150,"name":"Time of Event (Mountain Time)","value":"21:54:20"},{"id":151,"name":"Denver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8" s="47"/>
      <c r="AL208" s="47"/>
      <c r="AM208" s="142" t="str">
        <f t="shared" si="28"/>
        <v>start /low /b %USERPROFILE%\Documents\GitHub\eaglep3\Utilities\DownloadLogsFromS3.py --loco 4059 --day 2017-10-23</v>
      </c>
      <c r="AN208" s="151" t="str">
        <f t="shared" si="29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03:54:20"},{"id":29,"name":"Sharepoint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168" t="str">
        <f t="shared" si="30"/>
        <v>https://d0f6bd738d7f1b3e5a7ca70fe4ff75f0.us-east-1.aws.found.io/app/kibana#/discover/Steve-Slow-Train-Analysis-(2080s-and-2083s)?_g=(refreshInterval:(display:Off,pause:!f,section:0,value:0),time:(from:'2017-10-23T20:23:48-0600',mode:absolute,to:'2017-10-23T22:54:20-0600'))&amp;_a=(columns:!('Message%20ID',Summary),filters:!(),index:'emp_*',interval:auto,query:(query_string:(analyze_wildcard:!t,query:'%22rtdc.l.rtdc.4059%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3">
      <c r="A209" s="32" t="s">
        <v>871</v>
      </c>
      <c r="B209" s="7">
        <v>4060</v>
      </c>
      <c r="C209" s="21" t="s">
        <v>194</v>
      </c>
      <c r="D209" s="21" t="s">
        <v>1044</v>
      </c>
      <c r="E209" s="13">
        <v>43031.873819444445</v>
      </c>
      <c r="F209" s="13">
        <v>43031.88144675926</v>
      </c>
      <c r="G209" s="7">
        <v>61</v>
      </c>
      <c r="H209" s="21" t="s">
        <v>1045</v>
      </c>
      <c r="I209" s="13">
        <v>43031.890405092592</v>
      </c>
      <c r="J209" s="7">
        <v>0</v>
      </c>
      <c r="K209" s="89" t="str">
        <f>IF(ISEVEN(B209),(B209-1)&amp;"/"&amp;B209,B209&amp;"/"&amp;(B209+1))</f>
        <v>4059/4060</v>
      </c>
      <c r="L209" s="185" t="str">
        <f>VLOOKUP(A209,'Trips&amp;Operators'!$C$1:$G$99911,5,FALSE)</f>
        <v>STAMBAUGH JAMES</v>
      </c>
      <c r="M209" s="6">
        <f>I209-F209</f>
        <v>8.9583333319751546E-3</v>
      </c>
      <c r="N209" s="7">
        <f>24*60*SUM($M209:$M209)</f>
        <v>12.899999998044223</v>
      </c>
      <c r="O209" s="7"/>
      <c r="P209" s="7"/>
      <c r="Q209" s="22"/>
      <c r="R209" s="174"/>
      <c r="S209" s="221">
        <f>1/IF(AG209="EC",12,1)*SUM(U209:U209)</f>
        <v>1</v>
      </c>
      <c r="T209" s="174" t="str">
        <f>IF(ISEVEN(LEFT(AD209,4)),"Southbound","NorthBound")</f>
        <v>NorthBound</v>
      </c>
      <c r="U209" s="198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16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-10-23T19:58:18-0600',mode:absolute,to:'2017-10-23T22:22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09" s="204" t="str">
        <f>IF(AA209&lt;VLOOKUP(AG209,Variables!$AC$3:$AD$8,2,FALSE),"Y","N")</f>
        <v>N</v>
      </c>
      <c r="X209" s="204">
        <f t="shared" si="64"/>
        <v>1</v>
      </c>
      <c r="Y209" s="204">
        <f>RIGHT(D209,LEN(D209)-4)/10000</f>
        <v>9.1499999999999998E-2</v>
      </c>
      <c r="Z209" s="204">
        <f>RIGHT(H209,LEN(H209)-4)/10000</f>
        <v>5.8960999999999997</v>
      </c>
      <c r="AA209" s="204">
        <f>ABS(Z209-Y209)</f>
        <v>5.8045999999999998</v>
      </c>
      <c r="AB209" s="54" t="e">
        <f>VLOOKUP(A209,Enforcements!$C$7:$K$11,8,0)</f>
        <v>#N/A</v>
      </c>
      <c r="AC209" s="51" t="e">
        <f>VLOOKUP(A209,Enforcements!$C$7:$E$11,3,0)</f>
        <v>#N/A</v>
      </c>
      <c r="AD209" s="179">
        <f>VALUE(LEFT(A209,LEN(A209)-3))</f>
        <v>845</v>
      </c>
      <c r="AE209" s="77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s3://rtdc.mdm.uploadarchive.raw/RTDC4060/ "%USERPROFILE%\AppData\Local\Temp\OnboardLogs"\RTDC4060\2017-10-23 --exclude "*" --recursive --include "*20171023*" &amp; "%USERPROFILE%\Documents\GitHub\mrs-test-scripts\Headless Mode &amp; Sideloading\WalkAndUnGZ.bat" "%USERPROFILE%\AppData\Local\Temp\OnboardLogs"\RTDC4060\2017-10-23 &amp; aws s3 cp s3://rtdc.mdm.uploadarchive.raw/RTDC4060/ "%USERPROFILE%\AppData\Local\Temp\OnboardLogs"\RTDC4060\2017-10-24 --exclude "*" --recursive --include "*20171024*" &amp; "%USERPROFILE%\Documents\GitHub\mrs-test-scripts\Headless Mode &amp; Sideloading\WalkAndUnGZ.bat" "%USERPROFILE%\AppData\Local\Temp\OnboardLogs"\RTDC4060\2017-10-24</v>
      </c>
      <c r="AF209" s="74" t="str">
        <f>astrogrep_path&amp;" /e /r /s /spath="&amp;search_path&amp;" /stypes=""app*"&amp;B209&amp;"*"&amp;TEXT(I209-utc_offset/24,"YYYYMMDD")&amp;"*"" /stext="" "&amp;TEXT(I209-utc_offset/24,"HH")&amp;search_regexp&amp;""""</f>
        <v>"C:\Program Files (x86)\AstroGrep\AstroGrep.exe" /e /r /s /spath="%USERPROFILE%\AppData\Local\Temp\OnboardLogs" /stypes="app*4060*20171024*" /stext=" 03:.+((SYSTEM_STATE.+slice.+state.+changed )|(ment ac)|(multiple cpu faults)|(system.+state.+changed )|(\[timeout)|(PRM\|1\|D)|(kpr)|(kdp)|(train st.+moving)|(\|lc)|(penalty))"</v>
      </c>
      <c r="AG209" s="182" t="str">
        <f>DetSubdiv(A209)</f>
        <v>NW</v>
      </c>
      <c r="AH209" s="78" t="str">
        <f t="shared" si="26"/>
        <v>"%USERPROFILE%\Documents\GitHub\eaglep3\Utilities\RefineRTDCRunTimes.py" --tripid 845-23 --locoid 4060 --swversion DE.1.0.9.0 --startMP 204:915 --initTime 2017-10-23T20:58:18 --startdatetime 2017-10-23T21:09:17 --delay 61 --endMP 300:58961 --enddatetime 2017-10-23T21:22:11 --enforcementcount 0 &gt;&gt;%USERPROFILE%\Documents\GitHub\eaglep3-reporting\EC\2017-10-23-refined-times.txt</v>
      </c>
      <c r="AI209" s="96" t="str">
        <f t="shared" si="27"/>
        <v>echo {"issue":{"subject":"","project_id":79,"tracker_id":40,"status_id":1,"priority_id":2,"assigned_to_id":338,"start_date":"2017-10-23","description":"","custom_fields":[{"id":1,"name":"Subdivision","value":"NW"},{"id":4,"name":"Milepost","value":"5.8961"},{"id":17,"name":"Train ID","value":"845-23"},{"id":16,"name":"Locomotive ID","value":"4060"},{"id":130,"name":"Impact","value":""},{"id":150,"name":"Time of Event (Mountain Time)","value":"21:22:11"},{"id":151,"name":"Denver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9" s="47"/>
      <c r="AL209" s="47"/>
      <c r="AM209" s="142" t="str">
        <f t="shared" si="28"/>
        <v>start /low /b %USERPROFILE%\Documents\GitHub\eaglep3\Utilities\DownloadLogsFromS3.py --loco 4060 --day 2017-10-23</v>
      </c>
      <c r="AN209" s="151" t="str">
        <f t="shared" si="29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03:22:11"},{"id":29,"name":"Sharepoint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168" t="str">
        <f t="shared" si="30"/>
        <v>https://d0f6bd738d7f1b3e5a7ca70fe4ff75f0.us-east-1.aws.found.io/app/kibana#/discover/Steve-Slow-Train-Analysis-(2080s-and-2083s)?_g=(refreshInterval:(display:Off,pause:!f,section:0,value:0),time:(from:'2017-10-23T19:58:18-0600',mode:absolute,to:'2017-10-23T22:22:11-0600'))&amp;_a=(columns:!('Message%20ID',Summary),filters:!(),index:'emp_*',interval:auto,query:(query_string:(analyze_wildcard:!t,query:'%22rtdc.l.rtdc.4060%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3">
      <c r="A210" s="32" t="s">
        <v>672</v>
      </c>
      <c r="B210" s="7">
        <v>4059</v>
      </c>
      <c r="C210" s="21" t="s">
        <v>194</v>
      </c>
      <c r="D210" s="21" t="s">
        <v>1046</v>
      </c>
      <c r="E210" s="13">
        <v>43031.933020833334</v>
      </c>
      <c r="F210" s="13">
        <v>43031.946597222224</v>
      </c>
      <c r="G210" s="7">
        <v>52</v>
      </c>
      <c r="H210" s="21" t="s">
        <v>1047</v>
      </c>
      <c r="I210" s="13">
        <v>43031.954247685186</v>
      </c>
      <c r="J210" s="7">
        <v>0</v>
      </c>
      <c r="K210" s="89" t="str">
        <f>IF(ISEVEN(B210),(B210-1)&amp;"/"&amp;B210,B210&amp;"/"&amp;(B210+1))</f>
        <v>4059/4060</v>
      </c>
      <c r="L210" s="185" t="str">
        <f>VLOOKUP(A210,'Trips&amp;Operators'!$C$1:$G$99911,5,FALSE)</f>
        <v>STAMBAUGH JAMES</v>
      </c>
      <c r="M210" s="6">
        <f>I210-F210</f>
        <v>7.6504629614646547E-3</v>
      </c>
      <c r="N210" s="7">
        <f>24*60*SUM($M210:$M210)</f>
        <v>11.016666664509103</v>
      </c>
      <c r="O210" s="7"/>
      <c r="P210" s="7"/>
      <c r="Q210" s="22"/>
      <c r="R210" s="174"/>
      <c r="S210" s="221">
        <f>1/IF(AG210="EC",12,1)*SUM(U210:U210)</f>
        <v>1</v>
      </c>
      <c r="T210" s="174" t="str">
        <f>IF(ISEVEN(LEFT(AD210,4)),"Southbound","NorthBound")</f>
        <v>Southbound</v>
      </c>
      <c r="U210" s="198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16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-10-23T21:23:33-0600',mode:absolute,to:'2017-10-23T23:54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10" s="204" t="str">
        <f>IF(AA210&lt;VLOOKUP(AG210,Variables!$AC$3:$AD$8,2,FALSE),"Y","N")</f>
        <v>N</v>
      </c>
      <c r="X210" s="204">
        <f>VALUE(LEFT(AD210,4))-VALUE(LEFT(AD209,4))</f>
        <v>1</v>
      </c>
      <c r="Y210" s="204">
        <f>RIGHT(D210,LEN(D210)-4)/10000</f>
        <v>5.8634000000000004</v>
      </c>
      <c r="Z210" s="204">
        <f>RIGHT(H210,LEN(H210)-4)/10000</f>
        <v>6.4899999999999999E-2</v>
      </c>
      <c r="AA210" s="204">
        <f>ABS(Z210-Y210)</f>
        <v>5.7985000000000007</v>
      </c>
      <c r="AB210" s="54" t="e">
        <f>VLOOKUP(A210,Enforcements!$C$7:$K$11,8,0)</f>
        <v>#N/A</v>
      </c>
      <c r="AC210" s="51" t="e">
        <f>VLOOKUP(A210,Enforcements!$C$7:$E$11,3,0)</f>
        <v>#N/A</v>
      </c>
      <c r="AD210" s="179">
        <f>VALUE(LEFT(A210,LEN(A210)-3))</f>
        <v>846</v>
      </c>
      <c r="AE210" s="77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s3://rtdc.mdm.uploadarchive.raw/RTDC4059/ "%USERPROFILE%\AppData\Local\Temp\OnboardLogs"\RTDC4059\2017-10-23 --exclude "*" --recursive --include "*20171023*" &amp; "%USERPROFILE%\Documents\GitHub\mrs-test-scripts\Headless Mode &amp; Sideloading\WalkAndUnGZ.bat" "%USERPROFILE%\AppData\Local\Temp\OnboardLogs"\RTDC4059\2017-10-23 &amp; aws s3 cp s3://rtdc.mdm.uploadarchive.raw/RTDC4059/ "%USERPROFILE%\AppData\Local\Temp\OnboardLogs"\RTDC4059\2017-10-24 --exclude "*" --recursive --include "*20171024*" &amp; "%USERPROFILE%\Documents\GitHub\mrs-test-scripts\Headless Mode &amp; Sideloading\WalkAndUnGZ.bat" "%USERPROFILE%\AppData\Local\Temp\OnboardLogs"\RTDC4059\2017-10-24</v>
      </c>
      <c r="AF210" s="74" t="str">
        <f>astrogrep_path&amp;" /e /r /s /spath="&amp;search_path&amp;" /stypes=""app*"&amp;B210&amp;"*"&amp;TEXT(I210-utc_offset/24,"YYYYMMDD")&amp;"*"" /stext="" "&amp;TEXT(I210-utc_offset/24,"HH")&amp;search_regexp&amp;""""</f>
        <v>"C:\Program Files (x86)\AstroGrep\AstroGrep.exe" /e /r /s /spath="%USERPROFILE%\AppData\Local\Temp\OnboardLogs" /stypes="app*4059*20171024*" /stext=" 04:.+((SYSTEM_STATE.+slice.+state.+changed )|(ment ac)|(multiple cpu faults)|(system.+state.+changed )|(\[timeout)|(PRM\|1\|D)|(kpr)|(kdp)|(train st.+moving)|(\|lc)|(penalty))"</v>
      </c>
      <c r="AG210" s="182" t="str">
        <f>DetSubdiv(A210)</f>
        <v>NW</v>
      </c>
      <c r="AH210" s="78" t="str">
        <f t="shared" si="26"/>
        <v>"%USERPROFILE%\Documents\GitHub\eaglep3\Utilities\RefineRTDCRunTimes.py" --tripid 846-23 --locoid 4059 --swversion DE.1.0.9.0 --startMP 300:58634 --initTime 2017-10-23T22:23:33 --startdatetime 2017-10-23T22:43:06 --delay 52 --endMP 204:649 --enddatetime 2017-10-23T22:54:07 --enforcementcount 0 &gt;&gt;%USERPROFILE%\Documents\GitHub\eaglep3-reporting\EC\2017-10-23-refined-times.txt</v>
      </c>
      <c r="AI210" s="96" t="str">
        <f t="shared" si="27"/>
        <v>echo {"issue":{"subject":"","project_id":79,"tracker_id":40,"status_id":1,"priority_id":2,"assigned_to_id":338,"start_date":"2017-10-23","description":"","custom_fields":[{"id":1,"name":"Subdivision","value":"NW"},{"id":4,"name":"Milepost","value":"0.0649"},{"id":17,"name":"Train ID","value":"846-23"},{"id":16,"name":"Locomotive ID","value":"4059"},{"id":130,"name":"Impact","value":""},{"id":150,"name":"Time of Event (Mountain Time)","value":"22:54:07"},{"id":151,"name":"Denver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0" s="47"/>
      <c r="AL210" s="47"/>
      <c r="AM210" s="142" t="str">
        <f t="shared" si="28"/>
        <v>start /low /b %USERPROFILE%\Documents\GitHub\eaglep3\Utilities\DownloadLogsFromS3.py --loco 4059 --day 2017-10-23</v>
      </c>
      <c r="AN210" s="151" t="str">
        <f t="shared" si="29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04:54:07"},{"id":29,"name":"Sharepoint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168" t="str">
        <f t="shared" si="30"/>
        <v>https://d0f6bd738d7f1b3e5a7ca70fe4ff75f0.us-east-1.aws.found.io/app/kibana#/discover/Steve-Slow-Train-Analysis-(2080s-and-2083s)?_g=(refreshInterval:(display:Off,pause:!f,section:0,value:0),time:(from:'2017-10-23T21:23:33-0600',mode:absolute,to:'2017-10-23T23:54:07-0600'))&amp;_a=(columns:!('Message%20ID',Summary),filters:!(),index:'emp_*',interval:auto,query:(query_string:(analyze_wildcard:!t,query:'%22rtdc.l.rtdc.4059%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3">
      <c r="A211" s="32" t="s">
        <v>671</v>
      </c>
      <c r="B211" s="7">
        <v>4060</v>
      </c>
      <c r="C211" s="21" t="s">
        <v>194</v>
      </c>
      <c r="D211" s="21" t="s">
        <v>1046</v>
      </c>
      <c r="E211" s="13">
        <v>43031.933020833334</v>
      </c>
      <c r="F211" s="13">
        <v>43031.923206018517</v>
      </c>
      <c r="G211" s="7">
        <v>52</v>
      </c>
      <c r="H211" s="21" t="s">
        <v>1047</v>
      </c>
      <c r="I211" s="13">
        <v>43031.932268518518</v>
      </c>
      <c r="J211" s="7">
        <v>0</v>
      </c>
      <c r="K211" s="89" t="str">
        <f>IF(ISEVEN(B211),(B211-1)&amp;"/"&amp;B211,B211&amp;"/"&amp;(B211+1))</f>
        <v>4059/4060</v>
      </c>
      <c r="L211" s="185" t="str">
        <f>VLOOKUP(A211,'Trips&amp;Operators'!$C$1:$G$99911,5,FALSE)</f>
        <v>STAMBAUGH JAMES</v>
      </c>
      <c r="M211" s="6">
        <f>I211-F211</f>
        <v>9.0625000011641532E-3</v>
      </c>
      <c r="N211" s="7">
        <f>24*60*SUM($M211:$M211)</f>
        <v>13.050000001676381</v>
      </c>
      <c r="O211" s="7"/>
      <c r="P211" s="7"/>
      <c r="Q211" s="22"/>
      <c r="R211" s="174"/>
      <c r="S211" s="221">
        <f>1/IF(AG211="EC",12,1)*SUM(U211:U211)</f>
        <v>1</v>
      </c>
      <c r="T211" s="174" t="str">
        <f>IF(ISEVEN(LEFT(AD211,4)),"Southbound","NorthBound")</f>
        <v>NorthBound</v>
      </c>
      <c r="U211" s="198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16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-10-23T21:23:33-0600',mode:absolute,to:'2017-10-23T23:22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11" s="204" t="str">
        <f>IF(AA211&lt;VLOOKUP(AG211,Variables!$AC$3:$AD$8,2,FALSE),"Y","N")</f>
        <v>N</v>
      </c>
      <c r="X211" s="204">
        <f t="shared" ref="X211:X213" si="65">VALUE(LEFT(AD211,4))-VALUE(LEFT(AD210,4))</f>
        <v>1</v>
      </c>
      <c r="Y211" s="204">
        <v>9.1499999999999998E-2</v>
      </c>
      <c r="Z211" s="204">
        <v>5.8960999999999997</v>
      </c>
      <c r="AA211" s="204">
        <f>ABS(Z211-Y211)</f>
        <v>5.8045999999999998</v>
      </c>
      <c r="AB211" s="54" t="e">
        <f>VLOOKUP(A211,Enforcements!$C$7:$K$11,8,0)</f>
        <v>#N/A</v>
      </c>
      <c r="AC211" s="51" t="e">
        <f>VLOOKUP(A211,Enforcements!$C$7:$E$11,3,0)</f>
        <v>#N/A</v>
      </c>
      <c r="AD211" s="179">
        <f>VALUE(LEFT(A211,LEN(A211)-3))</f>
        <v>847</v>
      </c>
      <c r="AE211" s="77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s3://rtdc.mdm.uploadarchive.raw/RTDC4060/ "%USERPROFILE%\AppData\Local\Temp\OnboardLogs"\RTDC4060\2017-10-23 --exclude "*" --recursive --include "*20171023*" &amp; "%USERPROFILE%\Documents\GitHub\mrs-test-scripts\Headless Mode &amp; Sideloading\WalkAndUnGZ.bat" "%USERPROFILE%\AppData\Local\Temp\OnboardLogs"\RTDC4060\2017-10-23 &amp; aws s3 cp s3://rtdc.mdm.uploadarchive.raw/RTDC4060/ "%USERPROFILE%\AppData\Local\Temp\OnboardLogs"\RTDC4060\2017-10-24 --exclude "*" --recursive --include "*20171024*" &amp; "%USERPROFILE%\Documents\GitHub\mrs-test-scripts\Headless Mode &amp; Sideloading\WalkAndUnGZ.bat" "%USERPROFILE%\AppData\Local\Temp\OnboardLogs"\RTDC4060\2017-10-24</v>
      </c>
      <c r="AF211" s="74" t="str">
        <f>astrogrep_path&amp;" /e /r /s /spath="&amp;search_path&amp;" /stypes=""app*"&amp;B211&amp;"*"&amp;TEXT(I211-utc_offset/24,"YYYYMMDD")&amp;"*"" /stext="" "&amp;TEXT(I211-utc_offset/24,"HH")&amp;search_regexp&amp;""""</f>
        <v>"C:\Program Files (x86)\AstroGrep\AstroGrep.exe" /e /r /s /spath="%USERPROFILE%\AppData\Local\Temp\OnboardLogs" /stypes="app*4060*20171024*" /stext=" 04:.+((SYSTEM_STATE.+slice.+state.+changed )|(ment ac)|(multiple cpu faults)|(system.+state.+changed )|(\[timeout)|(PRM\|1\|D)|(kpr)|(kdp)|(train st.+moving)|(\|lc)|(penalty))"</v>
      </c>
      <c r="AG211" s="182" t="str">
        <f>DetSubdiv(A211)</f>
        <v>NW</v>
      </c>
      <c r="AH211" s="78" t="str">
        <f t="shared" ref="AH211" si="66">refinertdcruntimes&amp;" --tripid "&amp;A211&amp;" --locoid "&amp;B211&amp;" --swversion "&amp;C211&amp;" --startMP "&amp;D211&amp;" --initTime "&amp;TEXT(E211,"yyyy-mm-ddTHH:MM:SS")&amp;" --startdatetime "&amp;TEXT(F211,"yyyy-mm-ddTHH:MM:SS")&amp;" --delay "&amp;G211&amp;" --endMP "&amp;H211&amp;" --enddatetime "&amp;TEXT(I211,"yyyy-mm-ddTHH:MM:SS")&amp;" --enforcementcount "&amp;J211&amp;IF(outputrefinedruntimes," &gt;&gt;"&amp;RefinedRTDCRunTimesOutputFile,"")</f>
        <v>"%USERPROFILE%\Documents\GitHub\eaglep3\Utilities\RefineRTDCRunTimes.py" --tripid 847-23 --locoid 4060 --swversion DE.1.0.9.0 --startMP 300:58634 --initTime 2017-10-23T22:23:33 --startdatetime 2017-10-23T22:09:25 --delay 52 --endMP 204:649 --enddatetime 2017-10-23T22:22:28 --enforcementcount 0 &gt;&gt;%USERPROFILE%\Documents\GitHub\eaglep3-reporting\EC\2017-10-23-refined-times.txt</v>
      </c>
      <c r="AI211" s="96" t="str">
        <f t="shared" ref="AI211" si="67">"echo {""issue"":{""subject"":"""&amp;R211&amp;""",""project_id"":79,""tracker_id"":40,""status_id"":"&amp;redmine_status&amp;",""priority_id"":"&amp;redmine_priority&amp;",""assigned_to_id"":"&amp;redmine_assignee&amp;",""start_date"":"""&amp;TEXT(I211,"YYYY-mm-dd")&amp;""",""description"":"""&amp;AJ211&amp;""",""custom_fields"":[{""id"":1,""name"":""Subdivision"",""value"":"""&amp;AG211&amp;"""},{""id"":4,""name"":""Milepost"",""value"":"""&amp;Z211&amp;"""},{""id"":17,""name"":""Train ID"",""value"":"""&amp;A211&amp;"""},{""id"":16,""name"":""Locomotive ID"",""value"":"""&amp;B211&amp;"""},{""id"":130,""name"":""Impact"",""value"":"""&amp;AK211&amp;"""},{""id"":150,""name"":""Time of Event (Mountain Time)"",""value"":"""&amp;TEXT(I211,"hh:mm:ss")&amp;"""},{""id"":151,""name"":""Denver Issue ID"",""value"":"""&amp;"""},{""id"":178,""name"":""Operational Impact"",""value"":"""&amp;redmine_op_impact&amp;"""},{""id"":179,""name"":""Denver Segment Assigned"",""value"":"""&amp;AL211&amp;"""}]}}"&amp;"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{"issue":{"subject":"","project_id":79,"tracker_id":40,"status_id":1,"priority_id":2,"assigned_to_id":338,"start_date":"2017-10-23","description":"","custom_fields":[{"id":1,"name":"Subdivision","value":"NW"},{"id":4,"name":"Milepost","value":"5.8961"},{"id":17,"name":"Train ID","value":"847-23"},{"id":16,"name":"Locomotive ID","value":"4060"},{"id":130,"name":"Impact","value":""},{"id":150,"name":"Time of Event (Mountain Time)","value":"22:22:28"},{"id":151,"name":"Denver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1" s="47"/>
      <c r="AL211" s="47"/>
      <c r="AM211" s="142" t="str">
        <f t="shared" ref="AM211" si="68">"start /low /b "&amp;dls3logs&amp;" --loco "&amp;B211&amp;" --day "&amp;TEXT(F211,"YYYY-MM-DD")</f>
        <v>start /low /b %USERPROFILE%\Documents\GitHub\eaglep3\Utilities\DownloadLogsFromS3.py --loco 4060 --day 2017-10-23</v>
      </c>
      <c r="AN211" s="151" t="str">
        <f t="shared" ref="AN211" si="69">"echo {""issue"":{""subject"":"""&amp;R211&amp;""",""project_id"":30,""tracker_id"":4,""status_id"":"&amp;redmine_status_wcr&amp;",""priority_id"":"&amp;redmine_priority_wcr&amp;",""assigned_to_id"":"&amp;redmine_assignee_wcr&amp;",""start_date"":"""&amp;TEXT(I211-utc_offset/24,"YYYY-mm-dd")&amp;""",""description"":"""&amp;AJ211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04:22:28"},{"id":29,"name":"Sharepoint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168" t="str">
        <f t="shared" ref="AO211" si="70"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Message%20ID',Summary),filters:!(),index:'emp_*',interval:auto,query:"&amp;"(query_string:(analyze_wildcard:!t,query:'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-10-23T21:23:33-0600',mode:absolute,to:'2017-10-23T23:22:28-0600'))&amp;_a=(columns:!('Message%20ID',Summary),filters:!(),index:'emp_*',interval:auto,query:(query_string:(analyze_wildcard:!t,query:'%22rtdc.l.rtdc.4060%22')),sort:!(Time.ISO8601,asc))</v>
      </c>
    </row>
    <row r="212" spans="1:91" s="20" customFormat="1" x14ac:dyDescent="0.3">
      <c r="A212" s="32" t="s">
        <v>673</v>
      </c>
      <c r="B212" s="7">
        <v>4060</v>
      </c>
      <c r="C212" s="21" t="s">
        <v>194</v>
      </c>
      <c r="D212" s="21" t="s">
        <v>1040</v>
      </c>
      <c r="E212" s="13">
        <v>43031.956053240741</v>
      </c>
      <c r="F212" s="13">
        <v>43031.964745370373</v>
      </c>
      <c r="G212" s="7">
        <v>51</v>
      </c>
      <c r="H212" s="21" t="s">
        <v>1024</v>
      </c>
      <c r="I212" s="13">
        <v>43031.973287037035</v>
      </c>
      <c r="J212" s="7">
        <v>0</v>
      </c>
      <c r="K212" s="89" t="str">
        <f>IF(ISEVEN(B212),(B212-1)&amp;"/"&amp;B212,B212&amp;"/"&amp;(B212+1))</f>
        <v>4059/4060</v>
      </c>
      <c r="L212" s="185" t="str">
        <f>VLOOKUP(A212,'Trips&amp;Operators'!$C$1:$G$99911,5,FALSE)</f>
        <v>STAMBAUGH JAMES</v>
      </c>
      <c r="M212" s="6">
        <f>I212-F212</f>
        <v>8.5416666624951176E-3</v>
      </c>
      <c r="N212" s="7">
        <f>24*60*SUM($M212:$M212)</f>
        <v>12.299999993992969</v>
      </c>
      <c r="O212" s="7"/>
      <c r="P212" s="7"/>
      <c r="Q212" s="22"/>
      <c r="R212" s="174"/>
      <c r="S212" s="221">
        <f>1/IF(AG212="EC",12,1)*SUM(U212:U212)</f>
        <v>1</v>
      </c>
      <c r="T212" s="174" t="str">
        <f>IF(ISEVEN(LEFT(AD212,4)),"Southbound","NorthBound")</f>
        <v>NorthBound</v>
      </c>
      <c r="U212" s="198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16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-10-23T21:56:43-0600',mode:absolute,to:'2017-10-24T00:21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12" s="204" t="str">
        <f>IF(AA212&lt;VLOOKUP(AG212,Variables!$AC$3:$AD$8,2,FALSE),"Y","N")</f>
        <v>N</v>
      </c>
      <c r="X212" s="204">
        <f t="shared" si="65"/>
        <v>2</v>
      </c>
      <c r="Y212" s="204">
        <f>RIGHT(D212,LEN(D212)-4)/10000</f>
        <v>9.3700000000000006E-2</v>
      </c>
      <c r="Z212" s="204">
        <f>RIGHT(H212,LEN(H212)-4)/10000</f>
        <v>5.8940999999999999</v>
      </c>
      <c r="AA212" s="204">
        <f>ABS(Z212-Y212)</f>
        <v>5.8003999999999998</v>
      </c>
      <c r="AB212" s="54" t="e">
        <f>VLOOKUP(A212,Enforcements!$C$7:$K$11,8,0)</f>
        <v>#N/A</v>
      </c>
      <c r="AC212" s="51" t="e">
        <f>VLOOKUP(A212,Enforcements!$C$7:$E$11,3,0)</f>
        <v>#N/A</v>
      </c>
      <c r="AD212" s="179">
        <f>VALUE(LEFT(A212,LEN(A212)-3))</f>
        <v>849</v>
      </c>
      <c r="AE212" s="77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s3://rtdc.mdm.uploadarchive.raw/RTDC4060/ "%USERPROFILE%\AppData\Local\Temp\OnboardLogs"\RTDC4060\2017-10-23 --exclude "*" --recursive --include "*20171023*" &amp; "%USERPROFILE%\Documents\GitHub\mrs-test-scripts\Headless Mode &amp; Sideloading\WalkAndUnGZ.bat" "%USERPROFILE%\AppData\Local\Temp\OnboardLogs"\RTDC4060\2017-10-23 &amp; aws s3 cp s3://rtdc.mdm.uploadarchive.raw/RTDC4060/ "%USERPROFILE%\AppData\Local\Temp\OnboardLogs"\RTDC4060\2017-10-24 --exclude "*" --recursive --include "*20171024*" &amp; "%USERPROFILE%\Documents\GitHub\mrs-test-scripts\Headless Mode &amp; Sideloading\WalkAndUnGZ.bat" "%USERPROFILE%\AppData\Local\Temp\OnboardLogs"\RTDC4060\2017-10-24</v>
      </c>
      <c r="AF212" s="74" t="str">
        <f>astrogrep_path&amp;" /e /r /s /spath="&amp;search_path&amp;" /stypes=""app*"&amp;B212&amp;"*"&amp;TEXT(I212-utc_offset/24,"YYYYMMDD")&amp;"*"" /stext="" "&amp;TEXT(I212-utc_offset/24,"HH")&amp;search_regexp&amp;""""</f>
        <v>"C:\Program Files (x86)\AstroGrep\AstroGrep.exe" /e /r /s /spath="%USERPROFILE%\AppData\Local\Temp\OnboardLogs" /stypes="app*4060*20171024*" /stext=" 05:.+((SYSTEM_STATE.+slice.+state.+changed )|(ment ac)|(multiple cpu faults)|(system.+state.+changed )|(\[timeout)|(PRM\|1\|D)|(kpr)|(kdp)|(train st.+moving)|(\|lc)|(penalty))"</v>
      </c>
      <c r="AG212" s="182" t="str">
        <f>DetSubdiv(A212)</f>
        <v>NW</v>
      </c>
      <c r="AH212" s="78" t="str">
        <f t="shared" si="26"/>
        <v>"%USERPROFILE%\Documents\GitHub\eaglep3\Utilities\RefineRTDCRunTimes.py" --tripid 849-23 --locoid 4060 --swversion DE.1.0.9.0 --startMP 204:937 --initTime 2017-10-23T22:56:43 --startdatetime 2017-10-23T23:09:14 --delay 51 --endMP 300:58941 --enddatetime 2017-10-23T23:21:32 --enforcementcount 0 &gt;&gt;%USERPROFILE%\Documents\GitHub\eaglep3-reporting\EC\2017-10-23-refined-times.txt</v>
      </c>
      <c r="AI212" s="96" t="str">
        <f t="shared" si="27"/>
        <v>echo {"issue":{"subject":"","project_id":79,"tracker_id":40,"status_id":1,"priority_id":2,"assigned_to_id":338,"start_date":"2017-10-23","description":"","custom_fields":[{"id":1,"name":"Subdivision","value":"NW"},{"id":4,"name":"Milepost","value":"5.8941"},{"id":17,"name":"Train ID","value":"849-23"},{"id":16,"name":"Locomotive ID","value":"4060"},{"id":130,"name":"Impact","value":""},{"id":150,"name":"Time of Event (Mountain Time)","value":"23:21:32"},{"id":151,"name":"Denver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2" s="47"/>
      <c r="AL212" s="47"/>
      <c r="AM212" s="142" t="str">
        <f t="shared" si="28"/>
        <v>start /low /b %USERPROFILE%\Documents\GitHub\eaglep3\Utilities\DownloadLogsFromS3.py --loco 4060 --day 2017-10-23</v>
      </c>
      <c r="AN212" s="151" t="str">
        <f t="shared" si="29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05:21:32"},{"id":29,"name":"Sharepoint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168" t="str">
        <f t="shared" si="30"/>
        <v>https://d0f6bd738d7f1b3e5a7ca70fe4ff75f0.us-east-1.aws.found.io/app/kibana#/discover/Steve-Slow-Train-Analysis-(2080s-and-2083s)?_g=(refreshInterval:(display:Off,pause:!f,section:0,value:0),time:(from:'2017-10-23T21:56:43-0600',mode:absolute,to:'2017-10-24T00:21:32-0600'))&amp;_a=(columns:!('Message%20ID',Summary),filters:!(),index:'emp_*',interval:auto,query:(query_string:(analyze_wildcard:!t,query:'%22rtdc.l.rtdc.4060%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3">
      <c r="A213" s="32" t="s">
        <v>680</v>
      </c>
      <c r="B213" s="7">
        <v>4003</v>
      </c>
      <c r="C213" s="21" t="s">
        <v>194</v>
      </c>
      <c r="D213" s="21" t="s">
        <v>959</v>
      </c>
      <c r="E213" s="13">
        <v>43031.117071759261</v>
      </c>
      <c r="F213" s="13">
        <v>43031.119803240741</v>
      </c>
      <c r="G213" s="7">
        <v>75</v>
      </c>
      <c r="H213" s="21" t="s">
        <v>355</v>
      </c>
      <c r="I213" s="13">
        <v>43031.126817129632</v>
      </c>
      <c r="J213" s="7">
        <v>0</v>
      </c>
      <c r="K213" s="89" t="str">
        <f>IF(ISEVEN(B213),(B213-1)&amp;"/"&amp;B213,B213&amp;"/"&amp;(B213+1))</f>
        <v>4003/4004</v>
      </c>
      <c r="L213" s="185" t="str">
        <f>VLOOKUP(A213,'Trips&amp;Operators'!$C$1:$G$99911,5,FALSE)</f>
        <v>THOMPSON LESTER</v>
      </c>
      <c r="M213" s="6">
        <f>I213-F213</f>
        <v>7.0138888913788833E-3</v>
      </c>
      <c r="N213" s="7">
        <f>24*60*SUM($M213:$M213)</f>
        <v>10.100000003585592</v>
      </c>
      <c r="O213" s="7"/>
      <c r="P213" s="7"/>
      <c r="Q213" s="22"/>
      <c r="R213" s="174"/>
      <c r="S213" s="221">
        <f>1/IF(AG213="EC",12,1)*SUM(U213:U213)</f>
        <v>1</v>
      </c>
      <c r="T213" s="174" t="str">
        <f>IF(ISEVEN(LEFT(AD213,4)),"Southbound","NorthBound")</f>
        <v>Southbound</v>
      </c>
      <c r="U213" s="198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16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-10-23T01:48:35-0600',mode:absolute,to:'2017-10-23T04:02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13" s="204" t="str">
        <f>IF(AA213&lt;VLOOKUP(AG213,Variables!$AC$3:$AD$8,2,FALSE),"Y","N")</f>
        <v>Y</v>
      </c>
      <c r="X213" s="204">
        <f t="shared" si="65"/>
        <v>-549</v>
      </c>
      <c r="Y213" s="204">
        <f>RIGHT(D213,LEN(D213)-4)/10000</f>
        <v>2.3464</v>
      </c>
      <c r="Z213" s="204">
        <f>RIGHT(H213,LEN(H213)-4)/10000</f>
        <v>1.4500000000000001E-2</v>
      </c>
      <c r="AA213" s="204">
        <f>ABS(Z213-Y213)</f>
        <v>2.3319000000000001</v>
      </c>
      <c r="AB213" s="54" t="e">
        <f>VLOOKUP(A213,Enforcements!$C$7:$K$11,8,0)</f>
        <v>#N/A</v>
      </c>
      <c r="AC213" s="51" t="e">
        <f>VLOOKUP(A213,Enforcements!$C$7:$E$11,3,0)</f>
        <v>#N/A</v>
      </c>
      <c r="AD213" s="179">
        <f>VALUE(LEFT(A213,LEN(A213)-3))</f>
        <v>300</v>
      </c>
      <c r="AE213" s="77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s3://rtdc.mdm.uploadarchive.raw/RTDC4003/ "%USERPROFILE%\AppData\Local\Temp\OnboardLogs"\RTDC4003\2017-10-23 --exclude "*" --recursive --include "*20171023*" &amp; "%USERPROFILE%\Documents\GitHub\mrs-test-scripts\Headless Mode &amp; Sideloading\WalkAndUnGZ.bat" "%USERPROFILE%\AppData\Local\Temp\OnboardLogs"\RTDC4003\2017-10-23 &amp; aws s3 cp s3://rtdc.mdm.uploadarchive.raw/RTDC4003/ "%USERPROFILE%\AppData\Local\Temp\OnboardLogs"\RTDC4003\2017-10-24 --exclude "*" --recursive --include "*20171024*" &amp; "%USERPROFILE%\Documents\GitHub\mrs-test-scripts\Headless Mode &amp; Sideloading\WalkAndUnGZ.bat" "%USERPROFILE%\AppData\Local\Temp\OnboardLogs"\RTDC4003\2017-10-24</v>
      </c>
      <c r="AF213" s="74" t="str">
        <f>astrogrep_path&amp;" /e /r /s /spath="&amp;search_path&amp;" /stypes=""app*"&amp;B213&amp;"*"&amp;TEXT(I213-utc_offset/24,"YYYYMMDD")&amp;"*"" /stext="" "&amp;TEXT(I213-utc_offset/24,"HH")&amp;search_regexp&amp;""""</f>
        <v>"C:\Program Files (x86)\AstroGrep\AstroGrep.exe" /e /r /s /spath="%USERPROFILE%\AppData\Local\Temp\OnboardLogs" /stypes="app*4003*20171023*" /stext=" 09:.+((SYSTEM_STATE.+slice.+state.+changed )|(ment ac)|(multiple cpu faults)|(system.+state.+changed )|(\[timeout)|(PRM\|1\|D)|(kpr)|(kdp)|(train st.+moving)|(\|lc)|(penalty))"</v>
      </c>
      <c r="AG213" s="182" t="str">
        <f>DetSubdiv(A213)</f>
        <v>Other</v>
      </c>
      <c r="AH213" s="78" t="str">
        <f t="shared" si="26"/>
        <v>"%USERPROFILE%\Documents\GitHub\eaglep3\Utilities\RefineRTDCRunTimes.py" --tripid 300-23 --locoid 4003 --swversion DE.1.0.9.0 --startMP 300:23464 --initTime 2017-10-23T02:48:35 --startdatetime 2017-10-23T02:52:31 --delay 75 --endMP 204:145 --enddatetime 2017-10-23T03:02:37 --enforcementcount 0 &gt;&gt;%USERPROFILE%\Documents\GitHub\eaglep3-reporting\EC\2017-10-23-refined-times.txt</v>
      </c>
      <c r="AI213" s="96" t="str">
        <f t="shared" si="27"/>
        <v>echo {"issue":{"subject":"","project_id":79,"tracker_id":40,"status_id":1,"priority_id":2,"assigned_to_id":338,"start_date":"2017-10-23","description":"","custom_fields":[{"id":1,"name":"Subdivision","value":"Other"},{"id":4,"name":"Milepost","value":"0.0145"},{"id":17,"name":"Train ID","value":"300-23"},{"id":16,"name":"Locomotive ID","value":"4003"},{"id":130,"name":"Impact","value":""},{"id":150,"name":"Time of Event (Mountain Time)","value":"03:02:37"},{"id":151,"name":"Denver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3" s="47"/>
      <c r="AL213" s="47"/>
      <c r="AM213" s="142" t="str">
        <f t="shared" si="28"/>
        <v>start /low /b %USERPROFILE%\Documents\GitHub\eaglep3\Utilities\DownloadLogsFromS3.py --loco 4003 --day 2017-10-23</v>
      </c>
      <c r="AN213" s="151" t="str">
        <f t="shared" si="29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09:02:37"},{"id":29,"name":"Sharepoint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168" t="str">
        <f t="shared" si="30"/>
        <v>https://d0f6bd738d7f1b3e5a7ca70fe4ff75f0.us-east-1.aws.found.io/app/kibana#/discover/Steve-Slow-Train-Analysis-(2080s-and-2083s)?_g=(refreshInterval:(display:Off,pause:!f,section:0,value:0),time:(from:'2017-10-23T01:48:35-0600',mode:absolute,to:'2017-10-23T04:02:37-0600'))&amp;_a=(columns:!('Message%20ID',Summary),filters:!(),index:'emp_*',interval:auto,query:(query_string:(analyze_wildcard:!t,query:'%22rtdc.l.rtdc.4003%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3">
      <c r="A214" s="32" t="s">
        <v>853</v>
      </c>
      <c r="B214" s="7">
        <v>4016</v>
      </c>
      <c r="C214" s="21" t="s">
        <v>194</v>
      </c>
      <c r="D214" s="21" t="s">
        <v>461</v>
      </c>
      <c r="E214" s="13">
        <v>43031.777557870373</v>
      </c>
      <c r="F214" s="13">
        <v>43031.780810185184</v>
      </c>
      <c r="G214" s="7">
        <v>67</v>
      </c>
      <c r="H214" s="21" t="s">
        <v>960</v>
      </c>
      <c r="I214" s="13">
        <v>43031.788206018522</v>
      </c>
      <c r="J214" s="7">
        <v>0</v>
      </c>
      <c r="K214" s="89" t="str">
        <f>IF(ISEVEN(B214),(B214-1)&amp;"/"&amp;B214,B214&amp;"/"&amp;(B214+1))</f>
        <v>4015/4016</v>
      </c>
      <c r="L214" s="185" t="str">
        <f>VLOOKUP(A214,'Trips&amp;Operators'!$C$1:$G$99911,5,FALSE)</f>
        <v>LEVERE CRAIG</v>
      </c>
      <c r="M214" s="6">
        <f>I214-F214</f>
        <v>7.3958333377959207E-3</v>
      </c>
      <c r="N214" s="7">
        <f>24*60*SUM($M214:$M214)</f>
        <v>10.650000006426126</v>
      </c>
      <c r="O214" s="7"/>
      <c r="P214" s="7"/>
      <c r="Q214" s="22"/>
      <c r="R214" s="174"/>
      <c r="S214" s="221">
        <f>1/IF(AG214="EC",12,1)*SUM(U214:U214)</f>
        <v>1</v>
      </c>
      <c r="T214" s="174" t="str">
        <f>IF(ISEVEN(LEFT(AD214,4)),"Southbound","NorthBound")</f>
        <v>NorthBound</v>
      </c>
      <c r="U214" s="198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16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2017-10-23T17:39:41-0600',mode:absolute,to:'2017-10-23T19:55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4" s="204" t="str">
        <f>IF(AA214&lt;VLOOKUP(AG214,Variables!$AC$3:$AD$8,2,FALSE),"Y","N")</f>
        <v>Y</v>
      </c>
      <c r="X214" s="204">
        <f>VALUE(LEFT(AD214,4))-VALUE(LEFT(AD213,4))</f>
        <v>1</v>
      </c>
      <c r="Y214" s="204">
        <f>RIGHT(D214,LEN(D214)-4)/10000</f>
        <v>4.6600000000000003E-2</v>
      </c>
      <c r="Z214" s="204">
        <f>RIGHT(H214,LEN(H214)-4)/10000</f>
        <v>2.3298999999999999</v>
      </c>
      <c r="AA214" s="204">
        <f>ABS(Z214-Y214)</f>
        <v>2.2832999999999997</v>
      </c>
      <c r="AB214" s="54" t="e">
        <f>VLOOKUP(A214,Enforcements!$C$7:$K$11,8,0)</f>
        <v>#N/A</v>
      </c>
      <c r="AC214" s="51" t="e">
        <f>VLOOKUP(A214,Enforcements!$C$7:$E$11,3,0)</f>
        <v>#N/A</v>
      </c>
      <c r="AD214" s="179">
        <f>VALUE(LEFT(A214,LEN(A214)-3))</f>
        <v>301</v>
      </c>
      <c r="AE214" s="77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s3://rtdc.mdm.uploadarchive.raw/RTDC4016/ "%USERPROFILE%\AppData\Local\Temp\OnboardLogs"\RTDC4016\2017-10-23 --exclude "*" --recursive --include "*20171023*" &amp; "%USERPROFILE%\Documents\GitHub\mrs-test-scripts\Headless Mode &amp; Sideloading\WalkAndUnGZ.bat" "%USERPROFILE%\AppData\Local\Temp\OnboardLogs"\RTDC4016\2017-10-23 &amp; aws s3 cp s3://rtdc.mdm.uploadarchive.raw/RTDC4016/ "%USERPROFILE%\AppData\Local\Temp\OnboardLogs"\RTDC4016\2017-10-24 --exclude "*" --recursive --include "*20171024*" &amp; "%USERPROFILE%\Documents\GitHub\mrs-test-scripts\Headless Mode &amp; Sideloading\WalkAndUnGZ.bat" "%USERPROFILE%\AppData\Local\Temp\OnboardLogs"\RTDC4016\2017-10-24</v>
      </c>
      <c r="AF214" s="74" t="str">
        <f>astrogrep_path&amp;" /e /r /s /spath="&amp;search_path&amp;" /stypes=""app*"&amp;B214&amp;"*"&amp;TEXT(I214-utc_offset/24,"YYYYMMDD")&amp;"*"" /stext="" "&amp;TEXT(I214-utc_offset/24,"HH")&amp;search_regexp&amp;""""</f>
        <v>"C:\Program Files (x86)\AstroGrep\AstroGrep.exe" /e /r /s /spath="%USERPROFILE%\AppData\Local\Temp\OnboardLogs" /stypes="app*4016*20171024*" /stext=" 00:.+((SYSTEM_STATE.+slice.+state.+changed )|(ment ac)|(multiple cpu faults)|(system.+state.+changed )|(\[timeout)|(PRM\|1\|D)|(kpr)|(kdp)|(train st.+moving)|(\|lc)|(penalty))"</v>
      </c>
      <c r="AG214" s="182" t="str">
        <f>DetSubdiv(A214)</f>
        <v>Other</v>
      </c>
      <c r="AH214" s="78" t="str">
        <f t="shared" si="26"/>
        <v>"%USERPROFILE%\Documents\GitHub\eaglep3\Utilities\RefineRTDCRunTimes.py" --tripid 301-23 --locoid 4016 --swversion DE.1.0.9.0 --startMP 204:466 --initTime 2017-10-23T18:39:41 --startdatetime 2017-10-23T18:44:22 --delay 67 --endMP 300:23299 --enddatetime 2017-10-23T18:55:01 --enforcementcount 0 &gt;&gt;%USERPROFILE%\Documents\GitHub\eaglep3-reporting\EC\2017-10-23-refined-times.txt</v>
      </c>
      <c r="AI214" s="96" t="str">
        <f t="shared" si="27"/>
        <v>echo {"issue":{"subject":"","project_id":79,"tracker_id":40,"status_id":1,"priority_id":2,"assigned_to_id":338,"start_date":"2017-10-23","description":"","custom_fields":[{"id":1,"name":"Subdivision","value":"Other"},{"id":4,"name":"Milepost","value":"2.3299"},{"id":17,"name":"Train ID","value":"301-23"},{"id":16,"name":"Locomotive ID","value":"4016"},{"id":130,"name":"Impact","value":""},{"id":150,"name":"Time of Event (Mountain Time)","value":"18:55:01"},{"id":151,"name":"Denver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4" s="47"/>
      <c r="AL214" s="47"/>
      <c r="AM214" s="142" t="str">
        <f t="shared" si="28"/>
        <v>start /low /b %USERPROFILE%\Documents\GitHub\eaglep3\Utilities\DownloadLogsFromS3.py --loco 4016 --day 2017-10-23</v>
      </c>
      <c r="AN214" s="151" t="str">
        <f t="shared" si="29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00:55:01"},{"id":29,"name":"Sharepoint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168" t="str">
        <f t="shared" si="30"/>
        <v>https://d0f6bd738d7f1b3e5a7ca70fe4ff75f0.us-east-1.aws.found.io/app/kibana#/discover/Steve-Slow-Train-Analysis-(2080s-and-2083s)?_g=(refreshInterval:(display:Off,pause:!f,section:0,value:0),time:(from:'2017-10-23T17:39:41-0600',mode:absolute,to:'2017-10-23T19:55:01-0600'))&amp;_a=(columns:!('Message%20ID',Summary),filters:!(),index:'emp_*',interval:auto,query:(query_string:(analyze_wildcard:!t,query:'%22rtdc.l.rtdc.4016%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3">
      <c r="A215" s="32" t="s">
        <v>688</v>
      </c>
      <c r="B215" s="7">
        <v>4045</v>
      </c>
      <c r="C215" s="21" t="s">
        <v>194</v>
      </c>
      <c r="D215" s="21" t="s">
        <v>961</v>
      </c>
      <c r="E215" s="13">
        <v>43031.139062499999</v>
      </c>
      <c r="F215" s="13">
        <v>43031.144432870373</v>
      </c>
      <c r="G215" s="7">
        <v>69</v>
      </c>
      <c r="H215" s="21" t="s">
        <v>366</v>
      </c>
      <c r="I215" s="13">
        <v>43031.150219907409</v>
      </c>
      <c r="J215" s="7">
        <v>0</v>
      </c>
      <c r="K215" s="89" t="str">
        <f>IF(ISEVEN(B215),(B215-1)&amp;"/"&amp;B215,B215&amp;"/"&amp;(B215+1))</f>
        <v>4045/4046</v>
      </c>
      <c r="L215" s="185" t="str">
        <f>VLOOKUP(A215,'Trips&amp;Operators'!$C$1:$G$99911,5,FALSE)</f>
        <v>BONDS REYNALDO</v>
      </c>
      <c r="M215" s="6">
        <f>I215-F215</f>
        <v>5.7870370364980772E-3</v>
      </c>
      <c r="N215" s="7">
        <f>24*60*SUM($M215:$M215)</f>
        <v>8.3333333325572312</v>
      </c>
      <c r="O215" s="7"/>
      <c r="P215" s="7"/>
      <c r="Q215" s="22"/>
      <c r="R215" s="174"/>
      <c r="S215" s="221">
        <f>1/IF(AG215="EC",12,1)*SUM(U215:U215)</f>
        <v>1</v>
      </c>
      <c r="T215" s="174" t="str">
        <f>IF(ISEVEN(LEFT(AD215,4)),"Southbound","NorthBound")</f>
        <v>Southbound</v>
      </c>
      <c r="U215" s="198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16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2017-10-23T02:20:15-0600',mode:absolute,to:'2017-10-23T04:36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15" s="204" t="str">
        <f>IF(AA215&lt;VLOOKUP(AG215,Variables!$AC$3:$AD$8,2,FALSE),"Y","N")</f>
        <v>Y</v>
      </c>
      <c r="X215" s="204">
        <f>VALUE(LEFT(AD215,4))-VALUE(LEFT(AD214,4))</f>
        <v>1</v>
      </c>
      <c r="Y215" s="204">
        <f>RIGHT(D215,LEN(D215)-4)/10000</f>
        <v>2.3496999999999999</v>
      </c>
      <c r="Z215" s="204">
        <f>RIGHT(H215,LEN(H215)-4)/10000</f>
        <v>1.3899999999999999E-2</v>
      </c>
      <c r="AA215" s="204">
        <f>ABS(Z215-Y215)</f>
        <v>2.3357999999999999</v>
      </c>
      <c r="AB215" s="54" t="e">
        <f>VLOOKUP(A215,Enforcements!$C$7:$K$11,8,0)</f>
        <v>#N/A</v>
      </c>
      <c r="AC215" s="51" t="e">
        <f>VLOOKUP(A215,Enforcements!$C$7:$E$11,3,0)</f>
        <v>#N/A</v>
      </c>
      <c r="AD215" s="179">
        <f>VALUE(LEFT(A215,LEN(A215)-3))</f>
        <v>302</v>
      </c>
      <c r="AE215" s="77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s3://rtdc.mdm.uploadarchive.raw/RTDC4045/ "%USERPROFILE%\AppData\Local\Temp\OnboardLogs"\RTDC4045\2017-10-23 --exclude "*" --recursive --include "*20171023*" &amp; "%USERPROFILE%\Documents\GitHub\mrs-test-scripts\Headless Mode &amp; Sideloading\WalkAndUnGZ.bat" "%USERPROFILE%\AppData\Local\Temp\OnboardLogs"\RTDC4045\2017-10-23 &amp; aws s3 cp s3://rtdc.mdm.uploadarchive.raw/RTDC4045/ "%USERPROFILE%\AppData\Local\Temp\OnboardLogs"\RTDC4045\2017-10-24 --exclude "*" --recursive --include "*20171024*" &amp; "%USERPROFILE%\Documents\GitHub\mrs-test-scripts\Headless Mode &amp; Sideloading\WalkAndUnGZ.bat" "%USERPROFILE%\AppData\Local\Temp\OnboardLogs"\RTDC4045\2017-10-24</v>
      </c>
      <c r="AF215" s="74" t="str">
        <f>astrogrep_path&amp;" /e /r /s /spath="&amp;search_path&amp;" /stypes=""app*"&amp;B215&amp;"*"&amp;TEXT(I215-utc_offset/24,"YYYYMMDD")&amp;"*"" /stext="" "&amp;TEXT(I215-utc_offset/24,"HH")&amp;search_regexp&amp;""""</f>
        <v>"C:\Program Files (x86)\AstroGrep\AstroGrep.exe" /e /r /s /spath="%USERPROFILE%\AppData\Local\Temp\OnboardLogs" /stypes="app*4045*20171023*" /stext=" 09:.+((SYSTEM_STATE.+slice.+state.+changed )|(ment ac)|(multiple cpu faults)|(system.+state.+changed )|(\[timeout)|(PRM\|1\|D)|(kpr)|(kdp)|(train st.+moving)|(\|lc)|(penalty))"</v>
      </c>
      <c r="AG215" s="182" t="str">
        <f>DetSubdiv(A215)</f>
        <v>Other</v>
      </c>
      <c r="AH215" s="78" t="str">
        <f t="shared" ref="AH215:AH245" si="71">refinertdcruntimes&amp;" --tripid "&amp;A215&amp;" --locoid "&amp;B215&amp;" --swversion "&amp;C215&amp;" --startMP "&amp;D215&amp;" --initTime "&amp;TEXT(E215,"yyyy-mm-ddTHH:MM:SS")&amp;" --startdatetime "&amp;TEXT(F215,"yyyy-mm-ddTHH:MM:SS")&amp;" --delay "&amp;G215&amp;" --endMP "&amp;H215&amp;" --enddatetime "&amp;TEXT(I215,"yyyy-mm-ddTHH:MM:SS")&amp;" --enforcementcount "&amp;J215&amp;IF(outputrefinedruntimes," &gt;&gt;"&amp;RefinedRTDCRunTimesOutputFile,"")</f>
        <v>"%USERPROFILE%\Documents\GitHub\eaglep3\Utilities\RefineRTDCRunTimes.py" --tripid 302-23 --locoid 4045 --swversion DE.1.0.9.0 --startMP 300:23497 --initTime 2017-10-23T03:20:15 --startdatetime 2017-10-23T03:27:59 --delay 69 --endMP 204:139 --enddatetime 2017-10-23T03:36:19 --enforcementcount 0 &gt;&gt;%USERPROFILE%\Documents\GitHub\eaglep3-reporting\EC\2017-10-23-refined-times.txt</v>
      </c>
      <c r="AI215" s="96" t="str">
        <f t="shared" ref="AI215:AI245" si="72">"echo {""issue"":{""subject"":"""&amp;R215&amp;""",""project_id"":79,""tracker_id"":40,""status_id"":"&amp;redmine_status&amp;",""priority_id"":"&amp;redmine_priority&amp;",""assigned_to_id"":"&amp;redmine_assignee&amp;",""start_date"":"""&amp;TEXT(I215,"YYYY-mm-dd")&amp;""",""description"":"""&amp;AJ215&amp;""",""custom_fields"":[{""id"":1,""name"":""Subdivision"",""value"":"""&amp;AG215&amp;"""},{""id"":4,""name"":""Milepost"",""value"":"""&amp;Z215&amp;"""},{""id"":17,""name"":""Train ID"",""value"":"""&amp;A215&amp;"""},{""id"":16,""name"":""Locomotive ID"",""value"":"""&amp;B215&amp;"""},{""id"":130,""name"":""Impact"",""value"":"""&amp;AK215&amp;"""},{""id"":150,""name"":""Time of Event (Mountain Time)"",""value"":"""&amp;TEXT(I215,"hh:mm:ss")&amp;"""},{""id"":151,""name"":""Denver Issue ID"",""value"":"""&amp;"""},{""id"":178,""name"":""Operational Impact"",""value"":"""&amp;redmine_op_impact&amp;"""},{""id"":179,""name"":""Denver Segment Assigned"",""value"":"""&amp;AL215&amp;"""}]}}"&amp;"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{"issue":{"subject":"","project_id":79,"tracker_id":40,"status_id":1,"priority_id":2,"assigned_to_id":338,"start_date":"2017-10-23","description":"","custom_fields":[{"id":1,"name":"Subdivision","value":"Other"},{"id":4,"name":"Milepost","value":"0.0139"},{"id":17,"name":"Train ID","value":"302-23"},{"id":16,"name":"Locomotive ID","value":"4045"},{"id":130,"name":"Impact","value":""},{"id":150,"name":"Time of Event (Mountain Time)","value":"03:36:19"},{"id":151,"name":"Denver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5" s="47"/>
      <c r="AL215" s="47"/>
      <c r="AM215" s="142" t="str">
        <f t="shared" ref="AM215:AM245" si="73">"start /low /b "&amp;dls3logs&amp;" --loco "&amp;B215&amp;" --day "&amp;TEXT(F215,"YYYY-MM-DD")</f>
        <v>start /low /b %USERPROFILE%\Documents\GitHub\eaglep3\Utilities\DownloadLogsFromS3.py --loco 4045 --day 2017-10-23</v>
      </c>
      <c r="AN215" s="151" t="str">
        <f t="shared" ref="AN215:AN245" si="74">"echo {""issue"":{""subject"":"""&amp;R215&amp;""",""project_id"":30,""tracker_id"":4,""status_id"":"&amp;redmine_status_wcr&amp;",""priority_id"":"&amp;redmine_priority_wcr&amp;",""assigned_to_id"":"&amp;redmine_assignee_wcr&amp;",""start_date"":"""&amp;TEXT(I215-utc_offset/24,"YYYY-mm-dd")&amp;""",""description"":"""&amp;AJ215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09:36:19"},{"id":29,"name":"Sharepoint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168" t="str">
        <f t="shared" ref="AO215:AO245" si="75"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Message%20ID',Summary),filters:!(),index:'emp_*',interval:auto,query:"&amp;"(query_string:(analyze_wildcard:!t,query:'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2017-10-23T02:20:15-0600',mode:absolute,to:'2017-10-23T04:36:19-0600'))&amp;_a=(columns:!('Message%20ID',Summary),filters:!(),index:'emp_*',interval:auto,query:(query_string:(analyze_wildcard:!t,query:'%22rtdc.l.rtdc.4045%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3">
      <c r="A216" s="32" t="s">
        <v>858</v>
      </c>
      <c r="B216" s="7">
        <v>4008</v>
      </c>
      <c r="C216" s="21" t="s">
        <v>194</v>
      </c>
      <c r="D216" s="21" t="s">
        <v>461</v>
      </c>
      <c r="E216" s="13">
        <v>43031.797685185185</v>
      </c>
      <c r="F216" s="13">
        <v>43031.799027777779</v>
      </c>
      <c r="G216" s="7">
        <v>52</v>
      </c>
      <c r="H216" s="21" t="s">
        <v>632</v>
      </c>
      <c r="I216" s="13">
        <v>43031.805613425924</v>
      </c>
      <c r="J216" s="7">
        <v>0</v>
      </c>
      <c r="K216" s="89" t="str">
        <f>IF(ISEVEN(B216),(B216-1)&amp;"/"&amp;B216,B216&amp;"/"&amp;(B216+1))</f>
        <v>4007/4008</v>
      </c>
      <c r="L216" s="185" t="str">
        <f>VLOOKUP(A216,'Trips&amp;Operators'!$C$1:$G$99911,5,FALSE)</f>
        <v>SAFIEF AEIMEN</v>
      </c>
      <c r="M216" s="6">
        <f>I216-F216</f>
        <v>6.5856481451191939E-3</v>
      </c>
      <c r="N216" s="7">
        <f>24*60*SUM($M216:$M216)</f>
        <v>9.4833333289716393</v>
      </c>
      <c r="O216" s="7"/>
      <c r="P216" s="7"/>
      <c r="Q216" s="22"/>
      <c r="R216" s="174"/>
      <c r="S216" s="221">
        <f>1/IF(AG216="EC",12,1)*SUM(U216:U216)</f>
        <v>1</v>
      </c>
      <c r="T216" s="174" t="str">
        <f>IF(ISEVEN(LEFT(AD216,4)),"Southbound","NorthBound")</f>
        <v>NorthBound</v>
      </c>
      <c r="U216" s="198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16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2017-10-23T18:08:40-0600',mode:absolute,to:'2017-10-23T20:20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6" s="204" t="str">
        <f>IF(AA216&lt;VLOOKUP(AG216,Variables!$AC$3:$AD$8,2,FALSE),"Y","N")</f>
        <v>Y</v>
      </c>
      <c r="X216" s="204">
        <f>VALUE(LEFT(AD216,4))-VALUE(LEFT(AD215,4))</f>
        <v>1</v>
      </c>
      <c r="Y216" s="204">
        <f>RIGHT(D216,LEN(D216)-4)/10000</f>
        <v>4.6600000000000003E-2</v>
      </c>
      <c r="Z216" s="204">
        <f>RIGHT(H216,LEN(H216)-4)/10000</f>
        <v>2.331</v>
      </c>
      <c r="AA216" s="204">
        <f>ABS(Z216-Y216)</f>
        <v>2.2843999999999998</v>
      </c>
      <c r="AB216" s="54" t="e">
        <f>VLOOKUP(A216,Enforcements!$C$7:$K$11,8,0)</f>
        <v>#N/A</v>
      </c>
      <c r="AC216" s="51" t="e">
        <f>VLOOKUP(A216,Enforcements!$C$7:$E$11,3,0)</f>
        <v>#N/A</v>
      </c>
      <c r="AD216" s="179">
        <f>VALUE(LEFT(A216,LEN(A216)-3))</f>
        <v>303</v>
      </c>
      <c r="AE216" s="77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s3://rtdc.mdm.uploadarchive.raw/RTDC4008/ "%USERPROFILE%\AppData\Local\Temp\OnboardLogs"\RTDC4008\2017-10-23 --exclude "*" --recursive --include "*20171023*" &amp; "%USERPROFILE%\Documents\GitHub\mrs-test-scripts\Headless Mode &amp; Sideloading\WalkAndUnGZ.bat" "%USERPROFILE%\AppData\Local\Temp\OnboardLogs"\RTDC4008\2017-10-23 &amp; aws s3 cp s3://rtdc.mdm.uploadarchive.raw/RTDC4008/ "%USERPROFILE%\AppData\Local\Temp\OnboardLogs"\RTDC4008\2017-10-24 --exclude "*" --recursive --include "*20171024*" &amp; "%USERPROFILE%\Documents\GitHub\mrs-test-scripts\Headless Mode &amp; Sideloading\WalkAndUnGZ.bat" "%USERPROFILE%\AppData\Local\Temp\OnboardLogs"\RTDC4008\2017-10-24</v>
      </c>
      <c r="AF216" s="74" t="str">
        <f>astrogrep_path&amp;" /e /r /s /spath="&amp;search_path&amp;" /stypes=""app*"&amp;B216&amp;"*"&amp;TEXT(I216-utc_offset/24,"YYYYMMDD")&amp;"*"" /stext="" "&amp;TEXT(I216-utc_offset/24,"HH")&amp;search_regexp&amp;""""</f>
        <v>"C:\Program Files (x86)\AstroGrep\AstroGrep.exe" /e /r /s /spath="%USERPROFILE%\AppData\Local\Temp\OnboardLogs" /stypes="app*4008*20171024*" /stext=" 01:.+((SYSTEM_STATE.+slice.+state.+changed )|(ment ac)|(multiple cpu faults)|(system.+state.+changed )|(\[timeout)|(PRM\|1\|D)|(kpr)|(kdp)|(train st.+moving)|(\|lc)|(penalty))"</v>
      </c>
      <c r="AG216" s="182" t="str">
        <f>DetSubdiv(A216)</f>
        <v>Other</v>
      </c>
      <c r="AH216" s="78" t="str">
        <f t="shared" si="71"/>
        <v>"%USERPROFILE%\Documents\GitHub\eaglep3\Utilities\RefineRTDCRunTimes.py" --tripid 303-23 --locoid 4008 --swversion DE.1.0.9.0 --startMP 204:466 --initTime 2017-10-23T19:08:40 --startdatetime 2017-10-23T19:10:36 --delay 52 --endMP 300:23310 --enddatetime 2017-10-23T19:20:05 --enforcementcount 0 &gt;&gt;%USERPROFILE%\Documents\GitHub\eaglep3-reporting\EC\2017-10-23-refined-times.txt</v>
      </c>
      <c r="AI216" s="96" t="str">
        <f t="shared" si="72"/>
        <v>echo {"issue":{"subject":"","project_id":79,"tracker_id":40,"status_id":1,"priority_id":2,"assigned_to_id":338,"start_date":"2017-10-23","description":"","custom_fields":[{"id":1,"name":"Subdivision","value":"Other"},{"id":4,"name":"Milepost","value":"2.331"},{"id":17,"name":"Train ID","value":"303-23"},{"id":16,"name":"Locomotive ID","value":"4008"},{"id":130,"name":"Impact","value":""},{"id":150,"name":"Time of Event (Mountain Time)","value":"19:20:05"},{"id":151,"name":"Denver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6" s="47"/>
      <c r="AL216" s="47"/>
      <c r="AM216" s="142" t="str">
        <f t="shared" si="73"/>
        <v>start /low /b %USERPROFILE%\Documents\GitHub\eaglep3\Utilities\DownloadLogsFromS3.py --loco 4008 --day 2017-10-23</v>
      </c>
      <c r="AN216" s="151" t="str">
        <f t="shared" si="74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01:20:05"},{"id":29,"name":"Sharepoint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168" t="str">
        <f t="shared" si="75"/>
        <v>https://d0f6bd738d7f1b3e5a7ca70fe4ff75f0.us-east-1.aws.found.io/app/kibana#/discover/Steve-Slow-Train-Analysis-(2080s-and-2083s)?_g=(refreshInterval:(display:Off,pause:!f,section:0,value:0),time:(from:'2017-10-23T18:08:40-0600',mode:absolute,to:'2017-10-23T20:20:05-0600'))&amp;_a=(columns:!('Message%20ID',Summary),filters:!(),index:'emp_*',interval:auto,query:(query_string:(analyze_wildcard:!t,query:'%22rtdc.l.rtdc.4008%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3">
      <c r="A217" s="32" t="s">
        <v>694</v>
      </c>
      <c r="B217" s="7">
        <v>4017</v>
      </c>
      <c r="C217" s="21" t="s">
        <v>194</v>
      </c>
      <c r="D217" s="21" t="s">
        <v>962</v>
      </c>
      <c r="E217" s="13">
        <v>43031.154247685183</v>
      </c>
      <c r="F217" s="13">
        <v>43031.156805555554</v>
      </c>
      <c r="G217" s="7">
        <v>72</v>
      </c>
      <c r="H217" s="21" t="s">
        <v>371</v>
      </c>
      <c r="I217" s="13">
        <v>43031.161608796298</v>
      </c>
      <c r="J217" s="7">
        <v>0</v>
      </c>
      <c r="K217" s="89" t="str">
        <f>IF(ISEVEN(B217),(B217-1)&amp;"/"&amp;B217,B217&amp;"/"&amp;(B217+1))</f>
        <v>4017/4018</v>
      </c>
      <c r="L217" s="185" t="str">
        <f>VLOOKUP(A217,'Trips&amp;Operators'!$C$1:$G$99911,5,FALSE)</f>
        <v>YORK EDGAR</v>
      </c>
      <c r="M217" s="6">
        <f>I217-F217</f>
        <v>4.803240743058268E-3</v>
      </c>
      <c r="N217" s="7">
        <f>24*60*SUM($M217:$M217)</f>
        <v>6.9166666700039059</v>
      </c>
      <c r="O217" s="7"/>
      <c r="P217" s="7"/>
      <c r="Q217" s="22"/>
      <c r="R217" s="174"/>
      <c r="S217" s="221">
        <f>1/IF(AG217="EC",12,1)*SUM(U217:U217)</f>
        <v>1</v>
      </c>
      <c r="T217" s="174" t="str">
        <f>IF(ISEVEN(LEFT(AD217,4)),"Southbound","NorthBound")</f>
        <v>Southbound</v>
      </c>
      <c r="U217" s="198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16" t="str">
        <f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2017-10-23T02:42:07-0600',mode:absolute,to:'2017-10-23T04:52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17" s="204" t="str">
        <f>IF(AA217&lt;VLOOKUP(AG217,Variables!$AC$3:$AD$8,2,FALSE),"Y","N")</f>
        <v>Y</v>
      </c>
      <c r="X217" s="204">
        <f>VALUE(LEFT(AD217,4))-VALUE(LEFT(AD216,4))</f>
        <v>1</v>
      </c>
      <c r="Y217" s="204">
        <f>RIGHT(D217,LEN(D217)-4)/10000</f>
        <v>2.3073999999999999</v>
      </c>
      <c r="Z217" s="204">
        <f>RIGHT(H217,LEN(H217)-4)/10000</f>
        <v>1.54E-2</v>
      </c>
      <c r="AA217" s="204">
        <f>ABS(Z217-Y217)</f>
        <v>2.2919999999999998</v>
      </c>
      <c r="AB217" s="54" t="e">
        <f>VLOOKUP(A217,Enforcements!$C$7:$K$11,8,0)</f>
        <v>#N/A</v>
      </c>
      <c r="AC217" s="51" t="e">
        <f>VLOOKUP(A217,Enforcements!$C$7:$E$11,3,0)</f>
        <v>#N/A</v>
      </c>
      <c r="AD217" s="179">
        <f>VALUE(LEFT(A217,LEN(A217)-3))</f>
        <v>304</v>
      </c>
      <c r="AE217" s="77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s3://rtdc.mdm.uploadarchive.raw/RTDC4017/ "%USERPROFILE%\AppData\Local\Temp\OnboardLogs"\RTDC4017\2017-10-23 --exclude "*" --recursive --include "*20171023*" &amp; "%USERPROFILE%\Documents\GitHub\mrs-test-scripts\Headless Mode &amp; Sideloading\WalkAndUnGZ.bat" "%USERPROFILE%\AppData\Local\Temp\OnboardLogs"\RTDC4017\2017-10-23 &amp; aws s3 cp s3://rtdc.mdm.uploadarchive.raw/RTDC4017/ "%USERPROFILE%\AppData\Local\Temp\OnboardLogs"\RTDC4017\2017-10-24 --exclude "*" --recursive --include "*20171024*" &amp; "%USERPROFILE%\Documents\GitHub\mrs-test-scripts\Headless Mode &amp; Sideloading\WalkAndUnGZ.bat" "%USERPROFILE%\AppData\Local\Temp\OnboardLogs"\RTDC4017\2017-10-24</v>
      </c>
      <c r="AF217" s="74" t="str">
        <f>astrogrep_path&amp;" /e /r /s /spath="&amp;search_path&amp;" /stypes=""app*"&amp;B217&amp;"*"&amp;TEXT(I217-utc_offset/24,"YYYYMMDD")&amp;"*"" /stext="" "&amp;TEXT(I217-utc_offset/24,"HH")&amp;search_regexp&amp;""""</f>
        <v>"C:\Program Files (x86)\AstroGrep\AstroGrep.exe" /e /r /s /spath="%USERPROFILE%\AppData\Local\Temp\OnboardLogs" /stypes="app*4017*20171023*" /stext=" 09:.+((SYSTEM_STATE.+slice.+state.+changed )|(ment ac)|(multiple cpu faults)|(system.+state.+changed )|(\[timeout)|(PRM\|1\|D)|(kpr)|(kdp)|(train st.+moving)|(\|lc)|(penalty))"</v>
      </c>
      <c r="AG217" s="182" t="str">
        <f>DetSubdiv(A217)</f>
        <v>Other</v>
      </c>
      <c r="AH217" s="78" t="str">
        <f t="shared" si="71"/>
        <v>"%USERPROFILE%\Documents\GitHub\eaglep3\Utilities\RefineRTDCRunTimes.py" --tripid 304-23 --locoid 4017 --swversion DE.1.0.9.0 --startMP 300:23074 --initTime 2017-10-23T03:42:07 --startdatetime 2017-10-23T03:45:48 --delay 72 --endMP 204:154 --enddatetime 2017-10-23T03:52:43 --enforcementcount 0 &gt;&gt;%USERPROFILE%\Documents\GitHub\eaglep3-reporting\EC\2017-10-23-refined-times.txt</v>
      </c>
      <c r="AI217" s="96" t="str">
        <f t="shared" si="72"/>
        <v>echo {"issue":{"subject":"","project_id":79,"tracker_id":40,"status_id":1,"priority_id":2,"assigned_to_id":338,"start_date":"2017-10-23","description":"","custom_fields":[{"id":1,"name":"Subdivision","value":"Other"},{"id":4,"name":"Milepost","value":"0.0154"},{"id":17,"name":"Train ID","value":"304-23"},{"id":16,"name":"Locomotive ID","value":"4017"},{"id":130,"name":"Impact","value":""},{"id":150,"name":"Time of Event (Mountain Time)","value":"03:52:43"},{"id":151,"name":"Denver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7" s="47"/>
      <c r="AL217" s="47"/>
      <c r="AM217" s="142" t="str">
        <f t="shared" si="73"/>
        <v>start /low /b %USERPROFILE%\Documents\GitHub\eaglep3\Utilities\DownloadLogsFromS3.py --loco 4017 --day 2017-10-23</v>
      </c>
      <c r="AN217" s="151" t="str">
        <f t="shared" si="74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09:52:43"},{"id":29,"name":"Sharepoint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168" t="str">
        <f t="shared" si="75"/>
        <v>https://d0f6bd738d7f1b3e5a7ca70fe4ff75f0.us-east-1.aws.found.io/app/kibana#/discover/Steve-Slow-Train-Analysis-(2080s-and-2083s)?_g=(refreshInterval:(display:Off,pause:!f,section:0,value:0),time:(from:'2017-10-23T02:42:07-0600',mode:absolute,to:'2017-10-23T04:52:43-0600'))&amp;_a=(columns:!('Message%20ID',Summary),filters:!(),index:'emp_*',interval:auto,query:(query_string:(analyze_wildcard:!t,query:'%22rtdc.l.rtdc.4017%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3">
      <c r="A218" s="32" t="s">
        <v>863</v>
      </c>
      <c r="B218" s="7">
        <v>4004</v>
      </c>
      <c r="C218" s="21" t="s">
        <v>194</v>
      </c>
      <c r="D218" s="21" t="s">
        <v>338</v>
      </c>
      <c r="E218" s="13">
        <v>43031.817986111113</v>
      </c>
      <c r="F218" s="13">
        <v>43031.819814814815</v>
      </c>
      <c r="G218" s="7">
        <v>57</v>
      </c>
      <c r="H218" s="21" t="s">
        <v>963</v>
      </c>
      <c r="I218" s="13">
        <v>43031.826840277776</v>
      </c>
      <c r="J218" s="7">
        <v>0</v>
      </c>
      <c r="K218" s="89" t="str">
        <f>IF(ISEVEN(B218),(B218-1)&amp;"/"&amp;B218,B218&amp;"/"&amp;(B218+1))</f>
        <v>4003/4004</v>
      </c>
      <c r="L218" s="185" t="str">
        <f>VLOOKUP(A218,'Trips&amp;Operators'!$C$1:$G$99911,5,FALSE)</f>
        <v>SMITH MICHAEL</v>
      </c>
      <c r="M218" s="6">
        <f>I218-F218</f>
        <v>7.025462960882578E-3</v>
      </c>
      <c r="N218" s="7">
        <f>24*60*SUM($M218:$M218)</f>
        <v>10.116666663670912</v>
      </c>
      <c r="O218" s="7"/>
      <c r="P218" s="7"/>
      <c r="Q218" s="22"/>
      <c r="R218" s="174"/>
      <c r="S218" s="221">
        <f>1/IF(AG218="EC",12,1)*SUM(U218:U218)</f>
        <v>1</v>
      </c>
      <c r="T218" s="174" t="str">
        <f>IF(ISEVEN(LEFT(AD218,4)),"Southbound","NorthBound")</f>
        <v>NorthBound</v>
      </c>
      <c r="U218" s="198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16" t="str">
        <f>"https://d0f6bd738d7f1b3e5a7ca70fe4ff75f0.us-east-1.aws.found.io/app/kibana#/discover/Steve-Slow-Train-Analysis-(2080s-and-2083s)?_g="&amp;"(refreshInterval:(display:Off,pause:!f,section:0,value:0),time:(from:'"&amp;TEXT(E218-1/24,"yyyy-MM-DDThh:mm:ss")&amp;utc_offset&amp;"00"&amp;"',mode:absolute,to:'"&amp;TEXT(I218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218&amp;"%22')),sort:!(Time.ISO8601,asc))"</f>
        <v>https://d0f6bd738d7f1b3e5a7ca70fe4ff75f0.us-east-1.aws.found.io/app/kibana#/discover/Steve-Slow-Train-Analysis-(2080s-and-2083s)?_g=(refreshInterval:(display:Off,pause:!f,section:0,value:0),time:(from:'2017-10-23T18:37:54-0600',mode:absolute,to:'2017-10-23T20:50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18" s="204" t="str">
        <f>IF(AA218&lt;VLOOKUP(AG218,Variables!$AC$3:$AD$8,2,FALSE),"Y","N")</f>
        <v>Y</v>
      </c>
      <c r="X218" s="204">
        <f>VALUE(LEFT(AD218,4))-VALUE(LEFT(AD217,4))</f>
        <v>1</v>
      </c>
      <c r="Y218" s="204">
        <f>RIGHT(D218,LEN(D218)-4)/10000</f>
        <v>4.53E-2</v>
      </c>
      <c r="Z218" s="204">
        <f>RIGHT(H218,LEN(H218)-4)/10000</f>
        <v>2.3308</v>
      </c>
      <c r="AA218" s="204">
        <f>ABS(Z218-Y218)</f>
        <v>2.2854999999999999</v>
      </c>
      <c r="AB218" s="54" t="e">
        <f>VLOOKUP(A218,Enforcements!$C$7:$K$11,8,0)</f>
        <v>#N/A</v>
      </c>
      <c r="AC218" s="51" t="e">
        <f>VLOOKUP(A218,Enforcements!$C$7:$E$11,3,0)</f>
        <v>#N/A</v>
      </c>
      <c r="AD218" s="179">
        <f>VALUE(LEFT(A218,LEN(A218)-3))</f>
        <v>305</v>
      </c>
      <c r="AE218" s="77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s3://rtdc.mdm.uploadarchive.raw/RTDC4004/ "%USERPROFILE%\AppData\Local\Temp\OnboardLogs"\RTDC4004\2017-10-23 --exclude "*" --recursive --include "*20171023*" &amp; "%USERPROFILE%\Documents\GitHub\mrs-test-scripts\Headless Mode &amp; Sideloading\WalkAndUnGZ.bat" "%USERPROFILE%\AppData\Local\Temp\OnboardLogs"\RTDC4004\2017-10-23 &amp; aws s3 cp s3://rtdc.mdm.uploadarchive.raw/RTDC4004/ "%USERPROFILE%\AppData\Local\Temp\OnboardLogs"\RTDC4004\2017-10-24 --exclude "*" --recursive --include "*20171024*" &amp; "%USERPROFILE%\Documents\GitHub\mrs-test-scripts\Headless Mode &amp; Sideloading\WalkAndUnGZ.bat" "%USERPROFILE%\AppData\Local\Temp\OnboardLogs"\RTDC4004\2017-10-24</v>
      </c>
      <c r="AF218" s="74" t="str">
        <f>astrogrep_path&amp;" /e /r /s /spath="&amp;search_path&amp;" /stypes=""app*"&amp;B218&amp;"*"&amp;TEXT(I218-utc_offset/24,"YYYYMMDD")&amp;"*"" /stext="" "&amp;TEXT(I218-utc_offset/24,"HH")&amp;search_regexp&amp;""""</f>
        <v>"C:\Program Files (x86)\AstroGrep\AstroGrep.exe" /e /r /s /spath="%USERPROFILE%\AppData\Local\Temp\OnboardLogs" /stypes="app*4004*20171024*" /stext=" 01:.+((SYSTEM_STATE.+slice.+state.+changed )|(ment ac)|(multiple cpu faults)|(system.+state.+changed )|(\[timeout)|(PRM\|1\|D)|(kpr)|(kdp)|(train st.+moving)|(\|lc)|(penalty))"</v>
      </c>
      <c r="AG218" s="182" t="str">
        <f>DetSubdiv(A218)</f>
        <v>Other</v>
      </c>
      <c r="AH218" s="78" t="str">
        <f t="shared" si="71"/>
        <v>"%USERPROFILE%\Documents\GitHub\eaglep3\Utilities\RefineRTDCRunTimes.py" --tripid 305-23 --locoid 4004 --swversion DE.1.0.9.0 --startMP 204:453 --initTime 2017-10-23T19:37:54 --startdatetime 2017-10-23T19:40:32 --delay 57 --endMP 300:23308 --enddatetime 2017-10-23T19:50:39 --enforcementcount 0 &gt;&gt;%USERPROFILE%\Documents\GitHub\eaglep3-reporting\EC\2017-10-23-refined-times.txt</v>
      </c>
      <c r="AI218" s="96" t="str">
        <f t="shared" si="72"/>
        <v>echo {"issue":{"subject":"","project_id":79,"tracker_id":40,"status_id":1,"priority_id":2,"assigned_to_id":338,"start_date":"2017-10-23","description":"","custom_fields":[{"id":1,"name":"Subdivision","value":"Other"},{"id":4,"name":"Milepost","value":"2.3308"},{"id":17,"name":"Train ID","value":"305-23"},{"id":16,"name":"Locomotive ID","value":"4004"},{"id":130,"name":"Impact","value":""},{"id":150,"name":"Time of Event (Mountain Time)","value":"19:50:39"},{"id":151,"name":"Denver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8" s="47"/>
      <c r="AL218" s="47"/>
      <c r="AM218" s="142" t="str">
        <f t="shared" si="73"/>
        <v>start /low /b %USERPROFILE%\Documents\GitHub\eaglep3\Utilities\DownloadLogsFromS3.py --loco 4004 --day 2017-10-23</v>
      </c>
      <c r="AN218" s="151" t="str">
        <f t="shared" si="74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01:50:39"},{"id":29,"name":"Sharepoint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168" t="str">
        <f t="shared" si="75"/>
        <v>https://d0f6bd738d7f1b3e5a7ca70fe4ff75f0.us-east-1.aws.found.io/app/kibana#/discover/Steve-Slow-Train-Analysis-(2080s-and-2083s)?_g=(refreshInterval:(display:Off,pause:!f,section:0,value:0),time:(from:'2017-10-23T18:37:54-0600',mode:absolute,to:'2017-10-23T20:50:39-0600'))&amp;_a=(columns:!('Message%20ID',Summary),filters:!(),index:'emp_*',interval:auto,query:(query_string:(analyze_wildcard:!t,query:'%22rtdc.l.rtdc.4004%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3">
      <c r="A219" s="32" t="s">
        <v>637</v>
      </c>
      <c r="B219" s="7">
        <v>4015</v>
      </c>
      <c r="C219" s="21" t="s">
        <v>194</v>
      </c>
      <c r="D219" s="21" t="s">
        <v>964</v>
      </c>
      <c r="E219" s="13">
        <v>43031.173449074071</v>
      </c>
      <c r="F219" s="13">
        <v>43031.178460648145</v>
      </c>
      <c r="G219" s="7">
        <v>75</v>
      </c>
      <c r="H219" s="21" t="s">
        <v>360</v>
      </c>
      <c r="I219" s="13">
        <v>43031.18478009259</v>
      </c>
      <c r="J219" s="7">
        <v>0</v>
      </c>
      <c r="K219" s="89" t="str">
        <f>IF(ISEVEN(B219),(B219-1)&amp;"/"&amp;B219,B219&amp;"/"&amp;(B219+1))</f>
        <v>4015/4016</v>
      </c>
      <c r="L219" s="185" t="str">
        <f>VLOOKUP(A219,'Trips&amp;Operators'!$C$1:$G$99911,5,FALSE)</f>
        <v>BARRON PERLA</v>
      </c>
      <c r="M219" s="6">
        <f>I219-F219</f>
        <v>6.3194444446708076E-3</v>
      </c>
      <c r="N219" s="7">
        <f>24*60*SUM($M219:$M219)</f>
        <v>9.1000000003259629</v>
      </c>
      <c r="O219" s="7"/>
      <c r="P219" s="7"/>
      <c r="Q219" s="22"/>
      <c r="R219" s="174"/>
      <c r="S219" s="221">
        <f>1/IF(AG219="EC",12,1)*SUM(U219:U219)</f>
        <v>1</v>
      </c>
      <c r="T219" s="174" t="str">
        <f>IF(ISEVEN(LEFT(AD219,4)),"Southbound","NorthBound")</f>
        <v>Southbound</v>
      </c>
      <c r="U219" s="198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16" t="str">
        <f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2017-10-23T03:09:46-0600',mode:absolute,to:'2017-10-23T05:26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19" s="204" t="str">
        <f>IF(AA219&lt;VLOOKUP(AG219,Variables!$AC$3:$AD$8,2,FALSE),"Y","N")</f>
        <v>Y</v>
      </c>
      <c r="X219" s="204">
        <f>VALUE(LEFT(AD219,4))-VALUE(LEFT(AD218,4))</f>
        <v>1</v>
      </c>
      <c r="Y219" s="204">
        <f>RIGHT(D219,LEN(D219)-4)/10000</f>
        <v>2.3542000000000001</v>
      </c>
      <c r="Z219" s="204">
        <f>RIGHT(H219,LEN(H219)-4)/10000</f>
        <v>1.61E-2</v>
      </c>
      <c r="AA219" s="204">
        <f>ABS(Z219-Y219)</f>
        <v>2.3381000000000003</v>
      </c>
      <c r="AB219" s="54" t="e">
        <f>VLOOKUP(A219,Enforcements!$C$7:$K$11,8,0)</f>
        <v>#N/A</v>
      </c>
      <c r="AC219" s="51" t="e">
        <f>VLOOKUP(A219,Enforcements!$C$7:$E$11,3,0)</f>
        <v>#N/A</v>
      </c>
      <c r="AD219" s="179">
        <f>VALUE(LEFT(A219,LEN(A219)-3))</f>
        <v>306</v>
      </c>
      <c r="AE219" s="77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s3://rtdc.mdm.uploadarchive.raw/RTDC4015/ "%USERPROFILE%\AppData\Local\Temp\OnboardLogs"\RTDC4015\2017-10-23 --exclude "*" --recursive --include "*20171023*" &amp; "%USERPROFILE%\Documents\GitHub\mrs-test-scripts\Headless Mode &amp; Sideloading\WalkAndUnGZ.bat" "%USERPROFILE%\AppData\Local\Temp\OnboardLogs"\RTDC4015\2017-10-23 &amp; aws s3 cp s3://rtdc.mdm.uploadarchive.raw/RTDC4015/ "%USERPROFILE%\AppData\Local\Temp\OnboardLogs"\RTDC4015\2017-10-24 --exclude "*" --recursive --include "*20171024*" &amp; "%USERPROFILE%\Documents\GitHub\mrs-test-scripts\Headless Mode &amp; Sideloading\WalkAndUnGZ.bat" "%USERPROFILE%\AppData\Local\Temp\OnboardLogs"\RTDC4015\2017-10-24</v>
      </c>
      <c r="AF219" s="74" t="str">
        <f>astrogrep_path&amp;" /e /r /s /spath="&amp;search_path&amp;" /stypes=""app*"&amp;B219&amp;"*"&amp;TEXT(I219-utc_offset/24,"YYYYMMDD")&amp;"*"" /stext="" "&amp;TEXT(I219-utc_offset/24,"HH")&amp;search_regexp&amp;""""</f>
        <v>"C:\Program Files (x86)\AstroGrep\AstroGrep.exe" /e /r /s /spath="%USERPROFILE%\AppData\Local\Temp\OnboardLogs" /stypes="app*4015*20171023*" /stext=" 10:.+((SYSTEM_STATE.+slice.+state.+changed )|(ment ac)|(multiple cpu faults)|(system.+state.+changed )|(\[timeout)|(PRM\|1\|D)|(kpr)|(kdp)|(train st.+moving)|(\|lc)|(penalty))"</v>
      </c>
      <c r="AG219" s="182" t="str">
        <f>DetSubdiv(A219)</f>
        <v>Other</v>
      </c>
      <c r="AH219" s="78" t="str">
        <f t="shared" si="71"/>
        <v>"%USERPROFILE%\Documents\GitHub\eaglep3\Utilities\RefineRTDCRunTimes.py" --tripid 306-23 --locoid 4015 --swversion DE.1.0.9.0 --startMP 300:23542 --initTime 2017-10-23T04:09:46 --startdatetime 2017-10-23T04:16:59 --delay 75 --endMP 204:161 --enddatetime 2017-10-23T04:26:05 --enforcementcount 0 &gt;&gt;%USERPROFILE%\Documents\GitHub\eaglep3-reporting\EC\2017-10-23-refined-times.txt</v>
      </c>
      <c r="AI219" s="96" t="str">
        <f t="shared" si="72"/>
        <v>echo {"issue":{"subject":"","project_id":79,"tracker_id":40,"status_id":1,"priority_id":2,"assigned_to_id":338,"start_date":"2017-10-23","description":"","custom_fields":[{"id":1,"name":"Subdivision","value":"Other"},{"id":4,"name":"Milepost","value":"0.0161"},{"id":17,"name":"Train ID","value":"306-23"},{"id":16,"name":"Locomotive ID","value":"4015"},{"id":130,"name":"Impact","value":""},{"id":150,"name":"Time of Event (Mountain Time)","value":"04:26:05"},{"id":151,"name":"Denver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9" s="47"/>
      <c r="AL219" s="47"/>
      <c r="AM219" s="142" t="str">
        <f t="shared" si="73"/>
        <v>start /low /b %USERPROFILE%\Documents\GitHub\eaglep3\Utilities\DownloadLogsFromS3.py --loco 4015 --day 2017-10-23</v>
      </c>
      <c r="AN219" s="151" t="str">
        <f t="shared" si="74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10:26:05"},{"id":29,"name":"Sharepoint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168" t="str">
        <f t="shared" si="75"/>
        <v>https://d0f6bd738d7f1b3e5a7ca70fe4ff75f0.us-east-1.aws.found.io/app/kibana#/discover/Steve-Slow-Train-Analysis-(2080s-and-2083s)?_g=(refreshInterval:(display:Off,pause:!f,section:0,value:0),time:(from:'2017-10-23T03:09:46-0600',mode:absolute,to:'2017-10-23T05:26:05-0600'))&amp;_a=(columns:!('Message%20ID',Summary),filters:!(),index:'emp_*',interval:auto,query:(query_string:(analyze_wildcard:!t,query:'%22rtdc.l.rtdc.4015%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3">
      <c r="A220" s="32" t="s">
        <v>891</v>
      </c>
      <c r="B220" s="7">
        <v>4046</v>
      </c>
      <c r="C220" s="21" t="s">
        <v>194</v>
      </c>
      <c r="D220" s="21" t="s">
        <v>372</v>
      </c>
      <c r="E220" s="13">
        <v>43032.04792824074</v>
      </c>
      <c r="F220" s="13">
        <v>43032.050555555557</v>
      </c>
      <c r="G220" s="7">
        <v>124</v>
      </c>
      <c r="H220" s="21" t="s">
        <v>965</v>
      </c>
      <c r="I220" s="13">
        <v>43032.057800925926</v>
      </c>
      <c r="J220" s="7">
        <v>0</v>
      </c>
      <c r="K220" s="89" t="str">
        <f>IF(ISEVEN(B220),(B220-1)&amp;"/"&amp;B220,B220&amp;"/"&amp;(B220+1))</f>
        <v>4045/4046</v>
      </c>
      <c r="L220" s="185" t="str">
        <f>VLOOKUP(A220,'Trips&amp;Operators'!$C$1:$G$99911,5,FALSE)</f>
        <v>LOZA FIDEL</v>
      </c>
      <c r="M220" s="6">
        <f>I220-F220</f>
        <v>7.2453703687642701E-3</v>
      </c>
      <c r="N220" s="7">
        <f>24*60*SUM($M220:$M220)</f>
        <v>10.433333331020549</v>
      </c>
      <c r="O220" s="7"/>
      <c r="P220" s="7"/>
      <c r="Q220" s="22"/>
      <c r="R220" s="174"/>
      <c r="S220" s="221">
        <f>1/IF(AG220="EC",12,1)*SUM(U220:U220)</f>
        <v>1</v>
      </c>
      <c r="T220" s="174" t="str">
        <f>IF(ISEVEN(LEFT(AD220,4)),"Southbound","NorthBound")</f>
        <v>NorthBound</v>
      </c>
      <c r="U220" s="198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16" t="str">
        <f>"https://d0f6bd738d7f1b3e5a7ca70fe4ff75f0.us-east-1.aws.found.io/app/kibana#/discover/Steve-Slow-Train-Analysis-(2080s-and-2083s)?_g="&amp;"(refreshInterval:(display:Off,pause:!f,section:0,value:0),time:(from:'"&amp;TEXT(E220-1/24,"yyyy-MM-DDThh:mm:ss")&amp;utc_offset&amp;"00"&amp;"',mode:absolute,to:'"&amp;TEXT(I220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220&amp;"%22')),sort:!(Time.ISO8601,asc))"</f>
        <v>https://d0f6bd738d7f1b3e5a7ca70fe4ff75f0.us-east-1.aws.found.io/app/kibana#/discover/Steve-Slow-Train-Analysis-(2080s-and-2083s)?_g=(refreshInterval:(display:Off,pause:!f,section:0,value:0),time:(from:'2017-10-24T00:09:01-0600',mode:absolute,to:'2017-10-24T02:23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20" s="204" t="str">
        <f>IF(AA220&lt;VLOOKUP(AG220,Variables!$AC$3:$AD$8,2,FALSE),"Y","N")</f>
        <v>Y</v>
      </c>
      <c r="X220" s="204">
        <f>VALUE(LEFT(AD220,4))-VALUE(LEFT(AD219,4))</f>
        <v>1</v>
      </c>
      <c r="Y220" s="204">
        <f>RIGHT(D220,LEN(D220)-4)/10000</f>
        <v>4.4699999999999997E-2</v>
      </c>
      <c r="Z220" s="204">
        <f>RIGHT(H220,LEN(H220)-4)/10000</f>
        <v>2.3302</v>
      </c>
      <c r="AA220" s="204">
        <f>ABS(Z220-Y220)</f>
        <v>2.2854999999999999</v>
      </c>
      <c r="AB220" s="54" t="e">
        <f>VLOOKUP(A220,Enforcements!$C$7:$K$11,8,0)</f>
        <v>#N/A</v>
      </c>
      <c r="AC220" s="51" t="e">
        <f>VLOOKUP(A220,Enforcements!$C$7:$E$11,3,0)</f>
        <v>#N/A</v>
      </c>
      <c r="AD220" s="179">
        <f>VALUE(LEFT(A220,LEN(A220)-3))</f>
        <v>307</v>
      </c>
      <c r="AE220" s="77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s3://rtdc.mdm.uploadarchive.raw/RTDC4046/ "%USERPROFILE%\AppData\Local\Temp\OnboardLogs"\RTDC4046\2017-10-24 --exclude "*" --recursive --include "*20171024*" &amp; "%USERPROFILE%\Documents\GitHub\mrs-test-scripts\Headless Mode &amp; Sideloading\WalkAndUnGZ.bat" "%USERPROFILE%\AppData\Local\Temp\OnboardLogs"\RTDC4046\2017-10-24 &amp; aws s3 cp s3://rtdc.mdm.uploadarchive.raw/RTDC4046/ "%USERPROFILE%\AppData\Local\Temp\OnboardLogs"\RTDC4046\2017-10-25 --exclude "*" --recursive --include "*20171025*" &amp; "%USERPROFILE%\Documents\GitHub\mrs-test-scripts\Headless Mode &amp; Sideloading\WalkAndUnGZ.bat" "%USERPROFILE%\AppData\Local\Temp\OnboardLogs"\RTDC4046\2017-10-25</v>
      </c>
      <c r="AF220" s="74" t="str">
        <f>astrogrep_path&amp;" /e /r /s /spath="&amp;search_path&amp;" /stypes=""app*"&amp;B220&amp;"*"&amp;TEXT(I220-utc_offset/24,"YYYYMMDD")&amp;"*"" /stext="" "&amp;TEXT(I220-utc_offset/24,"HH")&amp;search_regexp&amp;""""</f>
        <v>"C:\Program Files (x86)\AstroGrep\AstroGrep.exe" /e /r /s /spath="%USERPROFILE%\AppData\Local\Temp\OnboardLogs" /stypes="app*4046*20171024*" /stext=" 07:.+((SYSTEM_STATE.+slice.+state.+changed )|(ment ac)|(multiple cpu faults)|(system.+state.+changed )|(\[timeout)|(PRM\|1\|D)|(kpr)|(kdp)|(train st.+moving)|(\|lc)|(penalty))"</v>
      </c>
      <c r="AG220" s="182" t="str">
        <f>DetSubdiv(A220)</f>
        <v>Other</v>
      </c>
      <c r="AH220" s="78" t="str">
        <f t="shared" si="71"/>
        <v>"%USERPROFILE%\Documents\GitHub\eaglep3\Utilities\RefineRTDCRunTimes.py" --tripid 307-23 --locoid 4046 --swversion DE.1.0.9.0 --startMP 204:447 --initTime 2017-10-24T01:09:01 --startdatetime 2017-10-24T01:12:48 --delay 124 --endMP 300:23302 --enddatetime 2017-10-24T01:23:14 --enforcementcount 0 &gt;&gt;%USERPROFILE%\Documents\GitHub\eaglep3-reporting\EC\2017-10-23-refined-times.txt</v>
      </c>
      <c r="AI220" s="96" t="str">
        <f t="shared" si="72"/>
        <v>echo {"issue":{"subject":"","project_id":79,"tracker_id":40,"status_id":1,"priority_id":2,"assigned_to_id":338,"start_date":"2017-10-24","description":"","custom_fields":[{"id":1,"name":"Subdivision","value":"Other"},{"id":4,"name":"Milepost","value":"2.3302"},{"id":17,"name":"Train ID","value":"307-23"},{"id":16,"name":"Locomotive ID","value":"4046"},{"id":130,"name":"Impact","value":""},{"id":150,"name":"Time of Event (Mountain Time)","value":"01:23:14"},{"id":151,"name":"Denver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0" s="47"/>
      <c r="AL220" s="47"/>
      <c r="AM220" s="142" t="str">
        <f t="shared" si="73"/>
        <v>start /low /b %USERPROFILE%\Documents\GitHub\eaglep3\Utilities\DownloadLogsFromS3.py --loco 4046 --day 2017-10-24</v>
      </c>
      <c r="AN220" s="151" t="str">
        <f t="shared" si="74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07:23:14"},{"id":29,"name":"Sharepoint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168" t="str">
        <f t="shared" si="75"/>
        <v>https://d0f6bd738d7f1b3e5a7ca70fe4ff75f0.us-east-1.aws.found.io/app/kibana#/discover/Steve-Slow-Train-Analysis-(2080s-and-2083s)?_g=(refreshInterval:(display:Off,pause:!f,section:0,value:0),time:(from:'2017-10-24T00:09:01-0600',mode:absolute,to:'2017-10-24T02:23:14-0600'))&amp;_a=(columns:!('Message%20ID',Summary),filters:!(),index:'emp_*',interval:auto,query:(query_string:(analyze_wildcard:!t,query:'%22rtdc.l.rtdc.4046%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3">
      <c r="A221" s="32" t="s">
        <v>698</v>
      </c>
      <c r="B221" s="7">
        <v>4041</v>
      </c>
      <c r="C221" s="21" t="s">
        <v>194</v>
      </c>
      <c r="D221" s="21" t="s">
        <v>966</v>
      </c>
      <c r="E221" s="13">
        <v>43031.183032407411</v>
      </c>
      <c r="F221" s="13">
        <v>43031.187152777777</v>
      </c>
      <c r="G221" s="7">
        <v>83</v>
      </c>
      <c r="H221" s="21" t="s">
        <v>337</v>
      </c>
      <c r="I221" s="13">
        <v>43031.191979166666</v>
      </c>
      <c r="J221" s="7">
        <v>0</v>
      </c>
      <c r="K221" s="89" t="str">
        <f>IF(ISEVEN(B221),(B221-1)&amp;"/"&amp;B221,B221&amp;"/"&amp;(B221+1))</f>
        <v>4041/4042</v>
      </c>
      <c r="L221" s="185" t="str">
        <f>VLOOKUP(A221,'Trips&amp;Operators'!$C$1:$G$99911,5,FALSE)</f>
        <v>MAELZER KURT</v>
      </c>
      <c r="M221" s="6">
        <f>I221-F221</f>
        <v>4.8263888893416151E-3</v>
      </c>
      <c r="N221" s="7">
        <f>24*60*SUM($M221:$M221)</f>
        <v>6.9500000006519258</v>
      </c>
      <c r="O221" s="7"/>
      <c r="P221" s="7"/>
      <c r="Q221" s="22"/>
      <c r="R221" s="174"/>
      <c r="S221" s="221">
        <f>1/IF(AG221="EC",12,1)*SUM(U221:U221)</f>
        <v>1</v>
      </c>
      <c r="T221" s="174" t="str">
        <f>IF(ISEVEN(LEFT(AD221,4)),"Southbound","NorthBound")</f>
        <v>Southbound</v>
      </c>
      <c r="U221" s="198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216" t="str">
        <f>"https://d0f6bd738d7f1b3e5a7ca70fe4ff75f0.us-east-1.aws.found.io/app/kibana#/discover/Steve-Slow-Train-Analysis-(2080s-and-2083s)?_g="&amp;"(refreshInterval:(display:Off,pause:!f,section:0,value:0),time:(from:'"&amp;TEXT(E221-1/24,"yyyy-MM-DDThh:mm:ss")&amp;utc_offset&amp;"00"&amp;"',mode:absolute,to:'"&amp;TEXT(I221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221&amp;"%22')),sort:!(Time.ISO8601,asc))"</f>
        <v>https://d0f6bd738d7f1b3e5a7ca70fe4ff75f0.us-east-1.aws.found.io/app/kibana#/discover/Steve-Slow-Train-Analysis-(2080s-and-2083s)?_g=(refreshInterval:(display:Off,pause:!f,section:0,value:0),time:(from:'2017-10-23T03:23:34-0600',mode:absolute,to:'2017-10-23T05:36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1" s="204" t="str">
        <f>IF(AA221&lt;VLOOKUP(AG221,Variables!$AC$3:$AD$8,2,FALSE),"Y","N")</f>
        <v>Y</v>
      </c>
      <c r="X221" s="204">
        <f>VALUE(LEFT(AD221,4))-VALUE(LEFT(AD220,4))</f>
        <v>1</v>
      </c>
      <c r="Y221" s="204">
        <f>RIGHT(D221,LEN(D221)-4)/10000</f>
        <v>1.9642999999999999</v>
      </c>
      <c r="Z221" s="204">
        <f>RIGHT(H221,LEN(H221)-4)/10000</f>
        <v>1.43E-2</v>
      </c>
      <c r="AA221" s="204">
        <f>ABS(Z221-Y221)</f>
        <v>1.95</v>
      </c>
      <c r="AB221" s="54" t="e">
        <f>VLOOKUP(A221,Enforcements!$C$7:$K$11,8,0)</f>
        <v>#N/A</v>
      </c>
      <c r="AC221" s="51" t="e">
        <f>VLOOKUP(A221,Enforcements!$C$7:$E$11,3,0)</f>
        <v>#N/A</v>
      </c>
      <c r="AD221" s="179">
        <f>VALUE(LEFT(A221,LEN(A221)-3))</f>
        <v>308</v>
      </c>
      <c r="AE221" s="77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s3://rtdc.mdm.uploadarchive.raw/RTDC4041/ "%USERPROFILE%\AppData\Local\Temp\OnboardLogs"\RTDC4041\2017-10-23 --exclude "*" --recursive --include "*20171023*" &amp; "%USERPROFILE%\Documents\GitHub\mrs-test-scripts\Headless Mode &amp; Sideloading\WalkAndUnGZ.bat" "%USERPROFILE%\AppData\Local\Temp\OnboardLogs"\RTDC4041\2017-10-23 &amp; aws s3 cp s3://rtdc.mdm.uploadarchive.raw/RTDC4041/ "%USERPROFILE%\AppData\Local\Temp\OnboardLogs"\RTDC4041\2017-10-24 --exclude "*" --recursive --include "*20171024*" &amp; "%USERPROFILE%\Documents\GitHub\mrs-test-scripts\Headless Mode &amp; Sideloading\WalkAndUnGZ.bat" "%USERPROFILE%\AppData\Local\Temp\OnboardLogs"\RTDC4041\2017-10-24</v>
      </c>
      <c r="AF221" s="74" t="str">
        <f>astrogrep_path&amp;" /e /r /s /spath="&amp;search_path&amp;" /stypes=""app*"&amp;B221&amp;"*"&amp;TEXT(I221-utc_offset/24,"YYYYMMDD")&amp;"*"" /stext="" "&amp;TEXT(I221-utc_offset/24,"HH")&amp;search_regexp&amp;""""</f>
        <v>"C:\Program Files (x86)\AstroGrep\AstroGrep.exe" /e /r /s /spath="%USERPROFILE%\AppData\Local\Temp\OnboardLogs" /stypes="app*4041*20171023*" /stext=" 10:.+((SYSTEM_STATE.+slice.+state.+changed )|(ment ac)|(multiple cpu faults)|(system.+state.+changed )|(\[timeout)|(PRM\|1\|D)|(kpr)|(kdp)|(train st.+moving)|(\|lc)|(penalty))"</v>
      </c>
      <c r="AG221" s="182" t="str">
        <f>DetSubdiv(A221)</f>
        <v>Other</v>
      </c>
      <c r="AH221" s="78" t="str">
        <f t="shared" si="71"/>
        <v>"%USERPROFILE%\Documents\GitHub\eaglep3\Utilities\RefineRTDCRunTimes.py" --tripid 308-23 --locoid 4041 --swversion DE.1.0.9.0 --startMP 300:19643 --initTime 2017-10-23T04:23:34 --startdatetime 2017-10-23T04:29:30 --delay 83 --endMP 204:143 --enddatetime 2017-10-23T04:36:27 --enforcementcount 0 &gt;&gt;%USERPROFILE%\Documents\GitHub\eaglep3-reporting\EC\2017-10-23-refined-times.txt</v>
      </c>
      <c r="AI221" s="96" t="str">
        <f t="shared" si="72"/>
        <v>echo {"issue":{"subject":"","project_id":79,"tracker_id":40,"status_id":1,"priority_id":2,"assigned_to_id":338,"start_date":"2017-10-23","description":"","custom_fields":[{"id":1,"name":"Subdivision","value":"Other"},{"id":4,"name":"Milepost","value":"0.0143"},{"id":17,"name":"Train ID","value":"308-23"},{"id":16,"name":"Locomotive ID","value":"4041"},{"id":130,"name":"Impact","value":""},{"id":150,"name":"Time of Event (Mountain Time)","value":"04:36:27"},{"id":151,"name":"Denver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1" s="47"/>
      <c r="AL221" s="47"/>
      <c r="AM221" s="142" t="str">
        <f t="shared" si="73"/>
        <v>start /low /b %USERPROFILE%\Documents\GitHub\eaglep3\Utilities\DownloadLogsFromS3.py --loco 4041 --day 2017-10-23</v>
      </c>
      <c r="AN221" s="151" t="str">
        <f t="shared" si="74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10:36:27"},{"id":29,"name":"Sharepoint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168" t="str">
        <f t="shared" si="75"/>
        <v>https://d0f6bd738d7f1b3e5a7ca70fe4ff75f0.us-east-1.aws.found.io/app/kibana#/discover/Steve-Slow-Train-Analysis-(2080s-and-2083s)?_g=(refreshInterval:(display:Off,pause:!f,section:0,value:0),time:(from:'2017-10-23T03:23:34-0600',mode:absolute,to:'2017-10-23T05:36:27-0600'))&amp;_a=(columns:!('Message%20ID',Summary),filters:!(),index:'emp_*',interval:auto,query:(query_string:(analyze_wildcard:!t,query:'%22rtdc.l.rtdc.4041%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3">
      <c r="A222" s="32" t="s">
        <v>893</v>
      </c>
      <c r="B222" s="7">
        <v>4050</v>
      </c>
      <c r="C222" s="21" t="s">
        <v>194</v>
      </c>
      <c r="D222" s="21" t="s">
        <v>425</v>
      </c>
      <c r="E222" s="13">
        <v>43032.068553240744</v>
      </c>
      <c r="F222" s="13">
        <v>43032.075381944444</v>
      </c>
      <c r="G222" s="7">
        <v>479</v>
      </c>
      <c r="H222" s="21" t="s">
        <v>406</v>
      </c>
      <c r="I222" s="13">
        <v>43032.083599537036</v>
      </c>
      <c r="J222" s="7">
        <v>0</v>
      </c>
      <c r="K222" s="89" t="str">
        <f>IF(ISEVEN(B222),(B222-1)&amp;"/"&amp;B222,B222&amp;"/"&amp;(B222+1))</f>
        <v>4049/4050</v>
      </c>
      <c r="L222" s="185" t="str">
        <f>VLOOKUP(A222,'Trips&amp;Operators'!$C$1:$G$99911,5,FALSE)</f>
        <v>CASSIDY BRANDON</v>
      </c>
      <c r="M222" s="6">
        <f>I222-F222</f>
        <v>8.2175925927003846E-3</v>
      </c>
      <c r="N222" s="7">
        <f>24*60*SUM($M222:$M222)</f>
        <v>11.833333333488554</v>
      </c>
      <c r="O222" s="7"/>
      <c r="P222" s="7"/>
      <c r="Q222" s="22"/>
      <c r="R222" s="174"/>
      <c r="S222" s="221">
        <f>1/IF(AG222="EC",12,1)*SUM(U222:U222)</f>
        <v>1</v>
      </c>
      <c r="T222" s="174" t="str">
        <f>IF(ISEVEN(LEFT(AD222,4)),"Southbound","NorthBound")</f>
        <v>NorthBound</v>
      </c>
      <c r="U222" s="198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216" t="str">
        <f>"https://d0f6bd738d7f1b3e5a7ca70fe4ff75f0.us-east-1.aws.found.io/app/kibana#/discover/Steve-Slow-Train-Analysis-(2080s-and-2083s)?_g="&amp;"(refreshInterval:(display:Off,pause:!f,section:0,value:0),time:(from:'"&amp;TEXT(E222-1/24,"yyyy-MM-DDThh:mm:ss")&amp;utc_offset&amp;"00"&amp;"',mode:absolute,to:'"&amp;TEXT(I222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222&amp;"%22')),sort:!(Time.ISO8601,asc))"</f>
        <v>https://d0f6bd738d7f1b3e5a7ca70fe4ff75f0.us-east-1.aws.found.io/app/kibana#/discover/Steve-Slow-Train-Analysis-(2080s-and-2083s)?_g=(refreshInterval:(display:Off,pause:!f,section:0,value:0),time:(from:'2017-10-24T00:38:43-0600',mode:absolute,to:'2017-10-24T03:00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22" s="204" t="str">
        <f>IF(AA222&lt;VLOOKUP(AG222,Variables!$AC$3:$AD$8,2,FALSE),"Y","N")</f>
        <v>Y</v>
      </c>
      <c r="X222" s="204">
        <f>VALUE(LEFT(AD222,4))-VALUE(LEFT(AD221,4))</f>
        <v>1</v>
      </c>
      <c r="Y222" s="204">
        <f>RIGHT(D222,LEN(D222)-4)/10000</f>
        <v>4.6899999999999997E-2</v>
      </c>
      <c r="Z222" s="204">
        <f>RIGHT(H222,LEN(H222)-4)/10000</f>
        <v>2.3346</v>
      </c>
      <c r="AA222" s="204">
        <f>ABS(Z222-Y222)</f>
        <v>2.2877000000000001</v>
      </c>
      <c r="AB222" s="54" t="e">
        <f>VLOOKUP(A222,Enforcements!$C$7:$K$11,8,0)</f>
        <v>#N/A</v>
      </c>
      <c r="AC222" s="51" t="e">
        <f>VLOOKUP(A222,Enforcements!$C$7:$E$11,3,0)</f>
        <v>#N/A</v>
      </c>
      <c r="AD222" s="179">
        <f>VALUE(LEFT(A222,LEN(A222)-3))</f>
        <v>309</v>
      </c>
      <c r="AE222" s="77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s3://rtdc.mdm.uploadarchive.raw/RTDC4050/ "%USERPROFILE%\AppData\Local\Temp\OnboardLogs"\RTDC4050\2017-10-24 --exclude "*" --recursive --include "*20171024*" &amp; "%USERPROFILE%\Documents\GitHub\mrs-test-scripts\Headless Mode &amp; Sideloading\WalkAndUnGZ.bat" "%USERPROFILE%\AppData\Local\Temp\OnboardLogs"\RTDC4050\2017-10-24 &amp; aws s3 cp s3://rtdc.mdm.uploadarchive.raw/RTDC4050/ "%USERPROFILE%\AppData\Local\Temp\OnboardLogs"\RTDC4050\2017-10-25 --exclude "*" --recursive --include "*20171025*" &amp; "%USERPROFILE%\Documents\GitHub\mrs-test-scripts\Headless Mode &amp; Sideloading\WalkAndUnGZ.bat" "%USERPROFILE%\AppData\Local\Temp\OnboardLogs"\RTDC4050\2017-10-25</v>
      </c>
      <c r="AF222" s="74" t="str">
        <f>astrogrep_path&amp;" /e /r /s /spath="&amp;search_path&amp;" /stypes=""app*"&amp;B222&amp;"*"&amp;TEXT(I222-utc_offset/24,"YYYYMMDD")&amp;"*"" /stext="" "&amp;TEXT(I222-utc_offset/24,"HH")&amp;search_regexp&amp;""""</f>
        <v>"C:\Program Files (x86)\AstroGrep\AstroGrep.exe" /e /r /s /spath="%USERPROFILE%\AppData\Local\Temp\OnboardLogs" /stypes="app*4050*20171024*" /stext=" 08:.+((SYSTEM_STATE.+slice.+state.+changed )|(ment ac)|(multiple cpu faults)|(system.+state.+changed )|(\[timeout)|(PRM\|1\|D)|(kpr)|(kdp)|(train st.+moving)|(\|lc)|(penalty))"</v>
      </c>
      <c r="AG222" s="182" t="str">
        <f>DetSubdiv(A222)</f>
        <v>Other</v>
      </c>
      <c r="AH222" s="78" t="str">
        <f t="shared" si="71"/>
        <v>"%USERPROFILE%\Documents\GitHub\eaglep3\Utilities\RefineRTDCRunTimes.py" --tripid 309-23 --locoid 4050 --swversion DE.1.0.9.0 --startMP 204:469 --initTime 2017-10-24T01:38:43 --startdatetime 2017-10-24T01:48:33 --delay 479 --endMP 300:23346 --enddatetime 2017-10-24T02:00:23 --enforcementcount 0 &gt;&gt;%USERPROFILE%\Documents\GitHub\eaglep3-reporting\EC\2017-10-23-refined-times.txt</v>
      </c>
      <c r="AI222" s="96" t="str">
        <f t="shared" si="72"/>
        <v>echo {"issue":{"subject":"","project_id":79,"tracker_id":40,"status_id":1,"priority_id":2,"assigned_to_id":338,"start_date":"2017-10-24","description":"","custom_fields":[{"id":1,"name":"Subdivision","value":"Other"},{"id":4,"name":"Milepost","value":"2.3346"},{"id":17,"name":"Train ID","value":"309-23"},{"id":16,"name":"Locomotive ID","value":"4050"},{"id":130,"name":"Impact","value":""},{"id":150,"name":"Time of Event (Mountain Time)","value":"02:00:23"},{"id":151,"name":"Denver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2" s="47"/>
      <c r="AL222" s="47"/>
      <c r="AM222" s="142" t="str">
        <f t="shared" si="73"/>
        <v>start /low /b %USERPROFILE%\Documents\GitHub\eaglep3\Utilities\DownloadLogsFromS3.py --loco 4050 --day 2017-10-24</v>
      </c>
      <c r="AN222" s="151" t="str">
        <f t="shared" si="74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08:00:23"},{"id":29,"name":"Sharepoint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168" t="str">
        <f t="shared" si="75"/>
        <v>https://d0f6bd738d7f1b3e5a7ca70fe4ff75f0.us-east-1.aws.found.io/app/kibana#/discover/Steve-Slow-Train-Analysis-(2080s-and-2083s)?_g=(refreshInterval:(display:Off,pause:!f,section:0,value:0),time:(from:'2017-10-24T00:38:43-0600',mode:absolute,to:'2017-10-24T03:00:23-0600'))&amp;_a=(columns:!('Message%20ID',Summary),filters:!(),index:'emp_*',interval:auto,query:(query_string:(analyze_wildcard:!t,query:'%22rtdc.l.rtdc.4050%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3">
      <c r="A223" s="32" t="s">
        <v>703</v>
      </c>
      <c r="B223" s="7">
        <v>4063</v>
      </c>
      <c r="C223" s="21" t="s">
        <v>194</v>
      </c>
      <c r="D223" s="21" t="s">
        <v>967</v>
      </c>
      <c r="E223" s="13">
        <v>43031.200219907405</v>
      </c>
      <c r="F223" s="13">
        <v>43031.203518518516</v>
      </c>
      <c r="G223" s="7">
        <v>75</v>
      </c>
      <c r="H223" s="21" t="s">
        <v>409</v>
      </c>
      <c r="I223" s="13">
        <v>43031.212858796294</v>
      </c>
      <c r="J223" s="7">
        <v>0</v>
      </c>
      <c r="K223" s="89" t="str">
        <f>IF(ISEVEN(B223),(B223-1)&amp;"/"&amp;B223,B223&amp;"/"&amp;(B223+1))</f>
        <v>4063/4064</v>
      </c>
      <c r="L223" s="185" t="str">
        <f>VLOOKUP(A223,'Trips&amp;Operators'!$C$1:$G$99911,5,FALSE)</f>
        <v>YANG JAN</v>
      </c>
      <c r="M223" s="6">
        <f>I223-F223</f>
        <v>9.340277778392192E-3</v>
      </c>
      <c r="N223" s="7">
        <f>24*60*SUM($M223:$M223)</f>
        <v>13.450000000884756</v>
      </c>
      <c r="O223" s="7"/>
      <c r="P223" s="7"/>
      <c r="Q223" s="22"/>
      <c r="R223" s="174"/>
      <c r="S223" s="221">
        <f>1/IF(AG223="EC",12,1)*SUM(U223:U223)</f>
        <v>1</v>
      </c>
      <c r="T223" s="174" t="str">
        <f>IF(ISEVEN(LEFT(AD223,4)),"Southbound","NorthBound")</f>
        <v>Southbound</v>
      </c>
      <c r="U223" s="198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216" t="str">
        <f>"https://d0f6bd738d7f1b3e5a7ca70fe4ff75f0.us-east-1.aws.found.io/app/kibana#/discover/Steve-Slow-Train-Analysis-(2080s-and-2083s)?_g="&amp;"(refreshInterval:(display:Off,pause:!f,section:0,value:0),time:(from:'"&amp;TEXT(E223-1/24,"yyyy-MM-DDThh:mm:ss")&amp;utc_offset&amp;"00"&amp;"',mode:absolute,to:'"&amp;TEXT(I223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223&amp;"%22')),sort:!(Time.ISO8601,asc))"</f>
        <v>https://d0f6bd738d7f1b3e5a7ca70fe4ff75f0.us-east-1.aws.found.io/app/kibana#/discover/Steve-Slow-Train-Analysis-(2080s-and-2083s)?_g=(refreshInterval:(display:Off,pause:!f,section:0,value:0),time:(from:'2017-10-23T03:48:19-0600',mode:absolute,to:'2017-10-23T06:06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23" s="204" t="str">
        <f>IF(AA223&lt;VLOOKUP(AG223,Variables!$AC$3:$AD$8,2,FALSE),"Y","N")</f>
        <v>Y</v>
      </c>
      <c r="X223" s="204">
        <f>VALUE(LEFT(AD223,4))-VALUE(LEFT(AD222,4))</f>
        <v>1</v>
      </c>
      <c r="Y223" s="204">
        <f>RIGHT(D223,LEN(D223)-4)/10000</f>
        <v>2.3553000000000002</v>
      </c>
      <c r="Z223" s="204">
        <f>RIGHT(H223,LEN(H223)-4)/10000</f>
        <v>1.38E-2</v>
      </c>
      <c r="AA223" s="204">
        <f>ABS(Z223-Y223)</f>
        <v>2.3415000000000004</v>
      </c>
      <c r="AB223" s="54" t="e">
        <f>VLOOKUP(A223,Enforcements!$C$7:$K$11,8,0)</f>
        <v>#N/A</v>
      </c>
      <c r="AC223" s="51" t="e">
        <f>VLOOKUP(A223,Enforcements!$C$7:$E$11,3,0)</f>
        <v>#N/A</v>
      </c>
      <c r="AD223" s="179">
        <f>VALUE(LEFT(A223,LEN(A223)-3))</f>
        <v>310</v>
      </c>
      <c r="AE223" s="77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s3://rtdc.mdm.uploadarchive.raw/RTDC4063/ "%USERPROFILE%\AppData\Local\Temp\OnboardLogs"\RTDC4063\2017-10-23 --exclude "*" --recursive --include "*20171023*" &amp; "%USERPROFILE%\Documents\GitHub\mrs-test-scripts\Headless Mode &amp; Sideloading\WalkAndUnGZ.bat" "%USERPROFILE%\AppData\Local\Temp\OnboardLogs"\RTDC4063\2017-10-23 &amp; aws s3 cp s3://rtdc.mdm.uploadarchive.raw/RTDC4063/ "%USERPROFILE%\AppData\Local\Temp\OnboardLogs"\RTDC4063\2017-10-24 --exclude "*" --recursive --include "*20171024*" &amp; "%USERPROFILE%\Documents\GitHub\mrs-test-scripts\Headless Mode &amp; Sideloading\WalkAndUnGZ.bat" "%USERPROFILE%\AppData\Local\Temp\OnboardLogs"\RTDC4063\2017-10-24</v>
      </c>
      <c r="AF223" s="74" t="str">
        <f>astrogrep_path&amp;" /e /r /s /spath="&amp;search_path&amp;" /stypes=""app*"&amp;B223&amp;"*"&amp;TEXT(I223-utc_offset/24,"YYYYMMDD")&amp;"*"" /stext="" "&amp;TEXT(I223-utc_offset/24,"HH")&amp;search_regexp&amp;""""</f>
        <v>"C:\Program Files (x86)\AstroGrep\AstroGrep.exe" /e /r /s /spath="%USERPROFILE%\AppData\Local\Temp\OnboardLogs" /stypes="app*4063*20171023*" /stext=" 11:.+((SYSTEM_STATE.+slice.+state.+changed )|(ment ac)|(multiple cpu faults)|(system.+state.+changed )|(\[timeout)|(PRM\|1\|D)|(kpr)|(kdp)|(train st.+moving)|(\|lc)|(penalty))"</v>
      </c>
      <c r="AG223" s="182" t="str">
        <f>DetSubdiv(A223)</f>
        <v>Other</v>
      </c>
      <c r="AH223" s="78" t="str">
        <f t="shared" si="71"/>
        <v>"%USERPROFILE%\Documents\GitHub\eaglep3\Utilities\RefineRTDCRunTimes.py" --tripid 310-23 --locoid 4063 --swversion DE.1.0.9.0 --startMP 300:23553 --initTime 2017-10-23T04:48:19 --startdatetime 2017-10-23T04:53:04 --delay 75 --endMP 204:138 --enddatetime 2017-10-23T05:06:31 --enforcementcount 0 &gt;&gt;%USERPROFILE%\Documents\GitHub\eaglep3-reporting\EC\2017-10-23-refined-times.txt</v>
      </c>
      <c r="AI223" s="96" t="str">
        <f t="shared" si="72"/>
        <v>echo {"issue":{"subject":"","project_id":79,"tracker_id":40,"status_id":1,"priority_id":2,"assigned_to_id":338,"start_date":"2017-10-23","description":"","custom_fields":[{"id":1,"name":"Subdivision","value":"Other"},{"id":4,"name":"Milepost","value":"0.0138"},{"id":17,"name":"Train ID","value":"310-23"},{"id":16,"name":"Locomotive ID","value":"4063"},{"id":130,"name":"Impact","value":""},{"id":150,"name":"Time of Event (Mountain Time)","value":"05:06:31"},{"id":151,"name":"Denver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3" s="47"/>
      <c r="AL223" s="47"/>
      <c r="AM223" s="142" t="str">
        <f t="shared" si="73"/>
        <v>start /low /b %USERPROFILE%\Documents\GitHub\eaglep3\Utilities\DownloadLogsFromS3.py --loco 4063 --day 2017-10-23</v>
      </c>
      <c r="AN223" s="151" t="str">
        <f t="shared" si="74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11:06:31"},{"id":29,"name":"Sharepoint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168" t="str">
        <f t="shared" si="75"/>
        <v>https://d0f6bd738d7f1b3e5a7ca70fe4ff75f0.us-east-1.aws.found.io/app/kibana#/discover/Steve-Slow-Train-Analysis-(2080s-and-2083s)?_g=(refreshInterval:(display:Off,pause:!f,section:0,value:0),time:(from:'2017-10-23T03:48:19-0600',mode:absolute,to:'2017-10-23T06:06:31-0600'))&amp;_a=(columns:!('Message%20ID',Summary),filters:!(),index:'emp_*',interval:auto,query:(query_string:(analyze_wildcard:!t,query:'%22rtdc.l.rtdc.4063%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3">
      <c r="A224" s="32" t="s">
        <v>894</v>
      </c>
      <c r="B224" s="7">
        <v>4018</v>
      </c>
      <c r="C224" s="21" t="s">
        <v>194</v>
      </c>
      <c r="D224" s="21" t="s">
        <v>463</v>
      </c>
      <c r="E224" s="13">
        <v>43032.091782407406</v>
      </c>
      <c r="F224" s="13">
        <v>43032.094317129631</v>
      </c>
      <c r="G224" s="7">
        <v>50</v>
      </c>
      <c r="H224" s="21" t="s">
        <v>960</v>
      </c>
      <c r="I224" s="13">
        <v>43032.127141203702</v>
      </c>
      <c r="J224" s="7">
        <v>0</v>
      </c>
      <c r="K224" s="89" t="str">
        <f>IF(ISEVEN(B224),(B224-1)&amp;"/"&amp;B224,B224&amp;"/"&amp;(B224+1))</f>
        <v>4017/4018</v>
      </c>
      <c r="L224" s="185" t="str">
        <f>VLOOKUP(A224,'Trips&amp;Operators'!$C$1:$G$99911,5,FALSE)</f>
        <v>WILLIAMS DONTE</v>
      </c>
      <c r="M224" s="6">
        <f>I224-F224</f>
        <v>3.2824074070958886E-2</v>
      </c>
      <c r="N224" s="7">
        <f>24*60*SUM($M224:$M224)</f>
        <v>47.266666662180796</v>
      </c>
      <c r="O224" s="7"/>
      <c r="P224" s="7"/>
      <c r="Q224" s="22"/>
      <c r="R224" s="174"/>
      <c r="S224" s="221">
        <f>1/IF(AG224="EC",12,1)*SUM(U224:U224)</f>
        <v>1</v>
      </c>
      <c r="T224" s="174" t="str">
        <f>IF(ISEVEN(LEFT(AD224,4)),"Southbound","NorthBound")</f>
        <v>NorthBound</v>
      </c>
      <c r="U224" s="198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216" t="str">
        <f>"https://d0f6bd738d7f1b3e5a7ca70fe4ff75f0.us-east-1.aws.found.io/app/kibana#/discover/Steve-Slow-Train-Analysis-(2080s-and-2083s)?_g="&amp;"(refreshInterval:(display:Off,pause:!f,section:0,value:0),time:(from:'"&amp;TEXT(E224-1/24,"yyyy-MM-DDThh:mm:ss")&amp;utc_offset&amp;"00"&amp;"',mode:absolute,to:'"&amp;TEXT(I224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224&amp;"%22')),sort:!(Time.ISO8601,asc))"</f>
        <v>https://d0f6bd738d7f1b3e5a7ca70fe4ff75f0.us-east-1.aws.found.io/app/kibana#/discover/Steve-Slow-Train-Analysis-(2080s-and-2083s)?_g=(refreshInterval:(display:Off,pause:!f,section:0,value:0),time:(from:'2017-10-24T01:12:10-0600',mode:absolute,to:'2017-10-24T04:03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24" s="204" t="str">
        <f>IF(AA224&lt;VLOOKUP(AG224,Variables!$AC$3:$AD$8,2,FALSE),"Y","N")</f>
        <v>Y</v>
      </c>
      <c r="X224" s="204">
        <f>VALUE(LEFT(AD224,4))-VALUE(LEFT(AD223,4))</f>
        <v>1</v>
      </c>
      <c r="Y224" s="204">
        <f>RIGHT(D224,LEN(D224)-4)/10000</f>
        <v>4.8399999999999999E-2</v>
      </c>
      <c r="Z224" s="204">
        <f>RIGHT(H224,LEN(H224)-4)/10000</f>
        <v>2.3298999999999999</v>
      </c>
      <c r="AA224" s="204">
        <f>ABS(Z224-Y224)</f>
        <v>2.2814999999999999</v>
      </c>
      <c r="AB224" s="54" t="e">
        <f>VLOOKUP(A224,Enforcements!$C$7:$K$11,8,0)</f>
        <v>#N/A</v>
      </c>
      <c r="AC224" s="51" t="e">
        <f>VLOOKUP(A224,Enforcements!$C$7:$E$11,3,0)</f>
        <v>#N/A</v>
      </c>
      <c r="AD224" s="179">
        <f>VALUE(LEFT(A224,LEN(A224)-3))</f>
        <v>311</v>
      </c>
      <c r="AE224" s="77" t="str">
        <f>"aws s3 cp "&amp;s3_bucket&amp;"/RTDC"&amp;B224&amp;"/ "&amp;search_path&amp;"\RTDC"&amp;B224&amp;"\"&amp;TEXT(F224,"YYYY-MM-DD")&amp;" --exclude ""*"" --recursive --include ""*"&amp;TEXT(F224,"YYYYMMDD")&amp;"*"" &amp; """&amp;walkandungz&amp;""" "&amp;search_path&amp;"\RTDC"&amp;B224&amp;"\"&amp;TEXT(F224,"YYYY-MM-DD")
&amp;" &amp; "&amp;"aws s3 cp "&amp;s3_bucket&amp;"/RTDC"&amp;B224&amp;"/ "&amp;search_path&amp;"\RTDC"&amp;B224&amp;"\"&amp;TEXT(F224+1,"YYYY-MM-DD")&amp;" --exclude ""*"" --recursive --include ""*"&amp;TEXT(F224+1,"YYYYMMDD")&amp;"*"" &amp; """&amp;walkandungz&amp;""" "&amp;search_path&amp;"\RTDC"&amp;B224&amp;"\"&amp;TEXT(F224+1,"YYYY-MM-DD")</f>
        <v>aws s3 cp s3://rtdc.mdm.uploadarchive.raw/RTDC4018/ "%USERPROFILE%\AppData\Local\Temp\OnboardLogs"\RTDC4018\2017-10-24 --exclude "*" --recursive --include "*20171024*" &amp; "%USERPROFILE%\Documents\GitHub\mrs-test-scripts\Headless Mode &amp; Sideloading\WalkAndUnGZ.bat" "%USERPROFILE%\AppData\Local\Temp\OnboardLogs"\RTDC4018\2017-10-24 &amp; aws s3 cp s3://rtdc.mdm.uploadarchive.raw/RTDC4018/ "%USERPROFILE%\AppData\Local\Temp\OnboardLogs"\RTDC4018\2017-10-25 --exclude "*" --recursive --include "*20171025*" &amp; "%USERPROFILE%\Documents\GitHub\mrs-test-scripts\Headless Mode &amp; Sideloading\WalkAndUnGZ.bat" "%USERPROFILE%\AppData\Local\Temp\OnboardLogs"\RTDC4018\2017-10-25</v>
      </c>
      <c r="AF224" s="74" t="str">
        <f>astrogrep_path&amp;" /e /r /s /spath="&amp;search_path&amp;" /stypes=""app*"&amp;B224&amp;"*"&amp;TEXT(I224-utc_offset/24,"YYYYMMDD")&amp;"*"" /stext="" "&amp;TEXT(I224-utc_offset/24,"HH")&amp;search_regexp&amp;""""</f>
        <v>"C:\Program Files (x86)\AstroGrep\AstroGrep.exe" /e /r /s /spath="%USERPROFILE%\AppData\Local\Temp\OnboardLogs" /stypes="app*4018*20171024*" /stext=" 09:.+((SYSTEM_STATE.+slice.+state.+changed )|(ment ac)|(multiple cpu faults)|(system.+state.+changed )|(\[timeout)|(PRM\|1\|D)|(kpr)|(kdp)|(train st.+moving)|(\|lc)|(penalty))"</v>
      </c>
      <c r="AG224" s="182" t="str">
        <f>DetSubdiv(A224)</f>
        <v>Other</v>
      </c>
      <c r="AH224" s="78" t="str">
        <f t="shared" si="71"/>
        <v>"%USERPROFILE%\Documents\GitHub\eaglep3\Utilities\RefineRTDCRunTimes.py" --tripid 311-23 --locoid 4018 --swversion DE.1.0.9.0 --startMP 204:484 --initTime 2017-10-24T02:12:10 --startdatetime 2017-10-24T02:15:49 --delay 50 --endMP 300:23299 --enddatetime 2017-10-24T03:03:05 --enforcementcount 0 &gt;&gt;%USERPROFILE%\Documents\GitHub\eaglep3-reporting\EC\2017-10-23-refined-times.txt</v>
      </c>
      <c r="AI224" s="96" t="str">
        <f t="shared" si="72"/>
        <v>echo {"issue":{"subject":"","project_id":79,"tracker_id":40,"status_id":1,"priority_id":2,"assigned_to_id":338,"start_date":"2017-10-24","description":"","custom_fields":[{"id":1,"name":"Subdivision","value":"Other"},{"id":4,"name":"Milepost","value":"2.3299"},{"id":17,"name":"Train ID","value":"311-23"},{"id":16,"name":"Locomotive ID","value":"4018"},{"id":130,"name":"Impact","value":""},{"id":150,"name":"Time of Event (Mountain Time)","value":"03:03:05"},{"id":151,"name":"Denver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4" s="47"/>
      <c r="AL224" s="47"/>
      <c r="AM224" s="142" t="str">
        <f t="shared" si="73"/>
        <v>start /low /b %USERPROFILE%\Documents\GitHub\eaglep3\Utilities\DownloadLogsFromS3.py --loco 4018 --day 2017-10-24</v>
      </c>
      <c r="AN224" s="151" t="str">
        <f t="shared" si="74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09:03:05"},{"id":29,"name":"Sharepoint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168" t="str">
        <f t="shared" si="75"/>
        <v>https://d0f6bd738d7f1b3e5a7ca70fe4ff75f0.us-east-1.aws.found.io/app/kibana#/discover/Steve-Slow-Train-Analysis-(2080s-and-2083s)?_g=(refreshInterval:(display:Off,pause:!f,section:0,value:0),time:(from:'2017-10-24T01:12:10-0600',mode:absolute,to:'2017-10-24T04:03:05-0600'))&amp;_a=(columns:!('Message%20ID',Summary),filters:!(),index:'emp_*',interval:auto,query:(query_string:(analyze_wildcard:!t,query:'%22rtdc.l.rtdc.4018%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3">
      <c r="A225" s="32" t="s">
        <v>712</v>
      </c>
      <c r="B225" s="7">
        <v>4049</v>
      </c>
      <c r="C225" s="21" t="s">
        <v>194</v>
      </c>
      <c r="D225" s="21" t="s">
        <v>968</v>
      </c>
      <c r="E225" s="13">
        <v>43031.226782407408</v>
      </c>
      <c r="F225" s="13">
        <v>43031.229155092595</v>
      </c>
      <c r="G225" s="7">
        <v>89</v>
      </c>
      <c r="H225" s="21" t="s">
        <v>339</v>
      </c>
      <c r="I225" s="13">
        <v>43031.234537037039</v>
      </c>
      <c r="J225" s="7">
        <v>0</v>
      </c>
      <c r="K225" s="89" t="str">
        <f>IF(ISEVEN(B225),(B225-1)&amp;"/"&amp;B225,B225&amp;"/"&amp;(B225+1))</f>
        <v>4049/4050</v>
      </c>
      <c r="L225" s="185" t="str">
        <f>VLOOKUP(A225,'Trips&amp;Operators'!$C$1:$G$99911,5,FALSE)</f>
        <v>LAMAR NEKESHA</v>
      </c>
      <c r="M225" s="6">
        <f>I225-F225</f>
        <v>5.3819444437976927E-3</v>
      </c>
      <c r="N225" s="7">
        <f>24*60*SUM($M225:$M225)</f>
        <v>7.7499999990686774</v>
      </c>
      <c r="O225" s="7"/>
      <c r="P225" s="7"/>
      <c r="Q225" s="22"/>
      <c r="R225" s="174"/>
      <c r="S225" s="221">
        <f>1/IF(AG225="EC",12,1)*SUM(U225:U225)</f>
        <v>1</v>
      </c>
      <c r="T225" s="174" t="str">
        <f>IF(ISEVEN(LEFT(AD225,4)),"Southbound","NorthBound")</f>
        <v>Southbound</v>
      </c>
      <c r="U225" s="198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1</v>
      </c>
      <c r="V225" s="216" t="str">
        <f>"https://d0f6bd738d7f1b3e5a7ca70fe4ff75f0.us-east-1.aws.found.io/app/kibana#/discover/Steve-Slow-Train-Analysis-(2080s-and-2083s)?_g="&amp;"(refreshInterval:(display:Off,pause:!f,section:0,value:0),time:(from:'"&amp;TEXT(E225-1/24,"yyyy-MM-DDThh:mm:ss")&amp;utc_offset&amp;"00"&amp;"',mode:absolute,to:'"&amp;TEXT(I225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225&amp;"%22')),sort:!(Time.ISO8601,asc))"</f>
        <v>https://d0f6bd738d7f1b3e5a7ca70fe4ff75f0.us-east-1.aws.found.io/app/kibana#/discover/Steve-Slow-Train-Analysis-(2080s-and-2083s)?_g=(refreshInterval:(display:Off,pause:!f,section:0,value:0),time:(from:'2017-10-23T04:26:34-0600',mode:absolute,to:'2017-10-23T06:37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25" s="204" t="str">
        <f>IF(AA225&lt;VLOOKUP(AG225,Variables!$AC$3:$AD$8,2,FALSE),"Y","N")</f>
        <v>Y</v>
      </c>
      <c r="X225" s="204">
        <f>VALUE(LEFT(AD225,4))-VALUE(LEFT(AD224,4))</f>
        <v>1</v>
      </c>
      <c r="Y225" s="204">
        <f>RIGHT(D225,LEN(D225)-4)/10000</f>
        <v>2.2627999999999999</v>
      </c>
      <c r="Z225" s="204">
        <f>RIGHT(H225,LEN(H225)-4)/10000</f>
        <v>1.47E-2</v>
      </c>
      <c r="AA225" s="204">
        <f>ABS(Z225-Y225)</f>
        <v>2.2481</v>
      </c>
      <c r="AB225" s="54" t="e">
        <f>VLOOKUP(A225,Enforcements!$C$7:$K$11,8,0)</f>
        <v>#N/A</v>
      </c>
      <c r="AC225" s="51" t="e">
        <f>VLOOKUP(A225,Enforcements!$C$7:$E$11,3,0)</f>
        <v>#N/A</v>
      </c>
      <c r="AD225" s="179">
        <f>VALUE(LEFT(A225,LEN(A225)-3))</f>
        <v>312</v>
      </c>
      <c r="AE225" s="77" t="str">
        <f>"aws s3 cp "&amp;s3_bucket&amp;"/RTDC"&amp;B225&amp;"/ "&amp;search_path&amp;"\RTDC"&amp;B225&amp;"\"&amp;TEXT(F225,"YYYY-MM-DD")&amp;" --exclude ""*"" --recursive --include ""*"&amp;TEXT(F225,"YYYYMMDD")&amp;"*"" &amp; """&amp;walkandungz&amp;""" "&amp;search_path&amp;"\RTDC"&amp;B225&amp;"\"&amp;TEXT(F225,"YYYY-MM-DD")
&amp;" &amp; "&amp;"aws s3 cp "&amp;s3_bucket&amp;"/RTDC"&amp;B225&amp;"/ "&amp;search_path&amp;"\RTDC"&amp;B225&amp;"\"&amp;TEXT(F225+1,"YYYY-MM-DD")&amp;" --exclude ""*"" --recursive --include ""*"&amp;TEXT(F225+1,"YYYYMMDD")&amp;"*"" &amp; """&amp;walkandungz&amp;""" "&amp;search_path&amp;"\RTDC"&amp;B225&amp;"\"&amp;TEXT(F225+1,"YYYY-MM-DD")</f>
        <v>aws s3 cp s3://rtdc.mdm.uploadarchive.raw/RTDC4049/ "%USERPROFILE%\AppData\Local\Temp\OnboardLogs"\RTDC4049\2017-10-23 --exclude "*" --recursive --include "*20171023*" &amp; "%USERPROFILE%\Documents\GitHub\mrs-test-scripts\Headless Mode &amp; Sideloading\WalkAndUnGZ.bat" "%USERPROFILE%\AppData\Local\Temp\OnboardLogs"\RTDC4049\2017-10-23 &amp; aws s3 cp s3://rtdc.mdm.uploadarchive.raw/RTDC4049/ "%USERPROFILE%\AppData\Local\Temp\OnboardLogs"\RTDC4049\2017-10-24 --exclude "*" --recursive --include "*20171024*" &amp; "%USERPROFILE%\Documents\GitHub\mrs-test-scripts\Headless Mode &amp; Sideloading\WalkAndUnGZ.bat" "%USERPROFILE%\AppData\Local\Temp\OnboardLogs"\RTDC4049\2017-10-24</v>
      </c>
      <c r="AF225" s="74" t="str">
        <f>astrogrep_path&amp;" /e /r /s /spath="&amp;search_path&amp;" /stypes=""app*"&amp;B225&amp;"*"&amp;TEXT(I225-utc_offset/24,"YYYYMMDD")&amp;"*"" /stext="" "&amp;TEXT(I225-utc_offset/24,"HH")&amp;search_regexp&amp;""""</f>
        <v>"C:\Program Files (x86)\AstroGrep\AstroGrep.exe" /e /r /s /spath="%USERPROFILE%\AppData\Local\Temp\OnboardLogs" /stypes="app*4049*20171023*" /stext=" 11:.+((SYSTEM_STATE.+slice.+state.+changed )|(ment ac)|(multiple cpu faults)|(system.+state.+changed )|(\[timeout)|(PRM\|1\|D)|(kpr)|(kdp)|(train st.+moving)|(\|lc)|(penalty))"</v>
      </c>
      <c r="AG225" s="182" t="str">
        <f>DetSubdiv(A225)</f>
        <v>Other</v>
      </c>
      <c r="AH225" s="78" t="str">
        <f t="shared" si="71"/>
        <v>"%USERPROFILE%\Documents\GitHub\eaglep3\Utilities\RefineRTDCRunTimes.py" --tripid 312-23 --locoid 4049 --swversion DE.1.0.9.0 --startMP 300:22628 --initTime 2017-10-23T05:26:34 --startdatetime 2017-10-23T05:29:59 --delay 89 --endMP 204:147 --enddatetime 2017-10-23T05:37:44 --enforcementcount 0 &gt;&gt;%USERPROFILE%\Documents\GitHub\eaglep3-reporting\EC\2017-10-23-refined-times.txt</v>
      </c>
      <c r="AI225" s="96" t="str">
        <f t="shared" si="72"/>
        <v>echo {"issue":{"subject":"","project_id":79,"tracker_id":40,"status_id":1,"priority_id":2,"assigned_to_id":338,"start_date":"2017-10-23","description":"","custom_fields":[{"id":1,"name":"Subdivision","value":"Other"},{"id":4,"name":"Milepost","value":"0.0147"},{"id":17,"name":"Train ID","value":"312-23"},{"id":16,"name":"Locomotive ID","value":"4049"},{"id":130,"name":"Impact","value":""},{"id":150,"name":"Time of Event (Mountain Time)","value":"05:37:44"},{"id":151,"name":"Denver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5" s="47"/>
      <c r="AL225" s="47"/>
      <c r="AM225" s="142" t="str">
        <f t="shared" si="73"/>
        <v>start /low /b %USERPROFILE%\Documents\GitHub\eaglep3\Utilities\DownloadLogsFromS3.py --loco 4049 --day 2017-10-23</v>
      </c>
      <c r="AN225" s="151" t="str">
        <f t="shared" si="74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11:37:44"},{"id":29,"name":"Sharepoint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168" t="str">
        <f t="shared" si="75"/>
        <v>https://d0f6bd738d7f1b3e5a7ca70fe4ff75f0.us-east-1.aws.found.io/app/kibana#/discover/Steve-Slow-Train-Analysis-(2080s-and-2083s)?_g=(refreshInterval:(display:Off,pause:!f,section:0,value:0),time:(from:'2017-10-23T04:26:34-0600',mode:absolute,to:'2017-10-23T06:37:44-0600'))&amp;_a=(columns:!('Message%20ID',Summary),filters:!(),index:'emp_*',interval:auto,query:(query_string:(analyze_wildcard:!t,query:'%22rtdc.l.rtdc.4049%22')),sort:!(Time.ISO8601,asc))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3">
      <c r="A226" s="32" t="s">
        <v>889</v>
      </c>
      <c r="B226" s="7">
        <v>4042</v>
      </c>
      <c r="C226" s="21" t="s">
        <v>194</v>
      </c>
      <c r="D226" s="21" t="s">
        <v>922</v>
      </c>
      <c r="E226" s="13">
        <v>43032.025856481479</v>
      </c>
      <c r="F226" s="13">
        <v>43032.027592592596</v>
      </c>
      <c r="G226" s="7">
        <v>71</v>
      </c>
      <c r="H226" s="21" t="s">
        <v>969</v>
      </c>
      <c r="I226" s="13">
        <v>43032.051574074074</v>
      </c>
      <c r="J226" s="7">
        <v>0</v>
      </c>
      <c r="K226" s="89" t="str">
        <f>IF(ISEVEN(B226),(B226-1)&amp;"/"&amp;B226,B226&amp;"/"&amp;(B226+1))</f>
        <v>4041/4042</v>
      </c>
      <c r="L226" s="185" t="str">
        <f>VLOOKUP(A226,'Trips&amp;Operators'!$C$1:$G$99911,5,FALSE)</f>
        <v>ELBAUM MIKE</v>
      </c>
      <c r="M226" s="6">
        <f>I226-F226</f>
        <v>2.3981481477676425E-2</v>
      </c>
      <c r="N226" s="7">
        <f>24*60*SUM($M226:$M226)</f>
        <v>34.533333327854052</v>
      </c>
      <c r="O226" s="7"/>
      <c r="P226" s="7"/>
      <c r="Q226" s="22"/>
      <c r="R226" s="174"/>
      <c r="S226" s="221">
        <f>1/IF(AG226="EC",12,1)*SUM(U226:U226)</f>
        <v>1</v>
      </c>
      <c r="T226" s="174" t="str">
        <f>IF(ISEVEN(LEFT(AD226,4)),"Southbound","NorthBound")</f>
        <v>NorthBound</v>
      </c>
      <c r="U226" s="198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1</v>
      </c>
      <c r="V226" s="216" t="str">
        <f>"https://d0f6bd738d7f1b3e5a7ca70fe4ff75f0.us-east-1.aws.found.io/app/kibana#/discover/Steve-Slow-Train-Analysis-(2080s-and-2083s)?_g="&amp;"(refreshInterval:(display:Off,pause:!f,section:0,value:0),time:(from:'"&amp;TEXT(E226-1/24,"yyyy-MM-DDThh:mm:ss")&amp;utc_offset&amp;"00"&amp;"',mode:absolute,to:'"&amp;TEXT(I226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226&amp;"%22')),sort:!(Time.ISO8601,asc))"</f>
        <v>https://d0f6bd738d7f1b3e5a7ca70fe4ff75f0.us-east-1.aws.found.io/app/kibana#/discover/Steve-Slow-Train-Analysis-(2080s-and-2083s)?_g=(refreshInterval:(display:Off,pause:!f,section:0,value:0),time:(from:'2017-10-23T23:37:14-0600',mode:absolute,to:'2017-10-24T02:14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26" s="204" t="str">
        <f>IF(AA226&lt;VLOOKUP(AG226,Variables!$AC$3:$AD$8,2,FALSE),"Y","N")</f>
        <v>Y</v>
      </c>
      <c r="X226" s="204">
        <f>VALUE(LEFT(AD226,4))-VALUE(LEFT(AD225,4))</f>
        <v>1</v>
      </c>
      <c r="Y226" s="204">
        <f>RIGHT(D226,LEN(D226)-4)/10000</f>
        <v>4.7699999999999999E-2</v>
      </c>
      <c r="Z226" s="204">
        <f>RIGHT(H226,LEN(H226)-4)/10000</f>
        <v>2.3304</v>
      </c>
      <c r="AA226" s="204">
        <f>ABS(Z226-Y226)</f>
        <v>2.2827000000000002</v>
      </c>
      <c r="AB226" s="54" t="e">
        <f>VLOOKUP(A226,Enforcements!$C$7:$K$11,8,0)</f>
        <v>#N/A</v>
      </c>
      <c r="AC226" s="51" t="e">
        <f>VLOOKUP(A226,Enforcements!$C$7:$E$11,3,0)</f>
        <v>#N/A</v>
      </c>
      <c r="AD226" s="179">
        <f>VALUE(LEFT(A226,LEN(A226)-3))</f>
        <v>313</v>
      </c>
      <c r="AE226" s="77" t="str">
        <f>"aws s3 cp "&amp;s3_bucket&amp;"/RTDC"&amp;B226&amp;"/ "&amp;search_path&amp;"\RTDC"&amp;B226&amp;"\"&amp;TEXT(F226,"YYYY-MM-DD")&amp;" --exclude ""*"" --recursive --include ""*"&amp;TEXT(F226,"YYYYMMDD")&amp;"*"" &amp; """&amp;walkandungz&amp;""" "&amp;search_path&amp;"\RTDC"&amp;B226&amp;"\"&amp;TEXT(F226,"YYYY-MM-DD")
&amp;" &amp; "&amp;"aws s3 cp "&amp;s3_bucket&amp;"/RTDC"&amp;B226&amp;"/ "&amp;search_path&amp;"\RTDC"&amp;B226&amp;"\"&amp;TEXT(F226+1,"YYYY-MM-DD")&amp;" --exclude ""*"" --recursive --include ""*"&amp;TEXT(F226+1,"YYYYMMDD")&amp;"*"" &amp; """&amp;walkandungz&amp;""" "&amp;search_path&amp;"\RTDC"&amp;B226&amp;"\"&amp;TEXT(F226+1,"YYYY-MM-DD")</f>
        <v>aws s3 cp s3://rtdc.mdm.uploadarchive.raw/RTDC4042/ "%USERPROFILE%\AppData\Local\Temp\OnboardLogs"\RTDC4042\2017-10-24 --exclude "*" --recursive --include "*20171024*" &amp; "%USERPROFILE%\Documents\GitHub\mrs-test-scripts\Headless Mode &amp; Sideloading\WalkAndUnGZ.bat" "%USERPROFILE%\AppData\Local\Temp\OnboardLogs"\RTDC4042\2017-10-24 &amp; aws s3 cp s3://rtdc.mdm.uploadarchive.raw/RTDC4042/ "%USERPROFILE%\AppData\Local\Temp\OnboardLogs"\RTDC4042\2017-10-25 --exclude "*" --recursive --include "*20171025*" &amp; "%USERPROFILE%\Documents\GitHub\mrs-test-scripts\Headless Mode &amp; Sideloading\WalkAndUnGZ.bat" "%USERPROFILE%\AppData\Local\Temp\OnboardLogs"\RTDC4042\2017-10-25</v>
      </c>
      <c r="AF226" s="74" t="str">
        <f>astrogrep_path&amp;" /e /r /s /spath="&amp;search_path&amp;" /stypes=""app*"&amp;B226&amp;"*"&amp;TEXT(I226-utc_offset/24,"YYYYMMDD")&amp;"*"" /stext="" "&amp;TEXT(I226-utc_offset/24,"HH")&amp;search_regexp&amp;""""</f>
        <v>"C:\Program Files (x86)\AstroGrep\AstroGrep.exe" /e /r /s /spath="%USERPROFILE%\AppData\Local\Temp\OnboardLogs" /stypes="app*4042*20171024*" /stext=" 07:.+((SYSTEM_STATE.+slice.+state.+changed )|(ment ac)|(multiple cpu faults)|(system.+state.+changed )|(\[timeout)|(PRM\|1\|D)|(kpr)|(kdp)|(train st.+moving)|(\|lc)|(penalty))"</v>
      </c>
      <c r="AG226" s="182" t="str">
        <f>DetSubdiv(A226)</f>
        <v>Other</v>
      </c>
      <c r="AH226" s="78" t="str">
        <f t="shared" si="71"/>
        <v>"%USERPROFILE%\Documents\GitHub\eaglep3\Utilities\RefineRTDCRunTimes.py" --tripid 313-23 --locoid 4042 --swversion DE.1.0.9.0 --startMP 204:477 --initTime 2017-10-24T00:37:14 --startdatetime 2017-10-24T00:39:44 --delay 71 --endMP 300:23304 --enddatetime 2017-10-24T01:14:16 --enforcementcount 0 &gt;&gt;%USERPROFILE%\Documents\GitHub\eaglep3-reporting\EC\2017-10-23-refined-times.txt</v>
      </c>
      <c r="AI226" s="96" t="str">
        <f t="shared" si="72"/>
        <v>echo {"issue":{"subject":"","project_id":79,"tracker_id":40,"status_id":1,"priority_id":2,"assigned_to_id":338,"start_date":"2017-10-24","description":"","custom_fields":[{"id":1,"name":"Subdivision","value":"Other"},{"id":4,"name":"Milepost","value":"2.3304"},{"id":17,"name":"Train ID","value":"313-23"},{"id":16,"name":"Locomotive ID","value":"4042"},{"id":130,"name":"Impact","value":""},{"id":150,"name":"Time of Event (Mountain Time)","value":"01:14:16"},{"id":151,"name":"Denver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6" s="47"/>
      <c r="AL226" s="47"/>
      <c r="AM226" s="142" t="str">
        <f t="shared" si="73"/>
        <v>start /low /b %USERPROFILE%\Documents\GitHub\eaglep3\Utilities\DownloadLogsFromS3.py --loco 4042 --day 2017-10-24</v>
      </c>
      <c r="AN226" s="151" t="str">
        <f t="shared" si="74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07:14:16"},{"id":29,"name":"Sharepoint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168" t="str">
        <f t="shared" si="75"/>
        <v>https://d0f6bd738d7f1b3e5a7ca70fe4ff75f0.us-east-1.aws.found.io/app/kibana#/discover/Steve-Slow-Train-Analysis-(2080s-and-2083s)?_g=(refreshInterval:(display:Off,pause:!f,section:0,value:0),time:(from:'2017-10-23T23:37:14-0600',mode:absolute,to:'2017-10-24T02:14:16-0600'))&amp;_a=(columns:!('Message%20ID',Summary),filters:!(),index:'emp_*',interval:auto,query:(query_string:(analyze_wildcard:!t,query:'%22rtdc.l.rtdc.4042%22')),sort:!(Time.ISO8601,asc))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3">
      <c r="A227" s="32" t="s">
        <v>706</v>
      </c>
      <c r="B227" s="7">
        <v>4040</v>
      </c>
      <c r="C227" s="21" t="s">
        <v>194</v>
      </c>
      <c r="D227" s="21" t="s">
        <v>1051</v>
      </c>
      <c r="E227" s="13">
        <v>43031.200659722221</v>
      </c>
      <c r="F227" s="13">
        <v>43031.20521990741</v>
      </c>
      <c r="G227" s="7">
        <v>146</v>
      </c>
      <c r="H227" s="21" t="s">
        <v>614</v>
      </c>
      <c r="I227" s="13">
        <v>43031.211458333331</v>
      </c>
      <c r="J227" s="7">
        <v>0</v>
      </c>
      <c r="K227" s="89" t="str">
        <f>IF(ISEVEN(B227),(B227-1)&amp;"/"&amp;B227,B227&amp;"/"&amp;(B227+1))</f>
        <v>4039/4040</v>
      </c>
      <c r="L227" s="185" t="str">
        <f>VLOOKUP(A227,'Trips&amp;Operators'!$C$1:$G$99911,5,FALSE)</f>
        <v>MACDONALD THOMAS</v>
      </c>
      <c r="M227" s="6">
        <f>I227-F227</f>
        <v>6.2384259217651561E-3</v>
      </c>
      <c r="N227" s="7">
        <f>24*60*SUM($M227:$M227)</f>
        <v>8.9833333273418248</v>
      </c>
      <c r="O227" s="7"/>
      <c r="P227" s="7"/>
      <c r="Q227" s="22"/>
      <c r="R227" s="174"/>
      <c r="S227" s="221">
        <f>1/IF(AG227="EC",12,1)*SUM(U227:U227)</f>
        <v>0</v>
      </c>
      <c r="T227" s="174" t="str">
        <f>IF(ISEVEN(LEFT(AD227,4)),"Southbound","NorthBound")</f>
        <v>NorthBound</v>
      </c>
      <c r="U227" s="198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216" t="str">
        <f>"https://d0f6bd738d7f1b3e5a7ca70fe4ff75f0.us-east-1.aws.found.io/app/kibana#/discover/Steve-Slow-Train-Analysis-(2080s-and-2083s)?_g="&amp;"(refreshInterval:(display:Off,pause:!f,section:0,value:0),time:(from:'"&amp;TEXT(E227-1/24,"yyyy-MM-DDThh:mm:ss")&amp;utc_offset&amp;"00"&amp;"',mode:absolute,to:'"&amp;TEXT(I227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227&amp;"%22')),sort:!(Time.ISO8601,asc))"</f>
        <v>https://d0f6bd738d7f1b3e5a7ca70fe4ff75f0.us-east-1.aws.found.io/app/kibana#/discover/Steve-Slow-Train-Analysis-(2080s-and-2083s)?_g=(refreshInterval:(display:Off,pause:!f,section:0,value:0),time:(from:'2017-10-23T03:48:57-0600',mode:absolute,to:'2017-10-23T06:04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27" s="204" t="str">
        <f>IF(AA227&lt;VLOOKUP(AG227,Variables!$AC$3:$AD$8,2,FALSE),"Y","N")</f>
        <v>Y</v>
      </c>
      <c r="X227" s="204">
        <f>VALUE(LEFT(AD227,4))-VALUE(LEFT(AD226,4))</f>
        <v>588</v>
      </c>
      <c r="Y227" s="204">
        <f>RIGHT(D227,LEN(D227)-4)/10000</f>
        <v>2.9708000000000001</v>
      </c>
      <c r="Z227" s="204">
        <f>RIGHT(H227,LEN(H227)-4)/10000</f>
        <v>5.8912000000000004</v>
      </c>
      <c r="AA227" s="204">
        <f>ABS(Z227-Y227)</f>
        <v>2.9204000000000003</v>
      </c>
      <c r="AB227" s="54" t="e">
        <f>VLOOKUP(A227,Enforcements!$C$7:$K$11,8,0)</f>
        <v>#N/A</v>
      </c>
      <c r="AC227" s="51" t="e">
        <f>VLOOKUP(A227,Enforcements!$C$7:$E$11,3,0)</f>
        <v>#N/A</v>
      </c>
      <c r="AD227" s="179">
        <f>VALUE(LEFT(A227,LEN(A227)-3))</f>
        <v>901</v>
      </c>
      <c r="AE227" s="77" t="str">
        <f>"aws s3 cp "&amp;s3_bucket&amp;"/RTDC"&amp;B227&amp;"/ "&amp;search_path&amp;"\RTDC"&amp;B227&amp;"\"&amp;TEXT(F227,"YYYY-MM-DD")&amp;" --exclude ""*"" --recursive --include ""*"&amp;TEXT(F227,"YYYYMMDD")&amp;"*"" &amp; """&amp;walkandungz&amp;""" "&amp;search_path&amp;"\RTDC"&amp;B227&amp;"\"&amp;TEXT(F227,"YYYY-MM-DD")
&amp;" &amp; "&amp;"aws s3 cp "&amp;s3_bucket&amp;"/RTDC"&amp;B227&amp;"/ "&amp;search_path&amp;"\RTDC"&amp;B227&amp;"\"&amp;TEXT(F227+1,"YYYY-MM-DD")&amp;" --exclude ""*"" --recursive --include ""*"&amp;TEXT(F227+1,"YYYYMMDD")&amp;"*"" &amp; """&amp;walkandungz&amp;""" "&amp;search_path&amp;"\RTDC"&amp;B227&amp;"\"&amp;TEXT(F227+1,"YYYY-MM-DD")</f>
        <v>aws s3 cp s3://rtdc.mdm.uploadarchive.raw/RTDC4040/ "%USERPROFILE%\AppData\Local\Temp\OnboardLogs"\RTDC4040\2017-10-23 --exclude "*" --recursive --include "*20171023*" &amp; "%USERPROFILE%\Documents\GitHub\mrs-test-scripts\Headless Mode &amp; Sideloading\WalkAndUnGZ.bat" "%USERPROFILE%\AppData\Local\Temp\OnboardLogs"\RTDC4040\2017-10-23 &amp; aws s3 cp s3://rtdc.mdm.uploadarchive.raw/RTDC4040/ "%USERPROFILE%\AppData\Local\Temp\OnboardLogs"\RTDC4040\2017-10-24 --exclude "*" --recursive --include "*20171024*" &amp; "%USERPROFILE%\Documents\GitHub\mrs-test-scripts\Headless Mode &amp; Sideloading\WalkAndUnGZ.bat" "%USERPROFILE%\AppData\Local\Temp\OnboardLogs"\RTDC4040\2017-10-24</v>
      </c>
      <c r="AF227" s="74" t="str">
        <f>astrogrep_path&amp;" /e /r /s /spath="&amp;search_path&amp;" /stypes=""app*"&amp;B227&amp;"*"&amp;TEXT(I227-utc_offset/24,"YYYYMMDD")&amp;"*"" /stext="" "&amp;TEXT(I227-utc_offset/24,"HH")&amp;search_regexp&amp;""""</f>
        <v>"C:\Program Files (x86)\AstroGrep\AstroGrep.exe" /e /r /s /spath="%USERPROFILE%\AppData\Local\Temp\OnboardLogs" /stypes="app*4040*20171023*" /stext=" 11:.+((SYSTEM_STATE.+slice.+state.+changed )|(ment ac)|(multiple cpu faults)|(system.+state.+changed )|(\[timeout)|(PRM\|1\|D)|(kpr)|(kdp)|(train st.+moving)|(\|lc)|(penalty))"</v>
      </c>
      <c r="AG227" s="182" t="str">
        <f>DetSubdiv(A227)</f>
        <v>Other</v>
      </c>
      <c r="AH227" s="78" t="str">
        <f t="shared" si="71"/>
        <v>"%USERPROFILE%\Documents\GitHub\eaglep3\Utilities\RefineRTDCRunTimes.py" --tripid 901-23 --locoid 4040 --swversion DE.1.0.9.0 --startMP 300:29708 --initTime 2017-10-23T04:48:57 --startdatetime 2017-10-23T04:55:31 --delay 146 --endMP 300:58912 --enddatetime 2017-10-23T05:04:30 --enforcementcount 0 &gt;&gt;%USERPROFILE%\Documents\GitHub\eaglep3-reporting\EC\2017-10-23-refined-times.txt</v>
      </c>
      <c r="AI227" s="96" t="str">
        <f t="shared" si="72"/>
        <v>echo {"issue":{"subject":"","project_id":79,"tracker_id":40,"status_id":1,"priority_id":2,"assigned_to_id":338,"start_date":"2017-10-23","description":"","custom_fields":[{"id":1,"name":"Subdivision","value":"Other"},{"id":4,"name":"Milepost","value":"5.8912"},{"id":17,"name":"Train ID","value":"901-23"},{"id":16,"name":"Locomotive ID","value":"4040"},{"id":130,"name":"Impact","value":""},{"id":150,"name":"Time of Event (Mountain Time)","value":"05:04:30"},{"id":151,"name":"Denver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7" s="47"/>
      <c r="AL227" s="47"/>
      <c r="AM227" s="142" t="str">
        <f t="shared" si="73"/>
        <v>start /low /b %USERPROFILE%\Documents\GitHub\eaglep3\Utilities\DownloadLogsFromS3.py --loco 4040 --day 2017-10-23</v>
      </c>
      <c r="AN227" s="151" t="str">
        <f t="shared" si="74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11:04:30"},{"id":29,"name":"Sharepoint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168" t="str">
        <f t="shared" si="75"/>
        <v>https://d0f6bd738d7f1b3e5a7ca70fe4ff75f0.us-east-1.aws.found.io/app/kibana#/discover/Steve-Slow-Train-Analysis-(2080s-and-2083s)?_g=(refreshInterval:(display:Off,pause:!f,section:0,value:0),time:(from:'2017-10-23T03:48:57-0600',mode:absolute,to:'2017-10-23T06:04:30-0600'))&amp;_a=(columns:!('Message%20ID',Summary),filters:!(),index:'emp_*',interval:auto,query:(query_string:(analyze_wildcard:!t,query:'%22rtdc.l.rtdc.4040%22')),sort:!(Time.ISO8601,asc))</v>
      </c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3">
      <c r="A228" s="32" t="s">
        <v>640</v>
      </c>
      <c r="B228" s="7">
        <v>4059</v>
      </c>
      <c r="C228" s="21" t="s">
        <v>194</v>
      </c>
      <c r="D228" s="21" t="s">
        <v>1052</v>
      </c>
      <c r="E228" s="13">
        <v>43031.237256944441</v>
      </c>
      <c r="F228" s="13">
        <v>43031.24050925926</v>
      </c>
      <c r="G228" s="7">
        <v>110</v>
      </c>
      <c r="H228" s="21" t="s">
        <v>1053</v>
      </c>
      <c r="I228" s="13">
        <v>43031.245717592596</v>
      </c>
      <c r="J228" s="7">
        <v>0</v>
      </c>
      <c r="K228" s="89" t="str">
        <f>IF(ISEVEN(B228),(B228-1)&amp;"/"&amp;B228,B228&amp;"/"&amp;(B228+1))</f>
        <v>4059/4060</v>
      </c>
      <c r="L228" s="185" t="str">
        <f>VLOOKUP(A228,'Trips&amp;Operators'!$C$1:$G$99911,5,FALSE)</f>
        <v>YANAI IAN</v>
      </c>
      <c r="M228" s="6">
        <f>I228-F228</f>
        <v>5.2083333357586525E-3</v>
      </c>
      <c r="N228" s="7">
        <f>24*60*SUM($M228:$M228)</f>
        <v>7.5000000034924597</v>
      </c>
      <c r="O228" s="7"/>
      <c r="P228" s="7"/>
      <c r="Q228" s="22"/>
      <c r="R228" s="174"/>
      <c r="S228" s="221">
        <f>1/IF(AG228="EC",12,1)*SUM(U228:U228)</f>
        <v>1</v>
      </c>
      <c r="T228" s="174" t="str">
        <f>IF(ISEVEN(LEFT(AD228,4)),"Southbound","NorthBound")</f>
        <v>Southbound</v>
      </c>
      <c r="U228" s="198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1</v>
      </c>
      <c r="V228" s="216" t="str">
        <f>"https://d0f6bd738d7f1b3e5a7ca70fe4ff75f0.us-east-1.aws.found.io/app/kibana#/discover/Steve-Slow-Train-Analysis-(2080s-and-2083s)?_g="&amp;"(refreshInterval:(display:Off,pause:!f,section:0,value:0),time:(from:'"&amp;TEXT(E228-1/24,"yyyy-MM-DDThh:mm:ss")&amp;utc_offset&amp;"00"&amp;"',mode:absolute,to:'"&amp;TEXT(I228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228&amp;"%22')),sort:!(Time.ISO8601,asc))"</f>
        <v>https://d0f6bd738d7f1b3e5a7ca70fe4ff75f0.us-east-1.aws.found.io/app/kibana#/discover/Steve-Slow-Train-Analysis-(2080s-and-2083s)?_g=(refreshInterval:(display:Off,pause:!f,section:0,value:0),time:(from:'2017-10-23T04:41:39-0600',mode:absolute,to:'2017-10-23T06:53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28" s="204" t="str">
        <f>IF(AA228&lt;VLOOKUP(AG228,Variables!$AC$3:$AD$8,2,FALSE),"Y","N")</f>
        <v>Y</v>
      </c>
      <c r="X228" s="204">
        <f>VALUE(LEFT(AD228,4))-VALUE(LEFT(AD227,4))</f>
        <v>1</v>
      </c>
      <c r="Y228" s="204">
        <f>RIGHT(D228,LEN(D228)-4)/10000</f>
        <v>2.3704999999999998</v>
      </c>
      <c r="Z228" s="204">
        <f>RIGHT(H228,LEN(H228)-4)/10000</f>
        <v>6.9099999999999995E-2</v>
      </c>
      <c r="AA228" s="204">
        <f>ABS(Z228-Y228)</f>
        <v>2.3013999999999997</v>
      </c>
      <c r="AB228" s="54" t="e">
        <f>VLOOKUP(A228,Enforcements!$C$7:$K$11,8,0)</f>
        <v>#N/A</v>
      </c>
      <c r="AC228" s="51" t="e">
        <f>VLOOKUP(A228,Enforcements!$C$7:$E$11,3,0)</f>
        <v>#N/A</v>
      </c>
      <c r="AD228" s="179">
        <f>VALUE(LEFT(A228,LEN(A228)-3))</f>
        <v>902</v>
      </c>
      <c r="AE228" s="77" t="str">
        <f>"aws s3 cp "&amp;s3_bucket&amp;"/RTDC"&amp;B228&amp;"/ "&amp;search_path&amp;"\RTDC"&amp;B228&amp;"\"&amp;TEXT(F228,"YYYY-MM-DD")&amp;" --exclude ""*"" --recursive --include ""*"&amp;TEXT(F228,"YYYYMMDD")&amp;"*"" &amp; """&amp;walkandungz&amp;""" "&amp;search_path&amp;"\RTDC"&amp;B228&amp;"\"&amp;TEXT(F228,"YYYY-MM-DD")
&amp;" &amp; "&amp;"aws s3 cp "&amp;s3_bucket&amp;"/RTDC"&amp;B228&amp;"/ "&amp;search_path&amp;"\RTDC"&amp;B228&amp;"\"&amp;TEXT(F228+1,"YYYY-MM-DD")&amp;" --exclude ""*"" --recursive --include ""*"&amp;TEXT(F228+1,"YYYYMMDD")&amp;"*"" &amp; """&amp;walkandungz&amp;""" "&amp;search_path&amp;"\RTDC"&amp;B228&amp;"\"&amp;TEXT(F228+1,"YYYY-MM-DD")</f>
        <v>aws s3 cp s3://rtdc.mdm.uploadarchive.raw/RTDC4059/ "%USERPROFILE%\AppData\Local\Temp\OnboardLogs"\RTDC4059\2017-10-23 --exclude "*" --recursive --include "*20171023*" &amp; "%USERPROFILE%\Documents\GitHub\mrs-test-scripts\Headless Mode &amp; Sideloading\WalkAndUnGZ.bat" "%USERPROFILE%\AppData\Local\Temp\OnboardLogs"\RTDC4059\2017-10-23 &amp; aws s3 cp s3://rtdc.mdm.uploadarchive.raw/RTDC4059/ "%USERPROFILE%\AppData\Local\Temp\OnboardLogs"\RTDC4059\2017-10-24 --exclude "*" --recursive --include "*20171024*" &amp; "%USERPROFILE%\Documents\GitHub\mrs-test-scripts\Headless Mode &amp; Sideloading\WalkAndUnGZ.bat" "%USERPROFILE%\AppData\Local\Temp\OnboardLogs"\RTDC4059\2017-10-24</v>
      </c>
      <c r="AF228" s="74" t="str">
        <f>astrogrep_path&amp;" /e /r /s /spath="&amp;search_path&amp;" /stypes=""app*"&amp;B228&amp;"*"&amp;TEXT(I228-utc_offset/24,"YYYYMMDD")&amp;"*"" /stext="" "&amp;TEXT(I228-utc_offset/24,"HH")&amp;search_regexp&amp;""""</f>
        <v>"C:\Program Files (x86)\AstroGrep\AstroGrep.exe" /e /r /s /spath="%USERPROFILE%\AppData\Local\Temp\OnboardLogs" /stypes="app*4059*20171023*" /stext=" 11:.+((SYSTEM_STATE.+slice.+state.+changed )|(ment ac)|(multiple cpu faults)|(system.+state.+changed )|(\[timeout)|(PRM\|1\|D)|(kpr)|(kdp)|(train st.+moving)|(\|lc)|(penalty))"</v>
      </c>
      <c r="AG228" s="182" t="str">
        <f>DetSubdiv(A228)</f>
        <v>Other</v>
      </c>
      <c r="AH228" s="78" t="str">
        <f t="shared" si="71"/>
        <v>"%USERPROFILE%\Documents\GitHub\eaglep3\Utilities\RefineRTDCRunTimes.py" --tripid 902-23 --locoid 4059 --swversion DE.1.0.9.0 --startMP 300:23705 --initTime 2017-10-23T05:41:39 --startdatetime 2017-10-23T05:46:20 --delay 110 --endMP 204:691 --enddatetime 2017-10-23T05:53:50 --enforcementcount 0 &gt;&gt;%USERPROFILE%\Documents\GitHub\eaglep3-reporting\EC\2017-10-23-refined-times.txt</v>
      </c>
      <c r="AI228" s="96" t="str">
        <f t="shared" si="72"/>
        <v>echo {"issue":{"subject":"","project_id":79,"tracker_id":40,"status_id":1,"priority_id":2,"assigned_to_id":338,"start_date":"2017-10-23","description":"","custom_fields":[{"id":1,"name":"Subdivision","value":"Other"},{"id":4,"name":"Milepost","value":"0.0691"},{"id":17,"name":"Train ID","value":"902-23"},{"id":16,"name":"Locomotive ID","value":"4059"},{"id":130,"name":"Impact","value":""},{"id":150,"name":"Time of Event (Mountain Time)","value":"05:53:50"},{"id":151,"name":"Denver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8" s="47"/>
      <c r="AL228" s="47"/>
      <c r="AM228" s="142" t="str">
        <f t="shared" si="73"/>
        <v>start /low /b %USERPROFILE%\Documents\GitHub\eaglep3\Utilities\DownloadLogsFromS3.py --loco 4059 --day 2017-10-23</v>
      </c>
      <c r="AN228" s="151" t="str">
        <f t="shared" si="74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11:53:50"},{"id":29,"name":"Sharepoint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 s="168" t="str">
        <f t="shared" si="75"/>
        <v>https://d0f6bd738d7f1b3e5a7ca70fe4ff75f0.us-east-1.aws.found.io/app/kibana#/discover/Steve-Slow-Train-Analysis-(2080s-and-2083s)?_g=(refreshInterval:(display:Off,pause:!f,section:0,value:0),time:(from:'2017-10-23T04:41:39-0600',mode:absolute,to:'2017-10-23T06:53:50-0600'))&amp;_a=(columns:!('Message%20ID',Summary),filters:!(),index:'emp_*',interval:auto,query:(query_string:(analyze_wildcard:!t,query:'%22rtdc.l.rtdc.4059%22')),sort:!(Time.ISO8601,asc))</v>
      </c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3">
      <c r="A229" s="32" t="s">
        <v>649</v>
      </c>
      <c r="B229" s="7">
        <v>4040</v>
      </c>
      <c r="C229" s="21" t="s">
        <v>194</v>
      </c>
      <c r="D229" s="21" t="s">
        <v>1054</v>
      </c>
      <c r="E229" s="13">
        <v>43031.354618055557</v>
      </c>
      <c r="F229" s="13">
        <v>43031.355532407404</v>
      </c>
      <c r="G229" s="7">
        <v>42</v>
      </c>
      <c r="H229" s="21" t="s">
        <v>1055</v>
      </c>
      <c r="I229" s="13">
        <v>43031.36141203704</v>
      </c>
      <c r="J229" s="7">
        <v>0</v>
      </c>
      <c r="K229" s="89" t="str">
        <f>IF(ISEVEN(B229),(B229-1)&amp;"/"&amp;B229,B229&amp;"/"&amp;(B229+1))</f>
        <v>4039/4040</v>
      </c>
      <c r="L229" s="185" t="str">
        <f>VLOOKUP(A229,'Trips&amp;Operators'!$C$1:$G$99911,5,FALSE)</f>
        <v>MACDONALD THOMAS</v>
      </c>
      <c r="M229" s="6">
        <f>I229-F229</f>
        <v>5.8796296361833811E-3</v>
      </c>
      <c r="N229" s="7">
        <f>24*60*SUM($M229:$M229)</f>
        <v>8.4666666761040688</v>
      </c>
      <c r="O229" s="7"/>
      <c r="P229" s="7"/>
      <c r="Q229" s="22"/>
      <c r="R229" s="174"/>
      <c r="S229" s="221">
        <f>1/IF(AG229="EC",12,1)*SUM(U229:U229)</f>
        <v>1</v>
      </c>
      <c r="T229" s="174" t="str">
        <f>IF(ISEVEN(LEFT(AD229,4)),"Southbound","NorthBound")</f>
        <v>NorthBound</v>
      </c>
      <c r="U229" s="198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1</v>
      </c>
      <c r="V229" s="216" t="str">
        <f>"https://d0f6bd738d7f1b3e5a7ca70fe4ff75f0.us-east-1.aws.found.io/app/kibana#/discover/Steve-Slow-Train-Analysis-(2080s-and-2083s)?_g="&amp;"(refreshInterval:(display:Off,pause:!f,section:0,value:0),time:(from:'"&amp;TEXT(E229-1/24,"yyyy-MM-DDThh:mm:ss")&amp;utc_offset&amp;"00"&amp;"',mode:absolute,to:'"&amp;TEXT(I229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229&amp;"%22')),sort:!(Time.ISO8601,asc))"</f>
        <v>https://d0f6bd738d7f1b3e5a7ca70fe4ff75f0.us-east-1.aws.found.io/app/kibana#/discover/Steve-Slow-Train-Analysis-(2080s-and-2083s)?_g=(refreshInterval:(display:Off,pause:!f,section:0,value:0),time:(from:'2017-10-23T07:30:39-0600',mode:absolute,to:'2017-10-23T09:40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29" s="204" t="str">
        <f>IF(AA229&lt;VLOOKUP(AG229,Variables!$AC$3:$AD$8,2,FALSE),"Y","N")</f>
        <v>Y</v>
      </c>
      <c r="X229" s="204">
        <f>VALUE(LEFT(AD229,4))-VALUE(LEFT(AD228,4))</f>
        <v>1</v>
      </c>
      <c r="Y229" s="204">
        <f>RIGHT(D229,LEN(D229)-4)/10000</f>
        <v>0.18990000000000001</v>
      </c>
      <c r="Z229" s="204">
        <f>RIGHT(H229,LEN(H229)-4)/10000</f>
        <v>2.4214000000000002</v>
      </c>
      <c r="AA229" s="204">
        <f>ABS(Z229-Y229)</f>
        <v>2.2315</v>
      </c>
      <c r="AB229" s="54" t="e">
        <f>VLOOKUP(A229,Enforcements!$C$7:$K$11,8,0)</f>
        <v>#N/A</v>
      </c>
      <c r="AC229" s="51" t="e">
        <f>VLOOKUP(A229,Enforcements!$C$7:$E$11,3,0)</f>
        <v>#N/A</v>
      </c>
      <c r="AD229" s="179">
        <f>VALUE(LEFT(A229,LEN(A229)-3))</f>
        <v>903</v>
      </c>
      <c r="AE229" s="77" t="str">
        <f>"aws s3 cp "&amp;s3_bucket&amp;"/RTDC"&amp;B229&amp;"/ "&amp;search_path&amp;"\RTDC"&amp;B229&amp;"\"&amp;TEXT(F229,"YYYY-MM-DD")&amp;" --exclude ""*"" --recursive --include ""*"&amp;TEXT(F229,"YYYYMMDD")&amp;"*"" &amp; """&amp;walkandungz&amp;""" "&amp;search_path&amp;"\RTDC"&amp;B229&amp;"\"&amp;TEXT(F229,"YYYY-MM-DD")
&amp;" &amp; "&amp;"aws s3 cp "&amp;s3_bucket&amp;"/RTDC"&amp;B229&amp;"/ "&amp;search_path&amp;"\RTDC"&amp;B229&amp;"\"&amp;TEXT(F229+1,"YYYY-MM-DD")&amp;" --exclude ""*"" --recursive --include ""*"&amp;TEXT(F229+1,"YYYYMMDD")&amp;"*"" &amp; """&amp;walkandungz&amp;""" "&amp;search_path&amp;"\RTDC"&amp;B229&amp;"\"&amp;TEXT(F229+1,"YYYY-MM-DD")</f>
        <v>aws s3 cp s3://rtdc.mdm.uploadarchive.raw/RTDC4040/ "%USERPROFILE%\AppData\Local\Temp\OnboardLogs"\RTDC4040\2017-10-23 --exclude "*" --recursive --include "*20171023*" &amp; "%USERPROFILE%\Documents\GitHub\mrs-test-scripts\Headless Mode &amp; Sideloading\WalkAndUnGZ.bat" "%USERPROFILE%\AppData\Local\Temp\OnboardLogs"\RTDC4040\2017-10-23 &amp; aws s3 cp s3://rtdc.mdm.uploadarchive.raw/RTDC4040/ "%USERPROFILE%\AppData\Local\Temp\OnboardLogs"\RTDC4040\2017-10-24 --exclude "*" --recursive --include "*20171024*" &amp; "%USERPROFILE%\Documents\GitHub\mrs-test-scripts\Headless Mode &amp; Sideloading\WalkAndUnGZ.bat" "%USERPROFILE%\AppData\Local\Temp\OnboardLogs"\RTDC4040\2017-10-24</v>
      </c>
      <c r="AF229" s="74" t="str">
        <f>astrogrep_path&amp;" /e /r /s /spath="&amp;search_path&amp;" /stypes=""app*"&amp;B229&amp;"*"&amp;TEXT(I229-utc_offset/24,"YYYYMMDD")&amp;"*"" /stext="" "&amp;TEXT(I229-utc_offset/24,"HH")&amp;search_regexp&amp;""""</f>
        <v>"C:\Program Files (x86)\AstroGrep\AstroGrep.exe" /e /r /s /spath="%USERPROFILE%\AppData\Local\Temp\OnboardLogs" /stypes="app*4040*20171023*" /stext=" 14:.+((SYSTEM_STATE.+slice.+state.+changed )|(ment ac)|(multiple cpu faults)|(system.+state.+changed )|(\[timeout)|(PRM\|1\|D)|(kpr)|(kdp)|(train st.+moving)|(\|lc)|(penalty))"</v>
      </c>
      <c r="AG229" s="182" t="str">
        <f>DetSubdiv(A229)</f>
        <v>Other</v>
      </c>
      <c r="AH229" s="78" t="str">
        <f t="shared" si="71"/>
        <v>"%USERPROFILE%\Documents\GitHub\eaglep3\Utilities\RefineRTDCRunTimes.py" --tripid 903-23 --locoid 4040 --swversion DE.1.0.9.0 --startMP 204:1899 --initTime 2017-10-23T08:30:39 --startdatetime 2017-10-23T08:31:58 --delay 42 --endMP 300:24214 --enddatetime 2017-10-23T08:40:26 --enforcementcount 0 &gt;&gt;%USERPROFILE%\Documents\GitHub\eaglep3-reporting\EC\2017-10-23-refined-times.txt</v>
      </c>
      <c r="AI229" s="96" t="str">
        <f t="shared" si="72"/>
        <v>echo {"issue":{"subject":"","project_id":79,"tracker_id":40,"status_id":1,"priority_id":2,"assigned_to_id":338,"start_date":"2017-10-23","description":"","custom_fields":[{"id":1,"name":"Subdivision","value":"Other"},{"id":4,"name":"Milepost","value":"2.4214"},{"id":17,"name":"Train ID","value":"903-23"},{"id":16,"name":"Locomotive ID","value":"4040"},{"id":130,"name":"Impact","value":""},{"id":150,"name":"Time of Event (Mountain Time)","value":"08:40:26"},{"id":151,"name":"Denver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9" s="47"/>
      <c r="AL229" s="47"/>
      <c r="AM229" s="142" t="str">
        <f t="shared" si="73"/>
        <v>start /low /b %USERPROFILE%\Documents\GitHub\eaglep3\Utilities\DownloadLogsFromS3.py --loco 4040 --day 2017-10-23</v>
      </c>
      <c r="AN229" s="151" t="str">
        <f t="shared" si="74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14:40:26"},{"id":29,"name":"Sharepoint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 s="168" t="str">
        <f t="shared" si="75"/>
        <v>https://d0f6bd738d7f1b3e5a7ca70fe4ff75f0.us-east-1.aws.found.io/app/kibana#/discover/Steve-Slow-Train-Analysis-(2080s-and-2083s)?_g=(refreshInterval:(display:Off,pause:!f,section:0,value:0),time:(from:'2017-10-23T07:30:39-0600',mode:absolute,to:'2017-10-23T09:40:26-0600'))&amp;_a=(columns:!('Message%20ID',Summary),filters:!(),index:'emp_*',interval:auto,query:(query_string:(analyze_wildcard:!t,query:'%22rtdc.l.rtdc.4040%22')),sort:!(Time.ISO8601,asc))</v>
      </c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3">
      <c r="A230" s="32" t="s">
        <v>649</v>
      </c>
      <c r="B230" s="7">
        <v>4040</v>
      </c>
      <c r="C230" s="21" t="s">
        <v>194</v>
      </c>
      <c r="D230" s="21" t="s">
        <v>1056</v>
      </c>
      <c r="E230" s="13">
        <v>43031.352511574078</v>
      </c>
      <c r="F230" s="13">
        <v>43031.355532407404</v>
      </c>
      <c r="G230" s="7">
        <v>59</v>
      </c>
      <c r="H230" s="21" t="s">
        <v>1057</v>
      </c>
      <c r="I230" s="13">
        <v>43031.36141203704</v>
      </c>
      <c r="J230" s="7">
        <v>0</v>
      </c>
      <c r="K230" s="89" t="str">
        <f>IF(ISEVEN(B230),(B230-1)&amp;"/"&amp;B230,B230&amp;"/"&amp;(B230+1))</f>
        <v>4039/4040</v>
      </c>
      <c r="L230" s="185" t="str">
        <f>VLOOKUP(A230,'Trips&amp;Operators'!$C$1:$G$99911,5,FALSE)</f>
        <v>MACDONALD THOMAS</v>
      </c>
      <c r="M230" s="6">
        <f>I230-F230</f>
        <v>5.8796296361833811E-3</v>
      </c>
      <c r="N230" s="7">
        <f>24*60*SUM($M230:$M230)</f>
        <v>8.4666666761040688</v>
      </c>
      <c r="O230" s="7"/>
      <c r="P230" s="7"/>
      <c r="Q230" s="22"/>
      <c r="R230" s="174"/>
      <c r="S230" s="221">
        <f>1/IF(AG230="EC",12,1)*SUM(U230:U230)</f>
        <v>0</v>
      </c>
      <c r="T230" s="174" t="str">
        <f>IF(ISEVEN(LEFT(AD230,4)),"Southbound","NorthBound")</f>
        <v>NorthBound</v>
      </c>
      <c r="U230" s="198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216" t="str">
        <f>"https://d0f6bd738d7f1b3e5a7ca70fe4ff75f0.us-east-1.aws.found.io/app/kibana#/discover/Steve-Slow-Train-Analysis-(2080s-and-2083s)?_g="&amp;"(refreshInterval:(display:Off,pause:!f,section:0,value:0),time:(from:'"&amp;TEXT(E230-1/24,"yyyy-MM-DDThh:mm:ss")&amp;utc_offset&amp;"00"&amp;"',mode:absolute,to:'"&amp;TEXT(I230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230&amp;"%22')),sort:!(Time.ISO8601,asc))"</f>
        <v>https://d0f6bd738d7f1b3e5a7ca70fe4ff75f0.us-east-1.aws.found.io/app/kibana#/discover/Steve-Slow-Train-Analysis-(2080s-and-2083s)?_g=(refreshInterval:(display:Off,pause:!f,section:0,value:0),time:(from:'2017-10-23T07:27:37-0600',mode:absolute,to:'2017-10-23T09:40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30" s="204" t="str">
        <f>IF(AA230&lt;VLOOKUP(AG230,Variables!$AC$3:$AD$8,2,FALSE),"Y","N")</f>
        <v>Y</v>
      </c>
      <c r="X230" s="204">
        <f>VALUE(LEFT(AD230,4))-VALUE(LEFT(AD229,4))</f>
        <v>0</v>
      </c>
      <c r="Y230" s="204">
        <f>RIGHT(D230,LEN(D230)-4)/10000</f>
        <v>0.1041</v>
      </c>
      <c r="Z230" s="204">
        <f>RIGHT(H230,LEN(H230)-4)/10000</f>
        <v>0.1913</v>
      </c>
      <c r="AA230" s="204">
        <f>ABS(Z230-Y230)</f>
        <v>8.72E-2</v>
      </c>
      <c r="AB230" s="54" t="e">
        <f>VLOOKUP(A230,Enforcements!$C$7:$K$11,8,0)</f>
        <v>#N/A</v>
      </c>
      <c r="AC230" s="51" t="e">
        <f>VLOOKUP(A230,Enforcements!$C$7:$E$11,3,0)</f>
        <v>#N/A</v>
      </c>
      <c r="AD230" s="179">
        <f>VALUE(LEFT(A230,LEN(A230)-3))</f>
        <v>903</v>
      </c>
      <c r="AE230" s="77" t="str">
        <f>"aws s3 cp "&amp;s3_bucket&amp;"/RTDC"&amp;B230&amp;"/ "&amp;search_path&amp;"\RTDC"&amp;B230&amp;"\"&amp;TEXT(F230,"YYYY-MM-DD")&amp;" --exclude ""*"" --recursive --include ""*"&amp;TEXT(F230,"YYYYMMDD")&amp;"*"" &amp; """&amp;walkandungz&amp;""" "&amp;search_path&amp;"\RTDC"&amp;B230&amp;"\"&amp;TEXT(F230,"YYYY-MM-DD")
&amp;" &amp; "&amp;"aws s3 cp "&amp;s3_bucket&amp;"/RTDC"&amp;B230&amp;"/ "&amp;search_path&amp;"\RTDC"&amp;B230&amp;"\"&amp;TEXT(F230+1,"YYYY-MM-DD")&amp;" --exclude ""*"" --recursive --include ""*"&amp;TEXT(F230+1,"YYYYMMDD")&amp;"*"" &amp; """&amp;walkandungz&amp;""" "&amp;search_path&amp;"\RTDC"&amp;B230&amp;"\"&amp;TEXT(F230+1,"YYYY-MM-DD")</f>
        <v>aws s3 cp s3://rtdc.mdm.uploadarchive.raw/RTDC4040/ "%USERPROFILE%\AppData\Local\Temp\OnboardLogs"\RTDC4040\2017-10-23 --exclude "*" --recursive --include "*20171023*" &amp; "%USERPROFILE%\Documents\GitHub\mrs-test-scripts\Headless Mode &amp; Sideloading\WalkAndUnGZ.bat" "%USERPROFILE%\AppData\Local\Temp\OnboardLogs"\RTDC4040\2017-10-23 &amp; aws s3 cp s3://rtdc.mdm.uploadarchive.raw/RTDC4040/ "%USERPROFILE%\AppData\Local\Temp\OnboardLogs"\RTDC4040\2017-10-24 --exclude "*" --recursive --include "*20171024*" &amp; "%USERPROFILE%\Documents\GitHub\mrs-test-scripts\Headless Mode &amp; Sideloading\WalkAndUnGZ.bat" "%USERPROFILE%\AppData\Local\Temp\OnboardLogs"\RTDC4040\2017-10-24</v>
      </c>
      <c r="AF230" s="74" t="str">
        <f>astrogrep_path&amp;" /e /r /s /spath="&amp;search_path&amp;" /stypes=""app*"&amp;B230&amp;"*"&amp;TEXT(I230-utc_offset/24,"YYYYMMDD")&amp;"*"" /stext="" "&amp;TEXT(I230-utc_offset/24,"HH")&amp;search_regexp&amp;""""</f>
        <v>"C:\Program Files (x86)\AstroGrep\AstroGrep.exe" /e /r /s /spath="%USERPROFILE%\AppData\Local\Temp\OnboardLogs" /stypes="app*4040*20171023*" /stext=" 14:.+((SYSTEM_STATE.+slice.+state.+changed )|(ment ac)|(multiple cpu faults)|(system.+state.+changed )|(\[timeout)|(PRM\|1\|D)|(kpr)|(kdp)|(train st.+moving)|(\|lc)|(penalty))"</v>
      </c>
      <c r="AG230" s="182" t="str">
        <f>DetSubdiv(A230)</f>
        <v>Other</v>
      </c>
      <c r="AH230" s="78" t="str">
        <f t="shared" si="71"/>
        <v>"%USERPROFILE%\Documents\GitHub\eaglep3\Utilities\RefineRTDCRunTimes.py" --tripid 903-23 --locoid 4040 --swversion DE.1.0.9.0 --startMP 204:1041 --initTime 2017-10-23T08:27:37 --startdatetime 2017-10-23T08:31:58 --delay 59 --endMP 204:1913 --enddatetime 2017-10-23T08:40:26 --enforcementcount 0 &gt;&gt;%USERPROFILE%\Documents\GitHub\eaglep3-reporting\EC\2017-10-23-refined-times.txt</v>
      </c>
      <c r="AI230" s="96" t="str">
        <f t="shared" si="72"/>
        <v>echo {"issue":{"subject":"","project_id":79,"tracker_id":40,"status_id":1,"priority_id":2,"assigned_to_id":338,"start_date":"2017-10-23","description":"","custom_fields":[{"id":1,"name":"Subdivision","value":"Other"},{"id":4,"name":"Milepost","value":"0.1913"},{"id":17,"name":"Train ID","value":"903-23"},{"id":16,"name":"Locomotive ID","value":"4040"},{"id":130,"name":"Impact","value":""},{"id":150,"name":"Time of Event (Mountain Time)","value":"08:40:26"},{"id":151,"name":"Denver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0" s="47"/>
      <c r="AL230" s="47"/>
      <c r="AM230" s="142" t="str">
        <f t="shared" si="73"/>
        <v>start /low /b %USERPROFILE%\Documents\GitHub\eaglep3\Utilities\DownloadLogsFromS3.py --loco 4040 --day 2017-10-23</v>
      </c>
      <c r="AN230" s="151" t="str">
        <f t="shared" si="74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14:40:26"},{"id":29,"name":"Sharepoint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 s="168" t="str">
        <f t="shared" si="75"/>
        <v>https://d0f6bd738d7f1b3e5a7ca70fe4ff75f0.us-east-1.aws.found.io/app/kibana#/discover/Steve-Slow-Train-Analysis-(2080s-and-2083s)?_g=(refreshInterval:(display:Off,pause:!f,section:0,value:0),time:(from:'2017-10-23T07:27:37-0600',mode:absolute,to:'2017-10-23T09:40:26-0600'))&amp;_a=(columns:!('Message%20ID',Summary),filters:!(),index:'emp_*',interval:auto,query:(query_string:(analyze_wildcard:!t,query:'%22rtdc.l.rtdc.4040%22')),sort:!(Time.ISO8601,asc))</v>
      </c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3">
      <c r="A231" s="32" t="s">
        <v>662</v>
      </c>
      <c r="B231" s="7">
        <v>4039</v>
      </c>
      <c r="C231" s="21" t="s">
        <v>194</v>
      </c>
      <c r="D231" s="21" t="s">
        <v>1058</v>
      </c>
      <c r="E231" s="13">
        <v>43031.636886574073</v>
      </c>
      <c r="F231" s="13">
        <v>43031.638854166667</v>
      </c>
      <c r="G231" s="7">
        <v>70</v>
      </c>
      <c r="H231" s="21" t="s">
        <v>1059</v>
      </c>
      <c r="I231" s="13">
        <v>43031.643969907411</v>
      </c>
      <c r="J231" s="7">
        <v>0</v>
      </c>
      <c r="K231" s="89" t="str">
        <f>IF(ISEVEN(B231),(B231-1)&amp;"/"&amp;B231,B231&amp;"/"&amp;(B231+1))</f>
        <v>4039/4040</v>
      </c>
      <c r="L231" s="185" t="str">
        <f>VLOOKUP(A231,'Trips&amp;Operators'!$C$1:$G$99911,5,FALSE)</f>
        <v>STAMBAUGH JAMES</v>
      </c>
      <c r="M231" s="6">
        <f>I231-F231</f>
        <v>5.1157407433493063E-3</v>
      </c>
      <c r="N231" s="7">
        <f>24*60*SUM($M231:$M231)</f>
        <v>7.3666666704230011</v>
      </c>
      <c r="O231" s="7"/>
      <c r="P231" s="7"/>
      <c r="Q231" s="22"/>
      <c r="R231" s="174"/>
      <c r="S231" s="221">
        <f>1/IF(AG231="EC",12,1)*SUM(U231:U231)</f>
        <v>1</v>
      </c>
      <c r="T231" s="174" t="str">
        <f>IF(ISEVEN(LEFT(AD231,4)),"Southbound","NorthBound")</f>
        <v>Southbound</v>
      </c>
      <c r="U231" s="198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1</v>
      </c>
      <c r="V231" s="216" t="str">
        <f>"https://d0f6bd738d7f1b3e5a7ca70fe4ff75f0.us-east-1.aws.found.io/app/kibana#/discover/Steve-Slow-Train-Analysis-(2080s-and-2083s)?_g="&amp;"(refreshInterval:(display:Off,pause:!f,section:0,value:0),time:(from:'"&amp;TEXT(E231-1/24,"yyyy-MM-DDThh:mm:ss")&amp;utc_offset&amp;"00"&amp;"',mode:absolute,to:'"&amp;TEXT(I231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231&amp;"%22')),sort:!(Time.ISO8601,asc))"</f>
        <v>https://d0f6bd738d7f1b3e5a7ca70fe4ff75f0.us-east-1.aws.found.io/app/kibana#/discover/Steve-Slow-Train-Analysis-(2080s-and-2083s)?_g=(refreshInterval:(display:Off,pause:!f,section:0,value:0),time:(from:'2017-10-23T14:17:07-0600',mode:absolute,to:'2017-10-23T16:27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31" s="204" t="str">
        <f>IF(AA231&lt;VLOOKUP(AG231,Variables!$AC$3:$AD$8,2,FALSE),"Y","N")</f>
        <v>Y</v>
      </c>
      <c r="X231" s="204">
        <f>VALUE(LEFT(AD231,4))-VALUE(LEFT(AD230,4))</f>
        <v>1</v>
      </c>
      <c r="Y231" s="204">
        <f>RIGHT(D231,LEN(D231)-4)/10000</f>
        <v>2.3696999999999999</v>
      </c>
      <c r="Z231" s="204">
        <f>RIGHT(H231,LEN(H231)-4)/10000</f>
        <v>6.8000000000000005E-2</v>
      </c>
      <c r="AA231" s="204">
        <f>ABS(Z231-Y231)</f>
        <v>2.3016999999999999</v>
      </c>
      <c r="AB231" s="54" t="e">
        <f>VLOOKUP(A231,Enforcements!$C$7:$K$11,8,0)</f>
        <v>#N/A</v>
      </c>
      <c r="AC231" s="51" t="e">
        <f>VLOOKUP(A231,Enforcements!$C$7:$E$11,3,0)</f>
        <v>#N/A</v>
      </c>
      <c r="AD231" s="179">
        <f>VALUE(LEFT(A231,LEN(A231)-3))</f>
        <v>904</v>
      </c>
      <c r="AE231" s="77" t="str">
        <f>"aws s3 cp "&amp;s3_bucket&amp;"/RTDC"&amp;B231&amp;"/ "&amp;search_path&amp;"\RTDC"&amp;B231&amp;"\"&amp;TEXT(F231,"YYYY-MM-DD")&amp;" --exclude ""*"" --recursive --include ""*"&amp;TEXT(F231,"YYYYMMDD")&amp;"*"" &amp; """&amp;walkandungz&amp;""" "&amp;search_path&amp;"\RTDC"&amp;B231&amp;"\"&amp;TEXT(F231,"YYYY-MM-DD")
&amp;" &amp; "&amp;"aws s3 cp "&amp;s3_bucket&amp;"/RTDC"&amp;B231&amp;"/ "&amp;search_path&amp;"\RTDC"&amp;B231&amp;"\"&amp;TEXT(F231+1,"YYYY-MM-DD")&amp;" --exclude ""*"" --recursive --include ""*"&amp;TEXT(F231+1,"YYYYMMDD")&amp;"*"" &amp; """&amp;walkandungz&amp;""" "&amp;search_path&amp;"\RTDC"&amp;B231&amp;"\"&amp;TEXT(F231+1,"YYYY-MM-DD")</f>
        <v>aws s3 cp s3://rtdc.mdm.uploadarchive.raw/RTDC4039/ "%USERPROFILE%\AppData\Local\Temp\OnboardLogs"\RTDC4039\2017-10-23 --exclude "*" --recursive --include "*20171023*" &amp; "%USERPROFILE%\Documents\GitHub\mrs-test-scripts\Headless Mode &amp; Sideloading\WalkAndUnGZ.bat" "%USERPROFILE%\AppData\Local\Temp\OnboardLogs"\RTDC4039\2017-10-23 &amp; aws s3 cp s3://rtdc.mdm.uploadarchive.raw/RTDC4039/ "%USERPROFILE%\AppData\Local\Temp\OnboardLogs"\RTDC4039\2017-10-24 --exclude "*" --recursive --include "*20171024*" &amp; "%USERPROFILE%\Documents\GitHub\mrs-test-scripts\Headless Mode &amp; Sideloading\WalkAndUnGZ.bat" "%USERPROFILE%\AppData\Local\Temp\OnboardLogs"\RTDC4039\2017-10-24</v>
      </c>
      <c r="AF231" s="74" t="str">
        <f>astrogrep_path&amp;" /e /r /s /spath="&amp;search_path&amp;" /stypes=""app*"&amp;B231&amp;"*"&amp;TEXT(I231-utc_offset/24,"YYYYMMDD")&amp;"*"" /stext="" "&amp;TEXT(I231-utc_offset/24,"HH")&amp;search_regexp&amp;""""</f>
        <v>"C:\Program Files (x86)\AstroGrep\AstroGrep.exe" /e /r /s /spath="%USERPROFILE%\AppData\Local\Temp\OnboardLogs" /stypes="app*4039*20171023*" /stext=" 21:.+((SYSTEM_STATE.+slice.+state.+changed )|(ment ac)|(multiple cpu faults)|(system.+state.+changed )|(\[timeout)|(PRM\|1\|D)|(kpr)|(kdp)|(train st.+moving)|(\|lc)|(penalty))"</v>
      </c>
      <c r="AG231" s="182" t="str">
        <f>DetSubdiv(A231)</f>
        <v>Other</v>
      </c>
      <c r="AH231" s="78" t="str">
        <f t="shared" si="71"/>
        <v>"%USERPROFILE%\Documents\GitHub\eaglep3\Utilities\RefineRTDCRunTimes.py" --tripid 904-23 --locoid 4039 --swversion DE.1.0.9.0 --startMP 300:23697 --initTime 2017-10-23T15:17:07 --startdatetime 2017-10-23T15:19:57 --delay 70 --endMP 204:680 --enddatetime 2017-10-23T15:27:19 --enforcementcount 0 &gt;&gt;%USERPROFILE%\Documents\GitHub\eaglep3-reporting\EC\2017-10-23-refined-times.txt</v>
      </c>
      <c r="AI231" s="96" t="str">
        <f t="shared" si="72"/>
        <v>echo {"issue":{"subject":"","project_id":79,"tracker_id":40,"status_id":1,"priority_id":2,"assigned_to_id":338,"start_date":"2017-10-23","description":"","custom_fields":[{"id":1,"name":"Subdivision","value":"Other"},{"id":4,"name":"Milepost","value":"0.068"},{"id":17,"name":"Train ID","value":"904-23"},{"id":16,"name":"Locomotive ID","value":"4039"},{"id":130,"name":"Impact","value":""},{"id":150,"name":"Time of Event (Mountain Time)","value":"15:27:19"},{"id":151,"name":"Denver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1" s="47"/>
      <c r="AL231" s="47"/>
      <c r="AM231" s="142" t="str">
        <f t="shared" si="73"/>
        <v>start /low /b %USERPROFILE%\Documents\GitHub\eaglep3\Utilities\DownloadLogsFromS3.py --loco 4039 --day 2017-10-23</v>
      </c>
      <c r="AN231" s="151" t="str">
        <f t="shared" si="74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21:27:19"},{"id":29,"name":"Sharepoint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 s="168" t="str">
        <f t="shared" si="75"/>
        <v>https://d0f6bd738d7f1b3e5a7ca70fe4ff75f0.us-east-1.aws.found.io/app/kibana#/discover/Steve-Slow-Train-Analysis-(2080s-and-2083s)?_g=(refreshInterval:(display:Off,pause:!f,section:0,value:0),time:(from:'2017-10-23T14:17:07-0600',mode:absolute,to:'2017-10-23T16:27:19-0600'))&amp;_a=(columns:!('Message%20ID',Summary),filters:!(),index:'emp_*',interval:auto,query:(query_string:(analyze_wildcard:!t,query:'%22rtdc.l.rtdc.4039%22')),sort:!(Time.ISO8601,asc))</v>
      </c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3">
      <c r="A232" s="32" t="s">
        <v>886</v>
      </c>
      <c r="B232" s="7">
        <v>4059</v>
      </c>
      <c r="C232" s="21" t="s">
        <v>194</v>
      </c>
      <c r="D232" s="21" t="s">
        <v>1060</v>
      </c>
      <c r="E232" s="13">
        <v>43031.973969907405</v>
      </c>
      <c r="F232" s="13">
        <v>43031.974965277775</v>
      </c>
      <c r="G232" s="7">
        <v>46</v>
      </c>
      <c r="H232" s="21" t="s">
        <v>1061</v>
      </c>
      <c r="I232" s="13">
        <v>43031.98133101852</v>
      </c>
      <c r="J232" s="7">
        <v>0</v>
      </c>
      <c r="K232" s="89" t="str">
        <f>IF(ISEVEN(B232),(B232-1)&amp;"/"&amp;B232,B232&amp;"/"&amp;(B232+1))</f>
        <v>4059/4060</v>
      </c>
      <c r="L232" s="185" t="str">
        <f>VLOOKUP(A232,'Trips&amp;Operators'!$C$1:$G$99911,5,FALSE)</f>
        <v>STAMBAUGH JAMES</v>
      </c>
      <c r="M232" s="6">
        <f>I232-F232</f>
        <v>6.3657407445134595E-3</v>
      </c>
      <c r="N232" s="7">
        <f>24*60*SUM($M232:$M232)</f>
        <v>9.1666666720993817</v>
      </c>
      <c r="O232" s="7"/>
      <c r="P232" s="7"/>
      <c r="Q232" s="22"/>
      <c r="R232" s="174"/>
      <c r="S232" s="221">
        <f>1/IF(AG232="EC",12,1)*SUM(U232:U232)</f>
        <v>0</v>
      </c>
      <c r="T232" s="174" t="str">
        <f>IF(ISEVEN(LEFT(AD232,4)),"Southbound","NorthBound")</f>
        <v>Southbound</v>
      </c>
      <c r="U232" s="198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216" t="str">
        <f>"https://d0f6bd738d7f1b3e5a7ca70fe4ff75f0.us-east-1.aws.found.io/app/kibana#/discover/Steve-Slow-Train-Analysis-(2080s-and-2083s)?_g="&amp;"(refreshInterval:(display:Off,pause:!f,section:0,value:0),time:(from:'"&amp;TEXT(E232-1/24,"yyyy-MM-DDThh:mm:ss")&amp;utc_offset&amp;"00"&amp;"',mode:absolute,to:'"&amp;TEXT(I232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232&amp;"%22')),sort:!(Time.ISO8601,asc))"</f>
        <v>https://d0f6bd738d7f1b3e5a7ca70fe4ff75f0.us-east-1.aws.found.io/app/kibana#/discover/Steve-Slow-Train-Analysis-(2080s-and-2083s)?_g=(refreshInterval:(display:Off,pause:!f,section:0,value:0),time:(from:'2017-10-23T22:22:31-0600',mode:absolute,to:'2017-10-24T00:33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32" s="204" t="str">
        <f>IF(AA232&lt;VLOOKUP(AG232,Variables!$AC$3:$AD$8,2,FALSE),"Y","N")</f>
        <v>Y</v>
      </c>
      <c r="X232" s="204">
        <f>VALUE(LEFT(AD232,4))-VALUE(LEFT(AD231,4))</f>
        <v>4</v>
      </c>
      <c r="Y232" s="204">
        <f>RIGHT(D232,LEN(D232)-4)/10000</f>
        <v>5.8623000000000003</v>
      </c>
      <c r="Z232" s="204">
        <f>RIGHT(H232,LEN(H232)-4)/10000</f>
        <v>2.8772000000000002</v>
      </c>
      <c r="AA232" s="204">
        <f>ABS(Z232-Y232)</f>
        <v>2.9851000000000001</v>
      </c>
      <c r="AB232" s="54" t="e">
        <f>VLOOKUP(A232,Enforcements!$C$7:$K$11,8,0)</f>
        <v>#N/A</v>
      </c>
      <c r="AC232" s="51" t="e">
        <f>VLOOKUP(A232,Enforcements!$C$7:$E$11,3,0)</f>
        <v>#N/A</v>
      </c>
      <c r="AD232" s="179">
        <f>VALUE(LEFT(A232,LEN(A232)-3))</f>
        <v>908</v>
      </c>
      <c r="AE232" s="77" t="str">
        <f>"aws s3 cp "&amp;s3_bucket&amp;"/RTDC"&amp;B232&amp;"/ "&amp;search_path&amp;"\RTDC"&amp;B232&amp;"\"&amp;TEXT(F232,"YYYY-MM-DD")&amp;" --exclude ""*"" --recursive --include ""*"&amp;TEXT(F232,"YYYYMMDD")&amp;"*"" &amp; """&amp;walkandungz&amp;""" "&amp;search_path&amp;"\RTDC"&amp;B232&amp;"\"&amp;TEXT(F232,"YYYY-MM-DD")
&amp;" &amp; "&amp;"aws s3 cp "&amp;s3_bucket&amp;"/RTDC"&amp;B232&amp;"/ "&amp;search_path&amp;"\RTDC"&amp;B232&amp;"\"&amp;TEXT(F232+1,"YYYY-MM-DD")&amp;" --exclude ""*"" --recursive --include ""*"&amp;TEXT(F232+1,"YYYYMMDD")&amp;"*"" &amp; """&amp;walkandungz&amp;""" "&amp;search_path&amp;"\RTDC"&amp;B232&amp;"\"&amp;TEXT(F232+1,"YYYY-MM-DD")</f>
        <v>aws s3 cp s3://rtdc.mdm.uploadarchive.raw/RTDC4059/ "%USERPROFILE%\AppData\Local\Temp\OnboardLogs"\RTDC4059\2017-10-23 --exclude "*" --recursive --include "*20171023*" &amp; "%USERPROFILE%\Documents\GitHub\mrs-test-scripts\Headless Mode &amp; Sideloading\WalkAndUnGZ.bat" "%USERPROFILE%\AppData\Local\Temp\OnboardLogs"\RTDC4059\2017-10-23 &amp; aws s3 cp s3://rtdc.mdm.uploadarchive.raw/RTDC4059/ "%USERPROFILE%\AppData\Local\Temp\OnboardLogs"\RTDC4059\2017-10-24 --exclude "*" --recursive --include "*20171024*" &amp; "%USERPROFILE%\Documents\GitHub\mrs-test-scripts\Headless Mode &amp; Sideloading\WalkAndUnGZ.bat" "%USERPROFILE%\AppData\Local\Temp\OnboardLogs"\RTDC4059\2017-10-24</v>
      </c>
      <c r="AF232" s="74" t="str">
        <f>astrogrep_path&amp;" /e /r /s /spath="&amp;search_path&amp;" /stypes=""app*"&amp;B232&amp;"*"&amp;TEXT(I232-utc_offset/24,"YYYYMMDD")&amp;"*"" /stext="" "&amp;TEXT(I232-utc_offset/24,"HH")&amp;search_regexp&amp;""""</f>
        <v>"C:\Program Files (x86)\AstroGrep\AstroGrep.exe" /e /r /s /spath="%USERPROFILE%\AppData\Local\Temp\OnboardLogs" /stypes="app*4059*20171024*" /stext=" 05:.+((SYSTEM_STATE.+slice.+state.+changed )|(ment ac)|(multiple cpu faults)|(system.+state.+changed )|(\[timeout)|(PRM\|1\|D)|(kpr)|(kdp)|(train st.+moving)|(\|lc)|(penalty))"</v>
      </c>
      <c r="AG232" s="182" t="str">
        <f>DetSubdiv(A232)</f>
        <v>Other</v>
      </c>
      <c r="AH232" s="78" t="str">
        <f t="shared" si="71"/>
        <v>"%USERPROFILE%\Documents\GitHub\eaglep3\Utilities\RefineRTDCRunTimes.py" --tripid 908-23 --locoid 4059 --swversion DE.1.0.9.0 --startMP 300:58623 --initTime 2017-10-23T23:22:31 --startdatetime 2017-10-23T23:23:57 --delay 46 --endMP 300:28772 --enddatetime 2017-10-23T23:33:07 --enforcementcount 0 &gt;&gt;%USERPROFILE%\Documents\GitHub\eaglep3-reporting\EC\2017-10-23-refined-times.txt</v>
      </c>
      <c r="AI232" s="96" t="str">
        <f t="shared" si="72"/>
        <v>echo {"issue":{"subject":"","project_id":79,"tracker_id":40,"status_id":1,"priority_id":2,"assigned_to_id":338,"start_date":"2017-10-23","description":"","custom_fields":[{"id":1,"name":"Subdivision","value":"Other"},{"id":4,"name":"Milepost","value":"2.8772"},{"id":17,"name":"Train ID","value":"908-23"},{"id":16,"name":"Locomotive ID","value":"4059"},{"id":130,"name":"Impact","value":""},{"id":150,"name":"Time of Event (Mountain Time)","value":"23:33:07"},{"id":151,"name":"Denver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2" s="47"/>
      <c r="AL232" s="47"/>
      <c r="AM232" s="142" t="str">
        <f t="shared" si="73"/>
        <v>start /low /b %USERPROFILE%\Documents\GitHub\eaglep3\Utilities\DownloadLogsFromS3.py --loco 4059 --day 2017-10-23</v>
      </c>
      <c r="AN232" s="151" t="str">
        <f t="shared" si="74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05:33:07"},{"id":29,"name":"Sharepoint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 s="168" t="str">
        <f t="shared" si="75"/>
        <v>https://d0f6bd738d7f1b3e5a7ca70fe4ff75f0.us-east-1.aws.found.io/app/kibana#/discover/Steve-Slow-Train-Analysis-(2080s-and-2083s)?_g=(refreshInterval:(display:Off,pause:!f,section:0,value:0),time:(from:'2017-10-23T22:22:31-0600',mode:absolute,to:'2017-10-24T00:33:07-0600'))&amp;_a=(columns:!('Message%20ID',Summary),filters:!(),index:'emp_*',interval:auto,query:(query_string:(analyze_wildcard:!t,query:'%22rtdc.l.rtdc.4059%22')),sort:!(Time.ISO8601,asc))</v>
      </c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3">
      <c r="A233" s="32" t="s">
        <v>685</v>
      </c>
      <c r="B233" s="7">
        <v>4004</v>
      </c>
      <c r="C233" s="21" t="s">
        <v>194</v>
      </c>
      <c r="D233" s="21" t="s">
        <v>461</v>
      </c>
      <c r="E233" s="13">
        <v>43031.137777777774</v>
      </c>
      <c r="F233" s="13">
        <v>43031.139027777775</v>
      </c>
      <c r="G233" s="7">
        <v>58</v>
      </c>
      <c r="H233" s="21" t="s">
        <v>970</v>
      </c>
      <c r="I233" s="13">
        <v>43031.140092592592</v>
      </c>
      <c r="J233" s="7">
        <v>0</v>
      </c>
      <c r="K233" s="89" t="str">
        <f>IF(ISEVEN(B233),(B233-1)&amp;"/"&amp;B233,B233&amp;"/"&amp;(B233+1))</f>
        <v>4003/4004</v>
      </c>
      <c r="L233" s="185" t="str">
        <f>VLOOKUP(A233,'Trips&amp;Operators'!$C$1:$G$99911,5,FALSE)</f>
        <v>STARKS ANGELINA</v>
      </c>
      <c r="M233" s="6">
        <f>I233-F233</f>
        <v>1.0648148163454607E-3</v>
      </c>
      <c r="N233" s="7">
        <f>24*60*SUM($M233:$M233)</f>
        <v>1.5333333355374634</v>
      </c>
      <c r="O233" s="7"/>
      <c r="P233" s="7"/>
      <c r="Q233" s="22"/>
      <c r="R233" s="174"/>
      <c r="S233" s="221">
        <f>1/IF(AG233="EC",12,1)*SUM(U233:U233)</f>
        <v>0</v>
      </c>
      <c r="T233" s="174" t="str">
        <f>IF(ISEVEN(LEFT(AD233,4)),"Southbound","NorthBound")</f>
        <v>NorthBound</v>
      </c>
      <c r="U233" s="198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216" t="str">
        <f>"https://d0f6bd738d7f1b3e5a7ca70fe4ff75f0.us-east-1.aws.found.io/app/kibana#/discover/Steve-Slow-Train-Analysis-(2080s-and-2083s)?_g="&amp;"(refreshInterval:(display:Off,pause:!f,section:0,value:0),time:(from:'"&amp;TEXT(E233-1/24,"yyyy-MM-DDThh:mm:ss")&amp;utc_offset&amp;"00"&amp;"',mode:absolute,to:'"&amp;TEXT(I233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233&amp;"%22')),sort:!(Time.ISO8601,asc))"</f>
        <v>https://d0f6bd738d7f1b3e5a7ca70fe4ff75f0.us-east-1.aws.found.io/app/kibana#/discover/Steve-Slow-Train-Analysis-(2080s-and-2083s)?_g=(refreshInterval:(display:Off,pause:!f,section:0,value:0),time:(from:'2017-10-23T02:18:24-0600',mode:absolute,to:'2017-10-23T04:21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33" s="204" t="str">
        <f>IF(AA233&lt;VLOOKUP(AG233,Variables!$AC$3:$AD$8,2,FALSE),"Y","N")</f>
        <v>Y</v>
      </c>
      <c r="X233" s="204">
        <f>VALUE(LEFT(AD233,4))-VALUE(LEFT(AD232,4))</f>
        <v>-857</v>
      </c>
      <c r="Y233" s="204">
        <f>RIGHT(D233,LEN(D233)-4)/10000</f>
        <v>4.6600000000000003E-2</v>
      </c>
      <c r="Z233" s="204">
        <f>RIGHT(H233,LEN(H233)-4)/10000</f>
        <v>0.35580000000000001</v>
      </c>
      <c r="AA233" s="204">
        <f>ABS(Z233-Y233)</f>
        <v>0.30920000000000003</v>
      </c>
      <c r="AB233" s="54" t="e">
        <f>VLOOKUP(A233,Enforcements!$C$7:$K$11,8,0)</f>
        <v>#N/A</v>
      </c>
      <c r="AC233" s="51" t="e">
        <f>VLOOKUP(A233,Enforcements!$C$7:$E$11,3,0)</f>
        <v>#N/A</v>
      </c>
      <c r="AD233" s="179">
        <f>VALUE(LEFT(A233,LEN(A233)-3))</f>
        <v>51</v>
      </c>
      <c r="AE233" s="77" t="str">
        <f>"aws s3 cp "&amp;s3_bucket&amp;"/RTDC"&amp;B233&amp;"/ "&amp;search_path&amp;"\RTDC"&amp;B233&amp;"\"&amp;TEXT(F233,"YYYY-MM-DD")&amp;" --exclude ""*"" --recursive --include ""*"&amp;TEXT(F233,"YYYYMMDD")&amp;"*"" &amp; """&amp;walkandungz&amp;""" "&amp;search_path&amp;"\RTDC"&amp;B233&amp;"\"&amp;TEXT(F233,"YYYY-MM-DD")
&amp;" &amp; "&amp;"aws s3 cp "&amp;s3_bucket&amp;"/RTDC"&amp;B233&amp;"/ "&amp;search_path&amp;"\RTDC"&amp;B233&amp;"\"&amp;TEXT(F233+1,"YYYY-MM-DD")&amp;" --exclude ""*"" --recursive --include ""*"&amp;TEXT(F233+1,"YYYYMMDD")&amp;"*"" &amp; """&amp;walkandungz&amp;""" "&amp;search_path&amp;"\RTDC"&amp;B233&amp;"\"&amp;TEXT(F233+1,"YYYY-MM-DD")</f>
        <v>aws s3 cp s3://rtdc.mdm.uploadarchive.raw/RTDC4004/ "%USERPROFILE%\AppData\Local\Temp\OnboardLogs"\RTDC4004\2017-10-23 --exclude "*" --recursive --include "*20171023*" &amp; "%USERPROFILE%\Documents\GitHub\mrs-test-scripts\Headless Mode &amp; Sideloading\WalkAndUnGZ.bat" "%USERPROFILE%\AppData\Local\Temp\OnboardLogs"\RTDC4004\2017-10-23 &amp; aws s3 cp s3://rtdc.mdm.uploadarchive.raw/RTDC4004/ "%USERPROFILE%\AppData\Local\Temp\OnboardLogs"\RTDC4004\2017-10-24 --exclude "*" --recursive --include "*20171024*" &amp; "%USERPROFILE%\Documents\GitHub\mrs-test-scripts\Headless Mode &amp; Sideloading\WalkAndUnGZ.bat" "%USERPROFILE%\AppData\Local\Temp\OnboardLogs"\RTDC4004\2017-10-24</v>
      </c>
      <c r="AF233" s="74" t="str">
        <f>astrogrep_path&amp;" /e /r /s /spath="&amp;search_path&amp;" /stypes=""app*"&amp;B233&amp;"*"&amp;TEXT(I233-utc_offset/24,"YYYYMMDD")&amp;"*"" /stext="" "&amp;TEXT(I233-utc_offset/24,"HH")&amp;search_regexp&amp;""""</f>
        <v>"C:\Program Files (x86)\AstroGrep\AstroGrep.exe" /e /r /s /spath="%USERPROFILE%\AppData\Local\Temp\OnboardLogs" /stypes="app*4004*20171023*" /stext=" 09:.+((SYSTEM_STATE.+slice.+state.+changed )|(ment ac)|(multiple cpu faults)|(system.+state.+changed )|(\[timeout)|(PRM\|1\|D)|(kpr)|(kdp)|(train st.+moving)|(\|lc)|(penalty))"</v>
      </c>
      <c r="AG233" s="182" t="str">
        <f>DetSubdiv(A233)</f>
        <v>Shuttle/Test</v>
      </c>
      <c r="AH233" s="78" t="str">
        <f t="shared" si="71"/>
        <v>"%USERPROFILE%\Documents\GitHub\eaglep3\Utilities\RefineRTDCRunTimes.py" --tripid 51-23 --locoid 4004 --swversion DE.1.0.9.0 --startMP 204:466 --initTime 2017-10-23T03:18:24 --startdatetime 2017-10-23T03:20:12 --delay 58 --endMP 204:3558 --enddatetime 2017-10-23T03:21:44 --enforcementcount 0 &gt;&gt;%USERPROFILE%\Documents\GitHub\eaglep3-reporting\EC\2017-10-23-refined-times.txt</v>
      </c>
      <c r="AI233" s="96" t="str">
        <f t="shared" si="72"/>
        <v>echo {"issue":{"subject":"","project_id":79,"tracker_id":40,"status_id":1,"priority_id":2,"assigned_to_id":338,"start_date":"2017-10-23","description":"","custom_fields":[{"id":1,"name":"Subdivision","value":"Shuttle/Test"},{"id":4,"name":"Milepost","value":"0.3558"},{"id":17,"name":"Train ID","value":"51-23"},{"id":16,"name":"Locomotive ID","value":"4004"},{"id":130,"name":"Impact","value":""},{"id":150,"name":"Time of Event (Mountain Time)","value":"03:21:44"},{"id":151,"name":"Denver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3" s="47"/>
      <c r="AL233" s="47"/>
      <c r="AM233" s="142" t="str">
        <f t="shared" si="73"/>
        <v>start /low /b %USERPROFILE%\Documents\GitHub\eaglep3\Utilities\DownloadLogsFromS3.py --loco 4004 --day 2017-10-23</v>
      </c>
      <c r="AN233" s="151" t="str">
        <f t="shared" si="74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09:21:44"},{"id":29,"name":"Sharepoint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 s="168" t="str">
        <f t="shared" si="75"/>
        <v>https://d0f6bd738d7f1b3e5a7ca70fe4ff75f0.us-east-1.aws.found.io/app/kibana#/discover/Steve-Slow-Train-Analysis-(2080s-and-2083s)?_g=(refreshInterval:(display:Off,pause:!f,section:0,value:0),time:(from:'2017-10-23T02:18:24-0600',mode:absolute,to:'2017-10-23T04:21:44-0600'))&amp;_a=(columns:!('Message%20ID',Summary),filters:!(),index:'emp_*',interval:auto,query:(query_string:(analyze_wildcard:!t,query:'%22rtdc.l.rtdc.4004%22')),sort:!(Time.ISO8601,asc))</v>
      </c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3">
      <c r="A234" s="32" t="s">
        <v>691</v>
      </c>
      <c r="B234" s="7">
        <v>4003</v>
      </c>
      <c r="C234" s="21" t="s">
        <v>194</v>
      </c>
      <c r="D234" s="21" t="s">
        <v>971</v>
      </c>
      <c r="E234" s="13">
        <v>43031.141180555554</v>
      </c>
      <c r="F234" s="13">
        <v>43031.142488425925</v>
      </c>
      <c r="G234" s="7">
        <v>64</v>
      </c>
      <c r="H234" s="21" t="s">
        <v>972</v>
      </c>
      <c r="I234" s="13">
        <v>43031.143969907411</v>
      </c>
      <c r="J234" s="7">
        <v>0</v>
      </c>
      <c r="K234" s="89" t="str">
        <f>IF(ISEVEN(B234),(B234-1)&amp;"/"&amp;B234,B234&amp;"/"&amp;(B234+1))</f>
        <v>4003/4004</v>
      </c>
      <c r="L234" s="185" t="str">
        <f>VLOOKUP(A234,'Trips&amp;Operators'!$C$1:$G$99911,5,FALSE)</f>
        <v>STARKS ANGELINA</v>
      </c>
      <c r="M234" s="6">
        <f>I234-F234</f>
        <v>1.4814814858254977E-3</v>
      </c>
      <c r="N234" s="7">
        <f>24*60*SUM($M234:$M234)</f>
        <v>2.1333333395887166</v>
      </c>
      <c r="O234" s="7"/>
      <c r="P234" s="7"/>
      <c r="Q234" s="22"/>
      <c r="R234" s="174"/>
      <c r="S234" s="221">
        <f>1/IF(AG234="EC",12,1)*SUM(U234:U234)</f>
        <v>0</v>
      </c>
      <c r="T234" s="174" t="str">
        <f>IF(ISEVEN(LEFT(AD234,4)),"Southbound","NorthBound")</f>
        <v>Southbound</v>
      </c>
      <c r="U234" s="198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216" t="str">
        <f>"https://d0f6bd738d7f1b3e5a7ca70fe4ff75f0.us-east-1.aws.found.io/app/kibana#/discover/Steve-Slow-Train-Analysis-(2080s-and-2083s)?_g="&amp;"(refreshInterval:(display:Off,pause:!f,section:0,value:0),time:(from:'"&amp;TEXT(E234-1/24,"yyyy-MM-DDThh:mm:ss")&amp;utc_offset&amp;"00"&amp;"',mode:absolute,to:'"&amp;TEXT(I234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234&amp;"%22')),sort:!(Time.ISO8601,asc))"</f>
        <v>https://d0f6bd738d7f1b3e5a7ca70fe4ff75f0.us-east-1.aws.found.io/app/kibana#/discover/Steve-Slow-Train-Analysis-(2080s-and-2083s)?_g=(refreshInterval:(display:Off,pause:!f,section:0,value:0),time:(from:'2017-10-23T02:23:18-0600',mode:absolute,to:'2017-10-23T04:27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34" s="204" t="str">
        <f>IF(AA234&lt;VLOOKUP(AG234,Variables!$AC$3:$AD$8,2,FALSE),"Y","N")</f>
        <v>Y</v>
      </c>
      <c r="X234" s="204">
        <f>VALUE(LEFT(AD234,4))-VALUE(LEFT(AD233,4))</f>
        <v>1</v>
      </c>
      <c r="Y234" s="204">
        <f>RIGHT(D234,LEN(D234)-4)/10000</f>
        <v>0.3221</v>
      </c>
      <c r="Z234" s="204">
        <f>RIGHT(H234,LEN(H234)-4)/10000</f>
        <v>0.1158</v>
      </c>
      <c r="AA234" s="204">
        <f>ABS(Z234-Y234)</f>
        <v>0.20629999999999998</v>
      </c>
      <c r="AB234" s="54" t="e">
        <f>VLOOKUP(A234,Enforcements!$C$7:$K$11,8,0)</f>
        <v>#N/A</v>
      </c>
      <c r="AC234" s="51" t="e">
        <f>VLOOKUP(A234,Enforcements!$C$7:$E$11,3,0)</f>
        <v>#N/A</v>
      </c>
      <c r="AD234" s="179">
        <f>VALUE(LEFT(A234,LEN(A234)-3))</f>
        <v>52</v>
      </c>
      <c r="AE234" s="77" t="str">
        <f>"aws s3 cp "&amp;s3_bucket&amp;"/RTDC"&amp;B234&amp;"/ "&amp;search_path&amp;"\RTDC"&amp;B234&amp;"\"&amp;TEXT(F234,"YYYY-MM-DD")&amp;" --exclude ""*"" --recursive --include ""*"&amp;TEXT(F234,"YYYYMMDD")&amp;"*"" &amp; """&amp;walkandungz&amp;""" "&amp;search_path&amp;"\RTDC"&amp;B234&amp;"\"&amp;TEXT(F234,"YYYY-MM-DD")
&amp;" &amp; "&amp;"aws s3 cp "&amp;s3_bucket&amp;"/RTDC"&amp;B234&amp;"/ "&amp;search_path&amp;"\RTDC"&amp;B234&amp;"\"&amp;TEXT(F234+1,"YYYY-MM-DD")&amp;" --exclude ""*"" --recursive --include ""*"&amp;TEXT(F234+1,"YYYYMMDD")&amp;"*"" &amp; """&amp;walkandungz&amp;""" "&amp;search_path&amp;"\RTDC"&amp;B234&amp;"\"&amp;TEXT(F234+1,"YYYY-MM-DD")</f>
        <v>aws s3 cp s3://rtdc.mdm.uploadarchive.raw/RTDC4003/ "%USERPROFILE%\AppData\Local\Temp\OnboardLogs"\RTDC4003\2017-10-23 --exclude "*" --recursive --include "*20171023*" &amp; "%USERPROFILE%\Documents\GitHub\mrs-test-scripts\Headless Mode &amp; Sideloading\WalkAndUnGZ.bat" "%USERPROFILE%\AppData\Local\Temp\OnboardLogs"\RTDC4003\2017-10-23 &amp; aws s3 cp s3://rtdc.mdm.uploadarchive.raw/RTDC4003/ "%USERPROFILE%\AppData\Local\Temp\OnboardLogs"\RTDC4003\2017-10-24 --exclude "*" --recursive --include "*20171024*" &amp; "%USERPROFILE%\Documents\GitHub\mrs-test-scripts\Headless Mode &amp; Sideloading\WalkAndUnGZ.bat" "%USERPROFILE%\AppData\Local\Temp\OnboardLogs"\RTDC4003\2017-10-24</v>
      </c>
      <c r="AF234" s="74" t="str">
        <f>astrogrep_path&amp;" /e /r /s /spath="&amp;search_path&amp;" /stypes=""app*"&amp;B234&amp;"*"&amp;TEXT(I234-utc_offset/24,"YYYYMMDD")&amp;"*"" /stext="" "&amp;TEXT(I234-utc_offset/24,"HH")&amp;search_regexp&amp;""""</f>
        <v>"C:\Program Files (x86)\AstroGrep\AstroGrep.exe" /e /r /s /spath="%USERPROFILE%\AppData\Local\Temp\OnboardLogs" /stypes="app*4003*20171023*" /stext=" 09:.+((SYSTEM_STATE.+slice.+state.+changed )|(ment ac)|(multiple cpu faults)|(system.+state.+changed )|(\[timeout)|(PRM\|1\|D)|(kpr)|(kdp)|(train st.+moving)|(\|lc)|(penalty))"</v>
      </c>
      <c r="AG234" s="182" t="str">
        <f>DetSubdiv(A234)</f>
        <v>Shuttle/Test</v>
      </c>
      <c r="AH234" s="78" t="str">
        <f t="shared" si="71"/>
        <v>"%USERPROFILE%\Documents\GitHub\eaglep3\Utilities\RefineRTDCRunTimes.py" --tripid 52-23 --locoid 4003 --swversion DE.1.0.9.0 --startMP 204:3221 --initTime 2017-10-23T03:23:18 --startdatetime 2017-10-23T03:25:11 --delay 64 --endMP 204:1158 --enddatetime 2017-10-23T03:27:19 --enforcementcount 0 &gt;&gt;%USERPROFILE%\Documents\GitHub\eaglep3-reporting\EC\2017-10-23-refined-times.txt</v>
      </c>
      <c r="AI234" s="96" t="str">
        <f t="shared" si="72"/>
        <v>echo {"issue":{"subject":"","project_id":79,"tracker_id":40,"status_id":1,"priority_id":2,"assigned_to_id":338,"start_date":"2017-10-23","description":"","custom_fields":[{"id":1,"name":"Subdivision","value":"Shuttle/Test"},{"id":4,"name":"Milepost","value":"0.1158"},{"id":17,"name":"Train ID","value":"52-23"},{"id":16,"name":"Locomotive ID","value":"4003"},{"id":130,"name":"Impact","value":""},{"id":150,"name":"Time of Event (Mountain Time)","value":"03:27:19"},{"id":151,"name":"Denver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4" s="47"/>
      <c r="AL234" s="47"/>
      <c r="AM234" s="142" t="str">
        <f t="shared" si="73"/>
        <v>start /low /b %USERPROFILE%\Documents\GitHub\eaglep3\Utilities\DownloadLogsFromS3.py --loco 4003 --day 2017-10-23</v>
      </c>
      <c r="AN234" s="151" t="str">
        <f t="shared" si="74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09:27:19"},{"id":29,"name":"Sharepoint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 s="168" t="str">
        <f t="shared" si="75"/>
        <v>https://d0f6bd738d7f1b3e5a7ca70fe4ff75f0.us-east-1.aws.found.io/app/kibana#/discover/Steve-Slow-Train-Analysis-(2080s-and-2083s)?_g=(refreshInterval:(display:Off,pause:!f,section:0,value:0),time:(from:'2017-10-23T02:23:18-0600',mode:absolute,to:'2017-10-23T04:27:19-0600'))&amp;_a=(columns:!('Message%20ID',Summary),filters:!(),index:'emp_*',interval:auto,query:(query_string:(analyze_wildcard:!t,query:'%22rtdc.l.rtdc.4003%22')),sort:!(Time.ISO8601,asc))</v>
      </c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3">
      <c r="A235" s="32" t="s">
        <v>656</v>
      </c>
      <c r="B235" s="7">
        <v>4052</v>
      </c>
      <c r="C235" s="21" t="s">
        <v>194</v>
      </c>
      <c r="D235" s="21" t="s">
        <v>634</v>
      </c>
      <c r="E235" s="13">
        <v>43031.471250000002</v>
      </c>
      <c r="F235" s="13">
        <v>43031.475578703707</v>
      </c>
      <c r="G235" s="7">
        <v>105</v>
      </c>
      <c r="H235" s="21" t="s">
        <v>973</v>
      </c>
      <c r="I235" s="13">
        <v>43031.482002314813</v>
      </c>
      <c r="J235" s="7">
        <v>0</v>
      </c>
      <c r="K235" s="89" t="str">
        <f>IF(ISEVEN(B235),(B235-1)&amp;"/"&amp;B235,B235&amp;"/"&amp;(B235+1))</f>
        <v>4051/4052</v>
      </c>
      <c r="L235" s="185" t="str">
        <f>VLOOKUP(A235,'Trips&amp;Operators'!$C$1:$G$99911,5,FALSE)</f>
        <v>ROBINSON KADDIBA</v>
      </c>
      <c r="M235" s="6">
        <f>I235-F235</f>
        <v>6.4236111065838486E-3</v>
      </c>
      <c r="N235" s="7">
        <f>24*60*SUM($M235:$M235)</f>
        <v>9.249999993480742</v>
      </c>
      <c r="O235" s="7"/>
      <c r="P235" s="7"/>
      <c r="Q235" s="22"/>
      <c r="R235" s="174"/>
      <c r="S235" s="221">
        <f>1/IF(AG235="EC",12,1)*SUM(U235:U235)</f>
        <v>1</v>
      </c>
      <c r="T235" s="174" t="str">
        <f>IF(ISEVEN(LEFT(AD235,4)),"Southbound","NorthBound")</f>
        <v>NorthBound</v>
      </c>
      <c r="U235" s="198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1</v>
      </c>
      <c r="V235" s="216" t="str">
        <f>"https://d0f6bd738d7f1b3e5a7ca70fe4ff75f0.us-east-1.aws.found.io/app/kibana#/discover/Steve-Slow-Train-Analysis-(2080s-and-2083s)?_g="&amp;"(refreshInterval:(display:Off,pause:!f,section:0,value:0),time:(from:'"&amp;TEXT(E235-1/24,"yyyy-MM-DDThh:mm:ss")&amp;utc_offset&amp;"00"&amp;"',mode:absolute,to:'"&amp;TEXT(I235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235&amp;"%22')),sort:!(Time.ISO8601,asc))"</f>
        <v>https://d0f6bd738d7f1b3e5a7ca70fe4ff75f0.us-east-1.aws.found.io/app/kibana#/discover/Steve-Slow-Train-Analysis-(2080s-and-2083s)?_g=(refreshInterval:(display:Off,pause:!f,section:0,value:0),time:(from:'2017-10-23T10:18:36-0600',mode:absolute,to:'2017-10-23T12:34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35" s="204" t="str">
        <f>IF(AA235&lt;VLOOKUP(AG235,Variables!$AC$3:$AD$8,2,FALSE),"Y","N")</f>
        <v>Y</v>
      </c>
      <c r="X235" s="204">
        <f>VALUE(LEFT(AD235,4))-VALUE(LEFT(AD234,4))</f>
        <v>1</v>
      </c>
      <c r="Y235" s="204">
        <f>RIGHT(D235,LEN(D235)-4)/10000</f>
        <v>0.11700000000000001</v>
      </c>
      <c r="Z235" s="204">
        <f>RIGHT(H235,LEN(H235)-4)/10000</f>
        <v>2.4232999999999998</v>
      </c>
      <c r="AA235" s="204">
        <f>ABS(Z235-Y235)</f>
        <v>2.3062999999999998</v>
      </c>
      <c r="AB235" s="54" t="e">
        <f>VLOOKUP(A235,Enforcements!$C$7:$K$11,8,0)</f>
        <v>#N/A</v>
      </c>
      <c r="AC235" s="51" t="e">
        <f>VLOOKUP(A235,Enforcements!$C$7:$E$11,3,0)</f>
        <v>#N/A</v>
      </c>
      <c r="AD235" s="179">
        <f>VALUE(LEFT(A235,LEN(A235)-3))</f>
        <v>53</v>
      </c>
      <c r="AE235" s="77" t="str">
        <f>"aws s3 cp "&amp;s3_bucket&amp;"/RTDC"&amp;B235&amp;"/ "&amp;search_path&amp;"\RTDC"&amp;B235&amp;"\"&amp;TEXT(F235,"YYYY-MM-DD")&amp;" --exclude ""*"" --recursive --include ""*"&amp;TEXT(F235,"YYYYMMDD")&amp;"*"" &amp; """&amp;walkandungz&amp;""" "&amp;search_path&amp;"\RTDC"&amp;B235&amp;"\"&amp;TEXT(F235,"YYYY-MM-DD")
&amp;" &amp; "&amp;"aws s3 cp "&amp;s3_bucket&amp;"/RTDC"&amp;B235&amp;"/ "&amp;search_path&amp;"\RTDC"&amp;B235&amp;"\"&amp;TEXT(F235+1,"YYYY-MM-DD")&amp;" --exclude ""*"" --recursive --include ""*"&amp;TEXT(F235+1,"YYYYMMDD")&amp;"*"" &amp; """&amp;walkandungz&amp;""" "&amp;search_path&amp;"\RTDC"&amp;B235&amp;"\"&amp;TEXT(F235+1,"YYYY-MM-DD")</f>
        <v>aws s3 cp s3://rtdc.mdm.uploadarchive.raw/RTDC4052/ "%USERPROFILE%\AppData\Local\Temp\OnboardLogs"\RTDC4052\2017-10-23 --exclude "*" --recursive --include "*20171023*" &amp; "%USERPROFILE%\Documents\GitHub\mrs-test-scripts\Headless Mode &amp; Sideloading\WalkAndUnGZ.bat" "%USERPROFILE%\AppData\Local\Temp\OnboardLogs"\RTDC4052\2017-10-23 &amp; aws s3 cp s3://rtdc.mdm.uploadarchive.raw/RTDC4052/ "%USERPROFILE%\AppData\Local\Temp\OnboardLogs"\RTDC4052\2017-10-24 --exclude "*" --recursive --include "*20171024*" &amp; "%USERPROFILE%\Documents\GitHub\mrs-test-scripts\Headless Mode &amp; Sideloading\WalkAndUnGZ.bat" "%USERPROFILE%\AppData\Local\Temp\OnboardLogs"\RTDC4052\2017-10-24</v>
      </c>
      <c r="AF235" s="74" t="str">
        <f>astrogrep_path&amp;" /e /r /s /spath="&amp;search_path&amp;" /stypes=""app*"&amp;B235&amp;"*"&amp;TEXT(I235-utc_offset/24,"YYYYMMDD")&amp;"*"" /stext="" "&amp;TEXT(I235-utc_offset/24,"HH")&amp;search_regexp&amp;""""</f>
        <v>"C:\Program Files (x86)\AstroGrep\AstroGrep.exe" /e /r /s /spath="%USERPROFILE%\AppData\Local\Temp\OnboardLogs" /stypes="app*4052*20171023*" /stext=" 17:.+((SYSTEM_STATE.+slice.+state.+changed )|(ment ac)|(multiple cpu faults)|(system.+state.+changed )|(\[timeout)|(PRM\|1\|D)|(kpr)|(kdp)|(train st.+moving)|(\|lc)|(penalty))"</v>
      </c>
      <c r="AG235" s="182" t="str">
        <f>DetSubdiv(A235)</f>
        <v>Shuttle/Test</v>
      </c>
      <c r="AH235" s="78" t="str">
        <f t="shared" si="71"/>
        <v>"%USERPROFILE%\Documents\GitHub\eaglep3\Utilities\RefineRTDCRunTimes.py" --tripid 53-23 --locoid 4052 --swversion DE.1.0.9.0 --startMP 204:1170 --initTime 2017-10-23T11:18:36 --startdatetime 2017-10-23T11:24:50 --delay 105 --endMP 300:24233 --enddatetime 2017-10-23T11:34:05 --enforcementcount 0 &gt;&gt;%USERPROFILE%\Documents\GitHub\eaglep3-reporting\EC\2017-10-23-refined-times.txt</v>
      </c>
      <c r="AI235" s="96" t="str">
        <f t="shared" si="72"/>
        <v>echo {"issue":{"subject":"","project_id":79,"tracker_id":40,"status_id":1,"priority_id":2,"assigned_to_id":338,"start_date":"2017-10-23","description":"","custom_fields":[{"id":1,"name":"Subdivision","value":"Shuttle/Test"},{"id":4,"name":"Milepost","value":"2.4233"},{"id":17,"name":"Train ID","value":"53-23"},{"id":16,"name":"Locomotive ID","value":"4052"},{"id":130,"name":"Impact","value":""},{"id":150,"name":"Time of Event (Mountain Time)","value":"11:34:05"},{"id":151,"name":"Denver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5" s="47"/>
      <c r="AL235" s="47"/>
      <c r="AM235" s="142" t="str">
        <f t="shared" si="73"/>
        <v>start /low /b %USERPROFILE%\Documents\GitHub\eaglep3\Utilities\DownloadLogsFromS3.py --loco 4052 --day 2017-10-23</v>
      </c>
      <c r="AN235" s="151" t="str">
        <f t="shared" si="74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17:34:05"},{"id":29,"name":"Sharepoint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 s="168" t="str">
        <f t="shared" si="75"/>
        <v>https://d0f6bd738d7f1b3e5a7ca70fe4ff75f0.us-east-1.aws.found.io/app/kibana#/discover/Steve-Slow-Train-Analysis-(2080s-and-2083s)?_g=(refreshInterval:(display:Off,pause:!f,section:0,value:0),time:(from:'2017-10-23T10:18:36-0600',mode:absolute,to:'2017-10-23T12:34:05-0600'))&amp;_a=(columns:!('Message%20ID',Summary),filters:!(),index:'emp_*',interval:auto,query:(query_string:(analyze_wildcard:!t,query:'%22rtdc.l.rtdc.4052%22')),sort:!(Time.ISO8601,asc))</v>
      </c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3">
      <c r="A236" s="32" t="s">
        <v>840</v>
      </c>
      <c r="B236" s="7">
        <v>4031</v>
      </c>
      <c r="C236" s="21" t="s">
        <v>194</v>
      </c>
      <c r="D236" s="21" t="s">
        <v>974</v>
      </c>
      <c r="E236" s="13">
        <v>43031.745787037034</v>
      </c>
      <c r="F236" s="13">
        <v>43031.74732638889</v>
      </c>
      <c r="G236" s="7">
        <v>74</v>
      </c>
      <c r="H236" s="21" t="s">
        <v>975</v>
      </c>
      <c r="I236" s="13">
        <v>43031.756342592591</v>
      </c>
      <c r="J236" s="7">
        <v>0</v>
      </c>
      <c r="K236" s="89" t="str">
        <f>IF(ISEVEN(B236),(B236-1)&amp;"/"&amp;B236,B236&amp;"/"&amp;(B236+1))</f>
        <v>4031/4032</v>
      </c>
      <c r="L236" s="185" t="str">
        <f>VLOOKUP(A236,'Trips&amp;Operators'!$C$1:$G$99911,5,FALSE)</f>
        <v>GUNTHIER ERIC</v>
      </c>
      <c r="M236" s="6">
        <f>I236-F236</f>
        <v>9.0162037013215013E-3</v>
      </c>
      <c r="N236" s="7">
        <f>24*60*SUM($M236:$M236)</f>
        <v>12.983333329902962</v>
      </c>
      <c r="O236" s="7"/>
      <c r="P236" s="7"/>
      <c r="Q236" s="22"/>
      <c r="R236" s="174"/>
      <c r="S236" s="221">
        <f>1/IF(AG236="EC",12,1)*SUM(U236:U236)</f>
        <v>1</v>
      </c>
      <c r="T236" s="174" t="str">
        <f>IF(ISEVEN(LEFT(AD236,4)),"Southbound","NorthBound")</f>
        <v>Southbound</v>
      </c>
      <c r="U236" s="198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1</v>
      </c>
      <c r="V236" s="216" t="str">
        <f>"https://d0f6bd738d7f1b3e5a7ca70fe4ff75f0.us-east-1.aws.found.io/app/kibana#/discover/Steve-Slow-Train-Analysis-(2080s-and-2083s)?_g="&amp;"(refreshInterval:(display:Off,pause:!f,section:0,value:0),time:(from:'"&amp;TEXT(E236-1/24,"yyyy-MM-DDThh:mm:ss")&amp;utc_offset&amp;"00"&amp;"',mode:absolute,to:'"&amp;TEXT(I236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236&amp;"%22')),sort:!(Time.ISO8601,asc))"</f>
        <v>https://d0f6bd738d7f1b3e5a7ca70fe4ff75f0.us-east-1.aws.found.io/app/kibana#/discover/Steve-Slow-Train-Analysis-(2080s-and-2083s)?_g=(refreshInterval:(display:Off,pause:!f,section:0,value:0),time:(from:'2017-10-23T16:53:56-0600',mode:absolute,to:'2017-10-23T19:09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36" s="204" t="str">
        <f>IF(AA236&lt;VLOOKUP(AG236,Variables!$AC$3:$AD$8,2,FALSE),"Y","N")</f>
        <v>Y</v>
      </c>
      <c r="X236" s="204">
        <f>VALUE(LEFT(AD236,4))-VALUE(LEFT(AD235,4))</f>
        <v>1</v>
      </c>
      <c r="Y236" s="204">
        <f>RIGHT(D236,LEN(D236)-4)/10000</f>
        <v>3.0672999999999999</v>
      </c>
      <c r="Z236" s="204">
        <f>RIGHT(H236,LEN(H236)-4)/10000</f>
        <v>0.2072</v>
      </c>
      <c r="AA236" s="204">
        <f>ABS(Z236-Y236)</f>
        <v>2.8601000000000001</v>
      </c>
      <c r="AB236" s="54" t="e">
        <f>VLOOKUP(A236,Enforcements!$C$7:$K$11,8,0)</f>
        <v>#N/A</v>
      </c>
      <c r="AC236" s="51" t="e">
        <f>VLOOKUP(A236,Enforcements!$C$7:$E$11,3,0)</f>
        <v>#N/A</v>
      </c>
      <c r="AD236" s="179">
        <f>VALUE(LEFT(A236,LEN(A236)-3))</f>
        <v>54</v>
      </c>
      <c r="AE236" s="77" t="str">
        <f>"aws s3 cp "&amp;s3_bucket&amp;"/RTDC"&amp;B236&amp;"/ "&amp;search_path&amp;"\RTDC"&amp;B236&amp;"\"&amp;TEXT(F236,"YYYY-MM-DD")&amp;" --exclude ""*"" --recursive --include ""*"&amp;TEXT(F236,"YYYYMMDD")&amp;"*"" &amp; """&amp;walkandungz&amp;""" "&amp;search_path&amp;"\RTDC"&amp;B236&amp;"\"&amp;TEXT(F236,"YYYY-MM-DD")
&amp;" &amp; "&amp;"aws s3 cp "&amp;s3_bucket&amp;"/RTDC"&amp;B236&amp;"/ "&amp;search_path&amp;"\RTDC"&amp;B236&amp;"\"&amp;TEXT(F236+1,"YYYY-MM-DD")&amp;" --exclude ""*"" --recursive --include ""*"&amp;TEXT(F236+1,"YYYYMMDD")&amp;"*"" &amp; """&amp;walkandungz&amp;""" "&amp;search_path&amp;"\RTDC"&amp;B236&amp;"\"&amp;TEXT(F236+1,"YYYY-MM-DD")</f>
        <v>aws s3 cp s3://rtdc.mdm.uploadarchive.raw/RTDC4031/ "%USERPROFILE%\AppData\Local\Temp\OnboardLogs"\RTDC4031\2017-10-23 --exclude "*" --recursive --include "*20171023*" &amp; "%USERPROFILE%\Documents\GitHub\mrs-test-scripts\Headless Mode &amp; Sideloading\WalkAndUnGZ.bat" "%USERPROFILE%\AppData\Local\Temp\OnboardLogs"\RTDC4031\2017-10-23 &amp; aws s3 cp s3://rtdc.mdm.uploadarchive.raw/RTDC4031/ "%USERPROFILE%\AppData\Local\Temp\OnboardLogs"\RTDC4031\2017-10-24 --exclude "*" --recursive --include "*20171024*" &amp; "%USERPROFILE%\Documents\GitHub\mrs-test-scripts\Headless Mode &amp; Sideloading\WalkAndUnGZ.bat" "%USERPROFILE%\AppData\Local\Temp\OnboardLogs"\RTDC4031\2017-10-24</v>
      </c>
      <c r="AF236" s="74" t="str">
        <f>astrogrep_path&amp;" /e /r /s /spath="&amp;search_path&amp;" /stypes=""app*"&amp;B236&amp;"*"&amp;TEXT(I236-utc_offset/24,"YYYYMMDD")&amp;"*"" /stext="" "&amp;TEXT(I236-utc_offset/24,"HH")&amp;search_regexp&amp;""""</f>
        <v>"C:\Program Files (x86)\AstroGrep\AstroGrep.exe" /e /r /s /spath="%USERPROFILE%\AppData\Local\Temp\OnboardLogs" /stypes="app*4031*20171024*" /stext=" 00:.+((SYSTEM_STATE.+slice.+state.+changed )|(ment ac)|(multiple cpu faults)|(system.+state.+changed )|(\[timeout)|(PRM\|1\|D)|(kpr)|(kdp)|(train st.+moving)|(\|lc)|(penalty))"</v>
      </c>
      <c r="AG236" s="182" t="str">
        <f>DetSubdiv(A236)</f>
        <v>Shuttle/Test</v>
      </c>
      <c r="AH236" s="78" t="str">
        <f t="shared" si="71"/>
        <v>"%USERPROFILE%\Documents\GitHub\eaglep3\Utilities\RefineRTDCRunTimes.py" --tripid 54-23 --locoid 4031 --swversion DE.1.0.9.0 --startMP 300:30673 --initTime 2017-10-23T17:53:56 --startdatetime 2017-10-23T17:56:09 --delay 74 --endMP 204:2072 --enddatetime 2017-10-23T18:09:08 --enforcementcount 0 &gt;&gt;%USERPROFILE%\Documents\GitHub\eaglep3-reporting\EC\2017-10-23-refined-times.txt</v>
      </c>
      <c r="AI236" s="96" t="str">
        <f t="shared" si="72"/>
        <v>echo {"issue":{"subject":"","project_id":79,"tracker_id":40,"status_id":1,"priority_id":2,"assigned_to_id":338,"start_date":"2017-10-23","description":"","custom_fields":[{"id":1,"name":"Subdivision","value":"Shuttle/Test"},{"id":4,"name":"Milepost","value":"0.2072"},{"id":17,"name":"Train ID","value":"54-23"},{"id":16,"name":"Locomotive ID","value":"4031"},{"id":130,"name":"Impact","value":""},{"id":150,"name":"Time of Event (Mountain Time)","value":"18:09:08"},{"id":151,"name":"Denver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6" s="47"/>
      <c r="AL236" s="47"/>
      <c r="AM236" s="142" t="str">
        <f t="shared" si="73"/>
        <v>start /low /b %USERPROFILE%\Documents\GitHub\eaglep3\Utilities\DownloadLogsFromS3.py --loco 4031 --day 2017-10-23</v>
      </c>
      <c r="AN236" s="151" t="str">
        <f t="shared" si="74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00:09:08"},{"id":29,"name":"Sharepoint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 s="168" t="str">
        <f t="shared" si="75"/>
        <v>https://d0f6bd738d7f1b3e5a7ca70fe4ff75f0.us-east-1.aws.found.io/app/kibana#/discover/Steve-Slow-Train-Analysis-(2080s-and-2083s)?_g=(refreshInterval:(display:Off,pause:!f,section:0,value:0),time:(from:'2017-10-23T16:53:56-0600',mode:absolute,to:'2017-10-23T19:09:08-0600'))&amp;_a=(columns:!('Message%20ID',Summary),filters:!(),index:'emp_*',interval:auto,query:(query_string:(analyze_wildcard:!t,query:'%22rtdc.l.rtdc.4031%22')),sort:!(Time.ISO8601,asc))</v>
      </c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3">
      <c r="A237" s="32" t="s">
        <v>840</v>
      </c>
      <c r="B237" s="7">
        <v>4032</v>
      </c>
      <c r="C237" s="21" t="s">
        <v>194</v>
      </c>
      <c r="D237" s="21" t="s">
        <v>976</v>
      </c>
      <c r="E237" s="13">
        <v>43031.738263888888</v>
      </c>
      <c r="F237" s="13">
        <v>25568.708333333332</v>
      </c>
      <c r="G237" s="7">
        <v>58</v>
      </c>
      <c r="H237" s="21" t="s">
        <v>977</v>
      </c>
      <c r="I237" s="13">
        <v>25568.708333333332</v>
      </c>
      <c r="J237" s="7">
        <v>0</v>
      </c>
      <c r="K237" s="89" t="str">
        <f>IF(ISEVEN(B237),(B237-1)&amp;"/"&amp;B237,B237&amp;"/"&amp;(B237+1))</f>
        <v>4031/4032</v>
      </c>
      <c r="L237" s="185" t="str">
        <f>VLOOKUP(A237,'Trips&amp;Operators'!$C$1:$G$99911,5,FALSE)</f>
        <v>GUNTHIER ERIC</v>
      </c>
      <c r="M237" s="6">
        <f>I237-F237</f>
        <v>0</v>
      </c>
      <c r="N237" s="7">
        <f>24*60*SUM($M237:$M237)</f>
        <v>0</v>
      </c>
      <c r="O237" s="7"/>
      <c r="P237" s="7"/>
      <c r="Q237" s="22"/>
      <c r="R237" s="174"/>
      <c r="S237" s="221">
        <f>1/IF(AG237="EC",12,1)*SUM(U237:U237)</f>
        <v>0</v>
      </c>
      <c r="T237" s="174" t="str">
        <f>IF(ISEVEN(LEFT(AD237,4)),"Southbound","NorthBound")</f>
        <v>Southbound</v>
      </c>
      <c r="U237" s="198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216" t="str">
        <f>"https://d0f6bd738d7f1b3e5a7ca70fe4ff75f0.us-east-1.aws.found.io/app/kibana#/discover/Steve-Slow-Train-Analysis-(2080s-and-2083s)?_g="&amp;"(refreshInterval:(display:Off,pause:!f,section:0,value:0),time:(from:'"&amp;TEXT(E237-1/24,"yyyy-MM-DDThh:mm:ss")&amp;utc_offset&amp;"00"&amp;"',mode:absolute,to:'"&amp;TEXT(I237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237&amp;"%22')),sort:!(Time.ISO8601,asc))"</f>
        <v>https://d0f6bd738d7f1b3e5a7ca70fe4ff75f0.us-east-1.aws.found.io/app/kibana#/discover/Steve-Slow-Train-Analysis-(2080s-and-2083s)?_g=(refreshInterval:(display:Off,pause:!f,section:0,value:0),time:(from:'2017-10-23T16:43:06-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37" s="204" t="str">
        <f>IF(AA237&lt;VLOOKUP(AG237,Variables!$AC$3:$AD$8,2,FALSE),"Y","N")</f>
        <v>Y</v>
      </c>
      <c r="X237" s="204">
        <f>VALUE(LEFT(AD237,4))-VALUE(LEFT(AD236,4))</f>
        <v>0</v>
      </c>
      <c r="Y237" s="204">
        <f>RIGHT(D237,LEN(D237)-4)/10000</f>
        <v>0.1154</v>
      </c>
      <c r="Z237" s="204">
        <f>RIGHT(H237,LEN(H237)-4)/10000</f>
        <v>0.35620000000000002</v>
      </c>
      <c r="AA237" s="204">
        <f>ABS(Z237-Y237)</f>
        <v>0.24080000000000001</v>
      </c>
      <c r="AB237" s="54" t="e">
        <f>VLOOKUP(A237,Enforcements!$C$7:$K$11,8,0)</f>
        <v>#N/A</v>
      </c>
      <c r="AC237" s="51" t="e">
        <f>VLOOKUP(A237,Enforcements!$C$7:$E$11,3,0)</f>
        <v>#N/A</v>
      </c>
      <c r="AD237" s="179">
        <f>VALUE(LEFT(A237,LEN(A237)-3))</f>
        <v>54</v>
      </c>
      <c r="AE237" s="77" t="str">
        <f>"aws s3 cp "&amp;s3_bucket&amp;"/RTDC"&amp;B237&amp;"/ "&amp;search_path&amp;"\RTDC"&amp;B237&amp;"\"&amp;TEXT(F237,"YYYY-MM-DD")&amp;" --exclude ""*"" --recursive --include ""*"&amp;TEXT(F237,"YYYYMMDD")&amp;"*"" &amp; """&amp;walkandungz&amp;""" "&amp;search_path&amp;"\RTDC"&amp;B237&amp;"\"&amp;TEXT(F237,"YYYY-MM-DD")
&amp;" &amp; "&amp;"aws s3 cp "&amp;s3_bucket&amp;"/RTDC"&amp;B237&amp;"/ "&amp;search_path&amp;"\RTDC"&amp;B237&amp;"\"&amp;TEXT(F237+1,"YYYY-MM-DD")&amp;" --exclude ""*"" --recursive --include ""*"&amp;TEXT(F237+1,"YYYYMMDD")&amp;"*"" &amp; """&amp;walkandungz&amp;""" "&amp;search_path&amp;"\RTDC"&amp;B237&amp;"\"&amp;TEXT(F237+1,"YYYY-MM-DD")</f>
        <v>aws s3 cp s3://rtdc.mdm.uploadarchive.raw/RTDC4032/ "%USERPROFILE%\AppData\Local\Temp\OnboardLogs"\RTDC4032\1969-12-31 --exclude "*" --recursive --include "*19691231*" &amp; "%USERPROFILE%\Documents\GitHub\mrs-test-scripts\Headless Mode &amp; Sideloading\WalkAndUnGZ.bat" "%USERPROFILE%\AppData\Local\Temp\OnboardLogs"\RTDC4032\1969-12-31 &amp; aws s3 cp s3://rtdc.mdm.uploadarchive.raw/RTDC4032/ "%USERPROFILE%\AppData\Local\Temp\OnboardLogs"\RTDC4032\1970-01-01 --exclude "*" --recursive --include "*19700101*" &amp; "%USERPROFILE%\Documents\GitHub\mrs-test-scripts\Headless Mode &amp; Sideloading\WalkAndUnGZ.bat" "%USERPROFILE%\AppData\Local\Temp\OnboardLogs"\RTDC4032\1970-01-01</v>
      </c>
      <c r="AF237" s="74" t="str">
        <f>astrogrep_path&amp;" /e /r /s /spath="&amp;search_path&amp;" /stypes=""app*"&amp;B237&amp;"*"&amp;TEXT(I237-utc_offset/24,"YYYYMMDD")&amp;"*"" /stext="" "&amp;TEXT(I237-utc_offset/24,"HH")&amp;search_regexp&amp;""""</f>
        <v>"C:\Program Files (x86)\AstroGrep\AstroGrep.exe" /e /r /s /spath="%USERPROFILE%\AppData\Local\Temp\OnboardLogs" /stypes="app*4032*19691231*" /stext=" 23:.+((SYSTEM_STATE.+slice.+state.+changed )|(ment ac)|(multiple cpu faults)|(system.+state.+changed )|(\[timeout)|(PRM\|1\|D)|(kpr)|(kdp)|(train st.+moving)|(\|lc)|(penalty))"</v>
      </c>
      <c r="AG237" s="182" t="str">
        <f>DetSubdiv(A237)</f>
        <v>Shuttle/Test</v>
      </c>
      <c r="AH237" s="78" t="str">
        <f t="shared" si="71"/>
        <v>"%USERPROFILE%\Documents\GitHub\eaglep3\Utilities\RefineRTDCRunTimes.py" --tripid 54-23 --locoid 4032 --swversion DE.1.0.9.0 --startMP 204:1154 --initTime 2017-10-23T17:43:06 --startdatetime 1969-12-31T17:00:00 --delay 58 --endMP 204:3562 --enddatetime 1969-12-31T17:00:00 --enforcementcount 0 &gt;&gt;%USERPROFILE%\Documents\GitHub\eaglep3-reporting\EC\2017-10-23-refined-times.txt</v>
      </c>
      <c r="AI237" s="96" t="str">
        <f t="shared" si="72"/>
        <v>echo {"issue":{"subject":"","project_id":79,"tracker_id":40,"status_id":1,"priority_id":2,"assigned_to_id":338,"start_date":"1969-12-31","description":"","custom_fields":[{"id":1,"name":"Subdivision","value":"Shuttle/Test"},{"id":4,"name":"Milepost","value":"0.3562"},{"id":17,"name":"Train ID","value":"54-23"},{"id":16,"name":"Locomotive ID","value":"4032"},{"id":130,"name":"Impact","value":""},{"id":150,"name":"Time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7" s="47"/>
      <c r="AL237" s="47"/>
      <c r="AM237" s="142" t="str">
        <f t="shared" si="73"/>
        <v>start /low /b %USERPROFILE%\Documents\GitHub\eaglep3\Utilities\DownloadLogsFromS3.py --loco 4032 --day 1969-12-31</v>
      </c>
      <c r="AN237" s="151" t="str">
        <f t="shared" si="74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 s="168" t="str">
        <f t="shared" si="75"/>
        <v>https://d0f6bd738d7f1b3e5a7ca70fe4ff75f0.us-east-1.aws.found.io/app/kibana#/discover/Steve-Slow-Train-Analysis-(2080s-and-2083s)?_g=(refreshInterval:(display:Off,pause:!f,section:0,value:0),time:(from:'2017-10-23T16:43:06-0600',mode:absolute,to:'1969-12-31T18:00:00-0600'))&amp;_a=(columns:!('Message%20ID',Summary),filters:!(),index:'emp_*',interval:auto,query:(query_string:(analyze_wildcard:!t,query:'%22rtdc.l.rtdc.4032%22')),sort:!(Time.ISO8601,asc))</v>
      </c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3">
      <c r="A238" s="32" t="s">
        <v>734</v>
      </c>
      <c r="B238" s="7">
        <v>4004</v>
      </c>
      <c r="C238" s="21" t="s">
        <v>194</v>
      </c>
      <c r="D238" s="21" t="s">
        <v>635</v>
      </c>
      <c r="E238" s="13">
        <v>43031.30028935185</v>
      </c>
      <c r="F238" s="13">
        <v>43031.30265046296</v>
      </c>
      <c r="G238" s="7">
        <v>88</v>
      </c>
      <c r="H238" s="21" t="s">
        <v>978</v>
      </c>
      <c r="I238" s="13">
        <v>43031.303472222222</v>
      </c>
      <c r="J238" s="7">
        <v>0</v>
      </c>
      <c r="K238" s="89" t="str">
        <f>IF(ISEVEN(B238),(B238-1)&amp;"/"&amp;B238,B238&amp;"/"&amp;(B238+1))</f>
        <v>4003/4004</v>
      </c>
      <c r="L238" s="185" t="str">
        <f>VLOOKUP(A238,'Trips&amp;Operators'!$C$1:$G$99911,5,FALSE)</f>
        <v>BROWN JACOB</v>
      </c>
      <c r="M238" s="6">
        <f>I238-F238</f>
        <v>8.217592621804215E-4</v>
      </c>
      <c r="N238" s="7">
        <f>24*60*SUM($M238:$M238)</f>
        <v>1.183333337539807</v>
      </c>
      <c r="O238" s="7"/>
      <c r="P238" s="7"/>
      <c r="Q238" s="22"/>
      <c r="R238" s="174"/>
      <c r="S238" s="221">
        <f>1/IF(AG238="EC",12,1)*SUM(U238:U238)</f>
        <v>0</v>
      </c>
      <c r="T238" s="174" t="str">
        <f>IF(ISEVEN(LEFT(AD238,4)),"Southbound","NorthBound")</f>
        <v>NorthBound</v>
      </c>
      <c r="U238" s="198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216" t="str">
        <f>"https://d0f6bd738d7f1b3e5a7ca70fe4ff75f0.us-east-1.aws.found.io/app/kibana#/discover/Steve-Slow-Train-Analysis-(2080s-and-2083s)?_g="&amp;"(refreshInterval:(display:Off,pause:!f,section:0,value:0),time:(from:'"&amp;TEXT(E238-1/24,"yyyy-MM-DDThh:mm:ss")&amp;utc_offset&amp;"00"&amp;"',mode:absolute,to:'"&amp;TEXT(I238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238&amp;"%22')),sort:!(Time.ISO8601,asc))"</f>
        <v>https://d0f6bd738d7f1b3e5a7ca70fe4ff75f0.us-east-1.aws.found.io/app/kibana#/discover/Steve-Slow-Train-Analysis-(2080s-and-2083s)?_g=(refreshInterval:(display:Off,pause:!f,section:0,value:0),time:(from:'2017-10-23T06:12:25-0600',mode:absolute,to:'2017-10-23T08:17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38" s="204" t="str">
        <f>IF(AA238&lt;VLOOKUP(AG238,Variables!$AC$3:$AD$8,2,FALSE),"Y","N")</f>
        <v>Y</v>
      </c>
      <c r="X238" s="204">
        <f>VALUE(LEFT(AD238,4))-VALUE(LEFT(AD237,4))</f>
        <v>1</v>
      </c>
      <c r="Y238" s="204">
        <f>RIGHT(D238,LEN(D238)-4)/10000</f>
        <v>0.14729999999999999</v>
      </c>
      <c r="Z238" s="204">
        <f>RIGHT(H238,LEN(H238)-4)/10000</f>
        <v>0.34410000000000002</v>
      </c>
      <c r="AA238" s="204">
        <f>ABS(Z238-Y238)</f>
        <v>0.19680000000000003</v>
      </c>
      <c r="AB238" s="54" t="e">
        <f>VLOOKUP(A238,Enforcements!$C$7:$K$11,8,0)</f>
        <v>#N/A</v>
      </c>
      <c r="AC238" s="51" t="e">
        <f>VLOOKUP(A238,Enforcements!$C$7:$E$11,3,0)</f>
        <v>#N/A</v>
      </c>
      <c r="AD238" s="179">
        <f>VALUE(LEFT(A238,LEN(A238)-3))</f>
        <v>55</v>
      </c>
      <c r="AE238" s="77" t="str">
        <f>"aws s3 cp "&amp;s3_bucket&amp;"/RTDC"&amp;B238&amp;"/ "&amp;search_path&amp;"\RTDC"&amp;B238&amp;"\"&amp;TEXT(F238,"YYYY-MM-DD")&amp;" --exclude ""*"" --recursive --include ""*"&amp;TEXT(F238,"YYYYMMDD")&amp;"*"" &amp; """&amp;walkandungz&amp;""" "&amp;search_path&amp;"\RTDC"&amp;B238&amp;"\"&amp;TEXT(F238,"YYYY-MM-DD")
&amp;" &amp; "&amp;"aws s3 cp "&amp;s3_bucket&amp;"/RTDC"&amp;B238&amp;"/ "&amp;search_path&amp;"\RTDC"&amp;B238&amp;"\"&amp;TEXT(F238+1,"YYYY-MM-DD")&amp;" --exclude ""*"" --recursive --include ""*"&amp;TEXT(F238+1,"YYYYMMDD")&amp;"*"" &amp; """&amp;walkandungz&amp;""" "&amp;search_path&amp;"\RTDC"&amp;B238&amp;"\"&amp;TEXT(F238+1,"YYYY-MM-DD")</f>
        <v>aws s3 cp s3://rtdc.mdm.uploadarchive.raw/RTDC4004/ "%USERPROFILE%\AppData\Local\Temp\OnboardLogs"\RTDC4004\2017-10-23 --exclude "*" --recursive --include "*20171023*" &amp; "%USERPROFILE%\Documents\GitHub\mrs-test-scripts\Headless Mode &amp; Sideloading\WalkAndUnGZ.bat" "%USERPROFILE%\AppData\Local\Temp\OnboardLogs"\RTDC4004\2017-10-23 &amp; aws s3 cp s3://rtdc.mdm.uploadarchive.raw/RTDC4004/ "%USERPROFILE%\AppData\Local\Temp\OnboardLogs"\RTDC4004\2017-10-24 --exclude "*" --recursive --include "*20171024*" &amp; "%USERPROFILE%\Documents\GitHub\mrs-test-scripts\Headless Mode &amp; Sideloading\WalkAndUnGZ.bat" "%USERPROFILE%\AppData\Local\Temp\OnboardLogs"\RTDC4004\2017-10-24</v>
      </c>
      <c r="AF238" s="74" t="str">
        <f>astrogrep_path&amp;" /e /r /s /spath="&amp;search_path&amp;" /stypes=""app*"&amp;B238&amp;"*"&amp;TEXT(I238-utc_offset/24,"YYYYMMDD")&amp;"*"" /stext="" "&amp;TEXT(I238-utc_offset/24,"HH")&amp;search_regexp&amp;""""</f>
        <v>"C:\Program Files (x86)\AstroGrep\AstroGrep.exe" /e /r /s /spath="%USERPROFILE%\AppData\Local\Temp\OnboardLogs" /stypes="app*4004*20171023*" /stext=" 13:.+((SYSTEM_STATE.+slice.+state.+changed )|(ment ac)|(multiple cpu faults)|(system.+state.+changed )|(\[timeout)|(PRM\|1\|D)|(kpr)|(kdp)|(train st.+moving)|(\|lc)|(penalty))"</v>
      </c>
      <c r="AG238" s="182" t="str">
        <f>DetSubdiv(A238)</f>
        <v>Shuttle/Test</v>
      </c>
      <c r="AH238" s="78" t="str">
        <f t="shared" si="71"/>
        <v>"%USERPROFILE%\Documents\GitHub\eaglep3\Utilities\RefineRTDCRunTimes.py" --tripid 55-23 --locoid 4004 --swversion DE.1.0.9.0 --startMP 204:1473 --initTime 2017-10-23T07:12:25 --startdatetime 2017-10-23T07:15:49 --delay 88 --endMP 204:3441 --enddatetime 2017-10-23T07:17:00 --enforcementcount 0 &gt;&gt;%USERPROFILE%\Documents\GitHub\eaglep3-reporting\EC\2017-10-23-refined-times.txt</v>
      </c>
      <c r="AI238" s="96" t="str">
        <f t="shared" si="72"/>
        <v>echo {"issue":{"subject":"","project_id":79,"tracker_id":40,"status_id":1,"priority_id":2,"assigned_to_id":338,"start_date":"2017-10-23","description":"","custom_fields":[{"id":1,"name":"Subdivision","value":"Shuttle/Test"},{"id":4,"name":"Milepost","value":"0.3441"},{"id":17,"name":"Train ID","value":"55-23"},{"id":16,"name":"Locomotive ID","value":"4004"},{"id":130,"name":"Impact","value":""},{"id":150,"name":"Time of Event (Mountain Time)","value":"07:17:00"},{"id":151,"name":"Denver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8" s="47"/>
      <c r="AL238" s="47"/>
      <c r="AM238" s="142" t="str">
        <f t="shared" si="73"/>
        <v>start /low /b %USERPROFILE%\Documents\GitHub\eaglep3\Utilities\DownloadLogsFromS3.py --loco 4004 --day 2017-10-23</v>
      </c>
      <c r="AN238" s="151" t="str">
        <f t="shared" si="74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13:17:00"},{"id":29,"name":"Sharepoint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 s="168" t="str">
        <f t="shared" si="75"/>
        <v>https://d0f6bd738d7f1b3e5a7ca70fe4ff75f0.us-east-1.aws.found.io/app/kibana#/discover/Steve-Slow-Train-Analysis-(2080s-and-2083s)?_g=(refreshInterval:(display:Off,pause:!f,section:0,value:0),time:(from:'2017-10-23T06:12:25-0600',mode:absolute,to:'2017-10-23T08:17:00-0600'))&amp;_a=(columns:!('Message%20ID',Summary),filters:!(),index:'emp_*',interval:auto,query:(query_string:(analyze_wildcard:!t,query:'%22rtdc.l.rtdc.4004%22')),sort:!(Time.ISO8601,asc))</v>
      </c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3">
      <c r="A239" s="32" t="s">
        <v>736</v>
      </c>
      <c r="B239" s="7">
        <v>4003</v>
      </c>
      <c r="C239" s="21" t="s">
        <v>194</v>
      </c>
      <c r="D239" s="21" t="s">
        <v>979</v>
      </c>
      <c r="E239" s="13">
        <v>43031.304907407408</v>
      </c>
      <c r="F239" s="13">
        <v>43031.306203703702</v>
      </c>
      <c r="G239" s="7">
        <v>63</v>
      </c>
      <c r="H239" s="21" t="s">
        <v>451</v>
      </c>
      <c r="I239" s="13">
        <v>43031.307303240741</v>
      </c>
      <c r="J239" s="7">
        <v>0</v>
      </c>
      <c r="K239" s="89" t="str">
        <f>IF(ISEVEN(B239),(B239-1)&amp;"/"&amp;B239,B239&amp;"/"&amp;(B239+1))</f>
        <v>4003/4004</v>
      </c>
      <c r="L239" s="185" t="str">
        <f>VLOOKUP(A239,'Trips&amp;Operators'!$C$1:$G$99911,5,FALSE)</f>
        <v>BROWN JACOB</v>
      </c>
      <c r="M239" s="6">
        <f>I239-F239</f>
        <v>1.0995370394084603E-3</v>
      </c>
      <c r="N239" s="7">
        <f>24*60*SUM($M239:$M239)</f>
        <v>1.5833333367481828</v>
      </c>
      <c r="O239" s="7"/>
      <c r="P239" s="7"/>
      <c r="Q239" s="22"/>
      <c r="R239" s="174"/>
      <c r="S239" s="221">
        <f>1/IF(AG239="EC",12,1)*SUM(U239:U239)</f>
        <v>0</v>
      </c>
      <c r="T239" s="174" t="str">
        <f>IF(ISEVEN(LEFT(AD239,4)),"Southbound","NorthBound")</f>
        <v>Southbound</v>
      </c>
      <c r="U239" s="198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216" t="str">
        <f>"https://d0f6bd738d7f1b3e5a7ca70fe4ff75f0.us-east-1.aws.found.io/app/kibana#/discover/Steve-Slow-Train-Analysis-(2080s-and-2083s)?_g="&amp;"(refreshInterval:(display:Off,pause:!f,section:0,value:0),time:(from:'"&amp;TEXT(E239-1/24,"yyyy-MM-DDThh:mm:ss")&amp;utc_offset&amp;"00"&amp;"',mode:absolute,to:'"&amp;TEXT(I239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239&amp;"%22')),sort:!(Time.ISO8601,asc))"</f>
        <v>https://d0f6bd738d7f1b3e5a7ca70fe4ff75f0.us-east-1.aws.found.io/app/kibana#/discover/Steve-Slow-Train-Analysis-(2080s-and-2083s)?_g=(refreshInterval:(display:Off,pause:!f,section:0,value:0),time:(from:'2017-10-23T06:19:04-0600',mode:absolute,to:'2017-10-23T08:22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39" s="204" t="str">
        <f>IF(AA239&lt;VLOOKUP(AG239,Variables!$AC$3:$AD$8,2,FALSE),"Y","N")</f>
        <v>Y</v>
      </c>
      <c r="X239" s="204">
        <f>VALUE(LEFT(AD239,4))-VALUE(LEFT(AD238,4))</f>
        <v>1</v>
      </c>
      <c r="Y239" s="204">
        <f>RIGHT(D239,LEN(D239)-4)/10000</f>
        <v>0.31080000000000002</v>
      </c>
      <c r="Z239" s="204">
        <f>RIGHT(H239,LEN(H239)-4)/10000</f>
        <v>1.34E-2</v>
      </c>
      <c r="AA239" s="204">
        <f>ABS(Z239-Y239)</f>
        <v>0.2974</v>
      </c>
      <c r="AB239" s="54" t="e">
        <f>VLOOKUP(A239,Enforcements!$C$7:$K$11,8,0)</f>
        <v>#N/A</v>
      </c>
      <c r="AC239" s="51" t="e">
        <f>VLOOKUP(A239,Enforcements!$C$7:$E$11,3,0)</f>
        <v>#N/A</v>
      </c>
      <c r="AD239" s="179">
        <f>VALUE(LEFT(A239,LEN(A239)-3))</f>
        <v>56</v>
      </c>
      <c r="AE239" s="77" t="str">
        <f>"aws s3 cp "&amp;s3_bucket&amp;"/RTDC"&amp;B239&amp;"/ "&amp;search_path&amp;"\RTDC"&amp;B239&amp;"\"&amp;TEXT(F239,"YYYY-MM-DD")&amp;" --exclude ""*"" --recursive --include ""*"&amp;TEXT(F239,"YYYYMMDD")&amp;"*"" &amp; """&amp;walkandungz&amp;""" "&amp;search_path&amp;"\RTDC"&amp;B239&amp;"\"&amp;TEXT(F239,"YYYY-MM-DD")
&amp;" &amp; "&amp;"aws s3 cp "&amp;s3_bucket&amp;"/RTDC"&amp;B239&amp;"/ "&amp;search_path&amp;"\RTDC"&amp;B239&amp;"\"&amp;TEXT(F239+1,"YYYY-MM-DD")&amp;" --exclude ""*"" --recursive --include ""*"&amp;TEXT(F239+1,"YYYYMMDD")&amp;"*"" &amp; """&amp;walkandungz&amp;""" "&amp;search_path&amp;"\RTDC"&amp;B239&amp;"\"&amp;TEXT(F239+1,"YYYY-MM-DD")</f>
        <v>aws s3 cp s3://rtdc.mdm.uploadarchive.raw/RTDC4003/ "%USERPROFILE%\AppData\Local\Temp\OnboardLogs"\RTDC4003\2017-10-23 --exclude "*" --recursive --include "*20171023*" &amp; "%USERPROFILE%\Documents\GitHub\mrs-test-scripts\Headless Mode &amp; Sideloading\WalkAndUnGZ.bat" "%USERPROFILE%\AppData\Local\Temp\OnboardLogs"\RTDC4003\2017-10-23 &amp; aws s3 cp s3://rtdc.mdm.uploadarchive.raw/RTDC4003/ "%USERPROFILE%\AppData\Local\Temp\OnboardLogs"\RTDC4003\2017-10-24 --exclude "*" --recursive --include "*20171024*" &amp; "%USERPROFILE%\Documents\GitHub\mrs-test-scripts\Headless Mode &amp; Sideloading\WalkAndUnGZ.bat" "%USERPROFILE%\AppData\Local\Temp\OnboardLogs"\RTDC4003\2017-10-24</v>
      </c>
      <c r="AF239" s="74" t="str">
        <f>astrogrep_path&amp;" /e /r /s /spath="&amp;search_path&amp;" /stypes=""app*"&amp;B239&amp;"*"&amp;TEXT(I239-utc_offset/24,"YYYYMMDD")&amp;"*"" /stext="" "&amp;TEXT(I239-utc_offset/24,"HH")&amp;search_regexp&amp;""""</f>
        <v>"C:\Program Files (x86)\AstroGrep\AstroGrep.exe" /e /r /s /spath="%USERPROFILE%\AppData\Local\Temp\OnboardLogs" /stypes="app*4003*20171023*" /stext=" 13:.+((SYSTEM_STATE.+slice.+state.+changed )|(ment ac)|(multiple cpu faults)|(system.+state.+changed )|(\[timeout)|(PRM\|1\|D)|(kpr)|(kdp)|(train st.+moving)|(\|lc)|(penalty))"</v>
      </c>
      <c r="AG239" s="182" t="str">
        <f>DetSubdiv(A239)</f>
        <v>Shuttle/Test</v>
      </c>
      <c r="AH239" s="78" t="str">
        <f t="shared" si="71"/>
        <v>"%USERPROFILE%\Documents\GitHub\eaglep3\Utilities\RefineRTDCRunTimes.py" --tripid 56-23 --locoid 4003 --swversion DE.1.0.9.0 --startMP 204:3108 --initTime 2017-10-23T07:19:04 --startdatetime 2017-10-23T07:20:56 --delay 63 --endMP 204:134 --enddatetime 2017-10-23T07:22:31 --enforcementcount 0 &gt;&gt;%USERPROFILE%\Documents\GitHub\eaglep3-reporting\EC\2017-10-23-refined-times.txt</v>
      </c>
      <c r="AI239" s="96" t="str">
        <f t="shared" si="72"/>
        <v>echo {"issue":{"subject":"","project_id":79,"tracker_id":40,"status_id":1,"priority_id":2,"assigned_to_id":338,"start_date":"2017-10-23","description":"","custom_fields":[{"id":1,"name":"Subdivision","value":"Shuttle/Test"},{"id":4,"name":"Milepost","value":"0.0134"},{"id":17,"name":"Train ID","value":"56-23"},{"id":16,"name":"Locomotive ID","value":"4003"},{"id":130,"name":"Impact","value":""},{"id":150,"name":"Time of Event (Mountain Time)","value":"07:22:31"},{"id":151,"name":"Denver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9" s="47"/>
      <c r="AL239" s="47"/>
      <c r="AM239" s="142" t="str">
        <f t="shared" si="73"/>
        <v>start /low /b %USERPROFILE%\Documents\GitHub\eaglep3\Utilities\DownloadLogsFromS3.py --loco 4003 --day 2017-10-23</v>
      </c>
      <c r="AN239" s="151" t="str">
        <f t="shared" si="74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13:22:31"},{"id":29,"name":"Sharepoint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 s="168" t="str">
        <f t="shared" si="75"/>
        <v>https://d0f6bd738d7f1b3e5a7ca70fe4ff75f0.us-east-1.aws.found.io/app/kibana#/discover/Steve-Slow-Train-Analysis-(2080s-and-2083s)?_g=(refreshInterval:(display:Off,pause:!f,section:0,value:0),time:(from:'2017-10-23T06:19:04-0600',mode:absolute,to:'2017-10-23T08:22:31-0600'))&amp;_a=(columns:!('Message%20ID',Summary),filters:!(),index:'emp_*',interval:auto,query:(query_string:(analyze_wildcard:!t,query:'%22rtdc.l.rtdc.4003%22')),sort:!(Time.ISO8601,asc))</v>
      </c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3">
      <c r="A240" s="32" t="s">
        <v>745</v>
      </c>
      <c r="B240" s="7">
        <v>4008</v>
      </c>
      <c r="C240" s="21" t="s">
        <v>194</v>
      </c>
      <c r="D240" s="21" t="s">
        <v>980</v>
      </c>
      <c r="E240" s="13">
        <v>43031.339745370373</v>
      </c>
      <c r="F240" s="13">
        <v>43031.345648148148</v>
      </c>
      <c r="G240" s="7">
        <v>145</v>
      </c>
      <c r="H240" s="21" t="s">
        <v>981</v>
      </c>
      <c r="I240" s="13">
        <v>43031.347118055557</v>
      </c>
      <c r="J240" s="7">
        <v>0</v>
      </c>
      <c r="K240" s="89" t="str">
        <f>IF(ISEVEN(B240),(B240-1)&amp;"/"&amp;B240,B240&amp;"/"&amp;(B240+1))</f>
        <v>4007/4008</v>
      </c>
      <c r="L240" s="185" t="str">
        <f>VLOOKUP(A240,'Trips&amp;Operators'!$C$1:$G$99911,5,FALSE)</f>
        <v>ACKERMAN JARED</v>
      </c>
      <c r="M240" s="6">
        <f>I240-F240</f>
        <v>1.4699074090458453E-3</v>
      </c>
      <c r="N240" s="7">
        <f>24*60*SUM($M240:$M240)</f>
        <v>2.1166666690260172</v>
      </c>
      <c r="O240" s="7"/>
      <c r="P240" s="7"/>
      <c r="Q240" s="22"/>
      <c r="R240" s="174"/>
      <c r="S240" s="221">
        <f>1/IF(AG240="EC",12,1)*SUM(U240:U240)</f>
        <v>0</v>
      </c>
      <c r="T240" s="174" t="str">
        <f>IF(ISEVEN(LEFT(AD240,4)),"Southbound","NorthBound")</f>
        <v>NorthBound</v>
      </c>
      <c r="U240" s="198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216" t="str">
        <f>"https://d0f6bd738d7f1b3e5a7ca70fe4ff75f0.us-east-1.aws.found.io/app/kibana#/discover/Steve-Slow-Train-Analysis-(2080s-and-2083s)?_g="&amp;"(refreshInterval:(display:Off,pause:!f,section:0,value:0),time:(from:'"&amp;TEXT(E240-1/24,"yyyy-MM-DDThh:mm:ss")&amp;utc_offset&amp;"00"&amp;"',mode:absolute,to:'"&amp;TEXT(I240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240&amp;"%22')),sort:!(Time.ISO8601,asc))"</f>
        <v>https://d0f6bd738d7f1b3e5a7ca70fe4ff75f0.us-east-1.aws.found.io/app/kibana#/discover/Steve-Slow-Train-Analysis-(2080s-and-2083s)?_g=(refreshInterval:(display:Off,pause:!f,section:0,value:0),time:(from:'2017-10-23T07:09:14-0600',mode:absolute,to:'2017-10-23T09:19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40" s="204" t="str">
        <f>IF(AA240&lt;VLOOKUP(AG240,Variables!$AC$3:$AD$8,2,FALSE),"Y","N")</f>
        <v>Y</v>
      </c>
      <c r="X240" s="204">
        <f>VALUE(LEFT(AD240,4))-VALUE(LEFT(AD239,4))</f>
        <v>5</v>
      </c>
      <c r="Y240" s="204">
        <f>RIGHT(D240,LEN(D240)-4)/10000</f>
        <v>0.1143</v>
      </c>
      <c r="Z240" s="204">
        <f>RIGHT(H240,LEN(H240)-4)/10000</f>
        <v>0.3473</v>
      </c>
      <c r="AA240" s="204">
        <f>ABS(Z240-Y240)</f>
        <v>0.23299999999999998</v>
      </c>
      <c r="AB240" s="54" t="e">
        <f>VLOOKUP(A240,Enforcements!$C$7:$K$11,8,0)</f>
        <v>#N/A</v>
      </c>
      <c r="AC240" s="51" t="e">
        <f>VLOOKUP(A240,Enforcements!$C$7:$E$11,3,0)</f>
        <v>#N/A</v>
      </c>
      <c r="AD240" s="179">
        <f>VALUE(LEFT(A240,LEN(A240)-3))</f>
        <v>61</v>
      </c>
      <c r="AE240" s="77" t="str">
        <f>"aws s3 cp "&amp;s3_bucket&amp;"/RTDC"&amp;B240&amp;"/ "&amp;search_path&amp;"\RTDC"&amp;B240&amp;"\"&amp;TEXT(F240,"YYYY-MM-DD")&amp;" --exclude ""*"" --recursive --include ""*"&amp;TEXT(F240,"YYYYMMDD")&amp;"*"" &amp; """&amp;walkandungz&amp;""" "&amp;search_path&amp;"\RTDC"&amp;B240&amp;"\"&amp;TEXT(F240,"YYYY-MM-DD")
&amp;" &amp; "&amp;"aws s3 cp "&amp;s3_bucket&amp;"/RTDC"&amp;B240&amp;"/ "&amp;search_path&amp;"\RTDC"&amp;B240&amp;"\"&amp;TEXT(F240+1,"YYYY-MM-DD")&amp;" --exclude ""*"" --recursive --include ""*"&amp;TEXT(F240+1,"YYYYMMDD")&amp;"*"" &amp; """&amp;walkandungz&amp;""" "&amp;search_path&amp;"\RTDC"&amp;B240&amp;"\"&amp;TEXT(F240+1,"YYYY-MM-DD")</f>
        <v>aws s3 cp s3://rtdc.mdm.uploadarchive.raw/RTDC4008/ "%USERPROFILE%\AppData\Local\Temp\OnboardLogs"\RTDC4008\2017-10-23 --exclude "*" --recursive --include "*20171023*" &amp; "%USERPROFILE%\Documents\GitHub\mrs-test-scripts\Headless Mode &amp; Sideloading\WalkAndUnGZ.bat" "%USERPROFILE%\AppData\Local\Temp\OnboardLogs"\RTDC4008\2017-10-23 &amp; aws s3 cp s3://rtdc.mdm.uploadarchive.raw/RTDC4008/ "%USERPROFILE%\AppData\Local\Temp\OnboardLogs"\RTDC4008\2017-10-24 --exclude "*" --recursive --include "*20171024*" &amp; "%USERPROFILE%\Documents\GitHub\mrs-test-scripts\Headless Mode &amp; Sideloading\WalkAndUnGZ.bat" "%USERPROFILE%\AppData\Local\Temp\OnboardLogs"\RTDC4008\2017-10-24</v>
      </c>
      <c r="AF240" s="74" t="str">
        <f>astrogrep_path&amp;" /e /r /s /spath="&amp;search_path&amp;" /stypes=""app*"&amp;B240&amp;"*"&amp;TEXT(I240-utc_offset/24,"YYYYMMDD")&amp;"*"" /stext="" "&amp;TEXT(I240-utc_offset/24,"HH")&amp;search_regexp&amp;""""</f>
        <v>"C:\Program Files (x86)\AstroGrep\AstroGrep.exe" /e /r /s /spath="%USERPROFILE%\AppData\Local\Temp\OnboardLogs" /stypes="app*4008*20171023*" /stext=" 14:.+((SYSTEM_STATE.+slice.+state.+changed )|(ment ac)|(multiple cpu faults)|(system.+state.+changed )|(\[timeout)|(PRM\|1\|D)|(kpr)|(kdp)|(train st.+moving)|(\|lc)|(penalty))"</v>
      </c>
      <c r="AG240" s="182" t="str">
        <f>DetSubdiv(A240)</f>
        <v>Shuttle/Test</v>
      </c>
      <c r="AH240" s="78" t="str">
        <f t="shared" si="71"/>
        <v>"%USERPROFILE%\Documents\GitHub\eaglep3\Utilities\RefineRTDCRunTimes.py" --tripid 61-23 --locoid 4008 --swversion DE.1.0.9.0 --startMP 204:1143 --initTime 2017-10-23T08:09:14 --startdatetime 2017-10-23T08:17:44 --delay 145 --endMP 204:3473 --enddatetime 2017-10-23T08:19:51 --enforcementcount 0 &gt;&gt;%USERPROFILE%\Documents\GitHub\eaglep3-reporting\EC\2017-10-23-refined-times.txt</v>
      </c>
      <c r="AI240" s="96" t="str">
        <f t="shared" si="72"/>
        <v>echo {"issue":{"subject":"","project_id":79,"tracker_id":40,"status_id":1,"priority_id":2,"assigned_to_id":338,"start_date":"2017-10-23","description":"","custom_fields":[{"id":1,"name":"Subdivision","value":"Shuttle/Test"},{"id":4,"name":"Milepost","value":"0.3473"},{"id":17,"name":"Train ID","value":"61-23"},{"id":16,"name":"Locomotive ID","value":"4008"},{"id":130,"name":"Impact","value":""},{"id":150,"name":"Time of Event (Mountain Time)","value":"08:19:51"},{"id":151,"name":"Denver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0" s="47"/>
      <c r="AL240" s="47"/>
      <c r="AM240" s="142" t="str">
        <f t="shared" si="73"/>
        <v>start /low /b %USERPROFILE%\Documents\GitHub\eaglep3\Utilities\DownloadLogsFromS3.py --loco 4008 --day 2017-10-23</v>
      </c>
      <c r="AN240" s="151" t="str">
        <f t="shared" si="74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14:19:51"},{"id":29,"name":"Sharepoint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0" s="168" t="str">
        <f t="shared" si="75"/>
        <v>https://d0f6bd738d7f1b3e5a7ca70fe4ff75f0.us-east-1.aws.found.io/app/kibana#/discover/Steve-Slow-Train-Analysis-(2080s-and-2083s)?_g=(refreshInterval:(display:Off,pause:!f,section:0,value:0),time:(from:'2017-10-23T07:09:14-0600',mode:absolute,to:'2017-10-23T09:19:51-0600'))&amp;_a=(columns:!('Message%20ID',Summary),filters:!(),index:'emp_*',interval:auto,query:(query_string:(analyze_wildcard:!t,query:'%22rtdc.l.rtdc.4008%22')),sort:!(Time.ISO8601,asc))</v>
      </c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3">
      <c r="A241" s="32" t="s">
        <v>749</v>
      </c>
      <c r="B241" s="7">
        <v>4007</v>
      </c>
      <c r="C241" s="21" t="s">
        <v>194</v>
      </c>
      <c r="D241" s="21" t="s">
        <v>982</v>
      </c>
      <c r="E241" s="13">
        <v>43031.348287037035</v>
      </c>
      <c r="F241" s="13">
        <v>43031.349814814814</v>
      </c>
      <c r="G241" s="7">
        <v>65</v>
      </c>
      <c r="H241" s="21" t="s">
        <v>355</v>
      </c>
      <c r="I241" s="13">
        <v>43031.35119212963</v>
      </c>
      <c r="J241" s="7">
        <v>0</v>
      </c>
      <c r="K241" s="89" t="str">
        <f>IF(ISEVEN(B241),(B241-1)&amp;"/"&amp;B241,B241&amp;"/"&amp;(B241+1))</f>
        <v>4007/4008</v>
      </c>
      <c r="L241" s="185" t="str">
        <f>VLOOKUP(A241,'Trips&amp;Operators'!$C$1:$G$99911,5,FALSE)</f>
        <v>ACKERMAN JARED</v>
      </c>
      <c r="M241" s="6">
        <f>I241-F241</f>
        <v>1.377314816636499E-3</v>
      </c>
      <c r="N241" s="7">
        <f>24*60*SUM($M241:$M241)</f>
        <v>1.9833333359565586</v>
      </c>
      <c r="O241" s="7"/>
      <c r="P241" s="7"/>
      <c r="Q241" s="22"/>
      <c r="R241" s="174"/>
      <c r="S241" s="221">
        <f>1/IF(AG241="EC",12,1)*SUM(U241:U241)</f>
        <v>0</v>
      </c>
      <c r="T241" s="174" t="str">
        <f>IF(ISEVEN(LEFT(AD241,4)),"Southbound","NorthBound")</f>
        <v>Southbound</v>
      </c>
      <c r="U241" s="198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216" t="str">
        <f>"https://d0f6bd738d7f1b3e5a7ca70fe4ff75f0.us-east-1.aws.found.io/app/kibana#/discover/Steve-Slow-Train-Analysis-(2080s-and-2083s)?_g="&amp;"(refreshInterval:(display:Off,pause:!f,section:0,value:0),time:(from:'"&amp;TEXT(E241-1/24,"yyyy-MM-DDThh:mm:ss")&amp;utc_offset&amp;"00"&amp;"',mode:absolute,to:'"&amp;TEXT(I241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241&amp;"%22')),sort:!(Time.ISO8601,asc))"</f>
        <v>https://d0f6bd738d7f1b3e5a7ca70fe4ff75f0.us-east-1.aws.found.io/app/kibana#/discover/Steve-Slow-Train-Analysis-(2080s-and-2083s)?_g=(refreshInterval:(display:Off,pause:!f,section:0,value:0),time:(from:'2017-10-23T07:21:32-0600',mode:absolute,to:'2017-10-23T09:25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41" s="204" t="str">
        <f>IF(AA241&lt;VLOOKUP(AG241,Variables!$AC$3:$AD$8,2,FALSE),"Y","N")</f>
        <v>Y</v>
      </c>
      <c r="X241" s="204">
        <f>VALUE(LEFT(AD241,4))-VALUE(LEFT(AD240,4))</f>
        <v>1</v>
      </c>
      <c r="Y241" s="204">
        <f>RIGHT(D241,LEN(D241)-4)/10000</f>
        <v>0.31630000000000003</v>
      </c>
      <c r="Z241" s="204">
        <f>RIGHT(H241,LEN(H241)-4)/10000</f>
        <v>1.4500000000000001E-2</v>
      </c>
      <c r="AA241" s="204">
        <f>ABS(Z241-Y241)</f>
        <v>0.30180000000000001</v>
      </c>
      <c r="AB241" s="54" t="e">
        <f>VLOOKUP(A241,Enforcements!$C$7:$K$11,8,0)</f>
        <v>#N/A</v>
      </c>
      <c r="AC241" s="51" t="e">
        <f>VLOOKUP(A241,Enforcements!$C$7:$E$11,3,0)</f>
        <v>#N/A</v>
      </c>
      <c r="AD241" s="179">
        <f>VALUE(LEFT(A241,LEN(A241)-3))</f>
        <v>62</v>
      </c>
      <c r="AE241" s="77" t="str">
        <f>"aws s3 cp "&amp;s3_bucket&amp;"/RTDC"&amp;B241&amp;"/ "&amp;search_path&amp;"\RTDC"&amp;B241&amp;"\"&amp;TEXT(F241,"YYYY-MM-DD")&amp;" --exclude ""*"" --recursive --include ""*"&amp;TEXT(F241,"YYYYMMDD")&amp;"*"" &amp; """&amp;walkandungz&amp;""" "&amp;search_path&amp;"\RTDC"&amp;B241&amp;"\"&amp;TEXT(F241,"YYYY-MM-DD")
&amp;" &amp; "&amp;"aws s3 cp "&amp;s3_bucket&amp;"/RTDC"&amp;B241&amp;"/ "&amp;search_path&amp;"\RTDC"&amp;B241&amp;"\"&amp;TEXT(F241+1,"YYYY-MM-DD")&amp;" --exclude ""*"" --recursive --include ""*"&amp;TEXT(F241+1,"YYYYMMDD")&amp;"*"" &amp; """&amp;walkandungz&amp;""" "&amp;search_path&amp;"\RTDC"&amp;B241&amp;"\"&amp;TEXT(F241+1,"YYYY-MM-DD")</f>
        <v>aws s3 cp s3://rtdc.mdm.uploadarchive.raw/RTDC4007/ "%USERPROFILE%\AppData\Local\Temp\OnboardLogs"\RTDC4007\2017-10-23 --exclude "*" --recursive --include "*20171023*" &amp; "%USERPROFILE%\Documents\GitHub\mrs-test-scripts\Headless Mode &amp; Sideloading\WalkAndUnGZ.bat" "%USERPROFILE%\AppData\Local\Temp\OnboardLogs"\RTDC4007\2017-10-23 &amp; aws s3 cp s3://rtdc.mdm.uploadarchive.raw/RTDC4007/ "%USERPROFILE%\AppData\Local\Temp\OnboardLogs"\RTDC4007\2017-10-24 --exclude "*" --recursive --include "*20171024*" &amp; "%USERPROFILE%\Documents\GitHub\mrs-test-scripts\Headless Mode &amp; Sideloading\WalkAndUnGZ.bat" "%USERPROFILE%\AppData\Local\Temp\OnboardLogs"\RTDC4007\2017-10-24</v>
      </c>
      <c r="AF241" s="74" t="str">
        <f>astrogrep_path&amp;" /e /r /s /spath="&amp;search_path&amp;" /stypes=""app*"&amp;B241&amp;"*"&amp;TEXT(I241-utc_offset/24,"YYYYMMDD")&amp;"*"" /stext="" "&amp;TEXT(I241-utc_offset/24,"HH")&amp;search_regexp&amp;""""</f>
        <v>"C:\Program Files (x86)\AstroGrep\AstroGrep.exe" /e /r /s /spath="%USERPROFILE%\AppData\Local\Temp\OnboardLogs" /stypes="app*4007*20171023*" /stext=" 14:.+((SYSTEM_STATE.+slice.+state.+changed )|(ment ac)|(multiple cpu faults)|(system.+state.+changed )|(\[timeout)|(PRM\|1\|D)|(kpr)|(kdp)|(train st.+moving)|(\|lc)|(penalty))"</v>
      </c>
      <c r="AG241" s="182" t="str">
        <f>DetSubdiv(A241)</f>
        <v>Shuttle/Test</v>
      </c>
      <c r="AH241" s="78" t="str">
        <f t="shared" si="71"/>
        <v>"%USERPROFILE%\Documents\GitHub\eaglep3\Utilities\RefineRTDCRunTimes.py" --tripid 62-23 --locoid 4007 --swversion DE.1.0.9.0 --startMP 204:3163 --initTime 2017-10-23T08:21:32 --startdatetime 2017-10-23T08:23:44 --delay 65 --endMP 204:145 --enddatetime 2017-10-23T08:25:43 --enforcementcount 0 &gt;&gt;%USERPROFILE%\Documents\GitHub\eaglep3-reporting\EC\2017-10-23-refined-times.txt</v>
      </c>
      <c r="AI241" s="96" t="str">
        <f t="shared" si="72"/>
        <v>echo {"issue":{"subject":"","project_id":79,"tracker_id":40,"status_id":1,"priority_id":2,"assigned_to_id":338,"start_date":"2017-10-23","description":"","custom_fields":[{"id":1,"name":"Subdivision","value":"Shuttle/Test"},{"id":4,"name":"Milepost","value":"0.0145"},{"id":17,"name":"Train ID","value":"62-23"},{"id":16,"name":"Locomotive ID","value":"4007"},{"id":130,"name":"Impact","value":""},{"id":150,"name":"Time of Event (Mountain Time)","value":"08:25:43"},{"id":151,"name":"Denver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1" s="47"/>
      <c r="AL241" s="47"/>
      <c r="AM241" s="142" t="str">
        <f t="shared" si="73"/>
        <v>start /low /b %USERPROFILE%\Documents\GitHub\eaglep3\Utilities\DownloadLogsFromS3.py --loco 4007 --day 2017-10-23</v>
      </c>
      <c r="AN241" s="151" t="str">
        <f t="shared" si="74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14:25:43"},{"id":29,"name":"Sharepoint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1" s="168" t="str">
        <f t="shared" si="75"/>
        <v>https://d0f6bd738d7f1b3e5a7ca70fe4ff75f0.us-east-1.aws.found.io/app/kibana#/discover/Steve-Slow-Train-Analysis-(2080s-and-2083s)?_g=(refreshInterval:(display:Off,pause:!f,section:0,value:0),time:(from:'2017-10-23T07:21:32-0600',mode:absolute,to:'2017-10-23T09:25:43-0600'))&amp;_a=(columns:!('Message%20ID',Summary),filters:!(),index:'emp_*',interval:auto,query:(query_string:(analyze_wildcard:!t,query:'%22rtdc.l.rtdc.4007%22')),sort:!(Time.ISO8601,asc))</v>
      </c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3">
      <c r="A242" s="32" t="s">
        <v>822</v>
      </c>
      <c r="B242" s="7">
        <v>4064</v>
      </c>
      <c r="C242" s="21" t="s">
        <v>194</v>
      </c>
      <c r="D242" s="21" t="s">
        <v>983</v>
      </c>
      <c r="E242" s="13">
        <v>43031.684201388889</v>
      </c>
      <c r="F242" s="13">
        <v>43031.696192129632</v>
      </c>
      <c r="G242" s="7">
        <v>90</v>
      </c>
      <c r="H242" s="21" t="s">
        <v>984</v>
      </c>
      <c r="I242" s="13">
        <v>43031.709988425922</v>
      </c>
      <c r="J242" s="7">
        <v>0</v>
      </c>
      <c r="K242" s="89" t="str">
        <f>IF(ISEVEN(B242),(B242-1)&amp;"/"&amp;B242,B242&amp;"/"&amp;(B242+1))</f>
        <v>4063/4064</v>
      </c>
      <c r="L242" s="185" t="str">
        <f>VLOOKUP(A242,'Trips&amp;Operators'!$C$1:$G$99911,5,FALSE)</f>
        <v>RESPASS AARON</v>
      </c>
      <c r="M242" s="6">
        <f>I242-F242</f>
        <v>1.3796296290820464E-2</v>
      </c>
      <c r="N242" s="7">
        <f>24*60*SUM($M242:$M242)</f>
        <v>19.866666658781469</v>
      </c>
      <c r="O242" s="7"/>
      <c r="P242" s="7"/>
      <c r="Q242" s="22"/>
      <c r="R242" s="174"/>
      <c r="S242" s="221">
        <f>1/IF(AG242="EC",12,1)*SUM(U242:U242)</f>
        <v>1</v>
      </c>
      <c r="T242" s="174" t="str">
        <f>IF(ISEVEN(LEFT(AD242,4)),"Southbound","NorthBound")</f>
        <v>NorthBound</v>
      </c>
      <c r="U242" s="198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1</v>
      </c>
      <c r="V242" s="216" t="str">
        <f>"https://d0f6bd738d7f1b3e5a7ca70fe4ff75f0.us-east-1.aws.found.io/app/kibana#/discover/Steve-Slow-Train-Analysis-(2080s-and-2083s)?_g="&amp;"(refreshInterval:(display:Off,pause:!f,section:0,value:0),time:(from:'"&amp;TEXT(E242-1/24,"yyyy-MM-DDThh:mm:ss")&amp;utc_offset&amp;"00"&amp;"',mode:absolute,to:'"&amp;TEXT(I242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242&amp;"%22')),sort:!(Time.ISO8601,asc))"</f>
        <v>https://d0f6bd738d7f1b3e5a7ca70fe4ff75f0.us-east-1.aws.found.io/app/kibana#/discover/Steve-Slow-Train-Analysis-(2080s-and-2083s)?_g=(refreshInterval:(display:Off,pause:!f,section:0,value:0),time:(from:'2017-10-23T15:25:15-0600',mode:absolute,to:'2017-10-23T18:02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42" s="204" t="str">
        <f>IF(AA242&lt;VLOOKUP(AG242,Variables!$AC$3:$AD$8,2,FALSE),"Y","N")</f>
        <v>Y</v>
      </c>
      <c r="X242" s="204">
        <f>VALUE(LEFT(AD242,4))-VALUE(LEFT(AD241,4))</f>
        <v>13</v>
      </c>
      <c r="Y242" s="204">
        <f>RIGHT(D242,LEN(D242)-4)/10000</f>
        <v>0.1492</v>
      </c>
      <c r="Z242" s="204">
        <f>RIGHT(H242,LEN(H242)-4)/10000</f>
        <v>2.3294999999999999</v>
      </c>
      <c r="AA242" s="204">
        <f>ABS(Z242-Y242)</f>
        <v>2.1802999999999999</v>
      </c>
      <c r="AB242" s="54" t="e">
        <f>VLOOKUP(A242,Enforcements!$C$7:$K$11,8,0)</f>
        <v>#N/A</v>
      </c>
      <c r="AC242" s="51" t="e">
        <f>VLOOKUP(A242,Enforcements!$C$7:$E$11,3,0)</f>
        <v>#N/A</v>
      </c>
      <c r="AD242" s="179">
        <f>VALUE(LEFT(A242,LEN(A242)-3))</f>
        <v>75</v>
      </c>
      <c r="AE242" s="77" t="str">
        <f>"aws s3 cp "&amp;s3_bucket&amp;"/RTDC"&amp;B242&amp;"/ "&amp;search_path&amp;"\RTDC"&amp;B242&amp;"\"&amp;TEXT(F242,"YYYY-MM-DD")&amp;" --exclude ""*"" --recursive --include ""*"&amp;TEXT(F242,"YYYYMMDD")&amp;"*"" &amp; """&amp;walkandungz&amp;""" "&amp;search_path&amp;"\RTDC"&amp;B242&amp;"\"&amp;TEXT(F242,"YYYY-MM-DD")
&amp;" &amp; "&amp;"aws s3 cp "&amp;s3_bucket&amp;"/RTDC"&amp;B242&amp;"/ "&amp;search_path&amp;"\RTDC"&amp;B242&amp;"\"&amp;TEXT(F242+1,"YYYY-MM-DD")&amp;" --exclude ""*"" --recursive --include ""*"&amp;TEXT(F242+1,"YYYYMMDD")&amp;"*"" &amp; """&amp;walkandungz&amp;""" "&amp;search_path&amp;"\RTDC"&amp;B242&amp;"\"&amp;TEXT(F242+1,"YYYY-MM-DD")</f>
        <v>aws s3 cp s3://rtdc.mdm.uploadarchive.raw/RTDC4064/ "%USERPROFILE%\AppData\Local\Temp\OnboardLogs"\RTDC4064\2017-10-23 --exclude "*" --recursive --include "*20171023*" &amp; "%USERPROFILE%\Documents\GitHub\mrs-test-scripts\Headless Mode &amp; Sideloading\WalkAndUnGZ.bat" "%USERPROFILE%\AppData\Local\Temp\OnboardLogs"\RTDC4064\2017-10-23 &amp; aws s3 cp s3://rtdc.mdm.uploadarchive.raw/RTDC4064/ "%USERPROFILE%\AppData\Local\Temp\OnboardLogs"\RTDC4064\2017-10-24 --exclude "*" --recursive --include "*20171024*" &amp; "%USERPROFILE%\Documents\GitHub\mrs-test-scripts\Headless Mode &amp; Sideloading\WalkAndUnGZ.bat" "%USERPROFILE%\AppData\Local\Temp\OnboardLogs"\RTDC4064\2017-10-24</v>
      </c>
      <c r="AF242" s="74" t="str">
        <f>astrogrep_path&amp;" /e /r /s /spath="&amp;search_path&amp;" /stypes=""app*"&amp;B242&amp;"*"&amp;TEXT(I242-utc_offset/24,"YYYYMMDD")&amp;"*"" /stext="" "&amp;TEXT(I242-utc_offset/24,"HH")&amp;search_regexp&amp;""""</f>
        <v>"C:\Program Files (x86)\AstroGrep\AstroGrep.exe" /e /r /s /spath="%USERPROFILE%\AppData\Local\Temp\OnboardLogs" /stypes="app*4064*20171023*" /stext=" 23:.+((SYSTEM_STATE.+slice.+state.+changed )|(ment ac)|(multiple cpu faults)|(system.+state.+changed )|(\[timeout)|(PRM\|1\|D)|(kpr)|(kdp)|(train st.+moving)|(\|lc)|(penalty))"</v>
      </c>
      <c r="AG242" s="182" t="str">
        <f>DetSubdiv(A242)</f>
        <v>Shuttle/Test</v>
      </c>
      <c r="AH242" s="78" t="str">
        <f t="shared" si="71"/>
        <v>"%USERPROFILE%\Documents\GitHub\eaglep3\Utilities\RefineRTDCRunTimes.py" --tripid 75-23 --locoid 4064 --swversion DE.1.0.9.0 --startMP 204:1492 --initTime 2017-10-23T16:25:15 --startdatetime 2017-10-23T16:42:31 --delay 90 --endMP 300:23295 --enddatetime 2017-10-23T17:02:23 --enforcementcount 0 &gt;&gt;%USERPROFILE%\Documents\GitHub\eaglep3-reporting\EC\2017-10-23-refined-times.txt</v>
      </c>
      <c r="AI242" s="96" t="str">
        <f t="shared" si="72"/>
        <v>echo {"issue":{"subject":"","project_id":79,"tracker_id":40,"status_id":1,"priority_id":2,"assigned_to_id":338,"start_date":"2017-10-23","description":"","custom_fields":[{"id":1,"name":"Subdivision","value":"Shuttle/Test"},{"id":4,"name":"Milepost","value":"2.3295"},{"id":17,"name":"Train ID","value":"75-23"},{"id":16,"name":"Locomotive ID","value":"4064"},{"id":130,"name":"Impact","value":""},{"id":150,"name":"Time of Event (Mountain Time)","value":"17:02:23"},{"id":151,"name":"Denver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2" s="47"/>
      <c r="AL242" s="47"/>
      <c r="AM242" s="142" t="str">
        <f t="shared" si="73"/>
        <v>start /low /b %USERPROFILE%\Documents\GitHub\eaglep3\Utilities\DownloadLogsFromS3.py --loco 4064 --day 2017-10-23</v>
      </c>
      <c r="AN242" s="151" t="str">
        <f t="shared" si="74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23:02:23"},{"id":29,"name":"Sharepoint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2" s="168" t="str">
        <f t="shared" si="75"/>
        <v>https://d0f6bd738d7f1b3e5a7ca70fe4ff75f0.us-east-1.aws.found.io/app/kibana#/discover/Steve-Slow-Train-Analysis-(2080s-and-2083s)?_g=(refreshInterval:(display:Off,pause:!f,section:0,value:0),time:(from:'2017-10-23T15:25:15-0600',mode:absolute,to:'2017-10-23T18:02:23-0600'))&amp;_a=(columns:!('Message%20ID',Summary),filters:!(),index:'emp_*',interval:auto,query:(query_string:(analyze_wildcard:!t,query:'%22rtdc.l.rtdc.4064%22')),sort:!(Time.ISO8601,asc))</v>
      </c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3">
      <c r="A243" s="32" t="s">
        <v>833</v>
      </c>
      <c r="B243" s="7">
        <v>4034</v>
      </c>
      <c r="C243" s="21" t="s">
        <v>194</v>
      </c>
      <c r="D243" s="21" t="s">
        <v>985</v>
      </c>
      <c r="E243" s="13">
        <v>43031.709664351853</v>
      </c>
      <c r="F243" s="13">
        <v>43031.722418981481</v>
      </c>
      <c r="G243" s="7">
        <v>418</v>
      </c>
      <c r="H243" s="21" t="s">
        <v>986</v>
      </c>
      <c r="I243" s="13">
        <v>43031.733252314814</v>
      </c>
      <c r="J243" s="7">
        <v>0</v>
      </c>
      <c r="K243" s="89" t="str">
        <f>IF(ISEVEN(B243),(B243-1)&amp;"/"&amp;B243,B243&amp;"/"&amp;(B243+1))</f>
        <v>4033/4034</v>
      </c>
      <c r="L243" s="185" t="str">
        <f>VLOOKUP(A243,'Trips&amp;Operators'!$C$1:$G$99911,5,FALSE)</f>
        <v>ROBINSON KADDIBA</v>
      </c>
      <c r="M243" s="6">
        <f>I243-F243</f>
        <v>1.0833333333721384E-2</v>
      </c>
      <c r="N243" s="7">
        <f>24*60*SUM($M243:$M243)</f>
        <v>15.600000000558794</v>
      </c>
      <c r="O243" s="7"/>
      <c r="P243" s="7"/>
      <c r="Q243" s="22"/>
      <c r="R243" s="174"/>
      <c r="S243" s="221">
        <f>1/IF(AG243="EC",12,1)*SUM(U243:U243)</f>
        <v>1</v>
      </c>
      <c r="T243" s="174" t="str">
        <f>IF(ISEVEN(LEFT(AD243,4)),"Southbound","NorthBound")</f>
        <v>NorthBound</v>
      </c>
      <c r="U243" s="198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1</v>
      </c>
      <c r="V243" s="216" t="str">
        <f>"https://d0f6bd738d7f1b3e5a7ca70fe4ff75f0.us-east-1.aws.found.io/app/kibana#/discover/Steve-Slow-Train-Analysis-(2080s-and-2083s)?_g="&amp;"(refreshInterval:(display:Off,pause:!f,section:0,value:0),time:(from:'"&amp;TEXT(E243-1/24,"yyyy-MM-DDThh:mm:ss")&amp;utc_offset&amp;"00"&amp;"',mode:absolute,to:'"&amp;TEXT(I243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243&amp;"%22')),sort:!(Time.ISO8601,asc))"</f>
        <v>https://d0f6bd738d7f1b3e5a7ca70fe4ff75f0.us-east-1.aws.found.io/app/kibana#/discover/Steve-Slow-Train-Analysis-(2080s-and-2083s)?_g=(refreshInterval:(display:Off,pause:!f,section:0,value:0),time:(from:'2017-10-23T16:01:55-0600',mode:absolute,to:'2017-10-23T18:35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43" s="204" t="str">
        <f>IF(AA243&lt;VLOOKUP(AG243,Variables!$AC$3:$AD$8,2,FALSE),"Y","N")</f>
        <v>Y</v>
      </c>
      <c r="X243" s="204">
        <f>VALUE(LEFT(AD243,4))-VALUE(LEFT(AD242,4))</f>
        <v>2</v>
      </c>
      <c r="Y243" s="204">
        <f>RIGHT(D243,LEN(D243)-4)/10000</f>
        <v>0.1147</v>
      </c>
      <c r="Z243" s="204">
        <f>RIGHT(H243,LEN(H243)-4)/10000</f>
        <v>2.3300999999999998</v>
      </c>
      <c r="AA243" s="204">
        <f>ABS(Z243-Y243)</f>
        <v>2.2153999999999998</v>
      </c>
      <c r="AB243" s="54" t="e">
        <f>VLOOKUP(A243,Enforcements!$C$7:$K$11,8,0)</f>
        <v>#N/A</v>
      </c>
      <c r="AC243" s="51" t="e">
        <f>VLOOKUP(A243,Enforcements!$C$7:$E$11,3,0)</f>
        <v>#N/A</v>
      </c>
      <c r="AD243" s="179">
        <f>VALUE(LEFT(A243,LEN(A243)-3))</f>
        <v>77</v>
      </c>
      <c r="AE243" s="77" t="str">
        <f>"aws s3 cp "&amp;s3_bucket&amp;"/RTDC"&amp;B243&amp;"/ "&amp;search_path&amp;"\RTDC"&amp;B243&amp;"\"&amp;TEXT(F243,"YYYY-MM-DD")&amp;" --exclude ""*"" --recursive --include ""*"&amp;TEXT(F243,"YYYYMMDD")&amp;"*"" &amp; """&amp;walkandungz&amp;""" "&amp;search_path&amp;"\RTDC"&amp;B243&amp;"\"&amp;TEXT(F243,"YYYY-MM-DD")
&amp;" &amp; "&amp;"aws s3 cp "&amp;s3_bucket&amp;"/RTDC"&amp;B243&amp;"/ "&amp;search_path&amp;"\RTDC"&amp;B243&amp;"\"&amp;TEXT(F243+1,"YYYY-MM-DD")&amp;" --exclude ""*"" --recursive --include ""*"&amp;TEXT(F243+1,"YYYYMMDD")&amp;"*"" &amp; """&amp;walkandungz&amp;""" "&amp;search_path&amp;"\RTDC"&amp;B243&amp;"\"&amp;TEXT(F243+1,"YYYY-MM-DD")</f>
        <v>aws s3 cp s3://rtdc.mdm.uploadarchive.raw/RTDC4034/ "%USERPROFILE%\AppData\Local\Temp\OnboardLogs"\RTDC4034\2017-10-23 --exclude "*" --recursive --include "*20171023*" &amp; "%USERPROFILE%\Documents\GitHub\mrs-test-scripts\Headless Mode &amp; Sideloading\WalkAndUnGZ.bat" "%USERPROFILE%\AppData\Local\Temp\OnboardLogs"\RTDC4034\2017-10-23 &amp; aws s3 cp s3://rtdc.mdm.uploadarchive.raw/RTDC4034/ "%USERPROFILE%\AppData\Local\Temp\OnboardLogs"\RTDC4034\2017-10-24 --exclude "*" --recursive --include "*20171024*" &amp; "%USERPROFILE%\Documents\GitHub\mrs-test-scripts\Headless Mode &amp; Sideloading\WalkAndUnGZ.bat" "%USERPROFILE%\AppData\Local\Temp\OnboardLogs"\RTDC4034\2017-10-24</v>
      </c>
      <c r="AF243" s="74" t="str">
        <f>astrogrep_path&amp;" /e /r /s /spath="&amp;search_path&amp;" /stypes=""app*"&amp;B243&amp;"*"&amp;TEXT(I243-utc_offset/24,"YYYYMMDD")&amp;"*"" /stext="" "&amp;TEXT(I243-utc_offset/24,"HH")&amp;search_regexp&amp;""""</f>
        <v>"C:\Program Files (x86)\AstroGrep\AstroGrep.exe" /e /r /s /spath="%USERPROFILE%\AppData\Local\Temp\OnboardLogs" /stypes="app*4034*20171023*" /stext=" 23:.+((SYSTEM_STATE.+slice.+state.+changed )|(ment ac)|(multiple cpu faults)|(system.+state.+changed )|(\[timeout)|(PRM\|1\|D)|(kpr)|(kdp)|(train st.+moving)|(\|lc)|(penalty))"</v>
      </c>
      <c r="AG243" s="182" t="str">
        <f>DetSubdiv(A243)</f>
        <v>Shuttle/Test</v>
      </c>
      <c r="AH243" s="78" t="str">
        <f t="shared" si="71"/>
        <v>"%USERPROFILE%\Documents\GitHub\eaglep3\Utilities\RefineRTDCRunTimes.py" --tripid 77-23 --locoid 4034 --swversion DE.1.0.9.0 --startMP 204:1147 --initTime 2017-10-23T17:01:55 --startdatetime 2017-10-23T17:20:17 --delay 418 --endMP 300:23301 --enddatetime 2017-10-23T17:35:53 --enforcementcount 0 &gt;&gt;%USERPROFILE%\Documents\GitHub\eaglep3-reporting\EC\2017-10-23-refined-times.txt</v>
      </c>
      <c r="AI243" s="96" t="str">
        <f t="shared" si="72"/>
        <v>echo {"issue":{"subject":"","project_id":79,"tracker_id":40,"status_id":1,"priority_id":2,"assigned_to_id":338,"start_date":"2017-10-23","description":"","custom_fields":[{"id":1,"name":"Subdivision","value":"Shuttle/Test"},{"id":4,"name":"Milepost","value":"2.3301"},{"id":17,"name":"Train ID","value":"77-23"},{"id":16,"name":"Locomotive ID","value":"4034"},{"id":130,"name":"Impact","value":""},{"id":150,"name":"Time of Event (Mountain Time)","value":"17:35:53"},{"id":151,"name":"Denver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3" s="47"/>
      <c r="AL243" s="47"/>
      <c r="AM243" s="142" t="str">
        <f t="shared" si="73"/>
        <v>start /low /b %USERPROFILE%\Documents\GitHub\eaglep3\Utilities\DownloadLogsFromS3.py --loco 4034 --day 2017-10-23</v>
      </c>
      <c r="AN243" s="151" t="str">
        <f t="shared" si="74"/>
        <v>echo {"issue":{"subject":"","project_id":30,"tracker_id":4,"status_id":1,"priority_id":1,"assigned_to_id":10,"start_date":"2017-10-23","description":"","custom_fields":[{"id":30,"name":"Category","value":"Issue"},{"id":3,"name":"Functional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UTC","value":"2017-10-23 23:35:53"},{"id":29,"name":"Sharepoint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3" s="168" t="str">
        <f t="shared" si="75"/>
        <v>https://d0f6bd738d7f1b3e5a7ca70fe4ff75f0.us-east-1.aws.found.io/app/kibana#/discover/Steve-Slow-Train-Analysis-(2080s-and-2083s)?_g=(refreshInterval:(display:Off,pause:!f,section:0,value:0),time:(from:'2017-10-23T16:01:55-0600',mode:absolute,to:'2017-10-23T18:35:53-0600'))&amp;_a=(columns:!('Message%20ID',Summary),filters:!(),index:'emp_*',interval:auto,query:(query_string:(analyze_wildcard:!t,query:'%22rtdc.l.rtdc.4034%22')),sort:!(Time.ISO8601,asc))</v>
      </c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3">
      <c r="A244" s="32" t="s">
        <v>885</v>
      </c>
      <c r="B244" s="7">
        <v>4049</v>
      </c>
      <c r="C244" s="21" t="s">
        <v>194</v>
      </c>
      <c r="D244" s="21" t="s">
        <v>1048</v>
      </c>
      <c r="E244" s="13">
        <v>43031.973483796297</v>
      </c>
      <c r="F244" s="13">
        <v>43031.975335648145</v>
      </c>
      <c r="G244" s="7">
        <v>86</v>
      </c>
      <c r="H244" s="21" t="s">
        <v>604</v>
      </c>
      <c r="I244" s="13">
        <v>43031.976481481484</v>
      </c>
      <c r="J244" s="7">
        <v>0</v>
      </c>
      <c r="K244" s="89" t="str">
        <f>IF(ISEVEN(B244),(B244-1)&amp;"/"&amp;B244,B244&amp;"/"&amp;(B244+1))</f>
        <v>4049/4050</v>
      </c>
      <c r="L244" s="185" t="str">
        <f>VLOOKUP(A244,'Trips&amp;Operators'!$C$1:$G$99911,5,FALSE)</f>
        <v>GUNTHIER ERIC</v>
      </c>
      <c r="M244" s="6">
        <f>I244-F244</f>
        <v>1.1458333392511122E-3</v>
      </c>
      <c r="N244" s="7">
        <f>24*60*SUM($M244:$M244)</f>
        <v>1.6500000085216016</v>
      </c>
      <c r="O244" s="7"/>
      <c r="P244" s="7"/>
      <c r="Q244" s="22"/>
      <c r="R244" s="174"/>
      <c r="S244" s="221">
        <f>1/IF(AG244="EC",12,1)*SUM(U244:U244)</f>
        <v>0</v>
      </c>
      <c r="T244" s="174" t="str">
        <f>IF(ISEVEN(LEFT(AD244,4)),"Southbound","NorthBound")</f>
        <v>Southbound</v>
      </c>
      <c r="U244" s="198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0</v>
      </c>
      <c r="V244" s="216" t="str">
        <f>"https://d0f6bd738d7f1b3e5a7ca70fe4ff75f0.us-east-1.aws.found.io/app/kibana#/discover/Steve-Slow-Train-Analysis-(2080s-and-2083s)?_g="&amp;"(refreshInterval:(display:Off,pause:!f,section:0,value:0),time:(from:'"&amp;TEXT(E244-1/24,"yyyy-MM-DDThh:mm:ss")&amp;utc_offset&amp;"00"&amp;"',mode:absolute,to:'"&amp;TEXT(I244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244&amp;"%22')),sort:!(Time.ISO8601,asc))"</f>
        <v>https://d0f6bd738d7f1b3e5a7ca70fe4ff75f0.us-east-1.aws.found.io/app/kibana#/discover/Steve-Slow-Train-Analysis-(2080s-and-2083s)?_g=(refreshInterval:(display:Off,pause:!f,section:0,value:0),time:(from:'2017-10-23T22:21:49-0600',mode:absolute,to:'2017-10-24T00:26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44" s="204" t="str">
        <f>IF(AA244&lt;VLOOKUP(AG244,Variables!$AC$3:$AD$8,2,FALSE),"Y","N")</f>
        <v>Y</v>
      </c>
      <c r="X244" s="204">
        <f>VALUE(LEFT(AD244,4))-VALUE(LEFT(AD243,4))</f>
        <v>11</v>
      </c>
      <c r="Y244" s="204">
        <f>RIGHT(D244,LEN(D244)-4)/10000</f>
        <v>0.33500000000000002</v>
      </c>
      <c r="Z244" s="204">
        <f>RIGHT(H244,LEN(H244)-4)/10000</f>
        <v>1.6899999999999998E-2</v>
      </c>
      <c r="AA244" s="204">
        <f>ABS(Z244-Y244)</f>
        <v>0.31810000000000005</v>
      </c>
      <c r="AB244" s="54" t="e">
        <f>VLOOKUP(A244,Enforcements!$C$7:$K$11,8,0)</f>
        <v>#N/A</v>
      </c>
      <c r="AC244" s="51" t="e">
        <f>VLOOKUP(A244,Enforcements!$C$7:$E$11,3,0)</f>
        <v>#N/A</v>
      </c>
      <c r="AD244" s="179">
        <f>VALUE(LEFT(A244,LEN(A244)-3))</f>
        <v>88</v>
      </c>
      <c r="AE244" s="77" t="str">
        <f>"aws s3 cp "&amp;s3_bucket&amp;"/RTDC"&amp;B244&amp;"/ "&amp;search_path&amp;"\RTDC"&amp;B244&amp;"\"&amp;TEXT(F244,"YYYY-MM-DD")&amp;" --exclude ""*"" --recursive --include ""*"&amp;TEXT(F244,"YYYYMMDD")&amp;"*"" &amp; """&amp;walkandungz&amp;""" "&amp;search_path&amp;"\RTDC"&amp;B244&amp;"\"&amp;TEXT(F244,"YYYY-MM-DD")
&amp;" &amp; "&amp;"aws s3 cp "&amp;s3_bucket&amp;"/RTDC"&amp;B244&amp;"/ "&amp;search_path&amp;"\RTDC"&amp;B244&amp;"\"&amp;TEXT(F244+1,"YYYY-MM-DD")&amp;" --exclude ""*"" --recursive --include ""*"&amp;TEXT(F244+1,"YYYYMMDD")&amp;"*"" &amp; """&amp;walkandungz&amp;""" "&amp;search_path&amp;"\RTDC"&amp;B244&amp;"\"&amp;TEXT(F244+1,"YYYY-MM-DD")</f>
        <v>aws s3 cp s3://rtdc.mdm.uploadarchive.raw/RTDC4049/ "%USERPROFILE%\AppData\Local\Temp\OnboardLogs"\RTDC4049\2017-10-23 --exclude "*" --recursive --include "*20171023*" &amp; "%USERPROFILE%\Documents\GitHub\mrs-test-scripts\Headless Mode &amp; Sideloading\WalkAndUnGZ.bat" "%USERPROFILE%\AppData\Local\Temp\OnboardLogs"\RTDC4049\2017-10-23 &amp; aws s3 cp s3://rtdc.mdm.uploadarchive.raw/RTDC4049/ "%USERPROFILE%\AppData\Local\Temp\OnboardLogs"\RTDC4049\2017-10-24 --exclude "*" --recursive --include "*20171024*" &amp; "%USERPROFILE%\Documents\GitHub\mrs-test-scripts\Headless Mode &amp; Sideloading\WalkAndUnGZ.bat" "%USERPROFILE%\AppData\Local\Temp\OnboardLogs"\RTDC4049\2017-10-24</v>
      </c>
      <c r="AF244" s="74" t="str">
        <f>astrogrep_path&amp;" /e /r /s /spath="&amp;search_path&amp;" /stypes=""app*"&amp;B244&amp;"*"&amp;TEXT(I244-utc_offset/24,"YYYYMMDD")&amp;"*"" /stext="" "&amp;TEXT(I244-utc_offset/24,"HH")&amp;search_regexp&amp;""""</f>
        <v>"C:\Program Files (x86)\AstroGrep\AstroGrep.exe" /e /r /s /spath="%USERPROFILE%\AppData\Local\Temp\OnboardLogs" /stypes="app*4049*20171024*" /stext=" 05:.+((SYSTEM_STATE.+slice.+state.+changed )|(ment ac)|(multiple cpu faults)|(system.+state.+changed )|(\[timeout)|(PRM\|1\|D)|(kpr)|(kdp)|(train st.+moving)|(\|lc)|(penalty))"</v>
      </c>
      <c r="AG244" s="182" t="str">
        <f>DetSubdiv(A244)</f>
        <v>Shuttle/Test</v>
      </c>
      <c r="AH244" s="78" t="str">
        <f t="shared" si="71"/>
        <v>"%USERPROFILE%\Documents\GitHub\eaglep3\Utilities\RefineRTDCRunTimes.py" --tripid 88-23 --locoid 4049 --swversion DE.1.0.9.0 --startMP 204:3350 --initTime 2017-10-23T23:21:49 --startdatetime 2017-10-23T23:24:29 --delay 86 --endMP 204:169 --enddatetime 2017-10-23T23:26:08 --enforcementcount 0 &gt;&gt;%USERPROFILE%\Documents\GitHub\eaglep3-reporting\EC\2017-10-23-refined-times.txt</v>
      </c>
      <c r="AI244" s="96" t="str">
        <f t="shared" si="72"/>
        <v>echo {"issue":{"subject":"","project_id":79,"tracker_id":40,"status_id":1,"priority_id":2,"assigned_to_id":338,"start_date":"2017-10-23","description":"","custom_fields":[{"id":1,"name":"Subdivision","value":"Shuttle/Test"},{"id":4,"name":"Milepost","value":"0.0169"},{"id":17,"name":"Train ID","value":"88-23"},{"id":16,"name":"Locomotive ID","value":"4049"},{"id":130,"name":"Impact","value":""},{"id":150,"name":"Time of Event (Mountain Time)","value":"23:26:08"},{"id":151,"name":"Denver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4" s="47"/>
      <c r="AL244" s="47"/>
      <c r="AM244" s="142" t="str">
        <f t="shared" si="73"/>
        <v>start /low /b %USERPROFILE%\Documents\GitHub\eaglep3\Utilities\DownloadLogsFromS3.py --loco 4049 --day 2017-10-23</v>
      </c>
      <c r="AN244" s="151" t="str">
        <f t="shared" si="74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05:26:08"},{"id":29,"name":"Sharepoint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4" s="168" t="str">
        <f t="shared" si="75"/>
        <v>https://d0f6bd738d7f1b3e5a7ca70fe4ff75f0.us-east-1.aws.found.io/app/kibana#/discover/Steve-Slow-Train-Analysis-(2080s-and-2083s)?_g=(refreshInterval:(display:Off,pause:!f,section:0,value:0),time:(from:'2017-10-23T22:21:49-0600',mode:absolute,to:'2017-10-24T00:26:08-0600'))&amp;_a=(columns:!('Message%20ID',Summary),filters:!(),index:'emp_*',interval:auto,query:(query_string:(analyze_wildcard:!t,query:'%22rtdc.l.rtdc.4049%22')),sort:!(Time.ISO8601,asc))</v>
      </c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3">
      <c r="A245" s="32" t="s">
        <v>884</v>
      </c>
      <c r="B245" s="7">
        <v>4050</v>
      </c>
      <c r="C245" s="21" t="s">
        <v>194</v>
      </c>
      <c r="D245" s="21" t="s">
        <v>1049</v>
      </c>
      <c r="E245" s="13">
        <v>43031.969560185185</v>
      </c>
      <c r="F245" s="13">
        <v>43031.971192129633</v>
      </c>
      <c r="G245" s="7">
        <v>81</v>
      </c>
      <c r="H245" s="21" t="s">
        <v>1050</v>
      </c>
      <c r="I245" s="13">
        <v>43031.972083333334</v>
      </c>
      <c r="J245" s="7">
        <v>0</v>
      </c>
      <c r="K245" s="89" t="str">
        <f>IF(ISEVEN(B245),(B245-1)&amp;"/"&amp;B245,B245&amp;"/"&amp;(B245+1))</f>
        <v>4049/4050</v>
      </c>
      <c r="L245" s="185" t="str">
        <f>VLOOKUP(A245,'Trips&amp;Operators'!$C$1:$G$99911,5,FALSE)</f>
        <v>GUNTHIER ERIC</v>
      </c>
      <c r="M245" s="6">
        <f>I245-F245</f>
        <v>8.9120370103046298E-4</v>
      </c>
      <c r="N245" s="7">
        <f>24*60*SUM($M245:$M245)</f>
        <v>1.2833333294838667</v>
      </c>
      <c r="O245" s="7"/>
      <c r="P245" s="7"/>
      <c r="Q245" s="22"/>
      <c r="R245" s="174"/>
      <c r="S245" s="221">
        <f>1/IF(AG245="EC",12,1)*SUM(U245:U245)</f>
        <v>0</v>
      </c>
      <c r="T245" s="174" t="str">
        <f>IF(ISEVEN(LEFT(AD245,4)),"Southbound","NorthBound")</f>
        <v>NorthBound</v>
      </c>
      <c r="U245" s="198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0</v>
      </c>
      <c r="V245" s="216" t="str">
        <f>"https://d0f6bd738d7f1b3e5a7ca70fe4ff75f0.us-east-1.aws.found.io/app/kibana#/discover/Steve-Slow-Train-Analysis-(2080s-and-2083s)?_g="&amp;"(refreshInterval:(display:Off,pause:!f,section:0,value:0),time:(from:'"&amp;TEXT(E245-1/24,"yyyy-MM-DDThh:mm:ss")&amp;utc_offset&amp;"00"&amp;"',mode:absolute,to:'"&amp;TEXT(I245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245&amp;"%22')),sort:!(Time.ISO8601,asc))"</f>
        <v>https://d0f6bd738d7f1b3e5a7ca70fe4ff75f0.us-east-1.aws.found.io/app/kibana#/discover/Steve-Slow-Train-Analysis-(2080s-and-2083s)?_g=(refreshInterval:(display:Off,pause:!f,section:0,value:0),time:(from:'2017-10-23T22:16:10-0600',mode:absolute,to:'2017-10-24T00:19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45" s="204" t="str">
        <f>IF(AA245&lt;VLOOKUP(AG245,Variables!$AC$3:$AD$8,2,FALSE),"Y","N")</f>
        <v>Y</v>
      </c>
      <c r="X245" s="204">
        <f>VALUE(LEFT(AD245,4))-VALUE(LEFT(AD244,4))</f>
        <v>1</v>
      </c>
      <c r="Y245" s="204">
        <f>RIGHT(D245,LEN(D245)-4)/10000</f>
        <v>0.11559999999999999</v>
      </c>
      <c r="Z245" s="204">
        <f>RIGHT(H245,LEN(H245)-4)/10000</f>
        <v>0.36670000000000003</v>
      </c>
      <c r="AA245" s="204">
        <f>ABS(Z245-Y245)</f>
        <v>0.25110000000000005</v>
      </c>
      <c r="AB245" s="54" t="e">
        <f>VLOOKUP(A245,Enforcements!$C$7:$K$11,8,0)</f>
        <v>#N/A</v>
      </c>
      <c r="AC245" s="51" t="e">
        <f>VLOOKUP(A245,Enforcements!$C$7:$E$11,3,0)</f>
        <v>#N/A</v>
      </c>
      <c r="AD245" s="179">
        <f>VALUE(LEFT(A245,LEN(A245)-3))</f>
        <v>89</v>
      </c>
      <c r="AE245" s="77" t="str">
        <f>"aws s3 cp "&amp;s3_bucket&amp;"/RTDC"&amp;B245&amp;"/ "&amp;search_path&amp;"\RTDC"&amp;B245&amp;"\"&amp;TEXT(F245,"YYYY-MM-DD")&amp;" --exclude ""*"" --recursive --include ""*"&amp;TEXT(F245,"YYYYMMDD")&amp;"*"" &amp; """&amp;walkandungz&amp;""" "&amp;search_path&amp;"\RTDC"&amp;B245&amp;"\"&amp;TEXT(F245,"YYYY-MM-DD")
&amp;" &amp; "&amp;"aws s3 cp "&amp;s3_bucket&amp;"/RTDC"&amp;B245&amp;"/ "&amp;search_path&amp;"\RTDC"&amp;B245&amp;"\"&amp;TEXT(F245+1,"YYYY-MM-DD")&amp;" --exclude ""*"" --recursive --include ""*"&amp;TEXT(F245+1,"YYYYMMDD")&amp;"*"" &amp; """&amp;walkandungz&amp;""" "&amp;search_path&amp;"\RTDC"&amp;B245&amp;"\"&amp;TEXT(F245+1,"YYYY-MM-DD")</f>
        <v>aws s3 cp s3://rtdc.mdm.uploadarchive.raw/RTDC4050/ "%USERPROFILE%\AppData\Local\Temp\OnboardLogs"\RTDC4050\2017-10-23 --exclude "*" --recursive --include "*20171023*" &amp; "%USERPROFILE%\Documents\GitHub\mrs-test-scripts\Headless Mode &amp; Sideloading\WalkAndUnGZ.bat" "%USERPROFILE%\AppData\Local\Temp\OnboardLogs"\RTDC4050\2017-10-23 &amp; aws s3 cp s3://rtdc.mdm.uploadarchive.raw/RTDC4050/ "%USERPROFILE%\AppData\Local\Temp\OnboardLogs"\RTDC4050\2017-10-24 --exclude "*" --recursive --include "*20171024*" &amp; "%USERPROFILE%\Documents\GitHub\mrs-test-scripts\Headless Mode &amp; Sideloading\WalkAndUnGZ.bat" "%USERPROFILE%\AppData\Local\Temp\OnboardLogs"\RTDC4050\2017-10-24</v>
      </c>
      <c r="AF245" s="74" t="str">
        <f>astrogrep_path&amp;" /e /r /s /spath="&amp;search_path&amp;" /stypes=""app*"&amp;B245&amp;"*"&amp;TEXT(I245-utc_offset/24,"YYYYMMDD")&amp;"*"" /stext="" "&amp;TEXT(I245-utc_offset/24,"HH")&amp;search_regexp&amp;""""</f>
        <v>"C:\Program Files (x86)\AstroGrep\AstroGrep.exe" /e /r /s /spath="%USERPROFILE%\AppData\Local\Temp\OnboardLogs" /stypes="app*4050*20171024*" /stext=" 05:.+((SYSTEM_STATE.+slice.+state.+changed )|(ment ac)|(multiple cpu faults)|(system.+state.+changed )|(\[timeout)|(PRM\|1\|D)|(kpr)|(kdp)|(train st.+moving)|(\|lc)|(penalty))"</v>
      </c>
      <c r="AG245" s="182" t="str">
        <f>DetSubdiv(A245)</f>
        <v>Shuttle/Test</v>
      </c>
      <c r="AH245" s="78" t="str">
        <f t="shared" si="71"/>
        <v>"%USERPROFILE%\Documents\GitHub\eaglep3\Utilities\RefineRTDCRunTimes.py" --tripid 89-23 --locoid 4050 --swversion DE.1.0.9.0 --startMP 204:1156 --initTime 2017-10-23T23:16:10 --startdatetime 2017-10-23T23:18:31 --delay 81 --endMP 204:3667 --enddatetime 2017-10-23T23:19:48 --enforcementcount 0 &gt;&gt;%USERPROFILE%\Documents\GitHub\eaglep3-reporting\EC\2017-10-23-refined-times.txt</v>
      </c>
      <c r="AI245" s="96" t="str">
        <f t="shared" si="72"/>
        <v>echo {"issue":{"subject":"","project_id":79,"tracker_id":40,"status_id":1,"priority_id":2,"assigned_to_id":338,"start_date":"2017-10-23","description":"","custom_fields":[{"id":1,"name":"Subdivision","value":"Shuttle/Test"},{"id":4,"name":"Milepost","value":"0.3667"},{"id":17,"name":"Train ID","value":"89-23"},{"id":16,"name":"Locomotive ID","value":"4050"},{"id":130,"name":"Impact","value":""},{"id":150,"name":"Time of Event (Mountain Time)","value":"23:19:48"},{"id":151,"name":"Denver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5" s="47"/>
      <c r="AL245" s="47"/>
      <c r="AM245" s="142" t="str">
        <f t="shared" si="73"/>
        <v>start /low /b %USERPROFILE%\Documents\GitHub\eaglep3\Utilities\DownloadLogsFromS3.py --loco 4050 --day 2017-10-23</v>
      </c>
      <c r="AN245" s="151" t="str">
        <f t="shared" si="74"/>
        <v>echo {"issue":{"subject":"","project_id":30,"tracker_id":4,"status_id":1,"priority_id":1,"assigned_to_id":10,"start_date":"2017-10-24","description":"","custom_fields":[{"id":30,"name":"Category","value":"Issue"},{"id":3,"name":"Functional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UTC","value":"2017-10-24 05:19:48"},{"id":29,"name":"Sharepoint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5" s="168" t="str">
        <f t="shared" si="75"/>
        <v>https://d0f6bd738d7f1b3e5a7ca70fe4ff75f0.us-east-1.aws.found.io/app/kibana#/discover/Steve-Slow-Train-Analysis-(2080s-and-2083s)?_g=(refreshInterval:(display:Off,pause:!f,section:0,value:0),time:(from:'2017-10-23T22:16:10-0600',mode:absolute,to:'2017-10-24T00:19:48-0600'))&amp;_a=(columns:!('Message%20ID',Summary),filters:!(),index:'emp_*',interval:auto,query:(query_string:(analyze_wildcard:!t,query:'%22rtdc.l.rtdc.4050%22')),sort:!(Time.ISO8601,asc))</v>
      </c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3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3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3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3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3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3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3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3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3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3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3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3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3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3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3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3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3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3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3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3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3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3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3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3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3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3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3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3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3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3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3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3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3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3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3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3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3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3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x14ac:dyDescent="0.3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M299"/>
      <c r="AO299"/>
    </row>
    <row r="300" spans="1:91" s="20" customFormat="1" x14ac:dyDescent="0.3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3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3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3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3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x14ac:dyDescent="0.3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M305"/>
      <c r="AO305"/>
    </row>
    <row r="306" spans="1:91" x14ac:dyDescent="0.3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M306"/>
      <c r="AO306"/>
    </row>
    <row r="307" spans="1:91" s="20" customFormat="1" x14ac:dyDescent="0.3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3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3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3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3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3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x14ac:dyDescent="0.3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M313"/>
      <c r="AO313"/>
    </row>
    <row r="314" spans="1:91" s="20" customFormat="1" x14ac:dyDescent="0.3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x14ac:dyDescent="0.3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M315"/>
      <c r="AO315"/>
    </row>
    <row r="316" spans="1:91" s="20" customFormat="1" x14ac:dyDescent="0.3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x14ac:dyDescent="0.3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M317"/>
      <c r="AO317"/>
    </row>
    <row r="318" spans="1:91" s="20" customFormat="1" x14ac:dyDescent="0.3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x14ac:dyDescent="0.3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M319"/>
      <c r="AO319"/>
    </row>
    <row r="320" spans="1:91" s="20" customFormat="1" x14ac:dyDescent="0.3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3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x14ac:dyDescent="0.3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M322"/>
      <c r="AO322"/>
    </row>
    <row r="323" spans="1:91" s="20" customFormat="1" x14ac:dyDescent="0.3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x14ac:dyDescent="0.3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M324"/>
      <c r="AO324"/>
    </row>
    <row r="325" spans="1:91" s="20" customFormat="1" x14ac:dyDescent="0.3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3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3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x14ac:dyDescent="0.3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M328"/>
      <c r="AO328"/>
    </row>
    <row r="329" spans="1:91" s="20" customFormat="1" x14ac:dyDescent="0.3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3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3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x14ac:dyDescent="0.3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M332"/>
      <c r="AO332"/>
    </row>
    <row r="333" spans="1:91" s="20" customFormat="1" x14ac:dyDescent="0.3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s="20" customFormat="1" x14ac:dyDescent="0.3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s="20" customFormat="1" x14ac:dyDescent="0.3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3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x14ac:dyDescent="0.3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M337"/>
      <c r="AO337"/>
    </row>
    <row r="338" spans="1:91" x14ac:dyDescent="0.3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M338"/>
      <c r="AO338"/>
    </row>
    <row r="339" spans="1:91" s="20" customFormat="1" x14ac:dyDescent="0.3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x14ac:dyDescent="0.3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M340"/>
      <c r="AO340"/>
    </row>
    <row r="341" spans="1:91" s="20" customFormat="1" x14ac:dyDescent="0.3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s="20" customFormat="1" x14ac:dyDescent="0.3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s="20" customFormat="1" x14ac:dyDescent="0.3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x14ac:dyDescent="0.3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M344"/>
      <c r="AO344"/>
    </row>
    <row r="345" spans="1:91" x14ac:dyDescent="0.3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M345"/>
      <c r="AO345"/>
    </row>
    <row r="346" spans="1:91" x14ac:dyDescent="0.3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M346"/>
      <c r="AO346"/>
    </row>
    <row r="347" spans="1:91" s="20" customFormat="1" x14ac:dyDescent="0.3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:91" x14ac:dyDescent="0.3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M348"/>
      <c r="AO348"/>
    </row>
    <row r="349" spans="1:91" x14ac:dyDescent="0.3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M349"/>
      <c r="AO349"/>
    </row>
    <row r="350" spans="1:91" x14ac:dyDescent="0.3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M350"/>
      <c r="AO350"/>
    </row>
    <row r="351" spans="1:91" x14ac:dyDescent="0.3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M351"/>
      <c r="AO351"/>
    </row>
    <row r="352" spans="1:91" x14ac:dyDescent="0.3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M352"/>
      <c r="AO352"/>
    </row>
    <row r="353" spans="1:91" s="20" customFormat="1" x14ac:dyDescent="0.3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s="20" customFormat="1" x14ac:dyDescent="0.3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:91" x14ac:dyDescent="0.3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M355"/>
      <c r="AO355"/>
    </row>
    <row r="356" spans="1:91" x14ac:dyDescent="0.3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M356"/>
      <c r="AO356"/>
    </row>
    <row r="357" spans="1:91" s="20" customFormat="1" x14ac:dyDescent="0.3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:91" x14ac:dyDescent="0.3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M358"/>
      <c r="AO358"/>
    </row>
    <row r="359" spans="1:91" x14ac:dyDescent="0.3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M359"/>
      <c r="AO359"/>
    </row>
    <row r="360" spans="1:91" x14ac:dyDescent="0.3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M360"/>
      <c r="AO360"/>
    </row>
    <row r="361" spans="1:91" x14ac:dyDescent="0.3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M361"/>
      <c r="AO361"/>
    </row>
    <row r="362" spans="1:91" x14ac:dyDescent="0.3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M362"/>
      <c r="AO362"/>
    </row>
    <row r="363" spans="1:91" x14ac:dyDescent="0.3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M363"/>
      <c r="AO363"/>
    </row>
    <row r="364" spans="1:91" x14ac:dyDescent="0.3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M364"/>
      <c r="AO364"/>
    </row>
    <row r="365" spans="1:91" x14ac:dyDescent="0.3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M365"/>
      <c r="AO365"/>
    </row>
    <row r="366" spans="1:91" x14ac:dyDescent="0.3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M366"/>
      <c r="AO366"/>
    </row>
    <row r="367" spans="1:91" x14ac:dyDescent="0.3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M367"/>
      <c r="AO367"/>
    </row>
    <row r="368" spans="1:91" s="20" customFormat="1" x14ac:dyDescent="0.3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:91" x14ac:dyDescent="0.3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M369"/>
      <c r="AO369"/>
    </row>
    <row r="370" spans="1:91" x14ac:dyDescent="0.3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M370"/>
      <c r="AO370"/>
    </row>
    <row r="371" spans="1:91" x14ac:dyDescent="0.3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M371"/>
      <c r="AO371"/>
    </row>
    <row r="372" spans="1:91" x14ac:dyDescent="0.3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M372"/>
      <c r="AO372"/>
    </row>
    <row r="373" spans="1:91" x14ac:dyDescent="0.3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M373"/>
      <c r="AO373"/>
    </row>
    <row r="374" spans="1:91" s="20" customFormat="1" x14ac:dyDescent="0.3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:91" x14ac:dyDescent="0.3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M375"/>
      <c r="AO375"/>
    </row>
    <row r="376" spans="1:91" x14ac:dyDescent="0.3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M376"/>
      <c r="AO376"/>
    </row>
    <row r="377" spans="1:91" x14ac:dyDescent="0.3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M377"/>
      <c r="AO377"/>
    </row>
    <row r="378" spans="1:91" x14ac:dyDescent="0.3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M378"/>
      <c r="AO378"/>
    </row>
    <row r="379" spans="1:91" x14ac:dyDescent="0.3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M379"/>
      <c r="AO379"/>
    </row>
    <row r="380" spans="1:91" x14ac:dyDescent="0.3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M380"/>
      <c r="AO380"/>
    </row>
    <row r="381" spans="1:91" x14ac:dyDescent="0.3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M381"/>
      <c r="AO381"/>
    </row>
    <row r="382" spans="1:91" x14ac:dyDescent="0.3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M382"/>
      <c r="AO382"/>
    </row>
    <row r="383" spans="1:91" x14ac:dyDescent="0.3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M383"/>
      <c r="AO383"/>
    </row>
    <row r="384" spans="1:91" x14ac:dyDescent="0.3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M384"/>
      <c r="AO384"/>
    </row>
    <row r="385" spans="1:91" x14ac:dyDescent="0.3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M385"/>
      <c r="AO385"/>
    </row>
    <row r="386" spans="1:91" x14ac:dyDescent="0.3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M386"/>
      <c r="AO386"/>
    </row>
    <row r="387" spans="1:91" x14ac:dyDescent="0.3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M387"/>
      <c r="AO387"/>
    </row>
    <row r="388" spans="1:91" x14ac:dyDescent="0.3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M388"/>
      <c r="AO388"/>
    </row>
    <row r="389" spans="1:91" x14ac:dyDescent="0.3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M389"/>
      <c r="AO389"/>
    </row>
    <row r="390" spans="1:91" x14ac:dyDescent="0.3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M390"/>
      <c r="AO390"/>
    </row>
    <row r="391" spans="1:91" s="20" customFormat="1" x14ac:dyDescent="0.3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:91" x14ac:dyDescent="0.3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M392"/>
      <c r="AO392"/>
    </row>
    <row r="393" spans="1:91" x14ac:dyDescent="0.3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M393"/>
      <c r="AO393"/>
    </row>
    <row r="394" spans="1:91" x14ac:dyDescent="0.3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M394"/>
      <c r="AO394"/>
    </row>
    <row r="395" spans="1:91" s="20" customFormat="1" x14ac:dyDescent="0.3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:91" x14ac:dyDescent="0.3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M396"/>
      <c r="AO396"/>
    </row>
    <row r="397" spans="1:91" x14ac:dyDescent="0.3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M397"/>
      <c r="AO397"/>
    </row>
    <row r="398" spans="1:91" x14ac:dyDescent="0.3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M398"/>
      <c r="AO398"/>
    </row>
    <row r="399" spans="1:91" x14ac:dyDescent="0.3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M399"/>
      <c r="AO399"/>
    </row>
    <row r="400" spans="1:91" x14ac:dyDescent="0.3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M400"/>
      <c r="AO400"/>
    </row>
    <row r="401" spans="1:41" x14ac:dyDescent="0.3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M401"/>
      <c r="AO401"/>
    </row>
    <row r="402" spans="1:41" x14ac:dyDescent="0.3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M402"/>
      <c r="AO402"/>
    </row>
    <row r="403" spans="1:41" x14ac:dyDescent="0.3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M403"/>
      <c r="AO403"/>
    </row>
    <row r="404" spans="1:41" x14ac:dyDescent="0.3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M404"/>
      <c r="AO404"/>
    </row>
    <row r="405" spans="1:41" x14ac:dyDescent="0.3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M405"/>
      <c r="AO405"/>
    </row>
    <row r="406" spans="1:41" x14ac:dyDescent="0.3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M406"/>
      <c r="AO406"/>
    </row>
    <row r="407" spans="1:41" x14ac:dyDescent="0.3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M407"/>
      <c r="AO407"/>
    </row>
    <row r="408" spans="1:41" x14ac:dyDescent="0.3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M408"/>
      <c r="AO408"/>
    </row>
    <row r="409" spans="1:41" x14ac:dyDescent="0.3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M409"/>
      <c r="AO409"/>
    </row>
    <row r="410" spans="1:41" x14ac:dyDescent="0.3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M410"/>
      <c r="AO410"/>
    </row>
    <row r="411" spans="1:41" x14ac:dyDescent="0.3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M411"/>
      <c r="AO411"/>
    </row>
    <row r="412" spans="1:41" x14ac:dyDescent="0.3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M412"/>
      <c r="AO412"/>
    </row>
    <row r="413" spans="1:41" x14ac:dyDescent="0.3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M413"/>
      <c r="AO413"/>
    </row>
    <row r="414" spans="1:41" x14ac:dyDescent="0.3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M414"/>
      <c r="AO414"/>
    </row>
    <row r="415" spans="1:41" x14ac:dyDescent="0.3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M415"/>
      <c r="AO415"/>
    </row>
    <row r="416" spans="1:41" x14ac:dyDescent="0.3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M416"/>
      <c r="AO416"/>
    </row>
  </sheetData>
  <autoFilter ref="A12:AG411">
    <sortState ref="A13:AG411">
      <sortCondition ref="AG13:AG245"/>
      <sortCondition ref="AD13:AD245"/>
    </sortState>
  </autoFilter>
  <sortState ref="A13:AN316">
    <sortCondition ref="AG13:AG316"/>
    <sortCondition ref="AD13:AD316"/>
  </sortState>
  <mergeCells count="1">
    <mergeCell ref="A11:P11"/>
  </mergeCells>
  <conditionalFormatting sqref="W11:W12 W417:X1048576 W13:X245">
    <cfRule type="cellIs" dxfId="10" priority="457" operator="equal">
      <formula>"Y"</formula>
    </cfRule>
  </conditionalFormatting>
  <conditionalFormatting sqref="X417:X1048576 X13:X245">
    <cfRule type="cellIs" dxfId="9" priority="440" operator="greaterThan">
      <formula>1</formula>
    </cfRule>
  </conditionalFormatting>
  <conditionalFormatting sqref="X417:X1048576 X12:X245">
    <cfRule type="cellIs" dxfId="8" priority="437" operator="equal">
      <formula>0</formula>
    </cfRule>
  </conditionalFormatting>
  <conditionalFormatting sqref="A13:S245">
    <cfRule type="expression" dxfId="7" priority="431" stopIfTrue="1">
      <formula>$P13&gt;0</formula>
    </cfRule>
    <cfRule type="expression" dxfId="6" priority="432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556260</xdr:colOff>
                    <xdr:row>2</xdr:row>
                    <xdr:rowOff>38100</xdr:rowOff>
                  </from>
                  <to>
                    <xdr:col>26</xdr:col>
                    <xdr:colOff>464820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33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A13:S245</xm:sqref>
        </x14:conditionalFormatting>
        <x14:conditionalFormatting xmlns:xm="http://schemas.microsoft.com/office/excel/2006/main">
          <x14:cfRule type="expression" priority="116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AK13:AK245</xm:sqref>
        </x14:dataValidation>
        <x14:dataValidation type="list" allowBlank="1" showInputMessage="1" showErrorMessage="1">
          <x14:formula1>
            <xm:f>'Redmine List Values'!$C$2:$C$15</xm:f>
          </x14:formula1>
          <xm:sqref>AL13:AL245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56"/>
  <sheetViews>
    <sheetView topLeftCell="A3" zoomScaleNormal="100" workbookViewId="0">
      <selection activeCell="O42" sqref="O42"/>
    </sheetView>
  </sheetViews>
  <sheetFormatPr defaultRowHeight="14.4" x14ac:dyDescent="0.3"/>
  <cols>
    <col min="1" max="1" width="18.33203125" style="8" bestFit="1" customWidth="1"/>
    <col min="2" max="2" width="13.88671875" customWidth="1"/>
    <col min="3" max="3" width="7" customWidth="1"/>
    <col min="4" max="4" width="12.88671875" style="113" customWidth="1"/>
    <col min="5" max="5" width="29.44140625" style="113" customWidth="1"/>
    <col min="6" max="6" width="5.6640625" style="113" customWidth="1"/>
    <col min="7" max="7" width="5.88671875" style="113" customWidth="1"/>
    <col min="8" max="8" width="7.88671875" style="113" customWidth="1"/>
    <col min="9" max="9" width="9" style="113" customWidth="1"/>
    <col min="10" max="10" width="11.5546875" style="113" hidden="1" customWidth="1"/>
    <col min="11" max="11" width="9.109375" style="113" customWidth="1"/>
    <col min="12" max="12" width="4.88671875" style="113" customWidth="1"/>
    <col min="13" max="13" width="7.88671875" style="2" customWidth="1"/>
    <col min="14" max="14" width="16" style="112" customWidth="1"/>
    <col min="15" max="15" width="4.44140625" style="168" customWidth="1"/>
    <col min="16" max="16" width="30.44140625" style="113" customWidth="1"/>
    <col min="17" max="17" width="5" hidden="1" customWidth="1"/>
    <col min="18" max="18" width="5.5546875" style="75" customWidth="1"/>
    <col min="19" max="19" width="5.5546875" style="82" customWidth="1"/>
    <col min="20" max="20" width="6" style="72" customWidth="1"/>
    <col min="21" max="21" width="5.109375" customWidth="1"/>
    <col min="22" max="22" width="18.5546875" style="43" customWidth="1"/>
    <col min="23" max="23" width="5.33203125" customWidth="1"/>
    <col min="24" max="24" width="6.5546875" style="2" hidden="1" customWidth="1"/>
    <col min="25" max="25" width="5" customWidth="1"/>
    <col min="26" max="26" width="5" style="157" customWidth="1"/>
    <col min="27" max="27" width="5.33203125" customWidth="1"/>
    <col min="28" max="28" width="5.5546875" customWidth="1"/>
    <col min="29" max="29" width="5.33203125" style="115" customWidth="1"/>
    <col min="30" max="30" width="6.6640625" customWidth="1"/>
    <col min="31" max="31" width="9.109375" style="142"/>
  </cols>
  <sheetData>
    <row r="1" spans="1:32" s="20" customFormat="1" ht="15" hidden="1" thickBot="1" x14ac:dyDescent="0.35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8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3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2">
        <f>COUNTIF($O$7:$O$240,"=Y")</f>
        <v>9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" thickBot="1" x14ac:dyDescent="0.35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3">
        <f>COUNTA($O$7:$O$240)-O2</f>
        <v>30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3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6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3">
      <c r="A5" s="226" t="str">
        <f>"Eagle P3 Braking Events - "&amp;TEXT(Variables!$A$2,"YYYY-mm-dd")</f>
        <v>Eagle P3 Braking Events - 2017-10-23</v>
      </c>
      <c r="B5" s="226"/>
      <c r="C5" s="226"/>
      <c r="D5" s="226"/>
      <c r="E5" s="226"/>
      <c r="F5" s="226"/>
      <c r="G5" s="226"/>
      <c r="H5" s="226"/>
      <c r="I5" s="226"/>
      <c r="J5" s="226"/>
      <c r="K5" s="226"/>
      <c r="L5" s="226"/>
      <c r="M5" s="226"/>
      <c r="N5" s="226"/>
      <c r="O5" s="226"/>
      <c r="P5" s="128"/>
      <c r="R5" s="80"/>
      <c r="S5" s="83"/>
      <c r="T5" s="85"/>
      <c r="V5" s="44"/>
      <c r="X5" s="180"/>
      <c r="AC5" s="117"/>
      <c r="AE5" s="144"/>
    </row>
    <row r="6" spans="1:32" s="107" customFormat="1" ht="69.75" customHeight="1" x14ac:dyDescent="0.25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5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352</v>
      </c>
      <c r="X6" s="181" t="s">
        <v>345</v>
      </c>
      <c r="Y6" s="105" t="s">
        <v>141</v>
      </c>
      <c r="Z6" s="158" t="s">
        <v>142</v>
      </c>
      <c r="AA6" s="106" t="s">
        <v>115</v>
      </c>
      <c r="AB6" s="106" t="s">
        <v>143</v>
      </c>
      <c r="AC6" s="118" t="s">
        <v>167</v>
      </c>
      <c r="AD6" s="107" t="s">
        <v>184</v>
      </c>
      <c r="AE6" s="143" t="s">
        <v>189</v>
      </c>
    </row>
    <row r="7" spans="1:32" s="1" customFormat="1" x14ac:dyDescent="0.3">
      <c r="A7" s="31">
        <v>43031.384918981479</v>
      </c>
      <c r="B7" s="30" t="s">
        <v>653</v>
      </c>
      <c r="C7" s="30" t="s">
        <v>654</v>
      </c>
      <c r="D7" s="30" t="s">
        <v>49</v>
      </c>
      <c r="E7" s="30" t="s">
        <v>185</v>
      </c>
      <c r="F7" s="42">
        <v>0</v>
      </c>
      <c r="G7" s="42">
        <v>171</v>
      </c>
      <c r="H7" s="42">
        <v>33293</v>
      </c>
      <c r="I7" s="42">
        <v>33142</v>
      </c>
      <c r="J7" s="30" t="s">
        <v>186</v>
      </c>
      <c r="K7" s="42">
        <v>33257</v>
      </c>
      <c r="L7" s="131" t="s">
        <v>51</v>
      </c>
      <c r="M7" s="132">
        <f>CONVERT((I7-K7)/10000,"mi","ft")*IF(L7="Increasing Mileposts (1)",-1,1)</f>
        <v>-60.72</v>
      </c>
      <c r="N7" s="133" t="str">
        <f>VLOOKUP(C7,'Trips&amp;Operators'!$C$1:$G$99911,5,FALSE)</f>
        <v>LAMAR NEKESHA</v>
      </c>
      <c r="O7" s="176" t="s">
        <v>178</v>
      </c>
      <c r="P7" s="134" t="s">
        <v>356</v>
      </c>
      <c r="Q7" s="30"/>
      <c r="R7" s="81" t="str">
        <f>VLOOKUP(C7,'Train Runs'!$A$13:$AE$10070,31,0)</f>
        <v>aws s3 cp s3://rtdc.mdm.uploadarchive.raw/RTDC4049/ "%USERPROFILE%\AppData\Local\Temp\OnboardLogs"\RTDC4049\2017-10-23 --exclude "*" --recursive --include "*20171023*" &amp; "%USERPROFILE%\Documents\GitHub\mrs-test-scripts\Headless Mode &amp; Sideloading\WalkAndUnGZ.bat" "%USERPROFILE%\AppData\Local\Temp\OnboardLogs"\RTDC4049\2017-10-23 &amp; aws s3 cp s3://rtdc.mdm.uploadarchive.raw/RTDC4049/ "%USERPROFILE%\AppData\Local\Temp\OnboardLogs"\RTDC4049\2017-10-24 --exclude "*" --recursive --include "*20171024*" &amp; "%USERPROFILE%\Documents\GitHub\mrs-test-scripts\Headless Mode &amp; Sideloading\WalkAndUnGZ.bat" "%USERPROFILE%\AppData\Local\Temp\OnboardLogs"\RTDC4049\2017-10-24</v>
      </c>
      <c r="S7" s="84" t="str">
        <f>VLOOKUP(C7,'Train Runs'!$A$13:$AE$10070,22,0)</f>
        <v>https://d0f6bd738d7f1b3e5a7ca70fe4ff75f0.us-east-1.aws.found.io/app/kibana#/discover/Steve-Slow-Train-Analysis-(2080s-and-2083s)?_g=(refreshInterval:(display:Off,pause:!f,section:0,value:0),time:(from:'2017-10-23T07:37:46-0600',mode:absolute,to:'2017-10-23T10:29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7" s="86" t="str">
        <f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/stypes="*4049*201710231*" /stext=" 15:.+((SYSTEM_STATE.+slice.+state.+changed )|(ment ac)|(multiple cpu faults)|(system.+state.+changed )|(\[timeout)|(PRM\|1\|D)|(kpr)|(kdp)|(train st.+moving)|(\|lc)|(penalty))"</v>
      </c>
      <c r="U7" s="9" t="str">
        <f>MID(B7,13,4)</f>
        <v>4049</v>
      </c>
      <c r="V7" s="31">
        <f>A7-utc_offset/24</f>
        <v>43031.634918981479</v>
      </c>
      <c r="W7" s="45" t="str">
        <f>DetSubdiv(C7)</f>
        <v>EC</v>
      </c>
      <c r="X7" s="22">
        <f>VALUE(LEFT(C7,LEN(C7)-3))</f>
        <v>134</v>
      </c>
      <c r="Y7" s="96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Arrival","project_id":79,"tracker_id":40,"status_id":1,"priority_id":2,"assigned_to_id":338,"start_date":"2017-10-23","description":"","custom_fields":[{"id":1,"name":"Subdivision","value":"EC"},{"id":4,"name":"Milepost","value":"3.3257"},{"id":17,"name":"Train ID","value":"134-23"},{"id":16,"name":"Locomotive ID","value":"4049"},{"id":130,"name":"Impact","value":""},{"id":150,"name":"Time of Event (Mountain Time)","value":"09:14:17"},{"id":151,"name":"Denver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9"/>
      <c r="AA7" s="47"/>
      <c r="AB7" s="47"/>
      <c r="AC7" s="115" t="str">
        <f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/c/Users/stu/AppData/Local/Temp/OnboardLogs/RTDC4049 --include="*4049*201710231*"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"%USERPROFILE%\AppData\Local\Temp\OnboardLogs"\RTDC4049\*4049*201710231* &gt;&gt; 2017-10-23-SliceDisagreementCheck.txt</v>
      </c>
      <c r="AE7" s="145" t="str">
        <f t="shared" ref="AE7" si="0">"start /low /b "&amp;dls3logs&amp;" --loco "&amp;U7&amp;" --day "&amp;TEXT(V7,"YYYY-MM-DD")</f>
        <v>start /low /b %USERPROFILE%\Documents\GitHub\eaglep3\Utilities\DownloadLogsFromS3.py --loco 4049 --day 2017-10-23</v>
      </c>
    </row>
    <row r="8" spans="1:32" s="1" customFormat="1" x14ac:dyDescent="0.3">
      <c r="A8" s="31">
        <v>43031.477384259262</v>
      </c>
      <c r="B8" s="30" t="s">
        <v>468</v>
      </c>
      <c r="C8" s="30" t="s">
        <v>657</v>
      </c>
      <c r="D8" s="30" t="s">
        <v>49</v>
      </c>
      <c r="E8" s="30" t="s">
        <v>185</v>
      </c>
      <c r="F8" s="42">
        <v>250</v>
      </c>
      <c r="G8" s="42">
        <v>324</v>
      </c>
      <c r="H8" s="42">
        <v>35839</v>
      </c>
      <c r="I8" s="42">
        <v>35167</v>
      </c>
      <c r="J8" s="30" t="s">
        <v>186</v>
      </c>
      <c r="K8" s="42">
        <v>33257</v>
      </c>
      <c r="L8" s="131" t="s">
        <v>51</v>
      </c>
      <c r="M8" s="132">
        <f>CONVERT((I8-K8)/10000,"mi","ft")*IF(L8="Increasing Mileposts (1)",-1,1)</f>
        <v>1008.48</v>
      </c>
      <c r="N8" s="133" t="str">
        <f>VLOOKUP(C8,'Trips&amp;Operators'!$C$1:$G$99911,5,FALSE)</f>
        <v>BARRON PERLA</v>
      </c>
      <c r="O8" s="176" t="s">
        <v>178</v>
      </c>
      <c r="P8" s="134" t="s">
        <v>356</v>
      </c>
      <c r="Q8" s="30"/>
      <c r="R8" s="81" t="str">
        <f>VLOOKUP(C8,'Train Runs'!$A$13:$AE$10070,31,0)</f>
        <v>aws s3 cp s3://rtdc.mdm.uploadarchive.raw/RTDC4015/ "%USERPROFILE%\AppData\Local\Temp\OnboardLogs"\RTDC4015\2017-10-23 --exclude "*" --recursive --include "*20171023*" &amp; "%USERPROFILE%\Documents\GitHub\mrs-test-scripts\Headless Mode &amp; Sideloading\WalkAndUnGZ.bat" "%USERPROFILE%\AppData\Local\Temp\OnboardLogs"\RTDC4015\2017-10-23 &amp; aws s3 cp s3://rtdc.mdm.uploadarchive.raw/RTDC4015/ "%USERPROFILE%\AppData\Local\Temp\OnboardLogs"\RTDC4015\2017-10-24 --exclude "*" --recursive --include "*20171024*" &amp; "%USERPROFILE%\Documents\GitHub\mrs-test-scripts\Headless Mode &amp; Sideloading\WalkAndUnGZ.bat" "%USERPROFILE%\AppData\Local\Temp\OnboardLogs"\RTDC4015\2017-10-24</v>
      </c>
      <c r="S8" s="84" t="str">
        <f>VLOOKUP(C8,'Train Runs'!$A$13:$AE$10070,22,0)</f>
        <v>https://d0f6bd738d7f1b3e5a7ca70fe4ff75f0.us-east-1.aws.found.io/app/kibana#/discover/Steve-Slow-Train-Analysis-(2080s-and-2083s)?_g=(refreshInterval:(display:Off,pause:!f,section:0,value:0),time:(from:'2017-10-23T09:39:42-0600',mode:absolute,to:'2017-10-23T12:39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8" s="86" t="str">
        <f>astrogrep_path&amp;" /e /r /s /spath="&amp;search_path&amp;" /stypes=""*"&amp;U8&amp;"*"&amp;TEXT(A8-utc_offset/24,"YYYYMMDD")&amp;LEFT(TEXT(A8-utc_offset/24,"HH"),1)&amp;"*"" /stext="" "&amp;TEXT(A8-utc_offset/24,"HH")&amp;search_regexp&amp;""""</f>
        <v>"C:\Program Files (x86)\AstroGrep\AstroGrep.exe" /e /r /s /spath="%USERPROFILE%\AppData\Local\Temp\OnboardLogs" /stypes="*4015*201710231*" /stext=" 17:.+((SYSTEM_STATE.+slice.+state.+changed )|(ment ac)|(multiple cpu faults)|(system.+state.+changed )|(\[timeout)|(PRM\|1\|D)|(kpr)|(kdp)|(train st.+moving)|(\|lc)|(penalty))"</v>
      </c>
      <c r="U8" s="9" t="str">
        <f>MID(B8,13,4)</f>
        <v>4015</v>
      </c>
      <c r="V8" s="31">
        <f>A8-utc_offset/24</f>
        <v>43031.727384259262</v>
      </c>
      <c r="W8" s="45" t="str">
        <f>DetSubdiv(C8)</f>
        <v>EC</v>
      </c>
      <c r="X8" s="22">
        <f>VALUE(LEFT(C8,LEN(C8)-3))</f>
        <v>152</v>
      </c>
      <c r="Y8" s="96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Arrival","project_id":79,"tracker_id":40,"status_id":1,"priority_id":2,"assigned_to_id":338,"start_date":"2017-10-23","description":"","custom_fields":[{"id":1,"name":"Subdivision","value":"EC"},{"id":4,"name":"Milepost","value":"3.3257"},{"id":17,"name":"Train ID","value":"152-23"},{"id":16,"name":"Locomotive ID","value":"4015"},{"id":130,"name":"Impact","value":""},{"id":150,"name":"Time of Event (Mountain Time)","value":"11:27:26"},{"id":151,"name":"Denver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9"/>
      <c r="AA8" s="47"/>
      <c r="AB8" s="47"/>
      <c r="AC8" s="115" t="str">
        <f>"grep -hrE -A400 ""Enforcement Action"" "&amp;"/c/Users/stu/AppData/Local/Temp/OnboardLogs"&amp;"/RTDC"&amp;U8&amp;" --include=""*"&amp;U8&amp;"*"&amp;TEXT(A8-utc_offset/24,"YYYYMMDD")&amp;LEFT(TEXT(A8-utc_offset/24,"HH"),1)&amp;"*"" | grep -E ""((Enforcement Ac)|(PRM))"" -"</f>
        <v>grep -hrE -A400 "Enforcement Action" /c/Users/stu/AppData/Local/Temp/OnboardLogs/RTDC4015 --include="*4015*201710231*"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"%USERPROFILE%\AppData\Local\Temp\OnboardLogs"\RTDC4015\*4015*201710231* &gt;&gt; 2017-10-23-SliceDisagreementCheck.txt</v>
      </c>
      <c r="AE8" s="145" t="str">
        <f t="shared" ref="AE8:AE45" si="1">"start /low /b "&amp;dls3logs&amp;" --loco "&amp;U8&amp;" --day "&amp;TEXT(V8,"YYYY-MM-DD")</f>
        <v>start /low /b %USERPROFILE%\Documents\GitHub\eaglep3\Utilities\DownloadLogsFromS3.py --loco 4015 --day 2017-10-23</v>
      </c>
    </row>
    <row r="9" spans="1:32" s="1" customFormat="1" x14ac:dyDescent="0.3">
      <c r="A9" s="31">
        <v>43031.973101851851</v>
      </c>
      <c r="B9" s="30" t="s">
        <v>674</v>
      </c>
      <c r="C9" s="30" t="s">
        <v>675</v>
      </c>
      <c r="D9" s="30" t="s">
        <v>95</v>
      </c>
      <c r="E9" s="30" t="s">
        <v>192</v>
      </c>
      <c r="F9" s="42">
        <v>600</v>
      </c>
      <c r="G9" s="42">
        <v>650</v>
      </c>
      <c r="H9" s="42">
        <v>123827</v>
      </c>
      <c r="I9" s="42">
        <v>126655</v>
      </c>
      <c r="J9" s="30" t="s">
        <v>193</v>
      </c>
      <c r="K9" s="42">
        <v>119716</v>
      </c>
      <c r="L9" s="131" t="s">
        <v>50</v>
      </c>
      <c r="M9" s="132">
        <f>CONVERT((I9-K9)/10000,"mi","ft")*IF(L9="Increasing Mileposts (1)",-1,1)</f>
        <v>-3663.7919999999999</v>
      </c>
      <c r="N9" s="133" t="str">
        <f>VLOOKUP(C9,'Trips&amp;Operators'!$C$1:$G$99911,5,FALSE)</f>
        <v>ELBAUM MIKE</v>
      </c>
      <c r="O9" s="176" t="s">
        <v>178</v>
      </c>
      <c r="P9" s="134"/>
      <c r="Q9" s="30"/>
      <c r="R9" s="81" t="str">
        <f>VLOOKUP(C9,'Train Runs'!$A$13:$AE$10070,31,0)</f>
        <v>aws s3 cp s3://rtdc.mdm.uploadarchive.raw/RTDC4042/ "%USERPROFILE%\AppData\Local\Temp\OnboardLogs"\RTDC4042\2017-10-23 --exclude "*" --recursive --include "*20171023*" &amp; "%USERPROFILE%\Documents\GitHub\mrs-test-scripts\Headless Mode &amp; Sideloading\WalkAndUnGZ.bat" "%USERPROFILE%\AppData\Local\Temp\OnboardLogs"\RTDC4042\2017-10-23 &amp; aws s3 cp s3://rtdc.mdm.uploadarchive.raw/RTDC4042/ "%USERPROFILE%\AppData\Local\Temp\OnboardLogs"\RTDC4042\2017-10-24 --exclude "*" --recursive --include "*20171024*" &amp; "%USERPROFILE%\Documents\GitHub\mrs-test-scripts\Headless Mode &amp; Sideloading\WalkAndUnGZ.bat" "%USERPROFILE%\AppData\Local\Temp\OnboardLogs"\RTDC4042\2017-10-24</v>
      </c>
      <c r="S9" s="84" t="str">
        <f>VLOOKUP(C9,'Train Runs'!$A$13:$AE$10070,22,0)</f>
        <v>https://d0f6bd738d7f1b3e5a7ca70fe4ff75f0.us-east-1.aws.found.io/app/kibana#/discover/Steve-Slow-Train-Analysis-(2080s-and-2083s)?_g=(refreshInterval:(display:Off,pause:!f,section:0,value:0),time:(from:'2017-10-23T21:35:23-0600',mode:absolute,to:'2017-10-24T00:35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9" s="86" t="str">
        <f>astrogrep_path&amp;" /e /r /s /spath="&amp;search_path&amp;" /stypes=""*"&amp;U9&amp;"*"&amp;TEXT(A9-utc_offset/24,"YYYYMMDD")&amp;LEFT(TEXT(A9-utc_offset/24,"HH"),1)&amp;"*"" /stext="" "&amp;TEXT(A9-utc_offset/24,"HH")&amp;search_regexp&amp;""""</f>
        <v>"C:\Program Files (x86)\AstroGrep\AstroGrep.exe" /e /r /s /spath="%USERPROFILE%\AppData\Local\Temp\OnboardLogs" /stypes="*4042*201710240*" /stext=" 05:.+((SYSTEM_STATE.+slice.+state.+changed )|(ment ac)|(multiple cpu faults)|(system.+state.+changed )|(\[timeout)|(PRM\|1\|D)|(kpr)|(kdp)|(train st.+moving)|(\|lc)|(penalty))"</v>
      </c>
      <c r="U9" s="9" t="str">
        <f>MID(B9,13,4)</f>
        <v>4042</v>
      </c>
      <c r="V9" s="31">
        <f>A9-utc_offset/24</f>
        <v>43032.223101851851</v>
      </c>
      <c r="W9" s="45" t="str">
        <f>DetSubdiv(C9)</f>
        <v>EC</v>
      </c>
      <c r="X9" s="22">
        <f>VALUE(LEFT(C9,LEN(C9)-3))</f>
        <v>237</v>
      </c>
      <c r="Y9" s="96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{"issue":{"subject":"","project_id":79,"tracker_id":40,"status_id":1,"priority_id":2,"assigned_to_id":338,"start_date":"2017-10-23","description":"","custom_fields":[{"id":1,"name":"Subdivision","value":"EC"},{"id":4,"name":"Milepost","value":"11.9716"},{"id":17,"name":"Train ID","value":"237-23"},{"id":16,"name":"Locomotive ID","value":"4042"},{"id":130,"name":"Impact","value":""},{"id":150,"name":"Time of Event (Mountain Time)","value":"23:21:16"},{"id":151,"name":"Denver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9"/>
      <c r="AA9" s="47"/>
      <c r="AB9" s="47"/>
      <c r="AC9" s="115" t="str">
        <f>"grep -hrE -A400 ""Enforcement Action"" "&amp;"/c/Users/stu/AppData/Local/Temp/OnboardLogs"&amp;"/RTDC"&amp;U9&amp;" --include=""*"&amp;U9&amp;"*"&amp;TEXT(A9-utc_offset/24,"YYYYMMDD")&amp;LEFT(TEXT(A9-utc_offset/24,"HH"),1)&amp;"*"" | grep -E ""((Enforcement Ac)|(PRM))"" -"</f>
        <v>grep -hrE -A400 "Enforcement Action" /c/Users/stu/AppData/Local/Temp/OnboardLogs/RTDC4042 --include="*4042*201710240*"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"%USERPROFILE%\AppData\Local\Temp\OnboardLogs"\RTDC4042\*4042*201710240* &gt;&gt; 2017-10-23-SliceDisagreementCheck.txt</v>
      </c>
      <c r="AE9" s="145" t="str">
        <f t="shared" si="1"/>
        <v>start /low /b %USERPROFILE%\Documents\GitHub\eaglep3\Utilities\DownloadLogsFromS3.py --loco 4042 --day 2017-10-24</v>
      </c>
    </row>
    <row r="10" spans="1:32" s="1" customFormat="1" x14ac:dyDescent="0.3">
      <c r="A10" s="31">
        <v>43031.272870370369</v>
      </c>
      <c r="B10" s="30" t="s">
        <v>642</v>
      </c>
      <c r="C10" s="30" t="s">
        <v>643</v>
      </c>
      <c r="D10" s="30" t="s">
        <v>49</v>
      </c>
      <c r="E10" s="30" t="s">
        <v>192</v>
      </c>
      <c r="F10" s="42">
        <v>600</v>
      </c>
      <c r="G10" s="42">
        <v>667</v>
      </c>
      <c r="H10" s="42">
        <v>193487</v>
      </c>
      <c r="I10" s="42">
        <v>190768</v>
      </c>
      <c r="J10" s="30" t="s">
        <v>193</v>
      </c>
      <c r="K10" s="42">
        <v>191104</v>
      </c>
      <c r="L10" s="131" t="s">
        <v>51</v>
      </c>
      <c r="M10" s="132">
        <f>CONVERT((I10-K10)/10000,"mi","ft")*IF(L10="Increasing Mileposts (1)",-1,1)</f>
        <v>-177.40799999999999</v>
      </c>
      <c r="N10" s="133" t="str">
        <f>VLOOKUP(C10,'Trips&amp;Operators'!$C$1:$G$99911,5,FALSE)</f>
        <v>BONDS REYNALDO</v>
      </c>
      <c r="O10" s="176" t="s">
        <v>178</v>
      </c>
      <c r="P10" s="134"/>
      <c r="Q10" s="30"/>
      <c r="R10" s="81" t="str">
        <f>VLOOKUP(C10,'Train Runs'!$A$13:$AE$10070,31,0)</f>
        <v>aws s3 cp s3://rtdc.mdm.uploadarchive.raw/RTDC4045/ "%USERPROFILE%\AppData\Local\Temp\OnboardLogs"\RTDC4045\2017-10-23 --exclude "*" --recursive --include "*20171023*" &amp; "%USERPROFILE%\Documents\GitHub\mrs-test-scripts\Headless Mode &amp; Sideloading\WalkAndUnGZ.bat" "%USERPROFILE%\AppData\Local\Temp\OnboardLogs"\RTDC4045\2017-10-23 &amp; aws s3 cp s3://rtdc.mdm.uploadarchive.raw/RTDC4045/ "%USERPROFILE%\AppData\Local\Temp\OnboardLogs"\RTDC4045\2017-10-24 --exclude "*" --recursive --include "*20171024*" &amp; "%USERPROFILE%\Documents\GitHub\mrs-test-scripts\Headless Mode &amp; Sideloading\WalkAndUnGZ.bat" "%USERPROFILE%\AppData\Local\Temp\OnboardLogs"\RTDC4045\2017-10-24</v>
      </c>
      <c r="S10" s="84" t="str">
        <f>VLOOKUP(C10,'Train Runs'!$A$13:$AE$10070,22,0)</f>
        <v>https://d0f6bd738d7f1b3e5a7ca70fe4ff75f0.us-east-1.aws.found.io/app/kibana#/discover/Steve-Slow-Train-Analysis-(2080s-and-2083s)?_g=(refreshInterval:(display:Off,pause:!f,section:0,value:0),time:(from:'2017-10-23T05:25:15-0600',mode:absolute,to:'2017-10-23T08:05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10" s="86" t="str">
        <f>astrogrep_path&amp;" /e /r /s /spath="&amp;search_path&amp;" /stypes=""*"&amp;U10&amp;"*"&amp;TEXT(A10-utc_offset/24,"YYYYMMDD")&amp;LEFT(TEXT(A10-utc_offset/24,"HH"),1)&amp;"*"" /stext="" "&amp;TEXT(A10-utc_offset/24,"HH")&amp;search_regexp&amp;""""</f>
        <v>"C:\Program Files (x86)\AstroGrep\AstroGrep.exe" /e /r /s /spath="%USERPROFILE%\AppData\Local\Temp\OnboardLogs" /stypes="*4045*201710231*" /stext=" 12:.+((SYSTEM_STATE.+slice.+state.+changed )|(ment ac)|(multiple cpu faults)|(system.+state.+changed )|(\[timeout)|(PRM\|1\|D)|(kpr)|(kdp)|(train st.+moving)|(\|lc)|(penalty))"</v>
      </c>
      <c r="U10" s="9" t="str">
        <f>MID(B10,13,4)</f>
        <v>4045</v>
      </c>
      <c r="V10" s="31">
        <f>A10-utc_offset/24</f>
        <v>43031.522870370369</v>
      </c>
      <c r="W10" s="45" t="str">
        <f>DetSubdiv(C10)</f>
        <v>EC</v>
      </c>
      <c r="X10" s="22">
        <f>VALUE(LEFT(C10,LEN(C10)-3))</f>
        <v>116</v>
      </c>
      <c r="Y10" s="96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{"issue":{"subject":"","project_id":79,"tracker_id":40,"status_id":1,"priority_id":2,"assigned_to_id":338,"start_date":"2017-10-23","description":"","custom_fields":[{"id":1,"name":"Subdivision","value":"EC"},{"id":4,"name":"Milepost","value":"19.1104"},{"id":17,"name":"Train ID","value":"116-23"},{"id":16,"name":"Locomotive ID","value":"4045"},{"id":130,"name":"Impact","value":""},{"id":150,"name":"Time of Event (Mountain Time)","value":"06:32:56"},{"id":151,"name":"Denver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9"/>
      <c r="AA10" s="47"/>
      <c r="AB10" s="47"/>
      <c r="AC10" s="115" t="str">
        <f>"grep -hrE -A400 ""Enforcement Action"" "&amp;"/c/Users/stu/AppData/Local/Temp/OnboardLogs"&amp;"/RTDC"&amp;U10&amp;" --include=""*"&amp;U10&amp;"*"&amp;TEXT(A10-utc_offset/24,"YYYYMMDD")&amp;LEFT(TEXT(A10-utc_offset/24,"HH"),1)&amp;"*"" | grep -E ""((Enforcement Ac)|(PRM))"" -"</f>
        <v>grep -hrE -A400 "Enforcement Action" /c/Users/stu/AppData/Local/Temp/OnboardLogs/RTDC4045 --include="*4045*201710231*"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"%USERPROFILE%\AppData\Local\Temp\OnboardLogs"\RTDC4045\*4045*201710231* &gt;&gt; 2017-10-23-SliceDisagreementCheck.txt</v>
      </c>
      <c r="AE10" s="145" t="str">
        <f t="shared" si="1"/>
        <v>start /low /b %USERPROFILE%\Documents\GitHub\eaglep3\Utilities\DownloadLogsFromS3.py --loco 4045 --day 2017-10-23</v>
      </c>
    </row>
    <row r="11" spans="1:32" s="1" customFormat="1" x14ac:dyDescent="0.3">
      <c r="A11" s="31">
        <v>43031.562789351854</v>
      </c>
      <c r="B11" s="30" t="s">
        <v>642</v>
      </c>
      <c r="C11" s="30" t="s">
        <v>659</v>
      </c>
      <c r="D11" s="30" t="s">
        <v>95</v>
      </c>
      <c r="E11" s="30" t="s">
        <v>192</v>
      </c>
      <c r="F11" s="42">
        <v>350</v>
      </c>
      <c r="G11" s="42">
        <v>400</v>
      </c>
      <c r="H11" s="42">
        <v>224747</v>
      </c>
      <c r="I11" s="42">
        <v>223575</v>
      </c>
      <c r="J11" s="30" t="s">
        <v>193</v>
      </c>
      <c r="K11" s="42">
        <v>230436</v>
      </c>
      <c r="L11" s="131" t="s">
        <v>51</v>
      </c>
      <c r="M11" s="132">
        <f>CONVERT((I11-K11)/10000,"mi","ft")*IF(L11="Increasing Mileposts (1)",-1,1)</f>
        <v>-3622.6080000000002</v>
      </c>
      <c r="N11" s="133" t="str">
        <f>VLOOKUP(C11,'Trips&amp;Operators'!$C$1:$G$99911,5,FALSE)</f>
        <v>BADERTSCHER DIANE</v>
      </c>
      <c r="O11" s="176" t="s">
        <v>178</v>
      </c>
      <c r="P11" s="134"/>
      <c r="Q11" s="30"/>
      <c r="R11" s="81" t="str">
        <f>VLOOKUP(C11,'Train Runs'!$A$13:$AE$10070,31,0)</f>
        <v>aws s3 cp s3://rtdc.mdm.uploadarchive.raw/RTDC4045/ "%USERPROFILE%\AppData\Local\Temp\OnboardLogs"\RTDC4045\2017-10-23 --exclude "*" --recursive --include "*20171023*" &amp; "%USERPROFILE%\Documents\GitHub\mrs-test-scripts\Headless Mode &amp; Sideloading\WalkAndUnGZ.bat" "%USERPROFILE%\AppData\Local\Temp\OnboardLogs"\RTDC4045\2017-10-23 &amp; aws s3 cp s3://rtdc.mdm.uploadarchive.raw/RTDC4045/ "%USERPROFILE%\AppData\Local\Temp\OnboardLogs"\RTDC4045\2017-10-24 --exclude "*" --recursive --include "*20171024*" &amp; "%USERPROFILE%\Documents\GitHub\mrs-test-scripts\Headless Mode &amp; Sideloading\WalkAndUnGZ.bat" "%USERPROFILE%\AppData\Local\Temp\OnboardLogs"\RTDC4045\2017-10-24</v>
      </c>
      <c r="S11" s="84" t="str">
        <f>VLOOKUP(C11,'Train Runs'!$A$13:$AE$10070,22,0)</f>
        <v>https://d0f6bd738d7f1b3e5a7ca70fe4ff75f0.us-east-1.aws.found.io/app/kibana#/discover/Steve-Slow-Train-Analysis-(2080s-and-2083s)?_g=(refreshInterval:(display:Off,pause:!f,section:0,value:0),time:(from:'2017-10-23T12:15:47-0600',mode:absolute,to:'2017-10-23T15:10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11" s="86" t="str">
        <f>astrogrep_path&amp;" /e /r /s /spath="&amp;search_path&amp;" /stypes=""*"&amp;U11&amp;"*"&amp;TEXT(A11-utc_offset/24,"YYYYMMDD")&amp;LEFT(TEXT(A11-utc_offset/24,"HH"),1)&amp;"*"" /stext="" "&amp;TEXT(A11-utc_offset/24,"HH")&amp;search_regexp&amp;""""</f>
        <v>"C:\Program Files (x86)\AstroGrep\AstroGrep.exe" /e /r /s /spath="%USERPROFILE%\AppData\Local\Temp\OnboardLogs" /stypes="*4045*201710231*" /stext=" 19:.+((SYSTEM_STATE.+slice.+state.+changed )|(ment ac)|(multiple cpu faults)|(system.+state.+changed )|(\[timeout)|(PRM\|1\|D)|(kpr)|(kdp)|(train st.+moving)|(\|lc)|(penalty))"</v>
      </c>
      <c r="U11" s="9" t="str">
        <f>MID(B11,13,4)</f>
        <v>4045</v>
      </c>
      <c r="V11" s="31">
        <f>A11-utc_offset/24</f>
        <v>43031.812789351854</v>
      </c>
      <c r="W11" s="45" t="str">
        <f>DetSubdiv(C11)</f>
        <v>EC</v>
      </c>
      <c r="X11" s="22">
        <f>VALUE(LEFT(C11,LEN(C11)-3))</f>
        <v>172</v>
      </c>
      <c r="Y11" s="96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{"issue":{"subject":"","project_id":79,"tracker_id":40,"status_id":1,"priority_id":2,"assigned_to_id":338,"start_date":"2017-10-23","description":"","custom_fields":[{"id":1,"name":"Subdivision","value":"EC"},{"id":4,"name":"Milepost","value":"23.0436"},{"id":17,"name":"Train ID","value":"172-23"},{"id":16,"name":"Locomotive ID","value":"4045"},{"id":130,"name":"Impact","value":""},{"id":150,"name":"Time of Event (Mountain Time)","value":"13:30:25"},{"id":151,"name":"Denver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9"/>
      <c r="AA11" s="47"/>
      <c r="AB11" s="47"/>
      <c r="AC11" s="115" t="str">
        <f>"grep -hrE -A400 ""Enforcement Action"" "&amp;"/c/Users/stu/AppData/Local/Temp/OnboardLogs"&amp;"/RTDC"&amp;U11&amp;" --include=""*"&amp;U11&amp;"*"&amp;TEXT(A11-utc_offset/24,"YYYYMMDD")&amp;LEFT(TEXT(A11-utc_offset/24,"HH"),1)&amp;"*"" | grep -E ""((Enforcement Ac)|(PRM))"" -"</f>
        <v>grep -hrE -A400 "Enforcement Action" /c/Users/stu/AppData/Local/Temp/OnboardLogs/RTDC4045 --include="*4045*201710231*"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"%USERPROFILE%\AppData\Local\Temp\OnboardLogs"\RTDC4045\*4045*201710231* &gt;&gt; 2017-10-23-SliceDisagreementCheck.txt</v>
      </c>
      <c r="AE11" s="145" t="str">
        <f t="shared" si="1"/>
        <v>start /low /b %USERPROFILE%\Documents\GitHub\eaglep3\Utilities\DownloadLogsFromS3.py --loco 4045 --day 2017-10-23</v>
      </c>
    </row>
    <row r="12" spans="1:32" x14ac:dyDescent="0.3">
      <c r="A12" s="31">
        <v>43031.444525462961</v>
      </c>
      <c r="B12" s="30" t="s">
        <v>414</v>
      </c>
      <c r="C12" s="30" t="s">
        <v>655</v>
      </c>
      <c r="D12" s="30" t="s">
        <v>95</v>
      </c>
      <c r="E12" s="30" t="s">
        <v>407</v>
      </c>
      <c r="F12" s="42">
        <v>200</v>
      </c>
      <c r="G12" s="42">
        <v>264</v>
      </c>
      <c r="H12" s="42">
        <v>19769</v>
      </c>
      <c r="I12" s="42">
        <v>20419</v>
      </c>
      <c r="J12" s="30" t="s">
        <v>408</v>
      </c>
      <c r="K12" s="42">
        <v>10800</v>
      </c>
      <c r="L12" s="131" t="s">
        <v>50</v>
      </c>
      <c r="M12" s="132">
        <f>CONVERT((I12-K12)/10000,"mi","ft")*IF(L12="Increasing Mileposts (1)",-1,1)</f>
        <v>-5078.8320000000003</v>
      </c>
      <c r="N12" s="133" t="str">
        <f>VLOOKUP(C12,'Trips&amp;Operators'!$C$1:$G$99911,5,FALSE)</f>
        <v>DAVIDSON DAVID</v>
      </c>
      <c r="O12" s="176" t="s">
        <v>375</v>
      </c>
      <c r="P12" s="134" t="s">
        <v>1081</v>
      </c>
      <c r="Q12" s="30"/>
      <c r="R12" s="81" t="str">
        <f>VLOOKUP(C12,'Train Runs'!$A$13:$AE$10070,31,0)</f>
        <v>aws s3 cp s3://rtdc.mdm.uploadarchive.raw/RTDC4008/ "%USERPROFILE%\AppData\Local\Temp\OnboardLogs"\RTDC4008\2017-10-23 --exclude "*" --recursive --include "*20171023*" &amp; "%USERPROFILE%\Documents\GitHub\mrs-test-scripts\Headless Mode &amp; Sideloading\WalkAndUnGZ.bat" "%USERPROFILE%\AppData\Local\Temp\OnboardLogs"\RTDC4008\2017-10-23 &amp; aws s3 cp s3://rtdc.mdm.uploadarchive.raw/RTDC4008/ "%USERPROFILE%\AppData\Local\Temp\OnboardLogs"\RTDC4008\2017-10-24 --exclude "*" --recursive --include "*20171024*" &amp; "%USERPROFILE%\Documents\GitHub\mrs-test-scripts\Headless Mode &amp; Sideloading\WalkAndUnGZ.bat" "%USERPROFILE%\AppData\Local\Temp\OnboardLogs"\RTDC4008\2017-10-24</v>
      </c>
      <c r="S12" s="84" t="str">
        <f>VLOOKUP(C12,'Train Runs'!$A$13:$AE$10070,22,0)</f>
        <v>https://d0f6bd738d7f1b3e5a7ca70fe4ff75f0.us-east-1.aws.found.io/app/kibana#/discover/Steve-Slow-Train-Analysis-(2080s-and-2083s)?_g=(refreshInterval:(display:Off,pause:!f,section:0,value:0),time:(from:'2017-10-23T09:28:21-0600',mode:absolute,to:'2017-10-23T12:17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12" s="86" t="str">
        <f>astrogrep_path&amp;" /e /r /s /spath="&amp;search_path&amp;" /stypes=""*"&amp;U12&amp;"*"&amp;TEXT(A12-utc_offset/24,"YYYYMMDD")&amp;LEFT(TEXT(A12-utc_offset/24,"HH"),1)&amp;"*"" /stext="" "&amp;TEXT(A12-utc_offset/24,"HH")&amp;search_regexp&amp;""""</f>
        <v>"C:\Program Files (x86)\AstroGrep\AstroGrep.exe" /e /r /s /spath="%USERPROFILE%\AppData\Local\Temp\OnboardLogs" /stypes="*4008*201710231*" /stext=" 16:.+((SYSTEM_STATE.+slice.+state.+changed )|(ment ac)|(multiple cpu faults)|(system.+state.+changed )|(\[timeout)|(PRM\|1\|D)|(kpr)|(kdp)|(train st.+moving)|(\|lc)|(penalty))"</v>
      </c>
      <c r="U12" s="9" t="str">
        <f>MID(B12,13,4)</f>
        <v>4008</v>
      </c>
      <c r="V12" s="31">
        <f>A12-utc_offset/24</f>
        <v>43031.694525462961</v>
      </c>
      <c r="W12" s="45" t="str">
        <f>DetSubdiv(C12)</f>
        <v>EC</v>
      </c>
      <c r="X12" s="22">
        <f>VALUE(LEFT(C12,LEN(C12)-3))</f>
        <v>155</v>
      </c>
      <c r="Y12" s="96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--insecure -X POST -H ""Content-Type: application/json"" -H ""X-Redmine-API-Key: "&amp;redm_api_key&amp;""" "&amp;redm_url&amp;" --data @-"</f>
        <v>echo {"issue":{"subject":"Poor GPS at DUS","project_id":79,"tracker_id":40,"status_id":1,"priority_id":2,"assigned_to_id":338,"start_date":"2017-10-23","description":"","custom_fields":[{"id":1,"name":"Subdivision","value":"EC"},{"id":4,"name":"Milepost","value":"1.08"},{"id":17,"name":"Train ID","value":"155-23"},{"id":16,"name":"Locomotive ID","value":"4008"},{"id":130,"name":"Impact","value":""},{"id":150,"name":"Time of Event (Mountain Time)","value":"10:40:07"},{"id":151,"name":"Denver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9"/>
      <c r="AA12" s="47"/>
      <c r="AB12" s="47"/>
      <c r="AC12" s="115" t="str">
        <f>"grep -hrE -A400 ""Enforcement Action"" "&amp;"/c/Users/stu/AppData/Local/Temp/OnboardLogs"&amp;"/RTDC"&amp;U12&amp;" --include=""*"&amp;U12&amp;"*"&amp;TEXT(A12-utc_offset/24,"YYYYMMDD")&amp;LEFT(TEXT(A12-utc_offset/24,"HH"),1)&amp;"*"" | grep -E ""((Enforcement Ac)|(PRM))"" -"</f>
        <v>grep -hrE -A400 "Enforcement Action" /c/Users/stu/AppData/Local/Temp/OnboardLogs/RTDC4008 --include="*4008*201710231*"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"%USERPROFILE%\AppData\Local\Temp\OnboardLogs"\RTDC4008\*4008*201710231* &gt;&gt; 2017-10-23-SliceDisagreementCheck.txt</v>
      </c>
      <c r="AE12" s="145" t="str">
        <f t="shared" si="1"/>
        <v>start /low /b %USERPROFILE%\Documents\GitHub\eaglep3\Utilities\DownloadLogsFromS3.py --loco 4008 --day 2017-10-23</v>
      </c>
      <c r="AF12" s="1"/>
    </row>
    <row r="13" spans="1:32" x14ac:dyDescent="0.3">
      <c r="A13" s="31">
        <v>43031.216527777775</v>
      </c>
      <c r="B13" s="30" t="s">
        <v>638</v>
      </c>
      <c r="C13" s="30" t="s">
        <v>639</v>
      </c>
      <c r="D13" s="30" t="s">
        <v>49</v>
      </c>
      <c r="E13" s="30" t="s">
        <v>407</v>
      </c>
      <c r="F13" s="42">
        <v>0</v>
      </c>
      <c r="G13" s="42">
        <v>487</v>
      </c>
      <c r="H13" s="42">
        <v>42679</v>
      </c>
      <c r="I13" s="42">
        <v>44209</v>
      </c>
      <c r="J13" s="30" t="s">
        <v>408</v>
      </c>
      <c r="K13" s="42">
        <v>43651</v>
      </c>
      <c r="L13" s="131" t="s">
        <v>50</v>
      </c>
      <c r="M13" s="132">
        <f>CONVERT((I13-K13)/10000,"mi","ft")*IF(L13="Increasing Mileposts (1)",-1,1)</f>
        <v>-294.62400000000002</v>
      </c>
      <c r="N13" s="133" t="str">
        <f>VLOOKUP(C13,'Trips&amp;Operators'!$C$1:$G$99911,5,FALSE)</f>
        <v>THOMPSON LESTER</v>
      </c>
      <c r="O13" s="176" t="s">
        <v>375</v>
      </c>
      <c r="P13" s="134" t="s">
        <v>413</v>
      </c>
      <c r="Q13" s="30"/>
      <c r="R13" s="81" t="str">
        <f>VLOOKUP(C13,'Train Runs'!$A$13:$AE$10070,31,0)</f>
        <v>aws s3 cp s3://rtdc.mdm.uploadarchive.raw/RTDC4034/ "%USERPROFILE%\AppData\Local\Temp\OnboardLogs"\RTDC4034\2017-10-23 --exclude "*" --recursive --include "*20171023*" &amp; "%USERPROFILE%\Documents\GitHub\mrs-test-scripts\Headless Mode &amp; Sideloading\WalkAndUnGZ.bat" "%USERPROFILE%\AppData\Local\Temp\OnboardLogs"\RTDC4034\2017-10-23 &amp; aws s3 cp s3://rtdc.mdm.uploadarchive.raw/RTDC4034/ "%USERPROFILE%\AppData\Local\Temp\OnboardLogs"\RTDC4034\2017-10-24 --exclude "*" --recursive --include "*20171024*" &amp; "%USERPROFILE%\Documents\GitHub\mrs-test-scripts\Headless Mode &amp; Sideloading\WalkAndUnGZ.bat" "%USERPROFILE%\AppData\Local\Temp\OnboardLogs"\RTDC4034\2017-10-24</v>
      </c>
      <c r="S13" s="84" t="str">
        <f>VLOOKUP(C13,'Train Runs'!$A$13:$AE$10070,22,0)</f>
        <v>https://d0f6bd738d7f1b3e5a7ca70fe4ff75f0.us-east-1.aws.found.io/app/kibana#/discover/Steve-Slow-Train-Analysis-(2080s-and-2083s)?_g=(refreshInterval:(display:Off,pause:!f,section:0,value:0),time:(from:'2017-10-23T03:56:44-0600',mode:absolute,to:'2017-10-23T06:49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T13" s="86" t="str">
        <f>astrogrep_path&amp;" /e /r /s /spath="&amp;search_path&amp;" /stypes=""*"&amp;U13&amp;"*"&amp;TEXT(A13-utc_offset/24,"YYYYMMDD")&amp;LEFT(TEXT(A13-utc_offset/24,"HH"),1)&amp;"*"" /stext="" "&amp;TEXT(A13-utc_offset/24,"HH")&amp;search_regexp&amp;""""</f>
        <v>"C:\Program Files (x86)\AstroGrep\AstroGrep.exe" /e /r /s /spath="%USERPROFILE%\AppData\Local\Temp\OnboardLogs" /stypes="*4034*201710231*" /stext=" 11:.+((SYSTEM_STATE.+slice.+state.+changed )|(ment ac)|(multiple cpu faults)|(system.+state.+changed )|(\[timeout)|(PRM\|1\|D)|(kpr)|(kdp)|(train st.+moving)|(\|lc)|(penalty))"</v>
      </c>
      <c r="U13" s="9" t="str">
        <f>MID(B13,13,4)</f>
        <v>4034</v>
      </c>
      <c r="V13" s="31">
        <f>A13-utc_offset/24</f>
        <v>43031.466527777775</v>
      </c>
      <c r="W13" s="45" t="str">
        <f>DetSubdiv(C13)</f>
        <v>EC</v>
      </c>
      <c r="X13" s="22">
        <f>VALUE(LEFT(C13,LEN(C13)-3))</f>
        <v>111</v>
      </c>
      <c r="Y13" s="96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drop","project_id":79,"tracker_id":40,"status_id":1,"priority_id":2,"assigned_to_id":338,"start_date":"2017-10-23","description":"","custom_fields":[{"id":1,"name":"Subdivision","value":"EC"},{"id":4,"name":"Milepost","value":"4.3651"},{"id":17,"name":"Train ID","value":"111-23"},{"id":16,"name":"Locomotive ID","value":"4034"},{"id":130,"name":"Impact","value":""},{"id":150,"name":"Time of Event (Mountain Time)","value":"05:11:48"},{"id":151,"name":"Denver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9"/>
      <c r="AA13" s="47"/>
      <c r="AB13" s="47"/>
      <c r="AC13" s="115" t="str">
        <f>"grep -hrE -A400 ""Enforcement Action"" "&amp;"/c/Users/stu/AppData/Local/Temp/OnboardLogs"&amp;"/RTDC"&amp;U13&amp;" --include=""*"&amp;U13&amp;"*"&amp;TEXT(A13-utc_offset/24,"YYYYMMDD")&amp;LEFT(TEXT(A13-utc_offset/24,"HH"),1)&amp;"*"" | grep -E ""((Enforcement Ac)|(PRM))"" -"</f>
        <v>grep -hrE -A400 "Enforcement Action" /c/Users/stu/AppData/Local/Temp/OnboardLogs/RTDC4034 --include="*4034*201710231*"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"%USERPROFILE%\AppData\Local\Temp\OnboardLogs"\RTDC4034\*4034*201710231* &gt;&gt; 2017-10-23-SliceDisagreementCheck.txt</v>
      </c>
      <c r="AE13" s="145" t="str">
        <f t="shared" si="1"/>
        <v>start /low /b %USERPROFILE%\Documents\GitHub\eaglep3\Utilities\DownloadLogsFromS3.py --loco 4034 --day 2017-10-23</v>
      </c>
      <c r="AF13" s="1"/>
    </row>
    <row r="14" spans="1:32" x14ac:dyDescent="0.3">
      <c r="A14" s="31">
        <v>43031.689375000002</v>
      </c>
      <c r="B14" s="30" t="s">
        <v>468</v>
      </c>
      <c r="C14" s="30" t="s">
        <v>666</v>
      </c>
      <c r="D14" s="30" t="s">
        <v>49</v>
      </c>
      <c r="E14" s="30" t="s">
        <v>407</v>
      </c>
      <c r="F14" s="42">
        <v>0</v>
      </c>
      <c r="G14" s="42">
        <v>531</v>
      </c>
      <c r="H14" s="42">
        <v>83556</v>
      </c>
      <c r="I14" s="42">
        <v>81650</v>
      </c>
      <c r="J14" s="30" t="s">
        <v>408</v>
      </c>
      <c r="K14" s="42">
        <v>81751</v>
      </c>
      <c r="L14" s="131" t="s">
        <v>51</v>
      </c>
      <c r="M14" s="132">
        <f>CONVERT((I14-K14)/10000,"mi","ft")*IF(L14="Increasing Mileposts (1)",-1,1)</f>
        <v>-53.328000000000003</v>
      </c>
      <c r="N14" s="133" t="str">
        <f>VLOOKUP(C14,'Trips&amp;Operators'!$C$1:$G$99911,5,FALSE)</f>
        <v>LEVERE CRAIG</v>
      </c>
      <c r="O14" s="176" t="s">
        <v>375</v>
      </c>
      <c r="P14" s="134" t="s">
        <v>413</v>
      </c>
      <c r="Q14" s="30"/>
      <c r="R14" s="81" t="str">
        <f>VLOOKUP(C14,'Train Runs'!$A$13:$AE$10070,31,0)</f>
        <v>aws s3 cp s3://rtdc.mdm.uploadarchive.raw/RTDC4015/ "%USERPROFILE%\AppData\Local\Temp\OnboardLogs"\RTDC4015\2017-10-23 --exclude "*" --recursive --include "*20171023*" &amp; "%USERPROFILE%\Documents\GitHub\mrs-test-scripts\Headless Mode &amp; Sideloading\WalkAndUnGZ.bat" "%USERPROFILE%\AppData\Local\Temp\OnboardLogs"\RTDC4015\2017-10-23 &amp; aws s3 cp s3://rtdc.mdm.uploadarchive.raw/RTDC4015/ "%USERPROFILE%\AppData\Local\Temp\OnboardLogs"\RTDC4015\2017-10-24 --exclude "*" --recursive --include "*20171024*" &amp; "%USERPROFILE%\Documents\GitHub\mrs-test-scripts\Headless Mode &amp; Sideloading\WalkAndUnGZ.bat" "%USERPROFILE%\AppData\Local\Temp\OnboardLogs"\RTDC4015\2017-10-24</v>
      </c>
      <c r="S14" s="84" t="str">
        <f>VLOOKUP(C14,'Train Runs'!$A$13:$AE$10070,22,0)</f>
        <v>https://d0f6bd738d7f1b3e5a7ca70fe4ff75f0.us-east-1.aws.found.io/app/kibana#/discover/Steve-Slow-Train-Analysis-(2080s-and-2083s)?_g=(refreshInterval:(display:Off,pause:!f,section:0,value:0),time:(from:'2017-10-23T15:08:07-0600',mode:absolute,to:'2017-10-23T17:51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4" s="86" t="str">
        <f>astrogrep_path&amp;" /e /r /s /spath="&amp;search_path&amp;" /stypes=""*"&amp;U14&amp;"*"&amp;TEXT(A14-utc_offset/24,"YYYYMMDD")&amp;LEFT(TEXT(A14-utc_offset/24,"HH"),1)&amp;"*"" /stext="" "&amp;TEXT(A14-utc_offset/24,"HH")&amp;search_regexp&amp;""""</f>
        <v>"C:\Program Files (x86)\AstroGrep\AstroGrep.exe" /e /r /s /spath="%USERPROFILE%\AppData\Local\Temp\OnboardLogs" /stypes="*4015*201710232*" /stext=" 22:.+((SYSTEM_STATE.+slice.+state.+changed )|(ment ac)|(multiple cpu faults)|(system.+state.+changed )|(\[timeout)|(PRM\|1\|D)|(kpr)|(kdp)|(train st.+moving)|(\|lc)|(penalty))"</v>
      </c>
      <c r="U14" s="9" t="str">
        <f>MID(B14,13,4)</f>
        <v>4015</v>
      </c>
      <c r="V14" s="31">
        <f>A14-utc_offset/24</f>
        <v>43031.939375000002</v>
      </c>
      <c r="W14" s="45" t="str">
        <f>DetSubdiv(C14)</f>
        <v>EC</v>
      </c>
      <c r="X14" s="22">
        <f>VALUE(LEFT(C14,LEN(C14)-3))</f>
        <v>194</v>
      </c>
      <c r="Y14" s="96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drop","project_id":79,"tracker_id":40,"status_id":1,"priority_id":2,"assigned_to_id":338,"start_date":"2017-10-23","description":"","custom_fields":[{"id":1,"name":"Subdivision","value":"EC"},{"id":4,"name":"Milepost","value":"8.1751"},{"id":17,"name":"Train ID","value":"194-23"},{"id":16,"name":"Locomotive ID","value":"4015"},{"id":130,"name":"Impact","value":""},{"id":150,"name":"Time of Event (Mountain Time)","value":"16:32:42"},{"id":151,"name":"Denver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9"/>
      <c r="AA14" s="47"/>
      <c r="AB14" s="47"/>
      <c r="AC14" s="115" t="str">
        <f>"grep -hrE -A400 ""Enforcement Action"" "&amp;"/c/Users/stu/AppData/Local/Temp/OnboardLogs"&amp;"/RTDC"&amp;U14&amp;" --include=""*"&amp;U14&amp;"*"&amp;TEXT(A14-utc_offset/24,"YYYYMMDD")&amp;LEFT(TEXT(A14-utc_offset/24,"HH"),1)&amp;"*"" | grep -E ""((Enforcement Ac)|(PRM))"" -"</f>
        <v>grep -hrE -A400 "Enforcement Action" /c/Users/stu/AppData/Local/Temp/OnboardLogs/RTDC4015 --include="*4015*201710232*"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"%USERPROFILE%\AppData\Local\Temp\OnboardLogs"\RTDC4015\*4015*201710232* &gt;&gt; 2017-10-23-SliceDisagreementCheck.txt</v>
      </c>
      <c r="AE14" s="145" t="str">
        <f t="shared" si="1"/>
        <v>start /low /b %USERPROFILE%\Documents\GitHub\eaglep3\Utilities\DownloadLogsFromS3.py --loco 4015 --day 2017-10-23</v>
      </c>
      <c r="AF14" s="1"/>
    </row>
    <row r="15" spans="1:32" x14ac:dyDescent="0.3">
      <c r="A15" s="31">
        <v>43031.990763888891</v>
      </c>
      <c r="B15" s="30" t="s">
        <v>439</v>
      </c>
      <c r="C15" s="30" t="s">
        <v>676</v>
      </c>
      <c r="D15" s="30" t="s">
        <v>49</v>
      </c>
      <c r="E15" s="30" t="s">
        <v>407</v>
      </c>
      <c r="F15" s="42">
        <v>0</v>
      </c>
      <c r="G15" s="42">
        <v>422</v>
      </c>
      <c r="H15" s="42">
        <v>88802</v>
      </c>
      <c r="I15" s="42">
        <v>87896</v>
      </c>
      <c r="J15" s="30" t="s">
        <v>408</v>
      </c>
      <c r="K15" s="42">
        <v>87902</v>
      </c>
      <c r="L15" s="131" t="s">
        <v>51</v>
      </c>
      <c r="M15" s="132">
        <f>CONVERT((I15-K15)/10000,"mi","ft")*IF(L15="Increasing Mileposts (1)",-1,1)</f>
        <v>-3.1680000000000001</v>
      </c>
      <c r="N15" s="133" t="str">
        <f>VLOOKUP(C15,'Trips&amp;Operators'!$C$1:$G$99911,5,FALSE)</f>
        <v>WILLIAMS DONTE</v>
      </c>
      <c r="O15" s="176" t="s">
        <v>375</v>
      </c>
      <c r="P15" s="134" t="s">
        <v>413</v>
      </c>
      <c r="Q15" s="30"/>
      <c r="R15" s="81" t="str">
        <f>VLOOKUP(C15,'Train Runs'!$A$13:$AE$10070,31,0)</f>
        <v>aws s3 cp s3://rtdc.mdm.uploadarchive.raw/RTDC4017/ "%USERPROFILE%\AppData\Local\Temp\OnboardLogs"\RTDC4017\2017-10-23 --exclude "*" --recursive --include "*20171023*" &amp; "%USERPROFILE%\Documents\GitHub\mrs-test-scripts\Headless Mode &amp; Sideloading\WalkAndUnGZ.bat" "%USERPROFILE%\AppData\Local\Temp\OnboardLogs"\RTDC4017\2017-10-23 &amp; aws s3 cp s3://rtdc.mdm.uploadarchive.raw/RTDC4017/ "%USERPROFILE%\AppData\Local\Temp\OnboardLogs"\RTDC4017\2017-10-24 --exclude "*" --recursive --include "*20171024*" &amp; "%USERPROFILE%\Documents\GitHub\mrs-test-scripts\Headless Mode &amp; Sideloading\WalkAndUnGZ.bat" "%USERPROFILE%\AppData\Local\Temp\OnboardLogs"\RTDC4017\2017-10-24</v>
      </c>
      <c r="S15" s="84" t="str">
        <f>VLOOKUP(C15,'Train Runs'!$A$13:$AE$10070,22,0)</f>
        <v>https://d0f6bd738d7f1b3e5a7ca70fe4ff75f0.us-east-1.aws.found.io/app/kibana#/discover/Steve-Slow-Train-Analysis-(2080s-and-2083s)?_g=(refreshInterval:(display:Off,pause:!f,section:0,value:0),time:(from:'2017-10-23T21:21:03-0600',mode:absolute,to:'2017-10-24T01:09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5" s="86" t="str">
        <f>astrogrep_path&amp;" /e /r /s /spath="&amp;search_path&amp;" /stypes=""*"&amp;U15&amp;"*"&amp;TEXT(A15-utc_offset/24,"YYYYMMDD")&amp;LEFT(TEXT(A15-utc_offset/24,"HH"),1)&amp;"*"" /stext="" "&amp;TEXT(A15-utc_offset/24,"HH")&amp;search_regexp&amp;""""</f>
        <v>"C:\Program Files (x86)\AstroGrep\AstroGrep.exe" /e /r /s /spath="%USERPROFILE%\AppData\Local\Temp\OnboardLogs" /stypes="*4017*201710240*" /stext=" 05:.+((SYSTEM_STATE.+slice.+state.+changed )|(ment ac)|(multiple cpu faults)|(system.+state.+changed )|(\[timeout)|(PRM\|1\|D)|(kpr)|(kdp)|(train st.+moving)|(\|lc)|(penalty))"</v>
      </c>
      <c r="U15" s="9" t="str">
        <f>MID(B15,13,4)</f>
        <v>4017</v>
      </c>
      <c r="V15" s="31">
        <f>A15-utc_offset/24</f>
        <v>43032.240763888891</v>
      </c>
      <c r="W15" s="45" t="str">
        <f>DetSubdiv(C15)</f>
        <v>EC</v>
      </c>
      <c r="X15" s="22">
        <f>VALUE(LEFT(C15,LEN(C15)-3))</f>
        <v>236</v>
      </c>
      <c r="Y15" s="96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drop","project_id":79,"tracker_id":40,"status_id":1,"priority_id":2,"assigned_to_id":338,"start_date":"2017-10-23","description":"","custom_fields":[{"id":1,"name":"Subdivision","value":"EC"},{"id":4,"name":"Milepost","value":"8.7902"},{"id":17,"name":"Train ID","value":"236-23"},{"id":16,"name":"Locomotive ID","value":"4017"},{"id":130,"name":"Impact","value":""},{"id":150,"name":"Time of Event (Mountain Time)","value":"23:46:42"},{"id":151,"name":"Denver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9"/>
      <c r="AA15" s="47"/>
      <c r="AB15" s="47"/>
      <c r="AC15" s="115" t="str">
        <f>"grep -hrE -A400 ""Enforcement Action"" "&amp;"/c/Users/stu/AppData/Local/Temp/OnboardLogs"&amp;"/RTDC"&amp;U15&amp;" --include=""*"&amp;U15&amp;"*"&amp;TEXT(A15-utc_offset/24,"YYYYMMDD")&amp;LEFT(TEXT(A15-utc_offset/24,"HH"),1)&amp;"*"" | grep -E ""((Enforcement Ac)|(PRM))"" -"</f>
        <v>grep -hrE -A400 "Enforcement Action" /c/Users/stu/AppData/Local/Temp/OnboardLogs/RTDC4017 --include="*4017*201710240*"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"%USERPROFILE%\AppData\Local\Temp\OnboardLogs"\RTDC4017\*4017*201710240* &gt;&gt; 2017-10-23-SliceDisagreementCheck.txt</v>
      </c>
      <c r="AE15" s="145" t="str">
        <f t="shared" si="1"/>
        <v>start /low /b %USERPROFILE%\Documents\GitHub\eaglep3\Utilities\DownloadLogsFromS3.py --loco 4017 --day 2017-10-24</v>
      </c>
      <c r="AF15" s="1"/>
    </row>
    <row r="16" spans="1:32" x14ac:dyDescent="0.3">
      <c r="A16" s="31">
        <v>43031.310312499998</v>
      </c>
      <c r="B16" s="30" t="s">
        <v>468</v>
      </c>
      <c r="C16" s="30" t="s">
        <v>647</v>
      </c>
      <c r="D16" s="30" t="s">
        <v>49</v>
      </c>
      <c r="E16" s="30" t="s">
        <v>407</v>
      </c>
      <c r="F16" s="42">
        <v>0</v>
      </c>
      <c r="G16" s="42">
        <v>110</v>
      </c>
      <c r="H16" s="42">
        <v>127945</v>
      </c>
      <c r="I16" s="42">
        <v>127864</v>
      </c>
      <c r="J16" s="30" t="s">
        <v>408</v>
      </c>
      <c r="K16" s="42">
        <v>127587</v>
      </c>
      <c r="L16" s="131" t="s">
        <v>51</v>
      </c>
      <c r="M16" s="132">
        <f>CONVERT((I16-K16)/10000,"mi","ft")*IF(L16="Increasing Mileposts (1)",-1,1)</f>
        <v>146.256</v>
      </c>
      <c r="N16" s="133" t="str">
        <f>VLOOKUP(C16,'Trips&amp;Operators'!$C$1:$G$99911,5,FALSE)</f>
        <v>LANGERAK WILLIAM</v>
      </c>
      <c r="O16" s="176" t="s">
        <v>375</v>
      </c>
      <c r="P16" s="134" t="s">
        <v>1084</v>
      </c>
      <c r="Q16" s="30"/>
      <c r="R16" s="81" t="str">
        <f>VLOOKUP(C16,'Train Runs'!$A$13:$AE$10070,31,0)</f>
        <v>aws s3 cp s3://rtdc.mdm.uploadarchive.raw/RTDC4015/ "%USERPROFILE%\AppData\Local\Temp\OnboardLogs"\RTDC4015\2017-10-23 --exclude "*" --recursive --include "*20171023*" &amp; "%USERPROFILE%\Documents\GitHub\mrs-test-scripts\Headless Mode &amp; Sideloading\WalkAndUnGZ.bat" "%USERPROFILE%\AppData\Local\Temp\OnboardLogs"\RTDC4015\2017-10-23 &amp; aws s3 cp s3://rtdc.mdm.uploadarchive.raw/RTDC4015/ "%USERPROFILE%\AppData\Local\Temp\OnboardLogs"\RTDC4015\2017-10-24 --exclude "*" --recursive --include "*20171024*" &amp; "%USERPROFILE%\Documents\GitHub\mrs-test-scripts\Headless Mode &amp; Sideloading\WalkAndUnGZ.bat" "%USERPROFILE%\AppData\Local\Temp\OnboardLogs"\RTDC4015\2017-10-24</v>
      </c>
      <c r="S16" s="84" t="str">
        <f>VLOOKUP(C16,'Train Runs'!$A$13:$AE$10070,22,0)</f>
        <v>https://d0f6bd738d7f1b3e5a7ca70fe4ff75f0.us-east-1.aws.found.io/app/kibana#/discover/Steve-Slow-Train-Analysis-(2080s-and-2083s)?_g=(refreshInterval:(display:Off,pause:!f,section:0,value:0),time:(from:'2017-10-23T06:03:22-0600',mode:absolute,to:'2017-10-23T09:02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6" s="86" t="str">
        <f>astrogrep_path&amp;" /e /r /s /spath="&amp;search_path&amp;" /stypes=""*"&amp;U16&amp;"*"&amp;TEXT(A16-utc_offset/24,"YYYYMMDD")&amp;LEFT(TEXT(A16-utc_offset/24,"HH"),1)&amp;"*"" /stext="" "&amp;TEXT(A16-utc_offset/24,"HH")&amp;search_regexp&amp;""""</f>
        <v>"C:\Program Files (x86)\AstroGrep\AstroGrep.exe" /e /r /s /spath="%USERPROFILE%\AppData\Local\Temp\OnboardLogs" /stypes="*4015*201710231*" /stext=" 13:.+((SYSTEM_STATE.+slice.+state.+changed )|(ment ac)|(multiple cpu faults)|(system.+state.+changed )|(\[timeout)|(PRM\|1\|D)|(kpr)|(kdp)|(train st.+moving)|(\|lc)|(penalty))"</v>
      </c>
      <c r="U16" s="9" t="str">
        <f>MID(B16,13,4)</f>
        <v>4015</v>
      </c>
      <c r="V16" s="31">
        <f>A16-utc_offset/24</f>
        <v>43031.560312499998</v>
      </c>
      <c r="W16" s="45" t="str">
        <f>DetSubdiv(C16)</f>
        <v>EC</v>
      </c>
      <c r="X16" s="22">
        <f>VALUE(LEFT(C16,LEN(C16)-3))</f>
        <v>122</v>
      </c>
      <c r="Y16" s="96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--insecure -X POST -H ""Content-Type: application/json"" -H ""X-Redmine-API-Key: "&amp;redm_api_key&amp;""" "&amp;redm_url&amp;" --data @-"</f>
        <v>echo {"issue":{"subject":"40th 4S Stop","project_id":79,"tracker_id":40,"status_id":1,"priority_id":2,"assigned_to_id":338,"start_date":"2017-10-23","description":"","custom_fields":[{"id":1,"name":"Subdivision","value":"EC"},{"id":4,"name":"Milepost","value":"12.7587"},{"id":17,"name":"Train ID","value":"122-23"},{"id":16,"name":"Locomotive ID","value":"4015"},{"id":130,"name":"Impact","value":""},{"id":150,"name":"Time of Event (Mountain Time)","value":"07:26:51"},{"id":151,"name":"Denver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9"/>
      <c r="AA16" s="47"/>
      <c r="AB16" s="47"/>
      <c r="AC16" s="115" t="str">
        <f>"grep -hrE -A400 ""Enforcement Action"" "&amp;"/c/Users/stu/AppData/Local/Temp/OnboardLogs"&amp;"/RTDC"&amp;U16&amp;" --include=""*"&amp;U16&amp;"*"&amp;TEXT(A16-utc_offset/24,"YYYYMMDD")&amp;LEFT(TEXT(A16-utc_offset/24,"HH"),1)&amp;"*"" | grep -E ""((Enforcement Ac)|(PRM))"" -"</f>
        <v>grep -hrE -A400 "Enforcement Action" /c/Users/stu/AppData/Local/Temp/OnboardLogs/RTDC4015 --include="*4015*201710231*"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"%USERPROFILE%\AppData\Local\Temp\OnboardLogs"\RTDC4015\*4015*201710231* &gt;&gt; 2017-10-23-SliceDisagreementCheck.txt</v>
      </c>
      <c r="AE16" s="145" t="str">
        <f t="shared" si="1"/>
        <v>start /low /b %USERPROFILE%\Documents\GitHub\eaglep3\Utilities\DownloadLogsFromS3.py --loco 4015 --day 2017-10-23</v>
      </c>
      <c r="AF16" s="1"/>
    </row>
    <row r="17" spans="1:32" x14ac:dyDescent="0.3">
      <c r="A17" s="31">
        <v>43032.036747685182</v>
      </c>
      <c r="B17" s="30" t="s">
        <v>435</v>
      </c>
      <c r="C17" s="30" t="s">
        <v>678</v>
      </c>
      <c r="D17" s="30" t="s">
        <v>49</v>
      </c>
      <c r="E17" s="30" t="s">
        <v>440</v>
      </c>
      <c r="F17" s="42">
        <v>0</v>
      </c>
      <c r="G17" s="42">
        <v>598</v>
      </c>
      <c r="H17" s="42">
        <v>123363</v>
      </c>
      <c r="I17" s="42">
        <v>126029</v>
      </c>
      <c r="J17" s="30" t="s">
        <v>438</v>
      </c>
      <c r="K17" s="42">
        <v>126678</v>
      </c>
      <c r="L17" s="131" t="s">
        <v>50</v>
      </c>
      <c r="M17" s="132">
        <f>CONVERT((I17-K17)/10000,"mi","ft")*IF(L17="Increasing Mileposts (1)",-1,1)</f>
        <v>342.67200000000003</v>
      </c>
      <c r="N17" s="133" t="str">
        <f>VLOOKUP(C17,'Trips&amp;Operators'!$C$1:$G$99911,5,FALSE)</f>
        <v>WILLIAMS DONTE</v>
      </c>
      <c r="O17" s="176" t="s">
        <v>375</v>
      </c>
      <c r="P17" s="134" t="s">
        <v>413</v>
      </c>
      <c r="Q17" s="30"/>
      <c r="R17" s="81" t="str">
        <f>VLOOKUP(C17,'Train Runs'!$A$13:$AE$10070,31,0)</f>
        <v>aws s3 cp s3://rtdc.mdm.uploadarchive.raw/RTDC4018/ "%USERPROFILE%\AppData\Local\Temp\OnboardLogs"\RTDC4018\2017-10-24 --exclude "*" --recursive --include "*20171024*" &amp; "%USERPROFILE%\Documents\GitHub\mrs-test-scripts\Headless Mode &amp; Sideloading\WalkAndUnGZ.bat" "%USERPROFILE%\AppData\Local\Temp\OnboardLogs"\RTDC4018\2017-10-24 &amp; aws s3 cp s3://rtdc.mdm.uploadarchive.raw/RTDC4018/ "%USERPROFILE%\AppData\Local\Temp\OnboardLogs"\RTDC4018\2017-10-25 --exclude "*" --recursive --include "*20171025*" &amp; "%USERPROFILE%\Documents\GitHub\mrs-test-scripts\Headless Mode &amp; Sideloading\WalkAndUnGZ.bat" "%USERPROFILE%\AppData\Local\Temp\OnboardLogs"\RTDC4018\2017-10-25</v>
      </c>
      <c r="S17" s="84" t="str">
        <f>VLOOKUP(C17,'Train Runs'!$A$13:$AE$10070,22,0)</f>
        <v>https://d0f6bd738d7f1b3e5a7ca70fe4ff75f0.us-east-1.aws.found.io/app/kibana#/discover/Steve-Slow-Train-Analysis-(2080s-and-2083s)?_g=(refreshInterval:(display:Off,pause:!f,section:0,value:0),time:(from:'2017-10-23T23:22:04-0600',mode:absolute,to:'2017-10-24T02:08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17" s="86" t="str">
        <f>astrogrep_path&amp;" /e /r /s /spath="&amp;search_path&amp;" /stypes=""*"&amp;U17&amp;"*"&amp;TEXT(A17-utc_offset/24,"YYYYMMDD")&amp;LEFT(TEXT(A17-utc_offset/24,"HH"),1)&amp;"*"" /stext="" "&amp;TEXT(A17-utc_offset/24,"HH")&amp;search_regexp&amp;""""</f>
        <v>"C:\Program Files (x86)\AstroGrep\AstroGrep.exe" /e /r /s /spath="%USERPROFILE%\AppData\Local\Temp\OnboardLogs" /stypes="*4018*201710240*" /stext=" 06:.+((SYSTEM_STATE.+slice.+state.+changed )|(ment ac)|(multiple cpu faults)|(system.+state.+changed )|(\[timeout)|(PRM\|1\|D)|(kpr)|(kdp)|(train st.+moving)|(\|lc)|(penalty))"</v>
      </c>
      <c r="U17" s="9" t="str">
        <f>MID(B17,13,4)</f>
        <v>4018</v>
      </c>
      <c r="V17" s="31">
        <f>A17-utc_offset/24</f>
        <v>43032.286747685182</v>
      </c>
      <c r="W17" s="45" t="str">
        <f>DetSubdiv(C17)</f>
        <v>EC</v>
      </c>
      <c r="X17" s="22">
        <f>VALUE(LEFT(C17,LEN(C17)-3))</f>
        <v>243</v>
      </c>
      <c r="Y17" s="96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drop","project_id":79,"tracker_id":40,"status_id":1,"priority_id":2,"assigned_to_id":338,"start_date":"2017-10-24","description":"","custom_fields":[{"id":1,"name":"Subdivision","value":"EC"},{"id":4,"name":"Milepost","value":"12.6678"},{"id":17,"name":"Train ID","value":"243-23"},{"id":16,"name":"Locomotive ID","value":"4018"},{"id":130,"name":"Impact","value":""},{"id":150,"name":"Time of Event (Mountain Time)","value":"00:52:55"},{"id":151,"name":"Denver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9"/>
      <c r="AA17" s="47"/>
      <c r="AB17" s="47"/>
      <c r="AC17" s="115" t="str">
        <f>"grep -hrE -A400 ""Enforcement Action"" "&amp;"/c/Users/stu/AppData/Local/Temp/OnboardLogs"&amp;"/RTDC"&amp;U17&amp;" --include=""*"&amp;U17&amp;"*"&amp;TEXT(A17-utc_offset/24,"YYYYMMDD")&amp;LEFT(TEXT(A17-utc_offset/24,"HH"),1)&amp;"*"" | grep -E ""((Enforcement Ac)|(PRM))"" -"</f>
        <v>grep -hrE -A400 "Enforcement Action" /c/Users/stu/AppData/Local/Temp/OnboardLogs/RTDC4018 --include="*4018*201710240*"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"%USERPROFILE%\AppData\Local\Temp\OnboardLogs"\RTDC4018\*4018*201710240* &gt;&gt; 2017-10-23-SliceDisagreementCheck.txt</v>
      </c>
      <c r="AE17" s="145" t="str">
        <f t="shared" si="1"/>
        <v>start /low /b %USERPROFILE%\Documents\GitHub\eaglep3\Utilities\DownloadLogsFromS3.py --loco 4018 --day 2017-10-24</v>
      </c>
      <c r="AF17" s="1"/>
    </row>
    <row r="18" spans="1:32" x14ac:dyDescent="0.3">
      <c r="A18" s="31">
        <v>43031.277453703704</v>
      </c>
      <c r="B18" s="30" t="s">
        <v>644</v>
      </c>
      <c r="C18" s="30" t="s">
        <v>645</v>
      </c>
      <c r="D18" s="30" t="s">
        <v>49</v>
      </c>
      <c r="E18" s="30" t="s">
        <v>179</v>
      </c>
      <c r="F18" s="42">
        <v>0</v>
      </c>
      <c r="G18" s="42">
        <v>51</v>
      </c>
      <c r="H18" s="42">
        <v>187</v>
      </c>
      <c r="I18" s="42">
        <v>130</v>
      </c>
      <c r="J18" s="30" t="s">
        <v>180</v>
      </c>
      <c r="K18" s="42">
        <v>1</v>
      </c>
      <c r="L18" s="131" t="s">
        <v>51</v>
      </c>
      <c r="M18" s="132">
        <f>CONVERT((I18-K18)/10000,"mi","ft")*IF(L18="Increasing Mileposts (1)",-1,1)</f>
        <v>68.111999999999995</v>
      </c>
      <c r="N18" s="133" t="str">
        <f>VLOOKUP(C18,'Trips&amp;Operators'!$C$1:$G$99911,5,FALSE)</f>
        <v>THOMPSON LESTER</v>
      </c>
      <c r="O18" s="176" t="s">
        <v>178</v>
      </c>
      <c r="P18" s="134"/>
      <c r="Q18" s="30"/>
      <c r="R18" s="81" t="str">
        <f>VLOOKUP(C18,'Train Runs'!$A$13:$AE$10070,31,0)</f>
        <v>aws s3 cp s3://rtdc.mdm.uploadarchive.raw/RTDC4033/ "%USERPROFILE%\AppData\Local\Temp\OnboardLogs"\RTDC4033\2017-10-23 --exclude "*" --recursive --include "*20171023*" &amp; "%USERPROFILE%\Documents\GitHub\mrs-test-scripts\Headless Mode &amp; Sideloading\WalkAndUnGZ.bat" "%USERPROFILE%\AppData\Local\Temp\OnboardLogs"\RTDC4033\2017-10-23 &amp; aws s3 cp s3://rtdc.mdm.uploadarchive.raw/RTDC4033/ "%USERPROFILE%\AppData\Local\Temp\OnboardLogs"\RTDC4033\2017-10-24 --exclude "*" --recursive --include "*20171024*" &amp; "%USERPROFILE%\Documents\GitHub\mrs-test-scripts\Headless Mode &amp; Sideloading\WalkAndUnGZ.bat" "%USERPROFILE%\AppData\Local\Temp\OnboardLogs"\RTDC4033\2017-10-24</v>
      </c>
      <c r="S18" s="84" t="str">
        <f>VLOOKUP(C18,'Train Runs'!$A$13:$AE$10070,22,0)</f>
        <v>https://d0f6bd738d7f1b3e5a7ca70fe4ff75f0.us-east-1.aws.found.io/app/kibana#/discover/Steve-Slow-Train-Analysis-(2080s-and-2083s)?_g=(refreshInterval:(display:Off,pause:!f,section:0,value:0),time:(from:'2017-10-23T04:56:03-0600',mode:absolute,to:'2017-10-23T07:39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T18" s="86" t="str">
        <f>astrogrep_path&amp;" /e /r /s /spath="&amp;search_path&amp;" /stypes=""*"&amp;U18&amp;"*"&amp;TEXT(A18-utc_offset/24,"YYYYMMDD")&amp;LEFT(TEXT(A18-utc_offset/24,"HH"),1)&amp;"*"" /stext="" "&amp;TEXT(A18-utc_offset/24,"HH")&amp;search_regexp&amp;""""</f>
        <v>"C:\Program Files (x86)\AstroGrep\AstroGrep.exe" /e /r /s /spath="%USERPROFILE%\AppData\Local\Temp\OnboardLogs" /stypes="*4033*201710231*" /stext=" 12:.+((SYSTEM_STATE.+slice.+state.+changed )|(ment ac)|(multiple cpu faults)|(system.+state.+changed )|(\[timeout)|(PRM\|1\|D)|(kpr)|(kdp)|(train st.+moving)|(\|lc)|(penalty))"</v>
      </c>
      <c r="U18" s="9" t="str">
        <f>MID(B18,13,4)</f>
        <v>4033</v>
      </c>
      <c r="V18" s="31">
        <f>A18-utc_offset/24</f>
        <v>43031.527453703704</v>
      </c>
      <c r="W18" s="45" t="str">
        <f>DetSubdiv(C18)</f>
        <v>EC</v>
      </c>
      <c r="X18" s="22">
        <f>VALUE(LEFT(C18,LEN(C18)-3))</f>
        <v>112</v>
      </c>
      <c r="Y18" s="96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{"issue":{"subject":"","project_id":79,"tracker_id":40,"status_id":1,"priority_id":2,"assigned_to_id":338,"start_date":"2017-10-23","description":"","custom_fields":[{"id":1,"name":"Subdivision","value":"EC"},{"id":4,"name":"Milepost","value":"0.0001"},{"id":17,"name":"Train ID","value":"112-23"},{"id":16,"name":"Locomotive ID","value":"4033"},{"id":130,"name":"Impact","value":""},{"id":150,"name":"Time of Event (Mountain Time)","value":"06:39:32"},{"id":151,"name":"Denver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9"/>
      <c r="AA18" s="47"/>
      <c r="AB18" s="47"/>
      <c r="AC18" s="115" t="str">
        <f>"grep -hrE -A400 ""Enforcement Action"" "&amp;"/c/Users/stu/AppData/Local/Temp/OnboardLogs"&amp;"/RTDC"&amp;U18&amp;" --include=""*"&amp;U18&amp;"*"&amp;TEXT(A18-utc_offset/24,"YYYYMMDD")&amp;LEFT(TEXT(A18-utc_offset/24,"HH"),1)&amp;"*"" | grep -E ""((Enforcement Ac)|(PRM))"" -"</f>
        <v>grep -hrE -A400 "Enforcement Action" /c/Users/stu/AppData/Local/Temp/OnboardLogs/RTDC4033 --include="*4033*201710231*"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"%USERPROFILE%\AppData\Local\Temp\OnboardLogs"\RTDC4033\*4033*201710231* &gt;&gt; 2017-10-23-SliceDisagreementCheck.txt</v>
      </c>
      <c r="AE18" s="145" t="str">
        <f t="shared" si="1"/>
        <v>start /low /b %USERPROFILE%\Documents\GitHub\eaglep3\Utilities\DownloadLogsFromS3.py --loco 4033 --day 2017-10-23</v>
      </c>
      <c r="AF18" s="1"/>
    </row>
    <row r="19" spans="1:32" x14ac:dyDescent="0.3">
      <c r="A19" s="31">
        <v>43031.375138888892</v>
      </c>
      <c r="B19" s="30" t="s">
        <v>642</v>
      </c>
      <c r="C19" s="30" t="s">
        <v>651</v>
      </c>
      <c r="D19" s="30" t="s">
        <v>49</v>
      </c>
      <c r="E19" s="30" t="s">
        <v>179</v>
      </c>
      <c r="F19" s="42">
        <v>0</v>
      </c>
      <c r="G19" s="42">
        <v>60</v>
      </c>
      <c r="H19" s="42">
        <v>201</v>
      </c>
      <c r="I19" s="42">
        <v>139</v>
      </c>
      <c r="J19" s="30" t="s">
        <v>180</v>
      </c>
      <c r="K19" s="42">
        <v>1</v>
      </c>
      <c r="L19" s="131" t="s">
        <v>51</v>
      </c>
      <c r="M19" s="132">
        <f>CONVERT((I19-K19)/10000,"mi","ft")*IF(L19="Increasing Mileposts (1)",-1,1)</f>
        <v>72.864000000000004</v>
      </c>
      <c r="N19" s="133" t="str">
        <f>VLOOKUP(C19,'Trips&amp;Operators'!$C$1:$G$99911,5,FALSE)</f>
        <v>BONDS REYNALDO</v>
      </c>
      <c r="O19" s="176" t="s">
        <v>178</v>
      </c>
      <c r="P19" s="134"/>
      <c r="Q19" s="30"/>
      <c r="R19" s="81" t="str">
        <f>VLOOKUP(C19,'Train Runs'!$A$13:$AE$10070,31,0)</f>
        <v>aws s3 cp s3://rtdc.mdm.uploadarchive.raw/RTDC4045/ "%USERPROFILE%\AppData\Local\Temp\OnboardLogs"\RTDC4045\2017-10-23 --exclude "*" --recursive --include "*20171023*" &amp; "%USERPROFILE%\Documents\GitHub\mrs-test-scripts\Headless Mode &amp; Sideloading\WalkAndUnGZ.bat" "%USERPROFILE%\AppData\Local\Temp\OnboardLogs"\RTDC4045\2017-10-23 &amp; aws s3 cp s3://rtdc.mdm.uploadarchive.raw/RTDC4045/ "%USERPROFILE%\AppData\Local\Temp\OnboardLogs"\RTDC4045\2017-10-24 --exclude "*" --recursive --include "*20171024*" &amp; "%USERPROFILE%\Documents\GitHub\mrs-test-scripts\Headless Mode &amp; Sideloading\WalkAndUnGZ.bat" "%USERPROFILE%\AppData\Local\Temp\OnboardLogs"\RTDC4045\2017-10-24</v>
      </c>
      <c r="S19" s="84" t="str">
        <f>VLOOKUP(C19,'Train Runs'!$A$13:$AE$10070,22,0)</f>
        <v>https://d0f6bd738d7f1b3e5a7ca70fe4ff75f0.us-east-1.aws.found.io/app/kibana#/discover/Steve-Slow-Train-Analysis-(2080s-and-2083s)?_g=(refreshInterval:(display:Off,pause:!f,section:0,value:0),time:(from:'2017-10-23T07:11:04-0600',mode:absolute,to:'2017-10-23T10:00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19" s="86" t="str">
        <f>astrogrep_path&amp;" /e /r /s /spath="&amp;search_path&amp;" /stypes=""*"&amp;U19&amp;"*"&amp;TEXT(A19-utc_offset/24,"YYYYMMDD")&amp;LEFT(TEXT(A19-utc_offset/24,"HH"),1)&amp;"*"" /stext="" "&amp;TEXT(A19-utc_offset/24,"HH")&amp;search_regexp&amp;""""</f>
        <v>"C:\Program Files (x86)\AstroGrep\AstroGrep.exe" /e /r /s /spath="%USERPROFILE%\AppData\Local\Temp\OnboardLogs" /stypes="*4045*201710231*" /stext=" 15:.+((SYSTEM_STATE.+slice.+state.+changed )|(ment ac)|(multiple cpu faults)|(system.+state.+changed )|(\[timeout)|(PRM\|1\|D)|(kpr)|(kdp)|(train st.+moving)|(\|lc)|(penalty))"</v>
      </c>
      <c r="U19" s="9" t="str">
        <f>MID(B19,13,4)</f>
        <v>4045</v>
      </c>
      <c r="V19" s="31">
        <f>A19-utc_offset/24</f>
        <v>43031.625138888892</v>
      </c>
      <c r="W19" s="45" t="str">
        <f>DetSubdiv(C19)</f>
        <v>EC</v>
      </c>
      <c r="X19" s="22">
        <f>VALUE(LEFT(C19,LEN(C19)-3))</f>
        <v>130</v>
      </c>
      <c r="Y19" s="96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{"issue":{"subject":"","project_id":79,"tracker_id":40,"status_id":1,"priority_id":2,"assigned_to_id":338,"start_date":"2017-10-23","description":"","custom_fields":[{"id":1,"name":"Subdivision","value":"EC"},{"id":4,"name":"Milepost","value":"0.0001"},{"id":17,"name":"Train ID","value":"130-23"},{"id":16,"name":"Locomotive ID","value":"4045"},{"id":130,"name":"Impact","value":""},{"id":150,"name":"Time of Event (Mountain Time)","value":"09:00:12"},{"id":151,"name":"Denver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9"/>
      <c r="AA19" s="47"/>
      <c r="AB19" s="47"/>
      <c r="AC19" s="115" t="str">
        <f>"grep -hrE -A400 ""Enforcement Action"" "&amp;"/c/Users/stu/AppData/Local/Temp/OnboardLogs"&amp;"/RTDC"&amp;U19&amp;" --include=""*"&amp;U19&amp;"*"&amp;TEXT(A19-utc_offset/24,"YYYYMMDD")&amp;LEFT(TEXT(A19-utc_offset/24,"HH"),1)&amp;"*"" | grep -E ""((Enforcement Ac)|(PRM))"" -"</f>
        <v>grep -hrE -A400 "Enforcement Action" /c/Users/stu/AppData/Local/Temp/OnboardLogs/RTDC4045 --include="*4045*201710231*"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"%USERPROFILE%\AppData\Local\Temp\OnboardLogs"\RTDC4045\*4045*201710231* &gt;&gt; 2017-10-23-SliceDisagreementCheck.txt</v>
      </c>
      <c r="AE19" s="145" t="str">
        <f t="shared" si="1"/>
        <v>start /low /b %USERPROFILE%\Documents\GitHub\eaglep3\Utilities\DownloadLogsFromS3.py --loco 4045 --day 2017-10-23</v>
      </c>
      <c r="AF19" s="1"/>
    </row>
    <row r="20" spans="1:32" x14ac:dyDescent="0.3">
      <c r="A20" s="31">
        <v>43031.48541666667</v>
      </c>
      <c r="B20" s="30" t="s">
        <v>468</v>
      </c>
      <c r="C20" s="30" t="s">
        <v>657</v>
      </c>
      <c r="D20" s="30" t="s">
        <v>49</v>
      </c>
      <c r="E20" s="30" t="s">
        <v>179</v>
      </c>
      <c r="F20" s="42">
        <v>0</v>
      </c>
      <c r="G20" s="42">
        <v>82</v>
      </c>
      <c r="H20" s="42">
        <v>305</v>
      </c>
      <c r="I20" s="42">
        <v>209</v>
      </c>
      <c r="J20" s="30" t="s">
        <v>180</v>
      </c>
      <c r="K20" s="42">
        <v>1</v>
      </c>
      <c r="L20" s="131" t="s">
        <v>51</v>
      </c>
      <c r="M20" s="132">
        <f>CONVERT((I20-K20)/10000,"mi","ft")*IF(L20="Increasing Mileposts (1)",-1,1)</f>
        <v>109.824</v>
      </c>
      <c r="N20" s="133" t="str">
        <f>VLOOKUP(C20,'Trips&amp;Operators'!$C$1:$G$99911,5,FALSE)</f>
        <v>BARRON PERLA</v>
      </c>
      <c r="O20" s="176" t="s">
        <v>178</v>
      </c>
      <c r="P20" s="134"/>
      <c r="Q20" s="30"/>
      <c r="R20" s="81" t="str">
        <f>VLOOKUP(C20,'Train Runs'!$A$13:$AE$10070,31,0)</f>
        <v>aws s3 cp s3://rtdc.mdm.uploadarchive.raw/RTDC4015/ "%USERPROFILE%\AppData\Local\Temp\OnboardLogs"\RTDC4015\2017-10-23 --exclude "*" --recursive --include "*20171023*" &amp; "%USERPROFILE%\Documents\GitHub\mrs-test-scripts\Headless Mode &amp; Sideloading\WalkAndUnGZ.bat" "%USERPROFILE%\AppData\Local\Temp\OnboardLogs"\RTDC4015\2017-10-23 &amp; aws s3 cp s3://rtdc.mdm.uploadarchive.raw/RTDC4015/ "%USERPROFILE%\AppData\Local\Temp\OnboardLogs"\RTDC4015\2017-10-24 --exclude "*" --recursive --include "*20171024*" &amp; "%USERPROFILE%\Documents\GitHub\mrs-test-scripts\Headless Mode &amp; Sideloading\WalkAndUnGZ.bat" "%USERPROFILE%\AppData\Local\Temp\OnboardLogs"\RTDC4015\2017-10-24</v>
      </c>
      <c r="S20" s="84" t="str">
        <f>VLOOKUP(C20,'Train Runs'!$A$13:$AE$10070,22,0)</f>
        <v>https://d0f6bd738d7f1b3e5a7ca70fe4ff75f0.us-east-1.aws.found.io/app/kibana#/discover/Steve-Slow-Train-Analysis-(2080s-and-2083s)?_g=(refreshInterval:(display:Off,pause:!f,section:0,value:0),time:(from:'2017-10-23T09:39:42-0600',mode:absolute,to:'2017-10-23T12:39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20" s="86" t="str">
        <f>astrogrep_path&amp;" /e /r /s /spath="&amp;search_path&amp;" /stypes=""*"&amp;U20&amp;"*"&amp;TEXT(A20-utc_offset/24,"YYYYMMDD")&amp;LEFT(TEXT(A20-utc_offset/24,"HH"),1)&amp;"*"" /stext="" "&amp;TEXT(A20-utc_offset/24,"HH")&amp;search_regexp&amp;""""</f>
        <v>"C:\Program Files (x86)\AstroGrep\AstroGrep.exe" /e /r /s /spath="%USERPROFILE%\AppData\Local\Temp\OnboardLogs" /stypes="*4015*201710231*" /stext=" 17:.+((SYSTEM_STATE.+slice.+state.+changed )|(ment ac)|(multiple cpu faults)|(system.+state.+changed )|(\[timeout)|(PRM\|1\|D)|(kpr)|(kdp)|(train st.+moving)|(\|lc)|(penalty))"</v>
      </c>
      <c r="U20" s="9" t="str">
        <f>MID(B20,13,4)</f>
        <v>4015</v>
      </c>
      <c r="V20" s="31">
        <f>A20-utc_offset/24</f>
        <v>43031.73541666667</v>
      </c>
      <c r="W20" s="45" t="str">
        <f>DetSubdiv(C20)</f>
        <v>EC</v>
      </c>
      <c r="X20" s="22">
        <f>VALUE(LEFT(C20,LEN(C20)-3))</f>
        <v>152</v>
      </c>
      <c r="Y20" s="96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{"issue":{"subject":"","project_id":79,"tracker_id":40,"status_id":1,"priority_id":2,"assigned_to_id":338,"start_date":"2017-10-23","description":"","custom_fields":[{"id":1,"name":"Subdivision","value":"EC"},{"id":4,"name":"Milepost","value":"0.0001"},{"id":17,"name":"Train ID","value":"152-23"},{"id":16,"name":"Locomotive ID","value":"4015"},{"id":130,"name":"Impact","value":""},{"id":150,"name":"Time of Event (Mountain Time)","value":"11:39:00"},{"id":151,"name":"Denver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9"/>
      <c r="AA20" s="47"/>
      <c r="AB20" s="47"/>
      <c r="AC20" s="115" t="str">
        <f>"grep -hrE -A400 ""Enforcement Action"" "&amp;"/c/Users/stu/AppData/Local/Temp/OnboardLogs"&amp;"/RTDC"&amp;U20&amp;" --include=""*"&amp;U20&amp;"*"&amp;TEXT(A20-utc_offset/24,"YYYYMMDD")&amp;LEFT(TEXT(A20-utc_offset/24,"HH"),1)&amp;"*"" | grep -E ""((Enforcement Ac)|(PRM))"" -"</f>
        <v>grep -hrE -A400 "Enforcement Action" /c/Users/stu/AppData/Local/Temp/OnboardLogs/RTDC4015 --include="*4015*201710231*"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"%USERPROFILE%\AppData\Local\Temp\OnboardLogs"\RTDC4015\*4015*201710231* &gt;&gt; 2017-10-23-SliceDisagreementCheck.txt</v>
      </c>
      <c r="AE20" s="145" t="str">
        <f t="shared" si="1"/>
        <v>start /low /b %USERPROFILE%\Documents\GitHub\eaglep3\Utilities\DownloadLogsFromS3.py --loco 4015 --day 2017-10-23</v>
      </c>
      <c r="AF20" s="1"/>
    </row>
    <row r="21" spans="1:32" x14ac:dyDescent="0.3">
      <c r="A21" s="31">
        <v>43031.661053240743</v>
      </c>
      <c r="B21" s="30" t="s">
        <v>642</v>
      </c>
      <c r="C21" s="30" t="s">
        <v>664</v>
      </c>
      <c r="D21" s="30" t="s">
        <v>49</v>
      </c>
      <c r="E21" s="30" t="s">
        <v>179</v>
      </c>
      <c r="F21" s="42">
        <v>0</v>
      </c>
      <c r="G21" s="42">
        <v>50</v>
      </c>
      <c r="H21" s="42">
        <v>181</v>
      </c>
      <c r="I21" s="42">
        <v>129</v>
      </c>
      <c r="J21" s="30" t="s">
        <v>180</v>
      </c>
      <c r="K21" s="42">
        <v>1</v>
      </c>
      <c r="L21" s="131" t="s">
        <v>51</v>
      </c>
      <c r="M21" s="132">
        <f>CONVERT((I21-K21)/10000,"mi","ft")*IF(L21="Increasing Mileposts (1)",-1,1)</f>
        <v>67.584000000000003</v>
      </c>
      <c r="N21" s="133" t="str">
        <f>VLOOKUP(C21,'Trips&amp;Operators'!$C$1:$G$99911,5,FALSE)</f>
        <v>BADERTSCHER DIANE</v>
      </c>
      <c r="O21" s="176" t="s">
        <v>178</v>
      </c>
      <c r="P21" s="134"/>
      <c r="Q21" s="30"/>
      <c r="R21" s="81" t="str">
        <f>VLOOKUP(C21,'Train Runs'!$A$13:$AE$10070,31,0)</f>
        <v>aws s3 cp s3://rtdc.mdm.uploadarchive.raw/RTDC4045/ "%USERPROFILE%\AppData\Local\Temp\OnboardLogs"\RTDC4045\2017-10-23 --exclude "*" --recursive --include "*20171023*" &amp; "%USERPROFILE%\Documents\GitHub\mrs-test-scripts\Headless Mode &amp; Sideloading\WalkAndUnGZ.bat" "%USERPROFILE%\AppData\Local\Temp\OnboardLogs"\RTDC4045\2017-10-23 &amp; aws s3 cp s3://rtdc.mdm.uploadarchive.raw/RTDC4045/ "%USERPROFILE%\AppData\Local\Temp\OnboardLogs"\RTDC4045\2017-10-24 --exclude "*" --recursive --include "*20171024*" &amp; "%USERPROFILE%\Documents\GitHub\mrs-test-scripts\Headless Mode &amp; Sideloading\WalkAndUnGZ.bat" "%USERPROFILE%\AppData\Local\Temp\OnboardLogs"\RTDC4045\2017-10-24</v>
      </c>
      <c r="S21" s="84" t="str">
        <f>VLOOKUP(C21,'Train Runs'!$A$13:$AE$10070,22,0)</f>
        <v>https://d0f6bd738d7f1b3e5a7ca70fe4ff75f0.us-east-1.aws.found.io/app/kibana#/discover/Steve-Slow-Train-Analysis-(2080s-and-2083s)?_g=(refreshInterval:(display:Off,pause:!f,section:0,value:0),time:(from:'2017-10-23T14:02:58-0600',mode:absolute,to:'2017-10-23T16:51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21" s="86" t="str">
        <f>astrogrep_path&amp;" /e /r /s /spath="&amp;search_path&amp;" /stypes=""*"&amp;U21&amp;"*"&amp;TEXT(A21-utc_offset/24,"YYYYMMDD")&amp;LEFT(TEXT(A21-utc_offset/24,"HH"),1)&amp;"*"" /stext="" "&amp;TEXT(A21-utc_offset/24,"HH")&amp;search_regexp&amp;""""</f>
        <v>"C:\Program Files (x86)\AstroGrep\AstroGrep.exe" /e /r /s /spath="%USERPROFILE%\AppData\Local\Temp\OnboardLogs" /stypes="*4045*201710232*" /stext=" 21:.+((SYSTEM_STATE.+slice.+state.+changed )|(ment ac)|(multiple cpu faults)|(system.+state.+changed )|(\[timeout)|(PRM\|1\|D)|(kpr)|(kdp)|(train st.+moving)|(\|lc)|(penalty))"</v>
      </c>
      <c r="U21" s="9" t="str">
        <f>MID(B21,13,4)</f>
        <v>4045</v>
      </c>
      <c r="V21" s="31">
        <f>A21-utc_offset/24</f>
        <v>43031.911053240743</v>
      </c>
      <c r="W21" s="45" t="str">
        <f>DetSubdiv(C21)</f>
        <v>EC</v>
      </c>
      <c r="X21" s="22">
        <f>VALUE(LEFT(C21,LEN(C21)-3))</f>
        <v>186</v>
      </c>
      <c r="Y21" s="96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{"issue":{"subject":"","project_id":79,"tracker_id":40,"status_id":1,"priority_id":2,"assigned_to_id":338,"start_date":"2017-10-23","description":"","custom_fields":[{"id":1,"name":"Subdivision","value":"EC"},{"id":4,"name":"Milepost","value":"0.0001"},{"id":17,"name":"Train ID","value":"186-23"},{"id":16,"name":"Locomotive ID","value":"4045"},{"id":130,"name":"Impact","value":""},{"id":150,"name":"Time of Event (Mountain Time)","value":"15:51:55"},{"id":151,"name":"Denver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9"/>
      <c r="AA21" s="47"/>
      <c r="AB21" s="47"/>
      <c r="AC21" s="115" t="str">
        <f>"grep -hrE -A400 ""Enforcement Action"" "&amp;"/c/Users/stu/AppData/Local/Temp/OnboardLogs"&amp;"/RTDC"&amp;U21&amp;" --include=""*"&amp;U21&amp;"*"&amp;TEXT(A21-utc_offset/24,"YYYYMMDD")&amp;LEFT(TEXT(A21-utc_offset/24,"HH"),1)&amp;"*"" | grep -E ""((Enforcement Ac)|(PRM))"" -"</f>
        <v>grep -hrE -A400 "Enforcement Action" /c/Users/stu/AppData/Local/Temp/OnboardLogs/RTDC4045 --include="*4045*201710232*"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"%USERPROFILE%\AppData\Local\Temp\OnboardLogs"\RTDC4045\*4045*201710232* &gt;&gt; 2017-10-23-SliceDisagreementCheck.txt</v>
      </c>
      <c r="AE21" s="145" t="str">
        <f t="shared" si="1"/>
        <v>start /low /b %USERPROFILE%\Documents\GitHub\eaglep3\Utilities\DownloadLogsFromS3.py --loco 4045 --day 2017-10-23</v>
      </c>
      <c r="AF21" s="1"/>
    </row>
    <row r="22" spans="1:32" x14ac:dyDescent="0.3">
      <c r="A22" s="31">
        <v>43031.361516203702</v>
      </c>
      <c r="B22" s="30" t="s">
        <v>644</v>
      </c>
      <c r="C22" s="30" t="s">
        <v>650</v>
      </c>
      <c r="D22" s="30" t="s">
        <v>49</v>
      </c>
      <c r="E22" s="30" t="s">
        <v>179</v>
      </c>
      <c r="F22" s="42">
        <v>0</v>
      </c>
      <c r="G22" s="42">
        <v>22</v>
      </c>
      <c r="H22" s="42">
        <v>928</v>
      </c>
      <c r="I22" s="42">
        <v>903</v>
      </c>
      <c r="J22" s="30" t="s">
        <v>180</v>
      </c>
      <c r="K22" s="42">
        <v>839</v>
      </c>
      <c r="L22" s="131" t="s">
        <v>51</v>
      </c>
      <c r="M22" s="132">
        <f>CONVERT((I22-K22)/10000,"mi","ft")*IF(L22="Increasing Mileposts (1)",-1,1)</f>
        <v>33.792000000000002</v>
      </c>
      <c r="N22" s="133" t="str">
        <f>VLOOKUP(C22,'Trips&amp;Operators'!$C$1:$G$99911,5,FALSE)</f>
        <v>THOMPSON LESTER</v>
      </c>
      <c r="O22" s="176" t="s">
        <v>178</v>
      </c>
      <c r="P22" s="134"/>
      <c r="Q22" s="30"/>
      <c r="R22" s="81" t="str">
        <f>VLOOKUP(C22,'Train Runs'!$A$13:$AE$10070,31,0)</f>
        <v>aws s3 cp s3://rtdc.mdm.uploadarchive.raw/RTDC4033/ "%USERPROFILE%\AppData\Local\Temp\OnboardLogs"\RTDC4033\2017-10-23 --exclude "*" --recursive --include "*20171023*" &amp; "%USERPROFILE%\Documents\GitHub\mrs-test-scripts\Headless Mode &amp; Sideloading\WalkAndUnGZ.bat" "%USERPROFILE%\AppData\Local\Temp\OnboardLogs"\RTDC4033\2017-10-23 &amp; aws s3 cp s3://rtdc.mdm.uploadarchive.raw/RTDC4033/ "%USERPROFILE%\AppData\Local\Temp\OnboardLogs"\RTDC4033\2017-10-24 --exclude "*" --recursive --include "*20171024*" &amp; "%USERPROFILE%\Documents\GitHub\mrs-test-scripts\Headless Mode &amp; Sideloading\WalkAndUnGZ.bat" "%USERPROFILE%\AppData\Local\Temp\OnboardLogs"\RTDC4033\2017-10-24</v>
      </c>
      <c r="S22" s="84" t="str">
        <f>VLOOKUP(C22,'Train Runs'!$A$13:$AE$10070,22,0)</f>
        <v>https://d0f6bd738d7f1b3e5a7ca70fe4ff75f0.us-east-1.aws.found.io/app/kibana#/discover/Steve-Slow-Train-Analysis-(2080s-and-2083s)?_g=(refreshInterval:(display:Off,pause:!f,section:0,value:0),time:(from:'2017-10-23T06:46:47-0600',mode:absolute,to:'2017-10-23T09:40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T22" s="86" t="str">
        <f>astrogrep_path&amp;" /e /r /s /spath="&amp;search_path&amp;" /stypes=""*"&amp;U22&amp;"*"&amp;TEXT(A22-utc_offset/24,"YYYYMMDD")&amp;LEFT(TEXT(A22-utc_offset/24,"HH"),1)&amp;"*"" /stext="" "&amp;TEXT(A22-utc_offset/24,"HH")&amp;search_regexp&amp;""""</f>
        <v>"C:\Program Files (x86)\AstroGrep\AstroGrep.exe" /e /r /s /spath="%USERPROFILE%\AppData\Local\Temp\OnboardLogs" /stypes="*4033*201710231*" /stext=" 14:.+((SYSTEM_STATE.+slice.+state.+changed )|(ment ac)|(multiple cpu faults)|(system.+state.+changed )|(\[timeout)|(PRM\|1\|D)|(kpr)|(kdp)|(train st.+moving)|(\|lc)|(penalty))"</v>
      </c>
      <c r="U22" s="9" t="str">
        <f>MID(B22,13,4)</f>
        <v>4033</v>
      </c>
      <c r="V22" s="31">
        <f>A22-utc_offset/24</f>
        <v>43031.611516203702</v>
      </c>
      <c r="W22" s="45" t="str">
        <f>DetSubdiv(C22)</f>
        <v>EC</v>
      </c>
      <c r="X22" s="22">
        <f>VALUE(LEFT(C22,LEN(C22)-3))</f>
        <v>126</v>
      </c>
      <c r="Y22" s="96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{"issue":{"subject":"","project_id":79,"tracker_id":40,"status_id":1,"priority_id":2,"assigned_to_id":338,"start_date":"2017-10-23","description":"","custom_fields":[{"id":1,"name":"Subdivision","value":"EC"},{"id":4,"name":"Milepost","value":"0.0839"},{"id":17,"name":"Train ID","value":"126-23"},{"id":16,"name":"Locomotive ID","value":"4033"},{"id":130,"name":"Impact","value":""},{"id":150,"name":"Time of Event (Mountain Time)","value":"08:40:35"},{"id":151,"name":"Denver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9"/>
      <c r="AA22" s="47"/>
      <c r="AB22" s="47"/>
      <c r="AC22" s="115" t="str">
        <f>"grep -hrE -A400 ""Enforcement Action"" "&amp;"/c/Users/stu/AppData/Local/Temp/OnboardLogs"&amp;"/RTDC"&amp;U22&amp;" --include=""*"&amp;U22&amp;"*"&amp;TEXT(A22-utc_offset/24,"YYYYMMDD")&amp;LEFT(TEXT(A22-utc_offset/24,"HH"),1)&amp;"*"" | grep -E ""((Enforcement Ac)|(PRM))"" -"</f>
        <v>grep -hrE -A400 "Enforcement Action" /c/Users/stu/AppData/Local/Temp/OnboardLogs/RTDC4033 --include="*4033*201710231*"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"%USERPROFILE%\AppData\Local\Temp\OnboardLogs"\RTDC4033\*4033*201710231* &gt;&gt; 2017-10-23-SliceDisagreementCheck.txt</v>
      </c>
      <c r="AE22" s="145" t="str">
        <f t="shared" si="1"/>
        <v>start /low /b %USERPROFILE%\Documents\GitHub\eaglep3\Utilities\DownloadLogsFromS3.py --loco 4033 --day 2017-10-23</v>
      </c>
      <c r="AF22" s="1"/>
    </row>
    <row r="23" spans="1:32" x14ac:dyDescent="0.3">
      <c r="A23" s="31">
        <v>43032.025173611109</v>
      </c>
      <c r="B23" s="30" t="s">
        <v>572</v>
      </c>
      <c r="C23" s="30" t="s">
        <v>677</v>
      </c>
      <c r="D23" s="30" t="s">
        <v>49</v>
      </c>
      <c r="E23" s="30" t="s">
        <v>179</v>
      </c>
      <c r="F23" s="42">
        <v>0</v>
      </c>
      <c r="G23" s="42">
        <v>57</v>
      </c>
      <c r="H23" s="42">
        <v>233310</v>
      </c>
      <c r="I23" s="42">
        <v>233363</v>
      </c>
      <c r="J23" s="30" t="s">
        <v>180</v>
      </c>
      <c r="K23" s="42">
        <v>233491</v>
      </c>
      <c r="L23" s="131" t="s">
        <v>50</v>
      </c>
      <c r="M23" s="132">
        <f>CONVERT((I23-K23)/10000,"mi","ft")*IF(L23="Increasing Mileposts (1)",-1,1)</f>
        <v>67.584000000000003</v>
      </c>
      <c r="N23" s="133" t="str">
        <f>VLOOKUP(C23,'Trips&amp;Operators'!$C$1:$G$99911,5,FALSE)</f>
        <v>CASSIDY BRANDON</v>
      </c>
      <c r="O23" s="176" t="s">
        <v>178</v>
      </c>
      <c r="P23" s="134"/>
      <c r="Q23" s="30"/>
      <c r="R23" s="81" t="str">
        <f>VLOOKUP(C23,'Train Runs'!$A$13:$AE$10070,31,0)</f>
        <v>aws s3 cp s3://rtdc.mdm.uploadarchive.raw/RTDC4050/ "%USERPROFILE%\AppData\Local\Temp\OnboardLogs"\RTDC4050\2017-10-24 --exclude "*" --recursive --include "*20171024*" &amp; "%USERPROFILE%\Documents\GitHub\mrs-test-scripts\Headless Mode &amp; Sideloading\WalkAndUnGZ.bat" "%USERPROFILE%\AppData\Local\Temp\OnboardLogs"\RTDC4050\2017-10-24 &amp; aws s3 cp s3://rtdc.mdm.uploadarchive.raw/RTDC4050/ "%USERPROFILE%\AppData\Local\Temp\OnboardLogs"\RTDC4050\2017-10-25 --exclude "*" --recursive --include "*20171025*" &amp; "%USERPROFILE%\Documents\GitHub\mrs-test-scripts\Headless Mode &amp; Sideloading\WalkAndUnGZ.bat" "%USERPROFILE%\AppData\Local\Temp\OnboardLogs"\RTDC4050\2017-10-25</v>
      </c>
      <c r="S23" s="84" t="str">
        <f>VLOOKUP(C23,'Train Runs'!$A$13:$AE$10070,22,0)</f>
        <v>https://d0f6bd738d7f1b3e5a7ca70fe4ff75f0.us-east-1.aws.found.io/app/kibana#/discover/Steve-Slow-Train-Analysis-(2080s-and-2083s)?_g=(refreshInterval:(display:Off,pause:!f,section:0,value:0),time:(from:'2017-10-23T22:28:12-0600',mode:absolute,to:'2017-10-24T01:36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23" s="86" t="str">
        <f>astrogrep_path&amp;" /e /r /s /spath="&amp;search_path&amp;" /stypes=""*"&amp;U23&amp;"*"&amp;TEXT(A23-utc_offset/24,"YYYYMMDD")&amp;LEFT(TEXT(A23-utc_offset/24,"HH"),1)&amp;"*"" /stext="" "&amp;TEXT(A23-utc_offset/24,"HH")&amp;search_regexp&amp;""""</f>
        <v>"C:\Program Files (x86)\AstroGrep\AstroGrep.exe" /e /r /s /spath="%USERPROFILE%\AppData\Local\Temp\OnboardLogs" /stypes="*4050*201710240*" /stext=" 06:.+((SYSTEM_STATE.+slice.+state.+changed )|(ment ac)|(multiple cpu faults)|(system.+state.+changed )|(\[timeout)|(PRM\|1\|D)|(kpr)|(kdp)|(train st.+moving)|(\|lc)|(penalty))"</v>
      </c>
      <c r="U23" s="9" t="str">
        <f>MID(B23,13,4)</f>
        <v>4050</v>
      </c>
      <c r="V23" s="31">
        <f>A23-utc_offset/24</f>
        <v>43032.275173611109</v>
      </c>
      <c r="W23" s="45" t="str">
        <f>DetSubdiv(C23)</f>
        <v>EC</v>
      </c>
      <c r="X23" s="22">
        <f>VALUE(LEFT(C23,LEN(C23)-3))</f>
        <v>241</v>
      </c>
      <c r="Y23" s="96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{"issue":{"subject":"","project_id":79,"tracker_id":40,"status_id":1,"priority_id":2,"assigned_to_id":338,"start_date":"2017-10-24","description":"","custom_fields":[{"id":1,"name":"Subdivision","value":"EC"},{"id":4,"name":"Milepost","value":"23.3491"},{"id":17,"name":"Train ID","value":"241-23"},{"id":16,"name":"Locomotive ID","value":"4050"},{"id":130,"name":"Impact","value":""},{"id":150,"name":"Time of Event (Mountain Time)","value":"00:36:15"},{"id":151,"name":"Denver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59"/>
      <c r="AA23" s="47"/>
      <c r="AB23" s="47"/>
      <c r="AC23" s="115" t="str">
        <f>"grep -hrE -A400 ""Enforcement Action"" "&amp;"/c/Users/stu/AppData/Local/Temp/OnboardLogs"&amp;"/RTDC"&amp;U23&amp;" --include=""*"&amp;U23&amp;"*"&amp;TEXT(A23-utc_offset/24,"YYYYMMDD")&amp;LEFT(TEXT(A23-utc_offset/24,"HH"),1)&amp;"*"" | grep -E ""((Enforcement Ac)|(PRM))"" -"</f>
        <v>grep -hrE -A400 "Enforcement Action" /c/Users/stu/AppData/Local/Temp/OnboardLogs/RTDC4050 --include="*4050*201710240*"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"%USERPROFILE%\AppData\Local\Temp\OnboardLogs"\RTDC4050\*4050*201710240* &gt;&gt; 2017-10-23-SliceDisagreementCheck.txt</v>
      </c>
      <c r="AE23" s="145" t="str">
        <f t="shared" si="1"/>
        <v>start /low /b %USERPROFILE%\Documents\GitHub\eaglep3\Utilities\DownloadLogsFromS3.py --loco 4050 --day 2017-10-24</v>
      </c>
      <c r="AF23" s="1"/>
    </row>
    <row r="24" spans="1:32" x14ac:dyDescent="0.3">
      <c r="A24" s="31">
        <v>43031.966157407405</v>
      </c>
      <c r="B24" s="30" t="s">
        <v>416</v>
      </c>
      <c r="C24" s="30" t="s">
        <v>673</v>
      </c>
      <c r="D24" s="30" t="s">
        <v>95</v>
      </c>
      <c r="E24" s="30" t="s">
        <v>192</v>
      </c>
      <c r="F24" s="42">
        <v>200</v>
      </c>
      <c r="G24" s="42">
        <v>255</v>
      </c>
      <c r="H24" s="42">
        <v>6079</v>
      </c>
      <c r="I24" s="42">
        <v>6799</v>
      </c>
      <c r="J24" s="30" t="s">
        <v>193</v>
      </c>
      <c r="K24" s="42">
        <v>4790</v>
      </c>
      <c r="L24" s="131" t="s">
        <v>50</v>
      </c>
      <c r="M24" s="132">
        <f>CONVERT((I24-K24)/10000,"mi","ft")*IF(L24="Increasing Mileposts (1)",-1,1)</f>
        <v>-1060.752</v>
      </c>
      <c r="N24" s="133" t="str">
        <f>VLOOKUP(C24,'Trips&amp;Operators'!$C$1:$G$99911,5,FALSE)</f>
        <v>STAMBAUGH JAMES</v>
      </c>
      <c r="O24" s="176" t="s">
        <v>178</v>
      </c>
      <c r="P24" s="134"/>
      <c r="Q24" s="30"/>
      <c r="R24" s="81" t="str">
        <f>VLOOKUP(C24,'Train Runs'!$A$13:$AE$10070,31,0)</f>
        <v>aws s3 cp s3://rtdc.mdm.uploadarchive.raw/RTDC4060/ "%USERPROFILE%\AppData\Local\Temp\OnboardLogs"\RTDC4060\2017-10-23 --exclude "*" --recursive --include "*20171023*" &amp; "%USERPROFILE%\Documents\GitHub\mrs-test-scripts\Headless Mode &amp; Sideloading\WalkAndUnGZ.bat" "%USERPROFILE%\AppData\Local\Temp\OnboardLogs"\RTDC4060\2017-10-23 &amp; aws s3 cp s3://rtdc.mdm.uploadarchive.raw/RTDC4060/ "%USERPROFILE%\AppData\Local\Temp\OnboardLogs"\RTDC4060\2017-10-24 --exclude "*" --recursive --include "*20171024*" &amp; "%USERPROFILE%\Documents\GitHub\mrs-test-scripts\Headless Mode &amp; Sideloading\WalkAndUnGZ.bat" "%USERPROFILE%\AppData\Local\Temp\OnboardLogs"\RTDC4060\2017-10-24</v>
      </c>
      <c r="S24" s="84" t="str">
        <f>VLOOKUP(C24,'Train Runs'!$A$13:$AE$10070,22,0)</f>
        <v>https://d0f6bd738d7f1b3e5a7ca70fe4ff75f0.us-east-1.aws.found.io/app/kibana#/discover/Steve-Slow-Train-Analysis-(2080s-and-2083s)?_g=(refreshInterval:(display:Off,pause:!f,section:0,value:0),time:(from:'2017-10-23T21:56:43-0600',mode:absolute,to:'2017-10-24T00:21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24" s="86" t="str">
        <f>astrogrep_path&amp;" /e /r /s /spath="&amp;search_path&amp;" /stypes=""*"&amp;U24&amp;"*"&amp;TEXT(A24-utc_offset/24,"YYYYMMDD")&amp;LEFT(TEXT(A24-utc_offset/24,"HH"),1)&amp;"*"" /stext="" "&amp;TEXT(A24-utc_offset/24,"HH")&amp;search_regexp&amp;""""</f>
        <v>"C:\Program Files (x86)\AstroGrep\AstroGrep.exe" /e /r /s /spath="%USERPROFILE%\AppData\Local\Temp\OnboardLogs" /stypes="*4060*201710240*" /stext=" 05:.+((SYSTEM_STATE.+slice.+state.+changed )|(ment ac)|(multiple cpu faults)|(system.+state.+changed )|(\[timeout)|(PRM\|1\|D)|(kpr)|(kdp)|(train st.+moving)|(\|lc)|(penalty))"</v>
      </c>
      <c r="U24" s="9" t="str">
        <f>MID(B24,13,4)</f>
        <v>4060</v>
      </c>
      <c r="V24" s="31">
        <f>A24-utc_offset/24</f>
        <v>43032.216157407405</v>
      </c>
      <c r="W24" s="45" t="str">
        <f>DetSubdiv(C24)</f>
        <v>NW</v>
      </c>
      <c r="X24" s="22">
        <f>VALUE(LEFT(C24,LEN(C24)-3))</f>
        <v>849</v>
      </c>
      <c r="Y24" s="96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{"issue":{"subject":"","project_id":79,"tracker_id":40,"status_id":1,"priority_id":2,"assigned_to_id":338,"start_date":"2017-10-23","description":"","custom_fields":[{"id":1,"name":"Subdivision","value":"NW"},{"id":4,"name":"Milepost","value":"0.479"},{"id":17,"name":"Train ID","value":"849-23"},{"id":16,"name":"Locomotive ID","value":"4060"},{"id":130,"name":"Impact","value":""},{"id":150,"name":"Time of Event (Mountain Time)","value":"23:11:16"},{"id":151,"name":"Denver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4" s="159"/>
      <c r="AA24" s="47"/>
      <c r="AB24" s="47"/>
      <c r="AC24" s="115" t="str">
        <f>"grep -hrE -A400 ""Enforcement Action"" "&amp;"/c/Users/stu/AppData/Local/Temp/OnboardLogs"&amp;"/RTDC"&amp;U24&amp;" --include=""*"&amp;U24&amp;"*"&amp;TEXT(A24-utc_offset/24,"YYYYMMDD")&amp;LEFT(TEXT(A24-utc_offset/24,"HH"),1)&amp;"*"" | grep -E ""((Enforcement Ac)|(PRM))"" -"</f>
        <v>grep -hrE -A400 "Enforcement Action" /c/Users/stu/AppData/Local/Temp/OnboardLogs/RTDC4060 --include="*4060*201710240*"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"%USERPROFILE%\AppData\Local\Temp\OnboardLogs"\RTDC4060\*4060*201710240* &gt;&gt; 2017-10-23-SliceDisagreementCheck.txt</v>
      </c>
      <c r="AE24" s="145" t="str">
        <f t="shared" si="1"/>
        <v>start /low /b %USERPROFILE%\Documents\GitHub\eaglep3\Utilities\DownloadLogsFromS3.py --loco 4060 --day 2017-10-24</v>
      </c>
      <c r="AF24" s="1"/>
    </row>
    <row r="25" spans="1:32" x14ac:dyDescent="0.3">
      <c r="A25" s="31">
        <v>43031.259236111109</v>
      </c>
      <c r="B25" s="30" t="s">
        <v>416</v>
      </c>
      <c r="C25" s="30" t="s">
        <v>641</v>
      </c>
      <c r="D25" s="30" t="s">
        <v>95</v>
      </c>
      <c r="E25" s="30" t="s">
        <v>192</v>
      </c>
      <c r="F25" s="42">
        <v>450</v>
      </c>
      <c r="G25" s="42">
        <v>507</v>
      </c>
      <c r="H25" s="42">
        <v>14166</v>
      </c>
      <c r="I25" s="42">
        <v>15982</v>
      </c>
      <c r="J25" s="30" t="s">
        <v>193</v>
      </c>
      <c r="K25" s="42">
        <v>13572</v>
      </c>
      <c r="L25" s="131" t="s">
        <v>50</v>
      </c>
      <c r="M25" s="132">
        <f>CONVERT((I25-K25)/10000,"mi","ft")*IF(L25="Increasing Mileposts (1)",-1,1)</f>
        <v>-1272.48</v>
      </c>
      <c r="N25" s="133" t="str">
        <f>VLOOKUP(C25,'Trips&amp;Operators'!$C$1:$G$99911,5,FALSE)</f>
        <v>YANAI IAN</v>
      </c>
      <c r="O25" s="176" t="s">
        <v>178</v>
      </c>
      <c r="P25" s="134"/>
      <c r="Q25" s="30"/>
      <c r="R25" s="81" t="str">
        <f>VLOOKUP(C25,'Train Runs'!$A$13:$AE$10070,31,0)</f>
        <v>aws s3 cp s3://rtdc.mdm.uploadarchive.raw/RTDC4060/ "%USERPROFILE%\AppData\Local\Temp\OnboardLogs"\RTDC4060\2017-10-23 --exclude "*" --recursive --include "*20171023*" &amp; "%USERPROFILE%\Documents\GitHub\mrs-test-scripts\Headless Mode &amp; Sideloading\WalkAndUnGZ.bat" "%USERPROFILE%\AppData\Local\Temp\OnboardLogs"\RTDC4060\2017-10-23 &amp; aws s3 cp s3://rtdc.mdm.uploadarchive.raw/RTDC4060/ "%USERPROFILE%\AppData\Local\Temp\OnboardLogs"\RTDC4060\2017-10-24 --exclude "*" --recursive --include "*20171024*" &amp; "%USERPROFILE%\Documents\GitHub\mrs-test-scripts\Headless Mode &amp; Sideloading\WalkAndUnGZ.bat" "%USERPROFILE%\AppData\Local\Temp\OnboardLogs"\RTDC4060\2017-10-24</v>
      </c>
      <c r="S25" s="84" t="str">
        <f>VLOOKUP(C25,'Train Runs'!$A$13:$AE$10070,22,0)</f>
        <v>https://d0f6bd738d7f1b3e5a7ca70fe4ff75f0.us-east-1.aws.found.io/app/kibana#/discover/Steve-Slow-Train-Analysis-(2080s-and-2083s)?_g=(refreshInterval:(display:Off,pause:!f,section:0,value:0),time:(from:'2017-10-23T04:55:29-0600',mode:absolute,to:'2017-10-23T07:24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25" s="86" t="str">
        <f>astrogrep_path&amp;" /e /r /s /spath="&amp;search_path&amp;" /stypes=""*"&amp;U25&amp;"*"&amp;TEXT(A25-utc_offset/24,"YYYYMMDD")&amp;LEFT(TEXT(A25-utc_offset/24,"HH"),1)&amp;"*"" /stext="" "&amp;TEXT(A25-utc_offset/24,"HH")&amp;search_regexp&amp;""""</f>
        <v>"C:\Program Files (x86)\AstroGrep\AstroGrep.exe" /e /r /s /spath="%USERPROFILE%\AppData\Local\Temp\OnboardLogs" /stypes="*4060*201710231*" /stext=" 12:.+((SYSTEM_STATE.+slice.+state.+changed )|(ment ac)|(multiple cpu faults)|(system.+state.+changed )|(\[timeout)|(PRM\|1\|D)|(kpr)|(kdp)|(train st.+moving)|(\|lc)|(penalty))"</v>
      </c>
      <c r="U25" s="9" t="str">
        <f>MID(B25,13,4)</f>
        <v>4060</v>
      </c>
      <c r="V25" s="31">
        <f>A25-utc_offset/24</f>
        <v>43031.509236111109</v>
      </c>
      <c r="W25" s="45" t="str">
        <f>DetSubdiv(C25)</f>
        <v>NW</v>
      </c>
      <c r="X25" s="22">
        <f>VALUE(LEFT(C25,LEN(C25)-3))</f>
        <v>803</v>
      </c>
      <c r="Y25" s="96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{"issue":{"subject":"","project_id":79,"tracker_id":40,"status_id":1,"priority_id":2,"assigned_to_id":338,"start_date":"2017-10-23","description":"","custom_fields":[{"id":1,"name":"Subdivision","value":"NW"},{"id":4,"name":"Milepost","value":"1.3572"},{"id":17,"name":"Train ID","value":"803-23"},{"id":16,"name":"Locomotive ID","value":"4060"},{"id":130,"name":"Impact","value":""},{"id":150,"name":"Time of Event (Mountain Time)","value":"06:13:18"},{"id":151,"name":"Denver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5" s="159"/>
      <c r="AA25" s="47"/>
      <c r="AB25" s="47"/>
      <c r="AC25" s="115" t="str">
        <f>"grep -hrE -A400 ""Enforcement Action"" "&amp;"/c/Users/stu/AppData/Local/Temp/OnboardLogs"&amp;"/RTDC"&amp;U25&amp;" --include=""*"&amp;U25&amp;"*"&amp;TEXT(A25-utc_offset/24,"YYYYMMDD")&amp;LEFT(TEXT(A25-utc_offset/24,"HH"),1)&amp;"*"" | grep -E ""((Enforcement Ac)|(PRM))"" -"</f>
        <v>grep -hrE -A400 "Enforcement Action" /c/Users/stu/AppData/Local/Temp/OnboardLogs/RTDC4060 --include="*4060*201710231*"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"%USERPROFILE%\AppData\Local\Temp\OnboardLogs"\RTDC4060\*4060*201710231* &gt;&gt; 2017-10-23-SliceDisagreementCheck.txt</v>
      </c>
      <c r="AE25" s="145" t="str">
        <f t="shared" si="1"/>
        <v>start /low /b %USERPROFILE%\Documents\GitHub\eaglep3\Utilities\DownloadLogsFromS3.py --loco 4060 --day 2017-10-23</v>
      </c>
      <c r="AF25" s="1"/>
    </row>
    <row r="26" spans="1:32" x14ac:dyDescent="0.3">
      <c r="A26" s="31">
        <v>43031.326145833336</v>
      </c>
      <c r="B26" s="30" t="s">
        <v>379</v>
      </c>
      <c r="C26" s="30" t="s">
        <v>648</v>
      </c>
      <c r="D26" s="30" t="s">
        <v>95</v>
      </c>
      <c r="E26" s="30" t="s">
        <v>192</v>
      </c>
      <c r="F26" s="42">
        <v>400</v>
      </c>
      <c r="G26" s="42">
        <v>452</v>
      </c>
      <c r="H26" s="42">
        <v>43894</v>
      </c>
      <c r="I26" s="42">
        <v>45279</v>
      </c>
      <c r="J26" s="30" t="s">
        <v>193</v>
      </c>
      <c r="K26" s="42">
        <v>41797</v>
      </c>
      <c r="L26" s="131" t="s">
        <v>50</v>
      </c>
      <c r="M26" s="132">
        <f>CONVERT((I26-K26)/10000,"mi","ft")*IF(L26="Increasing Mileposts (1)",-1,1)</f>
        <v>-1838.4960000000001</v>
      </c>
      <c r="N26" s="133" t="str">
        <f>VLOOKUP(C26,'Trips&amp;Operators'!$C$1:$G$99911,5,FALSE)</f>
        <v>MACDONALD THOMAS</v>
      </c>
      <c r="O26" s="176" t="s">
        <v>178</v>
      </c>
      <c r="P26" s="134"/>
      <c r="Q26" s="30"/>
      <c r="R26" s="81" t="str">
        <f>VLOOKUP(C26,'Train Runs'!$A$13:$AE$10070,31,0)</f>
        <v>aws s3 cp s3://rtdc.mdm.uploadarchive.raw/RTDC4040/ "%USERPROFILE%\AppData\Local\Temp\OnboardLogs"\RTDC4040\2017-10-23 --exclude "*" --recursive --include "*20171023*" &amp; "%USERPROFILE%\Documents\GitHub\mrs-test-scripts\Headless Mode &amp; Sideloading\WalkAndUnGZ.bat" "%USERPROFILE%\AppData\Local\Temp\OnboardLogs"\RTDC4040\2017-10-23 &amp; aws s3 cp s3://rtdc.mdm.uploadarchive.raw/RTDC4040/ "%USERPROFILE%\AppData\Local\Temp\OnboardLogs"\RTDC4040\2017-10-24 --exclude "*" --recursive --include "*20171024*" &amp; "%USERPROFILE%\Documents\GitHub\mrs-test-scripts\Headless Mode &amp; Sideloading\WalkAndUnGZ.bat" "%USERPROFILE%\AppData\Local\Temp\OnboardLogs"\RTDC4040\2017-10-24</v>
      </c>
      <c r="S26" s="84" t="str">
        <f>VLOOKUP(C26,'Train Runs'!$A$13:$AE$10070,22,0)</f>
        <v>https://d0f6bd738d7f1b3e5a7ca70fe4ff75f0.us-east-1.aws.found.io/app/kibana#/discover/Steve-Slow-Train-Analysis-(2080s-and-2083s)?_g=(refreshInterval:(display:Off,pause:!f,section:0,value:0),time:(from:'2017-10-23T06:26:10-0600',mode:absolute,to:'2017-10-23T08:55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26" s="86" t="str">
        <f>astrogrep_path&amp;" /e /r /s /spath="&amp;search_path&amp;" /stypes=""*"&amp;U26&amp;"*"&amp;TEXT(A26-utc_offset/24,"YYYYMMDD")&amp;LEFT(TEXT(A26-utc_offset/24,"HH"),1)&amp;"*"" /stext="" "&amp;TEXT(A26-utc_offset/24,"HH")&amp;search_regexp&amp;""""</f>
        <v>"C:\Program Files (x86)\AstroGrep\AstroGrep.exe" /e /r /s /spath="%USERPROFILE%\AppData\Local\Temp\OnboardLogs" /stypes="*4040*201710231*" /stext=" 13:.+((SYSTEM_STATE.+slice.+state.+changed )|(ment ac)|(multiple cpu faults)|(system.+state.+changed )|(\[timeout)|(PRM\|1\|D)|(kpr)|(kdp)|(train st.+moving)|(\|lc)|(penalty))"</v>
      </c>
      <c r="U26" s="9" t="str">
        <f>MID(B26,13,4)</f>
        <v>4040</v>
      </c>
      <c r="V26" s="31">
        <f>A26-utc_offset/24</f>
        <v>43031.576145833336</v>
      </c>
      <c r="W26" s="45" t="str">
        <f>DetSubdiv(C26)</f>
        <v>NW</v>
      </c>
      <c r="X26" s="22">
        <f>VALUE(LEFT(C26,LEN(C26)-3))</f>
        <v>809</v>
      </c>
      <c r="Y26" s="96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{"issue":{"subject":"","project_id":79,"tracker_id":40,"status_id":1,"priority_id":2,"assigned_to_id":338,"start_date":"2017-10-23","description":"","custom_fields":[{"id":1,"name":"Subdivision","value":"NW"},{"id":4,"name":"Milepost","value":"4.1797"},{"id":17,"name":"Train ID","value":"809-23"},{"id":16,"name":"Locomotive ID","value":"4040"},{"id":130,"name":"Impact","value":""},{"id":150,"name":"Time of Event (Mountain Time)","value":"07:49:39"},{"id":151,"name":"Denver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6" s="159"/>
      <c r="AA26" s="47"/>
      <c r="AB26" s="47"/>
      <c r="AC26" s="115" t="str">
        <f>"grep -hrE -A400 ""Enforcement Action"" "&amp;"/c/Users/stu/AppData/Local/Temp/OnboardLogs"&amp;"/RTDC"&amp;U26&amp;" --include=""*"&amp;U26&amp;"*"&amp;TEXT(A26-utc_offset/24,"YYYYMMDD")&amp;LEFT(TEXT(A26-utc_offset/24,"HH"),1)&amp;"*"" | grep -E ""((Enforcement Ac)|(PRM))"" -"</f>
        <v>grep -hrE -A400 "Enforcement Action" /c/Users/stu/AppData/Local/Temp/OnboardLogs/RTDC4040 --include="*4040*201710231*"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"%USERPROFILE%\AppData\Local\Temp\OnboardLogs"\RTDC4040\*4040*201710231* &gt;&gt; 2017-10-23-SliceDisagreementCheck.txt</v>
      </c>
      <c r="AE26" s="145" t="str">
        <f t="shared" si="1"/>
        <v>start /low /b %USERPROFILE%\Documents\GitHub\eaglep3\Utilities\DownloadLogsFromS3.py --loco 4040 --day 2017-10-23</v>
      </c>
      <c r="AF26" s="1"/>
    </row>
    <row r="27" spans="1:32" x14ac:dyDescent="0.3">
      <c r="A27" s="31">
        <v>43031.784236111111</v>
      </c>
      <c r="B27" s="30" t="s">
        <v>379</v>
      </c>
      <c r="C27" s="30" t="s">
        <v>669</v>
      </c>
      <c r="D27" s="30" t="s">
        <v>95</v>
      </c>
      <c r="E27" s="30" t="s">
        <v>192</v>
      </c>
      <c r="F27" s="42">
        <v>400</v>
      </c>
      <c r="G27" s="42">
        <v>450</v>
      </c>
      <c r="H27" s="42">
        <v>43908</v>
      </c>
      <c r="I27" s="42">
        <v>45308</v>
      </c>
      <c r="J27" s="30" t="s">
        <v>193</v>
      </c>
      <c r="K27" s="42">
        <v>41797</v>
      </c>
      <c r="L27" s="131" t="s">
        <v>50</v>
      </c>
      <c r="M27" s="132">
        <f>CONVERT((I27-K27)/10000,"mi","ft")*IF(L27="Increasing Mileposts (1)",-1,1)</f>
        <v>-1853.808</v>
      </c>
      <c r="N27" s="133" t="str">
        <f>VLOOKUP(C27,'Trips&amp;Operators'!$C$1:$G$99911,5,FALSE)</f>
        <v>STAMBAUGH JAMES</v>
      </c>
      <c r="O27" s="176" t="s">
        <v>178</v>
      </c>
      <c r="P27" s="134"/>
      <c r="Q27" s="30"/>
      <c r="R27" s="81" t="str">
        <f>VLOOKUP(C27,'Train Runs'!$A$13:$AE$10070,31,0)</f>
        <v>aws s3 cp s3://rtdc.mdm.uploadarchive.raw/RTDC4040/ "%USERPROFILE%\AppData\Local\Temp\OnboardLogs"\RTDC4040\2017-10-23 --exclude "*" --recursive --include "*20171023*" &amp; "%USERPROFILE%\Documents\GitHub\mrs-test-scripts\Headless Mode &amp; Sideloading\WalkAndUnGZ.bat" "%USERPROFILE%\AppData\Local\Temp\OnboardLogs"\RTDC4040\2017-10-23 &amp; aws s3 cp s3://rtdc.mdm.uploadarchive.raw/RTDC4040/ "%USERPROFILE%\AppData\Local\Temp\OnboardLogs"\RTDC4040\2017-10-24 --exclude "*" --recursive --include "*20171024*" &amp; "%USERPROFILE%\Documents\GitHub\mrs-test-scripts\Headless Mode &amp; Sideloading\WalkAndUnGZ.bat" "%USERPROFILE%\AppData\Local\Temp\OnboardLogs"\RTDC4040\2017-10-24</v>
      </c>
      <c r="S27" s="84" t="str">
        <f>VLOOKUP(C27,'Train Runs'!$A$13:$AE$10070,22,0)</f>
        <v>https://d0f6bd738d7f1b3e5a7ca70fe4ff75f0.us-east-1.aws.found.io/app/kibana#/discover/Steve-Slow-Train-Analysis-(2080s-and-2083s)?_g=(refreshInterval:(display:Off,pause:!f,section:0,value:0),time:(from:'2017-10-23T17:35:36-0600',mode:absolute,to:'2017-10-23T19:54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27" s="86" t="str">
        <f>astrogrep_path&amp;" /e /r /s /spath="&amp;search_path&amp;" /stypes=""*"&amp;U27&amp;"*"&amp;TEXT(A27-utc_offset/24,"YYYYMMDD")&amp;LEFT(TEXT(A27-utc_offset/24,"HH"),1)&amp;"*"" /stext="" "&amp;TEXT(A27-utc_offset/24,"HH")&amp;search_regexp&amp;""""</f>
        <v>"C:\Program Files (x86)\AstroGrep\AstroGrep.exe" /e /r /s /spath="%USERPROFILE%\AppData\Local\Temp\OnboardLogs" /stypes="*4040*201710240*" /stext=" 00:.+((SYSTEM_STATE.+slice.+state.+changed )|(ment ac)|(multiple cpu faults)|(system.+state.+changed )|(\[timeout)|(PRM\|1\|D)|(kpr)|(kdp)|(train st.+moving)|(\|lc)|(penalty))"</v>
      </c>
      <c r="U27" s="9" t="str">
        <f>MID(B27,13,4)</f>
        <v>4040</v>
      </c>
      <c r="V27" s="31">
        <f>A27-utc_offset/24</f>
        <v>43032.034236111111</v>
      </c>
      <c r="W27" s="45" t="str">
        <f>DetSubdiv(C27)</f>
        <v>NW</v>
      </c>
      <c r="X27" s="22">
        <f>VALUE(LEFT(C27,LEN(C27)-3))</f>
        <v>839</v>
      </c>
      <c r="Y27" s="96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{"issue":{"subject":"","project_id":79,"tracker_id":40,"status_id":1,"priority_id":2,"assigned_to_id":338,"start_date":"2017-10-23","description":"","custom_fields":[{"id":1,"name":"Subdivision","value":"NW"},{"id":4,"name":"Milepost","value":"4.1797"},{"id":17,"name":"Train ID","value":"839-23"},{"id":16,"name":"Locomotive ID","value":"4040"},{"id":130,"name":"Impact","value":""},{"id":150,"name":"Time of Event (Mountain Time)","value":"18:49:18"},{"id":151,"name":"Denver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7" s="159"/>
      <c r="AA27" s="47"/>
      <c r="AB27" s="47"/>
      <c r="AC27" s="115" t="str">
        <f>"grep -hrE -A400 ""Enforcement Action"" "&amp;"/c/Users/stu/AppData/Local/Temp/OnboardLogs"&amp;"/RTDC"&amp;U27&amp;" --include=""*"&amp;U27&amp;"*"&amp;TEXT(A27-utc_offset/24,"YYYYMMDD")&amp;LEFT(TEXT(A27-utc_offset/24,"HH"),1)&amp;"*"" | grep -E ""((Enforcement Ac)|(PRM))"" -"</f>
        <v>grep -hrE -A400 "Enforcement Action" /c/Users/stu/AppData/Local/Temp/OnboardLogs/RTDC4040 --include="*4040*201710240*"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"%USERPROFILE%\AppData\Local\Temp\OnboardLogs"\RTDC4040\*4040*201710240* &gt;&gt; 2017-10-23-SliceDisagreementCheck.txt</v>
      </c>
      <c r="AE27" s="145" t="str">
        <f t="shared" si="1"/>
        <v>start /low /b %USERPROFILE%\Documents\GitHub\eaglep3\Utilities\DownloadLogsFromS3.py --loco 4040 --day 2017-10-24</v>
      </c>
      <c r="AF27" s="1"/>
    </row>
    <row r="28" spans="1:32" x14ac:dyDescent="0.3">
      <c r="A28" s="31">
        <v>43031.660057870373</v>
      </c>
      <c r="B28" s="30" t="s">
        <v>379</v>
      </c>
      <c r="C28" s="30" t="s">
        <v>663</v>
      </c>
      <c r="D28" s="30" t="s">
        <v>49</v>
      </c>
      <c r="E28" s="30" t="s">
        <v>192</v>
      </c>
      <c r="F28" s="42">
        <v>150</v>
      </c>
      <c r="G28" s="42">
        <v>314</v>
      </c>
      <c r="H28" s="42">
        <v>55727</v>
      </c>
      <c r="I28" s="42">
        <v>56281</v>
      </c>
      <c r="J28" s="30" t="s">
        <v>193</v>
      </c>
      <c r="K28" s="42">
        <v>57008</v>
      </c>
      <c r="L28" s="131" t="s">
        <v>50</v>
      </c>
      <c r="M28" s="132">
        <f>CONVERT((I28-K28)/10000,"mi","ft")*IF(L28="Increasing Mileposts (1)",-1,1)</f>
        <v>383.85599999999999</v>
      </c>
      <c r="N28" s="133" t="str">
        <f>VLOOKUP(C28,'Trips&amp;Operators'!$C$1:$G$99911,5,FALSE)</f>
        <v>STAMBAUGH JAMES</v>
      </c>
      <c r="O28" s="176" t="s">
        <v>178</v>
      </c>
      <c r="P28" s="134"/>
      <c r="Q28" s="30"/>
      <c r="R28" s="81" t="str">
        <f>VLOOKUP(C28,'Train Runs'!$A$13:$AE$10070,31,0)</f>
        <v>aws s3 cp s3://rtdc.mdm.uploadarchive.raw/RTDC4040/ "%USERPROFILE%\AppData\Local\Temp\OnboardLogs"\RTDC4040\2017-10-23 --exclude "*" --recursive --include "*20171023*" &amp; "%USERPROFILE%\Documents\GitHub\mrs-test-scripts\Headless Mode &amp; Sideloading\WalkAndUnGZ.bat" "%USERPROFILE%\AppData\Local\Temp\OnboardLogs"\RTDC4040\2017-10-23 &amp; aws s3 cp s3://rtdc.mdm.uploadarchive.raw/RTDC4040/ "%USERPROFILE%\AppData\Local\Temp\OnboardLogs"\RTDC4040\2017-10-24 --exclude "*" --recursive --include "*20171024*" &amp; "%USERPROFILE%\Documents\GitHub\mrs-test-scripts\Headless Mode &amp; Sideloading\WalkAndUnGZ.bat" "%USERPROFILE%\AppData\Local\Temp\OnboardLogs"\RTDC4040\2017-10-24</v>
      </c>
      <c r="S28" s="84" t="str">
        <f>VLOOKUP(C28,'Train Runs'!$A$13:$AE$10070,22,0)</f>
        <v>https://d0f6bd738d7f1b3e5a7ca70fe4ff75f0.us-east-1.aws.found.io/app/kibana#/discover/Steve-Slow-Train-Analysis-(2080s-and-2083s)?_g=(refreshInterval:(display:Off,pause:!f,section:0,value:0),time:(from:'2017-10-23T14:25:04-0600',mode:absolute,to:'2017-10-23T16:53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28" s="86" t="str">
        <f>astrogrep_path&amp;" /e /r /s /spath="&amp;search_path&amp;" /stypes=""*"&amp;U28&amp;"*"&amp;TEXT(A28-utc_offset/24,"YYYYMMDD")&amp;LEFT(TEXT(A28-utc_offset/24,"HH"),1)&amp;"*"" /stext="" "&amp;TEXT(A28-utc_offset/24,"HH")&amp;search_regexp&amp;""""</f>
        <v>"C:\Program Files (x86)\AstroGrep\AstroGrep.exe" /e /r /s /spath="%USERPROFILE%\AppData\Local\Temp\OnboardLogs" /stypes="*4040*201710232*" /stext=" 21:.+((SYSTEM_STATE.+slice.+state.+changed )|(ment ac)|(multiple cpu faults)|(system.+state.+changed )|(\[timeout)|(PRM\|1\|D)|(kpr)|(kdp)|(train st.+moving)|(\|lc)|(penalty))"</v>
      </c>
      <c r="U28" s="9" t="str">
        <f>MID(B28,13,4)</f>
        <v>4040</v>
      </c>
      <c r="V28" s="31">
        <f>A28-utc_offset/24</f>
        <v>43031.910057870373</v>
      </c>
      <c r="W28" s="45" t="str">
        <f>DetSubdiv(C28)</f>
        <v>NW</v>
      </c>
      <c r="X28" s="22">
        <f>VALUE(LEFT(C28,LEN(C28)-3))</f>
        <v>827</v>
      </c>
      <c r="Y28" s="96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{"issue":{"subject":"","project_id":79,"tracker_id":40,"status_id":1,"priority_id":2,"assigned_to_id":338,"start_date":"2017-10-23","description":"","custom_fields":[{"id":1,"name":"Subdivision","value":"NW"},{"id":4,"name":"Milepost","value":"5.7008"},{"id":17,"name":"Train ID","value":"827-23"},{"id":16,"name":"Locomotive ID","value":"4040"},{"id":130,"name":"Impact","value":""},{"id":150,"name":"Time of Event (Mountain Time)","value":"15:50:29"},{"id":151,"name":"Denver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8" s="159"/>
      <c r="AA28" s="47"/>
      <c r="AB28" s="47"/>
      <c r="AC28" s="115" t="str">
        <f>"grep -hrE -A400 ""Enforcement Action"" "&amp;"/c/Users/stu/AppData/Local/Temp/OnboardLogs"&amp;"/RTDC"&amp;U28&amp;" --include=""*"&amp;U28&amp;"*"&amp;TEXT(A28-utc_offset/24,"YYYYMMDD")&amp;LEFT(TEXT(A28-utc_offset/24,"HH"),1)&amp;"*"" | grep -E ""((Enforcement Ac)|(PRM))"" -"</f>
        <v>grep -hrE -A400 "Enforcement Action" /c/Users/stu/AppData/Local/Temp/OnboardLogs/RTDC4040 --include="*4040*201710232*"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"%USERPROFILE%\AppData\Local\Temp\OnboardLogs"\RTDC4040\*4040*201710232* &gt;&gt; 2017-10-23-SliceDisagreementCheck.txt</v>
      </c>
      <c r="AE28" s="145" t="str">
        <f t="shared" si="1"/>
        <v>start /low /b %USERPROFILE%\Documents\GitHub\eaglep3\Utilities\DownloadLogsFromS3.py --loco 4040 --day 2017-10-23</v>
      </c>
      <c r="AF28" s="1"/>
    </row>
    <row r="29" spans="1:32" x14ac:dyDescent="0.3">
      <c r="A29" s="31">
        <v>43031.930312500001</v>
      </c>
      <c r="B29" s="30" t="s">
        <v>416</v>
      </c>
      <c r="C29" s="30" t="s">
        <v>671</v>
      </c>
      <c r="D29" s="30" t="s">
        <v>49</v>
      </c>
      <c r="E29" s="30" t="s">
        <v>192</v>
      </c>
      <c r="F29" s="42">
        <v>150</v>
      </c>
      <c r="G29" s="42">
        <v>304</v>
      </c>
      <c r="H29" s="42">
        <v>55771</v>
      </c>
      <c r="I29" s="42">
        <v>56336</v>
      </c>
      <c r="J29" s="30" t="s">
        <v>193</v>
      </c>
      <c r="K29" s="42">
        <v>57008</v>
      </c>
      <c r="L29" s="131" t="s">
        <v>50</v>
      </c>
      <c r="M29" s="132">
        <f>CONVERT((I29-K29)/10000,"mi","ft")*IF(L29="Increasing Mileposts (1)",-1,1)</f>
        <v>354.81599999999997</v>
      </c>
      <c r="N29" s="133" t="str">
        <f>VLOOKUP(C29,'Trips&amp;Operators'!$C$1:$G$99911,5,FALSE)</f>
        <v>STAMBAUGH JAMES</v>
      </c>
      <c r="O29" s="176" t="s">
        <v>178</v>
      </c>
      <c r="P29" s="134"/>
      <c r="Q29" s="30"/>
      <c r="R29" s="81" t="str">
        <f>VLOOKUP(C29,'Train Runs'!$A$13:$AE$10070,31,0)</f>
        <v>aws s3 cp s3://rtdc.mdm.uploadarchive.raw/RTDC4060/ "%USERPROFILE%\AppData\Local\Temp\OnboardLogs"\RTDC4060\2017-10-23 --exclude "*" --recursive --include "*20171023*" &amp; "%USERPROFILE%\Documents\GitHub\mrs-test-scripts\Headless Mode &amp; Sideloading\WalkAndUnGZ.bat" "%USERPROFILE%\AppData\Local\Temp\OnboardLogs"\RTDC4060\2017-10-23 &amp; aws s3 cp s3://rtdc.mdm.uploadarchive.raw/RTDC4060/ "%USERPROFILE%\AppData\Local\Temp\OnboardLogs"\RTDC4060\2017-10-24 --exclude "*" --recursive --include "*20171024*" &amp; "%USERPROFILE%\Documents\GitHub\mrs-test-scripts\Headless Mode &amp; Sideloading\WalkAndUnGZ.bat" "%USERPROFILE%\AppData\Local\Temp\OnboardLogs"\RTDC4060\2017-10-24</v>
      </c>
      <c r="S29" s="84" t="str">
        <f>VLOOKUP(C29,'Train Runs'!$A$13:$AE$10070,22,0)</f>
        <v>https://d0f6bd738d7f1b3e5a7ca70fe4ff75f0.us-east-1.aws.found.io/app/kibana#/discover/Steve-Slow-Train-Analysis-(2080s-and-2083s)?_g=(refreshInterval:(display:Off,pause:!f,section:0,value:0),time:(from:'2017-10-23T21:23:33-0600',mode:absolute,to:'2017-10-23T23:22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29" s="86" t="str">
        <f>astrogrep_path&amp;" /e /r /s /spath="&amp;search_path&amp;" /stypes=""*"&amp;U29&amp;"*"&amp;TEXT(A29-utc_offset/24,"YYYYMMDD")&amp;LEFT(TEXT(A29-utc_offset/24,"HH"),1)&amp;"*"" /stext="" "&amp;TEXT(A29-utc_offset/24,"HH")&amp;search_regexp&amp;""""</f>
        <v>"C:\Program Files (x86)\AstroGrep\AstroGrep.exe" /e /r /s /spath="%USERPROFILE%\AppData\Local\Temp\OnboardLogs" /stypes="*4060*201710240*" /stext=" 04:.+((SYSTEM_STATE.+slice.+state.+changed )|(ment ac)|(multiple cpu faults)|(system.+state.+changed )|(\[timeout)|(PRM\|1\|D)|(kpr)|(kdp)|(train st.+moving)|(\|lc)|(penalty))"</v>
      </c>
      <c r="U29" s="9" t="str">
        <f>MID(B29,13,4)</f>
        <v>4060</v>
      </c>
      <c r="V29" s="31">
        <f>A29-utc_offset/24</f>
        <v>43032.180312500001</v>
      </c>
      <c r="W29" s="45" t="str">
        <f>DetSubdiv(C29)</f>
        <v>NW</v>
      </c>
      <c r="X29" s="22">
        <f>VALUE(LEFT(C29,LEN(C29)-3))</f>
        <v>847</v>
      </c>
      <c r="Y29" s="96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{"issue":{"subject":"","project_id":79,"tracker_id":40,"status_id":1,"priority_id":2,"assigned_to_id":338,"start_date":"2017-10-23","description":"","custom_fields":[{"id":1,"name":"Subdivision","value":"NW"},{"id":4,"name":"Milepost","value":"5.7008"},{"id":17,"name":"Train ID","value":"847-23"},{"id":16,"name":"Locomotive ID","value":"4060"},{"id":130,"name":"Impact","value":""},{"id":150,"name":"Time of Event (Mountain Time)","value":"22:19:39"},{"id":151,"name":"Denver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9" s="159"/>
      <c r="AA29" s="47"/>
      <c r="AB29" s="47"/>
      <c r="AC29" s="115" t="str">
        <f>"grep -hrE -A400 ""Enforcement Action"" "&amp;"/c/Users/stu/AppData/Local/Temp/OnboardLogs"&amp;"/RTDC"&amp;U29&amp;" --include=""*"&amp;U29&amp;"*"&amp;TEXT(A29-utc_offset/24,"YYYYMMDD")&amp;LEFT(TEXT(A29-utc_offset/24,"HH"),1)&amp;"*"" | grep -E ""((Enforcement Ac)|(PRM))"" -"</f>
        <v>grep -hrE -A400 "Enforcement Action" /c/Users/stu/AppData/Local/Temp/OnboardLogs/RTDC4060 --include="*4060*201710240*"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"%USERPROFILE%\AppData\Local\Temp\OnboardLogs"\RTDC4060\*4060*201710240* &gt;&gt; 2017-10-23-SliceDisagreementCheck.txt</v>
      </c>
      <c r="AE29" s="145" t="str">
        <f t="shared" si="1"/>
        <v>start /low /b %USERPROFILE%\Documents\GitHub\eaglep3\Utilities\DownloadLogsFromS3.py --loco 4060 --day 2017-10-24</v>
      </c>
      <c r="AF29" s="1"/>
    </row>
    <row r="30" spans="1:32" x14ac:dyDescent="0.3">
      <c r="A30" s="31">
        <v>43031.382025462961</v>
      </c>
      <c r="B30" s="30" t="s">
        <v>416</v>
      </c>
      <c r="C30" s="30" t="s">
        <v>652</v>
      </c>
      <c r="D30" s="30" t="s">
        <v>95</v>
      </c>
      <c r="E30" s="30" t="s">
        <v>407</v>
      </c>
      <c r="F30" s="42">
        <v>0</v>
      </c>
      <c r="G30" s="42">
        <v>17</v>
      </c>
      <c r="H30" s="42">
        <v>1956</v>
      </c>
      <c r="I30" s="42">
        <v>1945</v>
      </c>
      <c r="J30" s="30" t="s">
        <v>408</v>
      </c>
      <c r="K30" s="42">
        <v>1725</v>
      </c>
      <c r="L30" s="131" t="s">
        <v>50</v>
      </c>
      <c r="M30" s="132">
        <f>CONVERT((I30-K30)/10000,"mi","ft")*IF(L30="Increasing Mileposts (1)",-1,1)</f>
        <v>-116.16</v>
      </c>
      <c r="N30" s="133" t="str">
        <f>VLOOKUP(C30,'Trips&amp;Operators'!$C$1:$G$99911,5,FALSE)</f>
        <v>YANAI IAN</v>
      </c>
      <c r="O30" s="176" t="s">
        <v>375</v>
      </c>
      <c r="P30" s="134" t="s">
        <v>1081</v>
      </c>
      <c r="Q30" s="30"/>
      <c r="R30" s="81" t="str">
        <f>VLOOKUP(C30,'Train Runs'!$A$13:$AE$10070,31,0)</f>
        <v>aws s3 cp s3://rtdc.mdm.uploadarchive.raw/RTDC4060/ "%USERPROFILE%\AppData\Local\Temp\OnboardLogs"\RTDC4060\2017-10-23 --exclude "*" --recursive --include "*20171023*" &amp; "%USERPROFILE%\Documents\GitHub\mrs-test-scripts\Headless Mode &amp; Sideloading\WalkAndUnGZ.bat" "%USERPROFILE%\AppData\Local\Temp\OnboardLogs"\RTDC4060\2017-10-23 &amp; aws s3 cp s3://rtdc.mdm.uploadarchive.raw/RTDC4060/ "%USERPROFILE%\AppData\Local\Temp\OnboardLogs"\RTDC4060\2017-10-24 --exclude "*" --recursive --include "*20171024*" &amp; "%USERPROFILE%\Documents\GitHub\mrs-test-scripts\Headless Mode &amp; Sideloading\WalkAndUnGZ.bat" "%USERPROFILE%\AppData\Local\Temp\OnboardLogs"\RTDC4060\2017-10-24</v>
      </c>
      <c r="S30" s="84" t="str">
        <f>VLOOKUP(C30,'Train Runs'!$A$13:$AE$10070,22,0)</f>
        <v>https://d0f6bd738d7f1b3e5a7ca70fe4ff75f0.us-east-1.aws.found.io/app/kibana#/discover/Steve-Slow-Train-Analysis-(2080s-and-2083s)?_g=(refreshInterval:(display:Off,pause:!f,section:0,value:0),time:(from:'2017-10-23T08:10:27-0600',mode:absolute,to:'2017-10-23T10:24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30" s="86" t="str">
        <f>astrogrep_path&amp;" /e /r /s /spath="&amp;search_path&amp;" /stypes=""*"&amp;U30&amp;"*"&amp;TEXT(A30-utc_offset/24,"YYYYMMDD")&amp;LEFT(TEXT(A30-utc_offset/24,"HH"),1)&amp;"*"" /stext="" "&amp;TEXT(A30-utc_offset/24,"HH")&amp;search_regexp&amp;""""</f>
        <v>"C:\Program Files (x86)\AstroGrep\AstroGrep.exe" /e /r /s /spath="%USERPROFILE%\AppData\Local\Temp\OnboardLogs" /stypes="*4060*201710231*" /stext=" 15:.+((SYSTEM_STATE.+slice.+state.+changed )|(ment ac)|(multiple cpu faults)|(system.+state.+changed )|(\[timeout)|(PRM\|1\|D)|(kpr)|(kdp)|(train st.+moving)|(\|lc)|(penalty))"</v>
      </c>
      <c r="U30" s="9" t="str">
        <f>MID(B30,13,4)</f>
        <v>4060</v>
      </c>
      <c r="V30" s="31">
        <f>A30-utc_offset/24</f>
        <v>43031.632025462961</v>
      </c>
      <c r="W30" s="45" t="str">
        <f>DetSubdiv(C30)</f>
        <v>NW</v>
      </c>
      <c r="X30" s="22">
        <f>VALUE(LEFT(C30,LEN(C30)-3))</f>
        <v>813</v>
      </c>
      <c r="Y30" s="96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--insecure -X POST -H ""Content-Type: application/json"" -H ""X-Redmine-API-Key: "&amp;redm_api_key&amp;""" "&amp;redm_url&amp;" --data @-"</f>
        <v>echo {"issue":{"subject":"Poor GPS at DUS","project_id":79,"tracker_id":40,"status_id":1,"priority_id":2,"assigned_to_id":338,"start_date":"2017-10-23","description":"","custom_fields":[{"id":1,"name":"Subdivision","value":"NW"},{"id":4,"name":"Milepost","value":"0.1725"},{"id":17,"name":"Train ID","value":"813-23"},{"id":16,"name":"Locomotive ID","value":"4060"},{"id":130,"name":"Impact","value":""},{"id":150,"name":"Time of Event (Mountain Time)","value":"09:10:07"},{"id":151,"name":"Denver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0" s="159"/>
      <c r="AA30" s="47"/>
      <c r="AB30" s="47"/>
      <c r="AC30" s="115" t="str">
        <f>"grep -hrE -A400 ""Enforcement Action"" "&amp;"/c/Users/stu/AppData/Local/Temp/OnboardLogs"&amp;"/RTDC"&amp;U30&amp;" --include=""*"&amp;U30&amp;"*"&amp;TEXT(A30-utc_offset/24,"YYYYMMDD")&amp;LEFT(TEXT(A30-utc_offset/24,"HH"),1)&amp;"*"" | grep -E ""((Enforcement Ac)|(PRM))"" -"</f>
        <v>grep -hrE -A400 "Enforcement Action" /c/Users/stu/AppData/Local/Temp/OnboardLogs/RTDC4060 --include="*4060*201710231*"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"%USERPROFILE%\AppData\Local\Temp\OnboardLogs"\RTDC4060\*4060*201710231* &gt;&gt; 2017-10-23-SliceDisagreementCheck.txt</v>
      </c>
      <c r="AE30" s="145" t="str">
        <f t="shared" si="1"/>
        <v>start /low /b %USERPROFILE%\Documents\GitHub\eaglep3\Utilities\DownloadLogsFromS3.py --loco 4060 --day 2017-10-23</v>
      </c>
      <c r="AF30" s="1"/>
    </row>
    <row r="31" spans="1:32" x14ac:dyDescent="0.3">
      <c r="A31" s="31">
        <v>43031.620219907411</v>
      </c>
      <c r="B31" s="30" t="s">
        <v>417</v>
      </c>
      <c r="C31" s="30" t="s">
        <v>660</v>
      </c>
      <c r="D31" s="30" t="s">
        <v>95</v>
      </c>
      <c r="E31" s="30" t="s">
        <v>407</v>
      </c>
      <c r="F31" s="42">
        <v>0</v>
      </c>
      <c r="G31" s="42">
        <v>99</v>
      </c>
      <c r="H31" s="42">
        <v>4792</v>
      </c>
      <c r="I31" s="42">
        <v>4634</v>
      </c>
      <c r="J31" s="30" t="s">
        <v>408</v>
      </c>
      <c r="K31" s="42">
        <v>4798</v>
      </c>
      <c r="L31" s="131" t="s">
        <v>51</v>
      </c>
      <c r="M31" s="132">
        <f>CONVERT((I31-K31)/10000,"mi","ft")*IF(L31="Increasing Mileposts (1)",-1,1)</f>
        <v>-86.592000000000013</v>
      </c>
      <c r="N31" s="133" t="str">
        <f>VLOOKUP(C31,'Trips&amp;Operators'!$C$1:$G$99911,5,FALSE)</f>
        <v>LEVIN SCOTT</v>
      </c>
      <c r="O31" s="176" t="s">
        <v>375</v>
      </c>
      <c r="P31" s="134" t="s">
        <v>1083</v>
      </c>
      <c r="Q31" s="30"/>
      <c r="R31" s="81" t="str">
        <f>VLOOKUP(C31,'Train Runs'!$A$13:$AE$10070,31,0)</f>
        <v>aws s3 cp s3://rtdc.mdm.uploadarchive.raw/RTDC4059/ "%USERPROFILE%\AppData\Local\Temp\OnboardLogs"\RTDC4059\2017-10-23 --exclude "*" --recursive --include "*20171023*" &amp; "%USERPROFILE%\Documents\GitHub\mrs-test-scripts\Headless Mode &amp; Sideloading\WalkAndUnGZ.bat" "%USERPROFILE%\AppData\Local\Temp\OnboardLogs"\RTDC4059\2017-10-23 &amp; aws s3 cp s3://rtdc.mdm.uploadarchive.raw/RTDC4059/ "%USERPROFILE%\AppData\Local\Temp\OnboardLogs"\RTDC4059\2017-10-24 --exclude "*" --recursive --include "*20171024*" &amp; "%USERPROFILE%\Documents\GitHub\mrs-test-scripts\Headless Mode &amp; Sideloading\WalkAndUnGZ.bat" "%USERPROFILE%\AppData\Local\Temp\OnboardLogs"\RTDC4059\2017-10-24</v>
      </c>
      <c r="S31" s="84" t="str">
        <f>VLOOKUP(C31,'Train Runs'!$A$13:$AE$10070,22,0)</f>
        <v>https://d0f6bd738d7f1b3e5a7ca70fe4ff75f0.us-east-1.aws.found.io/app/kibana#/discover/Steve-Slow-Train-Analysis-(2080s-and-2083s)?_g=(refreshInterval:(display:Off,pause:!f,section:0,value:0),time:(from:'2017-10-23T13:24:41-0600',mode:absolute,to:'2017-10-23T15:53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31" s="86" t="str">
        <f>astrogrep_path&amp;" /e /r /s /spath="&amp;search_path&amp;" /stypes=""*"&amp;U31&amp;"*"&amp;TEXT(A31-utc_offset/24,"YYYYMMDD")&amp;LEFT(TEXT(A31-utc_offset/24,"HH"),1)&amp;"*"" /stext="" "&amp;TEXT(A31-utc_offset/24,"HH")&amp;search_regexp&amp;""""</f>
        <v>"C:\Program Files (x86)\AstroGrep\AstroGrep.exe" /e /r /s /spath="%USERPROFILE%\AppData\Local\Temp\OnboardLogs" /stypes="*4059*201710232*" /stext=" 20:.+((SYSTEM_STATE.+slice.+state.+changed )|(ment ac)|(multiple cpu faults)|(system.+state.+changed )|(\[timeout)|(PRM\|1\|D)|(kpr)|(kdp)|(train st.+moving)|(\|lc)|(penalty))"</v>
      </c>
      <c r="U31" s="9" t="str">
        <f>MID(B31,13,4)</f>
        <v>4059</v>
      </c>
      <c r="V31" s="31">
        <f>A31-utc_offset/24</f>
        <v>43031.870219907411</v>
      </c>
      <c r="W31" s="45" t="str">
        <f>DetSubdiv(C31)</f>
        <v>NW</v>
      </c>
      <c r="X31" s="22">
        <f>VALUE(LEFT(C31,LEN(C31)-3))</f>
        <v>824</v>
      </c>
      <c r="Y31" s="96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--insecure -X POST -H ""Content-Type: application/json"" -H ""X-Redmine-API-Key: "&amp;redm_api_key&amp;""" "&amp;redm_url&amp;" --data @-"</f>
        <v>echo {"issue":{"subject":"Poor GPS under Wewatta St. overpass","project_id":79,"tracker_id":40,"status_id":1,"priority_id":2,"assigned_to_id":338,"start_date":"2017-10-23","description":"","custom_fields":[{"id":1,"name":"Subdivision","value":"NW"},{"id":4,"name":"Milepost","value":"0.4798"},{"id":17,"name":"Train ID","value":"824-23"},{"id":16,"name":"Locomotive ID","value":"4059"},{"id":130,"name":"Impact","value":""},{"id":150,"name":"Time of Event (Mountain Time)","value":"14:53:07"},{"id":151,"name":"Denver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1" s="159"/>
      <c r="AA31" s="47"/>
      <c r="AB31" s="47"/>
      <c r="AC31" s="115" t="str">
        <f>"grep -hrE -A400 ""Enforcement Action"" "&amp;"/c/Users/stu/AppData/Local/Temp/OnboardLogs"&amp;"/RTDC"&amp;U31&amp;" --include=""*"&amp;U31&amp;"*"&amp;TEXT(A31-utc_offset/24,"YYYYMMDD")&amp;LEFT(TEXT(A31-utc_offset/24,"HH"),1)&amp;"*"" | grep -E ""((Enforcement Ac)|(PRM))"" -"</f>
        <v>grep -hrE -A400 "Enforcement Action" /c/Users/stu/AppData/Local/Temp/OnboardLogs/RTDC4059 --include="*4059*201710232*"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"%USERPROFILE%\AppData\Local\Temp\OnboardLogs"\RTDC4059\*4059*201710232* &gt;&gt; 2017-10-23-SliceDisagreementCheck.txt</v>
      </c>
      <c r="AE31" s="145" t="str">
        <f t="shared" si="1"/>
        <v>start /low /b %USERPROFILE%\Documents\GitHub\eaglep3\Utilities\DownloadLogsFromS3.py --loco 4059 --day 2017-10-23</v>
      </c>
      <c r="AF31" s="1"/>
    </row>
    <row r="32" spans="1:32" x14ac:dyDescent="0.3">
      <c r="A32" s="31">
        <v>43031.550775462965</v>
      </c>
      <c r="B32" s="30" t="s">
        <v>416</v>
      </c>
      <c r="C32" s="30" t="s">
        <v>658</v>
      </c>
      <c r="D32" s="30" t="s">
        <v>95</v>
      </c>
      <c r="E32" s="30" t="s">
        <v>407</v>
      </c>
      <c r="F32" s="42">
        <v>0</v>
      </c>
      <c r="G32" s="42">
        <v>267</v>
      </c>
      <c r="H32" s="42">
        <v>7229</v>
      </c>
      <c r="I32" s="42">
        <v>7862</v>
      </c>
      <c r="J32" s="30" t="s">
        <v>408</v>
      </c>
      <c r="K32" s="42">
        <v>6798</v>
      </c>
      <c r="L32" s="131" t="s">
        <v>50</v>
      </c>
      <c r="M32" s="132">
        <f>CONVERT((I32-K32)/10000,"mi","ft")*IF(L32="Increasing Mileposts (1)",-1,1)</f>
        <v>-561.79200000000003</v>
      </c>
      <c r="N32" s="133" t="str">
        <f>VLOOKUP(C32,'Trips&amp;Operators'!$C$1:$G$99911,5,FALSE)</f>
        <v>LEVIN SCOTT</v>
      </c>
      <c r="O32" s="176" t="s">
        <v>375</v>
      </c>
      <c r="P32" s="134" t="s">
        <v>1081</v>
      </c>
      <c r="Q32" s="30"/>
      <c r="R32" s="81" t="str">
        <f>VLOOKUP(C32,'Train Runs'!$A$13:$AE$10070,31,0)</f>
        <v>aws s3 cp s3://rtdc.mdm.uploadarchive.raw/RTDC4060/ "%USERPROFILE%\AppData\Local\Temp\OnboardLogs"\RTDC4060\2017-10-23 --exclude "*" --recursive --include "*20171023*" &amp; "%USERPROFILE%\Documents\GitHub\mrs-test-scripts\Headless Mode &amp; Sideloading\WalkAndUnGZ.bat" "%USERPROFILE%\AppData\Local\Temp\OnboardLogs"\RTDC4060\2017-10-23 &amp; aws s3 cp s3://rtdc.mdm.uploadarchive.raw/RTDC4060/ "%USERPROFILE%\AppData\Local\Temp\OnboardLogs"\RTDC4060\2017-10-24 --exclude "*" --recursive --include "*20171024*" &amp; "%USERPROFILE%\Documents\GitHub\mrs-test-scripts\Headless Mode &amp; Sideloading\WalkAndUnGZ.bat" "%USERPROFILE%\AppData\Local\Temp\OnboardLogs"\RTDC4060\2017-10-24</v>
      </c>
      <c r="S32" s="84" t="str">
        <f>VLOOKUP(C32,'Train Runs'!$A$13:$AE$10070,22,0)</f>
        <v>https://d0f6bd738d7f1b3e5a7ca70fe4ff75f0.us-east-1.aws.found.io/app/kibana#/discover/Steve-Slow-Train-Analysis-(2080s-and-2083s)?_g=(refreshInterval:(display:Off,pause:!f,section:0,value:0),time:(from:'2017-10-23T12:11:14-0600',mode:absolute,to:'2017-10-23T14:24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32" s="86" t="str">
        <f>astrogrep_path&amp;" /e /r /s /spath="&amp;search_path&amp;" /stypes=""*"&amp;U32&amp;"*"&amp;TEXT(A32-utc_offset/24,"YYYYMMDD")&amp;LEFT(TEXT(A32-utc_offset/24,"HH"),1)&amp;"*"" /stext="" "&amp;TEXT(A32-utc_offset/24,"HH")&amp;search_regexp&amp;""""</f>
        <v>"C:\Program Files (x86)\AstroGrep\AstroGrep.exe" /e /r /s /spath="%USERPROFILE%\AppData\Local\Temp\OnboardLogs" /stypes="*4060*201710231*" /stext=" 19:.+((SYSTEM_STATE.+slice.+state.+changed )|(ment ac)|(multiple cpu faults)|(system.+state.+changed )|(\[timeout)|(PRM\|1\|D)|(kpr)|(kdp)|(train st.+moving)|(\|lc)|(penalty))"</v>
      </c>
      <c r="U32" s="9" t="str">
        <f>MID(B32,13,4)</f>
        <v>4060</v>
      </c>
      <c r="V32" s="31">
        <f>A32-utc_offset/24</f>
        <v>43031.800775462965</v>
      </c>
      <c r="W32" s="45" t="str">
        <f>DetSubdiv(C32)</f>
        <v>NW</v>
      </c>
      <c r="X32" s="22">
        <f>VALUE(LEFT(C32,LEN(C32)-3))</f>
        <v>821</v>
      </c>
      <c r="Y32" s="96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--insecure -X POST -H ""Content-Type: application/json"" -H ""X-Redmine-API-Key: "&amp;redm_api_key&amp;""" "&amp;redm_url&amp;" --data @-"</f>
        <v>echo {"issue":{"subject":"Poor GPS at DUS","project_id":79,"tracker_id":40,"status_id":1,"priority_id":2,"assigned_to_id":338,"start_date":"2017-10-23","description":"","custom_fields":[{"id":1,"name":"Subdivision","value":"NW"},{"id":4,"name":"Milepost","value":"0.6798"},{"id":17,"name":"Train ID","value":"821-23"},{"id":16,"name":"Locomotive ID","value":"4060"},{"id":130,"name":"Impact","value":""},{"id":150,"name":"Time of Event (Mountain Time)","value":"13:13:07"},{"id":151,"name":"Denver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2" s="159"/>
      <c r="AA32" s="47"/>
      <c r="AB32" s="47"/>
      <c r="AC32" s="115" t="str">
        <f>"grep -hrE -A400 ""Enforcement Action"" "&amp;"/c/Users/stu/AppData/Local/Temp/OnboardLogs"&amp;"/RTDC"&amp;U32&amp;" --include=""*"&amp;U32&amp;"*"&amp;TEXT(A32-utc_offset/24,"YYYYMMDD")&amp;LEFT(TEXT(A32-utc_offset/24,"HH"),1)&amp;"*"" | grep -E ""((Enforcement Ac)|(PRM))"" -"</f>
        <v>grep -hrE -A400 "Enforcement Action" /c/Users/stu/AppData/Local/Temp/OnboardLogs/RTDC4060 --include="*4060*201710231*"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"%USERPROFILE%\AppData\Local\Temp\OnboardLogs"\RTDC4060\*4060*201710231* &gt;&gt; 2017-10-23-SliceDisagreementCheck.txt</v>
      </c>
      <c r="AE32" s="145" t="str">
        <f t="shared" si="1"/>
        <v>start /low /b %USERPROFILE%\Documents\GitHub\eaglep3\Utilities\DownloadLogsFromS3.py --loco 4060 --day 2017-10-23</v>
      </c>
      <c r="AF32" s="1"/>
    </row>
    <row r="33" spans="1:32" x14ac:dyDescent="0.3">
      <c r="A33" s="31">
        <v>43031.287870370368</v>
      </c>
      <c r="B33" s="30" t="s">
        <v>417</v>
      </c>
      <c r="C33" s="30" t="s">
        <v>646</v>
      </c>
      <c r="D33" s="30" t="s">
        <v>49</v>
      </c>
      <c r="E33" s="30" t="s">
        <v>179</v>
      </c>
      <c r="F33" s="42">
        <v>0</v>
      </c>
      <c r="G33" s="42">
        <v>60</v>
      </c>
      <c r="H33" s="42">
        <v>789</v>
      </c>
      <c r="I33" s="42">
        <v>720</v>
      </c>
      <c r="J33" s="30" t="s">
        <v>180</v>
      </c>
      <c r="K33" s="42">
        <v>575</v>
      </c>
      <c r="L33" s="131" t="s">
        <v>51</v>
      </c>
      <c r="M33" s="132">
        <f>CONVERT((I33-K33)/10000,"mi","ft")*IF(L33="Increasing Mileposts (1)",-1,1)</f>
        <v>76.56</v>
      </c>
      <c r="N33" s="133" t="str">
        <f>VLOOKUP(C33,'Trips&amp;Operators'!$C$1:$G$99911,5,FALSE)</f>
        <v>YANAI IAN</v>
      </c>
      <c r="O33" s="176" t="s">
        <v>178</v>
      </c>
      <c r="P33" s="134"/>
      <c r="Q33" s="30"/>
      <c r="R33" s="81" t="str">
        <f>VLOOKUP(C33,'Train Runs'!$A$13:$AE$10070,31,0)</f>
        <v>aws s3 cp s3://rtdc.mdm.uploadarchive.raw/RTDC4059/ "%USERPROFILE%\AppData\Local\Temp\OnboardLogs"\RTDC4059\2017-10-23 --exclude "*" --recursive --include "*20171023*" &amp; "%USERPROFILE%\Documents\GitHub\mrs-test-scripts\Headless Mode &amp; Sideloading\WalkAndUnGZ.bat" "%USERPROFILE%\AppData\Local\Temp\OnboardLogs"\RTDC4059\2017-10-23 &amp; aws s3 cp s3://rtdc.mdm.uploadarchive.raw/RTDC4059/ "%USERPROFILE%\AppData\Local\Temp\OnboardLogs"\RTDC4059\2017-10-24 --exclude "*" --recursive --include "*20171024*" &amp; "%USERPROFILE%\Documents\GitHub\mrs-test-scripts\Headless Mode &amp; Sideloading\WalkAndUnGZ.bat" "%USERPROFILE%\AppData\Local\Temp\OnboardLogs"\RTDC4059\2017-10-24</v>
      </c>
      <c r="S33" s="84" t="str">
        <f>VLOOKUP(C33,'Train Runs'!$A$13:$AE$10070,22,0)</f>
        <v>https://d0f6bd738d7f1b3e5a7ca70fe4ff75f0.us-east-1.aws.found.io/app/kibana#/discover/Steve-Slow-Train-Analysis-(2080s-and-2083s)?_g=(refreshInterval:(display:Off,pause:!f,section:0,value:0),time:(from:'2017-10-23T05:26:13-0600',mode:absolute,to:'2017-10-23T07:54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33" s="86" t="str">
        <f>astrogrep_path&amp;" /e /r /s /spath="&amp;search_path&amp;" /stypes=""*"&amp;U33&amp;"*"&amp;TEXT(A33-utc_offset/24,"YYYYMMDD")&amp;LEFT(TEXT(A33-utc_offset/24,"HH"),1)&amp;"*"" /stext="" "&amp;TEXT(A33-utc_offset/24,"HH")&amp;search_regexp&amp;""""</f>
        <v>"C:\Program Files (x86)\AstroGrep\AstroGrep.exe" /e /r /s /spath="%USERPROFILE%\AppData\Local\Temp\OnboardLogs" /stypes="*4059*201710231*" /stext=" 12:.+((SYSTEM_STATE.+slice.+state.+changed )|(ment ac)|(multiple cpu faults)|(system.+state.+changed )|(\[timeout)|(PRM\|1\|D)|(kpr)|(kdp)|(train st.+moving)|(\|lc)|(penalty))"</v>
      </c>
      <c r="U33" s="9" t="str">
        <f>MID(B33,13,4)</f>
        <v>4059</v>
      </c>
      <c r="V33" s="31">
        <f>A33-utc_offset/24</f>
        <v>43031.537870370368</v>
      </c>
      <c r="W33" s="45" t="str">
        <f>DetSubdiv(C33)</f>
        <v>NW</v>
      </c>
      <c r="X33" s="22">
        <f>VALUE(LEFT(C33,LEN(C33)-3))</f>
        <v>804</v>
      </c>
      <c r="Y33" s="96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{"issue":{"subject":"","project_id":79,"tracker_id":40,"status_id":1,"priority_id":2,"assigned_to_id":338,"start_date":"2017-10-23","description":"","custom_fields":[{"id":1,"name":"Subdivision","value":"NW"},{"id":4,"name":"Milepost","value":"0.0575"},{"id":17,"name":"Train ID","value":"804-23"},{"id":16,"name":"Locomotive ID","value":"4059"},{"id":130,"name":"Impact","value":""},{"id":150,"name":"Time of Event (Mountain Time)","value":"06:54:32"},{"id":151,"name":"Denver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3" s="159"/>
      <c r="AA33" s="47"/>
      <c r="AB33" s="47"/>
      <c r="AC33" s="115" t="str">
        <f>"grep -hrE -A400 ""Enforcement Action"" "&amp;"/c/Users/stu/AppData/Local/Temp/OnboardLogs"&amp;"/RTDC"&amp;U33&amp;" --include=""*"&amp;U33&amp;"*"&amp;TEXT(A33-utc_offset/24,"YYYYMMDD")&amp;LEFT(TEXT(A33-utc_offset/24,"HH"),1)&amp;"*"" | grep -E ""((Enforcement Ac)|(PRM))"" -"</f>
        <v>grep -hrE -A400 "Enforcement Action" /c/Users/stu/AppData/Local/Temp/OnboardLogs/RTDC4059 --include="*4059*201710231*"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"%USERPROFILE%\AppData\Local\Temp\OnboardLogs"\RTDC4059\*4059*201710231* &gt;&gt; 2017-10-23-SliceDisagreementCheck.txt</v>
      </c>
      <c r="AE33" s="145" t="str">
        <f t="shared" si="1"/>
        <v>start /low /b %USERPROFILE%\Documents\GitHub\eaglep3\Utilities\DownloadLogsFromS3.py --loco 4059 --day 2017-10-23</v>
      </c>
      <c r="AF33" s="1"/>
    </row>
    <row r="34" spans="1:32" x14ac:dyDescent="0.3">
      <c r="A34" s="31">
        <v>43031.766284722224</v>
      </c>
      <c r="B34" s="30" t="s">
        <v>661</v>
      </c>
      <c r="C34" s="30" t="s">
        <v>668</v>
      </c>
      <c r="D34" s="30" t="s">
        <v>49</v>
      </c>
      <c r="E34" s="30" t="s">
        <v>179</v>
      </c>
      <c r="F34" s="42">
        <v>0</v>
      </c>
      <c r="G34" s="42">
        <v>150</v>
      </c>
      <c r="H34" s="42">
        <v>1181</v>
      </c>
      <c r="I34" s="42">
        <v>1018</v>
      </c>
      <c r="J34" s="30" t="s">
        <v>180</v>
      </c>
      <c r="K34" s="42">
        <v>575</v>
      </c>
      <c r="L34" s="131" t="s">
        <v>51</v>
      </c>
      <c r="M34" s="132">
        <f>CONVERT((I34-K34)/10000,"mi","ft")*IF(L34="Increasing Mileposts (1)",-1,1)</f>
        <v>233.904</v>
      </c>
      <c r="N34" s="133" t="str">
        <f>VLOOKUP(C34,'Trips&amp;Operators'!$C$1:$G$99911,5,FALSE)</f>
        <v>STAMBAUGH JAMES</v>
      </c>
      <c r="O34" s="176" t="s">
        <v>178</v>
      </c>
      <c r="P34" s="134"/>
      <c r="Q34" s="30"/>
      <c r="R34" s="81" t="str">
        <f>VLOOKUP(C34,'Train Runs'!$A$13:$AE$10070,31,0)</f>
        <v>aws s3 cp s3://rtdc.mdm.uploadarchive.raw/RTDC4039/ "%USERPROFILE%\AppData\Local\Temp\OnboardLogs"\RTDC4039\2017-10-23 --exclude "*" --recursive --include "*20171023*" &amp; "%USERPROFILE%\Documents\GitHub\mrs-test-scripts\Headless Mode &amp; Sideloading\WalkAndUnGZ.bat" "%USERPROFILE%\AppData\Local\Temp\OnboardLogs"\RTDC4039\2017-10-23 &amp; aws s3 cp s3://rtdc.mdm.uploadarchive.raw/RTDC4039/ "%USERPROFILE%\AppData\Local\Temp\OnboardLogs"\RTDC4039\2017-10-24 --exclude "*" --recursive --include "*20171024*" &amp; "%USERPROFILE%\Documents\GitHub\mrs-test-scripts\Headless Mode &amp; Sideloading\WalkAndUnGZ.bat" "%USERPROFILE%\AppData\Local\Temp\OnboardLogs"\RTDC4039\2017-10-24</v>
      </c>
      <c r="S34" s="84" t="str">
        <f>VLOOKUP(C34,'Train Runs'!$A$13:$AE$10070,22,0)</f>
        <v>https://d0f6bd738d7f1b3e5a7ca70fe4ff75f0.us-east-1.aws.found.io/app/kibana#/discover/Steve-Slow-Train-Analysis-(2080s-and-2083s)?_g=(refreshInterval:(display:Off,pause:!f,section:0,value:0),time:(from:'2017-10-23T16:56:46-0600',mode:absolute,to:'2017-10-23T19:24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34" s="86" t="str">
        <f>astrogrep_path&amp;" /e /r /s /spath="&amp;search_path&amp;" /stypes=""*"&amp;U34&amp;"*"&amp;TEXT(A34-utc_offset/24,"YYYYMMDD")&amp;LEFT(TEXT(A34-utc_offset/24,"HH"),1)&amp;"*"" /stext="" "&amp;TEXT(A34-utc_offset/24,"HH")&amp;search_regexp&amp;""""</f>
        <v>"C:\Program Files (x86)\AstroGrep\AstroGrep.exe" /e /r /s /spath="%USERPROFILE%\AppData\Local\Temp\OnboardLogs" /stypes="*4039*201710240*" /stext=" 00:.+((SYSTEM_STATE.+slice.+state.+changed )|(ment ac)|(multiple cpu faults)|(system.+state.+changed )|(\[timeout)|(PRM\|1\|D)|(kpr)|(kdp)|(train st.+moving)|(\|lc)|(penalty))"</v>
      </c>
      <c r="U34" s="9" t="str">
        <f>MID(B34,13,4)</f>
        <v>4039</v>
      </c>
      <c r="V34" s="31">
        <f>A34-utc_offset/24</f>
        <v>43032.016284722224</v>
      </c>
      <c r="W34" s="45" t="str">
        <f>DetSubdiv(C34)</f>
        <v>NW</v>
      </c>
      <c r="X34" s="22">
        <f>VALUE(LEFT(C34,LEN(C34)-3))</f>
        <v>836</v>
      </c>
      <c r="Y34" s="96" t="str">
        <f>"echo {""issue"":{""subject"":"""&amp;P34&amp;""",""project_id"":79,""tracker_id"":40,""status_id"":"&amp;redmine_status&amp;",""priority_id"":"&amp;redmine_priority&amp;",""assigned_to_id"":"&amp;redmine_assignee&amp;",""start_date"":"""&amp;TEXT(A34,"YYYY-mm-dd")&amp;""",""description"":"""&amp;Z34&amp;""",""custom_fields"":[{""id"":1,""name"":""Subdivision"",""value"":"""&amp;W34&amp;"""},{""id"":4,""name"":""Milepost"",""value"":"""&amp;K34/10000&amp;"""},{""id"":17,""name"":""Train ID"",""value"":"""&amp;C34&amp;"""},{""id"":16,""name"":""Locomotive ID"",""value"":"""&amp;U34&amp;"""},{""id"":130,""name"":""Impact"",""value"":"""&amp;AA34&amp;"""},{""id"":150,""name"":""Time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Assigned"",""value"":"""&amp;AB34&amp;"""}]}}"&amp;"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{"issue":{"subject":"","project_id":79,"tracker_id":40,"status_id":1,"priority_id":2,"assigned_to_id":338,"start_date":"2017-10-23","description":"","custom_fields":[{"id":1,"name":"Subdivision","value":"NW"},{"id":4,"name":"Milepost","value":"0.0575"},{"id":17,"name":"Train ID","value":"836-23"},{"id":16,"name":"Locomotive ID","value":"4039"},{"id":130,"name":"Impact","value":""},{"id":150,"name":"Time of Event (Mountain Time)","value":"18:23:27"},{"id":151,"name":"Denver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4" s="159"/>
      <c r="AA34" s="47"/>
      <c r="AB34" s="47"/>
      <c r="AC34" s="115" t="str">
        <f>"grep -hrE -A400 ""Enforcement Action"" "&amp;"/c/Users/stu/AppData/Local/Temp/OnboardLogs"&amp;"/RTDC"&amp;U34&amp;" --include=""*"&amp;U34&amp;"*"&amp;TEXT(A34-utc_offset/24,"YYYYMMDD")&amp;LEFT(TEXT(A34-utc_offset/24,"HH"),1)&amp;"*"" | grep -E ""((Enforcement Ac)|(PRM))"" -"</f>
        <v>grep -hrE -A400 "Enforcement Action" /c/Users/stu/AppData/Local/Temp/OnboardLogs/RTDC4039 --include="*4039*201710240*"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"%USERPROFILE%\AppData\Local\Temp\OnboardLogs"\RTDC4039\*4039*201710240* &gt;&gt; 2017-10-23-SliceDisagreementCheck.txt</v>
      </c>
      <c r="AE34" s="145" t="str">
        <f t="shared" si="1"/>
        <v>start /low /b %USERPROFILE%\Documents\GitHub\eaglep3\Utilities\DownloadLogsFromS3.py --loco 4039 --day 2017-10-24</v>
      </c>
      <c r="AF34" s="1"/>
    </row>
    <row r="35" spans="1:32" x14ac:dyDescent="0.3">
      <c r="A35" s="31">
        <v>43031.766863425924</v>
      </c>
      <c r="B35" s="30" t="s">
        <v>661</v>
      </c>
      <c r="C35" s="30" t="s">
        <v>668</v>
      </c>
      <c r="D35" s="30" t="s">
        <v>49</v>
      </c>
      <c r="E35" s="30" t="s">
        <v>179</v>
      </c>
      <c r="F35" s="42">
        <v>0</v>
      </c>
      <c r="G35" s="42">
        <v>47</v>
      </c>
      <c r="H35" s="42">
        <v>757</v>
      </c>
      <c r="I35" s="42">
        <v>719</v>
      </c>
      <c r="J35" s="30" t="s">
        <v>180</v>
      </c>
      <c r="K35" s="42">
        <v>575</v>
      </c>
      <c r="L35" s="131" t="s">
        <v>51</v>
      </c>
      <c r="M35" s="132">
        <f>CONVERT((I35-K35)/10000,"mi","ft")*IF(L35="Increasing Mileposts (1)",-1,1)</f>
        <v>76.031999999999996</v>
      </c>
      <c r="N35" s="133" t="str">
        <f>VLOOKUP(C35,'Trips&amp;Operators'!$C$1:$G$99911,5,FALSE)</f>
        <v>STAMBAUGH JAMES</v>
      </c>
      <c r="O35" s="176" t="s">
        <v>178</v>
      </c>
      <c r="P35" s="134"/>
      <c r="Q35" s="30"/>
      <c r="R35" s="81" t="str">
        <f>VLOOKUP(C35,'Train Runs'!$A$13:$AE$10070,31,0)</f>
        <v>aws s3 cp s3://rtdc.mdm.uploadarchive.raw/RTDC4039/ "%USERPROFILE%\AppData\Local\Temp\OnboardLogs"\RTDC4039\2017-10-23 --exclude "*" --recursive --include "*20171023*" &amp; "%USERPROFILE%\Documents\GitHub\mrs-test-scripts\Headless Mode &amp; Sideloading\WalkAndUnGZ.bat" "%USERPROFILE%\AppData\Local\Temp\OnboardLogs"\RTDC4039\2017-10-23 &amp; aws s3 cp s3://rtdc.mdm.uploadarchive.raw/RTDC4039/ "%USERPROFILE%\AppData\Local\Temp\OnboardLogs"\RTDC4039\2017-10-24 --exclude "*" --recursive --include "*20171024*" &amp; "%USERPROFILE%\Documents\GitHub\mrs-test-scripts\Headless Mode &amp; Sideloading\WalkAndUnGZ.bat" "%USERPROFILE%\AppData\Local\Temp\OnboardLogs"\RTDC4039\2017-10-24</v>
      </c>
      <c r="S35" s="84" t="str">
        <f>VLOOKUP(C35,'Train Runs'!$A$13:$AE$10070,22,0)</f>
        <v>https://d0f6bd738d7f1b3e5a7ca70fe4ff75f0.us-east-1.aws.found.io/app/kibana#/discover/Steve-Slow-Train-Analysis-(2080s-and-2083s)?_g=(refreshInterval:(display:Off,pause:!f,section:0,value:0),time:(from:'2017-10-23T16:56:46-0600',mode:absolute,to:'2017-10-23T19:24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35" s="86" t="str">
        <f>astrogrep_path&amp;" /e /r /s /spath="&amp;search_path&amp;" /stypes=""*"&amp;U35&amp;"*"&amp;TEXT(A35-utc_offset/24,"YYYYMMDD")&amp;LEFT(TEXT(A35-utc_offset/24,"HH"),1)&amp;"*"" /stext="" "&amp;TEXT(A35-utc_offset/24,"HH")&amp;search_regexp&amp;""""</f>
        <v>"C:\Program Files (x86)\AstroGrep\AstroGrep.exe" /e /r /s /spath="%USERPROFILE%\AppData\Local\Temp\OnboardLogs" /stypes="*4039*201710240*" /stext=" 00:.+((SYSTEM_STATE.+slice.+state.+changed )|(ment ac)|(multiple cpu faults)|(system.+state.+changed )|(\[timeout)|(PRM\|1\|D)|(kpr)|(kdp)|(train st.+moving)|(\|lc)|(penalty))"</v>
      </c>
      <c r="U35" s="9" t="str">
        <f>MID(B35,13,4)</f>
        <v>4039</v>
      </c>
      <c r="V35" s="31">
        <f>A35-utc_offset/24</f>
        <v>43032.016863425924</v>
      </c>
      <c r="W35" s="45" t="str">
        <f>DetSubdiv(C35)</f>
        <v>NW</v>
      </c>
      <c r="X35" s="22">
        <f>VALUE(LEFT(C35,LEN(C35)-3))</f>
        <v>836</v>
      </c>
      <c r="Y35" s="96" t="str">
        <f>"echo {""issue"":{""subject"":"""&amp;P35&amp;""",""project_id"":79,""tracker_id"":40,""status_id"":"&amp;redmine_status&amp;",""priority_id"":"&amp;redmine_priority&amp;",""assigned_to_id"":"&amp;redmine_assignee&amp;",""start_date"":"""&amp;TEXT(A35,"YYYY-mm-dd")&amp;""",""description"":"""&amp;Z35&amp;""",""custom_fields"":[{""id"":1,""name"":""Subdivision"",""value"":"""&amp;W35&amp;"""},{""id"":4,""name"":""Milepost"",""value"":"""&amp;K35/10000&amp;"""},{""id"":17,""name"":""Train ID"",""value"":"""&amp;C35&amp;"""},{""id"":16,""name"":""Locomotive ID"",""value"":"""&amp;U35&amp;"""},{""id"":130,""name"":""Impact"",""value"":"""&amp;AA35&amp;"""},{""id"":150,""name"":""Time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Assigned"",""value"":"""&amp;AB35&amp;"""}]}}"&amp;"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{"issue":{"subject":"","project_id":79,"tracker_id":40,"status_id":1,"priority_id":2,"assigned_to_id":338,"start_date":"2017-10-23","description":"","custom_fields":[{"id":1,"name":"Subdivision","value":"NW"},{"id":4,"name":"Milepost","value":"0.0575"},{"id":17,"name":"Train ID","value":"836-23"},{"id":16,"name":"Locomotive ID","value":"4039"},{"id":130,"name":"Impact","value":""},{"id":150,"name":"Time of Event (Mountain Time)","value":"18:24:17"},{"id":151,"name":"Denver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5" s="159"/>
      <c r="AA35" s="47"/>
      <c r="AB35" s="47"/>
      <c r="AC35" s="115" t="str">
        <f>"grep -hrE -A400 ""Enforcement Action"" "&amp;"/c/Users/stu/AppData/Local/Temp/OnboardLogs"&amp;"/RTDC"&amp;U35&amp;" --include=""*"&amp;U35&amp;"*"&amp;TEXT(A35-utc_offset/24,"YYYYMMDD")&amp;LEFT(TEXT(A35-utc_offset/24,"HH"),1)&amp;"*"" | grep -E ""((Enforcement Ac)|(PRM))"" -"</f>
        <v>grep -hrE -A400 "Enforcement Action" /c/Users/stu/AppData/Local/Temp/OnboardLogs/RTDC4039 --include="*4039*201710240*"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"%USERPROFILE%\AppData\Local\Temp\OnboardLogs"\RTDC4039\*4039*201710240* &gt;&gt; 2017-10-23-SliceDisagreementCheck.txt</v>
      </c>
      <c r="AE35" s="145" t="str">
        <f t="shared" si="1"/>
        <v>start /low /b %USERPROFILE%\Documents\GitHub\eaglep3\Utilities\DownloadLogsFromS3.py --loco 4039 --day 2017-10-24</v>
      </c>
      <c r="AF35" s="1"/>
    </row>
    <row r="36" spans="1:32" x14ac:dyDescent="0.3">
      <c r="A36" s="31">
        <v>43031.954247685186</v>
      </c>
      <c r="B36" s="30" t="s">
        <v>417</v>
      </c>
      <c r="C36" s="30" t="s">
        <v>672</v>
      </c>
      <c r="D36" s="30" t="s">
        <v>49</v>
      </c>
      <c r="E36" s="30" t="s">
        <v>179</v>
      </c>
      <c r="F36" s="42">
        <v>0</v>
      </c>
      <c r="G36" s="42">
        <v>44</v>
      </c>
      <c r="H36" s="42">
        <v>666</v>
      </c>
      <c r="I36" s="42">
        <v>619</v>
      </c>
      <c r="J36" s="30" t="s">
        <v>180</v>
      </c>
      <c r="K36" s="42">
        <v>575</v>
      </c>
      <c r="L36" s="131" t="s">
        <v>51</v>
      </c>
      <c r="M36" s="132">
        <f>CONVERT((I36-K36)/10000,"mi","ft")*IF(L36="Increasing Mileposts (1)",-1,1)</f>
        <v>23.231999999999999</v>
      </c>
      <c r="N36" s="133" t="str">
        <f>VLOOKUP(C36,'Trips&amp;Operators'!$C$1:$G$99911,5,FALSE)</f>
        <v>STAMBAUGH JAMES</v>
      </c>
      <c r="O36" s="176" t="s">
        <v>178</v>
      </c>
      <c r="P36" s="134"/>
      <c r="Q36" s="30"/>
      <c r="R36" s="81" t="str">
        <f>VLOOKUP(C36,'Train Runs'!$A$13:$AE$10070,31,0)</f>
        <v>aws s3 cp s3://rtdc.mdm.uploadarchive.raw/RTDC4059/ "%USERPROFILE%\AppData\Local\Temp\OnboardLogs"\RTDC4059\2017-10-23 --exclude "*" --recursive --include "*20171023*" &amp; "%USERPROFILE%\Documents\GitHub\mrs-test-scripts\Headless Mode &amp; Sideloading\WalkAndUnGZ.bat" "%USERPROFILE%\AppData\Local\Temp\OnboardLogs"\RTDC4059\2017-10-23 &amp; aws s3 cp s3://rtdc.mdm.uploadarchive.raw/RTDC4059/ "%USERPROFILE%\AppData\Local\Temp\OnboardLogs"\RTDC4059\2017-10-24 --exclude "*" --recursive --include "*20171024*" &amp; "%USERPROFILE%\Documents\GitHub\mrs-test-scripts\Headless Mode &amp; Sideloading\WalkAndUnGZ.bat" "%USERPROFILE%\AppData\Local\Temp\OnboardLogs"\RTDC4059\2017-10-24</v>
      </c>
      <c r="S36" s="84" t="str">
        <f>VLOOKUP(C36,'Train Runs'!$A$13:$AE$10070,22,0)</f>
        <v>https://d0f6bd738d7f1b3e5a7ca70fe4ff75f0.us-east-1.aws.found.io/app/kibana#/discover/Steve-Slow-Train-Analysis-(2080s-and-2083s)?_g=(refreshInterval:(display:Off,pause:!f,section:0,value:0),time:(from:'2017-10-23T21:23:33-0600',mode:absolute,to:'2017-10-23T23:54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36" s="86" t="str">
        <f>astrogrep_path&amp;" /e /r /s /spath="&amp;search_path&amp;" /stypes=""*"&amp;U36&amp;"*"&amp;TEXT(A36-utc_offset/24,"YYYYMMDD")&amp;LEFT(TEXT(A36-utc_offset/24,"HH"),1)&amp;"*"" /stext="" "&amp;TEXT(A36-utc_offset/24,"HH")&amp;search_regexp&amp;""""</f>
        <v>"C:\Program Files (x86)\AstroGrep\AstroGrep.exe" /e /r /s /spath="%USERPROFILE%\AppData\Local\Temp\OnboardLogs" /stypes="*4059*201710240*" /stext=" 04:.+((SYSTEM_STATE.+slice.+state.+changed )|(ment ac)|(multiple cpu faults)|(system.+state.+changed )|(\[timeout)|(PRM\|1\|D)|(kpr)|(kdp)|(train st.+moving)|(\|lc)|(penalty))"</v>
      </c>
      <c r="U36" s="9" t="str">
        <f>MID(B36,13,4)</f>
        <v>4059</v>
      </c>
      <c r="V36" s="31">
        <f>A36-utc_offset/24</f>
        <v>43032.204247685186</v>
      </c>
      <c r="W36" s="45" t="str">
        <f>DetSubdiv(C36)</f>
        <v>NW</v>
      </c>
      <c r="X36" s="22">
        <f>VALUE(LEFT(C36,LEN(C36)-3))</f>
        <v>846</v>
      </c>
      <c r="Y36" s="96" t="str">
        <f>"echo {""issue"":{""subject"":"""&amp;P36&amp;""",""project_id"":79,""tracker_id"":40,""status_id"":"&amp;redmine_status&amp;",""priority_id"":"&amp;redmine_priority&amp;",""assigned_to_id"":"&amp;redmine_assignee&amp;",""start_date"":"""&amp;TEXT(A36,"YYYY-mm-dd")&amp;""",""description"":"""&amp;Z36&amp;""",""custom_fields"":[{""id"":1,""name"":""Subdivision"",""value"":"""&amp;W36&amp;"""},{""id"":4,""name"":""Milepost"",""value"":"""&amp;K36/10000&amp;"""},{""id"":17,""name"":""Train ID"",""value"":"""&amp;C36&amp;"""},{""id"":16,""name"":""Locomotive ID"",""value"":"""&amp;U36&amp;"""},{""id"":130,""name"":""Impact"",""value"":"""&amp;AA36&amp;"""},{""id"":150,""name"":""Time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Assigned"",""value"":"""&amp;AB36&amp;"""}]}}"&amp;"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{"issue":{"subject":"","project_id":79,"tracker_id":40,"status_id":1,"priority_id":2,"assigned_to_id":338,"start_date":"2017-10-23","description":"","custom_fields":[{"id":1,"name":"Subdivision","value":"NW"},{"id":4,"name":"Milepost","value":"0.0575"},{"id":17,"name":"Train ID","value":"846-23"},{"id":16,"name":"Locomotive ID","value":"4059"},{"id":130,"name":"Impact","value":""},{"id":150,"name":"Time of Event (Mountain Time)","value":"22:54:07"},{"id":151,"name":"Denver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6" s="159"/>
      <c r="AA36" s="47"/>
      <c r="AB36" s="47"/>
      <c r="AC36" s="115" t="str">
        <f>"grep -hrE -A400 ""Enforcement Action"" "&amp;"/c/Users/stu/AppData/Local/Temp/OnboardLogs"&amp;"/RTDC"&amp;U36&amp;" --include=""*"&amp;U36&amp;"*"&amp;TEXT(A36-utc_offset/24,"YYYYMMDD")&amp;LEFT(TEXT(A36-utc_offset/24,"HH"),1)&amp;"*"" | grep -E ""((Enforcement Ac)|(PRM))"" -"</f>
        <v>grep -hrE -A400 "Enforcement Action" /c/Users/stu/AppData/Local/Temp/OnboardLogs/RTDC4059 --include="*4059*201710240*"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"%USERPROFILE%\AppData\Local\Temp\OnboardLogs"\RTDC4059\*4059*201710240* &gt;&gt; 2017-10-23-SliceDisagreementCheck.txt</v>
      </c>
      <c r="AE36" s="145" t="str">
        <f t="shared" si="1"/>
        <v>start /low /b %USERPROFILE%\Documents\GitHub\eaglep3\Utilities\DownloadLogsFromS3.py --loco 4059 --day 2017-10-24</v>
      </c>
      <c r="AF36" s="1"/>
    </row>
    <row r="37" spans="1:32" x14ac:dyDescent="0.3">
      <c r="A37" s="31">
        <v>43031.661898148152</v>
      </c>
      <c r="B37" s="30" t="s">
        <v>379</v>
      </c>
      <c r="C37" s="30" t="s">
        <v>663</v>
      </c>
      <c r="D37" s="30" t="s">
        <v>49</v>
      </c>
      <c r="E37" s="30" t="s">
        <v>179</v>
      </c>
      <c r="F37" s="42">
        <v>0</v>
      </c>
      <c r="G37" s="42">
        <v>31</v>
      </c>
      <c r="H37" s="42">
        <v>58992</v>
      </c>
      <c r="I37" s="42">
        <v>59003</v>
      </c>
      <c r="J37" s="30" t="s">
        <v>180</v>
      </c>
      <c r="K37" s="42">
        <v>59048</v>
      </c>
      <c r="L37" s="131" t="s">
        <v>50</v>
      </c>
      <c r="M37" s="132">
        <f>CONVERT((I37-K37)/10000,"mi","ft")*IF(L37="Increasing Mileposts (1)",-1,1)</f>
        <v>23.76</v>
      </c>
      <c r="N37" s="133" t="str">
        <f>VLOOKUP(C37,'Trips&amp;Operators'!$C$1:$G$99911,5,FALSE)</f>
        <v>STAMBAUGH JAMES</v>
      </c>
      <c r="O37" s="176" t="s">
        <v>178</v>
      </c>
      <c r="P37" s="134"/>
      <c r="Q37" s="30"/>
      <c r="R37" s="81" t="str">
        <f>VLOOKUP(C37,'Train Runs'!$A$13:$AE$10070,31,0)</f>
        <v>aws s3 cp s3://rtdc.mdm.uploadarchive.raw/RTDC4040/ "%USERPROFILE%\AppData\Local\Temp\OnboardLogs"\RTDC4040\2017-10-23 --exclude "*" --recursive --include "*20171023*" &amp; "%USERPROFILE%\Documents\GitHub\mrs-test-scripts\Headless Mode &amp; Sideloading\WalkAndUnGZ.bat" "%USERPROFILE%\AppData\Local\Temp\OnboardLogs"\RTDC4040\2017-10-23 &amp; aws s3 cp s3://rtdc.mdm.uploadarchive.raw/RTDC4040/ "%USERPROFILE%\AppData\Local\Temp\OnboardLogs"\RTDC4040\2017-10-24 --exclude "*" --recursive --include "*20171024*" &amp; "%USERPROFILE%\Documents\GitHub\mrs-test-scripts\Headless Mode &amp; Sideloading\WalkAndUnGZ.bat" "%USERPROFILE%\AppData\Local\Temp\OnboardLogs"\RTDC4040\2017-10-24</v>
      </c>
      <c r="S37" s="84" t="str">
        <f>VLOOKUP(C37,'Train Runs'!$A$13:$AE$10070,22,0)</f>
        <v>https://d0f6bd738d7f1b3e5a7ca70fe4ff75f0.us-east-1.aws.found.io/app/kibana#/discover/Steve-Slow-Train-Analysis-(2080s-and-2083s)?_g=(refreshInterval:(display:Off,pause:!f,section:0,value:0),time:(from:'2017-10-23T14:25:04-0600',mode:absolute,to:'2017-10-23T16:53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37" s="86" t="str">
        <f>astrogrep_path&amp;" /e /r /s /spath="&amp;search_path&amp;" /stypes=""*"&amp;U37&amp;"*"&amp;TEXT(A37-utc_offset/24,"YYYYMMDD")&amp;LEFT(TEXT(A37-utc_offset/24,"HH"),1)&amp;"*"" /stext="" "&amp;TEXT(A37-utc_offset/24,"HH")&amp;search_regexp&amp;""""</f>
        <v>"C:\Program Files (x86)\AstroGrep\AstroGrep.exe" /e /r /s /spath="%USERPROFILE%\AppData\Local\Temp\OnboardLogs" /stypes="*4040*201710232*" /stext=" 21:.+((SYSTEM_STATE.+slice.+state.+changed )|(ment ac)|(multiple cpu faults)|(system.+state.+changed )|(\[timeout)|(PRM\|1\|D)|(kpr)|(kdp)|(train st.+moving)|(\|lc)|(penalty))"</v>
      </c>
      <c r="U37" s="9" t="str">
        <f>MID(B37,13,4)</f>
        <v>4040</v>
      </c>
      <c r="V37" s="31">
        <f>A37-utc_offset/24</f>
        <v>43031.911898148152</v>
      </c>
      <c r="W37" s="45" t="str">
        <f>DetSubdiv(C37)</f>
        <v>NW</v>
      </c>
      <c r="X37" s="22">
        <f>VALUE(LEFT(C37,LEN(C37)-3))</f>
        <v>827</v>
      </c>
      <c r="Y37" s="96" t="str">
        <f>"echo {""issue"":{""subject"":"""&amp;P37&amp;""",""project_id"":79,""tracker_id"":40,""status_id"":"&amp;redmine_status&amp;",""priority_id"":"&amp;redmine_priority&amp;",""assigned_to_id"":"&amp;redmine_assignee&amp;",""start_date"":"""&amp;TEXT(A37,"YYYY-mm-dd")&amp;""",""description"":"""&amp;Z37&amp;""",""custom_fields"":[{""id"":1,""name"":""Subdivision"",""value"":"""&amp;W37&amp;"""},{""id"":4,""name"":""Milepost"",""value"":"""&amp;K37/10000&amp;"""},{""id"":17,""name"":""Train ID"",""value"":"""&amp;C37&amp;"""},{""id"":16,""name"":""Locomotive ID"",""value"":"""&amp;U37&amp;"""},{""id"":130,""name"":""Impact"",""value"":"""&amp;AA37&amp;"""},{""id"":150,""name"":""Time of Event (Mountain Time)"",""value"":"""&amp;TEXT(A37,"hh:mm:ss")&amp;"""},{""id"":151,""name"":""Denver Issue ID"",""value"":"""&amp;"""},{""id"":178,""name"":""Operational Impact"",""value"":"""&amp;redmine_op_impact&amp;"""},{""id"":179,""name"":""Denver Segment Assigned"",""value"":"""&amp;AB37&amp;"""}]}}"&amp;"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{"issue":{"subject":"","project_id":79,"tracker_id":40,"status_id":1,"priority_id":2,"assigned_to_id":338,"start_date":"2017-10-23","description":"","custom_fields":[{"id":1,"name":"Subdivision","value":"NW"},{"id":4,"name":"Milepost","value":"5.9048"},{"id":17,"name":"Train ID","value":"827-23"},{"id":16,"name":"Locomotive ID","value":"4040"},{"id":130,"name":"Impact","value":""},{"id":150,"name":"Time of Event (Mountain Time)","value":"15:53:08"},{"id":151,"name":"Denver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7" s="159"/>
      <c r="AA37" s="47"/>
      <c r="AB37" s="47"/>
      <c r="AC37" s="115" t="str">
        <f>"grep -hrE -A400 ""Enforcement Action"" "&amp;"/c/Users/stu/AppData/Local/Temp/OnboardLogs"&amp;"/RTDC"&amp;U37&amp;" --include=""*"&amp;U37&amp;"*"&amp;TEXT(A37-utc_offset/24,"YYYYMMDD")&amp;LEFT(TEXT(A37-utc_offset/24,"HH"),1)&amp;"*"" | grep -E ""((Enforcement Ac)|(PRM))"" -"</f>
        <v>grep -hrE -A400 "Enforcement Action" /c/Users/stu/AppData/Local/Temp/OnboardLogs/RTDC4040 --include="*4040*201710232*"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"%USERPROFILE%\AppData\Local\Temp\OnboardLogs"\RTDC4040\*4040*201710232* &gt;&gt; 2017-10-23-SliceDisagreementCheck.txt</v>
      </c>
      <c r="AE37" s="145" t="str">
        <f t="shared" si="1"/>
        <v>start /low /b %USERPROFILE%\Documents\GitHub\eaglep3\Utilities\DownloadLogsFromS3.py --loco 4040 --day 2017-10-23</v>
      </c>
      <c r="AF37" s="1"/>
    </row>
    <row r="38" spans="1:32" x14ac:dyDescent="0.3">
      <c r="A38" s="31">
        <v>43031.682881944442</v>
      </c>
      <c r="B38" s="30" t="s">
        <v>416</v>
      </c>
      <c r="C38" s="30" t="s">
        <v>665</v>
      </c>
      <c r="D38" s="30" t="s">
        <v>49</v>
      </c>
      <c r="E38" s="30" t="s">
        <v>179</v>
      </c>
      <c r="F38" s="42">
        <v>0</v>
      </c>
      <c r="G38" s="42">
        <v>67</v>
      </c>
      <c r="H38" s="42">
        <v>58858</v>
      </c>
      <c r="I38" s="42">
        <v>58920</v>
      </c>
      <c r="J38" s="30" t="s">
        <v>180</v>
      </c>
      <c r="K38" s="42">
        <v>59048</v>
      </c>
      <c r="L38" s="131" t="s">
        <v>50</v>
      </c>
      <c r="M38" s="132">
        <f>CONVERT((I38-K38)/10000,"mi","ft")*IF(L38="Increasing Mileposts (1)",-1,1)</f>
        <v>67.584000000000003</v>
      </c>
      <c r="N38" s="133" t="str">
        <f>VLOOKUP(C38,'Trips&amp;Operators'!$C$1:$G$99911,5,FALSE)</f>
        <v>LEVIN SCOTT</v>
      </c>
      <c r="O38" s="176" t="s">
        <v>178</v>
      </c>
      <c r="P38" s="134"/>
      <c r="Q38" s="30"/>
      <c r="R38" s="81" t="str">
        <f>VLOOKUP(C38,'Train Runs'!$A$13:$AE$10070,31,0)</f>
        <v>aws s3 cp s3://rtdc.mdm.uploadarchive.raw/RTDC4060/ "%USERPROFILE%\AppData\Local\Temp\OnboardLogs"\RTDC4060\2017-10-23 --exclude "*" --recursive --include "*20171023*" &amp; "%USERPROFILE%\Documents\GitHub\mrs-test-scripts\Headless Mode &amp; Sideloading\WalkAndUnGZ.bat" "%USERPROFILE%\AppData\Local\Temp\OnboardLogs"\RTDC4060\2017-10-23 &amp; aws s3 cp s3://rtdc.mdm.uploadarchive.raw/RTDC4060/ "%USERPROFILE%\AppData\Local\Temp\OnboardLogs"\RTDC4060\2017-10-24 --exclude "*" --recursive --include "*20171024*" &amp; "%USERPROFILE%\Documents\GitHub\mrs-test-scripts\Headless Mode &amp; Sideloading\WalkAndUnGZ.bat" "%USERPROFILE%\AppData\Local\Temp\OnboardLogs"\RTDC4060\2017-10-24</v>
      </c>
      <c r="S38" s="84" t="str">
        <f>VLOOKUP(C38,'Train Runs'!$A$13:$AE$10070,22,0)</f>
        <v>https://d0f6bd738d7f1b3e5a7ca70fe4ff75f0.us-east-1.aws.found.io/app/kibana#/discover/Steve-Slow-Train-Analysis-(2080s-and-2083s)?_g=(refreshInterval:(display:Off,pause:!f,section:0,value:0),time:(from:'2017-10-23T14:58:07-0600',mode:absolute,to:'2017-10-23T17:23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38" s="86" t="str">
        <f>astrogrep_path&amp;" /e /r /s /spath="&amp;search_path&amp;" /stypes=""*"&amp;U38&amp;"*"&amp;TEXT(A38-utc_offset/24,"YYYYMMDD")&amp;LEFT(TEXT(A38-utc_offset/24,"HH"),1)&amp;"*"" /stext="" "&amp;TEXT(A38-utc_offset/24,"HH")&amp;search_regexp&amp;""""</f>
        <v>"C:\Program Files (x86)\AstroGrep\AstroGrep.exe" /e /r /s /spath="%USERPROFILE%\AppData\Local\Temp\OnboardLogs" /stypes="*4060*201710232*" /stext=" 22:.+((SYSTEM_STATE.+slice.+state.+changed )|(ment ac)|(multiple cpu faults)|(system.+state.+changed )|(\[timeout)|(PRM\|1\|D)|(kpr)|(kdp)|(train st.+moving)|(\|lc)|(penalty))"</v>
      </c>
      <c r="U38" s="9" t="str">
        <f>MID(B38,13,4)</f>
        <v>4060</v>
      </c>
      <c r="V38" s="31">
        <f>A38-utc_offset/24</f>
        <v>43031.932881944442</v>
      </c>
      <c r="W38" s="45" t="str">
        <f>DetSubdiv(C38)</f>
        <v>NW</v>
      </c>
      <c r="X38" s="22">
        <f>VALUE(LEFT(C38,LEN(C38)-3))</f>
        <v>829</v>
      </c>
      <c r="Y38" s="96" t="str">
        <f>"echo {""issue"":{""subject"":"""&amp;P38&amp;""",""project_id"":79,""tracker_id"":40,""status_id"":"&amp;redmine_status&amp;",""priority_id"":"&amp;redmine_priority&amp;",""assigned_to_id"":"&amp;redmine_assignee&amp;",""start_date"":"""&amp;TEXT(A38,"YYYY-mm-dd")&amp;""",""description"":"""&amp;Z38&amp;""",""custom_fields"":[{""id"":1,""name"":""Subdivision"",""value"":"""&amp;W38&amp;"""},{""id"":4,""name"":""Milepost"",""value"":"""&amp;K38/10000&amp;"""},{""id"":17,""name"":""Train ID"",""value"":"""&amp;C38&amp;"""},{""id"":16,""name"":""Locomotive ID"",""value"":"""&amp;U38&amp;"""},{""id"":130,""name"":""Impact"",""value"":"""&amp;AA38&amp;"""},{""id"":150,""name"":""Time of Event (Mountain Time)"",""value"":"""&amp;TEXT(A38,"hh:mm:ss")&amp;"""},{""id"":151,""name"":""Denver Issue ID"",""value"":"""&amp;"""},{""id"":178,""name"":""Operational Impact"",""value"":"""&amp;redmine_op_impact&amp;"""},{""id"":179,""name"":""Denver Segment Assigned"",""value"":"""&amp;AB38&amp;"""}]}}"&amp;"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{"issue":{"subject":"","project_id":79,"tracker_id":40,"status_id":1,"priority_id":2,"assigned_to_id":338,"start_date":"2017-10-23","description":"","custom_fields":[{"id":1,"name":"Subdivision","value":"NW"},{"id":4,"name":"Milepost","value":"5.9048"},{"id":17,"name":"Train ID","value":"829-23"},{"id":16,"name":"Locomotive ID","value":"4060"},{"id":130,"name":"Impact","value":""},{"id":150,"name":"Time of Event (Mountain Time)","value":"16:23:21"},{"id":151,"name":"Denver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8" s="159"/>
      <c r="AA38" s="47"/>
      <c r="AB38" s="47"/>
      <c r="AC38" s="115" t="str">
        <f>"grep -hrE -A400 ""Enforcement Action"" "&amp;"/c/Users/stu/AppData/Local/Temp/OnboardLogs"&amp;"/RTDC"&amp;U38&amp;" --include=""*"&amp;U38&amp;"*"&amp;TEXT(A38-utc_offset/24,"YYYYMMDD")&amp;LEFT(TEXT(A38-utc_offset/24,"HH"),1)&amp;"*"" | grep -E ""((Enforcement Ac)|(PRM))"" -"</f>
        <v>grep -hrE -A400 "Enforcement Action" /c/Users/stu/AppData/Local/Temp/OnboardLogs/RTDC4060 --include="*4060*201710232*"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"%USERPROFILE%\AppData\Local\Temp\OnboardLogs"\RTDC4060\*4060*201710232* &gt;&gt; 2017-10-23-SliceDisagreementCheck.txt</v>
      </c>
      <c r="AE38" s="145" t="str">
        <f t="shared" si="1"/>
        <v>start /low /b %USERPROFILE%\Documents\GitHub\eaglep3\Utilities\DownloadLogsFromS3.py --loco 4060 --day 2017-10-23</v>
      </c>
      <c r="AF38" s="1"/>
    </row>
    <row r="39" spans="1:32" x14ac:dyDescent="0.3">
      <c r="A39" s="31">
        <v>43031.703240740739</v>
      </c>
      <c r="B39" s="30" t="s">
        <v>379</v>
      </c>
      <c r="C39" s="30" t="s">
        <v>667</v>
      </c>
      <c r="D39" s="30" t="s">
        <v>49</v>
      </c>
      <c r="E39" s="30" t="s">
        <v>179</v>
      </c>
      <c r="F39" s="42">
        <v>0</v>
      </c>
      <c r="G39" s="42">
        <v>32</v>
      </c>
      <c r="H39" s="42">
        <v>58975</v>
      </c>
      <c r="I39" s="42">
        <v>58990</v>
      </c>
      <c r="J39" s="30" t="s">
        <v>180</v>
      </c>
      <c r="K39" s="42">
        <v>59048</v>
      </c>
      <c r="L39" s="131" t="s">
        <v>50</v>
      </c>
      <c r="M39" s="132">
        <f>CONVERT((I39-K39)/10000,"mi","ft")*IF(L39="Increasing Mileposts (1)",-1,1)</f>
        <v>30.623999999999999</v>
      </c>
      <c r="N39" s="133" t="str">
        <f>VLOOKUP(C39,'Trips&amp;Operators'!$C$1:$G$99911,5,FALSE)</f>
        <v>STAMBAUGH JAMES</v>
      </c>
      <c r="O39" s="176" t="s">
        <v>178</v>
      </c>
      <c r="P39" s="134"/>
      <c r="Q39" s="30"/>
      <c r="R39" s="81" t="str">
        <f>VLOOKUP(C39,'Train Runs'!$A$13:$AE$10070,31,0)</f>
        <v>aws s3 cp s3://rtdc.mdm.uploadarchive.raw/RTDC4040/ "%USERPROFILE%\AppData\Local\Temp\OnboardLogs"\RTDC4040\2017-10-23 --exclude "*" --recursive --include "*20171023*" &amp; "%USERPROFILE%\Documents\GitHub\mrs-test-scripts\Headless Mode &amp; Sideloading\WalkAndUnGZ.bat" "%USERPROFILE%\AppData\Local\Temp\OnboardLogs"\RTDC4040\2017-10-23 &amp; aws s3 cp s3://rtdc.mdm.uploadarchive.raw/RTDC4040/ "%USERPROFILE%\AppData\Local\Temp\OnboardLogs"\RTDC4040\2017-10-24 --exclude "*" --recursive --include "*20171024*" &amp; "%USERPROFILE%\Documents\GitHub\mrs-test-scripts\Headless Mode &amp; Sideloading\WalkAndUnGZ.bat" "%USERPROFILE%\AppData\Local\Temp\OnboardLogs"\RTDC4040\2017-10-24</v>
      </c>
      <c r="S39" s="84" t="str">
        <f>VLOOKUP(C39,'Train Runs'!$A$13:$AE$10070,22,0)</f>
        <v>https://d0f6bd738d7f1b3e5a7ca70fe4ff75f0.us-east-1.aws.found.io/app/kibana#/discover/Steve-Slow-Train-Analysis-(2080s-and-2083s)?_g=(refreshInterval:(display:Off,pause:!f,section:0,value:0),time:(from:'2017-10-23T15:25:18-0600',mode:absolute,to:'2017-10-23T17:52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39" s="86" t="str">
        <f>astrogrep_path&amp;" /e /r /s /spath="&amp;search_path&amp;" /stypes=""*"&amp;U39&amp;"*"&amp;TEXT(A39-utc_offset/24,"YYYYMMDD")&amp;LEFT(TEXT(A39-utc_offset/24,"HH"),1)&amp;"*"" /stext="" "&amp;TEXT(A39-utc_offset/24,"HH")&amp;search_regexp&amp;""""</f>
        <v>"C:\Program Files (x86)\AstroGrep\AstroGrep.exe" /e /r /s /spath="%USERPROFILE%\AppData\Local\Temp\OnboardLogs" /stypes="*4040*201710232*" /stext=" 22:.+((SYSTEM_STATE.+slice.+state.+changed )|(ment ac)|(multiple cpu faults)|(system.+state.+changed )|(\[timeout)|(PRM\|1\|D)|(kpr)|(kdp)|(train st.+moving)|(\|lc)|(penalty))"</v>
      </c>
      <c r="U39" s="9" t="str">
        <f>MID(B39,13,4)</f>
        <v>4040</v>
      </c>
      <c r="V39" s="31">
        <f>A39-utc_offset/24</f>
        <v>43031.953240740739</v>
      </c>
      <c r="W39" s="45" t="str">
        <f>DetSubdiv(C39)</f>
        <v>NW</v>
      </c>
      <c r="X39" s="22">
        <f>VALUE(LEFT(C39,LEN(C39)-3))</f>
        <v>831</v>
      </c>
      <c r="Y39" s="96" t="str">
        <f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{"issue":{"subject":"","project_id":79,"tracker_id":40,"status_id":1,"priority_id":2,"assigned_to_id":338,"start_date":"2017-10-23","description":"","custom_fields":[{"id":1,"name":"Subdivision","value":"NW"},{"id":4,"name":"Milepost","value":"5.9048"},{"id":17,"name":"Train ID","value":"831-23"},{"id":16,"name":"Locomotive ID","value":"4040"},{"id":130,"name":"Impact","value":""},{"id":150,"name":"Time of Event (Mountain Time)","value":"16:52:40"},{"id":151,"name":"Denver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9" s="159"/>
      <c r="AA39" s="47"/>
      <c r="AB39" s="47"/>
      <c r="AC39" s="115" t="str">
        <f>"grep -hrE -A400 ""Enforcement Action"" "&amp;"/c/Users/stu/AppData/Local/Temp/OnboardLogs"&amp;"/RTDC"&amp;U39&amp;" --include=""*"&amp;U39&amp;"*"&amp;TEXT(A39-utc_offset/24,"YYYYMMDD")&amp;LEFT(TEXT(A39-utc_offset/24,"HH"),1)&amp;"*"" | grep -E ""((Enforcement Ac)|(PRM))"" -"</f>
        <v>grep -hrE -A400 "Enforcement Action" /c/Users/stu/AppData/Local/Temp/OnboardLogs/RTDC4040 --include="*4040*201710232*"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"%USERPROFILE%\AppData\Local\Temp\OnboardLogs"\RTDC4040\*4040*201710232* &gt;&gt; 2017-10-23-SliceDisagreementCheck.txt</v>
      </c>
      <c r="AE39" s="145" t="str">
        <f t="shared" si="1"/>
        <v>start /low /b %USERPROFILE%\Documents\GitHub\eaglep3\Utilities\DownloadLogsFromS3.py --loco 4040 --day 2017-10-23</v>
      </c>
      <c r="AF39" s="1"/>
    </row>
    <row r="40" spans="1:32" x14ac:dyDescent="0.3">
      <c r="A40" s="31">
        <v>43031.793912037036</v>
      </c>
      <c r="B40" s="30" t="s">
        <v>661</v>
      </c>
      <c r="C40" s="30" t="s">
        <v>670</v>
      </c>
      <c r="D40" s="30" t="s">
        <v>49</v>
      </c>
      <c r="E40" s="30" t="s">
        <v>192</v>
      </c>
      <c r="F40" s="42">
        <v>150</v>
      </c>
      <c r="G40" s="42">
        <v>306</v>
      </c>
      <c r="H40" s="42">
        <v>33320</v>
      </c>
      <c r="I40" s="42">
        <v>32443</v>
      </c>
      <c r="J40" s="30" t="s">
        <v>193</v>
      </c>
      <c r="K40" s="42">
        <v>29659</v>
      </c>
      <c r="L40" s="131" t="s">
        <v>51</v>
      </c>
      <c r="M40" s="132">
        <f>CONVERT((I40-K40)/10000,"mi","ft")*IF(L40="Increasing Mileposts (1)",-1,1)</f>
        <v>1469.952</v>
      </c>
      <c r="N40" s="133" t="str">
        <f>VLOOKUP(C40,'Trips&amp;Operators'!$C$1:$G$99911,5,FALSE)</f>
        <v>STAMBAUGH JAMES</v>
      </c>
      <c r="O40" s="176" t="s">
        <v>178</v>
      </c>
      <c r="P40" s="134"/>
      <c r="Q40" s="30"/>
      <c r="R40" s="81" t="e">
        <f>VLOOKUP(C40,'Train Runs'!$A$13:$AE$10070,31,0)</f>
        <v>#N/A</v>
      </c>
      <c r="S40" s="84" t="e">
        <f>VLOOKUP(C40,'Train Runs'!$A$13:$AE$10070,22,0)</f>
        <v>#N/A</v>
      </c>
      <c r="T40" s="86" t="str">
        <f>astrogrep_path&amp;" /e /r /s /spath="&amp;search_path&amp;" /stypes=""*"&amp;U40&amp;"*"&amp;TEXT(A40-utc_offset/24,"YYYYMMDD")&amp;LEFT(TEXT(A40-utc_offset/24,"HH"),1)&amp;"*"" /stext="" "&amp;TEXT(A40-utc_offset/24,"HH")&amp;search_regexp&amp;""""</f>
        <v>"C:\Program Files (x86)\AstroGrep\AstroGrep.exe" /e /r /s /spath="%USERPROFILE%\AppData\Local\Temp\OnboardLogs" /stypes="*4039*201710240*" /stext=" 01:.+((SYSTEM_STATE.+slice.+state.+changed )|(ment ac)|(multiple cpu faults)|(system.+state.+changed )|(\[timeout)|(PRM\|1\|D)|(kpr)|(kdp)|(train st.+moving)|(\|lc)|(penalty))"</v>
      </c>
      <c r="U40" s="9" t="str">
        <f>MID(B40,13,4)</f>
        <v>4039</v>
      </c>
      <c r="V40" s="31">
        <f>A40-utc_offset/24</f>
        <v>43032.043912037036</v>
      </c>
      <c r="W40" s="45" t="str">
        <f>DetSubdiv(C40)</f>
        <v>Other</v>
      </c>
      <c r="X40" s="22">
        <f>VALUE(LEFT(C40,LEN(C40)-3))</f>
        <v>906</v>
      </c>
      <c r="Y40" s="96" t="str">
        <f>"echo {""issue"":{""subject"":"""&amp;P40&amp;""",""project_id"":79,""tracker_id"":40,""status_id"":"&amp;redmine_status&amp;",""priority_id"":"&amp;redmine_priority&amp;",""assigned_to_id"":"&amp;redmine_assignee&amp;",""start_date"":"""&amp;TEXT(A40,"YYYY-mm-dd")&amp;""",""description"":"""&amp;Z40&amp;""",""custom_fields"":[{""id"":1,""name"":""Subdivision"",""value"":"""&amp;W40&amp;"""},{""id"":4,""name"":""Milepost"",""value"":"""&amp;K40/10000&amp;"""},{""id"":17,""name"":""Train ID"",""value"":"""&amp;C40&amp;"""},{""id"":16,""name"":""Locomotive ID"",""value"":"""&amp;U40&amp;"""},{""id"":130,""name"":""Impact"",""value"":"""&amp;AA40&amp;"""},{""id"":150,""name"":""Time of Event (Mountain Time)"",""value"":"""&amp;TEXT(A40,"hh:mm:ss")&amp;"""},{""id"":151,""name"":""Denver Issue ID"",""value"":"""&amp;"""},{""id"":178,""name"":""Operational Impact"",""value"":"""&amp;redmine_op_impact&amp;"""},{""id"":179,""name"":""Denver Segment Assigned"",""value"":"""&amp;AB40&amp;"""}]}}"&amp;"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{"issue":{"subject":"","project_id":79,"tracker_id":40,"status_id":1,"priority_id":2,"assigned_to_id":338,"start_date":"2017-10-23","description":"","custom_fields":[{"id":1,"name":"Subdivision","value":"Other"},{"id":4,"name":"Milepost","value":"2.9659"},{"id":17,"name":"Train ID","value":"906-23"},{"id":16,"name":"Locomotive ID","value":"4039"},{"id":130,"name":"Impact","value":""},{"id":150,"name":"Time of Event (Mountain Time)","value":"19:03:14"},{"id":151,"name":"Denver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40" s="159"/>
      <c r="AA40" s="47"/>
      <c r="AB40" s="47"/>
      <c r="AC40" s="115" t="str">
        <f>"grep -hrE -A400 ""Enforcement Action"" "&amp;"/c/Users/stu/AppData/Local/Temp/OnboardLogs"&amp;"/RTDC"&amp;U40&amp;" --include=""*"&amp;U40&amp;"*"&amp;TEXT(A40-utc_offset/24,"YYYYMMDD")&amp;LEFT(TEXT(A40-utc_offset/24,"HH"),1)&amp;"*"" | grep -E ""((Enforcement Ac)|(PRM))"" -"</f>
        <v>grep -hrE -A400 "Enforcement Action" /c/Users/stu/AppData/Local/Temp/OnboardLogs/RTDC4039 --include="*4039*201710240*"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"%USERPROFILE%\AppData\Local\Temp\OnboardLogs"\RTDC4039\*4039*201710240* &gt;&gt; 2017-10-23-SliceDisagreementCheck.txt</v>
      </c>
      <c r="AE40" s="145" t="str">
        <f t="shared" si="1"/>
        <v>start /low /b %USERPROFILE%\Documents\GitHub\eaglep3\Utilities\DownloadLogsFromS3.py --loco 4039 --day 2017-10-24</v>
      </c>
      <c r="AF40" s="1"/>
    </row>
    <row r="41" spans="1:32" x14ac:dyDescent="0.3">
      <c r="A41" s="31">
        <v>43031.354178240741</v>
      </c>
      <c r="B41" s="30" t="s">
        <v>379</v>
      </c>
      <c r="C41" s="30" t="s">
        <v>649</v>
      </c>
      <c r="D41" s="30" t="s">
        <v>95</v>
      </c>
      <c r="E41" s="30" t="s">
        <v>407</v>
      </c>
      <c r="F41" s="42">
        <v>0</v>
      </c>
      <c r="G41" s="42">
        <v>79</v>
      </c>
      <c r="H41" s="42">
        <v>1808</v>
      </c>
      <c r="I41" s="42">
        <v>1943</v>
      </c>
      <c r="J41" s="30" t="s">
        <v>408</v>
      </c>
      <c r="K41" s="42">
        <v>1725</v>
      </c>
      <c r="L41" s="131" t="s">
        <v>50</v>
      </c>
      <c r="M41" s="132">
        <f>CONVERT((I41-K41)/10000,"mi","ft")*IF(L41="Increasing Mileposts (1)",-1,1)</f>
        <v>-115.104</v>
      </c>
      <c r="N41" s="133" t="str">
        <f>VLOOKUP(C41,'Trips&amp;Operators'!$C$1:$G$99911,5,FALSE)</f>
        <v>MACDONALD THOMAS</v>
      </c>
      <c r="O41" s="176" t="s">
        <v>178</v>
      </c>
      <c r="P41" s="134"/>
      <c r="Q41" s="30"/>
      <c r="R41" s="81" t="str">
        <f>VLOOKUP(C41,'Train Runs'!$A$13:$AE$10070,31,0)</f>
        <v>aws s3 cp s3://rtdc.mdm.uploadarchive.raw/RTDC4040/ "%USERPROFILE%\AppData\Local\Temp\OnboardLogs"\RTDC4040\2017-10-23 --exclude "*" --recursive --include "*20171023*" &amp; "%USERPROFILE%\Documents\GitHub\mrs-test-scripts\Headless Mode &amp; Sideloading\WalkAndUnGZ.bat" "%USERPROFILE%\AppData\Local\Temp\OnboardLogs"\RTDC4040\2017-10-23 &amp; aws s3 cp s3://rtdc.mdm.uploadarchive.raw/RTDC4040/ "%USERPROFILE%\AppData\Local\Temp\OnboardLogs"\RTDC4040\2017-10-24 --exclude "*" --recursive --include "*20171024*" &amp; "%USERPROFILE%\Documents\GitHub\mrs-test-scripts\Headless Mode &amp; Sideloading\WalkAndUnGZ.bat" "%USERPROFILE%\AppData\Local\Temp\OnboardLogs"\RTDC4040\2017-10-24</v>
      </c>
      <c r="S41" s="84" t="str">
        <f>VLOOKUP(C41,'Train Runs'!$A$13:$AE$10070,22,0)</f>
        <v>https://d0f6bd738d7f1b3e5a7ca70fe4ff75f0.us-east-1.aws.found.io/app/kibana#/discover/Steve-Slow-Train-Analysis-(2080s-and-2083s)?_g=(refreshInterval:(display:Off,pause:!f,section:0,value:0),time:(from:'2017-10-23T07:30:39-0600',mode:absolute,to:'2017-10-23T09:40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41" s="86" t="str">
        <f>astrogrep_path&amp;" /e /r /s /spath="&amp;search_path&amp;" /stypes=""*"&amp;U41&amp;"*"&amp;TEXT(A41-utc_offset/24,"YYYYMMDD")&amp;LEFT(TEXT(A41-utc_offset/24,"HH"),1)&amp;"*"" /stext="" "&amp;TEXT(A41-utc_offset/24,"HH")&amp;search_regexp&amp;""""</f>
        <v>"C:\Program Files (x86)\AstroGrep\AstroGrep.exe" /e /r /s /spath="%USERPROFILE%\AppData\Local\Temp\OnboardLogs" /stypes="*4040*201710231*" /stext=" 14:.+((SYSTEM_STATE.+slice.+state.+changed )|(ment ac)|(multiple cpu faults)|(system.+state.+changed )|(\[timeout)|(PRM\|1\|D)|(kpr)|(kdp)|(train st.+moving)|(\|lc)|(penalty))"</v>
      </c>
      <c r="U41" s="9" t="str">
        <f>MID(B41,13,4)</f>
        <v>4040</v>
      </c>
      <c r="V41" s="31">
        <f>A41-utc_offset/24</f>
        <v>43031.604178240741</v>
      </c>
      <c r="W41" s="45" t="str">
        <f>DetSubdiv(C41)</f>
        <v>Other</v>
      </c>
      <c r="X41" s="22">
        <f>VALUE(LEFT(C41,LEN(C41)-3))</f>
        <v>903</v>
      </c>
      <c r="Y41" s="96" t="str">
        <f>"echo {""issue"":{""subject"":"""&amp;P41&amp;""",""project_id"":79,""tracker_id"":40,""status_id"":"&amp;redmine_status&amp;",""priority_id"":"&amp;redmine_priority&amp;",""assigned_to_id"":"&amp;redmine_assignee&amp;",""start_date"":"""&amp;TEXT(A41,"YYYY-mm-dd")&amp;""",""description"":"""&amp;Z41&amp;""",""custom_fields"":[{""id"":1,""name"":""Subdivision"",""value"":"""&amp;W41&amp;"""},{""id"":4,""name"":""Milepost"",""value"":"""&amp;K41/10000&amp;"""},{""id"":17,""name"":""Train ID"",""value"":"""&amp;C41&amp;"""},{""id"":16,""name"":""Locomotive ID"",""value"":"""&amp;U41&amp;"""},{""id"":130,""name"":""Impact"",""value"":"""&amp;AA41&amp;"""},{""id"":150,""name"":""Time of Event (Mountain Time)"",""value"":"""&amp;TEXT(A41,"hh:mm:ss")&amp;"""},{""id"":151,""name"":""Denver Issue ID"",""value"":"""&amp;"""},{""id"":178,""name"":""Operational Impact"",""value"":"""&amp;redmine_op_impact&amp;"""},{""id"":179,""name"":""Denver Segment Assigned"",""value"":"""&amp;AB41&amp;"""}]}}"&amp;"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{"issue":{"subject":"","project_id":79,"tracker_id":40,"status_id":1,"priority_id":2,"assigned_to_id":338,"start_date":"2017-10-23","description":"","custom_fields":[{"id":1,"name":"Subdivision","value":"Other"},{"id":4,"name":"Milepost","value":"0.1725"},{"id":17,"name":"Train ID","value":"903-23"},{"id":16,"name":"Locomotive ID","value":"4040"},{"id":130,"name":"Impact","value":""},{"id":150,"name":"Time of Event (Mountain Time)","value":"08:30:01"},{"id":151,"name":"Denver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41" s="159"/>
      <c r="AA41" s="47"/>
      <c r="AB41" s="47"/>
      <c r="AC41" s="115" t="str">
        <f>"grep -hrE -A400 ""Enforcement Action"" "&amp;"/c/Users/stu/AppData/Local/Temp/OnboardLogs"&amp;"/RTDC"&amp;U41&amp;" --include=""*"&amp;U41&amp;"*"&amp;TEXT(A41-utc_offset/24,"YYYYMMDD")&amp;LEFT(TEXT(A41-utc_offset/24,"HH"),1)&amp;"*"" | grep -E ""((Enforcement Ac)|(PRM))"" -"</f>
        <v>grep -hrE -A400 "Enforcement Action" /c/Users/stu/AppData/Local/Temp/OnboardLogs/RTDC4040 --include="*4040*201710231*"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"%USERPROFILE%\AppData\Local\Temp\OnboardLogs"\RTDC4040\*4040*201710231* &gt;&gt; 2017-10-23-SliceDisagreementCheck.txt</v>
      </c>
      <c r="AE41" s="145" t="str">
        <f t="shared" si="1"/>
        <v>start /low /b %USERPROFILE%\Documents\GitHub\eaglep3\Utilities\DownloadLogsFromS3.py --loco 4040 --day 2017-10-23</v>
      </c>
      <c r="AF41" s="1"/>
    </row>
    <row r="42" spans="1:32" x14ac:dyDescent="0.3">
      <c r="A42" s="31">
        <v>43031.18476851852</v>
      </c>
      <c r="B42" s="30" t="s">
        <v>468</v>
      </c>
      <c r="C42" s="30" t="s">
        <v>637</v>
      </c>
      <c r="D42" s="30" t="s">
        <v>49</v>
      </c>
      <c r="E42" s="30" t="s">
        <v>179</v>
      </c>
      <c r="F42" s="42">
        <v>0</v>
      </c>
      <c r="G42" s="42">
        <v>40</v>
      </c>
      <c r="H42" s="42">
        <v>149</v>
      </c>
      <c r="I42" s="42">
        <v>127</v>
      </c>
      <c r="J42" s="30" t="s">
        <v>180</v>
      </c>
      <c r="K42" s="42">
        <v>1</v>
      </c>
      <c r="L42" s="131" t="s">
        <v>51</v>
      </c>
      <c r="M42" s="132">
        <f>CONVERT((I42-K42)/10000,"mi","ft")*IF(L42="Increasing Mileposts (1)",-1,1)</f>
        <v>66.528000000000006</v>
      </c>
      <c r="N42" s="133" t="str">
        <f>VLOOKUP(C42,'Trips&amp;Operators'!$C$1:$G$99911,5,FALSE)</f>
        <v>BARRON PERLA</v>
      </c>
      <c r="O42" s="176" t="s">
        <v>178</v>
      </c>
      <c r="P42" s="134"/>
      <c r="Q42" s="30"/>
      <c r="R42" s="81" t="str">
        <f>VLOOKUP(C42,'Train Runs'!$A$13:$AE$10070,31,0)</f>
        <v>aws s3 cp s3://rtdc.mdm.uploadarchive.raw/RTDC4015/ "%USERPROFILE%\AppData\Local\Temp\OnboardLogs"\RTDC4015\2017-10-23 --exclude "*" --recursive --include "*20171023*" &amp; "%USERPROFILE%\Documents\GitHub\mrs-test-scripts\Headless Mode &amp; Sideloading\WalkAndUnGZ.bat" "%USERPROFILE%\AppData\Local\Temp\OnboardLogs"\RTDC4015\2017-10-23 &amp; aws s3 cp s3://rtdc.mdm.uploadarchive.raw/RTDC4015/ "%USERPROFILE%\AppData\Local\Temp\OnboardLogs"\RTDC4015\2017-10-24 --exclude "*" --recursive --include "*20171024*" &amp; "%USERPROFILE%\Documents\GitHub\mrs-test-scripts\Headless Mode &amp; Sideloading\WalkAndUnGZ.bat" "%USERPROFILE%\AppData\Local\Temp\OnboardLogs"\RTDC4015\2017-10-24</v>
      </c>
      <c r="S42" s="84" t="str">
        <f>VLOOKUP(C42,'Train Runs'!$A$13:$AE$10070,22,0)</f>
        <v>https://d0f6bd738d7f1b3e5a7ca70fe4ff75f0.us-east-1.aws.found.io/app/kibana#/discover/Steve-Slow-Train-Analysis-(2080s-and-2083s)?_g=(refreshInterval:(display:Off,pause:!f,section:0,value:0),time:(from:'2017-10-23T03:09:46-0600',mode:absolute,to:'2017-10-23T05:26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42" s="86" t="str">
        <f>astrogrep_path&amp;" /e /r /s /spath="&amp;search_path&amp;" /stypes=""*"&amp;U42&amp;"*"&amp;TEXT(A42-utc_offset/24,"YYYYMMDD")&amp;LEFT(TEXT(A42-utc_offset/24,"HH"),1)&amp;"*"" /stext="" "&amp;TEXT(A42-utc_offset/24,"HH")&amp;search_regexp&amp;""""</f>
        <v>"C:\Program Files (x86)\AstroGrep\AstroGrep.exe" /e /r /s /spath="%USERPROFILE%\AppData\Local\Temp\OnboardLogs" /stypes="*4015*201710231*" /stext=" 10:.+((SYSTEM_STATE.+slice.+state.+changed )|(ment ac)|(multiple cpu faults)|(system.+state.+changed )|(\[timeout)|(PRM\|1\|D)|(kpr)|(kdp)|(train st.+moving)|(\|lc)|(penalty))"</v>
      </c>
      <c r="U42" s="9" t="str">
        <f>MID(B42,13,4)</f>
        <v>4015</v>
      </c>
      <c r="V42" s="31">
        <f>A42-utc_offset/24</f>
        <v>43031.43476851852</v>
      </c>
      <c r="W42" s="45" t="str">
        <f>DetSubdiv(C42)</f>
        <v>Other</v>
      </c>
      <c r="X42" s="22">
        <f>VALUE(LEFT(C42,LEN(C42)-3))</f>
        <v>306</v>
      </c>
      <c r="Y42" s="96" t="str">
        <f>"echo {""issue"":{""subject"":"""&amp;P42&amp;""",""project_id"":79,""tracker_id"":40,""status_id"":"&amp;redmine_status&amp;",""priority_id"":"&amp;redmine_priority&amp;",""assigned_to_id"":"&amp;redmine_assignee&amp;",""start_date"":"""&amp;TEXT(A42,"YYYY-mm-dd")&amp;""",""description"":"""&amp;Z42&amp;""",""custom_fields"":[{""id"":1,""name"":""Subdivision"",""value"":"""&amp;W42&amp;"""},{""id"":4,""name"":""Milepost"",""value"":"""&amp;K42/10000&amp;"""},{""id"":17,""name"":""Train ID"",""value"":"""&amp;C42&amp;"""},{""id"":16,""name"":""Locomotive ID"",""value"":"""&amp;U42&amp;"""},{""id"":130,""name"":""Impact"",""value"":"""&amp;AA42&amp;"""},{""id"":150,""name"":""Time of Event (Mountain Time)"",""value"":"""&amp;TEXT(A42,"hh:mm:ss")&amp;"""},{""id"":151,""name"":""Denver Issue ID"",""value"":"""&amp;"""},{""id"":178,""name"":""Operational Impact"",""value"":"""&amp;redmine_op_impact&amp;"""},{""id"":179,""name"":""Denver Segment Assigned"",""value"":"""&amp;AB42&amp;"""}]}}"&amp;"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{"issue":{"subject":"","project_id":79,"tracker_id":40,"status_id":1,"priority_id":2,"assigned_to_id":338,"start_date":"2017-10-23","description":"","custom_fields":[{"id":1,"name":"Subdivision","value":"Other"},{"id":4,"name":"Milepost","value":"0.0001"},{"id":17,"name":"Train ID","value":"306-23"},{"id":16,"name":"Locomotive ID","value":"4015"},{"id":130,"name":"Impact","value":""},{"id":150,"name":"Time of Event (Mountain Time)","value":"04:26:04"},{"id":151,"name":"Denver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42" s="159"/>
      <c r="AA42" s="47"/>
      <c r="AB42" s="47"/>
      <c r="AC42" s="115" t="str">
        <f>"grep -hrE -A400 ""Enforcement Action"" "&amp;"/c/Users/stu/AppData/Local/Temp/OnboardLogs"&amp;"/RTDC"&amp;U42&amp;" --include=""*"&amp;U42&amp;"*"&amp;TEXT(A42-utc_offset/24,"YYYYMMDD")&amp;LEFT(TEXT(A42-utc_offset/24,"HH"),1)&amp;"*"" | grep -E ""((Enforcement Ac)|(PRM))"" -"</f>
        <v>grep -hrE -A400 "Enforcement Action" /c/Users/stu/AppData/Local/Temp/OnboardLogs/RTDC4015 --include="*4015*201710231*"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"%USERPROFILE%\AppData\Local\Temp\OnboardLogs"\RTDC4015\*4015*201710231* &gt;&gt; 2017-10-23-SliceDisagreementCheck.txt</v>
      </c>
      <c r="AE42" s="145" t="str">
        <f t="shared" si="1"/>
        <v>start /low /b %USERPROFILE%\Documents\GitHub\eaglep3\Utilities\DownloadLogsFromS3.py --loco 4015 --day 2017-10-23</v>
      </c>
      <c r="AF42" s="1"/>
    </row>
    <row r="43" spans="1:32" x14ac:dyDescent="0.3">
      <c r="A43" s="31">
        <v>43031.245717592596</v>
      </c>
      <c r="B43" s="30" t="s">
        <v>417</v>
      </c>
      <c r="C43" s="30" t="s">
        <v>640</v>
      </c>
      <c r="D43" s="30" t="s">
        <v>49</v>
      </c>
      <c r="E43" s="30" t="s">
        <v>179</v>
      </c>
      <c r="F43" s="42">
        <v>0</v>
      </c>
      <c r="G43" s="42">
        <v>43</v>
      </c>
      <c r="H43" s="42">
        <v>689</v>
      </c>
      <c r="I43" s="42">
        <v>661</v>
      </c>
      <c r="J43" s="30" t="s">
        <v>180</v>
      </c>
      <c r="K43" s="42">
        <v>575</v>
      </c>
      <c r="L43" s="131" t="s">
        <v>51</v>
      </c>
      <c r="M43" s="132">
        <f>CONVERT((I43-K43)/10000,"mi","ft")*IF(L43="Increasing Mileposts (1)",-1,1)</f>
        <v>45.408000000000001</v>
      </c>
      <c r="N43" s="133" t="str">
        <f>VLOOKUP(C43,'Trips&amp;Operators'!$C$1:$G$99911,5,FALSE)</f>
        <v>YANAI IAN</v>
      </c>
      <c r="O43" s="176" t="s">
        <v>178</v>
      </c>
      <c r="P43" s="134"/>
      <c r="Q43" s="30"/>
      <c r="R43" s="81" t="str">
        <f>VLOOKUP(C43,'Train Runs'!$A$13:$AE$10070,31,0)</f>
        <v>aws s3 cp s3://rtdc.mdm.uploadarchive.raw/RTDC4059/ "%USERPROFILE%\AppData\Local\Temp\OnboardLogs"\RTDC4059\2017-10-23 --exclude "*" --recursive --include "*20171023*" &amp; "%USERPROFILE%\Documents\GitHub\mrs-test-scripts\Headless Mode &amp; Sideloading\WalkAndUnGZ.bat" "%USERPROFILE%\AppData\Local\Temp\OnboardLogs"\RTDC4059\2017-10-23 &amp; aws s3 cp s3://rtdc.mdm.uploadarchive.raw/RTDC4059/ "%USERPROFILE%\AppData\Local\Temp\OnboardLogs"\RTDC4059\2017-10-24 --exclude "*" --recursive --include "*20171024*" &amp; "%USERPROFILE%\Documents\GitHub\mrs-test-scripts\Headless Mode &amp; Sideloading\WalkAndUnGZ.bat" "%USERPROFILE%\AppData\Local\Temp\OnboardLogs"\RTDC4059\2017-10-24</v>
      </c>
      <c r="S43" s="84" t="str">
        <f>VLOOKUP(C43,'Train Runs'!$A$13:$AE$10070,22,0)</f>
        <v>https://d0f6bd738d7f1b3e5a7ca70fe4ff75f0.us-east-1.aws.found.io/app/kibana#/discover/Steve-Slow-Train-Analysis-(2080s-and-2083s)?_g=(refreshInterval:(display:Off,pause:!f,section:0,value:0),time:(from:'2017-10-23T04:41:39-0600',mode:absolute,to:'2017-10-23T06:53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43" s="86" t="str">
        <f>astrogrep_path&amp;" /e /r /s /spath="&amp;search_path&amp;" /stypes=""*"&amp;U43&amp;"*"&amp;TEXT(A43-utc_offset/24,"YYYYMMDD")&amp;LEFT(TEXT(A43-utc_offset/24,"HH"),1)&amp;"*"" /stext="" "&amp;TEXT(A43-utc_offset/24,"HH")&amp;search_regexp&amp;""""</f>
        <v>"C:\Program Files (x86)\AstroGrep\AstroGrep.exe" /e /r /s /spath="%USERPROFILE%\AppData\Local\Temp\OnboardLogs" /stypes="*4059*201710231*" /stext=" 11:.+((SYSTEM_STATE.+slice.+state.+changed )|(ment ac)|(multiple cpu faults)|(system.+state.+changed )|(\[timeout)|(PRM\|1\|D)|(kpr)|(kdp)|(train st.+moving)|(\|lc)|(penalty))"</v>
      </c>
      <c r="U43" s="9" t="str">
        <f>MID(B43,13,4)</f>
        <v>4059</v>
      </c>
      <c r="V43" s="31">
        <f>A43-utc_offset/24</f>
        <v>43031.495717592596</v>
      </c>
      <c r="W43" s="45" t="str">
        <f>DetSubdiv(C43)</f>
        <v>Other</v>
      </c>
      <c r="X43" s="22">
        <f>VALUE(LEFT(C43,LEN(C43)-3))</f>
        <v>902</v>
      </c>
      <c r="Y43" s="96" t="str">
        <f>"echo {""issue"":{""subject"":"""&amp;P43&amp;""",""project_id"":79,""tracker_id"":40,""status_id"":"&amp;redmine_status&amp;",""priority_id"":"&amp;redmine_priority&amp;",""assigned_to_id"":"&amp;redmine_assignee&amp;",""start_date"":"""&amp;TEXT(A43,"YYYY-mm-dd")&amp;""",""description"":"""&amp;Z43&amp;""",""custom_fields"":[{""id"":1,""name"":""Subdivision"",""value"":"""&amp;W43&amp;"""},{""id"":4,""name"":""Milepost"",""value"":"""&amp;K43/10000&amp;"""},{""id"":17,""name"":""Train ID"",""value"":"""&amp;C43&amp;"""},{""id"":16,""name"":""Locomotive ID"",""value"":"""&amp;U43&amp;"""},{""id"":130,""name"":""Impact"",""value"":"""&amp;AA43&amp;"""},{""id"":150,""name"":""Time of Event (Mountain Time)"",""value"":"""&amp;TEXT(A43,"hh:mm:ss")&amp;"""},{""id"":151,""name"":""Denver Issue ID"",""value"":"""&amp;"""},{""id"":178,""name"":""Operational Impact"",""value"":"""&amp;redmine_op_impact&amp;"""},{""id"":179,""name"":""Denver Segment Assigned"",""value"":"""&amp;AB43&amp;"""}]}}"&amp;"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{"issue":{"subject":"","project_id":79,"tracker_id":40,"status_id":1,"priority_id":2,"assigned_to_id":338,"start_date":"2017-10-23","description":"","custom_fields":[{"id":1,"name":"Subdivision","value":"Other"},{"id":4,"name":"Milepost","value":"0.0575"},{"id":17,"name":"Train ID","value":"902-23"},{"id":16,"name":"Locomotive ID","value":"4059"},{"id":130,"name":"Impact","value":""},{"id":150,"name":"Time of Event (Mountain Time)","value":"05:53:50"},{"id":151,"name":"Denver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43" s="159"/>
      <c r="AA43" s="47"/>
      <c r="AB43" s="47"/>
      <c r="AC43" s="115" t="str">
        <f>"grep -hrE -A400 ""Enforcement Action"" "&amp;"/c/Users/stu/AppData/Local/Temp/OnboardLogs"&amp;"/RTDC"&amp;U43&amp;" --include=""*"&amp;U43&amp;"*"&amp;TEXT(A43-utc_offset/24,"YYYYMMDD")&amp;LEFT(TEXT(A43-utc_offset/24,"HH"),1)&amp;"*"" | grep -E ""((Enforcement Ac)|(PRM))"" -"</f>
        <v>grep -hrE -A400 "Enforcement Action" /c/Users/stu/AppData/Local/Temp/OnboardLogs/RTDC4059 --include="*4059*201710231*"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"%USERPROFILE%\AppData\Local\Temp\OnboardLogs"\RTDC4059\*4059*201710231* &gt;&gt; 2017-10-23-SliceDisagreementCheck.txt</v>
      </c>
      <c r="AE43" s="145" t="str">
        <f t="shared" si="1"/>
        <v>start /low /b %USERPROFILE%\Documents\GitHub\eaglep3\Utilities\DownloadLogsFromS3.py --loco 4059 --day 2017-10-23</v>
      </c>
      <c r="AF43" s="1"/>
    </row>
    <row r="44" spans="1:32" x14ac:dyDescent="0.3">
      <c r="A44" s="31">
        <v>43031.643969907411</v>
      </c>
      <c r="B44" s="30" t="s">
        <v>661</v>
      </c>
      <c r="C44" s="30" t="s">
        <v>662</v>
      </c>
      <c r="D44" s="30" t="s">
        <v>49</v>
      </c>
      <c r="E44" s="30" t="s">
        <v>179</v>
      </c>
      <c r="F44" s="42">
        <v>0</v>
      </c>
      <c r="G44" s="42">
        <v>43</v>
      </c>
      <c r="H44" s="42">
        <v>698</v>
      </c>
      <c r="I44" s="42">
        <v>649</v>
      </c>
      <c r="J44" s="30" t="s">
        <v>180</v>
      </c>
      <c r="K44" s="42">
        <v>575</v>
      </c>
      <c r="L44" s="131" t="s">
        <v>51</v>
      </c>
      <c r="M44" s="132">
        <f>CONVERT((I44-K44)/10000,"mi","ft")*IF(L44="Increasing Mileposts (1)",-1,1)</f>
        <v>39.072000000000003</v>
      </c>
      <c r="N44" s="133" t="str">
        <f>VLOOKUP(C44,'Trips&amp;Operators'!$C$1:$G$99911,5,FALSE)</f>
        <v>STAMBAUGH JAMES</v>
      </c>
      <c r="O44" s="176" t="s">
        <v>178</v>
      </c>
      <c r="P44" s="134"/>
      <c r="Q44" s="30"/>
      <c r="R44" s="81" t="str">
        <f>VLOOKUP(C44,'Train Runs'!$A$13:$AE$10070,31,0)</f>
        <v>aws s3 cp s3://rtdc.mdm.uploadarchive.raw/RTDC4039/ "%USERPROFILE%\AppData\Local\Temp\OnboardLogs"\RTDC4039\2017-10-23 --exclude "*" --recursive --include "*20171023*" &amp; "%USERPROFILE%\Documents\GitHub\mrs-test-scripts\Headless Mode &amp; Sideloading\WalkAndUnGZ.bat" "%USERPROFILE%\AppData\Local\Temp\OnboardLogs"\RTDC4039\2017-10-23 &amp; aws s3 cp s3://rtdc.mdm.uploadarchive.raw/RTDC4039/ "%USERPROFILE%\AppData\Local\Temp\OnboardLogs"\RTDC4039\2017-10-24 --exclude "*" --recursive --include "*20171024*" &amp; "%USERPROFILE%\Documents\GitHub\mrs-test-scripts\Headless Mode &amp; Sideloading\WalkAndUnGZ.bat" "%USERPROFILE%\AppData\Local\Temp\OnboardLogs"\RTDC4039\2017-10-24</v>
      </c>
      <c r="S44" s="84" t="str">
        <f>VLOOKUP(C44,'Train Runs'!$A$13:$AE$10070,22,0)</f>
        <v>https://d0f6bd738d7f1b3e5a7ca70fe4ff75f0.us-east-1.aws.found.io/app/kibana#/discover/Steve-Slow-Train-Analysis-(2080s-and-2083s)?_g=(refreshInterval:(display:Off,pause:!f,section:0,value:0),time:(from:'2017-10-23T14:17:07-0600',mode:absolute,to:'2017-10-23T16:27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44" s="86" t="str">
        <f>astrogrep_path&amp;" /e /r /s /spath="&amp;search_path&amp;" /stypes=""*"&amp;U44&amp;"*"&amp;TEXT(A44-utc_offset/24,"YYYYMMDD")&amp;LEFT(TEXT(A44-utc_offset/24,"HH"),1)&amp;"*"" /stext="" "&amp;TEXT(A44-utc_offset/24,"HH")&amp;search_regexp&amp;""""</f>
        <v>"C:\Program Files (x86)\AstroGrep\AstroGrep.exe" /e /r /s /spath="%USERPROFILE%\AppData\Local\Temp\OnboardLogs" /stypes="*4039*201710232*" /stext=" 21:.+((SYSTEM_STATE.+slice.+state.+changed )|(ment ac)|(multiple cpu faults)|(system.+state.+changed )|(\[timeout)|(PRM\|1\|D)|(kpr)|(kdp)|(train st.+moving)|(\|lc)|(penalty))"</v>
      </c>
      <c r="U44" s="9" t="str">
        <f>MID(B44,13,4)</f>
        <v>4039</v>
      </c>
      <c r="V44" s="31">
        <f>A44-utc_offset/24</f>
        <v>43031.893969907411</v>
      </c>
      <c r="W44" s="45" t="str">
        <f>DetSubdiv(C44)</f>
        <v>Other</v>
      </c>
      <c r="X44" s="22">
        <f>VALUE(LEFT(C44,LEN(C44)-3))</f>
        <v>904</v>
      </c>
      <c r="Y44" s="96" t="str">
        <f>"echo {""issue"":{""subject"":"""&amp;P44&amp;""",""project_id"":79,""tracker_id"":40,""status_id"":"&amp;redmine_status&amp;",""priority_id"":"&amp;redmine_priority&amp;",""assigned_to_id"":"&amp;redmine_assignee&amp;",""start_date"":"""&amp;TEXT(A44,"YYYY-mm-dd")&amp;""",""description"":"""&amp;Z44&amp;""",""custom_fields"":[{""id"":1,""name"":""Subdivision"",""value"":"""&amp;W44&amp;"""},{""id"":4,""name"":""Milepost"",""value"":"""&amp;K44/10000&amp;"""},{""id"":17,""name"":""Train ID"",""value"":"""&amp;C44&amp;"""},{""id"":16,""name"":""Locomotive ID"",""value"":"""&amp;U44&amp;"""},{""id"":130,""name"":""Impact"",""value"":"""&amp;AA44&amp;"""},{""id"":150,""name"":""Time of Event (Mountain Time)"",""value"":"""&amp;TEXT(A44,"hh:mm:ss")&amp;"""},{""id"":151,""name"":""Denver Issue ID"",""value"":"""&amp;"""},{""id"":178,""name"":""Operational Impact"",""value"":"""&amp;redmine_op_impact&amp;"""},{""id"":179,""name"":""Denver Segment Assigned"",""value"":"""&amp;AB44&amp;"""}]}}"&amp;"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{"issue":{"subject":"","project_id":79,"tracker_id":40,"status_id":1,"priority_id":2,"assigned_to_id":338,"start_date":"2017-10-23","description":"","custom_fields":[{"id":1,"name":"Subdivision","value":"Other"},{"id":4,"name":"Milepost","value":"0.0575"},{"id":17,"name":"Train ID","value":"904-23"},{"id":16,"name":"Locomotive ID","value":"4039"},{"id":130,"name":"Impact","value":""},{"id":150,"name":"Time of Event (Mountain Time)","value":"15:27:19"},{"id":151,"name":"Denver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44" s="159"/>
      <c r="AA44" s="47"/>
      <c r="AB44" s="47"/>
      <c r="AC44" s="115" t="str">
        <f>"grep -hrE -A400 ""Enforcement Action"" "&amp;"/c/Users/stu/AppData/Local/Temp/OnboardLogs"&amp;"/RTDC"&amp;U44&amp;" --include=""*"&amp;U44&amp;"*"&amp;TEXT(A44-utc_offset/24,"YYYYMMDD")&amp;LEFT(TEXT(A44-utc_offset/24,"HH"),1)&amp;"*"" | grep -E ""((Enforcement Ac)|(PRM))"" -"</f>
        <v>grep -hrE -A400 "Enforcement Action" /c/Users/stu/AppData/Local/Temp/OnboardLogs/RTDC4039 --include="*4039*201710232*"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"%USERPROFILE%\AppData\Local\Temp\OnboardLogs"\RTDC4039\*4039*201710232* &gt;&gt; 2017-10-23-SliceDisagreementCheck.txt</v>
      </c>
      <c r="AE44" s="145" t="str">
        <f t="shared" si="1"/>
        <v>start /low /b %USERPROFILE%\Documents\GitHub\eaglep3\Utilities\DownloadLogsFromS3.py --loco 4039 --day 2017-10-23</v>
      </c>
      <c r="AF44" s="1"/>
    </row>
    <row r="45" spans="1:32" x14ac:dyDescent="0.3">
      <c r="A45" s="31">
        <v>43031.457615740743</v>
      </c>
      <c r="B45" s="30" t="s">
        <v>398</v>
      </c>
      <c r="C45" s="30" t="s">
        <v>656</v>
      </c>
      <c r="D45" s="30" t="s">
        <v>95</v>
      </c>
      <c r="E45" s="30" t="s">
        <v>179</v>
      </c>
      <c r="F45" s="42">
        <v>0</v>
      </c>
      <c r="G45" s="42">
        <v>5</v>
      </c>
      <c r="H45" s="42">
        <v>826</v>
      </c>
      <c r="I45" s="42">
        <v>0</v>
      </c>
      <c r="J45" s="30" t="s">
        <v>180</v>
      </c>
      <c r="K45" s="42">
        <v>826</v>
      </c>
      <c r="L45" s="131" t="s">
        <v>51</v>
      </c>
      <c r="M45" s="132">
        <f>CONVERT((I45-K45)/10000,"mi","ft")*IF(L45="Increasing Mileposts (1)",-1,1)</f>
        <v>-436.12799999999999</v>
      </c>
      <c r="N45" s="133" t="str">
        <f>VLOOKUP(C45,'Trips&amp;Operators'!$C$1:$G$99911,5,FALSE)</f>
        <v>ROBINSON KADDIBA</v>
      </c>
      <c r="O45" s="176" t="s">
        <v>178</v>
      </c>
      <c r="P45" s="134"/>
      <c r="Q45" s="30"/>
      <c r="R45" s="81" t="str">
        <f>VLOOKUP(C45,'Train Runs'!$A$13:$AE$10070,31,0)</f>
        <v>aws s3 cp s3://rtdc.mdm.uploadarchive.raw/RTDC4052/ "%USERPROFILE%\AppData\Local\Temp\OnboardLogs"\RTDC4052\2017-10-23 --exclude "*" --recursive --include "*20171023*" &amp; "%USERPROFILE%\Documents\GitHub\mrs-test-scripts\Headless Mode &amp; Sideloading\WalkAndUnGZ.bat" "%USERPROFILE%\AppData\Local\Temp\OnboardLogs"\RTDC4052\2017-10-23 &amp; aws s3 cp s3://rtdc.mdm.uploadarchive.raw/RTDC4052/ "%USERPROFILE%\AppData\Local\Temp\OnboardLogs"\RTDC4052\2017-10-24 --exclude "*" --recursive --include "*20171024*" &amp; "%USERPROFILE%\Documents\GitHub\mrs-test-scripts\Headless Mode &amp; Sideloading\WalkAndUnGZ.bat" "%USERPROFILE%\AppData\Local\Temp\OnboardLogs"\RTDC4052\2017-10-24</v>
      </c>
      <c r="S45" s="84" t="str">
        <f>VLOOKUP(C45,'Train Runs'!$A$13:$AE$10070,22,0)</f>
        <v>https://d0f6bd738d7f1b3e5a7ca70fe4ff75f0.us-east-1.aws.found.io/app/kibana#/discover/Steve-Slow-Train-Analysis-(2080s-and-2083s)?_g=(refreshInterval:(display:Off,pause:!f,section:0,value:0),time:(from:'2017-10-23T10:18:36-0600',mode:absolute,to:'2017-10-23T12:34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45" s="86" t="str">
        <f>astrogrep_path&amp;" /e /r /s /spath="&amp;search_path&amp;" /stypes=""*"&amp;U45&amp;"*"&amp;TEXT(A45-utc_offset/24,"YYYYMMDD")&amp;LEFT(TEXT(A45-utc_offset/24,"HH"),1)&amp;"*"" /stext="" "&amp;TEXT(A45-utc_offset/24,"HH")&amp;search_regexp&amp;""""</f>
        <v>"C:\Program Files (x86)\AstroGrep\AstroGrep.exe" /e /r /s /spath="%USERPROFILE%\AppData\Local\Temp\OnboardLogs" /stypes="*4051*201710231*" /stext=" 16:.+((SYSTEM_STATE.+slice.+state.+changed )|(ment ac)|(multiple cpu faults)|(system.+state.+changed )|(\[timeout)|(PRM\|1\|D)|(kpr)|(kdp)|(train st.+moving)|(\|lc)|(penalty))"</v>
      </c>
      <c r="U45" s="9" t="str">
        <f>MID(B45,13,4)</f>
        <v>4051</v>
      </c>
      <c r="V45" s="31">
        <f>A45-utc_offset/24</f>
        <v>43031.707615740743</v>
      </c>
      <c r="W45" s="45" t="str">
        <f>DetSubdiv(C45)</f>
        <v>Shuttle/Test</v>
      </c>
      <c r="X45" s="22">
        <f>VALUE(LEFT(C45,LEN(C45)-3))</f>
        <v>53</v>
      </c>
      <c r="Y45" s="96" t="str">
        <f>"echo {""issue"":{""subject"":"""&amp;P45&amp;""",""project_id"":79,""tracker_id"":40,""status_id"":"&amp;redmine_status&amp;",""priority_id"":"&amp;redmine_priority&amp;",""assigned_to_id"":"&amp;redmine_assignee&amp;",""start_date"":"""&amp;TEXT(A45,"YYYY-mm-dd")&amp;""",""description"":"""&amp;Z45&amp;""",""custom_fields"":[{""id"":1,""name"":""Subdivision"",""value"":"""&amp;W45&amp;"""},{""id"":4,""name"":""Milepost"",""value"":"""&amp;K45/10000&amp;"""},{""id"":17,""name"":""Train ID"",""value"":"""&amp;C45&amp;"""},{""id"":16,""name"":""Locomotive ID"",""value"":"""&amp;U45&amp;"""},{""id"":130,""name"":""Impact"",""value"":"""&amp;AA45&amp;"""},{""id"":150,""name"":""Time of Event (Mountain Time)"",""value"":"""&amp;TEXT(A45,"hh:mm:ss")&amp;"""},{""id"":151,""name"":""Denver Issue ID"",""value"":"""&amp;"""},{""id"":178,""name"":""Operational Impact"",""value"":"""&amp;redmine_op_impact&amp;"""},{""id"":179,""name"":""Denver Segment Assigned"",""value"":"""&amp;AB45&amp;"""}]}}"&amp;"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-23","description":"","custom_fields":[{"id":1,"name":"Subdivision","value":"Shuttle/Test"},{"id":4,"name":"Milepost","value":"0.0826"},{"id":17,"name":"Train ID","value":"53-23"},{"id":16,"name":"Locomotive ID","value":"4051"},{"id":130,"name":"Impact","value":""},{"id":150,"name":"Time of Event (Mountain Time)","value":"10:58:58"},{"id":151,"name":"Denver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45" s="159"/>
      <c r="AA45" s="47"/>
      <c r="AB45" s="47"/>
      <c r="AC45" s="115" t="str">
        <f>"grep -hrE -A400 ""Enforcement Action"" "&amp;"/c/Users/stu/AppData/Local/Temp/OnboardLogs"&amp;"/RTDC"&amp;U45&amp;" --include=""*"&amp;U45&amp;"*"&amp;TEXT(A45-utc_offset/24,"YYYYMMDD")&amp;LEFT(TEXT(A45-utc_offset/24,"HH"),1)&amp;"*"" | grep -E ""((Enforcement Ac)|(PRM))"" -"</f>
        <v>grep -hrE -A400 "Enforcement Action" /c/Users/stu/AppData/Local/Temp/OnboardLogs/RTDC4051 --include="*4051*201710231*"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"%USERPROFILE%\AppData\Local\Temp\OnboardLogs"\RTDC4051\*4051*201710231* &gt;&gt; 2017-10-23-SliceDisagreementCheck.txt</v>
      </c>
      <c r="AE45" s="145" t="str">
        <f t="shared" si="1"/>
        <v>start /low /b %USERPROFILE%\Documents\GitHub\eaglep3\Utilities\DownloadLogsFromS3.py --loco 4051 --day 2017-10-23</v>
      </c>
      <c r="AF45" s="1"/>
    </row>
    <row r="46" spans="1:32" x14ac:dyDescent="0.3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X46"/>
      <c r="Z46"/>
      <c r="AC46"/>
      <c r="AE46"/>
    </row>
    <row r="47" spans="1:32" x14ac:dyDescent="0.3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2" x14ac:dyDescent="0.3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3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3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3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3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3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1" x14ac:dyDescent="0.3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1" x14ac:dyDescent="0.3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1" x14ac:dyDescent="0.3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</sheetData>
  <autoFilter ref="A6:AC39">
    <sortState ref="A7:AC45">
      <sortCondition ref="W7:W45"/>
      <sortCondition ref="E7:E45"/>
      <sortCondition ref="K7:K45"/>
      <sortCondition ref="F7:F45"/>
    </sortState>
  </autoFilter>
  <sortState ref="A7:AE26">
    <sortCondition ref="W7:W26"/>
    <sortCondition ref="E7:E26"/>
    <sortCondition ref="K7:K26"/>
    <sortCondition ref="C7:C26"/>
    <sortCondition ref="F7:F26"/>
  </sortState>
  <mergeCells count="1">
    <mergeCell ref="A5:O5"/>
  </mergeCells>
  <conditionalFormatting sqref="O6:P6 R6 O57:O1048576 O7:O45">
    <cfRule type="cellIs" dxfId="3" priority="42" operator="equal">
      <formula>"Y"</formula>
    </cfRule>
  </conditionalFormatting>
  <conditionalFormatting sqref="O2:O3">
    <cfRule type="cellIs" dxfId="2" priority="33" operator="equal">
      <formula>"Y"</formula>
    </cfRule>
  </conditionalFormatting>
  <conditionalFormatting sqref="A7:P45">
    <cfRule type="expression" dxfId="1" priority="26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350520</xdr:colOff>
                    <xdr:row>1</xdr:row>
                    <xdr:rowOff>30480</xdr:rowOff>
                  </from>
                  <to>
                    <xdr:col>15</xdr:col>
                    <xdr:colOff>1150620</xdr:colOff>
                    <xdr:row>3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AA7:AA45</xm:sqref>
        </x14:dataValidation>
        <x14:dataValidation type="list" allowBlank="1" showInputMessage="1" showErrorMessage="1">
          <x14:formula1>
            <xm:f>'Redmine List Values'!$C$2:$C$15</xm:f>
          </x14:formula1>
          <xm:sqref>AB7:AB45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4" sqref="A4"/>
    </sheetView>
  </sheetViews>
  <sheetFormatPr defaultRowHeight="14.4" x14ac:dyDescent="0.3"/>
  <cols>
    <col min="1" max="1" width="8" style="196" customWidth="1"/>
    <col min="2" max="2" width="9.109375" style="2" customWidth="1"/>
    <col min="3" max="3" width="8" style="88" bestFit="1" customWidth="1"/>
    <col min="4" max="4" width="11.33203125" style="139" bestFit="1" customWidth="1"/>
    <col min="5" max="5" width="50.88671875" bestFit="1" customWidth="1"/>
    <col min="6" max="6" width="20.44140625" bestFit="1" customWidth="1"/>
    <col min="7" max="7" width="13.5546875" customWidth="1"/>
    <col min="8" max="8" width="14.6640625" customWidth="1"/>
    <col min="9" max="9" width="9.109375" style="189" customWidth="1"/>
    <col min="10" max="10" width="9.109375" customWidth="1"/>
  </cols>
  <sheetData>
    <row r="1" spans="1:10" s="20" customFormat="1" x14ac:dyDescent="0.3">
      <c r="A1" s="196"/>
      <c r="B1" s="227" t="str">
        <f>"Trips that did not appear in PTC Data "&amp;TEXT(Variables!$A$2,"YYYY-mm-dd")</f>
        <v>Trips that did not appear in PTC Data 2017-10-23</v>
      </c>
      <c r="C1" s="227"/>
      <c r="D1" s="227"/>
      <c r="E1" s="227"/>
      <c r="F1" s="227"/>
      <c r="I1" s="189"/>
    </row>
    <row r="2" spans="1:10" s="23" customFormat="1" ht="43.2" x14ac:dyDescent="0.3">
      <c r="A2" s="224" t="s">
        <v>146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90" t="s">
        <v>101</v>
      </c>
      <c r="J2" s="28" t="s">
        <v>60</v>
      </c>
    </row>
    <row r="3" spans="1:10" x14ac:dyDescent="0.3">
      <c r="A3" s="198">
        <v>847</v>
      </c>
      <c r="B3" s="42" t="str">
        <f>A3&amp;"-"&amp;IF(DAY(Variables!$A$2)&lt;10,0,"")&amp;DAY(Variables!$A$2)</f>
        <v>847-23</v>
      </c>
      <c r="C3" s="135"/>
      <c r="D3" s="225" t="str">
        <f>VLOOKUP(B3,'Trips&amp;Operators'!$C$1:$H$1072,6,FALSE)</f>
        <v>4060</v>
      </c>
      <c r="E3" s="30"/>
      <c r="F3" s="21" t="str">
        <f>VLOOKUP(B3,'Trips&amp;Operators'!$C$2:$E$9912,3,FALSE)</f>
        <v>STAMBAUGH</v>
      </c>
      <c r="G3" s="21" t="str">
        <f>VLOOKUP(B3,'Trips&amp;Operators'!$C$1:$F$9912,4,FALSE)</f>
        <v>JAMES</v>
      </c>
      <c r="H3" s="29" t="str">
        <f>VLOOKUP(B3,'Trips&amp;Operators'!$C$1:$H$9912,5,FALSE)</f>
        <v>STAMBAUGH JAMES</v>
      </c>
      <c r="I3" s="191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22847-23%22)),sort:!(Time.ISO8601,asc))</v>
      </c>
      <c r="J3" s="30" t="str">
        <f>VLOOKUP(B3,'Train Runs'!$A$13:$A$100067,1,FALSE)</f>
        <v>847-23</v>
      </c>
    </row>
    <row r="4" spans="1:10" x14ac:dyDescent="0.3">
      <c r="A4" s="198"/>
      <c r="B4" s="42" t="str">
        <f>A4&amp;"-"&amp;IF(DAY(Variables!$A$2)&lt;10,0,"")&amp;DAY(Variables!$A$2)</f>
        <v>-23</v>
      </c>
      <c r="C4" s="135"/>
      <c r="D4" s="153" t="e">
        <f>VLOOKUP(B4,'Trips&amp;Operators'!$C$1:$H$1072,6,FALSE)</f>
        <v>#N/A</v>
      </c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" s="30" t="e">
        <f>VLOOKUP(B4,'Train Runs'!$A$13:$A$100067,1,FALSE)</f>
        <v>#N/A</v>
      </c>
    </row>
    <row r="5" spans="1:10" x14ac:dyDescent="0.3">
      <c r="A5" s="198"/>
      <c r="B5" s="42" t="str">
        <f>A5&amp;"-"&amp;IF(DAY(Variables!$A$2)&lt;10,0,"")&amp;DAY(Variables!$A$2)</f>
        <v>-23</v>
      </c>
      <c r="C5" s="135"/>
      <c r="D5" s="153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" s="30" t="e">
        <f>VLOOKUP(B5,'Train Runs'!$A$13:$A$100067,1,FALSE)</f>
        <v>#N/A</v>
      </c>
    </row>
    <row r="6" spans="1:10" x14ac:dyDescent="0.3">
      <c r="A6" s="198"/>
      <c r="B6" s="42" t="str">
        <f>A6&amp;"-"&amp;IF(DAY(Variables!$A$2)&lt;10,0,"")&amp;DAY(Variables!$A$2)</f>
        <v>-23</v>
      </c>
      <c r="C6" s="135"/>
      <c r="D6" s="153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6" s="30" t="e">
        <f>VLOOKUP(B6,'Train Runs'!$A$13:$A$100067,1,FALSE)</f>
        <v>#N/A</v>
      </c>
    </row>
    <row r="7" spans="1:10" x14ac:dyDescent="0.3">
      <c r="A7" s="198"/>
      <c r="B7" s="42" t="str">
        <f>A7&amp;"-"&amp;IF(DAY(Variables!$A$2)&lt;10,0,"")&amp;DAY(Variables!$A$2)</f>
        <v>-23</v>
      </c>
      <c r="C7" s="135"/>
      <c r="D7" s="153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7" s="30" t="e">
        <f>VLOOKUP(B7,'Train Runs'!$A$13:$A$100067,1,FALSE)</f>
        <v>#N/A</v>
      </c>
    </row>
    <row r="8" spans="1:10" x14ac:dyDescent="0.3">
      <c r="A8" s="198"/>
      <c r="B8" s="42" t="str">
        <f>A8&amp;"-"&amp;IF(DAY(Variables!$A$2)&lt;10,0,"")&amp;DAY(Variables!$A$2)</f>
        <v>-23</v>
      </c>
      <c r="C8" s="135"/>
      <c r="D8" s="153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8" s="30" t="e">
        <f>VLOOKUP(B8,'Train Runs'!$A$13:$A$100067,1,FALSE)</f>
        <v>#N/A</v>
      </c>
    </row>
    <row r="9" spans="1:10" x14ac:dyDescent="0.3">
      <c r="A9" s="198"/>
      <c r="B9" s="42" t="str">
        <f>A9&amp;"-"&amp;IF(DAY(Variables!$A$2)&lt;10,0,"")&amp;DAY(Variables!$A$2)</f>
        <v>-23</v>
      </c>
      <c r="C9" s="135"/>
      <c r="D9" s="153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9" s="30" t="e">
        <f>VLOOKUP(B9,'Train Runs'!$A$13:$A$100067,1,FALSE)</f>
        <v>#N/A</v>
      </c>
    </row>
    <row r="10" spans="1:10" x14ac:dyDescent="0.3">
      <c r="A10" s="198"/>
      <c r="B10" s="42" t="str">
        <f>A10&amp;"-"&amp;IF(DAY(Variables!$A$2)&lt;10,0,"")&amp;DAY(Variables!$A$2)</f>
        <v>-23</v>
      </c>
      <c r="C10" s="135"/>
      <c r="D10" s="153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0" s="30" t="e">
        <f>VLOOKUP(B10,'Train Runs'!$A$13:$A$100067,1,FALSE)</f>
        <v>#N/A</v>
      </c>
    </row>
    <row r="11" spans="1:10" x14ac:dyDescent="0.3">
      <c r="A11" s="198"/>
      <c r="B11" s="42" t="str">
        <f>A11&amp;"-"&amp;IF(DAY(Variables!$A$2)&lt;10,0,"")&amp;DAY(Variables!$A$2)</f>
        <v>-23</v>
      </c>
      <c r="C11" s="135"/>
      <c r="D11" s="153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1" s="30" t="e">
        <f>VLOOKUP(B11,'Train Runs'!$A$13:$A$100067,1,FALSE)</f>
        <v>#N/A</v>
      </c>
    </row>
    <row r="12" spans="1:10" x14ac:dyDescent="0.3">
      <c r="A12" s="198"/>
      <c r="B12" s="42" t="str">
        <f>A12&amp;"-"&amp;IF(DAY(Variables!$A$2)&lt;10,0,"")&amp;DAY(Variables!$A$2)</f>
        <v>-23</v>
      </c>
      <c r="C12" s="135"/>
      <c r="D12" s="153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2" s="30" t="e">
        <f>VLOOKUP(B12,'Train Runs'!$A$13:$A$100067,1,FALSE)</f>
        <v>#N/A</v>
      </c>
    </row>
    <row r="13" spans="1:10" x14ac:dyDescent="0.3">
      <c r="A13" s="198"/>
      <c r="B13" s="42" t="str">
        <f>A13&amp;"-"&amp;IF(DAY(Variables!$A$2)&lt;10,0,"")&amp;DAY(Variables!$A$2)</f>
        <v>-23</v>
      </c>
      <c r="C13" s="135"/>
      <c r="D13" s="153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3" s="30" t="e">
        <f>VLOOKUP(B13,'Train Runs'!$A$13:$A$100067,1,FALSE)</f>
        <v>#N/A</v>
      </c>
    </row>
    <row r="14" spans="1:10" x14ac:dyDescent="0.3">
      <c r="A14" s="198"/>
      <c r="B14" s="42" t="str">
        <f>A14&amp;"-"&amp;IF(DAY(Variables!$A$2)&lt;10,0,"")&amp;DAY(Variables!$A$2)</f>
        <v>-23</v>
      </c>
      <c r="C14" s="135"/>
      <c r="D14" s="153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4" s="30" t="e">
        <f>VLOOKUP(B14,'Train Runs'!$A$13:$A$100067,1,FALSE)</f>
        <v>#N/A</v>
      </c>
    </row>
    <row r="15" spans="1:10" x14ac:dyDescent="0.3">
      <c r="A15" s="198"/>
      <c r="B15" s="42" t="str">
        <f>A15&amp;"-"&amp;IF(DAY(Variables!$A$2)&lt;10,0,"")&amp;DAY(Variables!$A$2)</f>
        <v>-23</v>
      </c>
      <c r="C15" s="135"/>
      <c r="D15" s="153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5" s="30" t="e">
        <f>VLOOKUP(B15,'Train Runs'!$A$13:$A$100067,1,FALSE)</f>
        <v>#N/A</v>
      </c>
    </row>
    <row r="16" spans="1:10" x14ac:dyDescent="0.3">
      <c r="A16" s="198"/>
      <c r="B16" s="42" t="str">
        <f>A16&amp;"-"&amp;IF(DAY(Variables!$A$2)&lt;10,0,"")&amp;DAY(Variables!$A$2)</f>
        <v>-23</v>
      </c>
      <c r="C16" s="135"/>
      <c r="D16" s="153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6" s="30" t="e">
        <f>VLOOKUP(B16,'Train Runs'!$A$13:$A$100067,1,FALSE)</f>
        <v>#N/A</v>
      </c>
    </row>
    <row r="17" spans="1:10" x14ac:dyDescent="0.3">
      <c r="A17" s="198"/>
      <c r="B17" s="42" t="str">
        <f>A17&amp;"-"&amp;IF(DAY(Variables!$A$2)&lt;10,0,"")&amp;DAY(Variables!$A$2)</f>
        <v>-23</v>
      </c>
      <c r="C17" s="135"/>
      <c r="D17" s="153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7" s="30" t="e">
        <f>VLOOKUP(B17,'Train Runs'!$A$13:$A$100067,1,FALSE)</f>
        <v>#N/A</v>
      </c>
    </row>
    <row r="18" spans="1:10" x14ac:dyDescent="0.3">
      <c r="A18" s="198"/>
      <c r="B18" s="42" t="str">
        <f>A18&amp;"-"&amp;IF(DAY(Variables!$A$2)&lt;10,0,"")&amp;DAY(Variables!$A$2)</f>
        <v>-23</v>
      </c>
      <c r="C18" s="135"/>
      <c r="D18" s="153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8" s="30" t="e">
        <f>VLOOKUP(B18,'Train Runs'!$A$13:$A$100067,1,FALSE)</f>
        <v>#N/A</v>
      </c>
    </row>
    <row r="19" spans="1:10" x14ac:dyDescent="0.3">
      <c r="A19" s="198"/>
      <c r="B19" s="42"/>
      <c r="C19" s="135"/>
      <c r="D19" s="153"/>
      <c r="E19" s="30"/>
      <c r="F19" s="21"/>
      <c r="G19" s="21"/>
      <c r="H19" s="29"/>
      <c r="I19" s="191"/>
      <c r="J19" s="30"/>
    </row>
    <row r="20" spans="1:10" x14ac:dyDescent="0.3">
      <c r="A20" s="198"/>
      <c r="B20" s="42"/>
      <c r="C20" s="135"/>
      <c r="D20" s="153"/>
      <c r="E20" s="30"/>
      <c r="F20" s="21"/>
      <c r="G20" s="21"/>
      <c r="H20" s="29"/>
      <c r="I20" s="191"/>
      <c r="J20" s="30"/>
    </row>
    <row r="21" spans="1:10" x14ac:dyDescent="0.3">
      <c r="A21" s="198"/>
      <c r="B21" s="42"/>
      <c r="C21" s="135"/>
      <c r="D21" s="153"/>
      <c r="E21" s="30"/>
      <c r="F21" s="21"/>
      <c r="G21" s="21"/>
      <c r="H21" s="29"/>
      <c r="I21" s="191"/>
      <c r="J21" s="30"/>
    </row>
    <row r="22" spans="1:10" x14ac:dyDescent="0.3">
      <c r="A22" s="198"/>
      <c r="B22" s="42"/>
      <c r="C22" s="135"/>
      <c r="D22" s="153"/>
      <c r="E22" s="30"/>
      <c r="F22" s="21"/>
      <c r="G22" s="21"/>
      <c r="H22" s="29"/>
      <c r="I22" s="191"/>
      <c r="J22" s="30"/>
    </row>
    <row r="23" spans="1:10" x14ac:dyDescent="0.3">
      <c r="A23" s="198"/>
      <c r="B23" s="42"/>
      <c r="C23" s="135"/>
      <c r="D23" s="153"/>
      <c r="E23" s="30"/>
      <c r="F23" s="21"/>
      <c r="G23" s="21"/>
      <c r="H23" s="29"/>
      <c r="I23" s="191"/>
      <c r="J23" s="30"/>
    </row>
    <row r="24" spans="1:10" x14ac:dyDescent="0.3">
      <c r="A24" s="198"/>
      <c r="B24" s="42"/>
      <c r="C24" s="135"/>
      <c r="D24" s="153"/>
      <c r="E24" s="30"/>
      <c r="F24" s="21"/>
      <c r="G24" s="21"/>
      <c r="H24" s="29"/>
      <c r="I24" s="191"/>
      <c r="J24" s="30"/>
    </row>
    <row r="25" spans="1:10" x14ac:dyDescent="0.3">
      <c r="A25" s="198"/>
      <c r="B25" s="42"/>
      <c r="C25" s="135"/>
      <c r="D25" s="153"/>
      <c r="E25" s="30"/>
      <c r="F25" s="21"/>
      <c r="G25" s="21"/>
      <c r="H25" s="29"/>
      <c r="I25" s="191"/>
      <c r="J25" s="30"/>
    </row>
    <row r="26" spans="1:10" x14ac:dyDescent="0.3">
      <c r="A26" s="198"/>
      <c r="B26" s="42"/>
      <c r="C26" s="135"/>
      <c r="D26" s="153"/>
      <c r="E26" s="30"/>
      <c r="F26" s="21"/>
      <c r="G26" s="21"/>
      <c r="H26" s="29"/>
      <c r="I26" s="191"/>
      <c r="J26" s="30"/>
    </row>
    <row r="27" spans="1:10" x14ac:dyDescent="0.3">
      <c r="A27" s="198"/>
      <c r="B27" s="42"/>
      <c r="C27" s="135"/>
      <c r="D27" s="153"/>
      <c r="E27" s="30"/>
      <c r="F27" s="21"/>
      <c r="G27" s="21"/>
      <c r="H27" s="29"/>
      <c r="I27" s="191"/>
      <c r="J27" s="30"/>
    </row>
    <row r="28" spans="1:10" x14ac:dyDescent="0.3">
      <c r="A28" s="198"/>
      <c r="B28" s="42"/>
      <c r="C28" s="135"/>
      <c r="D28" s="153"/>
      <c r="E28" s="30"/>
      <c r="F28" s="21"/>
      <c r="G28" s="21"/>
      <c r="H28" s="29"/>
      <c r="I28" s="191"/>
      <c r="J28" s="30"/>
    </row>
    <row r="29" spans="1:10" x14ac:dyDescent="0.3">
      <c r="A29" s="198"/>
      <c r="B29" s="42"/>
      <c r="C29" s="135"/>
      <c r="D29" s="153"/>
      <c r="E29" s="30"/>
      <c r="F29" s="21"/>
      <c r="G29" s="21"/>
      <c r="H29" s="29"/>
      <c r="I29" s="191"/>
      <c r="J29" s="30"/>
    </row>
    <row r="30" spans="1:10" x14ac:dyDescent="0.3">
      <c r="A30" s="198"/>
      <c r="B30" s="42"/>
      <c r="C30" s="135"/>
      <c r="D30" s="153"/>
      <c r="E30" s="30"/>
      <c r="F30" s="21"/>
      <c r="G30" s="21"/>
      <c r="H30" s="29"/>
      <c r="I30" s="191"/>
      <c r="J30" s="30"/>
    </row>
    <row r="31" spans="1:10" x14ac:dyDescent="0.3">
      <c r="A31" s="198"/>
      <c r="B31" s="42"/>
      <c r="C31" s="135"/>
      <c r="D31" s="153"/>
      <c r="E31" s="30"/>
      <c r="F31" s="21"/>
      <c r="G31" s="21"/>
      <c r="H31" s="29"/>
      <c r="I31" s="191"/>
      <c r="J31" s="30"/>
    </row>
    <row r="32" spans="1:10" x14ac:dyDescent="0.3">
      <c r="A32" s="198"/>
      <c r="B32" s="42"/>
      <c r="C32" s="135"/>
      <c r="D32" s="153"/>
      <c r="E32" s="30"/>
      <c r="F32" s="21"/>
      <c r="G32" s="21"/>
      <c r="H32" s="29"/>
      <c r="I32" s="191"/>
      <c r="J32" s="30"/>
    </row>
    <row r="33" spans="1:10" x14ac:dyDescent="0.3">
      <c r="A33" s="198"/>
      <c r="B33" s="42"/>
      <c r="C33" s="135"/>
      <c r="D33" s="153"/>
      <c r="E33" s="30"/>
      <c r="F33" s="21"/>
      <c r="G33" s="21"/>
      <c r="H33" s="29"/>
      <c r="I33" s="191"/>
      <c r="J33" s="30"/>
    </row>
    <row r="34" spans="1:10" x14ac:dyDescent="0.3">
      <c r="A34" s="198"/>
      <c r="B34" s="42"/>
      <c r="C34" s="135"/>
      <c r="D34" s="153"/>
      <c r="E34" s="30"/>
      <c r="F34" s="21"/>
      <c r="G34" s="21"/>
      <c r="H34" s="29"/>
      <c r="I34" s="191"/>
      <c r="J34" s="30"/>
    </row>
    <row r="35" spans="1:10" x14ac:dyDescent="0.3">
      <c r="A35" s="198"/>
      <c r="B35" s="42"/>
      <c r="C35" s="135"/>
      <c r="D35" s="153"/>
      <c r="E35" s="30"/>
      <c r="F35" s="21"/>
      <c r="G35" s="21"/>
      <c r="H35" s="29"/>
      <c r="I35" s="191"/>
      <c r="J35" s="30"/>
    </row>
    <row r="36" spans="1:10" x14ac:dyDescent="0.3">
      <c r="A36" s="198"/>
      <c r="B36" s="42"/>
      <c r="C36" s="135"/>
      <c r="D36" s="153"/>
      <c r="E36" s="30"/>
      <c r="F36" s="21"/>
      <c r="G36" s="21"/>
      <c r="H36" s="29"/>
      <c r="I36" s="191"/>
      <c r="J36" s="30"/>
    </row>
    <row r="37" spans="1:10" x14ac:dyDescent="0.3">
      <c r="A37" s="198"/>
      <c r="B37" s="42"/>
      <c r="C37" s="135"/>
      <c r="D37" s="153"/>
      <c r="E37" s="30"/>
      <c r="F37" s="21"/>
      <c r="G37" s="21"/>
      <c r="H37" s="29"/>
      <c r="I37" s="191"/>
      <c r="J37" s="30"/>
    </row>
    <row r="38" spans="1:10" x14ac:dyDescent="0.3">
      <c r="A38" s="198"/>
      <c r="B38" s="42"/>
      <c r="C38" s="135"/>
      <c r="D38" s="153"/>
      <c r="E38" s="30"/>
      <c r="F38" s="21"/>
      <c r="G38" s="21"/>
      <c r="H38" s="29"/>
      <c r="I38" s="191"/>
      <c r="J38" s="30"/>
    </row>
    <row r="39" spans="1:10" x14ac:dyDescent="0.3">
      <c r="A39" s="198"/>
      <c r="B39" s="42"/>
      <c r="C39" s="135"/>
      <c r="D39" s="153"/>
      <c r="E39" s="30"/>
      <c r="F39" s="21"/>
      <c r="G39" s="21"/>
      <c r="H39" s="29"/>
      <c r="I39" s="191"/>
      <c r="J39" s="30"/>
    </row>
    <row r="40" spans="1:10" x14ac:dyDescent="0.3">
      <c r="A40" s="198"/>
      <c r="B40" s="42"/>
      <c r="C40" s="135"/>
      <c r="D40" s="153"/>
      <c r="E40" s="30"/>
      <c r="F40" s="21"/>
      <c r="G40" s="21"/>
      <c r="H40" s="29"/>
      <c r="I40" s="191"/>
      <c r="J40" s="30"/>
    </row>
    <row r="41" spans="1:10" x14ac:dyDescent="0.3">
      <c r="A41" s="198"/>
      <c r="B41" s="42"/>
      <c r="C41" s="135"/>
      <c r="D41" s="153"/>
      <c r="E41" s="30"/>
      <c r="F41" s="21"/>
      <c r="G41" s="21"/>
      <c r="H41" s="29"/>
      <c r="I41" s="191"/>
      <c r="J41" s="30"/>
    </row>
    <row r="42" spans="1:10" x14ac:dyDescent="0.3">
      <c r="A42" s="198"/>
      <c r="B42" s="42"/>
      <c r="C42" s="135"/>
      <c r="D42" s="153"/>
      <c r="E42" s="30"/>
      <c r="F42" s="21"/>
      <c r="G42" s="21"/>
      <c r="H42" s="29"/>
      <c r="I42" s="191"/>
      <c r="J42" s="30"/>
    </row>
    <row r="43" spans="1:10" x14ac:dyDescent="0.3">
      <c r="A43" s="198"/>
      <c r="B43" s="42"/>
      <c r="C43" s="135"/>
      <c r="D43" s="153"/>
      <c r="E43" s="30"/>
      <c r="F43" s="21"/>
      <c r="G43" s="21"/>
      <c r="H43" s="29"/>
      <c r="I43" s="191"/>
      <c r="J43" s="30"/>
    </row>
    <row r="44" spans="1:10" x14ac:dyDescent="0.3">
      <c r="A44" s="198"/>
      <c r="B44" s="42"/>
      <c r="C44" s="135"/>
      <c r="D44" s="153"/>
      <c r="E44" s="30"/>
      <c r="F44" s="21"/>
      <c r="G44" s="21"/>
      <c r="H44" s="29"/>
      <c r="I44" s="191"/>
      <c r="J44" s="30"/>
    </row>
    <row r="45" spans="1:10" x14ac:dyDescent="0.3">
      <c r="A45" s="198"/>
      <c r="B45" s="42"/>
      <c r="C45" s="135"/>
      <c r="D45" s="153"/>
      <c r="E45" s="30"/>
      <c r="F45" s="21"/>
      <c r="G45" s="21"/>
      <c r="H45" s="29"/>
      <c r="I45" s="191"/>
      <c r="J45" s="30"/>
    </row>
    <row r="46" spans="1:10" x14ac:dyDescent="0.3">
      <c r="A46" s="198"/>
      <c r="B46" s="42"/>
      <c r="C46" s="135"/>
      <c r="D46" s="153"/>
      <c r="E46" s="30"/>
      <c r="F46" s="21"/>
      <c r="G46" s="21"/>
      <c r="H46" s="29"/>
      <c r="I46" s="191"/>
      <c r="J46" s="30"/>
    </row>
    <row r="47" spans="1:10" x14ac:dyDescent="0.3">
      <c r="A47" s="198"/>
      <c r="B47" s="42"/>
      <c r="C47" s="135"/>
      <c r="D47" s="153"/>
      <c r="E47" s="30"/>
      <c r="F47" s="21"/>
      <c r="G47" s="21"/>
      <c r="H47" s="29"/>
      <c r="I47" s="191"/>
      <c r="J47" s="30"/>
    </row>
    <row r="48" spans="1:10" x14ac:dyDescent="0.3">
      <c r="A48" s="198"/>
      <c r="B48" s="42"/>
      <c r="C48" s="135"/>
      <c r="D48" s="153"/>
      <c r="E48" s="30"/>
      <c r="F48" s="21"/>
      <c r="G48" s="21"/>
      <c r="H48" s="29"/>
      <c r="I48" s="191"/>
      <c r="J48" s="30"/>
    </row>
    <row r="49" spans="1:10" x14ac:dyDescent="0.3">
      <c r="A49" s="198"/>
      <c r="B49" s="42"/>
      <c r="C49" s="135"/>
      <c r="D49" s="153"/>
      <c r="E49" s="30"/>
      <c r="F49" s="21"/>
      <c r="G49" s="21"/>
      <c r="H49" s="29"/>
      <c r="I49" s="191"/>
      <c r="J49" s="30"/>
    </row>
    <row r="50" spans="1:10" x14ac:dyDescent="0.3">
      <c r="A50" s="198"/>
      <c r="B50" s="42"/>
      <c r="C50" s="135"/>
      <c r="D50" s="153"/>
      <c r="E50" s="30"/>
      <c r="F50" s="21"/>
      <c r="G50" s="21"/>
      <c r="H50" s="29"/>
      <c r="I50" s="191"/>
      <c r="J50" s="30"/>
    </row>
    <row r="51" spans="1:10" x14ac:dyDescent="0.3">
      <c r="A51" s="198"/>
      <c r="B51" s="42"/>
      <c r="C51" s="135"/>
      <c r="D51" s="153"/>
      <c r="E51" s="30"/>
      <c r="F51" s="21"/>
      <c r="G51" s="21"/>
      <c r="H51" s="29"/>
      <c r="I51" s="191"/>
      <c r="J51" s="30"/>
    </row>
    <row r="52" spans="1:10" x14ac:dyDescent="0.3">
      <c r="A52" s="198"/>
      <c r="B52" s="42"/>
      <c r="C52" s="135"/>
      <c r="D52" s="153"/>
      <c r="E52" s="30"/>
      <c r="F52" s="21"/>
      <c r="G52" s="21"/>
      <c r="H52" s="29"/>
      <c r="I52" s="191"/>
      <c r="J52" s="30"/>
    </row>
    <row r="53" spans="1:10" x14ac:dyDescent="0.3">
      <c r="A53" s="198"/>
      <c r="B53" s="42"/>
      <c r="C53" s="135"/>
      <c r="D53" s="153"/>
      <c r="E53" s="30"/>
      <c r="F53" s="21"/>
      <c r="G53" s="21"/>
      <c r="H53" s="29"/>
      <c r="I53" s="191"/>
      <c r="J53" s="30"/>
    </row>
    <row r="54" spans="1:10" x14ac:dyDescent="0.3">
      <c r="A54" s="198"/>
      <c r="B54" s="42"/>
      <c r="C54" s="135"/>
      <c r="D54" s="153"/>
      <c r="E54" s="30"/>
      <c r="F54" s="21"/>
      <c r="G54" s="21"/>
      <c r="H54" s="29"/>
      <c r="I54" s="191"/>
      <c r="J54" s="30"/>
    </row>
    <row r="55" spans="1:10" x14ac:dyDescent="0.3">
      <c r="A55" s="198"/>
      <c r="B55" s="42"/>
      <c r="C55" s="135"/>
      <c r="D55" s="153"/>
      <c r="E55" s="30"/>
      <c r="F55" s="21"/>
      <c r="G55" s="21"/>
      <c r="H55" s="29"/>
      <c r="I55" s="191"/>
      <c r="J55" s="30"/>
    </row>
    <row r="56" spans="1:10" x14ac:dyDescent="0.3">
      <c r="A56" s="198"/>
      <c r="B56" s="42"/>
      <c r="C56" s="135"/>
      <c r="D56" s="153"/>
      <c r="E56" s="30"/>
      <c r="F56" s="21"/>
      <c r="G56" s="21"/>
      <c r="H56" s="29"/>
      <c r="I56" s="191"/>
      <c r="J56" s="30"/>
    </row>
    <row r="57" spans="1:10" x14ac:dyDescent="0.3">
      <c r="A57" s="198"/>
      <c r="B57" s="42"/>
      <c r="C57" s="135"/>
      <c r="D57" s="153"/>
      <c r="E57" s="30"/>
      <c r="F57" s="21"/>
      <c r="G57" s="21"/>
      <c r="H57" s="29"/>
      <c r="I57" s="191"/>
      <c r="J57" s="30"/>
    </row>
    <row r="58" spans="1:10" x14ac:dyDescent="0.3">
      <c r="A58" s="198"/>
      <c r="B58" s="42"/>
      <c r="C58" s="135"/>
      <c r="D58" s="153"/>
      <c r="E58" s="30"/>
      <c r="F58" s="21"/>
      <c r="G58" s="21"/>
      <c r="H58" s="29"/>
      <c r="I58" s="191"/>
      <c r="J58" s="30"/>
    </row>
    <row r="59" spans="1:10" x14ac:dyDescent="0.3">
      <c r="A59" s="198"/>
      <c r="B59" s="42"/>
      <c r="C59" s="135"/>
      <c r="D59" s="153"/>
      <c r="E59" s="30"/>
      <c r="F59" s="21"/>
      <c r="G59" s="21"/>
      <c r="H59" s="29"/>
      <c r="I59" s="191"/>
      <c r="J59" s="30"/>
    </row>
    <row r="60" spans="1:10" x14ac:dyDescent="0.3">
      <c r="A60" s="198"/>
      <c r="B60" s="42"/>
      <c r="C60" s="135"/>
      <c r="D60" s="153"/>
      <c r="E60" s="30"/>
      <c r="F60" s="21"/>
      <c r="G60" s="21"/>
      <c r="H60" s="29"/>
      <c r="I60" s="191"/>
      <c r="J60" s="30"/>
    </row>
    <row r="61" spans="1:10" x14ac:dyDescent="0.3">
      <c r="A61" s="198"/>
      <c r="B61" s="42"/>
      <c r="C61" s="135"/>
      <c r="D61" s="153"/>
      <c r="E61" s="30"/>
      <c r="F61" s="21"/>
      <c r="G61" s="21"/>
      <c r="H61" s="29"/>
      <c r="I61" s="191"/>
      <c r="J61" s="30"/>
    </row>
    <row r="62" spans="1:10" x14ac:dyDescent="0.3">
      <c r="A62" s="198"/>
      <c r="B62" s="42"/>
      <c r="C62" s="135"/>
      <c r="D62" s="153"/>
      <c r="E62" s="30"/>
      <c r="F62" s="21"/>
      <c r="G62" s="21"/>
      <c r="H62" s="29"/>
      <c r="I62" s="191"/>
      <c r="J62" s="30"/>
    </row>
    <row r="63" spans="1:10" x14ac:dyDescent="0.3">
      <c r="A63" s="198"/>
      <c r="B63" s="42"/>
      <c r="C63" s="135"/>
      <c r="D63" s="153"/>
      <c r="E63" s="30"/>
      <c r="F63" s="21"/>
      <c r="G63" s="21"/>
      <c r="H63" s="29"/>
      <c r="I63" s="191"/>
      <c r="J63" s="30"/>
    </row>
    <row r="64" spans="1:10" x14ac:dyDescent="0.3">
      <c r="A64" s="198"/>
      <c r="B64" s="42"/>
      <c r="C64" s="135"/>
      <c r="D64" s="153"/>
      <c r="E64" s="30"/>
      <c r="F64" s="21"/>
      <c r="G64" s="21"/>
      <c r="H64" s="29"/>
      <c r="I64" s="191"/>
      <c r="J64" s="30"/>
    </row>
    <row r="65" spans="1:10" x14ac:dyDescent="0.3">
      <c r="A65" s="198"/>
      <c r="B65" s="42"/>
      <c r="C65" s="135"/>
      <c r="D65" s="153"/>
      <c r="E65" s="30"/>
      <c r="F65" s="21"/>
      <c r="G65" s="21"/>
      <c r="H65" s="29"/>
      <c r="I65" s="191"/>
      <c r="J65" s="30"/>
    </row>
    <row r="66" spans="1:10" x14ac:dyDescent="0.3">
      <c r="A66" s="198"/>
      <c r="B66" s="42"/>
      <c r="C66" s="135"/>
      <c r="D66" s="153"/>
      <c r="E66" s="30"/>
      <c r="F66" s="21"/>
      <c r="G66" s="21"/>
      <c r="H66" s="29"/>
      <c r="I66" s="191"/>
      <c r="J66" s="30"/>
    </row>
    <row r="67" spans="1:10" x14ac:dyDescent="0.3">
      <c r="A67" s="198"/>
      <c r="B67" s="42"/>
      <c r="C67" s="135"/>
      <c r="D67" s="153"/>
      <c r="E67" s="30"/>
      <c r="F67" s="21"/>
      <c r="G67" s="21"/>
      <c r="H67" s="29"/>
      <c r="I67" s="191"/>
      <c r="J67" s="30"/>
    </row>
    <row r="68" spans="1:10" x14ac:dyDescent="0.3">
      <c r="A68" s="198"/>
      <c r="B68" s="42"/>
      <c r="C68" s="135"/>
      <c r="D68" s="153"/>
      <c r="E68" s="30"/>
      <c r="F68" s="21"/>
      <c r="G68" s="21"/>
      <c r="H68" s="29"/>
      <c r="I68" s="191"/>
      <c r="J68" s="30"/>
    </row>
    <row r="69" spans="1:10" x14ac:dyDescent="0.3">
      <c r="A69" s="198"/>
      <c r="B69" s="42"/>
      <c r="C69" s="135"/>
      <c r="D69" s="153"/>
      <c r="E69" s="30"/>
      <c r="F69" s="21"/>
      <c r="G69" s="21"/>
      <c r="H69" s="29"/>
      <c r="I69" s="191"/>
      <c r="J69" s="30"/>
    </row>
    <row r="70" spans="1:10" x14ac:dyDescent="0.3">
      <c r="A70" s="198"/>
      <c r="B70" s="42"/>
      <c r="C70" s="135"/>
      <c r="D70" s="153"/>
      <c r="E70" s="30"/>
      <c r="F70" s="21"/>
      <c r="G70" s="21"/>
      <c r="H70" s="29"/>
      <c r="I70" s="191"/>
      <c r="J70" s="30"/>
    </row>
    <row r="71" spans="1:10" x14ac:dyDescent="0.3">
      <c r="A71" s="198"/>
      <c r="B71" s="42"/>
      <c r="C71" s="135"/>
      <c r="D71" s="153"/>
      <c r="E71" s="30"/>
      <c r="F71" s="21"/>
      <c r="G71" s="21"/>
      <c r="H71" s="29"/>
      <c r="I71" s="191"/>
      <c r="J71" s="30"/>
    </row>
    <row r="72" spans="1:10" x14ac:dyDescent="0.3">
      <c r="A72" s="198"/>
      <c r="B72" s="42"/>
      <c r="C72" s="135"/>
      <c r="D72" s="153"/>
      <c r="E72" s="30"/>
      <c r="F72" s="21"/>
      <c r="G72" s="21"/>
      <c r="H72" s="29"/>
      <c r="I72" s="191"/>
      <c r="J72" s="30"/>
    </row>
    <row r="73" spans="1:10" x14ac:dyDescent="0.3">
      <c r="A73" s="198"/>
      <c r="B73" s="42"/>
      <c r="C73" s="135"/>
      <c r="D73" s="153"/>
      <c r="E73" s="30"/>
      <c r="F73" s="21"/>
      <c r="G73" s="21"/>
      <c r="H73" s="29"/>
      <c r="I73" s="191"/>
      <c r="J73" s="30"/>
    </row>
    <row r="74" spans="1:10" x14ac:dyDescent="0.3">
      <c r="A74" s="198"/>
      <c r="B74" s="42"/>
      <c r="C74" s="135"/>
      <c r="D74" s="153"/>
      <c r="E74" s="30"/>
      <c r="F74" s="21"/>
      <c r="G74" s="21"/>
      <c r="H74" s="29"/>
      <c r="I74" s="191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topLeftCell="A289" workbookViewId="0">
      <selection sqref="A1:F248"/>
    </sheetView>
  </sheetViews>
  <sheetFormatPr defaultRowHeight="14.4" x14ac:dyDescent="0.3"/>
  <cols>
    <col min="1" max="1" width="18.33203125" style="8" bestFit="1" customWidth="1"/>
    <col min="2" max="2" width="17" bestFit="1" customWidth="1"/>
    <col min="3" max="3" width="10.109375" bestFit="1" customWidth="1"/>
    <col min="4" max="4" width="9.33203125" style="138" customWidth="1"/>
    <col min="5" max="5" width="19.6640625" bestFit="1" customWidth="1"/>
    <col min="6" max="6" width="17" style="20" bestFit="1" customWidth="1"/>
    <col min="7" max="7" width="18.33203125" style="8" bestFit="1" customWidth="1"/>
  </cols>
  <sheetData>
    <row r="1" spans="1:8" s="20" customFormat="1" x14ac:dyDescent="0.3">
      <c r="A1" s="8" t="s">
        <v>168</v>
      </c>
      <c r="B1" s="20" t="s">
        <v>169</v>
      </c>
      <c r="C1" s="20" t="s">
        <v>0</v>
      </c>
      <c r="D1" s="138" t="s">
        <v>170</v>
      </c>
      <c r="E1" s="20" t="s">
        <v>171</v>
      </c>
      <c r="F1" s="20" t="s">
        <v>188</v>
      </c>
      <c r="G1" s="8" t="s">
        <v>187</v>
      </c>
      <c r="H1" s="20" t="s">
        <v>60</v>
      </c>
    </row>
    <row r="2" spans="1:8" x14ac:dyDescent="0.3">
      <c r="A2" s="8">
        <v>43031.046990740739</v>
      </c>
      <c r="B2" s="20" t="s">
        <v>570</v>
      </c>
      <c r="C2" s="20" t="s">
        <v>591</v>
      </c>
      <c r="D2" s="138">
        <v>2680000</v>
      </c>
      <c r="E2" s="20" t="s">
        <v>364</v>
      </c>
      <c r="F2" s="20" t="s">
        <v>365</v>
      </c>
      <c r="G2" s="8" t="str">
        <f>E2&amp;" "&amp;F2</f>
        <v>DUNCAN SHEILA</v>
      </c>
      <c r="H2" t="str">
        <f>MID(B2,13,4)</f>
        <v>4025</v>
      </c>
    </row>
    <row r="3" spans="1:8" x14ac:dyDescent="0.3">
      <c r="A3" s="8">
        <v>43031.047939814816</v>
      </c>
      <c r="B3" s="20" t="s">
        <v>489</v>
      </c>
      <c r="C3" s="20" t="s">
        <v>592</v>
      </c>
      <c r="D3" s="138">
        <v>890000</v>
      </c>
      <c r="E3" s="20" t="s">
        <v>358</v>
      </c>
      <c r="F3" s="20" t="s">
        <v>359</v>
      </c>
      <c r="G3" s="8" t="str">
        <f t="shared" ref="G3:G66" si="0">E3&amp;" "&amp;F3</f>
        <v>LOZA FIDEL</v>
      </c>
      <c r="H3" s="20" t="str">
        <f t="shared" ref="H3:H66" si="1">MID(B3,13,4)</f>
        <v>4032</v>
      </c>
    </row>
    <row r="4" spans="1:8" x14ac:dyDescent="0.3">
      <c r="A4" s="8">
        <v>43031.066504629627</v>
      </c>
      <c r="B4" s="20" t="s">
        <v>571</v>
      </c>
      <c r="C4" s="20" t="s">
        <v>593</v>
      </c>
      <c r="D4" s="138">
        <v>3340000</v>
      </c>
      <c r="E4" s="20" t="s">
        <v>499</v>
      </c>
      <c r="F4" s="20" t="s">
        <v>500</v>
      </c>
      <c r="G4" s="8" t="str">
        <f t="shared" si="0"/>
        <v>ELBAUM MIKE</v>
      </c>
      <c r="H4" s="20" t="str">
        <f t="shared" si="1"/>
        <v>4028</v>
      </c>
    </row>
    <row r="5" spans="1:8" x14ac:dyDescent="0.3">
      <c r="A5" s="8">
        <v>43031.087916666664</v>
      </c>
      <c r="B5" s="20" t="s">
        <v>573</v>
      </c>
      <c r="C5" s="20" t="s">
        <v>594</v>
      </c>
      <c r="D5" s="138">
        <v>2680000</v>
      </c>
      <c r="E5" s="20" t="s">
        <v>364</v>
      </c>
      <c r="F5" s="20" t="s">
        <v>365</v>
      </c>
      <c r="G5" s="8" t="str">
        <f t="shared" si="0"/>
        <v>DUNCAN SHEILA</v>
      </c>
      <c r="H5" s="20" t="str">
        <f t="shared" si="1"/>
        <v>4026</v>
      </c>
    </row>
    <row r="6" spans="1:8" x14ac:dyDescent="0.3">
      <c r="A6" s="8">
        <v>43031.117638888885</v>
      </c>
      <c r="B6" s="20" t="s">
        <v>679</v>
      </c>
      <c r="C6" s="20" t="s">
        <v>680</v>
      </c>
      <c r="D6" s="138">
        <v>3120000</v>
      </c>
      <c r="E6" s="20" t="s">
        <v>681</v>
      </c>
      <c r="F6" s="20" t="s">
        <v>682</v>
      </c>
      <c r="G6" s="8" t="str">
        <f t="shared" si="0"/>
        <v>THOMPSON LESTER</v>
      </c>
      <c r="H6" s="20" t="str">
        <f t="shared" si="1"/>
        <v>4003</v>
      </c>
    </row>
    <row r="7" spans="1:8" x14ac:dyDescent="0.3">
      <c r="A7" s="8">
        <v>43031.132407407407</v>
      </c>
      <c r="B7" s="20" t="s">
        <v>638</v>
      </c>
      <c r="C7" s="20" t="s">
        <v>683</v>
      </c>
      <c r="D7" s="138">
        <v>3120000</v>
      </c>
      <c r="E7" s="20" t="s">
        <v>681</v>
      </c>
      <c r="F7" s="20" t="s">
        <v>682</v>
      </c>
      <c r="G7" s="8" t="str">
        <f t="shared" si="0"/>
        <v>THOMPSON LESTER</v>
      </c>
      <c r="H7" s="20" t="str">
        <f t="shared" si="1"/>
        <v>4034</v>
      </c>
    </row>
    <row r="8" spans="1:8" x14ac:dyDescent="0.3">
      <c r="A8" s="8">
        <v>43031.138240740744</v>
      </c>
      <c r="B8" s="20" t="s">
        <v>684</v>
      </c>
      <c r="C8" s="20" t="s">
        <v>685</v>
      </c>
      <c r="D8" s="138">
        <v>1110000</v>
      </c>
      <c r="E8" s="20" t="s">
        <v>686</v>
      </c>
      <c r="F8" s="20" t="s">
        <v>687</v>
      </c>
      <c r="G8" s="8" t="str">
        <f t="shared" si="0"/>
        <v>STARKS ANGELINA</v>
      </c>
      <c r="H8" s="20" t="str">
        <f t="shared" si="1"/>
        <v>4004</v>
      </c>
    </row>
    <row r="9" spans="1:8" ht="15" thickBot="1" x14ac:dyDescent="0.35">
      <c r="A9" s="24">
        <v>43031.139594907407</v>
      </c>
      <c r="B9" s="20" t="s">
        <v>642</v>
      </c>
      <c r="C9" s="20" t="s">
        <v>688</v>
      </c>
      <c r="D9" s="138">
        <v>940000</v>
      </c>
      <c r="E9" s="20" t="s">
        <v>689</v>
      </c>
      <c r="F9" s="20" t="s">
        <v>690</v>
      </c>
      <c r="G9" s="8" t="str">
        <f t="shared" si="0"/>
        <v>BONDS REYNALDO</v>
      </c>
      <c r="H9" s="20" t="str">
        <f t="shared" si="1"/>
        <v>4045</v>
      </c>
    </row>
    <row r="10" spans="1:8" x14ac:dyDescent="0.3">
      <c r="A10" s="8">
        <v>43031.141701388886</v>
      </c>
      <c r="B10" s="20" t="s">
        <v>679</v>
      </c>
      <c r="C10" s="20" t="s">
        <v>691</v>
      </c>
      <c r="D10" s="138">
        <v>1110000</v>
      </c>
      <c r="E10" s="20" t="s">
        <v>686</v>
      </c>
      <c r="F10" s="20" t="s">
        <v>687</v>
      </c>
      <c r="G10" s="8" t="str">
        <f t="shared" si="0"/>
        <v>STARKS ANGELINA</v>
      </c>
      <c r="H10" s="20" t="str">
        <f t="shared" si="1"/>
        <v>4003</v>
      </c>
    </row>
    <row r="11" spans="1:8" x14ac:dyDescent="0.3">
      <c r="A11" s="8">
        <v>43031.152743055558</v>
      </c>
      <c r="B11" s="20" t="s">
        <v>692</v>
      </c>
      <c r="C11" s="20" t="s">
        <v>693</v>
      </c>
      <c r="D11" s="138">
        <v>940000</v>
      </c>
      <c r="E11" s="20" t="s">
        <v>689</v>
      </c>
      <c r="F11" s="20" t="s">
        <v>690</v>
      </c>
      <c r="G11" s="8" t="str">
        <f t="shared" si="0"/>
        <v>BONDS REYNALDO</v>
      </c>
      <c r="H11" s="20" t="str">
        <f t="shared" si="1"/>
        <v>4046</v>
      </c>
    </row>
    <row r="12" spans="1:8" x14ac:dyDescent="0.3">
      <c r="A12" s="8">
        <v>43031.154861111114</v>
      </c>
      <c r="B12" s="20" t="s">
        <v>439</v>
      </c>
      <c r="C12" s="20" t="s">
        <v>694</v>
      </c>
      <c r="D12" s="138">
        <v>1830000</v>
      </c>
      <c r="E12" s="20" t="s">
        <v>373</v>
      </c>
      <c r="F12" s="20" t="s">
        <v>374</v>
      </c>
      <c r="G12" s="8" t="str">
        <f t="shared" si="0"/>
        <v>YORK EDGAR</v>
      </c>
      <c r="H12" s="20" t="str">
        <f t="shared" si="1"/>
        <v>4017</v>
      </c>
    </row>
    <row r="13" spans="1:8" x14ac:dyDescent="0.3">
      <c r="A13" s="8">
        <v>43031.164224537039</v>
      </c>
      <c r="B13" s="20" t="s">
        <v>435</v>
      </c>
      <c r="C13" s="20" t="s">
        <v>695</v>
      </c>
      <c r="D13" s="138">
        <v>1830000</v>
      </c>
      <c r="E13" s="20" t="s">
        <v>373</v>
      </c>
      <c r="F13" s="20" t="s">
        <v>374</v>
      </c>
      <c r="G13" s="8" t="str">
        <f t="shared" si="0"/>
        <v>YORK EDGAR</v>
      </c>
      <c r="H13" s="20" t="str">
        <f t="shared" si="1"/>
        <v>4018</v>
      </c>
    </row>
    <row r="14" spans="1:8" x14ac:dyDescent="0.3">
      <c r="A14" s="8">
        <v>43031.173935185187</v>
      </c>
      <c r="B14" s="20" t="s">
        <v>644</v>
      </c>
      <c r="C14" s="20" t="s">
        <v>696</v>
      </c>
      <c r="D14" s="138">
        <v>3120000</v>
      </c>
      <c r="E14" s="20" t="s">
        <v>681</v>
      </c>
      <c r="F14" s="20" t="s">
        <v>682</v>
      </c>
      <c r="G14" s="8" t="str">
        <f t="shared" si="0"/>
        <v>THOMPSON LESTER</v>
      </c>
      <c r="H14" s="20" t="str">
        <f t="shared" si="1"/>
        <v>4033</v>
      </c>
    </row>
    <row r="15" spans="1:8" x14ac:dyDescent="0.3">
      <c r="A15" s="8">
        <v>43031.174085648148</v>
      </c>
      <c r="B15" s="20" t="s">
        <v>468</v>
      </c>
      <c r="C15" s="20" t="s">
        <v>637</v>
      </c>
      <c r="D15" s="138">
        <v>3510000</v>
      </c>
      <c r="E15" s="20" t="s">
        <v>574</v>
      </c>
      <c r="F15" s="20" t="s">
        <v>575</v>
      </c>
      <c r="G15" s="8" t="str">
        <f t="shared" si="0"/>
        <v>BARRON PERLA</v>
      </c>
      <c r="H15" s="20" t="str">
        <f t="shared" si="1"/>
        <v>4015</v>
      </c>
    </row>
    <row r="16" spans="1:8" x14ac:dyDescent="0.3">
      <c r="A16" s="8">
        <v>43031.183796296296</v>
      </c>
      <c r="B16" s="20" t="s">
        <v>697</v>
      </c>
      <c r="C16" s="20" t="s">
        <v>698</v>
      </c>
      <c r="D16" s="138">
        <v>2010000</v>
      </c>
      <c r="E16" s="20" t="s">
        <v>477</v>
      </c>
      <c r="F16" s="20" t="s">
        <v>478</v>
      </c>
      <c r="G16" s="8" t="str">
        <f t="shared" si="0"/>
        <v>MAELZER KURT</v>
      </c>
      <c r="H16" s="20" t="str">
        <f t="shared" si="1"/>
        <v>4041</v>
      </c>
    </row>
    <row r="17" spans="1:8" x14ac:dyDescent="0.3">
      <c r="A17" s="8">
        <v>43031.186990740738</v>
      </c>
      <c r="B17" s="20" t="s">
        <v>481</v>
      </c>
      <c r="C17" s="20" t="s">
        <v>699</v>
      </c>
      <c r="D17" s="138">
        <v>3510000</v>
      </c>
      <c r="E17" s="20" t="s">
        <v>574</v>
      </c>
      <c r="F17" s="20" t="s">
        <v>575</v>
      </c>
      <c r="G17" s="8" t="str">
        <f t="shared" si="0"/>
        <v>BARRON PERLA</v>
      </c>
      <c r="H17" s="20" t="str">
        <f t="shared" si="1"/>
        <v>4016</v>
      </c>
    </row>
    <row r="18" spans="1:8" x14ac:dyDescent="0.3">
      <c r="A18" s="8">
        <v>43031.193067129629</v>
      </c>
      <c r="B18" s="20" t="s">
        <v>642</v>
      </c>
      <c r="C18" s="20" t="s">
        <v>700</v>
      </c>
      <c r="D18" s="138">
        <v>940000</v>
      </c>
      <c r="E18" s="20" t="s">
        <v>689</v>
      </c>
      <c r="F18" s="20" t="s">
        <v>690</v>
      </c>
      <c r="G18" s="8" t="str">
        <f t="shared" si="0"/>
        <v>BONDS REYNALDO</v>
      </c>
      <c r="H18" s="20" t="str">
        <f t="shared" si="1"/>
        <v>4045</v>
      </c>
    </row>
    <row r="19" spans="1:8" x14ac:dyDescent="0.3">
      <c r="A19" s="8">
        <v>43031.195185185185</v>
      </c>
      <c r="B19" s="20" t="s">
        <v>674</v>
      </c>
      <c r="C19" s="20" t="s">
        <v>701</v>
      </c>
      <c r="D19" s="138">
        <v>2010000</v>
      </c>
      <c r="E19" s="20" t="s">
        <v>477</v>
      </c>
      <c r="F19" s="20" t="s">
        <v>478</v>
      </c>
      <c r="G19" s="8" t="str">
        <f t="shared" si="0"/>
        <v>MAELZER KURT</v>
      </c>
      <c r="H19" s="20" t="str">
        <f t="shared" si="1"/>
        <v>4042</v>
      </c>
    </row>
    <row r="20" spans="1:8" x14ac:dyDescent="0.3">
      <c r="A20" s="8">
        <v>43031.200856481482</v>
      </c>
      <c r="B20" s="20" t="s">
        <v>702</v>
      </c>
      <c r="C20" s="20" t="s">
        <v>703</v>
      </c>
      <c r="D20" s="138">
        <v>2730000</v>
      </c>
      <c r="E20" s="20" t="s">
        <v>704</v>
      </c>
      <c r="F20" s="20" t="s">
        <v>705</v>
      </c>
      <c r="G20" s="8" t="str">
        <f t="shared" si="0"/>
        <v>YANG JAN</v>
      </c>
      <c r="H20" s="20" t="str">
        <f t="shared" si="1"/>
        <v>4063</v>
      </c>
    </row>
    <row r="21" spans="1:8" x14ac:dyDescent="0.3">
      <c r="A21" s="8">
        <v>43031.202106481483</v>
      </c>
      <c r="B21" s="20" t="s">
        <v>379</v>
      </c>
      <c r="C21" s="20" t="s">
        <v>706</v>
      </c>
      <c r="D21" s="138">
        <v>2560000</v>
      </c>
      <c r="E21" s="20" t="s">
        <v>576</v>
      </c>
      <c r="F21" s="20" t="s">
        <v>577</v>
      </c>
      <c r="G21" s="8" t="str">
        <f t="shared" si="0"/>
        <v>MACDONALD THOMAS</v>
      </c>
      <c r="H21" s="20" t="str">
        <f t="shared" si="1"/>
        <v>4040</v>
      </c>
    </row>
    <row r="22" spans="1:8" x14ac:dyDescent="0.3">
      <c r="A22" s="26">
        <v>43031.202314814815</v>
      </c>
      <c r="B22" s="20" t="s">
        <v>439</v>
      </c>
      <c r="C22" s="20" t="s">
        <v>707</v>
      </c>
      <c r="D22" s="138">
        <v>1830000</v>
      </c>
      <c r="E22" s="20" t="s">
        <v>373</v>
      </c>
      <c r="F22" s="20" t="s">
        <v>374</v>
      </c>
      <c r="G22" s="8" t="str">
        <f t="shared" si="0"/>
        <v>YORK EDGAR</v>
      </c>
      <c r="H22" s="20" t="str">
        <f t="shared" si="1"/>
        <v>4017</v>
      </c>
    </row>
    <row r="23" spans="1:8" x14ac:dyDescent="0.3">
      <c r="A23" s="8">
        <v>43031.206493055557</v>
      </c>
      <c r="B23" s="20" t="s">
        <v>638</v>
      </c>
      <c r="C23" s="20" t="s">
        <v>639</v>
      </c>
      <c r="D23" s="138">
        <v>3120000</v>
      </c>
      <c r="E23" s="20" t="s">
        <v>681</v>
      </c>
      <c r="F23" s="20" t="s">
        <v>682</v>
      </c>
      <c r="G23" s="8" t="str">
        <f t="shared" si="0"/>
        <v>THOMPSON LESTER</v>
      </c>
      <c r="H23" s="20" t="str">
        <f t="shared" si="1"/>
        <v>4034</v>
      </c>
    </row>
    <row r="24" spans="1:8" x14ac:dyDescent="0.3">
      <c r="A24" s="8">
        <v>43031.21298611111</v>
      </c>
      <c r="B24" s="20" t="s">
        <v>661</v>
      </c>
      <c r="C24" s="20" t="s">
        <v>708</v>
      </c>
      <c r="D24" s="138">
        <v>2560000</v>
      </c>
      <c r="E24" s="20" t="s">
        <v>576</v>
      </c>
      <c r="F24" s="20" t="s">
        <v>577</v>
      </c>
      <c r="G24" s="8" t="str">
        <f t="shared" si="0"/>
        <v>MACDONALD THOMAS</v>
      </c>
      <c r="H24" s="20" t="str">
        <f t="shared" si="1"/>
        <v>4039</v>
      </c>
    </row>
    <row r="25" spans="1:8" x14ac:dyDescent="0.3">
      <c r="A25" s="8">
        <v>43031.214699074073</v>
      </c>
      <c r="B25" s="20" t="s">
        <v>468</v>
      </c>
      <c r="C25" s="20" t="s">
        <v>709</v>
      </c>
      <c r="D25" s="138">
        <v>3510000</v>
      </c>
      <c r="E25" s="20" t="s">
        <v>574</v>
      </c>
      <c r="F25" s="20" t="s">
        <v>575</v>
      </c>
      <c r="G25" s="8" t="str">
        <f t="shared" si="0"/>
        <v>BARRON PERLA</v>
      </c>
      <c r="H25" s="20" t="str">
        <f t="shared" si="1"/>
        <v>4015</v>
      </c>
    </row>
    <row r="26" spans="1:8" x14ac:dyDescent="0.3">
      <c r="A26" s="8">
        <v>43031.215937499997</v>
      </c>
      <c r="B26" s="20" t="s">
        <v>710</v>
      </c>
      <c r="C26" s="20" t="s">
        <v>711</v>
      </c>
      <c r="D26" s="138">
        <v>2730000</v>
      </c>
      <c r="E26" s="20" t="s">
        <v>704</v>
      </c>
      <c r="F26" s="20" t="s">
        <v>705</v>
      </c>
      <c r="G26" s="8" t="str">
        <f t="shared" si="0"/>
        <v>YANG JAN</v>
      </c>
      <c r="H26" s="20" t="str">
        <f t="shared" si="1"/>
        <v>4064</v>
      </c>
    </row>
    <row r="27" spans="1:8" x14ac:dyDescent="0.3">
      <c r="A27" s="8">
        <v>43031.224120370367</v>
      </c>
      <c r="B27" s="20" t="s">
        <v>653</v>
      </c>
      <c r="C27" s="20" t="s">
        <v>712</v>
      </c>
      <c r="D27" s="138">
        <v>3090000</v>
      </c>
      <c r="E27" s="20" t="s">
        <v>578</v>
      </c>
      <c r="F27" s="20" t="s">
        <v>579</v>
      </c>
      <c r="G27" s="8" t="str">
        <f t="shared" si="0"/>
        <v>LAMAR NEKESHA</v>
      </c>
      <c r="H27" s="20" t="str">
        <f t="shared" si="1"/>
        <v>4049</v>
      </c>
    </row>
    <row r="28" spans="1:8" x14ac:dyDescent="0.3">
      <c r="A28" s="8">
        <v>43031.224988425929</v>
      </c>
      <c r="B28" s="20" t="s">
        <v>692</v>
      </c>
      <c r="C28" s="20" t="s">
        <v>713</v>
      </c>
      <c r="D28" s="138">
        <v>940000</v>
      </c>
      <c r="E28" s="20" t="s">
        <v>689</v>
      </c>
      <c r="F28" s="20" t="s">
        <v>690</v>
      </c>
      <c r="G28" s="8" t="str">
        <f t="shared" si="0"/>
        <v>BONDS REYNALDO</v>
      </c>
      <c r="H28" s="20" t="str">
        <f t="shared" si="1"/>
        <v>4046</v>
      </c>
    </row>
    <row r="29" spans="1:8" x14ac:dyDescent="0.3">
      <c r="A29" s="8">
        <v>43031.227106481485</v>
      </c>
      <c r="B29" s="20" t="s">
        <v>653</v>
      </c>
      <c r="C29" s="20" t="s">
        <v>712</v>
      </c>
      <c r="D29" s="138">
        <v>3090000</v>
      </c>
      <c r="E29" s="20" t="s">
        <v>578</v>
      </c>
      <c r="F29" s="20" t="s">
        <v>579</v>
      </c>
      <c r="G29" s="8" t="str">
        <f t="shared" si="0"/>
        <v>LAMAR NEKESHA</v>
      </c>
      <c r="H29" s="20" t="str">
        <f t="shared" si="1"/>
        <v>4049</v>
      </c>
    </row>
    <row r="30" spans="1:8" x14ac:dyDescent="0.3">
      <c r="A30" s="8">
        <v>43031.228414351855</v>
      </c>
      <c r="B30" s="20" t="s">
        <v>697</v>
      </c>
      <c r="C30" s="20" t="s">
        <v>714</v>
      </c>
      <c r="D30" s="138">
        <v>2010000</v>
      </c>
      <c r="E30" s="20" t="s">
        <v>477</v>
      </c>
      <c r="F30" s="20" t="s">
        <v>478</v>
      </c>
      <c r="G30" s="8" t="str">
        <f t="shared" si="0"/>
        <v>MAELZER KURT</v>
      </c>
      <c r="H30" s="20" t="str">
        <f t="shared" si="1"/>
        <v>4041</v>
      </c>
    </row>
    <row r="31" spans="1:8" x14ac:dyDescent="0.3">
      <c r="A31" s="8">
        <v>43031.235069444447</v>
      </c>
      <c r="B31" s="20" t="s">
        <v>379</v>
      </c>
      <c r="C31" s="20" t="s">
        <v>715</v>
      </c>
      <c r="D31" s="138">
        <v>2560000</v>
      </c>
      <c r="E31" s="20" t="s">
        <v>576</v>
      </c>
      <c r="F31" s="20" t="s">
        <v>577</v>
      </c>
      <c r="G31" s="8" t="str">
        <f t="shared" si="0"/>
        <v>MACDONALD THOMAS</v>
      </c>
      <c r="H31" s="20" t="str">
        <f t="shared" si="1"/>
        <v>4040</v>
      </c>
    </row>
    <row r="32" spans="1:8" x14ac:dyDescent="0.3">
      <c r="A32" s="8">
        <v>43031.236678240741</v>
      </c>
      <c r="B32" s="20" t="s">
        <v>572</v>
      </c>
      <c r="C32" s="20" t="s">
        <v>716</v>
      </c>
      <c r="D32" s="138">
        <v>3090000</v>
      </c>
      <c r="E32" s="20" t="s">
        <v>578</v>
      </c>
      <c r="F32" s="20" t="s">
        <v>579</v>
      </c>
      <c r="G32" s="8" t="str">
        <f t="shared" si="0"/>
        <v>LAMAR NEKESHA</v>
      </c>
      <c r="H32" s="20" t="str">
        <f t="shared" si="1"/>
        <v>4050</v>
      </c>
    </row>
    <row r="33" spans="1:8" x14ac:dyDescent="0.3">
      <c r="A33" s="8">
        <v>43031.238263888888</v>
      </c>
      <c r="B33" s="20" t="s">
        <v>417</v>
      </c>
      <c r="C33" s="20" t="s">
        <v>640</v>
      </c>
      <c r="D33" s="138">
        <v>1230000</v>
      </c>
      <c r="E33" s="20" t="s">
        <v>717</v>
      </c>
      <c r="F33" s="20" t="s">
        <v>718</v>
      </c>
      <c r="G33" s="8" t="str">
        <f t="shared" si="0"/>
        <v>YANAI IAN</v>
      </c>
      <c r="H33" s="20" t="str">
        <f t="shared" si="1"/>
        <v>4059</v>
      </c>
    </row>
    <row r="34" spans="1:8" x14ac:dyDescent="0.3">
      <c r="A34" s="8">
        <v>43031.243252314816</v>
      </c>
      <c r="B34" s="20" t="s">
        <v>435</v>
      </c>
      <c r="C34" s="20" t="s">
        <v>719</v>
      </c>
      <c r="D34" s="138">
        <v>1830000</v>
      </c>
      <c r="E34" s="20" t="s">
        <v>373</v>
      </c>
      <c r="F34" s="20" t="s">
        <v>374</v>
      </c>
      <c r="G34" s="8" t="str">
        <f t="shared" si="0"/>
        <v>YORK EDGAR</v>
      </c>
      <c r="H34" s="20" t="str">
        <f t="shared" si="1"/>
        <v>4018</v>
      </c>
    </row>
    <row r="35" spans="1:8" x14ac:dyDescent="0.3">
      <c r="A35" s="8">
        <v>43031.247245370374</v>
      </c>
      <c r="B35" s="20" t="s">
        <v>661</v>
      </c>
      <c r="C35" s="20" t="s">
        <v>720</v>
      </c>
      <c r="D35" s="138">
        <v>2560000</v>
      </c>
      <c r="E35" s="20" t="s">
        <v>576</v>
      </c>
      <c r="F35" s="20" t="s">
        <v>577</v>
      </c>
      <c r="G35" s="8" t="str">
        <f t="shared" si="0"/>
        <v>MACDONALD THOMAS</v>
      </c>
      <c r="H35" s="20" t="str">
        <f t="shared" si="1"/>
        <v>4039</v>
      </c>
    </row>
    <row r="36" spans="1:8" x14ac:dyDescent="0.3">
      <c r="A36" s="8">
        <v>43031.247372685182</v>
      </c>
      <c r="B36" s="20" t="s">
        <v>416</v>
      </c>
      <c r="C36" s="20" t="s">
        <v>641</v>
      </c>
      <c r="D36" s="138">
        <v>1230000</v>
      </c>
      <c r="E36" s="20" t="s">
        <v>717</v>
      </c>
      <c r="F36" s="20" t="s">
        <v>718</v>
      </c>
      <c r="G36" s="8" t="str">
        <f t="shared" si="0"/>
        <v>YANAI IAN</v>
      </c>
      <c r="H36" s="20" t="str">
        <f t="shared" si="1"/>
        <v>4060</v>
      </c>
    </row>
    <row r="37" spans="1:8" x14ac:dyDescent="0.3">
      <c r="A37" s="8">
        <v>43031.247627314813</v>
      </c>
      <c r="B37" s="20" t="s">
        <v>644</v>
      </c>
      <c r="C37" s="20" t="s">
        <v>645</v>
      </c>
      <c r="D37" s="138">
        <v>3120000</v>
      </c>
      <c r="E37" s="20" t="s">
        <v>681</v>
      </c>
      <c r="F37" s="20" t="s">
        <v>682</v>
      </c>
      <c r="G37" s="8" t="str">
        <f t="shared" si="0"/>
        <v>THOMPSON LESTER</v>
      </c>
      <c r="H37" s="20" t="str">
        <f t="shared" si="1"/>
        <v>4033</v>
      </c>
    </row>
    <row r="38" spans="1:8" x14ac:dyDescent="0.3">
      <c r="A38" s="8">
        <v>43031.254884259259</v>
      </c>
      <c r="B38" s="20" t="s">
        <v>702</v>
      </c>
      <c r="C38" s="20" t="s">
        <v>721</v>
      </c>
      <c r="D38" s="138">
        <v>2730000</v>
      </c>
      <c r="E38" s="20" t="s">
        <v>704</v>
      </c>
      <c r="F38" s="20" t="s">
        <v>705</v>
      </c>
      <c r="G38" s="8" t="str">
        <f t="shared" si="0"/>
        <v>YANG JAN</v>
      </c>
      <c r="H38" s="20" t="str">
        <f t="shared" si="1"/>
        <v>4063</v>
      </c>
    </row>
    <row r="39" spans="1:8" x14ac:dyDescent="0.3">
      <c r="A39" s="8">
        <v>43031.256215277775</v>
      </c>
      <c r="B39" s="20" t="s">
        <v>481</v>
      </c>
      <c r="C39" s="20" t="s">
        <v>722</v>
      </c>
      <c r="D39" s="138">
        <v>3300000</v>
      </c>
      <c r="E39" s="20" t="s">
        <v>723</v>
      </c>
      <c r="F39" s="20" t="s">
        <v>724</v>
      </c>
      <c r="G39" s="8" t="str">
        <f t="shared" si="0"/>
        <v>LANGERAK WILLIAM</v>
      </c>
      <c r="H39" s="20" t="str">
        <f t="shared" si="1"/>
        <v>4016</v>
      </c>
    </row>
    <row r="40" spans="1:8" x14ac:dyDescent="0.3">
      <c r="A40" s="8">
        <v>43031.267870370371</v>
      </c>
      <c r="B40" s="25" t="s">
        <v>642</v>
      </c>
      <c r="C40" s="20" t="s">
        <v>643</v>
      </c>
      <c r="D40" s="138">
        <v>940000</v>
      </c>
      <c r="E40" s="20" t="s">
        <v>689</v>
      </c>
      <c r="F40" s="20" t="s">
        <v>690</v>
      </c>
      <c r="G40" s="8" t="str">
        <f t="shared" si="0"/>
        <v>BONDS REYNALDO</v>
      </c>
      <c r="H40" s="20" t="str">
        <f t="shared" si="1"/>
        <v>4045</v>
      </c>
    </row>
    <row r="41" spans="1:8" x14ac:dyDescent="0.3">
      <c r="A41" s="8">
        <v>43031.268472222226</v>
      </c>
      <c r="B41" s="20" t="s">
        <v>674</v>
      </c>
      <c r="C41" s="20" t="s">
        <v>725</v>
      </c>
      <c r="D41" s="138">
        <v>2010000</v>
      </c>
      <c r="E41" s="20" t="s">
        <v>477</v>
      </c>
      <c r="F41" s="20" t="s">
        <v>478</v>
      </c>
      <c r="G41" s="8" t="str">
        <f t="shared" si="0"/>
        <v>MAELZER KURT</v>
      </c>
      <c r="H41" s="20" t="str">
        <f t="shared" si="1"/>
        <v>4042</v>
      </c>
    </row>
    <row r="42" spans="1:8" x14ac:dyDescent="0.3">
      <c r="A42" s="8">
        <v>43031.268611111111</v>
      </c>
      <c r="B42" s="20" t="s">
        <v>417</v>
      </c>
      <c r="C42" s="20" t="s">
        <v>646</v>
      </c>
      <c r="D42" s="138">
        <v>1230000</v>
      </c>
      <c r="E42" s="20" t="s">
        <v>717</v>
      </c>
      <c r="F42" s="20" t="s">
        <v>718</v>
      </c>
      <c r="G42" s="8" t="str">
        <f t="shared" si="0"/>
        <v>YANAI IAN</v>
      </c>
      <c r="H42" s="20" t="str">
        <f t="shared" si="1"/>
        <v>4059</v>
      </c>
    </row>
    <row r="43" spans="1:8" x14ac:dyDescent="0.3">
      <c r="A43" s="8">
        <v>43031.275555555556</v>
      </c>
      <c r="B43" s="20" t="s">
        <v>439</v>
      </c>
      <c r="C43" s="20" t="s">
        <v>726</v>
      </c>
      <c r="D43" s="138">
        <v>1830000</v>
      </c>
      <c r="E43" s="20" t="s">
        <v>373</v>
      </c>
      <c r="F43" s="20" t="s">
        <v>374</v>
      </c>
      <c r="G43" s="8" t="str">
        <f t="shared" si="0"/>
        <v>YORK EDGAR</v>
      </c>
      <c r="H43" s="20" t="str">
        <f t="shared" si="1"/>
        <v>4017</v>
      </c>
    </row>
    <row r="44" spans="1:8" x14ac:dyDescent="0.3">
      <c r="A44" s="8">
        <v>43031.27616898148</v>
      </c>
      <c r="B44" s="20" t="s">
        <v>379</v>
      </c>
      <c r="C44" s="20" t="s">
        <v>727</v>
      </c>
      <c r="D44" s="138">
        <v>2560000</v>
      </c>
      <c r="E44" s="20" t="s">
        <v>576</v>
      </c>
      <c r="F44" s="20" t="s">
        <v>577</v>
      </c>
      <c r="G44" s="8" t="str">
        <f t="shared" si="0"/>
        <v>MACDONALD THOMAS</v>
      </c>
      <c r="H44" s="20" t="str">
        <f t="shared" si="1"/>
        <v>4040</v>
      </c>
    </row>
    <row r="45" spans="1:8" x14ac:dyDescent="0.3">
      <c r="A45" s="8">
        <v>43031.277256944442</v>
      </c>
      <c r="B45" s="20" t="s">
        <v>653</v>
      </c>
      <c r="C45" s="20" t="s">
        <v>728</v>
      </c>
      <c r="D45" s="138">
        <v>3090000</v>
      </c>
      <c r="E45" s="20" t="s">
        <v>578</v>
      </c>
      <c r="F45" s="20" t="s">
        <v>579</v>
      </c>
      <c r="G45" s="8" t="str">
        <f t="shared" si="0"/>
        <v>LAMAR NEKESHA</v>
      </c>
      <c r="H45" s="20" t="str">
        <f t="shared" si="1"/>
        <v>4049</v>
      </c>
    </row>
    <row r="46" spans="1:8" x14ac:dyDescent="0.3">
      <c r="A46" s="8">
        <v>43031.279537037037</v>
      </c>
      <c r="B46" s="20" t="s">
        <v>638</v>
      </c>
      <c r="C46" s="20" t="s">
        <v>729</v>
      </c>
      <c r="D46" s="138">
        <v>3120000</v>
      </c>
      <c r="E46" s="20" t="s">
        <v>681</v>
      </c>
      <c r="F46" s="20" t="s">
        <v>682</v>
      </c>
      <c r="G46" s="8" t="str">
        <f t="shared" si="0"/>
        <v>THOMPSON LESTER</v>
      </c>
      <c r="H46" s="20" t="str">
        <f t="shared" si="1"/>
        <v>4034</v>
      </c>
    </row>
    <row r="47" spans="1:8" x14ac:dyDescent="0.3">
      <c r="A47" s="8">
        <v>43031.28833333333</v>
      </c>
      <c r="B47" s="20" t="s">
        <v>661</v>
      </c>
      <c r="C47" s="20" t="s">
        <v>730</v>
      </c>
      <c r="D47" s="138">
        <v>2560000</v>
      </c>
      <c r="E47" s="20" t="s">
        <v>576</v>
      </c>
      <c r="F47" s="20" t="s">
        <v>577</v>
      </c>
      <c r="G47" s="8" t="str">
        <f t="shared" si="0"/>
        <v>MACDONALD THOMAS</v>
      </c>
      <c r="H47" s="20" t="str">
        <f t="shared" si="1"/>
        <v>4039</v>
      </c>
    </row>
    <row r="48" spans="1:8" x14ac:dyDescent="0.3">
      <c r="A48" s="8">
        <v>43031.289027777777</v>
      </c>
      <c r="B48" s="20" t="s">
        <v>710</v>
      </c>
      <c r="C48" s="20" t="s">
        <v>731</v>
      </c>
      <c r="D48" s="138">
        <v>2730000</v>
      </c>
      <c r="E48" s="20" t="s">
        <v>704</v>
      </c>
      <c r="F48" s="20" t="s">
        <v>705</v>
      </c>
      <c r="G48" s="8" t="str">
        <f t="shared" si="0"/>
        <v>YANG JAN</v>
      </c>
      <c r="H48" s="20" t="str">
        <f t="shared" si="1"/>
        <v>4064</v>
      </c>
    </row>
    <row r="49" spans="1:8" x14ac:dyDescent="0.3">
      <c r="A49" s="8">
        <v>43031.289293981485</v>
      </c>
      <c r="B49" s="20" t="s">
        <v>416</v>
      </c>
      <c r="C49" s="20" t="s">
        <v>732</v>
      </c>
      <c r="D49" s="138">
        <v>1230000</v>
      </c>
      <c r="E49" s="20" t="s">
        <v>717</v>
      </c>
      <c r="F49" s="20" t="s">
        <v>718</v>
      </c>
      <c r="G49" s="8" t="str">
        <f t="shared" si="0"/>
        <v>YANAI IAN</v>
      </c>
      <c r="H49" s="20" t="str">
        <f t="shared" si="1"/>
        <v>4060</v>
      </c>
    </row>
    <row r="50" spans="1:8" x14ac:dyDescent="0.3">
      <c r="A50" s="8">
        <v>43031.295428240737</v>
      </c>
      <c r="B50" s="20" t="s">
        <v>468</v>
      </c>
      <c r="C50" s="20" t="s">
        <v>647</v>
      </c>
      <c r="D50" s="138">
        <v>3300000</v>
      </c>
      <c r="E50" s="20" t="s">
        <v>723</v>
      </c>
      <c r="F50" s="20" t="s">
        <v>724</v>
      </c>
      <c r="G50" s="8" t="str">
        <f t="shared" si="0"/>
        <v>LANGERAK WILLIAM</v>
      </c>
      <c r="H50" s="20" t="str">
        <f t="shared" si="1"/>
        <v>4015</v>
      </c>
    </row>
    <row r="51" spans="1:8" x14ac:dyDescent="0.3">
      <c r="A51" s="8">
        <v>43031.298067129632</v>
      </c>
      <c r="B51" s="20" t="s">
        <v>692</v>
      </c>
      <c r="C51" s="20" t="s">
        <v>733</v>
      </c>
      <c r="D51" s="138">
        <v>940000</v>
      </c>
      <c r="E51" s="20" t="s">
        <v>689</v>
      </c>
      <c r="F51" s="20" t="s">
        <v>690</v>
      </c>
      <c r="G51" s="8" t="str">
        <f t="shared" si="0"/>
        <v>BONDS REYNALDO</v>
      </c>
      <c r="H51" s="20" t="str">
        <f t="shared" si="1"/>
        <v>4046</v>
      </c>
    </row>
    <row r="52" spans="1:8" x14ac:dyDescent="0.3">
      <c r="A52" s="8">
        <v>43031.300844907404</v>
      </c>
      <c r="B52" s="20" t="s">
        <v>684</v>
      </c>
      <c r="C52" s="20" t="s">
        <v>734</v>
      </c>
      <c r="D52" s="138">
        <v>2270000</v>
      </c>
      <c r="E52" s="20" t="s">
        <v>580</v>
      </c>
      <c r="F52" s="20" t="s">
        <v>581</v>
      </c>
      <c r="G52" s="8" t="str">
        <f t="shared" si="0"/>
        <v>BROWN JACOB</v>
      </c>
      <c r="H52" s="20" t="str">
        <f t="shared" si="1"/>
        <v>4004</v>
      </c>
    </row>
    <row r="53" spans="1:8" x14ac:dyDescent="0.3">
      <c r="A53" s="8">
        <v>43031.30097222222</v>
      </c>
      <c r="B53" s="20" t="s">
        <v>638</v>
      </c>
      <c r="C53" s="20" t="s">
        <v>729</v>
      </c>
      <c r="D53" s="138">
        <v>3120000</v>
      </c>
      <c r="E53" s="20" t="s">
        <v>681</v>
      </c>
      <c r="F53" s="20" t="s">
        <v>682</v>
      </c>
      <c r="G53" s="8" t="str">
        <f t="shared" si="0"/>
        <v>THOMPSON LESTER</v>
      </c>
      <c r="H53" s="20" t="str">
        <f t="shared" si="1"/>
        <v>4034</v>
      </c>
    </row>
    <row r="54" spans="1:8" x14ac:dyDescent="0.3">
      <c r="A54" s="8">
        <v>43031.304537037038</v>
      </c>
      <c r="B54" s="20" t="s">
        <v>697</v>
      </c>
      <c r="C54" s="20" t="s">
        <v>735</v>
      </c>
      <c r="D54" s="138">
        <v>2010000</v>
      </c>
      <c r="E54" s="20" t="s">
        <v>477</v>
      </c>
      <c r="F54" s="20" t="s">
        <v>478</v>
      </c>
      <c r="G54" s="8" t="str">
        <f t="shared" si="0"/>
        <v>MAELZER KURT</v>
      </c>
      <c r="H54" s="20" t="str">
        <f t="shared" si="1"/>
        <v>4041</v>
      </c>
    </row>
    <row r="55" spans="1:8" x14ac:dyDescent="0.3">
      <c r="A55" s="8">
        <v>43031.305428240739</v>
      </c>
      <c r="B55" s="20" t="s">
        <v>679</v>
      </c>
      <c r="C55" s="20" t="s">
        <v>736</v>
      </c>
      <c r="D55" s="138">
        <v>2270000</v>
      </c>
      <c r="E55" s="20" t="s">
        <v>580</v>
      </c>
      <c r="F55" s="20" t="s">
        <v>581</v>
      </c>
      <c r="G55" s="8" t="str">
        <f t="shared" si="0"/>
        <v>BROWN JACOB</v>
      </c>
      <c r="H55" s="20" t="str">
        <f t="shared" si="1"/>
        <v>4003</v>
      </c>
    </row>
    <row r="56" spans="1:8" x14ac:dyDescent="0.3">
      <c r="A56" s="8">
        <v>43031.30908564815</v>
      </c>
      <c r="B56" s="20" t="s">
        <v>417</v>
      </c>
      <c r="C56" s="20" t="s">
        <v>737</v>
      </c>
      <c r="D56" s="138">
        <v>1230000</v>
      </c>
      <c r="E56" s="20" t="s">
        <v>717</v>
      </c>
      <c r="F56" s="20" t="s">
        <v>718</v>
      </c>
      <c r="G56" s="8" t="str">
        <f t="shared" si="0"/>
        <v>YANAI IAN</v>
      </c>
      <c r="H56" s="20" t="str">
        <f t="shared" si="1"/>
        <v>4059</v>
      </c>
    </row>
    <row r="57" spans="1:8" x14ac:dyDescent="0.3">
      <c r="A57" s="8">
        <v>43031.309791666667</v>
      </c>
      <c r="B57" s="20" t="s">
        <v>684</v>
      </c>
      <c r="C57" s="20" t="s">
        <v>738</v>
      </c>
      <c r="D57" s="138">
        <v>2270000</v>
      </c>
      <c r="E57" s="20" t="s">
        <v>580</v>
      </c>
      <c r="F57" s="20" t="s">
        <v>581</v>
      </c>
      <c r="G57" s="8" t="str">
        <f t="shared" si="0"/>
        <v>BROWN JACOB</v>
      </c>
      <c r="H57" s="20" t="str">
        <f t="shared" si="1"/>
        <v>4004</v>
      </c>
    </row>
    <row r="58" spans="1:8" x14ac:dyDescent="0.3">
      <c r="A58" s="8">
        <v>43031.31927083333</v>
      </c>
      <c r="B58" s="20" t="s">
        <v>379</v>
      </c>
      <c r="C58" s="20" t="s">
        <v>648</v>
      </c>
      <c r="D58" s="138">
        <v>2560000</v>
      </c>
      <c r="E58" s="20" t="s">
        <v>576</v>
      </c>
      <c r="F58" s="20" t="s">
        <v>577</v>
      </c>
      <c r="G58" s="8" t="str">
        <f t="shared" si="0"/>
        <v>MACDONALD THOMAS</v>
      </c>
      <c r="H58" s="20" t="str">
        <f t="shared" si="1"/>
        <v>4040</v>
      </c>
    </row>
    <row r="59" spans="1:8" x14ac:dyDescent="0.3">
      <c r="A59" s="8">
        <v>43031.319525462961</v>
      </c>
      <c r="B59" s="20" t="s">
        <v>572</v>
      </c>
      <c r="C59" s="20" t="s">
        <v>739</v>
      </c>
      <c r="D59" s="138">
        <v>3090000</v>
      </c>
      <c r="E59" s="20" t="s">
        <v>578</v>
      </c>
      <c r="F59" s="20" t="s">
        <v>579</v>
      </c>
      <c r="G59" s="8" t="str">
        <f t="shared" si="0"/>
        <v>LAMAR NEKESHA</v>
      </c>
      <c r="H59" s="20" t="str">
        <f t="shared" si="1"/>
        <v>4050</v>
      </c>
    </row>
    <row r="60" spans="1:8" x14ac:dyDescent="0.3">
      <c r="A60" s="8">
        <v>43031.324803240743</v>
      </c>
      <c r="B60" s="20" t="s">
        <v>644</v>
      </c>
      <c r="C60" s="20" t="s">
        <v>650</v>
      </c>
      <c r="D60" s="138">
        <v>3120000</v>
      </c>
      <c r="E60" s="20" t="s">
        <v>681</v>
      </c>
      <c r="F60" s="20" t="s">
        <v>682</v>
      </c>
      <c r="G60" s="8" t="str">
        <f t="shared" si="0"/>
        <v>THOMPSON LESTER</v>
      </c>
      <c r="H60" s="20" t="str">
        <f t="shared" si="1"/>
        <v>4033</v>
      </c>
    </row>
    <row r="61" spans="1:8" x14ac:dyDescent="0.3">
      <c r="A61" s="8">
        <v>43031.326388888891</v>
      </c>
      <c r="B61" s="20" t="s">
        <v>435</v>
      </c>
      <c r="C61" s="20" t="s">
        <v>740</v>
      </c>
      <c r="D61" s="138">
        <v>1830000</v>
      </c>
      <c r="E61" s="20" t="s">
        <v>373</v>
      </c>
      <c r="F61" s="20" t="s">
        <v>374</v>
      </c>
      <c r="G61" s="8" t="str">
        <f t="shared" si="0"/>
        <v>YORK EDGAR</v>
      </c>
      <c r="H61" s="20" t="str">
        <f t="shared" si="1"/>
        <v>4018</v>
      </c>
    </row>
    <row r="62" spans="1:8" x14ac:dyDescent="0.3">
      <c r="A62" s="8">
        <v>43031.330868055556</v>
      </c>
      <c r="B62" s="20" t="s">
        <v>661</v>
      </c>
      <c r="C62" s="20" t="s">
        <v>741</v>
      </c>
      <c r="D62" s="138">
        <v>2560000</v>
      </c>
      <c r="E62" s="20" t="s">
        <v>576</v>
      </c>
      <c r="F62" s="20" t="s">
        <v>577</v>
      </c>
      <c r="G62" s="8" t="str">
        <f t="shared" si="0"/>
        <v>MACDONALD THOMAS</v>
      </c>
      <c r="H62" s="20" t="str">
        <f t="shared" si="1"/>
        <v>4039</v>
      </c>
    </row>
    <row r="63" spans="1:8" x14ac:dyDescent="0.3">
      <c r="A63" s="8">
        <v>43031.331122685187</v>
      </c>
      <c r="B63" s="20" t="s">
        <v>416</v>
      </c>
      <c r="C63" s="20" t="s">
        <v>742</v>
      </c>
      <c r="D63" s="138">
        <v>1230000</v>
      </c>
      <c r="E63" s="20" t="s">
        <v>717</v>
      </c>
      <c r="F63" s="20" t="s">
        <v>718</v>
      </c>
      <c r="G63" s="8" t="str">
        <f t="shared" si="0"/>
        <v>YANAI IAN</v>
      </c>
      <c r="H63" s="20" t="str">
        <f t="shared" si="1"/>
        <v>4060</v>
      </c>
    </row>
    <row r="64" spans="1:8" x14ac:dyDescent="0.3">
      <c r="A64" s="26">
        <v>43031.335625</v>
      </c>
      <c r="B64" s="20" t="s">
        <v>702</v>
      </c>
      <c r="C64" s="20" t="s">
        <v>743</v>
      </c>
      <c r="D64" s="138">
        <v>2730000</v>
      </c>
      <c r="E64" s="20" t="s">
        <v>704</v>
      </c>
      <c r="F64" s="20" t="s">
        <v>705</v>
      </c>
      <c r="G64" s="8" t="str">
        <f t="shared" si="0"/>
        <v>YANG JAN</v>
      </c>
      <c r="H64" s="20" t="str">
        <f t="shared" si="1"/>
        <v>4063</v>
      </c>
    </row>
    <row r="65" spans="1:8" x14ac:dyDescent="0.3">
      <c r="A65" s="8">
        <v>43031.339432870373</v>
      </c>
      <c r="B65" s="20" t="s">
        <v>481</v>
      </c>
      <c r="C65" s="20" t="s">
        <v>744</v>
      </c>
      <c r="D65" s="138">
        <v>3510000</v>
      </c>
      <c r="E65" s="20" t="s">
        <v>574</v>
      </c>
      <c r="F65" s="20" t="s">
        <v>575</v>
      </c>
      <c r="G65" s="8" t="str">
        <f t="shared" si="0"/>
        <v>BARRON PERLA</v>
      </c>
      <c r="H65" s="20" t="str">
        <f t="shared" si="1"/>
        <v>4016</v>
      </c>
    </row>
    <row r="66" spans="1:8" x14ac:dyDescent="0.3">
      <c r="A66" s="8">
        <v>43031.341134259259</v>
      </c>
      <c r="B66" s="20" t="s">
        <v>414</v>
      </c>
      <c r="C66" s="20" t="s">
        <v>745</v>
      </c>
      <c r="D66" s="138">
        <v>1260000</v>
      </c>
      <c r="E66" s="20" t="s">
        <v>746</v>
      </c>
      <c r="F66" s="20" t="s">
        <v>747</v>
      </c>
      <c r="G66" s="8" t="str">
        <f t="shared" si="0"/>
        <v>ACKERMAN JARED</v>
      </c>
      <c r="H66" s="20" t="str">
        <f t="shared" si="1"/>
        <v>4008</v>
      </c>
    </row>
    <row r="67" spans="1:8" x14ac:dyDescent="0.3">
      <c r="A67" s="8">
        <v>43031.341365740744</v>
      </c>
      <c r="B67" s="20" t="s">
        <v>642</v>
      </c>
      <c r="C67" s="20" t="s">
        <v>651</v>
      </c>
      <c r="D67" s="138">
        <v>940000</v>
      </c>
      <c r="E67" s="20" t="s">
        <v>689</v>
      </c>
      <c r="F67" s="20" t="s">
        <v>690</v>
      </c>
      <c r="G67" s="8" t="str">
        <f t="shared" ref="G67:G130" si="2">E67&amp;" "&amp;F67</f>
        <v>BONDS REYNALDO</v>
      </c>
      <c r="H67" s="20" t="str">
        <f t="shared" ref="H67:H130" si="3">MID(B67,13,4)</f>
        <v>4045</v>
      </c>
    </row>
    <row r="68" spans="1:8" x14ac:dyDescent="0.3">
      <c r="A68" s="8">
        <v>43031.348726851851</v>
      </c>
      <c r="B68" s="20" t="s">
        <v>679</v>
      </c>
      <c r="C68" s="20" t="s">
        <v>748</v>
      </c>
      <c r="D68" s="138">
        <v>2270000</v>
      </c>
      <c r="E68" s="20" t="s">
        <v>580</v>
      </c>
      <c r="F68" s="20" t="s">
        <v>581</v>
      </c>
      <c r="G68" s="8" t="str">
        <f t="shared" si="2"/>
        <v>BROWN JACOB</v>
      </c>
      <c r="H68" s="20" t="str">
        <f t="shared" si="3"/>
        <v>4003</v>
      </c>
    </row>
    <row r="69" spans="1:8" x14ac:dyDescent="0.3">
      <c r="A69" s="8">
        <v>43031.34883101852</v>
      </c>
      <c r="B69" s="20" t="s">
        <v>437</v>
      </c>
      <c r="C69" s="20" t="s">
        <v>749</v>
      </c>
      <c r="D69" s="138">
        <v>1260000</v>
      </c>
      <c r="E69" s="20" t="s">
        <v>746</v>
      </c>
      <c r="F69" s="20" t="s">
        <v>747</v>
      </c>
      <c r="G69" s="8" t="str">
        <f t="shared" si="2"/>
        <v>ACKERMAN JARED</v>
      </c>
      <c r="H69" s="20" t="str">
        <f t="shared" si="3"/>
        <v>4007</v>
      </c>
    </row>
    <row r="70" spans="1:8" x14ac:dyDescent="0.3">
      <c r="A70" s="8">
        <v>43031.350439814814</v>
      </c>
      <c r="B70" s="20" t="s">
        <v>417</v>
      </c>
      <c r="C70" s="20" t="s">
        <v>750</v>
      </c>
      <c r="D70" s="138">
        <v>1230000</v>
      </c>
      <c r="E70" s="20" t="s">
        <v>717</v>
      </c>
      <c r="F70" s="20" t="s">
        <v>718</v>
      </c>
      <c r="G70" s="8" t="str">
        <f t="shared" si="2"/>
        <v>YANAI IAN</v>
      </c>
      <c r="H70" s="20" t="str">
        <f t="shared" si="3"/>
        <v>4059</v>
      </c>
    </row>
    <row r="71" spans="1:8" x14ac:dyDescent="0.3">
      <c r="A71" s="8">
        <v>43031.352916666663</v>
      </c>
      <c r="B71" s="20" t="s">
        <v>379</v>
      </c>
      <c r="C71" s="20" t="s">
        <v>649</v>
      </c>
      <c r="D71" s="138">
        <v>2560000</v>
      </c>
      <c r="E71" s="20" t="s">
        <v>576</v>
      </c>
      <c r="F71" s="20" t="s">
        <v>577</v>
      </c>
      <c r="G71" s="8" t="str">
        <f t="shared" si="2"/>
        <v>MACDONALD THOMAS</v>
      </c>
      <c r="H71" s="20" t="str">
        <f t="shared" si="3"/>
        <v>4040</v>
      </c>
    </row>
    <row r="72" spans="1:8" x14ac:dyDescent="0.3">
      <c r="A72" s="8">
        <v>43031.352951388886</v>
      </c>
      <c r="B72" s="20" t="s">
        <v>674</v>
      </c>
      <c r="C72" s="20" t="s">
        <v>751</v>
      </c>
      <c r="D72" s="138">
        <v>2010000</v>
      </c>
      <c r="E72" s="20" t="s">
        <v>477</v>
      </c>
      <c r="F72" s="20" t="s">
        <v>478</v>
      </c>
      <c r="G72" s="8" t="str">
        <f t="shared" si="2"/>
        <v>MAELZER KURT</v>
      </c>
      <c r="H72" s="20" t="str">
        <f t="shared" si="3"/>
        <v>4042</v>
      </c>
    </row>
    <row r="73" spans="1:8" x14ac:dyDescent="0.3">
      <c r="A73" s="8">
        <v>43031.353009259263</v>
      </c>
      <c r="B73" s="20" t="s">
        <v>417</v>
      </c>
      <c r="C73" s="20" t="s">
        <v>750</v>
      </c>
      <c r="D73" s="138">
        <v>1230000</v>
      </c>
      <c r="E73" s="20" t="s">
        <v>717</v>
      </c>
      <c r="F73" s="20" t="s">
        <v>718</v>
      </c>
      <c r="G73" s="8" t="str">
        <f t="shared" si="2"/>
        <v>YANAI IAN</v>
      </c>
      <c r="H73" s="20" t="str">
        <f t="shared" si="3"/>
        <v>4059</v>
      </c>
    </row>
    <row r="74" spans="1:8" x14ac:dyDescent="0.3">
      <c r="A74" s="8">
        <v>43031.354884259257</v>
      </c>
      <c r="B74" s="20" t="s">
        <v>379</v>
      </c>
      <c r="C74" s="20" t="s">
        <v>649</v>
      </c>
      <c r="D74" s="138">
        <v>2560000</v>
      </c>
      <c r="E74" s="20" t="s">
        <v>576</v>
      </c>
      <c r="F74" s="20" t="s">
        <v>577</v>
      </c>
      <c r="G74" s="8" t="str">
        <f t="shared" si="2"/>
        <v>MACDONALD THOMAS</v>
      </c>
      <c r="H74" s="20" t="str">
        <f t="shared" si="3"/>
        <v>4040</v>
      </c>
    </row>
    <row r="75" spans="1:8" x14ac:dyDescent="0.3">
      <c r="A75" s="8">
        <v>43031.35497685185</v>
      </c>
      <c r="B75" s="20" t="s">
        <v>414</v>
      </c>
      <c r="C75" s="20" t="s">
        <v>752</v>
      </c>
      <c r="D75" s="138">
        <v>1260000</v>
      </c>
      <c r="E75" s="20" t="s">
        <v>746</v>
      </c>
      <c r="F75" s="20" t="s">
        <v>747</v>
      </c>
      <c r="G75" s="8" t="str">
        <f t="shared" si="2"/>
        <v>ACKERMAN JARED</v>
      </c>
      <c r="H75" s="20" t="str">
        <f t="shared" si="3"/>
        <v>4008</v>
      </c>
    </row>
    <row r="76" spans="1:8" x14ac:dyDescent="0.3">
      <c r="A76" s="8">
        <v>43031.355914351851</v>
      </c>
      <c r="B76" s="20" t="s">
        <v>414</v>
      </c>
      <c r="C76" s="20" t="s">
        <v>752</v>
      </c>
      <c r="D76" s="138">
        <v>1260000</v>
      </c>
      <c r="E76" s="20" t="s">
        <v>746</v>
      </c>
      <c r="F76" s="20" t="s">
        <v>747</v>
      </c>
      <c r="G76" s="8" t="str">
        <f t="shared" si="2"/>
        <v>ACKERMAN JARED</v>
      </c>
      <c r="H76" s="20" t="str">
        <f t="shared" si="3"/>
        <v>4008</v>
      </c>
    </row>
    <row r="77" spans="1:8" x14ac:dyDescent="0.3">
      <c r="A77" s="8">
        <v>43031.360509259262</v>
      </c>
      <c r="B77" s="20" t="s">
        <v>653</v>
      </c>
      <c r="C77" s="20" t="s">
        <v>654</v>
      </c>
      <c r="D77" s="138">
        <v>3090000</v>
      </c>
      <c r="E77" s="20" t="s">
        <v>578</v>
      </c>
      <c r="F77" s="20" t="s">
        <v>579</v>
      </c>
      <c r="G77" s="8" t="str">
        <f t="shared" si="2"/>
        <v>LAMAR NEKESHA</v>
      </c>
      <c r="H77" s="20" t="str">
        <f t="shared" si="3"/>
        <v>4049</v>
      </c>
    </row>
    <row r="78" spans="1:8" x14ac:dyDescent="0.3">
      <c r="A78" s="8">
        <v>43031.364814814813</v>
      </c>
      <c r="B78" s="20" t="s">
        <v>439</v>
      </c>
      <c r="C78" s="20" t="s">
        <v>753</v>
      </c>
      <c r="D78" s="138">
        <v>1830000</v>
      </c>
      <c r="E78" s="20" t="s">
        <v>373</v>
      </c>
      <c r="F78" s="20" t="s">
        <v>374</v>
      </c>
      <c r="G78" s="8" t="str">
        <f t="shared" si="2"/>
        <v>YORK EDGAR</v>
      </c>
      <c r="H78" s="20" t="str">
        <f t="shared" si="3"/>
        <v>4017</v>
      </c>
    </row>
    <row r="79" spans="1:8" x14ac:dyDescent="0.3">
      <c r="A79" s="8">
        <v>43031.373252314814</v>
      </c>
      <c r="B79" s="20" t="s">
        <v>468</v>
      </c>
      <c r="C79" s="20" t="s">
        <v>754</v>
      </c>
      <c r="D79" s="138">
        <v>3510000</v>
      </c>
      <c r="E79" s="20" t="s">
        <v>574</v>
      </c>
      <c r="F79" s="20" t="s">
        <v>575</v>
      </c>
      <c r="G79" s="8" t="str">
        <f t="shared" si="2"/>
        <v>BARRON PERLA</v>
      </c>
      <c r="H79" s="20" t="str">
        <f t="shared" si="3"/>
        <v>4015</v>
      </c>
    </row>
    <row r="80" spans="1:8" x14ac:dyDescent="0.3">
      <c r="A80" s="8">
        <v>43031.37395833333</v>
      </c>
      <c r="B80" s="20" t="s">
        <v>416</v>
      </c>
      <c r="C80" s="20" t="s">
        <v>652</v>
      </c>
      <c r="D80" s="138">
        <v>1230000</v>
      </c>
      <c r="E80" s="20" t="s">
        <v>717</v>
      </c>
      <c r="F80" s="20" t="s">
        <v>718</v>
      </c>
      <c r="G80" s="8" t="str">
        <f t="shared" si="2"/>
        <v>YANAI IAN</v>
      </c>
      <c r="H80" s="20" t="str">
        <f t="shared" si="3"/>
        <v>4060</v>
      </c>
    </row>
    <row r="81" spans="1:8" x14ac:dyDescent="0.3">
      <c r="A81" s="8">
        <v>43031.377962962964</v>
      </c>
      <c r="B81" s="20" t="s">
        <v>692</v>
      </c>
      <c r="C81" s="20" t="s">
        <v>755</v>
      </c>
      <c r="D81" s="138">
        <v>940000</v>
      </c>
      <c r="E81" s="20" t="s">
        <v>689</v>
      </c>
      <c r="F81" s="20" t="s">
        <v>690</v>
      </c>
      <c r="G81" s="8" t="str">
        <f t="shared" si="2"/>
        <v>BONDS REYNALDO</v>
      </c>
      <c r="H81" s="20" t="str">
        <f t="shared" si="3"/>
        <v>4046</v>
      </c>
    </row>
    <row r="82" spans="1:8" x14ac:dyDescent="0.3">
      <c r="A82" s="8">
        <v>43031.382638888892</v>
      </c>
      <c r="B82" s="20" t="s">
        <v>416</v>
      </c>
      <c r="C82" s="20" t="s">
        <v>652</v>
      </c>
      <c r="D82" s="138">
        <v>1230000</v>
      </c>
      <c r="E82" s="20" t="s">
        <v>717</v>
      </c>
      <c r="F82" s="20" t="s">
        <v>718</v>
      </c>
      <c r="G82" s="8" t="str">
        <f t="shared" si="2"/>
        <v>YANAI IAN</v>
      </c>
      <c r="H82" s="20" t="str">
        <f t="shared" si="3"/>
        <v>4060</v>
      </c>
    </row>
    <row r="83" spans="1:8" x14ac:dyDescent="0.3">
      <c r="A83" s="8">
        <v>43031.386180555557</v>
      </c>
      <c r="B83" s="20" t="s">
        <v>697</v>
      </c>
      <c r="C83" s="20" t="s">
        <v>756</v>
      </c>
      <c r="D83" s="138">
        <v>2010000</v>
      </c>
      <c r="E83" s="20" t="s">
        <v>477</v>
      </c>
      <c r="F83" s="20" t="s">
        <v>478</v>
      </c>
      <c r="G83" s="8" t="str">
        <f t="shared" si="2"/>
        <v>MAELZER KURT</v>
      </c>
      <c r="H83" s="20" t="str">
        <f t="shared" si="3"/>
        <v>4041</v>
      </c>
    </row>
    <row r="84" spans="1:8" x14ac:dyDescent="0.3">
      <c r="A84" s="8">
        <v>43031.387777777774</v>
      </c>
      <c r="B84" s="20" t="s">
        <v>684</v>
      </c>
      <c r="C84" s="20" t="s">
        <v>757</v>
      </c>
      <c r="D84" s="138">
        <v>2730000</v>
      </c>
      <c r="E84" s="20" t="s">
        <v>704</v>
      </c>
      <c r="F84" s="20" t="s">
        <v>705</v>
      </c>
      <c r="G84" s="8" t="str">
        <f t="shared" si="2"/>
        <v>YANG JAN</v>
      </c>
      <c r="H84" s="20" t="str">
        <f t="shared" si="3"/>
        <v>4004</v>
      </c>
    </row>
    <row r="85" spans="1:8" x14ac:dyDescent="0.3">
      <c r="A85" s="8">
        <v>43031.393472222226</v>
      </c>
      <c r="B85" s="20" t="s">
        <v>417</v>
      </c>
      <c r="C85" s="20" t="s">
        <v>758</v>
      </c>
      <c r="D85" s="138">
        <v>1230000</v>
      </c>
      <c r="E85" s="20" t="s">
        <v>717</v>
      </c>
      <c r="F85" s="20" t="s">
        <v>718</v>
      </c>
      <c r="G85" s="8" t="str">
        <f t="shared" si="2"/>
        <v>YANAI IAN</v>
      </c>
      <c r="H85" s="20" t="str">
        <f t="shared" si="3"/>
        <v>4059</v>
      </c>
    </row>
    <row r="86" spans="1:8" x14ac:dyDescent="0.3">
      <c r="A86" s="8">
        <v>43031.398472222223</v>
      </c>
      <c r="B86" s="20" t="s">
        <v>572</v>
      </c>
      <c r="C86" s="20" t="s">
        <v>759</v>
      </c>
      <c r="D86" s="138">
        <v>3090000</v>
      </c>
      <c r="E86" s="20" t="s">
        <v>578</v>
      </c>
      <c r="F86" s="20" t="s">
        <v>579</v>
      </c>
      <c r="G86" s="8" t="str">
        <f t="shared" si="2"/>
        <v>LAMAR NEKESHA</v>
      </c>
      <c r="H86" s="20" t="str">
        <f t="shared" si="3"/>
        <v>4050</v>
      </c>
    </row>
    <row r="87" spans="1:8" x14ac:dyDescent="0.3">
      <c r="A87" s="8">
        <v>43031.400543981479</v>
      </c>
      <c r="B87" s="20" t="s">
        <v>437</v>
      </c>
      <c r="C87" s="20" t="s">
        <v>760</v>
      </c>
      <c r="D87" s="138">
        <v>1260000</v>
      </c>
      <c r="E87" s="20" t="s">
        <v>746</v>
      </c>
      <c r="F87" s="20" t="s">
        <v>747</v>
      </c>
      <c r="G87" s="8" t="str">
        <f t="shared" si="2"/>
        <v>ACKERMAN JARED</v>
      </c>
      <c r="H87" s="20" t="str">
        <f t="shared" si="3"/>
        <v>4007</v>
      </c>
    </row>
    <row r="88" spans="1:8" x14ac:dyDescent="0.3">
      <c r="A88" s="8">
        <v>43031.402303240742</v>
      </c>
      <c r="B88" s="20" t="s">
        <v>435</v>
      </c>
      <c r="C88" s="20" t="s">
        <v>761</v>
      </c>
      <c r="D88" s="138">
        <v>1830000</v>
      </c>
      <c r="E88" s="20" t="s">
        <v>373</v>
      </c>
      <c r="F88" s="20" t="s">
        <v>374</v>
      </c>
      <c r="G88" s="8" t="str">
        <f t="shared" si="2"/>
        <v>YORK EDGAR</v>
      </c>
      <c r="H88" s="20" t="str">
        <f t="shared" si="3"/>
        <v>4018</v>
      </c>
    </row>
    <row r="89" spans="1:8" x14ac:dyDescent="0.3">
      <c r="A89" s="8">
        <v>43031.412511574075</v>
      </c>
      <c r="B89" s="20" t="s">
        <v>642</v>
      </c>
      <c r="C89" s="20" t="s">
        <v>762</v>
      </c>
      <c r="D89" s="138">
        <v>940000</v>
      </c>
      <c r="E89" s="20" t="s">
        <v>689</v>
      </c>
      <c r="F89" s="20" t="s">
        <v>690</v>
      </c>
      <c r="G89" s="8" t="str">
        <f t="shared" si="2"/>
        <v>BONDS REYNALDO</v>
      </c>
      <c r="H89" s="20" t="str">
        <f t="shared" si="3"/>
        <v>4045</v>
      </c>
    </row>
    <row r="90" spans="1:8" x14ac:dyDescent="0.3">
      <c r="A90" s="8">
        <v>43031.414178240739</v>
      </c>
      <c r="B90" s="20" t="s">
        <v>481</v>
      </c>
      <c r="C90" s="20" t="s">
        <v>763</v>
      </c>
      <c r="D90" s="138">
        <v>3510000</v>
      </c>
      <c r="E90" s="20" t="s">
        <v>574</v>
      </c>
      <c r="F90" s="20" t="s">
        <v>575</v>
      </c>
      <c r="G90" s="8" t="str">
        <f t="shared" si="2"/>
        <v>BARRON PERLA</v>
      </c>
      <c r="H90" s="20" t="str">
        <f t="shared" si="3"/>
        <v>4016</v>
      </c>
    </row>
    <row r="91" spans="1:8" x14ac:dyDescent="0.3">
      <c r="A91" s="8">
        <v>43031.415173611109</v>
      </c>
      <c r="B91" s="20" t="s">
        <v>416</v>
      </c>
      <c r="C91" s="20" t="s">
        <v>764</v>
      </c>
      <c r="D91" s="138">
        <v>1230000</v>
      </c>
      <c r="E91" s="20" t="s">
        <v>717</v>
      </c>
      <c r="F91" s="20" t="s">
        <v>718</v>
      </c>
      <c r="G91" s="8" t="str">
        <f t="shared" si="2"/>
        <v>YANAI IAN</v>
      </c>
      <c r="H91" s="20" t="str">
        <f t="shared" si="3"/>
        <v>4060</v>
      </c>
    </row>
    <row r="92" spans="1:8" x14ac:dyDescent="0.3">
      <c r="A92" s="8">
        <v>43031.416377314818</v>
      </c>
      <c r="B92" s="20" t="s">
        <v>679</v>
      </c>
      <c r="C92" s="20" t="s">
        <v>765</v>
      </c>
      <c r="D92" s="138">
        <v>2730000</v>
      </c>
      <c r="E92" s="20" t="s">
        <v>704</v>
      </c>
      <c r="F92" s="20" t="s">
        <v>705</v>
      </c>
      <c r="G92" s="8" t="str">
        <f t="shared" si="2"/>
        <v>YANG JAN</v>
      </c>
      <c r="H92" s="20" t="str">
        <f t="shared" si="3"/>
        <v>4003</v>
      </c>
    </row>
    <row r="93" spans="1:8" x14ac:dyDescent="0.3">
      <c r="A93" s="8">
        <v>43031.425879629627</v>
      </c>
      <c r="B93" s="20" t="s">
        <v>674</v>
      </c>
      <c r="C93" s="20" t="s">
        <v>766</v>
      </c>
      <c r="D93" s="138">
        <v>2560000</v>
      </c>
      <c r="E93" s="20" t="s">
        <v>576</v>
      </c>
      <c r="F93" s="20" t="s">
        <v>577</v>
      </c>
      <c r="G93" s="8" t="str">
        <f t="shared" si="2"/>
        <v>MACDONALD THOMAS</v>
      </c>
      <c r="H93" s="20" t="str">
        <f t="shared" si="3"/>
        <v>4042</v>
      </c>
    </row>
    <row r="94" spans="1:8" x14ac:dyDescent="0.3">
      <c r="A94" s="8">
        <v>43031.432789351849</v>
      </c>
      <c r="B94" s="20" t="s">
        <v>653</v>
      </c>
      <c r="C94" s="20" t="s">
        <v>767</v>
      </c>
      <c r="D94" s="138">
        <v>3090000</v>
      </c>
      <c r="E94" s="20" t="s">
        <v>578</v>
      </c>
      <c r="F94" s="20" t="s">
        <v>579</v>
      </c>
      <c r="G94" s="8" t="str">
        <f t="shared" si="2"/>
        <v>LAMAR NEKESHA</v>
      </c>
      <c r="H94" s="20" t="str">
        <f t="shared" si="3"/>
        <v>4049</v>
      </c>
    </row>
    <row r="95" spans="1:8" x14ac:dyDescent="0.3">
      <c r="A95" s="8">
        <v>43031.433472222219</v>
      </c>
      <c r="B95" s="20" t="s">
        <v>439</v>
      </c>
      <c r="C95" s="20" t="s">
        <v>768</v>
      </c>
      <c r="D95" s="138">
        <v>1830000</v>
      </c>
      <c r="E95" s="20" t="s">
        <v>373</v>
      </c>
      <c r="F95" s="20" t="s">
        <v>374</v>
      </c>
      <c r="G95" s="8" t="str">
        <f t="shared" si="2"/>
        <v>YORK EDGAR</v>
      </c>
      <c r="H95" s="20" t="str">
        <f t="shared" si="3"/>
        <v>4017</v>
      </c>
    </row>
    <row r="96" spans="1:8" x14ac:dyDescent="0.3">
      <c r="A96" s="8">
        <v>43031.433692129627</v>
      </c>
      <c r="B96" s="20" t="s">
        <v>417</v>
      </c>
      <c r="C96" s="20" t="s">
        <v>769</v>
      </c>
      <c r="D96" s="138">
        <v>1230000</v>
      </c>
      <c r="E96" s="20" t="s">
        <v>717</v>
      </c>
      <c r="F96" s="20" t="s">
        <v>718</v>
      </c>
      <c r="G96" s="8" t="str">
        <f t="shared" si="2"/>
        <v>YANAI IAN</v>
      </c>
      <c r="H96" s="20" t="str">
        <f t="shared" si="3"/>
        <v>4059</v>
      </c>
    </row>
    <row r="97" spans="1:8" x14ac:dyDescent="0.3">
      <c r="A97" s="8">
        <v>43031.436076388891</v>
      </c>
      <c r="B97" s="20" t="s">
        <v>417</v>
      </c>
      <c r="C97" s="20" t="s">
        <v>769</v>
      </c>
      <c r="D97" s="138">
        <v>1230000</v>
      </c>
      <c r="E97" s="20" t="s">
        <v>717</v>
      </c>
      <c r="F97" s="20" t="s">
        <v>718</v>
      </c>
      <c r="G97" s="8" t="str">
        <f t="shared" si="2"/>
        <v>YANAI IAN</v>
      </c>
      <c r="H97" s="20" t="str">
        <f t="shared" si="3"/>
        <v>4059</v>
      </c>
    </row>
    <row r="98" spans="1:8" x14ac:dyDescent="0.3">
      <c r="A98" s="8">
        <v>43031.437824074077</v>
      </c>
      <c r="B98" s="20" t="s">
        <v>414</v>
      </c>
      <c r="C98" s="20" t="s">
        <v>655</v>
      </c>
      <c r="D98" s="138">
        <v>2600000</v>
      </c>
      <c r="E98" s="20" t="s">
        <v>513</v>
      </c>
      <c r="F98" s="20" t="s">
        <v>488</v>
      </c>
      <c r="G98" s="8" t="str">
        <f t="shared" si="2"/>
        <v>DAVIDSON DAVID</v>
      </c>
      <c r="H98" s="20" t="str">
        <f t="shared" si="3"/>
        <v>4008</v>
      </c>
    </row>
    <row r="99" spans="1:8" x14ac:dyDescent="0.3">
      <c r="A99" s="8">
        <v>43031.443495370368</v>
      </c>
      <c r="B99" s="20" t="s">
        <v>414</v>
      </c>
      <c r="C99" s="20" t="s">
        <v>655</v>
      </c>
      <c r="D99" s="138">
        <v>2600000</v>
      </c>
      <c r="E99" s="20" t="s">
        <v>513</v>
      </c>
      <c r="F99" s="20" t="s">
        <v>488</v>
      </c>
      <c r="G99" s="8" t="str">
        <f t="shared" si="2"/>
        <v>DAVIDSON DAVID</v>
      </c>
      <c r="H99" s="20" t="str">
        <f t="shared" si="3"/>
        <v>4008</v>
      </c>
    </row>
    <row r="100" spans="1:8" x14ac:dyDescent="0.3">
      <c r="A100" s="8">
        <v>43031.444687499999</v>
      </c>
      <c r="B100" s="20" t="s">
        <v>468</v>
      </c>
      <c r="C100" s="20" t="s">
        <v>657</v>
      </c>
      <c r="D100" s="138">
        <v>3510000</v>
      </c>
      <c r="E100" s="20" t="s">
        <v>574</v>
      </c>
      <c r="F100" s="20" t="s">
        <v>575</v>
      </c>
      <c r="G100" s="8" t="str">
        <f t="shared" si="2"/>
        <v>BARRON PERLA</v>
      </c>
      <c r="H100" s="20" t="str">
        <f t="shared" si="3"/>
        <v>4015</v>
      </c>
    </row>
    <row r="101" spans="1:8" x14ac:dyDescent="0.3">
      <c r="A101" s="8">
        <v>43031.448657407411</v>
      </c>
      <c r="B101" s="20" t="s">
        <v>692</v>
      </c>
      <c r="C101" s="20" t="s">
        <v>770</v>
      </c>
      <c r="D101" s="138">
        <v>2550000</v>
      </c>
      <c r="E101" s="20" t="s">
        <v>486</v>
      </c>
      <c r="F101" s="20" t="s">
        <v>487</v>
      </c>
      <c r="G101" s="8" t="str">
        <f t="shared" si="2"/>
        <v>BADERTSCHER DIANE</v>
      </c>
      <c r="H101" s="20" t="str">
        <f t="shared" si="3"/>
        <v>4046</v>
      </c>
    </row>
    <row r="102" spans="1:8" x14ac:dyDescent="0.3">
      <c r="A102" s="8">
        <v>43031.44972222222</v>
      </c>
      <c r="B102" s="20" t="s">
        <v>398</v>
      </c>
      <c r="C102" s="20" t="s">
        <v>656</v>
      </c>
      <c r="D102" s="138">
        <v>2140000</v>
      </c>
      <c r="E102" s="20" t="s">
        <v>429</v>
      </c>
      <c r="F102" s="20" t="s">
        <v>430</v>
      </c>
      <c r="G102" s="8" t="str">
        <f t="shared" si="2"/>
        <v>ROBINSON KADDIBA</v>
      </c>
      <c r="H102" s="20" t="str">
        <f t="shared" si="3"/>
        <v>4051</v>
      </c>
    </row>
    <row r="103" spans="1:8" x14ac:dyDescent="0.3">
      <c r="A103" s="8">
        <v>43031.455370370371</v>
      </c>
      <c r="B103" s="20" t="s">
        <v>684</v>
      </c>
      <c r="C103" s="20" t="s">
        <v>771</v>
      </c>
      <c r="D103" s="138">
        <v>2730000</v>
      </c>
      <c r="E103" s="20" t="s">
        <v>704</v>
      </c>
      <c r="F103" s="20" t="s">
        <v>705</v>
      </c>
      <c r="G103" s="8" t="str">
        <f t="shared" si="2"/>
        <v>YANG JAN</v>
      </c>
      <c r="H103" s="20" t="str">
        <f t="shared" si="3"/>
        <v>4004</v>
      </c>
    </row>
    <row r="104" spans="1:8" x14ac:dyDescent="0.3">
      <c r="A104" s="8">
        <v>43031.456701388888</v>
      </c>
      <c r="B104" s="20" t="s">
        <v>416</v>
      </c>
      <c r="C104" s="20" t="s">
        <v>772</v>
      </c>
      <c r="D104" s="138">
        <v>1230000</v>
      </c>
      <c r="E104" s="20" t="s">
        <v>717</v>
      </c>
      <c r="F104" s="20" t="s">
        <v>718</v>
      </c>
      <c r="G104" s="8" t="str">
        <f t="shared" si="2"/>
        <v>YANAI IAN</v>
      </c>
      <c r="H104" s="20" t="str">
        <f t="shared" si="3"/>
        <v>4060</v>
      </c>
    </row>
    <row r="105" spans="1:8" x14ac:dyDescent="0.3">
      <c r="A105" s="8">
        <v>43031.465370370373</v>
      </c>
      <c r="B105" s="20" t="s">
        <v>697</v>
      </c>
      <c r="C105" s="20" t="s">
        <v>773</v>
      </c>
      <c r="D105" s="138">
        <v>2560000</v>
      </c>
      <c r="E105" s="20" t="s">
        <v>576</v>
      </c>
      <c r="F105" s="20" t="s">
        <v>577</v>
      </c>
      <c r="G105" s="8" t="str">
        <f t="shared" si="2"/>
        <v>MACDONALD THOMAS</v>
      </c>
      <c r="H105" s="20" t="str">
        <f t="shared" si="3"/>
        <v>4041</v>
      </c>
    </row>
    <row r="106" spans="1:8" x14ac:dyDescent="0.3">
      <c r="A106" s="8">
        <v>43031.468275462961</v>
      </c>
      <c r="B106" s="20" t="s">
        <v>572</v>
      </c>
      <c r="C106" s="20" t="s">
        <v>774</v>
      </c>
      <c r="D106" s="138">
        <v>920000</v>
      </c>
      <c r="E106" s="20" t="s">
        <v>443</v>
      </c>
      <c r="F106" s="20" t="s">
        <v>386</v>
      </c>
      <c r="G106" s="8" t="str">
        <f t="shared" si="2"/>
        <v>DAVIS MICHAEL</v>
      </c>
      <c r="H106" s="20" t="str">
        <f t="shared" si="3"/>
        <v>4050</v>
      </c>
    </row>
    <row r="107" spans="1:8" x14ac:dyDescent="0.3">
      <c r="A107" s="8">
        <v>43031.472118055557</v>
      </c>
      <c r="B107" s="20" t="s">
        <v>397</v>
      </c>
      <c r="C107" s="20" t="s">
        <v>656</v>
      </c>
      <c r="D107" s="138">
        <v>2470000</v>
      </c>
      <c r="E107" s="20" t="s">
        <v>582</v>
      </c>
      <c r="F107" s="20" t="s">
        <v>583</v>
      </c>
      <c r="G107" s="8" t="str">
        <f t="shared" si="2"/>
        <v>ROMERO CHAD</v>
      </c>
      <c r="H107" s="20" t="str">
        <f t="shared" si="3"/>
        <v>4052</v>
      </c>
    </row>
    <row r="108" spans="1:8" x14ac:dyDescent="0.3">
      <c r="A108" s="8">
        <v>43031.472719907404</v>
      </c>
      <c r="B108" s="20" t="s">
        <v>437</v>
      </c>
      <c r="C108" s="20" t="s">
        <v>775</v>
      </c>
      <c r="D108" s="138">
        <v>2600000</v>
      </c>
      <c r="E108" s="20" t="s">
        <v>513</v>
      </c>
      <c r="F108" s="20" t="s">
        <v>488</v>
      </c>
      <c r="G108" s="8" t="str">
        <f t="shared" si="2"/>
        <v>DAVIDSON DAVID</v>
      </c>
      <c r="H108" s="20" t="str">
        <f t="shared" si="3"/>
        <v>4007</v>
      </c>
    </row>
    <row r="109" spans="1:8" x14ac:dyDescent="0.3">
      <c r="A109" s="8">
        <v>43031.473981481482</v>
      </c>
      <c r="B109" s="20" t="s">
        <v>435</v>
      </c>
      <c r="C109" s="20" t="s">
        <v>776</v>
      </c>
      <c r="D109" s="138">
        <v>880000</v>
      </c>
      <c r="E109" s="20" t="s">
        <v>399</v>
      </c>
      <c r="F109" s="20" t="s">
        <v>386</v>
      </c>
      <c r="G109" s="8" t="str">
        <f t="shared" si="2"/>
        <v>STEWART MICHAEL</v>
      </c>
      <c r="H109" s="20" t="str">
        <f t="shared" si="3"/>
        <v>4018</v>
      </c>
    </row>
    <row r="110" spans="1:8" x14ac:dyDescent="0.3">
      <c r="A110" s="8">
        <v>43031.475162037037</v>
      </c>
      <c r="B110" s="20" t="s">
        <v>417</v>
      </c>
      <c r="C110" s="20" t="s">
        <v>777</v>
      </c>
      <c r="D110" s="138">
        <v>1230000</v>
      </c>
      <c r="E110" s="20" t="s">
        <v>717</v>
      </c>
      <c r="F110" s="20" t="s">
        <v>718</v>
      </c>
      <c r="G110" s="8" t="str">
        <f t="shared" si="2"/>
        <v>YANAI IAN</v>
      </c>
      <c r="H110" s="20" t="str">
        <f t="shared" si="3"/>
        <v>4059</v>
      </c>
    </row>
    <row r="111" spans="1:8" x14ac:dyDescent="0.3">
      <c r="A111" s="8">
        <v>43031.482129629629</v>
      </c>
      <c r="B111" s="20" t="s">
        <v>642</v>
      </c>
      <c r="C111" s="20" t="s">
        <v>778</v>
      </c>
      <c r="D111" s="138">
        <v>2550000</v>
      </c>
      <c r="E111" s="20" t="s">
        <v>486</v>
      </c>
      <c r="F111" s="20" t="s">
        <v>487</v>
      </c>
      <c r="G111" s="8" t="str">
        <f t="shared" si="2"/>
        <v>BADERTSCHER DIANE</v>
      </c>
      <c r="H111" s="20" t="str">
        <f t="shared" si="3"/>
        <v>4045</v>
      </c>
    </row>
    <row r="112" spans="1:8" x14ac:dyDescent="0.3">
      <c r="A112" s="8">
        <v>43031.487928240742</v>
      </c>
      <c r="B112" s="20" t="s">
        <v>481</v>
      </c>
      <c r="C112" s="20" t="s">
        <v>779</v>
      </c>
      <c r="D112" s="138">
        <v>1180000</v>
      </c>
      <c r="E112" s="20" t="s">
        <v>420</v>
      </c>
      <c r="F112" s="20" t="s">
        <v>421</v>
      </c>
      <c r="G112" s="8" t="str">
        <f t="shared" si="2"/>
        <v>LEVERE CRAIG</v>
      </c>
      <c r="H112" s="20" t="str">
        <f t="shared" si="3"/>
        <v>4016</v>
      </c>
    </row>
    <row r="113" spans="1:8" x14ac:dyDescent="0.3">
      <c r="A113" s="8">
        <v>43031.492696759262</v>
      </c>
      <c r="B113" s="20" t="s">
        <v>679</v>
      </c>
      <c r="C113" s="20" t="s">
        <v>780</v>
      </c>
      <c r="D113" s="138">
        <v>2730000</v>
      </c>
      <c r="E113" s="20" t="s">
        <v>704</v>
      </c>
      <c r="F113" s="20" t="s">
        <v>705</v>
      </c>
      <c r="G113" s="8" t="str">
        <f t="shared" si="2"/>
        <v>YANG JAN</v>
      </c>
      <c r="H113" s="20" t="str">
        <f t="shared" si="3"/>
        <v>4003</v>
      </c>
    </row>
    <row r="114" spans="1:8" x14ac:dyDescent="0.3">
      <c r="A114" s="8">
        <v>43031.497754629629</v>
      </c>
      <c r="B114" s="20" t="s">
        <v>416</v>
      </c>
      <c r="C114" s="20" t="s">
        <v>781</v>
      </c>
      <c r="D114" s="138">
        <v>1230000</v>
      </c>
      <c r="E114" s="20" t="s">
        <v>717</v>
      </c>
      <c r="F114" s="20" t="s">
        <v>718</v>
      </c>
      <c r="G114" s="8" t="str">
        <f t="shared" si="2"/>
        <v>YANAI IAN</v>
      </c>
      <c r="H114" s="20" t="str">
        <f t="shared" si="3"/>
        <v>4060</v>
      </c>
    </row>
    <row r="115" spans="1:8" x14ac:dyDescent="0.3">
      <c r="A115" s="8">
        <v>43031.499756944446</v>
      </c>
      <c r="B115" s="20" t="s">
        <v>674</v>
      </c>
      <c r="C115" s="20" t="s">
        <v>782</v>
      </c>
      <c r="D115" s="138">
        <v>2970000</v>
      </c>
      <c r="E115" s="20" t="s">
        <v>586</v>
      </c>
      <c r="F115" s="20" t="s">
        <v>587</v>
      </c>
      <c r="G115" s="8" t="str">
        <f t="shared" si="2"/>
        <v>GUZMAN DANNY</v>
      </c>
      <c r="H115" s="20" t="str">
        <f t="shared" si="3"/>
        <v>4042</v>
      </c>
    </row>
    <row r="116" spans="1:8" x14ac:dyDescent="0.3">
      <c r="A116" s="8">
        <v>43031.507106481484</v>
      </c>
      <c r="B116" s="20" t="s">
        <v>653</v>
      </c>
      <c r="C116" s="20" t="s">
        <v>783</v>
      </c>
      <c r="D116" s="138">
        <v>920000</v>
      </c>
      <c r="E116" s="20" t="s">
        <v>443</v>
      </c>
      <c r="F116" s="20" t="s">
        <v>386</v>
      </c>
      <c r="G116" s="8" t="str">
        <f t="shared" si="2"/>
        <v>DAVIS MICHAEL</v>
      </c>
      <c r="H116" s="20" t="str">
        <f t="shared" si="3"/>
        <v>4049</v>
      </c>
    </row>
    <row r="117" spans="1:8" x14ac:dyDescent="0.3">
      <c r="A117" s="8">
        <v>43031.510196759256</v>
      </c>
      <c r="B117" s="20" t="s">
        <v>414</v>
      </c>
      <c r="C117" s="20" t="s">
        <v>784</v>
      </c>
      <c r="D117" s="138">
        <v>2630000</v>
      </c>
      <c r="E117" s="20" t="s">
        <v>584</v>
      </c>
      <c r="F117" s="20" t="s">
        <v>585</v>
      </c>
      <c r="G117" s="8" t="str">
        <f t="shared" si="2"/>
        <v>SAFIEF AEIMEN</v>
      </c>
      <c r="H117" s="20" t="str">
        <f t="shared" si="3"/>
        <v>4008</v>
      </c>
    </row>
    <row r="118" spans="1:8" x14ac:dyDescent="0.3">
      <c r="A118" s="8">
        <v>43031.515543981484</v>
      </c>
      <c r="B118" s="20" t="s">
        <v>439</v>
      </c>
      <c r="C118" s="20" t="s">
        <v>785</v>
      </c>
      <c r="D118" s="138">
        <v>880000</v>
      </c>
      <c r="E118" s="20" t="s">
        <v>399</v>
      </c>
      <c r="F118" s="20" t="s">
        <v>386</v>
      </c>
      <c r="G118" s="8" t="str">
        <f t="shared" si="2"/>
        <v>STEWART MICHAEL</v>
      </c>
      <c r="H118" s="20" t="str">
        <f t="shared" si="3"/>
        <v>4017</v>
      </c>
    </row>
    <row r="119" spans="1:8" x14ac:dyDescent="0.3">
      <c r="A119" s="8">
        <v>43031.516886574071</v>
      </c>
      <c r="B119" s="20" t="s">
        <v>417</v>
      </c>
      <c r="C119" s="20" t="s">
        <v>786</v>
      </c>
      <c r="D119" s="138">
        <v>1230000</v>
      </c>
      <c r="E119" s="20" t="s">
        <v>717</v>
      </c>
      <c r="F119" s="20" t="s">
        <v>718</v>
      </c>
      <c r="G119" s="8" t="str">
        <f t="shared" si="2"/>
        <v>YANAI IAN</v>
      </c>
      <c r="H119" s="20" t="str">
        <f t="shared" si="3"/>
        <v>4059</v>
      </c>
    </row>
    <row r="120" spans="1:8" x14ac:dyDescent="0.3">
      <c r="A120" s="8">
        <v>43031.51966435185</v>
      </c>
      <c r="B120" s="20" t="s">
        <v>692</v>
      </c>
      <c r="C120" s="20" t="s">
        <v>787</v>
      </c>
      <c r="D120" s="138">
        <v>2550000</v>
      </c>
      <c r="E120" s="20" t="s">
        <v>486</v>
      </c>
      <c r="F120" s="20" t="s">
        <v>487</v>
      </c>
      <c r="G120" s="8" t="str">
        <f t="shared" si="2"/>
        <v>BADERTSCHER DIANE</v>
      </c>
      <c r="H120" s="20" t="str">
        <f t="shared" si="3"/>
        <v>4046</v>
      </c>
    </row>
    <row r="121" spans="1:8" x14ac:dyDescent="0.3">
      <c r="A121" s="8">
        <v>43031.524826388886</v>
      </c>
      <c r="B121" s="20" t="s">
        <v>468</v>
      </c>
      <c r="C121" s="20" t="s">
        <v>788</v>
      </c>
      <c r="D121" s="138">
        <v>1180000</v>
      </c>
      <c r="E121" s="20" t="s">
        <v>420</v>
      </c>
      <c r="F121" s="20" t="s">
        <v>421</v>
      </c>
      <c r="G121" s="8" t="str">
        <f t="shared" si="2"/>
        <v>LEVERE CRAIG</v>
      </c>
      <c r="H121" s="20" t="str">
        <f t="shared" si="3"/>
        <v>4015</v>
      </c>
    </row>
    <row r="122" spans="1:8" x14ac:dyDescent="0.3">
      <c r="A122" s="8">
        <v>43031.527291666665</v>
      </c>
      <c r="B122" s="25" t="s">
        <v>684</v>
      </c>
      <c r="C122" s="20" t="s">
        <v>789</v>
      </c>
      <c r="D122" s="138">
        <v>2230000</v>
      </c>
      <c r="E122" s="20" t="s">
        <v>588</v>
      </c>
      <c r="F122" s="20" t="s">
        <v>386</v>
      </c>
      <c r="G122" s="8" t="str">
        <f t="shared" si="2"/>
        <v>SMITH MICHAEL</v>
      </c>
      <c r="H122" s="20" t="str">
        <f t="shared" si="3"/>
        <v>4004</v>
      </c>
    </row>
    <row r="123" spans="1:8" x14ac:dyDescent="0.3">
      <c r="A123" s="8">
        <v>43031.531099537038</v>
      </c>
      <c r="B123" s="20" t="s">
        <v>697</v>
      </c>
      <c r="C123" s="20" t="s">
        <v>790</v>
      </c>
      <c r="D123" s="138">
        <v>2970000</v>
      </c>
      <c r="E123" s="20" t="s">
        <v>586</v>
      </c>
      <c r="F123" s="20" t="s">
        <v>587</v>
      </c>
      <c r="G123" s="8" t="str">
        <f t="shared" si="2"/>
        <v>GUZMAN DANNY</v>
      </c>
      <c r="H123" s="20" t="str">
        <f t="shared" si="3"/>
        <v>4041</v>
      </c>
    </row>
    <row r="124" spans="1:8" x14ac:dyDescent="0.3">
      <c r="A124" s="8">
        <v>43031.541296296295</v>
      </c>
      <c r="B124" s="20" t="s">
        <v>572</v>
      </c>
      <c r="C124" s="20" t="s">
        <v>791</v>
      </c>
      <c r="D124" s="138">
        <v>920000</v>
      </c>
      <c r="E124" s="20" t="s">
        <v>443</v>
      </c>
      <c r="F124" s="20" t="s">
        <v>386</v>
      </c>
      <c r="G124" s="8" t="str">
        <f t="shared" si="2"/>
        <v>DAVIS MICHAEL</v>
      </c>
      <c r="H124" s="20" t="str">
        <f t="shared" si="3"/>
        <v>4050</v>
      </c>
    </row>
    <row r="125" spans="1:8" x14ac:dyDescent="0.3">
      <c r="A125" s="8">
        <v>43031.541539351849</v>
      </c>
      <c r="B125" s="20" t="s">
        <v>437</v>
      </c>
      <c r="C125" s="20" t="s">
        <v>792</v>
      </c>
      <c r="D125" s="138">
        <v>2630000</v>
      </c>
      <c r="E125" s="20" t="s">
        <v>584</v>
      </c>
      <c r="F125" s="20" t="s">
        <v>585</v>
      </c>
      <c r="G125" s="8" t="str">
        <f t="shared" si="2"/>
        <v>SAFIEF AEIMEN</v>
      </c>
      <c r="H125" s="20" t="str">
        <f t="shared" si="3"/>
        <v>4007</v>
      </c>
    </row>
    <row r="126" spans="1:8" x14ac:dyDescent="0.3">
      <c r="A126" s="8">
        <v>43031.542488425926</v>
      </c>
      <c r="B126" s="20" t="s">
        <v>416</v>
      </c>
      <c r="C126" s="20" t="s">
        <v>658</v>
      </c>
      <c r="D126" s="138">
        <v>1300000</v>
      </c>
      <c r="E126" s="20" t="s">
        <v>422</v>
      </c>
      <c r="F126" s="20" t="s">
        <v>423</v>
      </c>
      <c r="G126" s="8" t="str">
        <f t="shared" si="2"/>
        <v>LEVIN SCOTT</v>
      </c>
      <c r="H126" s="20" t="str">
        <f t="shared" si="3"/>
        <v>4060</v>
      </c>
    </row>
    <row r="127" spans="1:8" x14ac:dyDescent="0.3">
      <c r="A127" s="8">
        <v>43031.549490740741</v>
      </c>
      <c r="B127" s="20" t="s">
        <v>435</v>
      </c>
      <c r="C127" s="20" t="s">
        <v>793</v>
      </c>
      <c r="D127" s="138">
        <v>2140000</v>
      </c>
      <c r="E127" s="20" t="s">
        <v>429</v>
      </c>
      <c r="F127" s="20" t="s">
        <v>430</v>
      </c>
      <c r="G127" s="8" t="str">
        <f t="shared" si="2"/>
        <v>ROBINSON KADDIBA</v>
      </c>
      <c r="H127" s="20" t="str">
        <f t="shared" si="3"/>
        <v>4018</v>
      </c>
    </row>
    <row r="128" spans="1:8" x14ac:dyDescent="0.3">
      <c r="A128" s="8">
        <v>43031.549699074072</v>
      </c>
      <c r="B128" s="20" t="s">
        <v>416</v>
      </c>
      <c r="C128" s="20" t="s">
        <v>658</v>
      </c>
      <c r="D128" s="138">
        <v>1300000</v>
      </c>
      <c r="E128" s="20" t="s">
        <v>422</v>
      </c>
      <c r="F128" s="20" t="s">
        <v>423</v>
      </c>
      <c r="G128" s="8" t="str">
        <f t="shared" si="2"/>
        <v>LEVIN SCOTT</v>
      </c>
      <c r="H128" s="20" t="str">
        <f t="shared" si="3"/>
        <v>4060</v>
      </c>
    </row>
    <row r="129" spans="1:8" x14ac:dyDescent="0.3">
      <c r="A129" s="8">
        <v>43031.553090277775</v>
      </c>
      <c r="B129" s="20" t="s">
        <v>642</v>
      </c>
      <c r="C129" s="20" t="s">
        <v>659</v>
      </c>
      <c r="D129" s="138">
        <v>2550000</v>
      </c>
      <c r="E129" s="20" t="s">
        <v>486</v>
      </c>
      <c r="F129" s="20" t="s">
        <v>487</v>
      </c>
      <c r="G129" s="8" t="str">
        <f t="shared" si="2"/>
        <v>BADERTSCHER DIANE</v>
      </c>
      <c r="H129" s="20" t="str">
        <f t="shared" si="3"/>
        <v>4045</v>
      </c>
    </row>
    <row r="130" spans="1:8" x14ac:dyDescent="0.3">
      <c r="A130" s="8">
        <v>43031.56045138889</v>
      </c>
      <c r="B130" s="20" t="s">
        <v>481</v>
      </c>
      <c r="C130" s="20" t="s">
        <v>794</v>
      </c>
      <c r="D130" s="138">
        <v>3330000</v>
      </c>
      <c r="E130" s="20" t="s">
        <v>484</v>
      </c>
      <c r="F130" s="20" t="s">
        <v>485</v>
      </c>
      <c r="G130" s="8" t="str">
        <f t="shared" si="2"/>
        <v>GONZALEZ ARMANDO</v>
      </c>
      <c r="H130" s="20" t="str">
        <f t="shared" si="3"/>
        <v>4016</v>
      </c>
    </row>
    <row r="131" spans="1:8" x14ac:dyDescent="0.3">
      <c r="A131" s="8">
        <v>43031.560567129629</v>
      </c>
      <c r="B131" s="20" t="s">
        <v>417</v>
      </c>
      <c r="C131" s="20" t="s">
        <v>795</v>
      </c>
      <c r="D131" s="138">
        <v>1300000</v>
      </c>
      <c r="E131" s="20" t="s">
        <v>422</v>
      </c>
      <c r="F131" s="20" t="s">
        <v>423</v>
      </c>
      <c r="G131" s="8" t="str">
        <f t="shared" ref="G131:G194" si="4">E131&amp;" "&amp;F131</f>
        <v>LEVIN SCOTT</v>
      </c>
      <c r="H131" s="20" t="str">
        <f t="shared" ref="H131:H194" si="5">MID(B131,13,4)</f>
        <v>4059</v>
      </c>
    </row>
    <row r="132" spans="1:8" x14ac:dyDescent="0.3">
      <c r="A132" s="8">
        <v>43031.563888888886</v>
      </c>
      <c r="B132" s="20" t="s">
        <v>679</v>
      </c>
      <c r="C132" s="20" t="s">
        <v>796</v>
      </c>
      <c r="D132" s="138">
        <v>2230000</v>
      </c>
      <c r="E132" s="20" t="s">
        <v>588</v>
      </c>
      <c r="F132" s="20" t="s">
        <v>386</v>
      </c>
      <c r="G132" s="8" t="str">
        <f t="shared" si="4"/>
        <v>SMITH MICHAEL</v>
      </c>
      <c r="H132" s="20" t="str">
        <f t="shared" si="5"/>
        <v>4003</v>
      </c>
    </row>
    <row r="133" spans="1:8" x14ac:dyDescent="0.3">
      <c r="A133" s="8">
        <v>43031.570532407408</v>
      </c>
      <c r="B133" s="20" t="s">
        <v>674</v>
      </c>
      <c r="C133" s="20" t="s">
        <v>797</v>
      </c>
      <c r="D133" s="138">
        <v>2970000</v>
      </c>
      <c r="E133" s="20" t="s">
        <v>586</v>
      </c>
      <c r="F133" s="20" t="s">
        <v>587</v>
      </c>
      <c r="G133" s="8" t="str">
        <f t="shared" si="4"/>
        <v>GUZMAN DANNY</v>
      </c>
      <c r="H133" s="20" t="str">
        <f t="shared" si="5"/>
        <v>4042</v>
      </c>
    </row>
    <row r="134" spans="1:8" x14ac:dyDescent="0.3">
      <c r="A134" s="8">
        <v>43031.580416666664</v>
      </c>
      <c r="B134" s="20" t="s">
        <v>414</v>
      </c>
      <c r="C134" s="20" t="s">
        <v>798</v>
      </c>
      <c r="D134" s="138">
        <v>2630000</v>
      </c>
      <c r="E134" s="20" t="s">
        <v>584</v>
      </c>
      <c r="F134" s="20" t="s">
        <v>585</v>
      </c>
      <c r="G134" s="8" t="str">
        <f t="shared" si="4"/>
        <v>SAFIEF AEIMEN</v>
      </c>
      <c r="H134" s="20" t="str">
        <f t="shared" si="5"/>
        <v>4008</v>
      </c>
    </row>
    <row r="135" spans="1:8" x14ac:dyDescent="0.3">
      <c r="A135" s="8">
        <v>43031.581122685187</v>
      </c>
      <c r="B135" s="20" t="s">
        <v>653</v>
      </c>
      <c r="C135" s="20" t="s">
        <v>799</v>
      </c>
      <c r="D135" s="138">
        <v>920000</v>
      </c>
      <c r="E135" s="20" t="s">
        <v>443</v>
      </c>
      <c r="F135" s="20" t="s">
        <v>386</v>
      </c>
      <c r="G135" s="8" t="str">
        <f t="shared" si="4"/>
        <v>DAVIS MICHAEL</v>
      </c>
      <c r="H135" s="20" t="str">
        <f t="shared" si="5"/>
        <v>4049</v>
      </c>
    </row>
    <row r="136" spans="1:8" x14ac:dyDescent="0.3">
      <c r="A136" s="8">
        <v>43031.583194444444</v>
      </c>
      <c r="B136" s="20" t="s">
        <v>416</v>
      </c>
      <c r="C136" s="20" t="s">
        <v>800</v>
      </c>
      <c r="D136" s="138">
        <v>1300000</v>
      </c>
      <c r="E136" s="20" t="s">
        <v>422</v>
      </c>
      <c r="F136" s="20" t="s">
        <v>423</v>
      </c>
      <c r="G136" s="8" t="str">
        <f t="shared" si="4"/>
        <v>LEVIN SCOTT</v>
      </c>
      <c r="H136" s="20" t="str">
        <f t="shared" si="5"/>
        <v>4060</v>
      </c>
    </row>
    <row r="137" spans="1:8" x14ac:dyDescent="0.3">
      <c r="A137" s="8">
        <v>43031.589050925926</v>
      </c>
      <c r="B137" s="20" t="s">
        <v>439</v>
      </c>
      <c r="C137" s="20" t="s">
        <v>801</v>
      </c>
      <c r="D137" s="138">
        <v>2140000</v>
      </c>
      <c r="E137" s="20" t="s">
        <v>429</v>
      </c>
      <c r="F137" s="20" t="s">
        <v>430</v>
      </c>
      <c r="G137" s="8" t="str">
        <f t="shared" si="4"/>
        <v>ROBINSON KADDIBA</v>
      </c>
      <c r="H137" s="20" t="str">
        <f t="shared" si="5"/>
        <v>4017</v>
      </c>
    </row>
    <row r="138" spans="1:8" x14ac:dyDescent="0.3">
      <c r="A138" s="8">
        <v>43031.591666666667</v>
      </c>
      <c r="B138" s="20" t="s">
        <v>692</v>
      </c>
      <c r="C138" s="20" t="s">
        <v>802</v>
      </c>
      <c r="D138" s="138">
        <v>2550000</v>
      </c>
      <c r="E138" s="20" t="s">
        <v>486</v>
      </c>
      <c r="F138" s="20" t="s">
        <v>487</v>
      </c>
      <c r="G138" s="8" t="str">
        <f t="shared" si="4"/>
        <v>BADERTSCHER DIANE</v>
      </c>
      <c r="H138" s="20" t="str">
        <f t="shared" si="5"/>
        <v>4046</v>
      </c>
    </row>
    <row r="139" spans="1:8" x14ac:dyDescent="0.3">
      <c r="A139" s="8">
        <v>43031.598506944443</v>
      </c>
      <c r="B139" s="20" t="s">
        <v>468</v>
      </c>
      <c r="C139" s="20" t="s">
        <v>803</v>
      </c>
      <c r="D139" s="138">
        <v>3330000</v>
      </c>
      <c r="E139" s="20" t="s">
        <v>484</v>
      </c>
      <c r="F139" s="20" t="s">
        <v>485</v>
      </c>
      <c r="G139" s="8" t="str">
        <f t="shared" si="4"/>
        <v>GONZALEZ ARMANDO</v>
      </c>
      <c r="H139" s="20" t="str">
        <f t="shared" si="5"/>
        <v>4015</v>
      </c>
    </row>
    <row r="140" spans="1:8" x14ac:dyDescent="0.3">
      <c r="A140" s="8">
        <v>43031.600162037037</v>
      </c>
      <c r="B140" s="20" t="s">
        <v>684</v>
      </c>
      <c r="C140" s="20" t="s">
        <v>804</v>
      </c>
      <c r="D140" s="138">
        <v>2230000</v>
      </c>
      <c r="E140" s="20" t="s">
        <v>588</v>
      </c>
      <c r="F140" s="20" t="s">
        <v>386</v>
      </c>
      <c r="G140" s="8" t="str">
        <f t="shared" si="4"/>
        <v>SMITH MICHAEL</v>
      </c>
      <c r="H140" s="20" t="str">
        <f t="shared" si="5"/>
        <v>4004</v>
      </c>
    </row>
    <row r="141" spans="1:8" x14ac:dyDescent="0.3">
      <c r="A141" s="8">
        <v>43031.600949074076</v>
      </c>
      <c r="B141" s="20" t="s">
        <v>417</v>
      </c>
      <c r="C141" s="20" t="s">
        <v>660</v>
      </c>
      <c r="D141" s="138">
        <v>1300000</v>
      </c>
      <c r="E141" s="20" t="s">
        <v>422</v>
      </c>
      <c r="F141" s="20" t="s">
        <v>423</v>
      </c>
      <c r="G141" s="8" t="str">
        <f t="shared" si="4"/>
        <v>LEVIN SCOTT</v>
      </c>
      <c r="H141" s="20" t="str">
        <f t="shared" si="5"/>
        <v>4059</v>
      </c>
    </row>
    <row r="142" spans="1:8" x14ac:dyDescent="0.3">
      <c r="A142" s="8">
        <v>43031.603900462964</v>
      </c>
      <c r="B142" s="20" t="s">
        <v>439</v>
      </c>
      <c r="C142" s="20" t="s">
        <v>801</v>
      </c>
      <c r="D142" s="138">
        <v>2140000</v>
      </c>
      <c r="E142" s="20" t="s">
        <v>429</v>
      </c>
      <c r="F142" s="20" t="s">
        <v>430</v>
      </c>
      <c r="G142" s="8" t="str">
        <f t="shared" si="4"/>
        <v>ROBINSON KADDIBA</v>
      </c>
      <c r="H142" s="20" t="str">
        <f t="shared" si="5"/>
        <v>4017</v>
      </c>
    </row>
    <row r="143" spans="1:8" x14ac:dyDescent="0.3">
      <c r="A143" s="8">
        <v>43031.604085648149</v>
      </c>
      <c r="B143" s="20" t="s">
        <v>697</v>
      </c>
      <c r="C143" s="20" t="s">
        <v>805</v>
      </c>
      <c r="D143" s="138">
        <v>2970000</v>
      </c>
      <c r="E143" s="20" t="s">
        <v>586</v>
      </c>
      <c r="F143" s="20" t="s">
        <v>587</v>
      </c>
      <c r="G143" s="8" t="str">
        <f t="shared" si="4"/>
        <v>GUZMAN DANNY</v>
      </c>
      <c r="H143" s="20" t="str">
        <f t="shared" si="5"/>
        <v>4041</v>
      </c>
    </row>
    <row r="144" spans="1:8" x14ac:dyDescent="0.3">
      <c r="A144" s="8">
        <v>43031.610462962963</v>
      </c>
      <c r="B144" s="20" t="s">
        <v>437</v>
      </c>
      <c r="C144" s="20" t="s">
        <v>806</v>
      </c>
      <c r="D144" s="138">
        <v>2630000</v>
      </c>
      <c r="E144" s="20" t="s">
        <v>584</v>
      </c>
      <c r="F144" s="20" t="s">
        <v>585</v>
      </c>
      <c r="G144" s="8" t="str">
        <f t="shared" si="4"/>
        <v>SAFIEF AEIMEN</v>
      </c>
      <c r="H144" s="20" t="str">
        <f t="shared" si="5"/>
        <v>4007</v>
      </c>
    </row>
    <row r="145" spans="1:8" x14ac:dyDescent="0.3">
      <c r="A145" s="8">
        <v>43031.61246527778</v>
      </c>
      <c r="B145" s="20" t="s">
        <v>572</v>
      </c>
      <c r="C145" s="20" t="s">
        <v>807</v>
      </c>
      <c r="D145" s="138">
        <v>920000</v>
      </c>
      <c r="E145" s="20" t="s">
        <v>443</v>
      </c>
      <c r="F145" s="20" t="s">
        <v>386</v>
      </c>
      <c r="G145" s="8" t="str">
        <f t="shared" si="4"/>
        <v>DAVIS MICHAEL</v>
      </c>
      <c r="H145" s="20" t="str">
        <f t="shared" si="5"/>
        <v>4050</v>
      </c>
    </row>
    <row r="146" spans="1:8" x14ac:dyDescent="0.3">
      <c r="A146" s="8">
        <v>43031.624039351853</v>
      </c>
      <c r="B146" s="20" t="s">
        <v>435</v>
      </c>
      <c r="C146" s="20" t="s">
        <v>808</v>
      </c>
      <c r="D146" s="138">
        <v>880000</v>
      </c>
      <c r="E146" s="20" t="s">
        <v>399</v>
      </c>
      <c r="F146" s="20" t="s">
        <v>386</v>
      </c>
      <c r="G146" s="8" t="str">
        <f t="shared" si="4"/>
        <v>STEWART MICHAEL</v>
      </c>
      <c r="H146" s="20" t="str">
        <f t="shared" si="5"/>
        <v>4018</v>
      </c>
    </row>
    <row r="147" spans="1:8" x14ac:dyDescent="0.3">
      <c r="A147" s="8">
        <v>43031.62431712963</v>
      </c>
      <c r="B147" s="20" t="s">
        <v>416</v>
      </c>
      <c r="C147" s="20" t="s">
        <v>809</v>
      </c>
      <c r="D147" s="138">
        <v>1300000</v>
      </c>
      <c r="E147" s="20" t="s">
        <v>422</v>
      </c>
      <c r="F147" s="20" t="s">
        <v>423</v>
      </c>
      <c r="G147" s="8" t="str">
        <f t="shared" si="4"/>
        <v>LEVIN SCOTT</v>
      </c>
      <c r="H147" s="20" t="str">
        <f t="shared" si="5"/>
        <v>4060</v>
      </c>
    </row>
    <row r="148" spans="1:8" x14ac:dyDescent="0.3">
      <c r="A148" s="8">
        <v>43031.627696759257</v>
      </c>
      <c r="B148" s="20" t="s">
        <v>642</v>
      </c>
      <c r="C148" s="20" t="s">
        <v>664</v>
      </c>
      <c r="D148" s="138">
        <v>2550000</v>
      </c>
      <c r="E148" s="20" t="s">
        <v>486</v>
      </c>
      <c r="F148" s="20" t="s">
        <v>487</v>
      </c>
      <c r="G148" s="8" t="str">
        <f t="shared" si="4"/>
        <v>BADERTSCHER DIANE</v>
      </c>
      <c r="H148" s="20" t="str">
        <f t="shared" si="5"/>
        <v>4045</v>
      </c>
    </row>
    <row r="149" spans="1:8" x14ac:dyDescent="0.3">
      <c r="A149" s="8">
        <v>43031.630752314813</v>
      </c>
      <c r="B149" s="20" t="s">
        <v>481</v>
      </c>
      <c r="C149" s="20" t="s">
        <v>810</v>
      </c>
      <c r="D149" s="138">
        <v>1180000</v>
      </c>
      <c r="E149" s="20" t="s">
        <v>420</v>
      </c>
      <c r="F149" s="20" t="s">
        <v>421</v>
      </c>
      <c r="G149" s="8" t="str">
        <f t="shared" si="4"/>
        <v>LEVERE CRAIG</v>
      </c>
      <c r="H149" s="20" t="str">
        <f t="shared" si="5"/>
        <v>4016</v>
      </c>
    </row>
    <row r="150" spans="1:8" x14ac:dyDescent="0.3">
      <c r="A150" s="8">
        <v>43031.637465277781</v>
      </c>
      <c r="B150" s="20" t="s">
        <v>661</v>
      </c>
      <c r="C150" s="20" t="s">
        <v>662</v>
      </c>
      <c r="D150" s="138">
        <v>2000000</v>
      </c>
      <c r="E150" s="20" t="s">
        <v>370</v>
      </c>
      <c r="F150" s="20" t="s">
        <v>361</v>
      </c>
      <c r="G150" s="8" t="str">
        <f t="shared" si="4"/>
        <v>STAMBAUGH JAMES</v>
      </c>
      <c r="H150" s="20" t="str">
        <f t="shared" si="5"/>
        <v>4039</v>
      </c>
    </row>
    <row r="151" spans="1:8" x14ac:dyDescent="0.3">
      <c r="A151" s="8">
        <v>43031.63753472222</v>
      </c>
      <c r="B151" s="20" t="s">
        <v>679</v>
      </c>
      <c r="C151" s="20" t="s">
        <v>811</v>
      </c>
      <c r="D151" s="138">
        <v>2230000</v>
      </c>
      <c r="E151" s="20" t="s">
        <v>588</v>
      </c>
      <c r="F151" s="20" t="s">
        <v>386</v>
      </c>
      <c r="G151" s="8" t="str">
        <f t="shared" si="4"/>
        <v>SMITH MICHAEL</v>
      </c>
      <c r="H151" s="20" t="str">
        <f t="shared" si="5"/>
        <v>4003</v>
      </c>
    </row>
    <row r="152" spans="1:8" x14ac:dyDescent="0.3">
      <c r="A152" s="8">
        <v>43031.641643518517</v>
      </c>
      <c r="B152" s="20" t="s">
        <v>674</v>
      </c>
      <c r="C152" s="20" t="s">
        <v>812</v>
      </c>
      <c r="D152" s="138">
        <v>2970000</v>
      </c>
      <c r="E152" s="20" t="s">
        <v>586</v>
      </c>
      <c r="F152" s="20" t="s">
        <v>587</v>
      </c>
      <c r="G152" s="8" t="str">
        <f t="shared" si="4"/>
        <v>GUZMAN DANNY</v>
      </c>
      <c r="H152" s="20" t="str">
        <f t="shared" si="5"/>
        <v>4042</v>
      </c>
    </row>
    <row r="153" spans="1:8" x14ac:dyDescent="0.3">
      <c r="A153" s="8">
        <v>43031.642777777779</v>
      </c>
      <c r="B153" s="20" t="s">
        <v>417</v>
      </c>
      <c r="C153" s="20" t="s">
        <v>813</v>
      </c>
      <c r="D153" s="138">
        <v>1300000</v>
      </c>
      <c r="E153" s="20" t="s">
        <v>422</v>
      </c>
      <c r="F153" s="20" t="s">
        <v>423</v>
      </c>
      <c r="G153" s="8" t="str">
        <f t="shared" si="4"/>
        <v>LEVIN SCOTT</v>
      </c>
      <c r="H153" s="20" t="str">
        <f t="shared" si="5"/>
        <v>4059</v>
      </c>
    </row>
    <row r="154" spans="1:8" x14ac:dyDescent="0.3">
      <c r="A154" s="8">
        <v>43031.648229166669</v>
      </c>
      <c r="B154" s="20" t="s">
        <v>379</v>
      </c>
      <c r="C154" s="20" t="s">
        <v>663</v>
      </c>
      <c r="D154" s="138">
        <v>2000000</v>
      </c>
      <c r="E154" s="20" t="s">
        <v>370</v>
      </c>
      <c r="F154" s="20" t="s">
        <v>361</v>
      </c>
      <c r="G154" s="8" t="str">
        <f t="shared" si="4"/>
        <v>STAMBAUGH JAMES</v>
      </c>
      <c r="H154" s="20" t="str">
        <f t="shared" si="5"/>
        <v>4040</v>
      </c>
    </row>
    <row r="155" spans="1:8" x14ac:dyDescent="0.3">
      <c r="A155" s="8">
        <v>43031.652002314811</v>
      </c>
      <c r="B155" s="20" t="s">
        <v>414</v>
      </c>
      <c r="C155" s="20" t="s">
        <v>814</v>
      </c>
      <c r="D155" s="138">
        <v>2630000</v>
      </c>
      <c r="E155" s="20" t="s">
        <v>584</v>
      </c>
      <c r="F155" s="20" t="s">
        <v>585</v>
      </c>
      <c r="G155" s="8" t="str">
        <f t="shared" si="4"/>
        <v>SAFIEF AEIMEN</v>
      </c>
      <c r="H155" s="20" t="str">
        <f t="shared" si="5"/>
        <v>4008</v>
      </c>
    </row>
    <row r="156" spans="1:8" x14ac:dyDescent="0.3">
      <c r="A156" s="8">
        <v>43031.65252314815</v>
      </c>
      <c r="B156" s="20" t="s">
        <v>653</v>
      </c>
      <c r="C156" s="20" t="s">
        <v>815</v>
      </c>
      <c r="D156" s="138">
        <v>920000</v>
      </c>
      <c r="E156" s="20" t="s">
        <v>443</v>
      </c>
      <c r="F156" s="20" t="s">
        <v>386</v>
      </c>
      <c r="G156" s="8" t="str">
        <f t="shared" si="4"/>
        <v>DAVIS MICHAEL</v>
      </c>
      <c r="H156" s="20" t="str">
        <f t="shared" si="5"/>
        <v>4049</v>
      </c>
    </row>
    <row r="157" spans="1:8" x14ac:dyDescent="0.3">
      <c r="A157" s="8">
        <v>43031.660821759258</v>
      </c>
      <c r="B157" s="20" t="s">
        <v>439</v>
      </c>
      <c r="C157" s="20" t="s">
        <v>816</v>
      </c>
      <c r="D157" s="138">
        <v>880000</v>
      </c>
      <c r="E157" s="20" t="s">
        <v>399</v>
      </c>
      <c r="F157" s="20" t="s">
        <v>386</v>
      </c>
      <c r="G157" s="8" t="str">
        <f t="shared" si="4"/>
        <v>STEWART MICHAEL</v>
      </c>
      <c r="H157" s="20" t="str">
        <f t="shared" si="5"/>
        <v>4017</v>
      </c>
    </row>
    <row r="158" spans="1:8" x14ac:dyDescent="0.3">
      <c r="A158" s="8">
        <v>43031.663043981483</v>
      </c>
      <c r="B158" s="20" t="s">
        <v>692</v>
      </c>
      <c r="C158" s="20" t="s">
        <v>817</v>
      </c>
      <c r="D158" s="138">
        <v>2550000</v>
      </c>
      <c r="E158" s="20" t="s">
        <v>486</v>
      </c>
      <c r="F158" s="20" t="s">
        <v>487</v>
      </c>
      <c r="G158" s="8" t="str">
        <f t="shared" si="4"/>
        <v>BADERTSCHER DIANE</v>
      </c>
      <c r="H158" s="20" t="str">
        <f t="shared" si="5"/>
        <v>4046</v>
      </c>
    </row>
    <row r="159" spans="1:8" x14ac:dyDescent="0.3">
      <c r="A159" s="8">
        <v>43031.663541666669</v>
      </c>
      <c r="B159" s="20" t="s">
        <v>661</v>
      </c>
      <c r="C159" s="20" t="s">
        <v>818</v>
      </c>
      <c r="D159" s="138">
        <v>2000000</v>
      </c>
      <c r="E159" s="20" t="s">
        <v>370</v>
      </c>
      <c r="F159" s="20" t="s">
        <v>361</v>
      </c>
      <c r="G159" s="8" t="str">
        <f t="shared" si="4"/>
        <v>STAMBAUGH JAMES</v>
      </c>
      <c r="H159" s="20" t="str">
        <f t="shared" si="5"/>
        <v>4039</v>
      </c>
    </row>
    <row r="160" spans="1:8" x14ac:dyDescent="0.3">
      <c r="A160" s="8">
        <v>43031.665914351855</v>
      </c>
      <c r="B160" s="20" t="s">
        <v>416</v>
      </c>
      <c r="C160" s="20" t="s">
        <v>665</v>
      </c>
      <c r="D160" s="138">
        <v>1300000</v>
      </c>
      <c r="E160" s="20" t="s">
        <v>422</v>
      </c>
      <c r="F160" s="20" t="s">
        <v>423</v>
      </c>
      <c r="G160" s="8" t="str">
        <f t="shared" si="4"/>
        <v>LEVIN SCOTT</v>
      </c>
      <c r="H160" s="20" t="str">
        <f t="shared" si="5"/>
        <v>4060</v>
      </c>
    </row>
    <row r="161" spans="1:8" x14ac:dyDescent="0.3">
      <c r="A161" s="8">
        <v>43031.67292824074</v>
      </c>
      <c r="B161" s="20" t="s">
        <v>468</v>
      </c>
      <c r="C161" s="20" t="s">
        <v>666</v>
      </c>
      <c r="D161" s="138">
        <v>1180000</v>
      </c>
      <c r="E161" s="20" t="s">
        <v>420</v>
      </c>
      <c r="F161" s="20" t="s">
        <v>421</v>
      </c>
      <c r="G161" s="8" t="str">
        <f t="shared" si="4"/>
        <v>LEVERE CRAIG</v>
      </c>
      <c r="H161" s="20" t="str">
        <f t="shared" si="5"/>
        <v>4015</v>
      </c>
    </row>
    <row r="162" spans="1:8" x14ac:dyDescent="0.3">
      <c r="A162" s="8">
        <v>43031.673310185186</v>
      </c>
      <c r="B162" s="20" t="s">
        <v>684</v>
      </c>
      <c r="C162" s="20" t="s">
        <v>819</v>
      </c>
      <c r="D162" s="138">
        <v>2230000</v>
      </c>
      <c r="E162" s="20" t="s">
        <v>588</v>
      </c>
      <c r="F162" s="20" t="s">
        <v>386</v>
      </c>
      <c r="G162" s="8" t="str">
        <f t="shared" si="4"/>
        <v>SMITH MICHAEL</v>
      </c>
      <c r="H162" s="20" t="str">
        <f t="shared" si="5"/>
        <v>4004</v>
      </c>
    </row>
    <row r="163" spans="1:8" x14ac:dyDescent="0.3">
      <c r="A163" s="8">
        <v>43031.679155092592</v>
      </c>
      <c r="B163" s="20" t="s">
        <v>697</v>
      </c>
      <c r="C163" s="20" t="s">
        <v>820</v>
      </c>
      <c r="D163" s="138">
        <v>2970000</v>
      </c>
      <c r="E163" s="20" t="s">
        <v>586</v>
      </c>
      <c r="F163" s="20" t="s">
        <v>587</v>
      </c>
      <c r="G163" s="8" t="str">
        <f t="shared" si="4"/>
        <v>GUZMAN DANNY</v>
      </c>
      <c r="H163" s="20" t="str">
        <f t="shared" si="5"/>
        <v>4041</v>
      </c>
    </row>
    <row r="164" spans="1:8" x14ac:dyDescent="0.3">
      <c r="A164" s="8">
        <v>43031.684606481482</v>
      </c>
      <c r="B164" s="20" t="s">
        <v>417</v>
      </c>
      <c r="C164" s="20" t="s">
        <v>821</v>
      </c>
      <c r="D164" s="138">
        <v>1300000</v>
      </c>
      <c r="E164" s="20" t="s">
        <v>422</v>
      </c>
      <c r="F164" s="20" t="s">
        <v>423</v>
      </c>
      <c r="G164" s="8" t="str">
        <f t="shared" si="4"/>
        <v>LEVIN SCOTT</v>
      </c>
      <c r="H164" s="20" t="str">
        <f t="shared" si="5"/>
        <v>4059</v>
      </c>
    </row>
    <row r="165" spans="1:8" x14ac:dyDescent="0.3">
      <c r="A165" s="8">
        <v>43031.684918981482</v>
      </c>
      <c r="B165" s="20" t="s">
        <v>710</v>
      </c>
      <c r="C165" s="20" t="s">
        <v>822</v>
      </c>
      <c r="D165" s="138">
        <v>3220000</v>
      </c>
      <c r="E165" s="20" t="s">
        <v>823</v>
      </c>
      <c r="F165" s="20" t="s">
        <v>824</v>
      </c>
      <c r="G165" s="8" t="str">
        <f t="shared" si="4"/>
        <v>RESPASS AARON</v>
      </c>
      <c r="H165" s="20" t="str">
        <f t="shared" si="5"/>
        <v>4064</v>
      </c>
    </row>
    <row r="166" spans="1:8" x14ac:dyDescent="0.3">
      <c r="A166" s="8">
        <v>43031.685763888891</v>
      </c>
      <c r="B166" s="20" t="s">
        <v>572</v>
      </c>
      <c r="C166" s="20" t="s">
        <v>825</v>
      </c>
      <c r="D166" s="138">
        <v>920000</v>
      </c>
      <c r="E166" s="20" t="s">
        <v>443</v>
      </c>
      <c r="F166" s="20" t="s">
        <v>386</v>
      </c>
      <c r="G166" s="8" t="str">
        <f t="shared" si="4"/>
        <v>DAVIS MICHAEL</v>
      </c>
      <c r="H166" s="20" t="str">
        <f t="shared" si="5"/>
        <v>4050</v>
      </c>
    </row>
    <row r="167" spans="1:8" x14ac:dyDescent="0.3">
      <c r="A167" s="8">
        <v>43031.686273148145</v>
      </c>
      <c r="B167" s="20" t="s">
        <v>437</v>
      </c>
      <c r="C167" s="20" t="s">
        <v>826</v>
      </c>
      <c r="D167" s="138">
        <v>2630000</v>
      </c>
      <c r="E167" s="20" t="s">
        <v>584</v>
      </c>
      <c r="F167" s="20" t="s">
        <v>585</v>
      </c>
      <c r="G167" s="8" t="str">
        <f t="shared" si="4"/>
        <v>SAFIEF AEIMEN</v>
      </c>
      <c r="H167" s="20" t="str">
        <f t="shared" si="5"/>
        <v>4007</v>
      </c>
    </row>
    <row r="168" spans="1:8" x14ac:dyDescent="0.3">
      <c r="A168" s="8">
        <v>43031.691527777781</v>
      </c>
      <c r="B168" s="20" t="s">
        <v>379</v>
      </c>
      <c r="C168" s="20" t="s">
        <v>667</v>
      </c>
      <c r="D168" s="138">
        <v>2000000</v>
      </c>
      <c r="E168" s="20" t="s">
        <v>370</v>
      </c>
      <c r="F168" s="20" t="s">
        <v>361</v>
      </c>
      <c r="G168" s="8" t="str">
        <f t="shared" si="4"/>
        <v>STAMBAUGH JAMES</v>
      </c>
      <c r="H168" s="20" t="str">
        <f t="shared" si="5"/>
        <v>4040</v>
      </c>
    </row>
    <row r="169" spans="1:8" x14ac:dyDescent="0.3">
      <c r="A169" s="8">
        <v>43031.694166666668</v>
      </c>
      <c r="B169" s="20" t="s">
        <v>435</v>
      </c>
      <c r="C169" s="20" t="s">
        <v>827</v>
      </c>
      <c r="D169" s="138">
        <v>880000</v>
      </c>
      <c r="E169" s="20" t="s">
        <v>399</v>
      </c>
      <c r="F169" s="20" t="s">
        <v>386</v>
      </c>
      <c r="G169" s="8" t="str">
        <f t="shared" si="4"/>
        <v>STEWART MICHAEL</v>
      </c>
      <c r="H169" s="20" t="str">
        <f t="shared" si="5"/>
        <v>4018</v>
      </c>
    </row>
    <row r="170" spans="1:8" x14ac:dyDescent="0.3">
      <c r="A170" s="8">
        <v>43031.704074074078</v>
      </c>
      <c r="B170" s="20" t="s">
        <v>642</v>
      </c>
      <c r="C170" s="20" t="s">
        <v>828</v>
      </c>
      <c r="D170" s="138">
        <v>2550000</v>
      </c>
      <c r="E170" s="20" t="s">
        <v>486</v>
      </c>
      <c r="F170" s="20" t="s">
        <v>487</v>
      </c>
      <c r="G170" s="8" t="str">
        <f t="shared" si="4"/>
        <v>BADERTSCHER DIANE</v>
      </c>
      <c r="H170" s="20" t="str">
        <f t="shared" si="5"/>
        <v>4045</v>
      </c>
    </row>
    <row r="171" spans="1:8" x14ac:dyDescent="0.3">
      <c r="A171" s="8">
        <v>43031.704652777778</v>
      </c>
      <c r="B171" s="20" t="s">
        <v>481</v>
      </c>
      <c r="C171" s="20" t="s">
        <v>829</v>
      </c>
      <c r="D171" s="138">
        <v>1180000</v>
      </c>
      <c r="E171" s="20" t="s">
        <v>420</v>
      </c>
      <c r="F171" s="20" t="s">
        <v>421</v>
      </c>
      <c r="G171" s="8" t="str">
        <f t="shared" si="4"/>
        <v>LEVERE CRAIG</v>
      </c>
      <c r="H171" s="20" t="str">
        <f t="shared" si="5"/>
        <v>4016</v>
      </c>
    </row>
    <row r="172" spans="1:8" x14ac:dyDescent="0.3">
      <c r="A172" s="8">
        <v>43031.704791666663</v>
      </c>
      <c r="B172" s="20" t="s">
        <v>661</v>
      </c>
      <c r="C172" s="20" t="s">
        <v>830</v>
      </c>
      <c r="D172" s="138">
        <v>2000000</v>
      </c>
      <c r="E172" s="20" t="s">
        <v>370</v>
      </c>
      <c r="F172" s="20" t="s">
        <v>361</v>
      </c>
      <c r="G172" s="8" t="str">
        <f t="shared" si="4"/>
        <v>STAMBAUGH JAMES</v>
      </c>
      <c r="H172" s="20" t="str">
        <f t="shared" si="5"/>
        <v>4039</v>
      </c>
    </row>
    <row r="173" spans="1:8" x14ac:dyDescent="0.3">
      <c r="A173" s="8">
        <v>43031.707812499997</v>
      </c>
      <c r="B173" s="20" t="s">
        <v>416</v>
      </c>
      <c r="C173" s="20" t="s">
        <v>821</v>
      </c>
      <c r="D173" s="138">
        <v>1300000</v>
      </c>
      <c r="E173" s="20" t="s">
        <v>422</v>
      </c>
      <c r="F173" s="20" t="s">
        <v>423</v>
      </c>
      <c r="G173" s="8" t="str">
        <f t="shared" si="4"/>
        <v>LEVIN SCOTT</v>
      </c>
      <c r="H173" s="20" t="str">
        <f t="shared" si="5"/>
        <v>4060</v>
      </c>
    </row>
    <row r="174" spans="1:8" x14ac:dyDescent="0.3">
      <c r="A174" s="8">
        <v>43031.707974537036</v>
      </c>
      <c r="B174" s="20" t="s">
        <v>679</v>
      </c>
      <c r="C174" s="20" t="s">
        <v>831</v>
      </c>
      <c r="D174" s="138">
        <v>2230000</v>
      </c>
      <c r="E174" s="20" t="s">
        <v>588</v>
      </c>
      <c r="F174" s="20" t="s">
        <v>386</v>
      </c>
      <c r="G174" s="8" t="str">
        <f t="shared" si="4"/>
        <v>SMITH MICHAEL</v>
      </c>
      <c r="H174" s="20" t="str">
        <f t="shared" si="5"/>
        <v>4003</v>
      </c>
    </row>
    <row r="175" spans="1:8" x14ac:dyDescent="0.3">
      <c r="A175" s="8">
        <v>43031.708425925928</v>
      </c>
      <c r="B175" s="20" t="s">
        <v>416</v>
      </c>
      <c r="C175" s="20" t="s">
        <v>832</v>
      </c>
      <c r="D175" s="138">
        <v>1300000</v>
      </c>
      <c r="E175" s="20" t="s">
        <v>422</v>
      </c>
      <c r="F175" s="20" t="s">
        <v>423</v>
      </c>
      <c r="G175" s="8" t="str">
        <f t="shared" si="4"/>
        <v>LEVIN SCOTT</v>
      </c>
      <c r="H175" s="20" t="str">
        <f t="shared" si="5"/>
        <v>4060</v>
      </c>
    </row>
    <row r="176" spans="1:8" x14ac:dyDescent="0.3">
      <c r="A176" s="8">
        <v>43031.71429398148</v>
      </c>
      <c r="B176" s="20" t="s">
        <v>638</v>
      </c>
      <c r="C176" s="20" t="s">
        <v>833</v>
      </c>
      <c r="D176" s="138">
        <v>2140000</v>
      </c>
      <c r="E176" s="20" t="s">
        <v>429</v>
      </c>
      <c r="F176" s="20" t="s">
        <v>430</v>
      </c>
      <c r="G176" s="8" t="str">
        <f t="shared" si="4"/>
        <v>ROBINSON KADDIBA</v>
      </c>
      <c r="H176" s="20" t="str">
        <f t="shared" si="5"/>
        <v>4034</v>
      </c>
    </row>
    <row r="177" spans="1:8" x14ac:dyDescent="0.3">
      <c r="A177" s="8">
        <v>43031.715555555558</v>
      </c>
      <c r="B177" s="20" t="s">
        <v>674</v>
      </c>
      <c r="C177" s="20" t="s">
        <v>834</v>
      </c>
      <c r="D177" s="138">
        <v>2970000</v>
      </c>
      <c r="E177" s="20" t="s">
        <v>586</v>
      </c>
      <c r="F177" s="20" t="s">
        <v>587</v>
      </c>
      <c r="G177" s="8" t="str">
        <f t="shared" si="4"/>
        <v>GUZMAN DANNY</v>
      </c>
      <c r="H177" s="20" t="str">
        <f t="shared" si="5"/>
        <v>4042</v>
      </c>
    </row>
    <row r="178" spans="1:8" x14ac:dyDescent="0.3">
      <c r="A178" s="8">
        <v>43031.725034722222</v>
      </c>
      <c r="B178" s="20" t="s">
        <v>653</v>
      </c>
      <c r="C178" s="20" t="s">
        <v>835</v>
      </c>
      <c r="D178" s="138">
        <v>920000</v>
      </c>
      <c r="E178" s="20" t="s">
        <v>443</v>
      </c>
      <c r="F178" s="20" t="s">
        <v>386</v>
      </c>
      <c r="G178" s="8" t="str">
        <f t="shared" si="4"/>
        <v>DAVIS MICHAEL</v>
      </c>
      <c r="H178" s="20" t="str">
        <f t="shared" si="5"/>
        <v>4049</v>
      </c>
    </row>
    <row r="179" spans="1:8" x14ac:dyDescent="0.3">
      <c r="A179" s="8">
        <v>43031.72619212963</v>
      </c>
      <c r="B179" s="20" t="s">
        <v>414</v>
      </c>
      <c r="C179" s="20" t="s">
        <v>836</v>
      </c>
      <c r="D179" s="138">
        <v>2630000</v>
      </c>
      <c r="E179" s="20" t="s">
        <v>584</v>
      </c>
      <c r="F179" s="20" t="s">
        <v>585</v>
      </c>
      <c r="G179" s="8" t="str">
        <f t="shared" si="4"/>
        <v>SAFIEF AEIMEN</v>
      </c>
      <c r="H179" s="20" t="str">
        <f t="shared" si="5"/>
        <v>4008</v>
      </c>
    </row>
    <row r="180" spans="1:8" x14ac:dyDescent="0.3">
      <c r="A180" s="8">
        <v>43031.726863425924</v>
      </c>
      <c r="B180" s="20" t="s">
        <v>417</v>
      </c>
      <c r="C180" s="20" t="s">
        <v>837</v>
      </c>
      <c r="D180" s="138">
        <v>1300000</v>
      </c>
      <c r="E180" s="20" t="s">
        <v>422</v>
      </c>
      <c r="F180" s="20" t="s">
        <v>423</v>
      </c>
      <c r="G180" s="8" t="str">
        <f t="shared" si="4"/>
        <v>LEVIN SCOTT</v>
      </c>
      <c r="H180" s="20" t="str">
        <f t="shared" si="5"/>
        <v>4059</v>
      </c>
    </row>
    <row r="181" spans="1:8" x14ac:dyDescent="0.3">
      <c r="A181" s="8">
        <v>43031.732581018521</v>
      </c>
      <c r="B181" s="20" t="s">
        <v>379</v>
      </c>
      <c r="C181" s="20" t="s">
        <v>838</v>
      </c>
      <c r="D181" s="138">
        <v>2000000</v>
      </c>
      <c r="E181" s="20" t="s">
        <v>370</v>
      </c>
      <c r="F181" s="20" t="s">
        <v>361</v>
      </c>
      <c r="G181" s="8" t="str">
        <f t="shared" si="4"/>
        <v>STAMBAUGH JAMES</v>
      </c>
      <c r="H181" s="20" t="str">
        <f t="shared" si="5"/>
        <v>4040</v>
      </c>
    </row>
    <row r="182" spans="1:8" x14ac:dyDescent="0.3">
      <c r="A182" s="8">
        <v>43031.734837962962</v>
      </c>
      <c r="B182" s="20" t="s">
        <v>439</v>
      </c>
      <c r="C182" s="20" t="s">
        <v>839</v>
      </c>
      <c r="D182" s="138">
        <v>880000</v>
      </c>
      <c r="E182" s="20" t="s">
        <v>399</v>
      </c>
      <c r="F182" s="20" t="s">
        <v>386</v>
      </c>
      <c r="G182" s="8" t="str">
        <f t="shared" si="4"/>
        <v>STEWART MICHAEL</v>
      </c>
      <c r="H182" s="20" t="str">
        <f t="shared" si="5"/>
        <v>4017</v>
      </c>
    </row>
    <row r="183" spans="1:8" x14ac:dyDescent="0.3">
      <c r="A183" s="8">
        <v>43031.737210648149</v>
      </c>
      <c r="B183" s="20" t="s">
        <v>489</v>
      </c>
      <c r="C183" s="20" t="s">
        <v>840</v>
      </c>
      <c r="D183" s="138">
        <v>3500000</v>
      </c>
      <c r="E183" s="20" t="s">
        <v>841</v>
      </c>
      <c r="F183" s="20" t="s">
        <v>842</v>
      </c>
      <c r="G183" s="8" t="str">
        <f t="shared" si="4"/>
        <v>GUNTHIER ERIC</v>
      </c>
      <c r="H183" s="20" t="str">
        <f t="shared" si="5"/>
        <v>4032</v>
      </c>
    </row>
    <row r="184" spans="1:8" x14ac:dyDescent="0.3">
      <c r="A184" s="8">
        <v>43031.737766203703</v>
      </c>
      <c r="B184" s="20" t="s">
        <v>489</v>
      </c>
      <c r="C184" s="20" t="s">
        <v>840</v>
      </c>
      <c r="D184" s="138">
        <v>3500000</v>
      </c>
      <c r="E184" s="20" t="s">
        <v>841</v>
      </c>
      <c r="F184" s="20" t="s">
        <v>842</v>
      </c>
      <c r="G184" s="8" t="str">
        <f t="shared" si="4"/>
        <v>GUNTHIER ERIC</v>
      </c>
      <c r="H184" s="20" t="str">
        <f t="shared" si="5"/>
        <v>4032</v>
      </c>
    </row>
    <row r="185" spans="1:8" x14ac:dyDescent="0.3">
      <c r="A185" s="8">
        <v>43031.73847222222</v>
      </c>
      <c r="B185" s="20" t="s">
        <v>692</v>
      </c>
      <c r="C185" s="20" t="s">
        <v>843</v>
      </c>
      <c r="D185" s="138">
        <v>890000</v>
      </c>
      <c r="E185" s="20" t="s">
        <v>358</v>
      </c>
      <c r="F185" s="20" t="s">
        <v>359</v>
      </c>
      <c r="G185" s="8" t="str">
        <f t="shared" si="4"/>
        <v>LOZA FIDEL</v>
      </c>
      <c r="H185" s="20" t="str">
        <f t="shared" si="5"/>
        <v>4046</v>
      </c>
    </row>
    <row r="186" spans="1:8" x14ac:dyDescent="0.3">
      <c r="A186" s="8">
        <v>43031.738622685189</v>
      </c>
      <c r="B186" s="20" t="s">
        <v>489</v>
      </c>
      <c r="C186" s="20" t="s">
        <v>840</v>
      </c>
      <c r="D186" s="138">
        <v>3500000</v>
      </c>
      <c r="E186" s="20" t="s">
        <v>841</v>
      </c>
      <c r="F186" s="20" t="s">
        <v>842</v>
      </c>
      <c r="G186" s="8" t="str">
        <f t="shared" si="4"/>
        <v>GUNTHIER ERIC</v>
      </c>
      <c r="H186" s="20" t="str">
        <f t="shared" si="5"/>
        <v>4032</v>
      </c>
    </row>
    <row r="187" spans="1:8" x14ac:dyDescent="0.3">
      <c r="A187" s="8">
        <v>43031.744155092594</v>
      </c>
      <c r="B187" s="20" t="s">
        <v>468</v>
      </c>
      <c r="C187" s="20" t="s">
        <v>844</v>
      </c>
      <c r="D187" s="138">
        <v>1180000</v>
      </c>
      <c r="E187" s="20" t="s">
        <v>420</v>
      </c>
      <c r="F187" s="20" t="s">
        <v>421</v>
      </c>
      <c r="G187" s="8" t="str">
        <f t="shared" si="4"/>
        <v>LEVERE CRAIG</v>
      </c>
      <c r="H187" s="20" t="str">
        <f t="shared" si="5"/>
        <v>4015</v>
      </c>
    </row>
    <row r="188" spans="1:8" x14ac:dyDescent="0.3">
      <c r="A188" s="8">
        <v>43031.745208333334</v>
      </c>
      <c r="B188" s="20" t="s">
        <v>684</v>
      </c>
      <c r="C188" s="20" t="s">
        <v>845</v>
      </c>
      <c r="D188" s="138">
        <v>2230000</v>
      </c>
      <c r="E188" s="20" t="s">
        <v>588</v>
      </c>
      <c r="F188" s="20" t="s">
        <v>386</v>
      </c>
      <c r="G188" s="8" t="str">
        <f t="shared" si="4"/>
        <v>SMITH MICHAEL</v>
      </c>
      <c r="H188" s="20" t="str">
        <f t="shared" si="5"/>
        <v>4004</v>
      </c>
    </row>
    <row r="189" spans="1:8" x14ac:dyDescent="0.3">
      <c r="A189" s="8">
        <v>43031.74622685185</v>
      </c>
      <c r="B189" s="20" t="s">
        <v>473</v>
      </c>
      <c r="C189" s="20" t="s">
        <v>840</v>
      </c>
      <c r="D189" s="138">
        <v>3500000</v>
      </c>
      <c r="E189" s="20" t="s">
        <v>841</v>
      </c>
      <c r="F189" s="20" t="s">
        <v>842</v>
      </c>
      <c r="G189" s="8" t="str">
        <f t="shared" si="4"/>
        <v>GUNTHIER ERIC</v>
      </c>
      <c r="H189" s="20" t="str">
        <f t="shared" si="5"/>
        <v>4031</v>
      </c>
    </row>
    <row r="190" spans="1:8" x14ac:dyDescent="0.3">
      <c r="A190" s="8">
        <v>43031.747615740744</v>
      </c>
      <c r="B190" s="20" t="s">
        <v>661</v>
      </c>
      <c r="C190" s="20" t="s">
        <v>838</v>
      </c>
      <c r="D190" s="138">
        <v>2000000</v>
      </c>
      <c r="E190" s="20" t="s">
        <v>370</v>
      </c>
      <c r="F190" s="20" t="s">
        <v>361</v>
      </c>
      <c r="G190" s="8" t="str">
        <f t="shared" si="4"/>
        <v>STAMBAUGH JAMES</v>
      </c>
      <c r="H190" s="20" t="str">
        <f t="shared" si="5"/>
        <v>4039</v>
      </c>
    </row>
    <row r="191" spans="1:8" x14ac:dyDescent="0.3">
      <c r="A191" s="8">
        <v>43031.748171296298</v>
      </c>
      <c r="B191" s="20" t="s">
        <v>661</v>
      </c>
      <c r="C191" s="20" t="s">
        <v>668</v>
      </c>
      <c r="D191" s="138">
        <v>2000000</v>
      </c>
      <c r="E191" s="20" t="s">
        <v>370</v>
      </c>
      <c r="F191" s="20" t="s">
        <v>361</v>
      </c>
      <c r="G191" s="8" t="str">
        <f t="shared" si="4"/>
        <v>STAMBAUGH JAMES</v>
      </c>
      <c r="H191" s="20" t="str">
        <f t="shared" si="5"/>
        <v>4039</v>
      </c>
    </row>
    <row r="192" spans="1:8" x14ac:dyDescent="0.3">
      <c r="A192" s="8">
        <v>43031.748506944445</v>
      </c>
      <c r="B192" s="20" t="s">
        <v>697</v>
      </c>
      <c r="C192" s="20" t="s">
        <v>846</v>
      </c>
      <c r="D192" s="138">
        <v>2970000</v>
      </c>
      <c r="E192" s="20" t="s">
        <v>586</v>
      </c>
      <c r="F192" s="20" t="s">
        <v>587</v>
      </c>
      <c r="G192" s="8" t="str">
        <f t="shared" si="4"/>
        <v>GUZMAN DANNY</v>
      </c>
      <c r="H192" s="20" t="str">
        <f t="shared" si="5"/>
        <v>4041</v>
      </c>
    </row>
    <row r="193" spans="1:8" x14ac:dyDescent="0.3">
      <c r="A193" s="8">
        <v>43031.752106481479</v>
      </c>
      <c r="B193" s="20" t="s">
        <v>416</v>
      </c>
      <c r="C193" s="20" t="s">
        <v>847</v>
      </c>
      <c r="D193" s="138">
        <v>1300000</v>
      </c>
      <c r="E193" s="20" t="s">
        <v>422</v>
      </c>
      <c r="F193" s="20" t="s">
        <v>423</v>
      </c>
      <c r="G193" s="8" t="str">
        <f t="shared" si="4"/>
        <v>LEVIN SCOTT</v>
      </c>
      <c r="H193" s="20" t="str">
        <f t="shared" si="5"/>
        <v>4060</v>
      </c>
    </row>
    <row r="194" spans="1:8" x14ac:dyDescent="0.3">
      <c r="A194" s="8">
        <v>43031.757118055553</v>
      </c>
      <c r="B194" s="20" t="s">
        <v>437</v>
      </c>
      <c r="C194" s="20" t="s">
        <v>848</v>
      </c>
      <c r="D194" s="138">
        <v>2630000</v>
      </c>
      <c r="E194" s="20" t="s">
        <v>584</v>
      </c>
      <c r="F194" s="20" t="s">
        <v>585</v>
      </c>
      <c r="G194" s="8" t="str">
        <f t="shared" si="4"/>
        <v>SAFIEF AEIMEN</v>
      </c>
      <c r="H194" s="20" t="str">
        <f t="shared" si="5"/>
        <v>4007</v>
      </c>
    </row>
    <row r="195" spans="1:8" x14ac:dyDescent="0.3">
      <c r="A195" s="8">
        <v>43031.758703703701</v>
      </c>
      <c r="B195" s="20" t="s">
        <v>572</v>
      </c>
      <c r="C195" s="20" t="s">
        <v>849</v>
      </c>
      <c r="D195" s="138">
        <v>2680000</v>
      </c>
      <c r="E195" s="20" t="s">
        <v>364</v>
      </c>
      <c r="F195" s="20" t="s">
        <v>365</v>
      </c>
      <c r="G195" s="8" t="str">
        <f t="shared" ref="G195:G258" si="6">E195&amp;" "&amp;F195</f>
        <v>DUNCAN SHEILA</v>
      </c>
      <c r="H195" s="20" t="str">
        <f t="shared" ref="H195:H258" si="7">MID(B195,13,4)</f>
        <v>4050</v>
      </c>
    </row>
    <row r="196" spans="1:8" x14ac:dyDescent="0.3">
      <c r="A196" s="8">
        <v>43031.768530092595</v>
      </c>
      <c r="B196" s="20" t="s">
        <v>435</v>
      </c>
      <c r="C196" s="20" t="s">
        <v>850</v>
      </c>
      <c r="D196" s="138">
        <v>3040000</v>
      </c>
      <c r="E196" s="20" t="s">
        <v>479</v>
      </c>
      <c r="F196" s="20" t="s">
        <v>480</v>
      </c>
      <c r="G196" s="8" t="str">
        <f t="shared" si="6"/>
        <v>WILLIAMS DONTE</v>
      </c>
      <c r="H196" s="20" t="str">
        <f t="shared" si="7"/>
        <v>4018</v>
      </c>
    </row>
    <row r="197" spans="1:8" x14ac:dyDescent="0.3">
      <c r="A197" s="8">
        <v>43031.768634259257</v>
      </c>
      <c r="B197" s="20" t="s">
        <v>417</v>
      </c>
      <c r="C197" s="20" t="s">
        <v>851</v>
      </c>
      <c r="D197" s="138">
        <v>1300000</v>
      </c>
      <c r="E197" s="20" t="s">
        <v>422</v>
      </c>
      <c r="F197" s="20" t="s">
        <v>423</v>
      </c>
      <c r="G197" s="8" t="str">
        <f t="shared" si="6"/>
        <v>LEVIN SCOTT</v>
      </c>
      <c r="H197" s="20" t="str">
        <f t="shared" si="7"/>
        <v>4059</v>
      </c>
    </row>
    <row r="198" spans="1:8" x14ac:dyDescent="0.3">
      <c r="A198" s="8">
        <v>43031.775173611109</v>
      </c>
      <c r="B198" s="20" t="s">
        <v>379</v>
      </c>
      <c r="C198" s="20" t="s">
        <v>669</v>
      </c>
      <c r="D198" s="138">
        <v>2000000</v>
      </c>
      <c r="E198" s="20" t="s">
        <v>370</v>
      </c>
      <c r="F198" s="20" t="s">
        <v>361</v>
      </c>
      <c r="G198" s="8" t="str">
        <f t="shared" si="6"/>
        <v>STAMBAUGH JAMES</v>
      </c>
      <c r="H198" s="20" t="str">
        <f t="shared" si="7"/>
        <v>4040</v>
      </c>
    </row>
    <row r="199" spans="1:8" x14ac:dyDescent="0.3">
      <c r="A199" s="8">
        <v>43031.77783564815</v>
      </c>
      <c r="B199" s="20" t="s">
        <v>642</v>
      </c>
      <c r="C199" s="20" t="s">
        <v>852</v>
      </c>
      <c r="D199" s="138">
        <v>890000</v>
      </c>
      <c r="E199" s="20" t="s">
        <v>358</v>
      </c>
      <c r="F199" s="20" t="s">
        <v>359</v>
      </c>
      <c r="G199" s="8" t="str">
        <f t="shared" si="6"/>
        <v>LOZA FIDEL</v>
      </c>
      <c r="H199" s="20" t="str">
        <f t="shared" si="7"/>
        <v>4045</v>
      </c>
    </row>
    <row r="200" spans="1:8" x14ac:dyDescent="0.3">
      <c r="A200" s="8">
        <v>43031.778055555558</v>
      </c>
      <c r="B200" s="20" t="s">
        <v>481</v>
      </c>
      <c r="C200" s="20" t="s">
        <v>853</v>
      </c>
      <c r="D200" s="138">
        <v>1180000</v>
      </c>
      <c r="E200" s="20" t="s">
        <v>420</v>
      </c>
      <c r="F200" s="20" t="s">
        <v>421</v>
      </c>
      <c r="G200" s="8" t="str">
        <f t="shared" si="6"/>
        <v>LEVERE CRAIG</v>
      </c>
      <c r="H200" s="20" t="str">
        <f t="shared" si="7"/>
        <v>4016</v>
      </c>
    </row>
    <row r="201" spans="1:8" x14ac:dyDescent="0.3">
      <c r="A201" s="8">
        <v>43031.783090277779</v>
      </c>
      <c r="B201" s="20" t="s">
        <v>679</v>
      </c>
      <c r="C201" s="20" t="s">
        <v>854</v>
      </c>
      <c r="D201" s="138">
        <v>2230000</v>
      </c>
      <c r="E201" s="20" t="s">
        <v>588</v>
      </c>
      <c r="F201" s="20" t="s">
        <v>386</v>
      </c>
      <c r="G201" s="8" t="str">
        <f t="shared" si="6"/>
        <v>SMITH MICHAEL</v>
      </c>
      <c r="H201" s="20" t="str">
        <f t="shared" si="7"/>
        <v>4003</v>
      </c>
    </row>
    <row r="202" spans="1:8" x14ac:dyDescent="0.3">
      <c r="A202" s="26">
        <v>43031.786435185182</v>
      </c>
      <c r="B202" s="20" t="s">
        <v>674</v>
      </c>
      <c r="C202" s="20" t="s">
        <v>855</v>
      </c>
      <c r="D202" s="138">
        <v>3340000</v>
      </c>
      <c r="E202" s="20" t="s">
        <v>499</v>
      </c>
      <c r="F202" s="20" t="s">
        <v>500</v>
      </c>
      <c r="G202" s="8" t="str">
        <f t="shared" si="6"/>
        <v>ELBAUM MIKE</v>
      </c>
      <c r="H202" s="20" t="str">
        <f t="shared" si="7"/>
        <v>4042</v>
      </c>
    </row>
    <row r="203" spans="1:8" x14ac:dyDescent="0.3">
      <c r="A203" s="8">
        <v>43031.789236111108</v>
      </c>
      <c r="B203" s="20" t="s">
        <v>661</v>
      </c>
      <c r="C203" s="20" t="s">
        <v>670</v>
      </c>
      <c r="D203" s="138">
        <v>2000000</v>
      </c>
      <c r="E203" s="20" t="s">
        <v>370</v>
      </c>
      <c r="F203" s="20" t="s">
        <v>361</v>
      </c>
      <c r="G203" s="8" t="str">
        <f t="shared" si="6"/>
        <v>STAMBAUGH JAMES</v>
      </c>
      <c r="H203" s="20" t="str">
        <f t="shared" si="7"/>
        <v>4039</v>
      </c>
    </row>
    <row r="204" spans="1:8" x14ac:dyDescent="0.3">
      <c r="A204" s="8">
        <v>43031.790462962963</v>
      </c>
      <c r="B204" s="20" t="s">
        <v>416</v>
      </c>
      <c r="C204" s="20" t="s">
        <v>856</v>
      </c>
      <c r="D204" s="138">
        <v>1300000</v>
      </c>
      <c r="E204" s="20" t="s">
        <v>422</v>
      </c>
      <c r="F204" s="20" t="s">
        <v>423</v>
      </c>
      <c r="G204" s="8" t="str">
        <f t="shared" si="6"/>
        <v>LEVIN SCOTT</v>
      </c>
      <c r="H204" s="20" t="str">
        <f t="shared" si="7"/>
        <v>4060</v>
      </c>
    </row>
    <row r="205" spans="1:8" x14ac:dyDescent="0.3">
      <c r="A205" s="8">
        <v>43031.795798611114</v>
      </c>
      <c r="B205" s="20" t="s">
        <v>653</v>
      </c>
      <c r="C205" s="20" t="s">
        <v>857</v>
      </c>
      <c r="D205" s="138">
        <v>2680000</v>
      </c>
      <c r="E205" s="20" t="s">
        <v>364</v>
      </c>
      <c r="F205" s="20" t="s">
        <v>365</v>
      </c>
      <c r="G205" s="8" t="str">
        <f t="shared" si="6"/>
        <v>DUNCAN SHEILA</v>
      </c>
      <c r="H205" s="20" t="str">
        <f t="shared" si="7"/>
        <v>4049</v>
      </c>
    </row>
    <row r="206" spans="1:8" x14ac:dyDescent="0.3">
      <c r="A206" s="8">
        <v>43031.798078703701</v>
      </c>
      <c r="B206" s="20" t="s">
        <v>414</v>
      </c>
      <c r="C206" s="20" t="s">
        <v>858</v>
      </c>
      <c r="D206" s="138">
        <v>2630000</v>
      </c>
      <c r="E206" s="20" t="s">
        <v>584</v>
      </c>
      <c r="F206" s="20" t="s">
        <v>585</v>
      </c>
      <c r="G206" s="8" t="str">
        <f t="shared" si="6"/>
        <v>SAFIEF AEIMEN</v>
      </c>
      <c r="H206" s="20" t="str">
        <f t="shared" si="7"/>
        <v>4008</v>
      </c>
    </row>
    <row r="207" spans="1:8" x14ac:dyDescent="0.3">
      <c r="A207" s="8">
        <v>43031.805439814816</v>
      </c>
      <c r="B207" s="20" t="s">
        <v>439</v>
      </c>
      <c r="C207" s="20" t="s">
        <v>859</v>
      </c>
      <c r="D207" s="138">
        <v>3040000</v>
      </c>
      <c r="E207" s="20" t="s">
        <v>479</v>
      </c>
      <c r="F207" s="20" t="s">
        <v>480</v>
      </c>
      <c r="G207" s="8" t="str">
        <f t="shared" si="6"/>
        <v>WILLIAMS DONTE</v>
      </c>
      <c r="H207" s="20" t="str">
        <f t="shared" si="7"/>
        <v>4017</v>
      </c>
    </row>
    <row r="208" spans="1:8" x14ac:dyDescent="0.3">
      <c r="A208" s="8">
        <v>43031.811168981483</v>
      </c>
      <c r="B208" s="20" t="s">
        <v>692</v>
      </c>
      <c r="C208" s="20" t="s">
        <v>860</v>
      </c>
      <c r="D208" s="138">
        <v>890000</v>
      </c>
      <c r="E208" s="20" t="s">
        <v>358</v>
      </c>
      <c r="F208" s="20" t="s">
        <v>359</v>
      </c>
      <c r="G208" s="8" t="str">
        <f t="shared" si="6"/>
        <v>LOZA FIDEL</v>
      </c>
      <c r="H208" s="20" t="str">
        <f t="shared" si="7"/>
        <v>4046</v>
      </c>
    </row>
    <row r="209" spans="1:8" x14ac:dyDescent="0.3">
      <c r="A209" s="8">
        <v>43031.812685185185</v>
      </c>
      <c r="B209" s="20" t="s">
        <v>417</v>
      </c>
      <c r="C209" s="20" t="s">
        <v>861</v>
      </c>
      <c r="D209" s="138">
        <v>1300000</v>
      </c>
      <c r="E209" s="20" t="s">
        <v>422</v>
      </c>
      <c r="F209" s="20" t="s">
        <v>423</v>
      </c>
      <c r="G209" s="8" t="str">
        <f t="shared" si="6"/>
        <v>LEVIN SCOTT</v>
      </c>
      <c r="H209" s="20" t="str">
        <f t="shared" si="7"/>
        <v>4059</v>
      </c>
    </row>
    <row r="210" spans="1:8" x14ac:dyDescent="0.3">
      <c r="A210" s="8">
        <v>43031.818344907406</v>
      </c>
      <c r="B210" s="20" t="s">
        <v>697</v>
      </c>
      <c r="C210" s="20" t="s">
        <v>862</v>
      </c>
      <c r="D210" s="138">
        <v>3340000</v>
      </c>
      <c r="E210" s="20" t="s">
        <v>499</v>
      </c>
      <c r="F210" s="20" t="s">
        <v>500</v>
      </c>
      <c r="G210" s="8" t="str">
        <f t="shared" si="6"/>
        <v>ELBAUM MIKE</v>
      </c>
      <c r="H210" s="20" t="str">
        <f t="shared" si="7"/>
        <v>4041</v>
      </c>
    </row>
    <row r="211" spans="1:8" x14ac:dyDescent="0.3">
      <c r="A211" s="8">
        <v>43031.818425925929</v>
      </c>
      <c r="B211" s="20" t="s">
        <v>684</v>
      </c>
      <c r="C211" s="20" t="s">
        <v>863</v>
      </c>
      <c r="D211" s="138">
        <v>2230000</v>
      </c>
      <c r="E211" s="20" t="s">
        <v>588</v>
      </c>
      <c r="F211" s="20" t="s">
        <v>386</v>
      </c>
      <c r="G211" s="8" t="str">
        <f t="shared" si="6"/>
        <v>SMITH MICHAEL</v>
      </c>
      <c r="H211" s="20" t="str">
        <f t="shared" si="7"/>
        <v>4004</v>
      </c>
    </row>
    <row r="212" spans="1:8" x14ac:dyDescent="0.3">
      <c r="A212" s="8">
        <v>43031.830937500003</v>
      </c>
      <c r="B212" s="20" t="s">
        <v>572</v>
      </c>
      <c r="C212" s="20" t="s">
        <v>864</v>
      </c>
      <c r="D212" s="138">
        <v>2680000</v>
      </c>
      <c r="E212" s="20" t="s">
        <v>364</v>
      </c>
      <c r="F212" s="20" t="s">
        <v>365</v>
      </c>
      <c r="G212" s="8" t="str">
        <f t="shared" si="6"/>
        <v>DUNCAN SHEILA</v>
      </c>
      <c r="H212" s="20" t="str">
        <f t="shared" si="7"/>
        <v>4050</v>
      </c>
    </row>
    <row r="213" spans="1:8" x14ac:dyDescent="0.3">
      <c r="A213" s="8">
        <v>43031.833703703705</v>
      </c>
      <c r="B213" s="20" t="s">
        <v>416</v>
      </c>
      <c r="C213" s="20" t="s">
        <v>865</v>
      </c>
      <c r="D213" s="138">
        <v>1300000</v>
      </c>
      <c r="E213" s="20" t="s">
        <v>422</v>
      </c>
      <c r="F213" s="20" t="s">
        <v>423</v>
      </c>
      <c r="G213" s="8" t="str">
        <f t="shared" si="6"/>
        <v>LEVIN SCOTT</v>
      </c>
      <c r="H213" s="20" t="str">
        <f t="shared" si="7"/>
        <v>4060</v>
      </c>
    </row>
    <row r="214" spans="1:8" x14ac:dyDescent="0.3">
      <c r="A214" s="8">
        <v>43031.847384259258</v>
      </c>
      <c r="B214" s="20" t="s">
        <v>435</v>
      </c>
      <c r="C214" s="20" t="s">
        <v>866</v>
      </c>
      <c r="D214" s="138">
        <v>3040000</v>
      </c>
      <c r="E214" s="20" t="s">
        <v>479</v>
      </c>
      <c r="F214" s="20" t="s">
        <v>480</v>
      </c>
      <c r="G214" s="8" t="str">
        <f t="shared" si="6"/>
        <v>WILLIAMS DONTE</v>
      </c>
      <c r="H214" s="20" t="str">
        <f t="shared" si="7"/>
        <v>4018</v>
      </c>
    </row>
    <row r="215" spans="1:8" x14ac:dyDescent="0.3">
      <c r="A215" s="8">
        <v>43031.848009259258</v>
      </c>
      <c r="B215" s="20" t="s">
        <v>642</v>
      </c>
      <c r="C215" s="20" t="s">
        <v>867</v>
      </c>
      <c r="D215" s="138">
        <v>890000</v>
      </c>
      <c r="E215" s="20" t="s">
        <v>358</v>
      </c>
      <c r="F215" s="20" t="s">
        <v>359</v>
      </c>
      <c r="G215" s="8" t="str">
        <f t="shared" si="6"/>
        <v>LOZA FIDEL</v>
      </c>
      <c r="H215" s="20" t="str">
        <f t="shared" si="7"/>
        <v>4045</v>
      </c>
    </row>
    <row r="216" spans="1:8" x14ac:dyDescent="0.3">
      <c r="A216" s="8">
        <v>43031.850810185184</v>
      </c>
      <c r="B216" s="20" t="s">
        <v>417</v>
      </c>
      <c r="C216" s="20" t="s">
        <v>868</v>
      </c>
      <c r="D216" s="138">
        <v>1300000</v>
      </c>
      <c r="E216" s="20" t="s">
        <v>422</v>
      </c>
      <c r="F216" s="20" t="s">
        <v>423</v>
      </c>
      <c r="G216" s="8" t="str">
        <f t="shared" si="6"/>
        <v>LEVIN SCOTT</v>
      </c>
      <c r="H216" s="20" t="str">
        <f t="shared" si="7"/>
        <v>4059</v>
      </c>
    </row>
    <row r="217" spans="1:8" x14ac:dyDescent="0.3">
      <c r="A217" s="8">
        <v>43031.858599537038</v>
      </c>
      <c r="B217" s="20" t="s">
        <v>674</v>
      </c>
      <c r="C217" s="20" t="s">
        <v>869</v>
      </c>
      <c r="D217" s="138">
        <v>3340000</v>
      </c>
      <c r="E217" s="20" t="s">
        <v>499</v>
      </c>
      <c r="F217" s="20" t="s">
        <v>500</v>
      </c>
      <c r="G217" s="8" t="str">
        <f t="shared" si="6"/>
        <v>ELBAUM MIKE</v>
      </c>
      <c r="H217" s="20" t="str">
        <f t="shared" si="7"/>
        <v>4042</v>
      </c>
    </row>
    <row r="218" spans="1:8" x14ac:dyDescent="0.3">
      <c r="A218" s="8">
        <v>43031.867974537039</v>
      </c>
      <c r="B218" s="20" t="s">
        <v>653</v>
      </c>
      <c r="C218" s="20" t="s">
        <v>870</v>
      </c>
      <c r="D218" s="138">
        <v>2680000</v>
      </c>
      <c r="E218" s="20" t="s">
        <v>364</v>
      </c>
      <c r="F218" s="20" t="s">
        <v>365</v>
      </c>
      <c r="G218" s="8" t="str">
        <f t="shared" si="6"/>
        <v>DUNCAN SHEILA</v>
      </c>
      <c r="H218" s="20" t="str">
        <f t="shared" si="7"/>
        <v>4049</v>
      </c>
    </row>
    <row r="219" spans="1:8" x14ac:dyDescent="0.3">
      <c r="A219" s="8">
        <v>43031.87431712963</v>
      </c>
      <c r="B219" s="20" t="s">
        <v>416</v>
      </c>
      <c r="C219" s="20" t="s">
        <v>871</v>
      </c>
      <c r="D219" s="138">
        <v>2000000</v>
      </c>
      <c r="E219" s="20" t="s">
        <v>370</v>
      </c>
      <c r="F219" s="20" t="s">
        <v>361</v>
      </c>
      <c r="G219" s="8" t="str">
        <f t="shared" si="6"/>
        <v>STAMBAUGH JAMES</v>
      </c>
      <c r="H219" s="20" t="str">
        <f t="shared" si="7"/>
        <v>4060</v>
      </c>
    </row>
    <row r="220" spans="1:8" x14ac:dyDescent="0.3">
      <c r="A220" s="8">
        <v>43031.876631944448</v>
      </c>
      <c r="B220" s="20" t="s">
        <v>489</v>
      </c>
      <c r="C220" s="20" t="s">
        <v>872</v>
      </c>
      <c r="D220" s="138">
        <v>3500000</v>
      </c>
      <c r="E220" s="20" t="s">
        <v>841</v>
      </c>
      <c r="F220" s="20" t="s">
        <v>842</v>
      </c>
      <c r="G220" s="8" t="str">
        <f t="shared" si="6"/>
        <v>GUNTHIER ERIC</v>
      </c>
      <c r="H220" s="20" t="str">
        <f t="shared" si="7"/>
        <v>4032</v>
      </c>
    </row>
    <row r="221" spans="1:8" x14ac:dyDescent="0.3">
      <c r="A221" s="8">
        <v>43031.880925925929</v>
      </c>
      <c r="B221" s="20" t="s">
        <v>473</v>
      </c>
      <c r="C221" s="20" t="s">
        <v>872</v>
      </c>
      <c r="D221" s="138">
        <v>3500000</v>
      </c>
      <c r="E221" s="20" t="s">
        <v>841</v>
      </c>
      <c r="F221" s="20" t="s">
        <v>842</v>
      </c>
      <c r="G221" s="8" t="str">
        <f t="shared" si="6"/>
        <v>GUNTHIER ERIC</v>
      </c>
      <c r="H221" s="20" t="str">
        <f t="shared" si="7"/>
        <v>4031</v>
      </c>
    </row>
    <row r="222" spans="1:8" x14ac:dyDescent="0.3">
      <c r="A222" s="8">
        <v>43031.884155092594</v>
      </c>
      <c r="B222" s="20" t="s">
        <v>692</v>
      </c>
      <c r="C222" s="20" t="s">
        <v>873</v>
      </c>
      <c r="D222" s="138">
        <v>890000</v>
      </c>
      <c r="E222" s="20" t="s">
        <v>358</v>
      </c>
      <c r="F222" s="20" t="s">
        <v>359</v>
      </c>
      <c r="G222" s="8" t="str">
        <f t="shared" si="6"/>
        <v>LOZA FIDEL</v>
      </c>
      <c r="H222" s="20" t="str">
        <f t="shared" si="7"/>
        <v>4046</v>
      </c>
    </row>
    <row r="223" spans="1:8" x14ac:dyDescent="0.3">
      <c r="A223" s="8">
        <v>43031.889039351852</v>
      </c>
      <c r="B223" s="20" t="s">
        <v>439</v>
      </c>
      <c r="C223" s="20" t="s">
        <v>874</v>
      </c>
      <c r="D223" s="138">
        <v>3040000</v>
      </c>
      <c r="E223" s="20" t="s">
        <v>479</v>
      </c>
      <c r="F223" s="20" t="s">
        <v>480</v>
      </c>
      <c r="G223" s="8" t="str">
        <f t="shared" si="6"/>
        <v>WILLIAMS DONTE</v>
      </c>
      <c r="H223" s="20" t="str">
        <f t="shared" si="7"/>
        <v>4017</v>
      </c>
    </row>
    <row r="224" spans="1:8" x14ac:dyDescent="0.3">
      <c r="A224" s="8">
        <v>43031.892002314817</v>
      </c>
      <c r="B224" t="s">
        <v>417</v>
      </c>
      <c r="C224" t="s">
        <v>875</v>
      </c>
      <c r="D224" s="138">
        <v>2000000</v>
      </c>
      <c r="E224" t="s">
        <v>370</v>
      </c>
      <c r="F224" s="20" t="s">
        <v>361</v>
      </c>
      <c r="G224" s="8" t="str">
        <f t="shared" si="6"/>
        <v>STAMBAUGH JAMES</v>
      </c>
      <c r="H224" s="20" t="str">
        <f t="shared" si="7"/>
        <v>4059</v>
      </c>
    </row>
    <row r="225" spans="1:8" x14ac:dyDescent="0.3">
      <c r="A225" s="8">
        <v>43031.901493055557</v>
      </c>
      <c r="B225" t="s">
        <v>697</v>
      </c>
      <c r="C225" t="s">
        <v>876</v>
      </c>
      <c r="D225" s="138">
        <v>3340000</v>
      </c>
      <c r="E225" t="s">
        <v>499</v>
      </c>
      <c r="F225" s="20" t="s">
        <v>500</v>
      </c>
      <c r="G225" s="8" t="str">
        <f t="shared" si="6"/>
        <v>ELBAUM MIKE</v>
      </c>
      <c r="H225" s="20" t="str">
        <f t="shared" si="7"/>
        <v>4041</v>
      </c>
    </row>
    <row r="226" spans="1:8" x14ac:dyDescent="0.3">
      <c r="A226" s="8">
        <v>43031.907870370371</v>
      </c>
      <c r="B226" t="s">
        <v>489</v>
      </c>
      <c r="C226" t="s">
        <v>877</v>
      </c>
      <c r="D226" s="138">
        <v>2610000</v>
      </c>
      <c r="E226" t="s">
        <v>878</v>
      </c>
      <c r="F226" s="20" t="s">
        <v>879</v>
      </c>
      <c r="G226" s="8" t="str">
        <f t="shared" si="6"/>
        <v>MAGEE KENYA</v>
      </c>
      <c r="H226" s="20" t="str">
        <f t="shared" si="7"/>
        <v>4032</v>
      </c>
    </row>
    <row r="227" spans="1:8" x14ac:dyDescent="0.3">
      <c r="A227" s="8">
        <v>43031.913912037038</v>
      </c>
      <c r="B227" t="s">
        <v>416</v>
      </c>
      <c r="C227" t="s">
        <v>671</v>
      </c>
      <c r="D227" s="138">
        <v>2000000</v>
      </c>
      <c r="E227" t="s">
        <v>370</v>
      </c>
      <c r="F227" s="20" t="s">
        <v>361</v>
      </c>
      <c r="G227" s="8" t="str">
        <f t="shared" si="6"/>
        <v>STAMBAUGH JAMES</v>
      </c>
      <c r="H227" s="20" t="str">
        <f t="shared" si="7"/>
        <v>4060</v>
      </c>
    </row>
    <row r="228" spans="1:8" x14ac:dyDescent="0.3">
      <c r="A228" s="8">
        <v>43031.931759259256</v>
      </c>
      <c r="B228" t="s">
        <v>435</v>
      </c>
      <c r="C228" t="s">
        <v>880</v>
      </c>
      <c r="D228" s="138">
        <v>3040000</v>
      </c>
      <c r="E228" t="s">
        <v>479</v>
      </c>
      <c r="F228" s="20" t="s">
        <v>480</v>
      </c>
      <c r="G228" s="8" t="str">
        <f t="shared" si="6"/>
        <v>WILLIAMS DONTE</v>
      </c>
      <c r="H228" s="20" t="str">
        <f t="shared" si="7"/>
        <v>4018</v>
      </c>
    </row>
    <row r="229" spans="1:8" x14ac:dyDescent="0.3">
      <c r="A229" s="8">
        <v>43031.93340277778</v>
      </c>
      <c r="B229" t="s">
        <v>417</v>
      </c>
      <c r="C229" t="s">
        <v>672</v>
      </c>
      <c r="D229" s="138">
        <v>2000000</v>
      </c>
      <c r="E229" t="s">
        <v>370</v>
      </c>
      <c r="F229" s="20" t="s">
        <v>361</v>
      </c>
      <c r="G229" s="8" t="str">
        <f t="shared" si="6"/>
        <v>STAMBAUGH JAMES</v>
      </c>
      <c r="H229" s="20" t="str">
        <f t="shared" si="7"/>
        <v>4059</v>
      </c>
    </row>
    <row r="230" spans="1:8" x14ac:dyDescent="0.3">
      <c r="A230" s="8">
        <v>43031.934016203704</v>
      </c>
      <c r="B230" t="s">
        <v>642</v>
      </c>
      <c r="C230" t="s">
        <v>881</v>
      </c>
      <c r="D230" s="138">
        <v>890000</v>
      </c>
      <c r="E230" t="s">
        <v>358</v>
      </c>
      <c r="F230" s="20" t="s">
        <v>359</v>
      </c>
      <c r="G230" s="8" t="str">
        <f t="shared" si="6"/>
        <v>LOZA FIDEL</v>
      </c>
      <c r="H230" s="20" t="str">
        <f t="shared" si="7"/>
        <v>4045</v>
      </c>
    </row>
    <row r="231" spans="1:8" x14ac:dyDescent="0.3">
      <c r="A231" s="8">
        <v>43031.941620370373</v>
      </c>
      <c r="B231" t="s">
        <v>674</v>
      </c>
      <c r="C231" t="s">
        <v>675</v>
      </c>
      <c r="D231" s="138">
        <v>3340000</v>
      </c>
      <c r="E231" t="s">
        <v>499</v>
      </c>
      <c r="F231" s="20" t="s">
        <v>500</v>
      </c>
      <c r="G231" s="8" t="str">
        <f t="shared" si="6"/>
        <v>ELBAUM MIKE</v>
      </c>
      <c r="H231" s="20" t="str">
        <f t="shared" si="7"/>
        <v>4042</v>
      </c>
    </row>
    <row r="232" spans="1:8" x14ac:dyDescent="0.3">
      <c r="A232" s="8">
        <v>43031.955555555556</v>
      </c>
      <c r="B232" t="s">
        <v>473</v>
      </c>
      <c r="C232" t="s">
        <v>882</v>
      </c>
      <c r="D232" s="138">
        <v>2610000</v>
      </c>
      <c r="E232" t="s">
        <v>878</v>
      </c>
      <c r="F232" s="20" t="s">
        <v>879</v>
      </c>
      <c r="G232" s="8" t="str">
        <f t="shared" si="6"/>
        <v>MAGEE KENYA</v>
      </c>
      <c r="H232" s="20" t="str">
        <f t="shared" si="7"/>
        <v>4031</v>
      </c>
    </row>
    <row r="233" spans="1:8" x14ac:dyDescent="0.3">
      <c r="A233" s="8">
        <v>43031.956435185188</v>
      </c>
      <c r="B233" t="s">
        <v>416</v>
      </c>
      <c r="C233" t="s">
        <v>673</v>
      </c>
      <c r="D233" s="138">
        <v>2000000</v>
      </c>
      <c r="E233" t="s">
        <v>370</v>
      </c>
      <c r="F233" s="20" t="s">
        <v>361</v>
      </c>
      <c r="G233" s="8" t="str">
        <f t="shared" si="6"/>
        <v>STAMBAUGH JAMES</v>
      </c>
      <c r="H233" s="20" t="str">
        <f t="shared" si="7"/>
        <v>4060</v>
      </c>
    </row>
    <row r="234" spans="1:8" x14ac:dyDescent="0.3">
      <c r="A234" s="8">
        <v>43031.964386574073</v>
      </c>
      <c r="B234" t="s">
        <v>692</v>
      </c>
      <c r="C234" t="s">
        <v>883</v>
      </c>
      <c r="D234" s="138">
        <v>890000</v>
      </c>
      <c r="E234" t="s">
        <v>358</v>
      </c>
      <c r="F234" s="20" t="s">
        <v>359</v>
      </c>
      <c r="G234" s="8" t="str">
        <f t="shared" si="6"/>
        <v>LOZA FIDEL</v>
      </c>
      <c r="H234" s="20" t="str">
        <f t="shared" si="7"/>
        <v>4046</v>
      </c>
    </row>
    <row r="235" spans="1:8" x14ac:dyDescent="0.3">
      <c r="A235" s="8">
        <v>43031.970185185186</v>
      </c>
      <c r="B235" t="s">
        <v>572</v>
      </c>
      <c r="C235" t="s">
        <v>884</v>
      </c>
      <c r="D235" s="138">
        <v>3500000</v>
      </c>
      <c r="E235" t="s">
        <v>841</v>
      </c>
      <c r="F235" s="20" t="s">
        <v>842</v>
      </c>
      <c r="G235" s="8" t="str">
        <f t="shared" si="6"/>
        <v>GUNTHIER ERIC</v>
      </c>
      <c r="H235" s="20" t="str">
        <f t="shared" si="7"/>
        <v>4050</v>
      </c>
    </row>
    <row r="236" spans="1:8" x14ac:dyDescent="0.3">
      <c r="A236" s="8">
        <v>43031.970590277779</v>
      </c>
      <c r="B236" t="s">
        <v>439</v>
      </c>
      <c r="C236" t="s">
        <v>676</v>
      </c>
      <c r="D236" s="138">
        <v>3040000</v>
      </c>
      <c r="E236" t="s">
        <v>479</v>
      </c>
      <c r="F236" s="20" t="s">
        <v>480</v>
      </c>
      <c r="G236" s="8" t="str">
        <f t="shared" si="6"/>
        <v>WILLIAMS DONTE</v>
      </c>
      <c r="H236" s="20" t="str">
        <f t="shared" si="7"/>
        <v>4017</v>
      </c>
    </row>
    <row r="237" spans="1:8" x14ac:dyDescent="0.3">
      <c r="A237" s="8">
        <v>43031.97420138889</v>
      </c>
      <c r="B237" t="s">
        <v>653</v>
      </c>
      <c r="C237" t="s">
        <v>885</v>
      </c>
      <c r="D237" s="138">
        <v>3500000</v>
      </c>
      <c r="E237" t="s">
        <v>841</v>
      </c>
      <c r="F237" s="20" t="s">
        <v>842</v>
      </c>
      <c r="G237" s="8" t="str">
        <f t="shared" si="6"/>
        <v>GUNTHIER ERIC</v>
      </c>
      <c r="H237" s="20" t="str">
        <f t="shared" si="7"/>
        <v>4049</v>
      </c>
    </row>
    <row r="238" spans="1:8" x14ac:dyDescent="0.3">
      <c r="A238" s="8">
        <v>43031.974270833336</v>
      </c>
      <c r="B238" t="s">
        <v>417</v>
      </c>
      <c r="C238" t="s">
        <v>886</v>
      </c>
      <c r="D238" s="138">
        <v>2000000</v>
      </c>
      <c r="E238" t="s">
        <v>370</v>
      </c>
      <c r="F238" s="20" t="s">
        <v>361</v>
      </c>
      <c r="G238" s="8" t="str">
        <f t="shared" si="6"/>
        <v>STAMBAUGH JAMES</v>
      </c>
      <c r="H238" s="20" t="str">
        <f t="shared" si="7"/>
        <v>4059</v>
      </c>
    </row>
    <row r="239" spans="1:8" x14ac:dyDescent="0.3">
      <c r="A239" s="8">
        <v>43031.984467592592</v>
      </c>
      <c r="B239" t="s">
        <v>697</v>
      </c>
      <c r="C239" t="s">
        <v>887</v>
      </c>
      <c r="D239" s="138">
        <v>3340000</v>
      </c>
      <c r="E239" t="s">
        <v>499</v>
      </c>
      <c r="F239" s="20" t="s">
        <v>500</v>
      </c>
      <c r="G239" s="8" t="str">
        <f t="shared" si="6"/>
        <v>ELBAUM MIKE</v>
      </c>
      <c r="H239" s="20" t="str">
        <f t="shared" si="7"/>
        <v>4041</v>
      </c>
    </row>
    <row r="240" spans="1:8" x14ac:dyDescent="0.3">
      <c r="A240" s="8">
        <v>43031.99082175926</v>
      </c>
      <c r="B240" t="s">
        <v>572</v>
      </c>
      <c r="C240" t="s">
        <v>677</v>
      </c>
      <c r="D240" s="138">
        <v>3290000</v>
      </c>
      <c r="E240" t="s">
        <v>589</v>
      </c>
      <c r="F240" s="20" t="s">
        <v>590</v>
      </c>
      <c r="G240" s="8" t="str">
        <f t="shared" si="6"/>
        <v>CASSIDY BRANDON</v>
      </c>
      <c r="H240" s="20" t="str">
        <f t="shared" si="7"/>
        <v>4050</v>
      </c>
    </row>
    <row r="241" spans="1:8" x14ac:dyDescent="0.3">
      <c r="A241" s="8">
        <v>43032.015960648147</v>
      </c>
      <c r="B241" t="s">
        <v>435</v>
      </c>
      <c r="C241" t="s">
        <v>678</v>
      </c>
      <c r="D241" s="138">
        <v>3040000</v>
      </c>
      <c r="E241" t="s">
        <v>479</v>
      </c>
      <c r="F241" s="20" t="s">
        <v>480</v>
      </c>
      <c r="G241" s="8" t="str">
        <f t="shared" si="6"/>
        <v>WILLIAMS DONTE</v>
      </c>
      <c r="H241" s="20" t="str">
        <f t="shared" si="7"/>
        <v>4018</v>
      </c>
    </row>
    <row r="242" spans="1:8" x14ac:dyDescent="0.3">
      <c r="A242" s="8">
        <v>43032.017453703702</v>
      </c>
      <c r="B242" t="s">
        <v>642</v>
      </c>
      <c r="C242" t="s">
        <v>888</v>
      </c>
      <c r="D242" s="138">
        <v>890000</v>
      </c>
      <c r="E242" t="s">
        <v>358</v>
      </c>
      <c r="F242" s="20" t="s">
        <v>359</v>
      </c>
      <c r="G242" s="8" t="str">
        <f t="shared" si="6"/>
        <v>LOZA FIDEL</v>
      </c>
      <c r="H242" s="20" t="str">
        <f t="shared" si="7"/>
        <v>4045</v>
      </c>
    </row>
    <row r="243" spans="1:8" x14ac:dyDescent="0.3">
      <c r="A243" s="8">
        <v>43032.026458333334</v>
      </c>
      <c r="B243" t="s">
        <v>674</v>
      </c>
      <c r="C243" t="s">
        <v>889</v>
      </c>
      <c r="D243" s="138">
        <v>3340000</v>
      </c>
      <c r="E243" t="s">
        <v>499</v>
      </c>
      <c r="F243" s="20" t="s">
        <v>500</v>
      </c>
      <c r="G243" s="8" t="str">
        <f t="shared" si="6"/>
        <v>ELBAUM MIKE</v>
      </c>
      <c r="H243" s="20" t="str">
        <f t="shared" si="7"/>
        <v>4042</v>
      </c>
    </row>
    <row r="244" spans="1:8" x14ac:dyDescent="0.3">
      <c r="A244" s="8">
        <v>43032.032083333332</v>
      </c>
      <c r="B244" t="s">
        <v>653</v>
      </c>
      <c r="C244" t="s">
        <v>890</v>
      </c>
      <c r="D244" s="138">
        <v>3290000</v>
      </c>
      <c r="E244" t="s">
        <v>589</v>
      </c>
      <c r="F244" s="20" t="s">
        <v>590</v>
      </c>
      <c r="G244" s="8" t="str">
        <f t="shared" si="6"/>
        <v>CASSIDY BRANDON</v>
      </c>
      <c r="H244" s="20" t="str">
        <f t="shared" si="7"/>
        <v>4049</v>
      </c>
    </row>
    <row r="245" spans="1:8" x14ac:dyDescent="0.3">
      <c r="A245" s="8">
        <v>43032.049120370371</v>
      </c>
      <c r="B245" t="s">
        <v>692</v>
      </c>
      <c r="C245" t="s">
        <v>891</v>
      </c>
      <c r="D245" s="138">
        <v>890000</v>
      </c>
      <c r="E245" t="s">
        <v>358</v>
      </c>
      <c r="F245" s="20" t="s">
        <v>359</v>
      </c>
      <c r="G245" s="8" t="str">
        <f t="shared" si="6"/>
        <v>LOZA FIDEL</v>
      </c>
      <c r="H245" s="20" t="str">
        <f t="shared" si="7"/>
        <v>4046</v>
      </c>
    </row>
    <row r="246" spans="1:8" x14ac:dyDescent="0.3">
      <c r="A246" s="8">
        <v>43032.056828703702</v>
      </c>
      <c r="B246" t="s">
        <v>439</v>
      </c>
      <c r="C246" t="s">
        <v>892</v>
      </c>
      <c r="D246" s="138">
        <v>3040000</v>
      </c>
      <c r="E246" t="s">
        <v>479</v>
      </c>
      <c r="F246" s="20" t="s">
        <v>480</v>
      </c>
      <c r="G246" s="8" t="str">
        <f t="shared" si="6"/>
        <v>WILLIAMS DONTE</v>
      </c>
      <c r="H246" s="20" t="str">
        <f t="shared" si="7"/>
        <v>4017</v>
      </c>
    </row>
    <row r="247" spans="1:8" x14ac:dyDescent="0.3">
      <c r="A247" s="8">
        <v>43032.073865740742</v>
      </c>
      <c r="B247" t="s">
        <v>572</v>
      </c>
      <c r="C247" t="s">
        <v>893</v>
      </c>
      <c r="D247" s="138">
        <v>3290000</v>
      </c>
      <c r="E247" t="s">
        <v>589</v>
      </c>
      <c r="F247" s="20" t="s">
        <v>590</v>
      </c>
      <c r="G247" s="8" t="str">
        <f t="shared" si="6"/>
        <v>CASSIDY BRANDON</v>
      </c>
      <c r="H247" s="20" t="str">
        <f t="shared" si="7"/>
        <v>4050</v>
      </c>
    </row>
    <row r="248" spans="1:8" x14ac:dyDescent="0.3">
      <c r="A248" s="8">
        <v>43032.092141203706</v>
      </c>
      <c r="B248" t="s">
        <v>435</v>
      </c>
      <c r="C248" t="s">
        <v>894</v>
      </c>
      <c r="D248" s="138">
        <v>3040000</v>
      </c>
      <c r="E248" t="s">
        <v>479</v>
      </c>
      <c r="F248" s="20" t="s">
        <v>480</v>
      </c>
      <c r="G248" s="8" t="str">
        <f t="shared" si="6"/>
        <v>WILLIAMS DONTE</v>
      </c>
      <c r="H248" s="20" t="str">
        <f t="shared" si="7"/>
        <v>4018</v>
      </c>
    </row>
    <row r="249" spans="1:8" x14ac:dyDescent="0.3">
      <c r="A249" s="8">
        <v>43027.742488425924</v>
      </c>
      <c r="B249" t="s">
        <v>418</v>
      </c>
      <c r="C249" t="s">
        <v>491</v>
      </c>
      <c r="D249" s="138">
        <v>3320000</v>
      </c>
      <c r="E249" t="s">
        <v>492</v>
      </c>
      <c r="F249" s="20" t="s">
        <v>493</v>
      </c>
      <c r="G249" s="8" t="str">
        <f t="shared" si="6"/>
        <v>NICHOLSON WESLEY</v>
      </c>
      <c r="H249" s="20" t="str">
        <f t="shared" si="7"/>
        <v>4009</v>
      </c>
    </row>
    <row r="250" spans="1:8" x14ac:dyDescent="0.3">
      <c r="A250" s="8">
        <v>43027.746655092589</v>
      </c>
      <c r="B250" t="s">
        <v>468</v>
      </c>
      <c r="C250" t="s">
        <v>494</v>
      </c>
      <c r="D250" s="138">
        <v>1300000</v>
      </c>
      <c r="E250" t="s">
        <v>422</v>
      </c>
      <c r="F250" s="20" t="s">
        <v>423</v>
      </c>
      <c r="G250" s="8" t="str">
        <f t="shared" si="6"/>
        <v>LEVIN SCOTT</v>
      </c>
      <c r="H250" s="20" t="str">
        <f t="shared" si="7"/>
        <v>4015</v>
      </c>
    </row>
    <row r="251" spans="1:8" x14ac:dyDescent="0.3">
      <c r="A251" s="8">
        <v>43027.748310185183</v>
      </c>
      <c r="B251" t="s">
        <v>389</v>
      </c>
      <c r="C251" t="s">
        <v>495</v>
      </c>
      <c r="D251" s="138">
        <v>2420000</v>
      </c>
      <c r="E251" t="s">
        <v>447</v>
      </c>
      <c r="F251" s="20" t="s">
        <v>448</v>
      </c>
      <c r="G251" s="8" t="str">
        <f t="shared" si="6"/>
        <v>HOLCOMB KAMDEN</v>
      </c>
      <c r="H251" s="20" t="str">
        <f t="shared" si="7"/>
        <v>4066</v>
      </c>
    </row>
    <row r="252" spans="1:8" x14ac:dyDescent="0.3">
      <c r="A252" s="8">
        <v>43027.749768518515</v>
      </c>
      <c r="B252" t="s">
        <v>471</v>
      </c>
      <c r="C252" t="s">
        <v>496</v>
      </c>
      <c r="D252" s="138">
        <v>3280000</v>
      </c>
      <c r="E252" t="s">
        <v>431</v>
      </c>
      <c r="F252" s="20" t="s">
        <v>432</v>
      </c>
      <c r="G252" s="8" t="str">
        <f t="shared" si="6"/>
        <v>BIRKHOLZ NADINE</v>
      </c>
      <c r="H252" s="20" t="str">
        <f t="shared" si="7"/>
        <v>4023</v>
      </c>
    </row>
    <row r="253" spans="1:8" x14ac:dyDescent="0.3">
      <c r="A253" s="8">
        <v>43027.753298611111</v>
      </c>
      <c r="B253" t="s">
        <v>437</v>
      </c>
      <c r="C253" t="s">
        <v>497</v>
      </c>
      <c r="D253" s="138">
        <v>2350000</v>
      </c>
      <c r="E253" t="s">
        <v>445</v>
      </c>
      <c r="F253" s="20" t="s">
        <v>446</v>
      </c>
      <c r="G253" s="8" t="str">
        <f t="shared" si="6"/>
        <v>BERLING GARY</v>
      </c>
      <c r="H253" s="20" t="str">
        <f t="shared" si="7"/>
        <v>4007</v>
      </c>
    </row>
    <row r="254" spans="1:8" x14ac:dyDescent="0.3">
      <c r="A254" s="8">
        <v>43027.754791666666</v>
      </c>
      <c r="B254" t="s">
        <v>442</v>
      </c>
      <c r="C254" t="s">
        <v>474</v>
      </c>
      <c r="D254" s="138">
        <v>2000000</v>
      </c>
      <c r="E254" t="s">
        <v>370</v>
      </c>
      <c r="F254" s="20" t="s">
        <v>361</v>
      </c>
      <c r="G254" s="8" t="str">
        <f t="shared" si="6"/>
        <v>STAMBAUGH JAMES</v>
      </c>
      <c r="H254" s="20" t="str">
        <f t="shared" si="7"/>
        <v>4044</v>
      </c>
    </row>
    <row r="255" spans="1:8" x14ac:dyDescent="0.3">
      <c r="A255" s="8">
        <v>43027.756620370368</v>
      </c>
      <c r="B255" t="s">
        <v>469</v>
      </c>
      <c r="C255" t="s">
        <v>498</v>
      </c>
      <c r="D255" s="138">
        <v>3340000</v>
      </c>
      <c r="E255" t="s">
        <v>499</v>
      </c>
      <c r="F255" s="20" t="s">
        <v>500</v>
      </c>
      <c r="G255" s="8" t="str">
        <f t="shared" si="6"/>
        <v>ELBAUM MIKE</v>
      </c>
      <c r="H255" s="20" t="str">
        <f t="shared" si="7"/>
        <v>4058</v>
      </c>
    </row>
    <row r="256" spans="1:8" x14ac:dyDescent="0.3">
      <c r="A256" s="8">
        <v>43027.762291666666</v>
      </c>
      <c r="B256" t="s">
        <v>482</v>
      </c>
      <c r="C256" t="s">
        <v>501</v>
      </c>
      <c r="D256" s="138">
        <v>1180000</v>
      </c>
      <c r="E256" t="s">
        <v>420</v>
      </c>
      <c r="F256" s="20" t="s">
        <v>421</v>
      </c>
      <c r="G256" s="8" t="str">
        <f t="shared" si="6"/>
        <v>LEVERE CRAIG</v>
      </c>
      <c r="H256" s="20" t="str">
        <f t="shared" si="7"/>
        <v>4013</v>
      </c>
    </row>
    <row r="257" spans="1:8" x14ac:dyDescent="0.3">
      <c r="A257" s="8">
        <v>43027.767002314817</v>
      </c>
      <c r="B257" t="s">
        <v>435</v>
      </c>
      <c r="C257" t="s">
        <v>502</v>
      </c>
      <c r="D257" s="138">
        <v>2540000</v>
      </c>
      <c r="E257" t="s">
        <v>391</v>
      </c>
      <c r="F257" s="20" t="s">
        <v>392</v>
      </c>
      <c r="G257" s="8" t="str">
        <f t="shared" si="6"/>
        <v>MCREYNOLDS KYLE</v>
      </c>
      <c r="H257" s="20" t="str">
        <f t="shared" si="7"/>
        <v>4018</v>
      </c>
    </row>
    <row r="258" spans="1:8" x14ac:dyDescent="0.3">
      <c r="A258" s="8">
        <v>43027.768379629626</v>
      </c>
      <c r="B258" t="s">
        <v>441</v>
      </c>
      <c r="C258" t="s">
        <v>503</v>
      </c>
      <c r="D258" s="138">
        <v>2000000</v>
      </c>
      <c r="E258" t="s">
        <v>370</v>
      </c>
      <c r="F258" s="20" t="s">
        <v>361</v>
      </c>
      <c r="G258" s="8" t="str">
        <f t="shared" si="6"/>
        <v>STAMBAUGH JAMES</v>
      </c>
      <c r="H258" s="20" t="str">
        <f t="shared" si="7"/>
        <v>4043</v>
      </c>
    </row>
    <row r="259" spans="1:8" x14ac:dyDescent="0.3">
      <c r="A259" s="8">
        <v>43027.773113425923</v>
      </c>
      <c r="B259" t="s">
        <v>470</v>
      </c>
      <c r="C259" t="s">
        <v>504</v>
      </c>
      <c r="D259" s="138">
        <v>3280000</v>
      </c>
      <c r="E259" t="s">
        <v>431</v>
      </c>
      <c r="F259" s="20" t="s">
        <v>432</v>
      </c>
      <c r="G259" s="8" t="str">
        <f t="shared" ref="G259:G313" si="8">E259&amp;" "&amp;F259</f>
        <v>BIRKHOLZ NADINE</v>
      </c>
      <c r="H259" s="20" t="str">
        <f t="shared" ref="H259:H313" si="9">MID(B259,13,4)</f>
        <v>4024</v>
      </c>
    </row>
    <row r="260" spans="1:8" x14ac:dyDescent="0.3">
      <c r="A260" s="8">
        <v>43027.773506944446</v>
      </c>
      <c r="B260" t="s">
        <v>436</v>
      </c>
      <c r="C260" t="s">
        <v>505</v>
      </c>
      <c r="D260" s="138">
        <v>890000</v>
      </c>
      <c r="E260" t="s">
        <v>358</v>
      </c>
      <c r="F260" s="20" t="s">
        <v>359</v>
      </c>
      <c r="G260" s="8" t="str">
        <f t="shared" si="8"/>
        <v>LOZA FIDEL</v>
      </c>
      <c r="H260" s="20" t="str">
        <f t="shared" si="9"/>
        <v>4005</v>
      </c>
    </row>
    <row r="261" spans="1:8" x14ac:dyDescent="0.3">
      <c r="A261" s="8">
        <v>43027.776759259257</v>
      </c>
      <c r="B261" t="s">
        <v>481</v>
      </c>
      <c r="C261" t="s">
        <v>506</v>
      </c>
      <c r="D261" s="138">
        <v>1300000</v>
      </c>
      <c r="E261" t="s">
        <v>422</v>
      </c>
      <c r="F261" s="20" t="s">
        <v>423</v>
      </c>
      <c r="G261" s="8" t="str">
        <f t="shared" si="8"/>
        <v>LEVIN SCOTT</v>
      </c>
      <c r="H261" s="20" t="str">
        <f t="shared" si="9"/>
        <v>4016</v>
      </c>
    </row>
    <row r="262" spans="1:8" x14ac:dyDescent="0.3">
      <c r="A262" s="8">
        <v>43027.785277777781</v>
      </c>
      <c r="B262" t="s">
        <v>390</v>
      </c>
      <c r="C262" t="s">
        <v>475</v>
      </c>
      <c r="D262" s="138">
        <v>2420000</v>
      </c>
      <c r="E262" t="s">
        <v>447</v>
      </c>
      <c r="F262" s="20" t="s">
        <v>448</v>
      </c>
      <c r="G262" s="8" t="str">
        <f t="shared" si="8"/>
        <v>HOLCOMB KAMDEN</v>
      </c>
      <c r="H262" s="20" t="str">
        <f t="shared" si="9"/>
        <v>4065</v>
      </c>
    </row>
    <row r="263" spans="1:8" x14ac:dyDescent="0.3">
      <c r="A263" s="8">
        <v>43027.787210648145</v>
      </c>
      <c r="B263" t="s">
        <v>472</v>
      </c>
      <c r="C263" t="s">
        <v>507</v>
      </c>
      <c r="D263" s="138">
        <v>3340000</v>
      </c>
      <c r="E263" t="s">
        <v>499</v>
      </c>
      <c r="F263" s="20" t="s">
        <v>500</v>
      </c>
      <c r="G263" s="8" t="str">
        <f t="shared" si="8"/>
        <v>ELBAUM MIKE</v>
      </c>
      <c r="H263" s="20" t="str">
        <f t="shared" si="9"/>
        <v>4057</v>
      </c>
    </row>
    <row r="264" spans="1:8" x14ac:dyDescent="0.3">
      <c r="A264" s="8">
        <v>43027.787766203706</v>
      </c>
      <c r="B264" t="s">
        <v>414</v>
      </c>
      <c r="C264" t="s">
        <v>508</v>
      </c>
      <c r="D264" s="138">
        <v>1360000</v>
      </c>
      <c r="E264" t="s">
        <v>509</v>
      </c>
      <c r="F264" s="20" t="s">
        <v>510</v>
      </c>
      <c r="G264" s="8" t="str">
        <f t="shared" si="8"/>
        <v>SANTIZO D. EDY</v>
      </c>
      <c r="H264" s="20" t="str">
        <f t="shared" si="9"/>
        <v>4008</v>
      </c>
    </row>
    <row r="265" spans="1:8" x14ac:dyDescent="0.3">
      <c r="A265" s="8">
        <v>43027.789629629631</v>
      </c>
      <c r="B265" t="s">
        <v>471</v>
      </c>
      <c r="C265" t="s">
        <v>511</v>
      </c>
      <c r="D265" s="138">
        <v>3280000</v>
      </c>
      <c r="E265" t="s">
        <v>431</v>
      </c>
      <c r="F265" s="20" t="s">
        <v>432</v>
      </c>
      <c r="G265" s="8" t="str">
        <f t="shared" si="8"/>
        <v>BIRKHOLZ NADINE</v>
      </c>
      <c r="H265" s="20" t="str">
        <f t="shared" si="9"/>
        <v>4023</v>
      </c>
    </row>
    <row r="266" spans="1:8" x14ac:dyDescent="0.3">
      <c r="A266" s="8">
        <v>43027.793182870373</v>
      </c>
      <c r="B266" t="s">
        <v>442</v>
      </c>
      <c r="C266" t="s">
        <v>512</v>
      </c>
      <c r="D266" s="138">
        <v>2600000</v>
      </c>
      <c r="E266" t="s">
        <v>513</v>
      </c>
      <c r="F266" s="20" t="s">
        <v>488</v>
      </c>
      <c r="G266" s="8" t="str">
        <f t="shared" si="8"/>
        <v>DAVIDSON DAVID</v>
      </c>
      <c r="H266" s="20" t="str">
        <f t="shared" si="9"/>
        <v>4044</v>
      </c>
    </row>
    <row r="267" spans="1:8" x14ac:dyDescent="0.3">
      <c r="A267" s="8">
        <v>43027.794131944444</v>
      </c>
      <c r="B267" t="s">
        <v>442</v>
      </c>
      <c r="C267" t="s">
        <v>512</v>
      </c>
      <c r="D267" s="138">
        <v>2600000</v>
      </c>
      <c r="E267" t="s">
        <v>513</v>
      </c>
      <c r="F267" s="20" t="s">
        <v>488</v>
      </c>
      <c r="G267" s="8" t="str">
        <f t="shared" si="8"/>
        <v>DAVIDSON DAVID</v>
      </c>
      <c r="H267" s="20" t="str">
        <f t="shared" si="9"/>
        <v>4044</v>
      </c>
    </row>
    <row r="268" spans="1:8" x14ac:dyDescent="0.3">
      <c r="A268" s="8">
        <v>43027.795173611114</v>
      </c>
      <c r="B268" t="s">
        <v>442</v>
      </c>
      <c r="C268" t="s">
        <v>514</v>
      </c>
      <c r="D268" s="138">
        <v>2600000</v>
      </c>
      <c r="E268" t="s">
        <v>513</v>
      </c>
      <c r="F268" s="20" t="s">
        <v>488</v>
      </c>
      <c r="G268" s="8" t="str">
        <f t="shared" si="8"/>
        <v>DAVIDSON DAVID</v>
      </c>
      <c r="H268" s="20" t="str">
        <f t="shared" si="9"/>
        <v>4044</v>
      </c>
    </row>
    <row r="269" spans="1:8" x14ac:dyDescent="0.3">
      <c r="A269" s="8">
        <v>43027.799062500002</v>
      </c>
      <c r="B269" t="s">
        <v>483</v>
      </c>
      <c r="C269" t="s">
        <v>515</v>
      </c>
      <c r="D269" s="138">
        <v>1180000</v>
      </c>
      <c r="E269" t="s">
        <v>420</v>
      </c>
      <c r="F269" s="20" t="s">
        <v>421</v>
      </c>
      <c r="G269" s="8" t="str">
        <f t="shared" si="8"/>
        <v>LEVERE CRAIG</v>
      </c>
      <c r="H269" s="20" t="str">
        <f t="shared" si="9"/>
        <v>4014</v>
      </c>
    </row>
    <row r="270" spans="1:8" x14ac:dyDescent="0.3">
      <c r="A270" s="8">
        <v>43027.800520833334</v>
      </c>
      <c r="B270" t="s">
        <v>390</v>
      </c>
      <c r="C270" t="s">
        <v>475</v>
      </c>
      <c r="D270" s="138">
        <v>2420000</v>
      </c>
      <c r="E270" t="s">
        <v>447</v>
      </c>
      <c r="F270" s="20" t="s">
        <v>448</v>
      </c>
      <c r="G270" s="8" t="str">
        <f t="shared" si="8"/>
        <v>HOLCOMB KAMDEN</v>
      </c>
      <c r="H270" s="20" t="str">
        <f t="shared" si="9"/>
        <v>4065</v>
      </c>
    </row>
    <row r="271" spans="1:8" x14ac:dyDescent="0.3">
      <c r="A271" s="8">
        <v>43027.804224537038</v>
      </c>
      <c r="B271" t="s">
        <v>439</v>
      </c>
      <c r="C271" t="s">
        <v>516</v>
      </c>
      <c r="D271" s="138">
        <v>2540000</v>
      </c>
      <c r="E271" t="s">
        <v>391</v>
      </c>
      <c r="F271" s="20" t="s">
        <v>392</v>
      </c>
      <c r="G271" s="8" t="str">
        <f t="shared" si="8"/>
        <v>MCREYNOLDS KYLE</v>
      </c>
      <c r="H271" s="20" t="str">
        <f t="shared" si="9"/>
        <v>4017</v>
      </c>
    </row>
    <row r="272" spans="1:8" x14ac:dyDescent="0.3">
      <c r="A272" s="8">
        <v>43027.810300925928</v>
      </c>
      <c r="B272" t="s">
        <v>441</v>
      </c>
      <c r="C272" t="s">
        <v>512</v>
      </c>
      <c r="D272" s="138">
        <v>2600000</v>
      </c>
      <c r="E272" t="s">
        <v>513</v>
      </c>
      <c r="F272" s="20" t="s">
        <v>488</v>
      </c>
      <c r="G272" s="8" t="str">
        <f t="shared" si="8"/>
        <v>DAVIDSON DAVID</v>
      </c>
      <c r="H272" s="20" t="str">
        <f t="shared" si="9"/>
        <v>4043</v>
      </c>
    </row>
    <row r="273" spans="1:8" x14ac:dyDescent="0.3">
      <c r="A273" s="8">
        <v>43027.810370370367</v>
      </c>
      <c r="B273" t="s">
        <v>444</v>
      </c>
      <c r="C273" t="s">
        <v>517</v>
      </c>
      <c r="D273" s="138">
        <v>890000</v>
      </c>
      <c r="E273" t="s">
        <v>358</v>
      </c>
      <c r="F273" s="20" t="s">
        <v>359</v>
      </c>
      <c r="G273" s="8" t="str">
        <f t="shared" si="8"/>
        <v>LOZA FIDEL</v>
      </c>
      <c r="H273" s="20" t="str">
        <f t="shared" si="9"/>
        <v>4006</v>
      </c>
    </row>
    <row r="274" spans="1:8" x14ac:dyDescent="0.3">
      <c r="A274" s="8">
        <v>43027.819351851853</v>
      </c>
      <c r="B274" t="s">
        <v>437</v>
      </c>
      <c r="C274" t="s">
        <v>518</v>
      </c>
      <c r="D274" s="138">
        <v>1360000</v>
      </c>
      <c r="E274" t="s">
        <v>509</v>
      </c>
      <c r="F274" s="20" t="s">
        <v>510</v>
      </c>
      <c r="G274" s="8" t="str">
        <f t="shared" si="8"/>
        <v>SANTIZO D. EDY</v>
      </c>
      <c r="H274" s="20" t="str">
        <f t="shared" si="9"/>
        <v>4007</v>
      </c>
    </row>
    <row r="275" spans="1:8" x14ac:dyDescent="0.3">
      <c r="A275" s="8">
        <v>43027.82068287037</v>
      </c>
      <c r="B275" t="s">
        <v>389</v>
      </c>
      <c r="C275" t="s">
        <v>519</v>
      </c>
      <c r="D275" s="138">
        <v>2420000</v>
      </c>
      <c r="E275" t="s">
        <v>447</v>
      </c>
      <c r="F275" s="20" t="s">
        <v>448</v>
      </c>
      <c r="G275" s="8" t="str">
        <f t="shared" si="8"/>
        <v>HOLCOMB KAMDEN</v>
      </c>
      <c r="H275" s="20" t="str">
        <f t="shared" si="9"/>
        <v>4066</v>
      </c>
    </row>
    <row r="276" spans="1:8" x14ac:dyDescent="0.3">
      <c r="A276" s="8">
        <v>43027.825115740743</v>
      </c>
      <c r="B276" t="s">
        <v>419</v>
      </c>
      <c r="C276" t="s">
        <v>490</v>
      </c>
      <c r="D276" s="138">
        <v>3320000</v>
      </c>
      <c r="E276" t="s">
        <v>492</v>
      </c>
      <c r="F276" s="20" t="s">
        <v>493</v>
      </c>
      <c r="G276" s="8" t="str">
        <f t="shared" si="8"/>
        <v>NICHOLSON WESLEY</v>
      </c>
      <c r="H276" s="20" t="str">
        <f t="shared" si="9"/>
        <v>4010</v>
      </c>
    </row>
    <row r="277" spans="1:8" x14ac:dyDescent="0.3">
      <c r="A277" s="8">
        <v>43027.827708333331</v>
      </c>
      <c r="B277" t="s">
        <v>469</v>
      </c>
      <c r="C277" t="s">
        <v>520</v>
      </c>
      <c r="D277" s="138">
        <v>3340000</v>
      </c>
      <c r="E277" t="s">
        <v>499</v>
      </c>
      <c r="F277" s="20" t="s">
        <v>500</v>
      </c>
      <c r="G277" s="8" t="str">
        <f t="shared" si="8"/>
        <v>ELBAUM MIKE</v>
      </c>
      <c r="H277" s="20" t="str">
        <f t="shared" si="9"/>
        <v>4058</v>
      </c>
    </row>
    <row r="278" spans="1:8" x14ac:dyDescent="0.3">
      <c r="A278" s="8">
        <v>43027.830347222225</v>
      </c>
      <c r="B278" t="s">
        <v>418</v>
      </c>
      <c r="C278" t="s">
        <v>490</v>
      </c>
      <c r="D278" s="138">
        <v>3320000</v>
      </c>
      <c r="E278" t="s">
        <v>492</v>
      </c>
      <c r="F278" s="20" t="s">
        <v>493</v>
      </c>
      <c r="G278" s="8" t="str">
        <f t="shared" si="8"/>
        <v>NICHOLSON WESLEY</v>
      </c>
      <c r="H278" s="20" t="str">
        <f t="shared" si="9"/>
        <v>4009</v>
      </c>
    </row>
    <row r="279" spans="1:8" x14ac:dyDescent="0.3">
      <c r="A279" s="8">
        <v>43027.836145833331</v>
      </c>
      <c r="B279" t="s">
        <v>442</v>
      </c>
      <c r="C279" t="s">
        <v>521</v>
      </c>
      <c r="D279" s="138">
        <v>3130000</v>
      </c>
      <c r="E279" t="s">
        <v>449</v>
      </c>
      <c r="F279" s="20" t="s">
        <v>450</v>
      </c>
      <c r="G279" s="8" t="str">
        <f t="shared" si="8"/>
        <v>ZEWDU DEREJE</v>
      </c>
      <c r="H279" s="20" t="str">
        <f t="shared" si="9"/>
        <v>4044</v>
      </c>
    </row>
    <row r="280" spans="1:8" x14ac:dyDescent="0.3">
      <c r="A280" s="8">
        <v>43027.849907407406</v>
      </c>
      <c r="B280" t="s">
        <v>436</v>
      </c>
      <c r="C280" t="s">
        <v>522</v>
      </c>
      <c r="D280" s="138">
        <v>890000</v>
      </c>
      <c r="E280" t="s">
        <v>358</v>
      </c>
      <c r="F280" s="20" t="s">
        <v>359</v>
      </c>
      <c r="G280" s="8" t="str">
        <f t="shared" si="8"/>
        <v>LOZA FIDEL</v>
      </c>
      <c r="H280" s="20" t="str">
        <f t="shared" si="9"/>
        <v>4005</v>
      </c>
    </row>
    <row r="281" spans="1:8" x14ac:dyDescent="0.3">
      <c r="A281" s="8">
        <v>43027.850057870368</v>
      </c>
      <c r="B281" t="s">
        <v>419</v>
      </c>
      <c r="C281" t="s">
        <v>523</v>
      </c>
      <c r="D281" s="138">
        <v>2540000</v>
      </c>
      <c r="E281" t="s">
        <v>391</v>
      </c>
      <c r="F281" s="20" t="s">
        <v>392</v>
      </c>
      <c r="G281" s="8" t="str">
        <f t="shared" si="8"/>
        <v>MCREYNOLDS KYLE</v>
      </c>
      <c r="H281" s="20" t="str">
        <f t="shared" si="9"/>
        <v>4010</v>
      </c>
    </row>
    <row r="282" spans="1:8" x14ac:dyDescent="0.3">
      <c r="A282" s="8">
        <v>43027.851134259261</v>
      </c>
      <c r="B282" t="s">
        <v>441</v>
      </c>
      <c r="C282" t="s">
        <v>524</v>
      </c>
      <c r="D282" s="138">
        <v>3130000</v>
      </c>
      <c r="E282" t="s">
        <v>449</v>
      </c>
      <c r="F282" s="20" t="s">
        <v>450</v>
      </c>
      <c r="G282" s="8" t="str">
        <f t="shared" si="8"/>
        <v>ZEWDU DEREJE</v>
      </c>
      <c r="H282" s="20" t="str">
        <f t="shared" si="9"/>
        <v>4043</v>
      </c>
    </row>
    <row r="283" spans="1:8" x14ac:dyDescent="0.3">
      <c r="A283" s="8">
        <v>43027.859826388885</v>
      </c>
      <c r="B283" t="s">
        <v>472</v>
      </c>
      <c r="C283" t="s">
        <v>476</v>
      </c>
      <c r="D283" s="138">
        <v>3340000</v>
      </c>
      <c r="E283" t="s">
        <v>499</v>
      </c>
      <c r="F283" s="20" t="s">
        <v>500</v>
      </c>
      <c r="G283" s="8" t="str">
        <f t="shared" si="8"/>
        <v>ELBAUM MIKE</v>
      </c>
      <c r="H283" s="20" t="str">
        <f t="shared" si="9"/>
        <v>4057</v>
      </c>
    </row>
    <row r="284" spans="1:8" x14ac:dyDescent="0.3">
      <c r="A284" s="8">
        <v>43027.871770833335</v>
      </c>
      <c r="B284" t="s">
        <v>414</v>
      </c>
      <c r="C284" t="s">
        <v>525</v>
      </c>
      <c r="D284" s="138">
        <v>3310000</v>
      </c>
      <c r="E284" t="s">
        <v>380</v>
      </c>
      <c r="F284" s="20" t="s">
        <v>381</v>
      </c>
      <c r="G284" s="8" t="str">
        <f t="shared" si="8"/>
        <v>ANDERS STEVEN</v>
      </c>
      <c r="H284" s="20" t="str">
        <f t="shared" si="9"/>
        <v>4008</v>
      </c>
    </row>
    <row r="285" spans="1:8" x14ac:dyDescent="0.3">
      <c r="A285" s="8">
        <v>43027.874143518522</v>
      </c>
      <c r="B285" t="s">
        <v>442</v>
      </c>
      <c r="C285" t="s">
        <v>526</v>
      </c>
      <c r="D285" s="138">
        <v>2440000</v>
      </c>
      <c r="E285" t="s">
        <v>527</v>
      </c>
      <c r="F285" s="20" t="s">
        <v>528</v>
      </c>
      <c r="G285" s="8" t="str">
        <f t="shared" si="8"/>
        <v>LOPES KIMBERLY</v>
      </c>
      <c r="H285" s="20" t="str">
        <f t="shared" si="9"/>
        <v>4044</v>
      </c>
    </row>
    <row r="286" spans="1:8" x14ac:dyDescent="0.3">
      <c r="A286" s="8">
        <v>43027.888333333336</v>
      </c>
      <c r="B286" t="s">
        <v>444</v>
      </c>
      <c r="C286" t="s">
        <v>529</v>
      </c>
      <c r="D286" s="138">
        <v>3320000</v>
      </c>
      <c r="E286" t="s">
        <v>492</v>
      </c>
      <c r="F286" s="20" t="s">
        <v>493</v>
      </c>
      <c r="G286" s="8" t="str">
        <f t="shared" si="8"/>
        <v>NICHOLSON WESLEY</v>
      </c>
      <c r="H286" s="20" t="str">
        <f t="shared" si="9"/>
        <v>4006</v>
      </c>
    </row>
    <row r="287" spans="1:8" x14ac:dyDescent="0.3">
      <c r="A287" s="8">
        <v>43027.888518518521</v>
      </c>
      <c r="B287" t="s">
        <v>418</v>
      </c>
      <c r="C287" t="s">
        <v>530</v>
      </c>
      <c r="D287" s="138">
        <v>2540000</v>
      </c>
      <c r="E287" t="s">
        <v>391</v>
      </c>
      <c r="F287" s="20" t="s">
        <v>392</v>
      </c>
      <c r="G287" s="8" t="str">
        <f t="shared" si="8"/>
        <v>MCREYNOLDS KYLE</v>
      </c>
      <c r="H287" s="20" t="str">
        <f t="shared" si="9"/>
        <v>4009</v>
      </c>
    </row>
    <row r="288" spans="1:8" x14ac:dyDescent="0.3">
      <c r="A288" s="8">
        <v>43027.893078703702</v>
      </c>
      <c r="B288" t="s">
        <v>441</v>
      </c>
      <c r="C288" t="s">
        <v>531</v>
      </c>
      <c r="D288" s="138">
        <v>2440000</v>
      </c>
      <c r="E288" t="s">
        <v>527</v>
      </c>
      <c r="F288" s="20" t="s">
        <v>528</v>
      </c>
      <c r="G288" s="8" t="str">
        <f t="shared" si="8"/>
        <v>LOPES KIMBERLY</v>
      </c>
      <c r="H288" s="20" t="str">
        <f t="shared" si="9"/>
        <v>4043</v>
      </c>
    </row>
    <row r="289" spans="1:8" x14ac:dyDescent="0.3">
      <c r="A289" s="8">
        <v>43027.900636574072</v>
      </c>
      <c r="B289" t="s">
        <v>469</v>
      </c>
      <c r="C289" t="s">
        <v>532</v>
      </c>
      <c r="D289" s="138">
        <v>3340000</v>
      </c>
      <c r="E289" t="s">
        <v>499</v>
      </c>
      <c r="F289" s="20" t="s">
        <v>500</v>
      </c>
      <c r="G289" s="8" t="str">
        <f t="shared" si="8"/>
        <v>ELBAUM MIKE</v>
      </c>
      <c r="H289" s="20" t="str">
        <f t="shared" si="9"/>
        <v>4058</v>
      </c>
    </row>
    <row r="290" spans="1:8" x14ac:dyDescent="0.3">
      <c r="A290" s="8">
        <v>43027.90148148148</v>
      </c>
      <c r="B290" t="s">
        <v>435</v>
      </c>
      <c r="C290" t="s">
        <v>490</v>
      </c>
      <c r="D290" s="138">
        <v>2600000</v>
      </c>
      <c r="E290" t="s">
        <v>513</v>
      </c>
      <c r="F290" s="20" t="s">
        <v>488</v>
      </c>
      <c r="G290" s="8" t="str">
        <f t="shared" si="8"/>
        <v>DAVIDSON DAVID</v>
      </c>
      <c r="H290" s="20" t="str">
        <f t="shared" si="9"/>
        <v>4018</v>
      </c>
    </row>
    <row r="291" spans="1:8" x14ac:dyDescent="0.3">
      <c r="A291" s="8">
        <v>43027.905092592591</v>
      </c>
      <c r="B291" t="s">
        <v>439</v>
      </c>
      <c r="C291" t="s">
        <v>490</v>
      </c>
      <c r="D291" s="138">
        <v>2600000</v>
      </c>
      <c r="E291" t="s">
        <v>513</v>
      </c>
      <c r="F291" s="20" t="s">
        <v>488</v>
      </c>
      <c r="G291" s="8" t="str">
        <f t="shared" si="8"/>
        <v>DAVIDSON DAVID</v>
      </c>
      <c r="H291" s="20" t="str">
        <f t="shared" si="9"/>
        <v>4017</v>
      </c>
    </row>
    <row r="292" spans="1:8" x14ac:dyDescent="0.3">
      <c r="A292" s="8">
        <v>43027.912083333336</v>
      </c>
      <c r="B292" t="s">
        <v>437</v>
      </c>
      <c r="C292" t="s">
        <v>533</v>
      </c>
      <c r="D292" s="138">
        <v>3310000</v>
      </c>
      <c r="E292" t="s">
        <v>380</v>
      </c>
      <c r="F292" s="20" t="s">
        <v>381</v>
      </c>
      <c r="G292" s="8" t="str">
        <f t="shared" si="8"/>
        <v>ANDERS STEVEN</v>
      </c>
      <c r="H292" s="20" t="str">
        <f t="shared" si="9"/>
        <v>4007</v>
      </c>
    </row>
    <row r="293" spans="1:8" x14ac:dyDescent="0.3">
      <c r="A293" s="8">
        <v>43027.919351851851</v>
      </c>
      <c r="B293" t="s">
        <v>442</v>
      </c>
      <c r="C293" t="s">
        <v>534</v>
      </c>
      <c r="D293" s="138">
        <v>3280000</v>
      </c>
      <c r="E293" t="s">
        <v>431</v>
      </c>
      <c r="F293" s="20" t="s">
        <v>432</v>
      </c>
      <c r="G293" s="8" t="str">
        <f t="shared" si="8"/>
        <v>BIRKHOLZ NADINE</v>
      </c>
      <c r="H293" s="20" t="str">
        <f t="shared" si="9"/>
        <v>4044</v>
      </c>
    </row>
    <row r="294" spans="1:8" x14ac:dyDescent="0.3">
      <c r="A294" s="8">
        <v>43027.926724537036</v>
      </c>
      <c r="B294" t="s">
        <v>436</v>
      </c>
      <c r="C294" t="s">
        <v>535</v>
      </c>
      <c r="D294" s="138">
        <v>3320000</v>
      </c>
      <c r="E294" t="s">
        <v>492</v>
      </c>
      <c r="F294" s="20" t="s">
        <v>493</v>
      </c>
      <c r="G294" s="8" t="str">
        <f t="shared" si="8"/>
        <v>NICHOLSON WESLEY</v>
      </c>
      <c r="H294" s="20" t="str">
        <f t="shared" si="9"/>
        <v>4005</v>
      </c>
    </row>
    <row r="295" spans="1:8" x14ac:dyDescent="0.3">
      <c r="A295" s="8">
        <v>43027.933495370373</v>
      </c>
      <c r="B295" t="s">
        <v>435</v>
      </c>
      <c r="C295" t="s">
        <v>536</v>
      </c>
      <c r="D295" s="138">
        <v>2540000</v>
      </c>
      <c r="E295" t="s">
        <v>391</v>
      </c>
      <c r="F295" s="20" t="s">
        <v>392</v>
      </c>
      <c r="G295" s="8" t="str">
        <f t="shared" si="8"/>
        <v>MCREYNOLDS KYLE</v>
      </c>
      <c r="H295" s="20" t="str">
        <f t="shared" si="9"/>
        <v>4018</v>
      </c>
    </row>
    <row r="296" spans="1:8" x14ac:dyDescent="0.3">
      <c r="A296" s="8">
        <v>43027.935891203706</v>
      </c>
      <c r="B296" t="s">
        <v>441</v>
      </c>
      <c r="C296" t="s">
        <v>537</v>
      </c>
      <c r="D296" s="138">
        <v>3280000</v>
      </c>
      <c r="E296" t="s">
        <v>431</v>
      </c>
      <c r="F296" s="20" t="s">
        <v>432</v>
      </c>
      <c r="G296" s="8" t="str">
        <f t="shared" si="8"/>
        <v>BIRKHOLZ NADINE</v>
      </c>
      <c r="H296" s="20" t="str">
        <f t="shared" si="9"/>
        <v>4043</v>
      </c>
    </row>
    <row r="297" spans="1:8" x14ac:dyDescent="0.3">
      <c r="A297" s="8">
        <v>43027.94259259259</v>
      </c>
      <c r="B297" t="s">
        <v>472</v>
      </c>
      <c r="C297" t="s">
        <v>538</v>
      </c>
      <c r="D297" s="138">
        <v>3340000</v>
      </c>
      <c r="E297" t="s">
        <v>499</v>
      </c>
      <c r="F297" s="20" t="s">
        <v>500</v>
      </c>
      <c r="G297" s="8" t="str">
        <f t="shared" si="8"/>
        <v>ELBAUM MIKE</v>
      </c>
      <c r="H297" s="20" t="str">
        <f t="shared" si="9"/>
        <v>4057</v>
      </c>
    </row>
    <row r="298" spans="1:8" x14ac:dyDescent="0.3">
      <c r="A298" s="8">
        <v>43027.956400462965</v>
      </c>
      <c r="B298" t="s">
        <v>414</v>
      </c>
      <c r="C298" t="s">
        <v>539</v>
      </c>
      <c r="D298" s="138">
        <v>3310000</v>
      </c>
      <c r="E298" t="s">
        <v>380</v>
      </c>
      <c r="F298" s="20" t="s">
        <v>381</v>
      </c>
      <c r="G298" s="8" t="str">
        <f t="shared" si="8"/>
        <v>ANDERS STEVEN</v>
      </c>
      <c r="H298" s="20" t="str">
        <f t="shared" si="9"/>
        <v>4008</v>
      </c>
    </row>
    <row r="299" spans="1:8" x14ac:dyDescent="0.3">
      <c r="A299" s="8">
        <v>43027.960833333331</v>
      </c>
      <c r="B299" t="s">
        <v>442</v>
      </c>
      <c r="C299" t="s">
        <v>540</v>
      </c>
      <c r="D299" s="138">
        <v>3280000</v>
      </c>
      <c r="E299" t="s">
        <v>431</v>
      </c>
      <c r="F299" s="20" t="s">
        <v>432</v>
      </c>
      <c r="G299" s="8" t="str">
        <f t="shared" si="8"/>
        <v>BIRKHOLZ NADINE</v>
      </c>
      <c r="H299" s="20" t="str">
        <f t="shared" si="9"/>
        <v>4044</v>
      </c>
    </row>
    <row r="300" spans="1:8" x14ac:dyDescent="0.3">
      <c r="A300" s="8">
        <v>43027.97184027778</v>
      </c>
      <c r="B300" t="s">
        <v>439</v>
      </c>
      <c r="C300" t="s">
        <v>541</v>
      </c>
      <c r="D300" s="138">
        <v>2540000</v>
      </c>
      <c r="E300" t="s">
        <v>391</v>
      </c>
      <c r="F300" s="20" t="s">
        <v>392</v>
      </c>
      <c r="G300" s="8" t="str">
        <f t="shared" si="8"/>
        <v>MCREYNOLDS KYLE</v>
      </c>
      <c r="H300" s="20" t="str">
        <f t="shared" si="9"/>
        <v>4017</v>
      </c>
    </row>
    <row r="301" spans="1:8" x14ac:dyDescent="0.3">
      <c r="A301" s="8">
        <v>43027.976574074077</v>
      </c>
      <c r="B301" t="s">
        <v>441</v>
      </c>
      <c r="C301" t="s">
        <v>542</v>
      </c>
      <c r="D301" s="138">
        <v>3280000</v>
      </c>
      <c r="E301" t="s">
        <v>431</v>
      </c>
      <c r="F301" s="20" t="s">
        <v>432</v>
      </c>
      <c r="G301" s="8" t="str">
        <f t="shared" si="8"/>
        <v>BIRKHOLZ NADINE</v>
      </c>
      <c r="H301" s="20" t="str">
        <f t="shared" si="9"/>
        <v>4043</v>
      </c>
    </row>
    <row r="302" spans="1:8" x14ac:dyDescent="0.3">
      <c r="A302" s="8">
        <v>43027.978032407409</v>
      </c>
      <c r="B302" t="s">
        <v>444</v>
      </c>
      <c r="C302" t="s">
        <v>543</v>
      </c>
      <c r="D302" s="138">
        <v>890000</v>
      </c>
      <c r="E302" t="s">
        <v>358</v>
      </c>
      <c r="F302" s="20" t="s">
        <v>359</v>
      </c>
      <c r="G302" s="8" t="str">
        <f t="shared" si="8"/>
        <v>LOZA FIDEL</v>
      </c>
      <c r="H302" s="20" t="str">
        <f t="shared" si="9"/>
        <v>4006</v>
      </c>
    </row>
    <row r="303" spans="1:8" x14ac:dyDescent="0.3">
      <c r="A303" s="8">
        <v>43027.984525462962</v>
      </c>
      <c r="B303" t="s">
        <v>469</v>
      </c>
      <c r="C303" t="s">
        <v>544</v>
      </c>
      <c r="D303" s="138">
        <v>3340000</v>
      </c>
      <c r="E303" t="s">
        <v>499</v>
      </c>
      <c r="F303" s="20" t="s">
        <v>500</v>
      </c>
      <c r="G303" s="8" t="str">
        <f t="shared" si="8"/>
        <v>ELBAUM MIKE</v>
      </c>
      <c r="H303" s="20" t="str">
        <f t="shared" si="9"/>
        <v>4058</v>
      </c>
    </row>
    <row r="304" spans="1:8" x14ac:dyDescent="0.3">
      <c r="A304" s="8">
        <v>43027.994988425926</v>
      </c>
      <c r="B304" t="s">
        <v>437</v>
      </c>
      <c r="C304" t="s">
        <v>545</v>
      </c>
      <c r="D304" s="138">
        <v>3310000</v>
      </c>
      <c r="E304" t="s">
        <v>380</v>
      </c>
      <c r="F304" s="20" t="s">
        <v>381</v>
      </c>
      <c r="G304" s="8" t="str">
        <f t="shared" si="8"/>
        <v>ANDERS STEVEN</v>
      </c>
      <c r="H304" s="20" t="str">
        <f t="shared" si="9"/>
        <v>4007</v>
      </c>
    </row>
    <row r="305" spans="1:8" x14ac:dyDescent="0.3">
      <c r="A305" s="8">
        <v>43028.010069444441</v>
      </c>
      <c r="B305" t="s">
        <v>435</v>
      </c>
      <c r="C305" t="s">
        <v>546</v>
      </c>
      <c r="D305" s="138">
        <v>2540000</v>
      </c>
      <c r="E305" t="s">
        <v>391</v>
      </c>
      <c r="F305" s="20" t="s">
        <v>392</v>
      </c>
      <c r="G305" s="8" t="str">
        <f t="shared" si="8"/>
        <v>MCREYNOLDS KYLE</v>
      </c>
      <c r="H305" s="20" t="str">
        <f t="shared" si="9"/>
        <v>4018</v>
      </c>
    </row>
    <row r="306" spans="1:8" x14ac:dyDescent="0.3">
      <c r="A306" s="8">
        <v>43028.014560185184</v>
      </c>
      <c r="B306" t="s">
        <v>436</v>
      </c>
      <c r="C306" t="s">
        <v>547</v>
      </c>
      <c r="D306" s="138">
        <v>890000</v>
      </c>
      <c r="E306" t="s">
        <v>358</v>
      </c>
      <c r="F306" s="20" t="s">
        <v>359</v>
      </c>
      <c r="G306" s="8" t="str">
        <f t="shared" si="8"/>
        <v>LOZA FIDEL</v>
      </c>
      <c r="H306" s="20" t="str">
        <f t="shared" si="9"/>
        <v>4005</v>
      </c>
    </row>
    <row r="307" spans="1:8" x14ac:dyDescent="0.3">
      <c r="A307" s="8">
        <v>43028.031365740739</v>
      </c>
      <c r="B307" t="s">
        <v>414</v>
      </c>
      <c r="C307" t="s">
        <v>548</v>
      </c>
      <c r="D307" s="138">
        <v>3310000</v>
      </c>
      <c r="E307" t="s">
        <v>380</v>
      </c>
      <c r="F307" s="20" t="s">
        <v>381</v>
      </c>
      <c r="G307" s="8" t="str">
        <f t="shared" si="8"/>
        <v>ANDERS STEVEN</v>
      </c>
      <c r="H307" s="20" t="str">
        <f t="shared" si="9"/>
        <v>4008</v>
      </c>
    </row>
    <row r="308" spans="1:8" x14ac:dyDescent="0.3">
      <c r="A308" s="8">
        <v>43028.038553240738</v>
      </c>
      <c r="B308" t="s">
        <v>472</v>
      </c>
      <c r="C308" t="s">
        <v>549</v>
      </c>
      <c r="D308" s="138">
        <v>3340000</v>
      </c>
      <c r="E308" t="s">
        <v>499</v>
      </c>
      <c r="F308" s="20" t="s">
        <v>500</v>
      </c>
      <c r="G308" s="8" t="str">
        <f t="shared" si="8"/>
        <v>ELBAUM MIKE</v>
      </c>
      <c r="H308" s="20" t="str">
        <f t="shared" si="9"/>
        <v>4057</v>
      </c>
    </row>
    <row r="309" spans="1:8" x14ac:dyDescent="0.3">
      <c r="A309" s="8">
        <v>43028.047349537039</v>
      </c>
      <c r="B309" t="s">
        <v>444</v>
      </c>
      <c r="C309" t="s">
        <v>550</v>
      </c>
      <c r="D309" s="138">
        <v>890000</v>
      </c>
      <c r="E309" t="s">
        <v>358</v>
      </c>
      <c r="F309" s="20" t="s">
        <v>359</v>
      </c>
      <c r="G309" s="8" t="str">
        <f t="shared" si="8"/>
        <v>LOZA FIDEL</v>
      </c>
      <c r="H309" s="20" t="str">
        <f t="shared" si="9"/>
        <v>4006</v>
      </c>
    </row>
    <row r="310" spans="1:8" x14ac:dyDescent="0.3">
      <c r="A310" s="8">
        <v>43028.053391203706</v>
      </c>
      <c r="B310" t="s">
        <v>439</v>
      </c>
      <c r="C310" t="s">
        <v>551</v>
      </c>
      <c r="D310" s="138">
        <v>2540000</v>
      </c>
      <c r="E310" t="s">
        <v>391</v>
      </c>
      <c r="F310" s="20" t="s">
        <v>392</v>
      </c>
      <c r="G310" s="8" t="str">
        <f t="shared" si="8"/>
        <v>MCREYNOLDS KYLE</v>
      </c>
      <c r="H310" s="20" t="str">
        <f t="shared" si="9"/>
        <v>4017</v>
      </c>
    </row>
    <row r="311" spans="1:8" x14ac:dyDescent="0.3">
      <c r="A311" s="8">
        <v>43028.068229166667</v>
      </c>
      <c r="B311" t="s">
        <v>469</v>
      </c>
      <c r="C311" t="s">
        <v>552</v>
      </c>
      <c r="D311" s="138">
        <v>3340000</v>
      </c>
      <c r="E311" t="s">
        <v>499</v>
      </c>
      <c r="F311" s="20" t="s">
        <v>500</v>
      </c>
      <c r="G311" s="8" t="str">
        <f t="shared" si="8"/>
        <v>ELBAUM MIKE</v>
      </c>
      <c r="H311" s="20" t="str">
        <f t="shared" si="9"/>
        <v>4058</v>
      </c>
    </row>
    <row r="312" spans="1:8" x14ac:dyDescent="0.3">
      <c r="A312" s="8">
        <v>43028.089571759258</v>
      </c>
      <c r="B312" t="s">
        <v>435</v>
      </c>
      <c r="C312" t="s">
        <v>553</v>
      </c>
      <c r="D312" s="138">
        <v>2540000</v>
      </c>
      <c r="E312" t="s">
        <v>391</v>
      </c>
      <c r="F312" s="20" t="s">
        <v>392</v>
      </c>
      <c r="G312" s="8" t="str">
        <f t="shared" si="8"/>
        <v>MCREYNOLDS KYLE</v>
      </c>
      <c r="H312" s="20" t="str">
        <f t="shared" si="9"/>
        <v>4018</v>
      </c>
    </row>
    <row r="313" spans="1:8" x14ac:dyDescent="0.3">
      <c r="A313" s="8">
        <v>43028.111273148148</v>
      </c>
      <c r="B313" t="s">
        <v>385</v>
      </c>
      <c r="C313" t="s">
        <v>554</v>
      </c>
      <c r="D313" s="138">
        <v>1830000</v>
      </c>
      <c r="E313" t="s">
        <v>373</v>
      </c>
      <c r="F313" s="20" t="s">
        <v>374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workbookViewId="0">
      <selection sqref="A1:R29"/>
    </sheetView>
  </sheetViews>
  <sheetFormatPr defaultColWidth="9.109375" defaultRowHeight="14.4" x14ac:dyDescent="0.3"/>
  <cols>
    <col min="1" max="1" width="22.5546875" style="141" customWidth="1"/>
    <col min="2" max="2" width="8.44140625" style="141" bestFit="1" customWidth="1"/>
    <col min="3" max="3" width="12.5546875" style="141" bestFit="1" customWidth="1"/>
    <col min="4" max="4" width="18.5546875" style="130" bestFit="1" customWidth="1"/>
    <col min="5" max="5" width="9.88671875" style="141" bestFit="1" customWidth="1"/>
    <col min="6" max="6" width="9" style="141" bestFit="1" customWidth="1"/>
    <col min="7" max="7" width="8.88671875" style="141" bestFit="1" customWidth="1"/>
    <col min="8" max="8" width="14" style="141" bestFit="1" customWidth="1"/>
    <col min="9" max="9" width="21.109375" style="141" bestFit="1" customWidth="1"/>
    <col min="10" max="10" width="8.6640625" style="141" bestFit="1" customWidth="1"/>
    <col min="11" max="11" width="11.33203125" style="141" bestFit="1" customWidth="1"/>
    <col min="12" max="12" width="11" style="141" bestFit="1" customWidth="1"/>
    <col min="13" max="13" width="11.33203125" style="141" bestFit="1" customWidth="1"/>
    <col min="14" max="14" width="13.6640625" style="141" bestFit="1" customWidth="1"/>
    <col min="15" max="15" width="14.88671875" style="141" bestFit="1" customWidth="1"/>
    <col min="16" max="16" width="16.6640625" style="141" bestFit="1" customWidth="1"/>
    <col min="17" max="17" width="9.44140625" style="110" bestFit="1" customWidth="1"/>
    <col min="18" max="16384" width="9.109375" style="110"/>
  </cols>
  <sheetData>
    <row r="1" spans="1:20" s="111" customFormat="1" x14ac:dyDescent="0.3">
      <c r="A1" s="218" t="s">
        <v>156</v>
      </c>
      <c r="B1" s="218" t="s">
        <v>159</v>
      </c>
      <c r="C1" s="218" t="s">
        <v>152</v>
      </c>
      <c r="D1" s="136" t="s">
        <v>164</v>
      </c>
      <c r="E1" s="218" t="s">
        <v>153</v>
      </c>
      <c r="F1" s="218" t="s">
        <v>151</v>
      </c>
      <c r="G1" s="218" t="s">
        <v>149</v>
      </c>
      <c r="H1" s="218" t="s">
        <v>162</v>
      </c>
      <c r="I1" s="218" t="s">
        <v>163</v>
      </c>
      <c r="J1" s="218" t="s">
        <v>157</v>
      </c>
      <c r="K1" s="218" t="s">
        <v>155</v>
      </c>
      <c r="L1" s="218" t="s">
        <v>150</v>
      </c>
      <c r="M1" s="218" t="s">
        <v>160</v>
      </c>
      <c r="N1" s="218" t="s">
        <v>342</v>
      </c>
      <c r="O1" s="218" t="s">
        <v>154</v>
      </c>
      <c r="P1" s="218" t="s">
        <v>161</v>
      </c>
      <c r="Q1" s="218" t="s">
        <v>343</v>
      </c>
      <c r="R1" s="218" t="s">
        <v>158</v>
      </c>
      <c r="S1"/>
      <c r="T1"/>
    </row>
    <row r="2" spans="1:20" x14ac:dyDescent="0.3">
      <c r="A2" s="196">
        <v>60.24</v>
      </c>
      <c r="B2" s="196">
        <v>0.05</v>
      </c>
      <c r="C2" s="196">
        <v>27.57</v>
      </c>
      <c r="D2" s="8">
        <v>43031</v>
      </c>
      <c r="E2" s="196">
        <v>0.28999999999999998</v>
      </c>
      <c r="F2" s="196" t="s">
        <v>387</v>
      </c>
      <c r="G2" s="196">
        <v>272.64</v>
      </c>
      <c r="H2" s="196">
        <v>0</v>
      </c>
      <c r="I2" s="196">
        <v>0</v>
      </c>
      <c r="J2" s="196">
        <v>1016.02</v>
      </c>
      <c r="K2" s="196" t="s">
        <v>388</v>
      </c>
      <c r="L2" s="196">
        <v>60.24</v>
      </c>
      <c r="M2" s="196">
        <v>1508738400</v>
      </c>
      <c r="N2" s="196">
        <v>0</v>
      </c>
      <c r="O2" s="196">
        <v>3.49</v>
      </c>
      <c r="P2" s="196">
        <v>288</v>
      </c>
      <c r="Q2" s="196">
        <v>10.220000000000001</v>
      </c>
      <c r="R2" s="196">
        <v>3.13</v>
      </c>
      <c r="S2"/>
      <c r="T2"/>
    </row>
    <row r="3" spans="1:20" x14ac:dyDescent="0.3">
      <c r="A3" s="196">
        <v>60.51</v>
      </c>
      <c r="B3" s="196">
        <v>0.04</v>
      </c>
      <c r="C3" s="196">
        <v>27.61</v>
      </c>
      <c r="D3" s="8">
        <v>43031.041666666664</v>
      </c>
      <c r="E3" s="196">
        <v>0.28000000000000003</v>
      </c>
      <c r="F3" s="196" t="s">
        <v>387</v>
      </c>
      <c r="G3" s="196">
        <v>272.39999999999998</v>
      </c>
      <c r="H3" s="196">
        <v>0</v>
      </c>
      <c r="I3" s="196">
        <v>0</v>
      </c>
      <c r="J3" s="196">
        <v>1017.29</v>
      </c>
      <c r="K3" s="196" t="s">
        <v>388</v>
      </c>
      <c r="L3" s="196">
        <v>60.51</v>
      </c>
      <c r="M3" s="196">
        <v>1508742000</v>
      </c>
      <c r="N3" s="196">
        <v>0</v>
      </c>
      <c r="O3" s="196">
        <v>4.9000000000000004</v>
      </c>
      <c r="P3" s="196">
        <v>282</v>
      </c>
      <c r="Q3" s="196">
        <v>11.42</v>
      </c>
      <c r="R3" s="196">
        <v>3.35</v>
      </c>
      <c r="S3"/>
      <c r="T3"/>
    </row>
    <row r="4" spans="1:20" x14ac:dyDescent="0.3">
      <c r="A4" s="196">
        <v>60.41</v>
      </c>
      <c r="B4" s="196">
        <v>0.03</v>
      </c>
      <c r="C4" s="196">
        <v>27.79</v>
      </c>
      <c r="D4" s="8">
        <v>43031.083333333336</v>
      </c>
      <c r="E4" s="196">
        <v>0.28999999999999998</v>
      </c>
      <c r="F4" s="196" t="s">
        <v>387</v>
      </c>
      <c r="G4" s="196">
        <v>272.64</v>
      </c>
      <c r="H4" s="196">
        <v>0</v>
      </c>
      <c r="I4" s="196">
        <v>0</v>
      </c>
      <c r="J4" s="196">
        <v>1017</v>
      </c>
      <c r="K4" s="196" t="s">
        <v>388</v>
      </c>
      <c r="L4" s="196">
        <v>60.41</v>
      </c>
      <c r="M4" s="196">
        <v>1508745600</v>
      </c>
      <c r="N4" s="196">
        <v>0</v>
      </c>
      <c r="O4" s="196">
        <v>3.31</v>
      </c>
      <c r="P4" s="196">
        <v>302</v>
      </c>
      <c r="Q4" s="196">
        <v>15.62</v>
      </c>
      <c r="R4" s="196">
        <v>4.57</v>
      </c>
      <c r="S4"/>
      <c r="T4"/>
    </row>
    <row r="5" spans="1:20" x14ac:dyDescent="0.3">
      <c r="A5" s="196">
        <v>60.47</v>
      </c>
      <c r="B5" s="196">
        <v>0.05</v>
      </c>
      <c r="C5" s="196">
        <v>27.94</v>
      </c>
      <c r="D5" s="8">
        <v>43031.125</v>
      </c>
      <c r="E5" s="196">
        <v>0.28999999999999998</v>
      </c>
      <c r="F5" s="196" t="s">
        <v>387</v>
      </c>
      <c r="G5" s="196">
        <v>272.27999999999997</v>
      </c>
      <c r="H5" s="196">
        <v>0</v>
      </c>
      <c r="I5" s="196">
        <v>0</v>
      </c>
      <c r="J5" s="196">
        <v>1018.74</v>
      </c>
      <c r="K5" s="196" t="s">
        <v>388</v>
      </c>
      <c r="L5" s="196">
        <v>60.47</v>
      </c>
      <c r="M5" s="196">
        <v>1508749200</v>
      </c>
      <c r="N5" s="196">
        <v>0</v>
      </c>
      <c r="O5" s="196">
        <v>3.29</v>
      </c>
      <c r="P5" s="196">
        <v>303</v>
      </c>
      <c r="Q5" s="196">
        <v>10.7</v>
      </c>
      <c r="R5" s="196">
        <v>3.73</v>
      </c>
      <c r="S5"/>
      <c r="T5"/>
    </row>
    <row r="6" spans="1:20" x14ac:dyDescent="0.3">
      <c r="A6" s="196">
        <v>60.31</v>
      </c>
      <c r="B6" s="196">
        <v>0.06</v>
      </c>
      <c r="C6" s="196">
        <v>28.66</v>
      </c>
      <c r="D6" s="8">
        <v>43031.166666666664</v>
      </c>
      <c r="E6" s="196">
        <v>0.3</v>
      </c>
      <c r="F6" s="196" t="s">
        <v>387</v>
      </c>
      <c r="G6" s="196">
        <v>271.3</v>
      </c>
      <c r="H6" s="196">
        <v>0</v>
      </c>
      <c r="I6" s="196">
        <v>0</v>
      </c>
      <c r="J6" s="196">
        <v>1019.33</v>
      </c>
      <c r="K6" s="196" t="s">
        <v>388</v>
      </c>
      <c r="L6" s="196">
        <v>60.31</v>
      </c>
      <c r="M6" s="196">
        <v>1508752800</v>
      </c>
      <c r="N6" s="196">
        <v>0</v>
      </c>
      <c r="O6" s="196">
        <v>3.27</v>
      </c>
      <c r="P6" s="196">
        <v>318</v>
      </c>
      <c r="Q6" s="196">
        <v>13.99</v>
      </c>
      <c r="R6" s="196">
        <v>4.46</v>
      </c>
      <c r="S6"/>
      <c r="T6"/>
    </row>
    <row r="7" spans="1:20" x14ac:dyDescent="0.3">
      <c r="A7" s="196">
        <v>60.26</v>
      </c>
      <c r="B7" s="196">
        <v>0.32</v>
      </c>
      <c r="C7" s="196">
        <v>29.54</v>
      </c>
      <c r="D7" s="8">
        <v>43031.208333333336</v>
      </c>
      <c r="E7" s="196">
        <v>0.31</v>
      </c>
      <c r="F7" s="196" t="s">
        <v>895</v>
      </c>
      <c r="G7" s="196">
        <v>269.95</v>
      </c>
      <c r="H7" s="196">
        <v>0</v>
      </c>
      <c r="I7" s="196">
        <v>0</v>
      </c>
      <c r="J7" s="196">
        <v>1018.59</v>
      </c>
      <c r="K7" s="196" t="s">
        <v>896</v>
      </c>
      <c r="L7" s="196">
        <v>60.26</v>
      </c>
      <c r="M7" s="196">
        <v>1508756400</v>
      </c>
      <c r="N7" s="196">
        <v>0</v>
      </c>
      <c r="O7" s="196">
        <v>3.24</v>
      </c>
      <c r="P7" s="196">
        <v>313</v>
      </c>
      <c r="Q7" s="196">
        <v>11.86</v>
      </c>
      <c r="R7" s="196">
        <v>4</v>
      </c>
      <c r="S7"/>
      <c r="T7"/>
    </row>
    <row r="8" spans="1:20" x14ac:dyDescent="0.3">
      <c r="A8" s="196">
        <v>60.02</v>
      </c>
      <c r="B8" s="196">
        <v>0.2</v>
      </c>
      <c r="C8" s="196">
        <v>29.45</v>
      </c>
      <c r="D8" s="8">
        <v>43031.25</v>
      </c>
      <c r="E8" s="196">
        <v>0.31</v>
      </c>
      <c r="F8" s="196" t="s">
        <v>387</v>
      </c>
      <c r="G8" s="196">
        <v>268.35000000000002</v>
      </c>
      <c r="H8" s="196">
        <v>0</v>
      </c>
      <c r="I8" s="196">
        <v>0</v>
      </c>
      <c r="J8" s="196">
        <v>1020.66</v>
      </c>
      <c r="K8" s="196" t="s">
        <v>388</v>
      </c>
      <c r="L8" s="196">
        <v>60.02</v>
      </c>
      <c r="M8" s="196">
        <v>1508760000</v>
      </c>
      <c r="N8" s="196">
        <v>0</v>
      </c>
      <c r="O8" s="196">
        <v>3.87</v>
      </c>
      <c r="P8" s="196">
        <v>331</v>
      </c>
      <c r="Q8" s="196">
        <v>12.6</v>
      </c>
      <c r="R8" s="196">
        <v>3.69</v>
      </c>
      <c r="S8"/>
      <c r="T8"/>
    </row>
    <row r="9" spans="1:20" x14ac:dyDescent="0.3">
      <c r="A9" s="196">
        <v>56.77</v>
      </c>
      <c r="B9" s="196">
        <v>0.37</v>
      </c>
      <c r="C9" s="196">
        <v>30.5</v>
      </c>
      <c r="D9" s="8">
        <v>43031.291666666664</v>
      </c>
      <c r="E9" s="196">
        <v>0.37</v>
      </c>
      <c r="F9" s="196" t="s">
        <v>895</v>
      </c>
      <c r="G9" s="196">
        <v>268.35000000000002</v>
      </c>
      <c r="H9" s="196">
        <v>0</v>
      </c>
      <c r="I9" s="196">
        <v>0</v>
      </c>
      <c r="J9" s="196">
        <v>1022.9</v>
      </c>
      <c r="K9" s="196" t="s">
        <v>896</v>
      </c>
      <c r="L9" s="196">
        <v>56.77</v>
      </c>
      <c r="M9" s="196">
        <v>1508763600</v>
      </c>
      <c r="N9" s="196">
        <v>0</v>
      </c>
      <c r="O9" s="196">
        <v>4.4400000000000004</v>
      </c>
      <c r="P9" s="196">
        <v>20</v>
      </c>
      <c r="Q9" s="196">
        <v>17.16</v>
      </c>
      <c r="R9" s="196">
        <v>4.9800000000000004</v>
      </c>
      <c r="S9"/>
      <c r="T9"/>
    </row>
    <row r="10" spans="1:20" x14ac:dyDescent="0.3">
      <c r="A10" s="196">
        <v>38.58</v>
      </c>
      <c r="B10" s="196">
        <v>0.32</v>
      </c>
      <c r="C10" s="196">
        <v>32.6</v>
      </c>
      <c r="D10" s="8">
        <v>43031.333333333336</v>
      </c>
      <c r="E10" s="196">
        <v>0.68</v>
      </c>
      <c r="F10" s="196" t="s">
        <v>897</v>
      </c>
      <c r="G10" s="196">
        <v>268.85000000000002</v>
      </c>
      <c r="H10" s="196">
        <v>0</v>
      </c>
      <c r="I10" s="196">
        <v>0</v>
      </c>
      <c r="J10" s="196">
        <v>1026.19</v>
      </c>
      <c r="K10" s="196" t="s">
        <v>896</v>
      </c>
      <c r="L10" s="196">
        <v>42.36</v>
      </c>
      <c r="M10" s="196">
        <v>1508767200</v>
      </c>
      <c r="N10" s="196">
        <v>0</v>
      </c>
      <c r="O10" s="196">
        <v>4.6900000000000004</v>
      </c>
      <c r="P10" s="196">
        <v>53</v>
      </c>
      <c r="Q10" s="196">
        <v>14.59</v>
      </c>
      <c r="R10" s="196">
        <v>5.98</v>
      </c>
      <c r="S10"/>
      <c r="T10"/>
    </row>
    <row r="11" spans="1:20" x14ac:dyDescent="0.3">
      <c r="A11" s="196">
        <v>38.9</v>
      </c>
      <c r="B11" s="196">
        <v>0.74</v>
      </c>
      <c r="C11" s="196">
        <v>32.22</v>
      </c>
      <c r="D11" s="8">
        <v>43031.375</v>
      </c>
      <c r="E11" s="196">
        <v>0.69</v>
      </c>
      <c r="F11" s="196" t="s">
        <v>897</v>
      </c>
      <c r="G11" s="196">
        <v>268.98</v>
      </c>
      <c r="H11" s="196">
        <v>0</v>
      </c>
      <c r="I11" s="196">
        <v>0</v>
      </c>
      <c r="J11" s="196">
        <v>1028.72</v>
      </c>
      <c r="K11" s="196" t="s">
        <v>898</v>
      </c>
      <c r="L11" s="196">
        <v>41.6</v>
      </c>
      <c r="M11" s="196">
        <v>1508770800</v>
      </c>
      <c r="N11" s="196">
        <v>1</v>
      </c>
      <c r="O11" s="196">
        <v>4.79</v>
      </c>
      <c r="P11" s="196">
        <v>61</v>
      </c>
      <c r="Q11" s="196">
        <v>9.9700000000000006</v>
      </c>
      <c r="R11" s="196">
        <v>4.3099999999999996</v>
      </c>
      <c r="S11"/>
      <c r="T11"/>
    </row>
    <row r="12" spans="1:20" x14ac:dyDescent="0.3">
      <c r="A12" s="196">
        <v>39.450000000000003</v>
      </c>
      <c r="B12" s="196">
        <v>0.86</v>
      </c>
      <c r="C12" s="196">
        <v>31.62</v>
      </c>
      <c r="D12" s="8">
        <v>43031.416666666664</v>
      </c>
      <c r="E12" s="196">
        <v>0.67</v>
      </c>
      <c r="F12" s="196" t="s">
        <v>897</v>
      </c>
      <c r="G12" s="196">
        <v>268.36</v>
      </c>
      <c r="H12" s="196">
        <v>0</v>
      </c>
      <c r="I12" s="196">
        <v>0</v>
      </c>
      <c r="J12" s="196">
        <v>1029.3900000000001</v>
      </c>
      <c r="K12" s="196" t="s">
        <v>898</v>
      </c>
      <c r="L12" s="196">
        <v>41.61</v>
      </c>
      <c r="M12" s="196">
        <v>1508774400</v>
      </c>
      <c r="N12" s="196">
        <v>1</v>
      </c>
      <c r="O12" s="196">
        <v>4.16</v>
      </c>
      <c r="P12" s="196">
        <v>85</v>
      </c>
      <c r="Q12" s="196">
        <v>9.3699999999999992</v>
      </c>
      <c r="R12" s="196">
        <v>3.71</v>
      </c>
      <c r="S12"/>
      <c r="T12"/>
    </row>
    <row r="13" spans="1:20" x14ac:dyDescent="0.3">
      <c r="A13" s="196">
        <v>40.72</v>
      </c>
      <c r="B13" s="196">
        <v>0.81</v>
      </c>
      <c r="C13" s="196">
        <v>31.04</v>
      </c>
      <c r="D13" s="8">
        <v>43031.458333333336</v>
      </c>
      <c r="E13" s="196">
        <v>0.64</v>
      </c>
      <c r="F13" s="196" t="s">
        <v>897</v>
      </c>
      <c r="G13" s="196">
        <v>267.37</v>
      </c>
      <c r="H13" s="196">
        <v>0</v>
      </c>
      <c r="I13" s="196">
        <v>0</v>
      </c>
      <c r="J13" s="196">
        <v>1028.0899999999999</v>
      </c>
      <c r="K13" s="196" t="s">
        <v>898</v>
      </c>
      <c r="L13" s="196">
        <v>42.44</v>
      </c>
      <c r="M13" s="196">
        <v>1508778000</v>
      </c>
      <c r="N13" s="196">
        <v>2</v>
      </c>
      <c r="O13" s="196">
        <v>4.16</v>
      </c>
      <c r="P13" s="196">
        <v>77</v>
      </c>
      <c r="Q13" s="196">
        <v>9.61</v>
      </c>
      <c r="R13" s="196">
        <v>3.38</v>
      </c>
      <c r="S13"/>
      <c r="T13"/>
    </row>
    <row r="14" spans="1:20" x14ac:dyDescent="0.3">
      <c r="A14" s="196">
        <v>42.57</v>
      </c>
      <c r="B14" s="196">
        <v>0.67</v>
      </c>
      <c r="C14" s="196">
        <v>31.01</v>
      </c>
      <c r="D14" s="8">
        <v>43031.5</v>
      </c>
      <c r="E14" s="196">
        <v>0.6</v>
      </c>
      <c r="F14" s="196" t="s">
        <v>897</v>
      </c>
      <c r="G14" s="196">
        <v>268.24</v>
      </c>
      <c r="H14" s="196">
        <v>0</v>
      </c>
      <c r="I14" s="196">
        <v>0</v>
      </c>
      <c r="J14" s="196">
        <v>1026.23</v>
      </c>
      <c r="K14" s="196" t="s">
        <v>898</v>
      </c>
      <c r="L14" s="196">
        <v>44.02</v>
      </c>
      <c r="M14" s="196">
        <v>1508781600</v>
      </c>
      <c r="N14" s="196">
        <v>3</v>
      </c>
      <c r="O14" s="196">
        <v>4.04</v>
      </c>
      <c r="P14" s="196">
        <v>74</v>
      </c>
      <c r="Q14" s="196">
        <v>9.4</v>
      </c>
      <c r="R14" s="196">
        <v>3.34</v>
      </c>
      <c r="S14"/>
      <c r="T14"/>
    </row>
    <row r="15" spans="1:20" x14ac:dyDescent="0.3">
      <c r="A15" s="196">
        <v>47.25</v>
      </c>
      <c r="B15" s="196">
        <v>0.61</v>
      </c>
      <c r="C15" s="196">
        <v>30.93</v>
      </c>
      <c r="D15" s="8">
        <v>43031.541666666664</v>
      </c>
      <c r="E15" s="196">
        <v>0.53</v>
      </c>
      <c r="F15" s="196" t="s">
        <v>897</v>
      </c>
      <c r="G15" s="196">
        <v>267.37</v>
      </c>
      <c r="H15" s="196">
        <v>0</v>
      </c>
      <c r="I15" s="196">
        <v>0</v>
      </c>
      <c r="J15" s="196">
        <v>1026.46</v>
      </c>
      <c r="K15" s="196" t="s">
        <v>898</v>
      </c>
      <c r="L15" s="196">
        <v>47.25</v>
      </c>
      <c r="M15" s="196">
        <v>1508785200</v>
      </c>
      <c r="N15" s="196">
        <v>3</v>
      </c>
      <c r="O15" s="196">
        <v>4.16</v>
      </c>
      <c r="P15" s="196">
        <v>85</v>
      </c>
      <c r="Q15" s="196">
        <v>8.92</v>
      </c>
      <c r="R15" s="196">
        <v>2.29</v>
      </c>
      <c r="S15"/>
      <c r="T15"/>
    </row>
    <row r="16" spans="1:20" x14ac:dyDescent="0.3">
      <c r="A16" s="196">
        <v>50.02</v>
      </c>
      <c r="B16" s="196">
        <v>0.42</v>
      </c>
      <c r="C16" s="196">
        <v>30.78</v>
      </c>
      <c r="D16" s="8">
        <v>43031.583333333336</v>
      </c>
      <c r="E16" s="196">
        <v>0.47</v>
      </c>
      <c r="F16" s="196" t="s">
        <v>897</v>
      </c>
      <c r="G16" s="196">
        <v>266.38</v>
      </c>
      <c r="H16" s="196">
        <v>0</v>
      </c>
      <c r="I16" s="196">
        <v>0</v>
      </c>
      <c r="J16" s="196">
        <v>1025.8599999999999</v>
      </c>
      <c r="K16" s="196" t="s">
        <v>896</v>
      </c>
      <c r="L16" s="196">
        <v>50.02</v>
      </c>
      <c r="M16" s="196">
        <v>1508788800</v>
      </c>
      <c r="N16" s="196">
        <v>3</v>
      </c>
      <c r="O16" s="196">
        <v>4.05</v>
      </c>
      <c r="P16" s="196">
        <v>92</v>
      </c>
      <c r="Q16" s="196">
        <v>8.5299999999999994</v>
      </c>
      <c r="R16" s="196">
        <v>1.44</v>
      </c>
      <c r="S16"/>
      <c r="T16"/>
    </row>
    <row r="17" spans="1:20" x14ac:dyDescent="0.3">
      <c r="A17" s="196">
        <v>51.82</v>
      </c>
      <c r="B17" s="196">
        <v>0.11</v>
      </c>
      <c r="C17" s="196">
        <v>29.79</v>
      </c>
      <c r="D17" s="8">
        <v>43031.625</v>
      </c>
      <c r="E17" s="196">
        <v>0.43</v>
      </c>
      <c r="F17" s="196" t="s">
        <v>402</v>
      </c>
      <c r="G17" s="196">
        <v>265.38</v>
      </c>
      <c r="H17" s="196">
        <v>0</v>
      </c>
      <c r="I17" s="196">
        <v>0</v>
      </c>
      <c r="J17" s="196">
        <v>1026.1600000000001</v>
      </c>
      <c r="K17" s="196" t="s">
        <v>388</v>
      </c>
      <c r="L17" s="196">
        <v>51.82</v>
      </c>
      <c r="M17" s="196">
        <v>1508792400</v>
      </c>
      <c r="N17" s="196">
        <v>2</v>
      </c>
      <c r="O17" s="196">
        <v>4.05</v>
      </c>
      <c r="P17" s="196">
        <v>57</v>
      </c>
      <c r="Q17" s="196">
        <v>6.97</v>
      </c>
      <c r="R17" s="196">
        <v>1.32</v>
      </c>
      <c r="S17"/>
      <c r="T17"/>
    </row>
    <row r="18" spans="1:20" x14ac:dyDescent="0.3">
      <c r="A18" s="196">
        <v>53.26</v>
      </c>
      <c r="B18" s="196">
        <v>7.0000000000000007E-2</v>
      </c>
      <c r="C18" s="196">
        <v>29.01</v>
      </c>
      <c r="D18" s="8">
        <v>43031.666666666664</v>
      </c>
      <c r="E18" s="196">
        <v>0.39</v>
      </c>
      <c r="F18" s="196" t="s">
        <v>402</v>
      </c>
      <c r="G18" s="196">
        <v>264.63</v>
      </c>
      <c r="H18" s="196">
        <v>0</v>
      </c>
      <c r="I18" s="196">
        <v>0</v>
      </c>
      <c r="J18" s="196">
        <v>1026.72</v>
      </c>
      <c r="K18" s="196" t="s">
        <v>388</v>
      </c>
      <c r="L18" s="196">
        <v>53.26</v>
      </c>
      <c r="M18" s="196">
        <v>1508796000</v>
      </c>
      <c r="N18" s="196">
        <v>1</v>
      </c>
      <c r="O18" s="196">
        <v>4.05</v>
      </c>
      <c r="P18" s="196">
        <v>55</v>
      </c>
      <c r="Q18" s="196">
        <v>5.73</v>
      </c>
      <c r="R18" s="196">
        <v>0.63</v>
      </c>
      <c r="S18"/>
      <c r="T18"/>
    </row>
    <row r="19" spans="1:20" x14ac:dyDescent="0.3">
      <c r="A19" s="196">
        <v>52.94</v>
      </c>
      <c r="B19" s="196">
        <v>7.0000000000000007E-2</v>
      </c>
      <c r="C19" s="196">
        <v>28.58</v>
      </c>
      <c r="D19" s="8">
        <v>43031.708333333336</v>
      </c>
      <c r="E19" s="196">
        <v>0.39</v>
      </c>
      <c r="F19" s="196" t="s">
        <v>402</v>
      </c>
      <c r="G19" s="196">
        <v>264</v>
      </c>
      <c r="H19" s="196">
        <v>0</v>
      </c>
      <c r="I19" s="196">
        <v>0</v>
      </c>
      <c r="J19" s="196">
        <v>1026.6400000000001</v>
      </c>
      <c r="K19" s="196" t="s">
        <v>388</v>
      </c>
      <c r="L19" s="196">
        <v>52.94</v>
      </c>
      <c r="M19" s="196">
        <v>1508799600</v>
      </c>
      <c r="N19" s="196">
        <v>1</v>
      </c>
      <c r="O19" s="196">
        <v>3.99</v>
      </c>
      <c r="P19" s="196">
        <v>206</v>
      </c>
      <c r="Q19" s="196">
        <v>4.76</v>
      </c>
      <c r="R19" s="196">
        <v>0.76</v>
      </c>
      <c r="S19"/>
      <c r="T19"/>
    </row>
    <row r="20" spans="1:20" x14ac:dyDescent="0.3">
      <c r="A20" s="196">
        <v>50.68</v>
      </c>
      <c r="B20" s="196">
        <v>7.0000000000000007E-2</v>
      </c>
      <c r="C20" s="196">
        <v>28.7</v>
      </c>
      <c r="D20" s="8">
        <v>43031.75</v>
      </c>
      <c r="E20" s="196">
        <v>0.42</v>
      </c>
      <c r="F20" s="196" t="s">
        <v>402</v>
      </c>
      <c r="G20" s="196">
        <v>261.08</v>
      </c>
      <c r="H20" s="196">
        <v>0</v>
      </c>
      <c r="I20" s="196">
        <v>0</v>
      </c>
      <c r="J20" s="196">
        <v>1027.74</v>
      </c>
      <c r="K20" s="196" t="s">
        <v>388</v>
      </c>
      <c r="L20" s="196">
        <v>50.68</v>
      </c>
      <c r="M20" s="196">
        <v>1508803200</v>
      </c>
      <c r="N20" s="196">
        <v>0</v>
      </c>
      <c r="O20" s="196">
        <v>4.05</v>
      </c>
      <c r="P20" s="196">
        <v>204</v>
      </c>
      <c r="Q20" s="196">
        <v>3.27</v>
      </c>
      <c r="R20" s="196">
        <v>0.92</v>
      </c>
      <c r="S20"/>
      <c r="T20"/>
    </row>
    <row r="21" spans="1:20" x14ac:dyDescent="0.3">
      <c r="A21" s="196">
        <v>46.87</v>
      </c>
      <c r="B21" s="196">
        <v>0.05</v>
      </c>
      <c r="C21" s="196">
        <v>29.12</v>
      </c>
      <c r="D21" s="8">
        <v>43031.791666666664</v>
      </c>
      <c r="E21" s="196">
        <v>0.5</v>
      </c>
      <c r="F21" s="196" t="s">
        <v>387</v>
      </c>
      <c r="G21" s="196">
        <v>260.18</v>
      </c>
      <c r="H21" s="196">
        <v>0</v>
      </c>
      <c r="I21" s="196">
        <v>0</v>
      </c>
      <c r="J21" s="196">
        <v>1029.19</v>
      </c>
      <c r="K21" s="196" t="s">
        <v>388</v>
      </c>
      <c r="L21" s="196">
        <v>46.87</v>
      </c>
      <c r="M21" s="196">
        <v>1508806800</v>
      </c>
      <c r="N21" s="196">
        <v>0</v>
      </c>
      <c r="O21" s="196">
        <v>3.35</v>
      </c>
      <c r="P21" s="196">
        <v>214</v>
      </c>
      <c r="Q21" s="196">
        <v>2.48</v>
      </c>
      <c r="R21" s="196">
        <v>0.66</v>
      </c>
      <c r="S21"/>
      <c r="T21"/>
    </row>
    <row r="22" spans="1:20" x14ac:dyDescent="0.3">
      <c r="A22" s="196">
        <v>43.43</v>
      </c>
      <c r="B22" s="196">
        <v>7.0000000000000007E-2</v>
      </c>
      <c r="C22" s="196">
        <v>29.08</v>
      </c>
      <c r="D22" s="8">
        <v>43031.833333333336</v>
      </c>
      <c r="E22" s="196">
        <v>0.56999999999999995</v>
      </c>
      <c r="F22" s="196" t="s">
        <v>387</v>
      </c>
      <c r="G22" s="196">
        <v>259.79000000000002</v>
      </c>
      <c r="H22" s="196">
        <v>0</v>
      </c>
      <c r="I22" s="196">
        <v>0</v>
      </c>
      <c r="J22" s="196">
        <v>1031.57</v>
      </c>
      <c r="K22" s="196" t="s">
        <v>388</v>
      </c>
      <c r="L22" s="196">
        <v>43.43</v>
      </c>
      <c r="M22" s="196">
        <v>1508810400</v>
      </c>
      <c r="N22" s="196">
        <v>0</v>
      </c>
      <c r="O22" s="196">
        <v>3.74</v>
      </c>
      <c r="P22" s="196">
        <v>155</v>
      </c>
      <c r="Q22" s="196">
        <v>1.61</v>
      </c>
      <c r="R22" s="196">
        <v>0.5</v>
      </c>
      <c r="S22"/>
      <c r="T22"/>
    </row>
    <row r="23" spans="1:20" x14ac:dyDescent="0.3">
      <c r="A23" s="196">
        <v>41.12</v>
      </c>
      <c r="B23" s="196">
        <v>0.08</v>
      </c>
      <c r="C23" s="196">
        <v>28.94</v>
      </c>
      <c r="D23" s="8">
        <v>43031.875</v>
      </c>
      <c r="E23" s="196">
        <v>0.62</v>
      </c>
      <c r="F23" s="196" t="s">
        <v>387</v>
      </c>
      <c r="G23" s="196">
        <v>259.67</v>
      </c>
      <c r="H23" s="196">
        <v>0</v>
      </c>
      <c r="I23" s="196">
        <v>0</v>
      </c>
      <c r="J23" s="196">
        <v>1033.18</v>
      </c>
      <c r="K23" s="196" t="s">
        <v>388</v>
      </c>
      <c r="L23" s="196">
        <v>41.12</v>
      </c>
      <c r="M23" s="196">
        <v>1508814000</v>
      </c>
      <c r="N23" s="196">
        <v>0</v>
      </c>
      <c r="O23" s="196">
        <v>3.36</v>
      </c>
      <c r="P23" s="196">
        <v>168</v>
      </c>
      <c r="Q23" s="196">
        <v>1.57</v>
      </c>
      <c r="R23" s="196">
        <v>0.52</v>
      </c>
      <c r="S23"/>
      <c r="T23"/>
    </row>
    <row r="24" spans="1:20" x14ac:dyDescent="0.3">
      <c r="A24" s="196">
        <v>39.729999999999997</v>
      </c>
      <c r="B24" s="196">
        <v>0.02</v>
      </c>
      <c r="C24" s="196">
        <v>29.05</v>
      </c>
      <c r="D24" s="8">
        <v>43031.916666666664</v>
      </c>
      <c r="E24" s="196">
        <v>0.65</v>
      </c>
      <c r="F24" s="196" t="s">
        <v>387</v>
      </c>
      <c r="G24" s="196">
        <v>260.18</v>
      </c>
      <c r="H24" s="196">
        <v>0</v>
      </c>
      <c r="I24" s="196">
        <v>0</v>
      </c>
      <c r="J24" s="196">
        <v>1033.97</v>
      </c>
      <c r="K24" s="196" t="s">
        <v>388</v>
      </c>
      <c r="L24" s="196">
        <v>39.729999999999997</v>
      </c>
      <c r="M24" s="196">
        <v>1508817600</v>
      </c>
      <c r="N24" s="196">
        <v>0</v>
      </c>
      <c r="O24" s="196">
        <v>2.98</v>
      </c>
      <c r="P24" s="196">
        <v>174</v>
      </c>
      <c r="Q24" s="196">
        <v>1.98</v>
      </c>
      <c r="R24" s="196">
        <v>0.74</v>
      </c>
      <c r="S24"/>
      <c r="T24"/>
    </row>
    <row r="25" spans="1:20" x14ac:dyDescent="0.3">
      <c r="A25" s="196">
        <v>38.67</v>
      </c>
      <c r="B25" s="196">
        <v>0</v>
      </c>
      <c r="C25" s="196">
        <v>28.56</v>
      </c>
      <c r="D25" s="8">
        <v>43031.958333333336</v>
      </c>
      <c r="E25" s="196">
        <v>0.67</v>
      </c>
      <c r="F25" s="196" t="s">
        <v>387</v>
      </c>
      <c r="G25" s="196">
        <v>260.95</v>
      </c>
      <c r="H25" s="196">
        <v>0</v>
      </c>
      <c r="I25" s="196">
        <v>0</v>
      </c>
      <c r="J25" s="196">
        <v>1033.98</v>
      </c>
      <c r="K25" s="196" t="s">
        <v>388</v>
      </c>
      <c r="L25" s="196">
        <v>38.67</v>
      </c>
      <c r="M25" s="196">
        <v>1508821200</v>
      </c>
      <c r="N25" s="196">
        <v>0</v>
      </c>
      <c r="O25" s="196">
        <v>3.2</v>
      </c>
      <c r="P25" s="196">
        <v>166</v>
      </c>
      <c r="Q25" s="196">
        <v>2.57</v>
      </c>
      <c r="R25" s="196">
        <v>0.72</v>
      </c>
      <c r="S25"/>
      <c r="T25"/>
    </row>
    <row r="26" spans="1:20" x14ac:dyDescent="0.3">
      <c r="A26" s="196">
        <v>37.549999999999997</v>
      </c>
      <c r="B26" s="196">
        <v>0</v>
      </c>
      <c r="C26" s="196">
        <v>28.08</v>
      </c>
      <c r="D26" s="8">
        <v>43032</v>
      </c>
      <c r="E26" s="196">
        <v>0.68</v>
      </c>
      <c r="F26" s="196" t="s">
        <v>387</v>
      </c>
      <c r="G26" s="196">
        <v>261.97000000000003</v>
      </c>
      <c r="H26" s="196">
        <v>0</v>
      </c>
      <c r="I26" s="196">
        <v>0</v>
      </c>
      <c r="J26" s="196">
        <v>1033.78</v>
      </c>
      <c r="K26" s="196" t="s">
        <v>388</v>
      </c>
      <c r="L26" s="196">
        <v>37.549999999999997</v>
      </c>
      <c r="M26" s="196">
        <v>1508824800</v>
      </c>
      <c r="N26" s="196">
        <v>0</v>
      </c>
      <c r="O26" s="196">
        <v>3.13</v>
      </c>
      <c r="P26" s="196">
        <v>163</v>
      </c>
      <c r="Q26" s="196">
        <v>2.52</v>
      </c>
      <c r="R26" s="196">
        <v>0.59</v>
      </c>
      <c r="S26"/>
      <c r="T26"/>
    </row>
    <row r="27" spans="1:20" x14ac:dyDescent="0.3">
      <c r="A27" s="196">
        <v>36.51</v>
      </c>
      <c r="B27" s="196">
        <v>0.11</v>
      </c>
      <c r="C27" s="196">
        <v>27.08</v>
      </c>
      <c r="D27" s="8">
        <v>43032.041666666664</v>
      </c>
      <c r="E27" s="196">
        <v>0.68</v>
      </c>
      <c r="F27" s="196" t="s">
        <v>387</v>
      </c>
      <c r="G27" s="196">
        <v>263.5</v>
      </c>
      <c r="H27" s="196">
        <v>0</v>
      </c>
      <c r="I27" s="196">
        <v>0</v>
      </c>
      <c r="J27" s="196">
        <v>1034.27</v>
      </c>
      <c r="K27" s="196" t="s">
        <v>388</v>
      </c>
      <c r="L27" s="196">
        <v>36.51</v>
      </c>
      <c r="M27" s="196">
        <v>1508828400</v>
      </c>
      <c r="N27" s="196">
        <v>0</v>
      </c>
      <c r="O27" s="196">
        <v>3.52</v>
      </c>
      <c r="P27" s="196">
        <v>108</v>
      </c>
      <c r="Q27" s="196">
        <v>2.54</v>
      </c>
      <c r="R27" s="196">
        <v>0.51</v>
      </c>
      <c r="S27"/>
      <c r="T27"/>
    </row>
    <row r="28" spans="1:20" x14ac:dyDescent="0.3">
      <c r="A28" s="196">
        <v>35.46</v>
      </c>
      <c r="B28" s="196">
        <v>0.05</v>
      </c>
      <c r="C28" s="196">
        <v>26.06</v>
      </c>
      <c r="D28" s="8">
        <v>43032.083333333336</v>
      </c>
      <c r="E28" s="196">
        <v>0.68</v>
      </c>
      <c r="F28" s="196" t="s">
        <v>387</v>
      </c>
      <c r="G28" s="196">
        <v>265.38</v>
      </c>
      <c r="H28" s="196">
        <v>0</v>
      </c>
      <c r="I28" s="196">
        <v>0</v>
      </c>
      <c r="J28" s="196">
        <v>1034.23</v>
      </c>
      <c r="K28" s="196" t="s">
        <v>388</v>
      </c>
      <c r="L28" s="196">
        <v>35.46</v>
      </c>
      <c r="M28" s="196">
        <v>1508832000</v>
      </c>
      <c r="N28" s="196">
        <v>0</v>
      </c>
      <c r="O28" s="196">
        <v>3.52</v>
      </c>
      <c r="P28" s="196">
        <v>156</v>
      </c>
      <c r="Q28" s="196">
        <v>2.86</v>
      </c>
      <c r="R28" s="196">
        <v>0.89</v>
      </c>
      <c r="S28"/>
      <c r="T28"/>
    </row>
    <row r="29" spans="1:20" x14ac:dyDescent="0.3">
      <c r="A29" s="196">
        <v>34.380000000000003</v>
      </c>
      <c r="B29" s="196">
        <v>0.02</v>
      </c>
      <c r="C29" s="196">
        <v>25.56</v>
      </c>
      <c r="D29" s="8">
        <v>43032.125</v>
      </c>
      <c r="E29" s="196">
        <v>0.7</v>
      </c>
      <c r="F29" s="196" t="s">
        <v>387</v>
      </c>
      <c r="G29" s="196">
        <v>266.76</v>
      </c>
      <c r="H29" s="196">
        <v>0</v>
      </c>
      <c r="I29" s="196">
        <v>0</v>
      </c>
      <c r="J29" s="196">
        <v>1034.18</v>
      </c>
      <c r="K29" s="196" t="s">
        <v>388</v>
      </c>
      <c r="L29" s="196">
        <v>34.380000000000003</v>
      </c>
      <c r="M29" s="196">
        <v>1508835600</v>
      </c>
      <c r="N29" s="196">
        <v>0</v>
      </c>
      <c r="O29" s="196">
        <v>3.52</v>
      </c>
      <c r="P29" s="196">
        <v>184</v>
      </c>
      <c r="Q29" s="196">
        <v>2.83</v>
      </c>
      <c r="R29" s="196">
        <v>0.99</v>
      </c>
      <c r="S29"/>
      <c r="T29"/>
    </row>
    <row r="30" spans="1:20" x14ac:dyDescent="0.3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20" x14ac:dyDescent="0.3">
      <c r="A31" s="141" t="s">
        <v>181</v>
      </c>
    </row>
    <row r="33" spans="1:1" x14ac:dyDescent="0.3">
      <c r="A33" s="141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5"/>
  <sheetViews>
    <sheetView topLeftCell="A10" workbookViewId="0">
      <selection activeCell="C18" sqref="C18:C35"/>
    </sheetView>
  </sheetViews>
  <sheetFormatPr defaultRowHeight="14.4" x14ac:dyDescent="0.3"/>
  <cols>
    <col min="1" max="1" width="32.109375" customWidth="1"/>
    <col min="3" max="3" width="24" customWidth="1"/>
    <col min="4" max="4" width="19.109375" style="56" customWidth="1"/>
    <col min="10" max="10" width="24.33203125" style="140" bestFit="1" customWidth="1"/>
    <col min="11" max="11" width="15.33203125" style="140" hidden="1" customWidth="1"/>
    <col min="12" max="12" width="13.5546875" style="140" hidden="1" customWidth="1"/>
    <col min="13" max="13" width="9" style="154" bestFit="1" customWidth="1"/>
    <col min="14" max="17" width="9.109375" style="140"/>
    <col min="20" max="24" width="9.109375" style="154"/>
    <col min="29" max="29" width="12.44140625" customWidth="1"/>
    <col min="30" max="30" width="9.109375" style="168"/>
    <col min="31" max="32" width="9.109375" style="56"/>
  </cols>
  <sheetData>
    <row r="1" spans="1:32" ht="43.8" x14ac:dyDescent="0.35">
      <c r="A1" s="11" t="s">
        <v>25</v>
      </c>
      <c r="C1" s="119" t="s">
        <v>96</v>
      </c>
      <c r="D1" s="120" t="s">
        <v>97</v>
      </c>
      <c r="J1" s="146" t="s">
        <v>98</v>
      </c>
      <c r="K1" s="146" t="s">
        <v>66</v>
      </c>
      <c r="L1" s="146" t="s">
        <v>67</v>
      </c>
      <c r="O1" s="147" t="s">
        <v>99</v>
      </c>
      <c r="T1" s="156" t="s">
        <v>326</v>
      </c>
      <c r="U1" s="156"/>
      <c r="V1" s="156"/>
      <c r="W1" s="156"/>
      <c r="X1" s="156"/>
    </row>
    <row r="2" spans="1:32" ht="15" thickBot="1" x14ac:dyDescent="0.35">
      <c r="A2" s="12">
        <v>43031</v>
      </c>
      <c r="B2" s="4"/>
      <c r="C2" s="121">
        <v>50</v>
      </c>
      <c r="D2" s="122">
        <v>25</v>
      </c>
      <c r="F2" t="s">
        <v>110</v>
      </c>
      <c r="J2" s="146"/>
      <c r="K2" s="146" t="s">
        <v>66</v>
      </c>
      <c r="L2" s="146" t="s">
        <v>67</v>
      </c>
      <c r="T2" s="155" t="s">
        <v>327</v>
      </c>
      <c r="U2" s="155">
        <v>167</v>
      </c>
      <c r="V2" s="155">
        <v>168</v>
      </c>
      <c r="W2" s="155">
        <v>199</v>
      </c>
      <c r="X2" s="155">
        <v>200</v>
      </c>
      <c r="AD2" t="s">
        <v>346</v>
      </c>
      <c r="AE2" s="56" t="s">
        <v>349</v>
      </c>
      <c r="AF2" s="56" t="s">
        <v>350</v>
      </c>
    </row>
    <row r="3" spans="1:32" x14ac:dyDescent="0.3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100</v>
      </c>
      <c r="P3" s="140">
        <f>AVERAGE(1.0714,1.1016)</f>
        <v>1.0865</v>
      </c>
      <c r="T3" s="155" t="s">
        <v>328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3.2" x14ac:dyDescent="0.3">
      <c r="C4" s="119" t="s">
        <v>96</v>
      </c>
      <c r="D4" s="120" t="s">
        <v>97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329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3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330</v>
      </c>
      <c r="U5" s="155">
        <v>187</v>
      </c>
      <c r="V5" s="155">
        <v>188</v>
      </c>
      <c r="W5" s="155">
        <v>223</v>
      </c>
      <c r="X5" s="155">
        <v>224</v>
      </c>
      <c r="AC5" s="30" t="s">
        <v>347</v>
      </c>
      <c r="AD5" s="131">
        <v>11.15</v>
      </c>
      <c r="AE5" s="42">
        <v>400</v>
      </c>
      <c r="AF5" s="42">
        <v>600</v>
      </c>
    </row>
    <row r="6" spans="1:32" x14ac:dyDescent="0.3">
      <c r="C6" s="56"/>
      <c r="F6" t="s">
        <v>111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103</v>
      </c>
      <c r="AD6" s="183">
        <v>5.65</v>
      </c>
      <c r="AE6" s="42">
        <v>1800</v>
      </c>
      <c r="AF6" s="42">
        <v>1899</v>
      </c>
    </row>
    <row r="7" spans="1:32" x14ac:dyDescent="0.3">
      <c r="C7" s="56"/>
      <c r="F7" t="s">
        <v>341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348</v>
      </c>
      <c r="AD7" s="131">
        <v>99</v>
      </c>
      <c r="AE7" s="42">
        <v>0</v>
      </c>
      <c r="AF7" s="42">
        <v>99</v>
      </c>
    </row>
    <row r="8" spans="1:32" x14ac:dyDescent="0.3">
      <c r="C8" s="56"/>
      <c r="F8" t="s">
        <v>377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351</v>
      </c>
      <c r="AD8" s="174">
        <v>9999</v>
      </c>
      <c r="AE8" s="131">
        <v>9999</v>
      </c>
      <c r="AF8" s="131">
        <v>9999</v>
      </c>
    </row>
    <row r="9" spans="1:32" x14ac:dyDescent="0.3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3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3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3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3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3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3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3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3">
      <c r="C17" s="137" t="s">
        <v>182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3">
      <c r="C18" t="s">
        <v>1062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3">
      <c r="C19" t="s">
        <v>1063</v>
      </c>
      <c r="J19" s="148" t="s">
        <v>86</v>
      </c>
      <c r="K19" s="149"/>
      <c r="L19" s="149"/>
      <c r="M19" s="154" t="s">
        <v>109</v>
      </c>
      <c r="T19" s="155"/>
      <c r="U19" s="155"/>
      <c r="V19" s="155"/>
      <c r="W19" s="155"/>
      <c r="X19" s="155"/>
    </row>
    <row r="20" spans="3:24" x14ac:dyDescent="0.3">
      <c r="C20" t="s">
        <v>1064</v>
      </c>
      <c r="J20" s="140" t="s">
        <v>87</v>
      </c>
      <c r="M20" s="154" t="s">
        <v>340</v>
      </c>
      <c r="N20" s="154" t="s">
        <v>325</v>
      </c>
      <c r="T20" s="155"/>
      <c r="U20" s="155"/>
      <c r="V20" s="155"/>
      <c r="W20" s="155"/>
      <c r="X20" s="155"/>
    </row>
    <row r="21" spans="3:24" x14ac:dyDescent="0.3">
      <c r="C21" t="s">
        <v>1065</v>
      </c>
      <c r="J21" s="140" t="s">
        <v>90</v>
      </c>
      <c r="K21" s="140" t="s">
        <v>91</v>
      </c>
      <c r="M21" s="154" t="s">
        <v>172</v>
      </c>
      <c r="T21" s="155"/>
      <c r="U21" s="155"/>
      <c r="V21" s="155"/>
      <c r="W21" s="155"/>
      <c r="X21" s="155"/>
    </row>
    <row r="22" spans="3:24" x14ac:dyDescent="0.3">
      <c r="C22" t="s">
        <v>1066</v>
      </c>
      <c r="J22" s="140" t="s">
        <v>92</v>
      </c>
      <c r="K22" s="140" t="s">
        <v>108</v>
      </c>
      <c r="M22" s="154" t="s">
        <v>108</v>
      </c>
      <c r="T22" s="155"/>
      <c r="U22" s="155"/>
      <c r="V22" s="155"/>
      <c r="W22" s="155"/>
      <c r="X22" s="155"/>
    </row>
    <row r="23" spans="3:24" x14ac:dyDescent="0.3">
      <c r="C23" t="s">
        <v>1067</v>
      </c>
      <c r="J23" s="150" t="s">
        <v>94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3">
      <c r="C24" t="s">
        <v>636</v>
      </c>
      <c r="J24" s="140" t="s">
        <v>105</v>
      </c>
      <c r="M24" s="154" t="s">
        <v>107</v>
      </c>
      <c r="T24" s="155"/>
      <c r="U24" s="155"/>
      <c r="V24" s="155"/>
      <c r="W24" s="155"/>
      <c r="X24" s="155"/>
    </row>
    <row r="25" spans="3:24" x14ac:dyDescent="0.3">
      <c r="C25" t="s">
        <v>1068</v>
      </c>
      <c r="J25" s="140" t="s">
        <v>144</v>
      </c>
      <c r="M25" s="154" t="b">
        <v>1</v>
      </c>
    </row>
    <row r="26" spans="3:24" x14ac:dyDescent="0.3">
      <c r="C26" t="s">
        <v>1069</v>
      </c>
      <c r="J26" s="140" t="s">
        <v>145</v>
      </c>
      <c r="M26" s="154" t="str">
        <f>"%USERPROFILE%\Documents\GitHub\eaglep3-reporting\EC\"&amp;TEXT(A2,"yyyy-mm-dd")&amp;"-refined-times.txt"</f>
        <v>%USERPROFILE%\Documents\GitHub\eaglep3-reporting\EC\2017-10-23-refined-times.txt</v>
      </c>
    </row>
    <row r="27" spans="3:24" x14ac:dyDescent="0.3">
      <c r="C27" t="s">
        <v>1070</v>
      </c>
      <c r="J27" s="140" t="s">
        <v>174</v>
      </c>
      <c r="M27" s="154" t="str">
        <f>"%USERPROFILE%\Documents\GitHub\eaglep3-reporting\EC\"&amp;TEXT(A2,"YYYY-MM-DD")&amp;"-Enforcements.txt"</f>
        <v>%USERPROFILE%\Documents\GitHub\eaglep3-reporting\EC\2017-10-23-Enforcements.txt</v>
      </c>
    </row>
    <row r="28" spans="3:24" x14ac:dyDescent="0.3">
      <c r="C28" t="s">
        <v>1071</v>
      </c>
      <c r="J28" s="140" t="s">
        <v>175</v>
      </c>
      <c r="M28" s="154" t="str">
        <f>"%USERPROFILE%\Documents\GitHub\eaglep3-reporting\EC\"&amp;TEXT(A2,"YYYY-MM-DD")&amp;"-Runs-refined.txt"</f>
        <v>%USERPROFILE%\Documents\GitHub\eaglep3-reporting\EC\2017-10-23-Runs-refined.txt</v>
      </c>
    </row>
    <row r="29" spans="3:24" x14ac:dyDescent="0.3">
      <c r="C29" t="s">
        <v>1072</v>
      </c>
      <c r="J29" s="140" t="s">
        <v>176</v>
      </c>
      <c r="M29" s="154" t="str">
        <f>"%USERPROFILE%\Documents\GitHub\eaglep3-reporting\EC\"&amp;TEXT(A2,"YYYY-MM-DD")&amp;"-Trips.txt"</f>
        <v>%USERPROFILE%\Documents\GitHub\eaglep3-reporting\EC\2017-10-23-Trips.txt</v>
      </c>
    </row>
    <row r="30" spans="3:24" x14ac:dyDescent="0.3">
      <c r="C30" t="s">
        <v>1073</v>
      </c>
      <c r="J30" s="140" t="s">
        <v>177</v>
      </c>
      <c r="M30" s="154" t="str">
        <f>"%USERPROFILE%\Documents\GitHub\eaglep3-reporting\EC\"&amp;TEXT(A2,"YYYY-MM-DD")&amp;"-Weather.txt"</f>
        <v>%USERPROFILE%\Documents\GitHub\eaglep3-reporting\EC\2017-10-23-Weather.txt</v>
      </c>
    </row>
    <row r="31" spans="3:24" x14ac:dyDescent="0.3">
      <c r="C31" t="s">
        <v>1074</v>
      </c>
      <c r="J31" s="140" t="s">
        <v>190</v>
      </c>
      <c r="M31" s="154" t="s">
        <v>191</v>
      </c>
    </row>
    <row r="32" spans="3:24" x14ac:dyDescent="0.3">
      <c r="C32" t="s">
        <v>1075</v>
      </c>
    </row>
    <row r="33" spans="3:3" x14ac:dyDescent="0.3">
      <c r="C33" t="s">
        <v>1076</v>
      </c>
    </row>
    <row r="34" spans="3:3" x14ac:dyDescent="0.3">
      <c r="C34" t="s">
        <v>1077</v>
      </c>
    </row>
    <row r="35" spans="3:3" x14ac:dyDescent="0.3">
      <c r="C35" t="s">
        <v>1078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297180</xdr:colOff>
                    <xdr:row>5</xdr:row>
                    <xdr:rowOff>45720</xdr:rowOff>
                  </from>
                  <to>
                    <xdr:col>0</xdr:col>
                    <xdr:colOff>1630680</xdr:colOff>
                    <xdr:row>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83820</xdr:rowOff>
                  </from>
                  <to>
                    <xdr:col>0</xdr:col>
                    <xdr:colOff>1554480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297180</xdr:colOff>
                    <xdr:row>12</xdr:row>
                    <xdr:rowOff>144780</xdr:rowOff>
                  </from>
                  <to>
                    <xdr:col>0</xdr:col>
                    <xdr:colOff>1546860</xdr:colOff>
                    <xdr:row>15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09375" defaultRowHeight="14.4" x14ac:dyDescent="0.3"/>
  <cols>
    <col min="1" max="1" width="32.88671875" style="93" bestFit="1" customWidth="1"/>
    <col min="2" max="7" width="9.109375" style="93"/>
    <col min="8" max="8" width="17.6640625" style="188" bestFit="1" customWidth="1"/>
    <col min="9" max="10" width="9.109375" style="188"/>
    <col min="11" max="16384" width="9.109375" style="93"/>
  </cols>
  <sheetData>
    <row r="1" spans="1:11" x14ac:dyDescent="0.3">
      <c r="A1" s="92" t="s">
        <v>115</v>
      </c>
      <c r="B1" s="92" t="s">
        <v>116</v>
      </c>
      <c r="C1" s="93" t="s">
        <v>117</v>
      </c>
      <c r="H1" s="168" t="s">
        <v>112</v>
      </c>
      <c r="I1" s="186" t="s">
        <v>394</v>
      </c>
      <c r="J1" s="168" t="s">
        <v>332</v>
      </c>
    </row>
    <row r="2" spans="1:11" x14ac:dyDescent="0.3">
      <c r="A2" s="93" t="s">
        <v>118</v>
      </c>
      <c r="B2" s="93" t="s">
        <v>119</v>
      </c>
      <c r="C2" s="93" t="s">
        <v>120</v>
      </c>
      <c r="H2" s="168" t="s">
        <v>113</v>
      </c>
      <c r="I2" s="168" t="s">
        <v>114</v>
      </c>
      <c r="J2" s="168" t="s">
        <v>333</v>
      </c>
    </row>
    <row r="3" spans="1:11" x14ac:dyDescent="0.3">
      <c r="A3" s="93" t="s">
        <v>121</v>
      </c>
      <c r="B3" s="93" t="s">
        <v>122</v>
      </c>
      <c r="C3" s="93" t="s">
        <v>123</v>
      </c>
      <c r="H3" s="168" t="s">
        <v>137</v>
      </c>
      <c r="I3" s="168">
        <v>1</v>
      </c>
      <c r="J3" s="168">
        <v>1</v>
      </c>
      <c r="K3" s="55"/>
    </row>
    <row r="4" spans="1:11" x14ac:dyDescent="0.3">
      <c r="A4" s="93" t="s">
        <v>124</v>
      </c>
      <c r="C4" s="93" t="s">
        <v>125</v>
      </c>
      <c r="H4" s="168" t="s">
        <v>138</v>
      </c>
      <c r="I4" s="168">
        <v>2</v>
      </c>
      <c r="J4" s="168">
        <v>1</v>
      </c>
      <c r="K4" s="55"/>
    </row>
    <row r="5" spans="1:11" x14ac:dyDescent="0.3">
      <c r="A5" s="93" t="s">
        <v>126</v>
      </c>
      <c r="C5" s="93" t="s">
        <v>127</v>
      </c>
      <c r="H5" s="168" t="s">
        <v>139</v>
      </c>
      <c r="I5" s="168">
        <v>338</v>
      </c>
      <c r="J5" s="168">
        <v>10</v>
      </c>
      <c r="K5" s="55"/>
    </row>
    <row r="6" spans="1:11" x14ac:dyDescent="0.3">
      <c r="A6" s="93" t="s">
        <v>128</v>
      </c>
      <c r="C6" s="93" t="s">
        <v>129</v>
      </c>
      <c r="H6" s="187" t="s">
        <v>140</v>
      </c>
      <c r="I6" s="187" t="s">
        <v>119</v>
      </c>
    </row>
    <row r="7" spans="1:11" x14ac:dyDescent="0.3">
      <c r="A7" s="93" t="s">
        <v>130</v>
      </c>
      <c r="C7" s="93" t="s">
        <v>131</v>
      </c>
    </row>
    <row r="8" spans="1:11" x14ac:dyDescent="0.3">
      <c r="C8" s="93" t="s">
        <v>132</v>
      </c>
    </row>
    <row r="9" spans="1:11" x14ac:dyDescent="0.3">
      <c r="C9" s="94" t="s">
        <v>165</v>
      </c>
    </row>
    <row r="10" spans="1:11" x14ac:dyDescent="0.3">
      <c r="C10" s="93" t="s">
        <v>133</v>
      </c>
    </row>
    <row r="11" spans="1:11" x14ac:dyDescent="0.3">
      <c r="C11" s="93" t="s">
        <v>134</v>
      </c>
    </row>
    <row r="12" spans="1:11" x14ac:dyDescent="0.3">
      <c r="C12" s="93" t="s">
        <v>135</v>
      </c>
    </row>
    <row r="13" spans="1:11" x14ac:dyDescent="0.3">
      <c r="C13" s="93" t="s">
        <v>136</v>
      </c>
    </row>
    <row r="14" spans="1:11" x14ac:dyDescent="0.3">
      <c r="C14" s="94" t="s">
        <v>166</v>
      </c>
    </row>
    <row r="15" spans="1:11" x14ac:dyDescent="0.3">
      <c r="C15" s="94" t="s">
        <v>183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4.4" x14ac:dyDescent="0.3"/>
  <cols>
    <col min="2" max="2" width="22.33203125" bestFit="1" customWidth="1"/>
    <col min="3" max="3" width="9.6640625" customWidth="1"/>
  </cols>
  <sheetData>
    <row r="1" spans="1:3" x14ac:dyDescent="0.3">
      <c r="A1" t="s">
        <v>195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3">
      <c r="A2" t="s">
        <v>196</v>
      </c>
      <c r="B2" s="20" t="str">
        <f t="shared" si="0"/>
        <v>2017/03/01 11:03:17.810</v>
      </c>
      <c r="C2">
        <f>ABS(B2-B1)</f>
        <v>7.9861638369038701E-7</v>
      </c>
    </row>
    <row r="3" spans="1:3" x14ac:dyDescent="0.3">
      <c r="A3" t="s">
        <v>197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3">
      <c r="A4" t="s">
        <v>198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3">
      <c r="A5" t="s">
        <v>199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3">
      <c r="A6" t="s">
        <v>200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3">
      <c r="A7" t="s">
        <v>201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3">
      <c r="A8" t="s">
        <v>202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3">
      <c r="A9" t="s">
        <v>203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3">
      <c r="A10" t="s">
        <v>204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3">
      <c r="A11" t="s">
        <v>205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3">
      <c r="A12" t="s">
        <v>206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3">
      <c r="A13" t="s">
        <v>207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3">
      <c r="A14" t="s">
        <v>208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3">
      <c r="A15" t="s">
        <v>209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3">
      <c r="A16" t="s">
        <v>210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3">
      <c r="A17" t="s">
        <v>211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3">
      <c r="A18" t="s">
        <v>212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3">
      <c r="A19" t="s">
        <v>213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3">
      <c r="A20" t="s">
        <v>214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3">
      <c r="A21" t="s">
        <v>215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3">
      <c r="A22" t="s">
        <v>216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3">
      <c r="A23" t="s">
        <v>217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3">
      <c r="A24" t="s">
        <v>218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3">
      <c r="A25" t="s">
        <v>219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3">
      <c r="A26" t="s">
        <v>220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3">
      <c r="A27" t="s">
        <v>221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3">
      <c r="A28" t="s">
        <v>222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3">
      <c r="A29" t="s">
        <v>223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3">
      <c r="A30" t="s">
        <v>224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3">
      <c r="A31" t="s">
        <v>225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3">
      <c r="A32" t="s">
        <v>226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3">
      <c r="A33" t="s">
        <v>227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3">
      <c r="A34" t="s">
        <v>228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3">
      <c r="A35" t="s">
        <v>229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3">
      <c r="A36" t="s">
        <v>230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3">
      <c r="A37" t="s">
        <v>231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3">
      <c r="A38" t="s">
        <v>232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3">
      <c r="A39" t="s">
        <v>233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3">
      <c r="A40" t="s">
        <v>234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3">
      <c r="A41" t="s">
        <v>235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3">
      <c r="A42" t="s">
        <v>236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3">
      <c r="A43" t="s">
        <v>237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3">
      <c r="A44" t="s">
        <v>238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3">
      <c r="A45" t="s">
        <v>239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3">
      <c r="A46" t="s">
        <v>240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3">
      <c r="A47" t="s">
        <v>241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3">
      <c r="A48" t="s">
        <v>242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3">
      <c r="A49" t="s">
        <v>243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3">
      <c r="A50" t="s">
        <v>244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3">
      <c r="A51" t="s">
        <v>245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3">
      <c r="A52" t="s">
        <v>246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3">
      <c r="A53" t="s">
        <v>247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3">
      <c r="A54" t="s">
        <v>248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3">
      <c r="A55" t="s">
        <v>249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3">
      <c r="A56" t="s">
        <v>250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3">
      <c r="A57" t="s">
        <v>251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3">
      <c r="A58" t="s">
        <v>252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3">
      <c r="A59" t="s">
        <v>253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3">
      <c r="A60" t="s">
        <v>254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3">
      <c r="A61" t="s">
        <v>255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3">
      <c r="A62" t="s">
        <v>256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3">
      <c r="A63" t="s">
        <v>257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3">
      <c r="A64" t="s">
        <v>258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3">
      <c r="A65" t="s">
        <v>259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3">
      <c r="A66" t="s">
        <v>260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3">
      <c r="A67" t="s">
        <v>261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3">
      <c r="A68" t="s">
        <v>262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3">
      <c r="A69" t="s">
        <v>263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3">
      <c r="A70" t="s">
        <v>264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3">
      <c r="A71" t="s">
        <v>265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3">
      <c r="A72" t="s">
        <v>266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3">
      <c r="A73" t="s">
        <v>267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3">
      <c r="A74" t="s">
        <v>268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3">
      <c r="A75" t="s">
        <v>269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3">
      <c r="A76" t="s">
        <v>270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3">
      <c r="A77" t="s">
        <v>271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3">
      <c r="A78" t="s">
        <v>272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3">
      <c r="A79" t="s">
        <v>273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3">
      <c r="A80" t="s">
        <v>274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3">
      <c r="A81" t="s">
        <v>275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3">
      <c r="A82" t="s">
        <v>276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3">
      <c r="A83" t="s">
        <v>277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3">
      <c r="A84" t="s">
        <v>278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3">
      <c r="A85" t="s">
        <v>279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3">
      <c r="A86" t="s">
        <v>280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3">
      <c r="A87" t="s">
        <v>281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3">
      <c r="A88" t="s">
        <v>282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3">
      <c r="A89" t="s">
        <v>283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3">
      <c r="A90" t="s">
        <v>284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3">
      <c r="A91" t="s">
        <v>285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3">
      <c r="A92" t="s">
        <v>286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3">
      <c r="A93" t="s">
        <v>287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3">
      <c r="A94" t="s">
        <v>288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3">
      <c r="A95" t="s">
        <v>289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3">
      <c r="A96" t="s">
        <v>290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3">
      <c r="A97" t="s">
        <v>291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3">
      <c r="A98" t="s">
        <v>292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3">
      <c r="A99" t="s">
        <v>293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3">
      <c r="A100" t="s">
        <v>294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3">
      <c r="A101" t="s">
        <v>295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3">
      <c r="A102" t="s">
        <v>296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3">
      <c r="A103" t="s">
        <v>297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3">
      <c r="A104" t="s">
        <v>298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3">
      <c r="A105" t="s">
        <v>299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3">
      <c r="A106" t="s">
        <v>300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3">
      <c r="A107" t="s">
        <v>301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3">
      <c r="A108" t="s">
        <v>302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3">
      <c r="A109" t="s">
        <v>303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3">
      <c r="A110" t="s">
        <v>304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3">
      <c r="A111" t="s">
        <v>305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3">
      <c r="A112" t="s">
        <v>306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3">
      <c r="A113" t="s">
        <v>307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3">
      <c r="A114" t="s">
        <v>308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3">
      <c r="A115" t="s">
        <v>309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3">
      <c r="A116" t="s">
        <v>310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3">
      <c r="A117" t="s">
        <v>311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3">
      <c r="A118" t="s">
        <v>312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3">
      <c r="A119" t="s">
        <v>313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3">
      <c r="A120" t="s">
        <v>314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3">
      <c r="A121" t="s">
        <v>315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3">
      <c r="A122" t="s">
        <v>316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3">
      <c r="A123" t="s">
        <v>317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3">
      <c r="A124" t="s">
        <v>318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3">
      <c r="A125" t="s">
        <v>319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3">
      <c r="A126" t="s">
        <v>320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3">
      <c r="A127" t="s">
        <v>321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3">
      <c r="A128" t="s">
        <v>322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3">
      <c r="A129" t="s">
        <v>323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3">
      <c r="A130" t="s">
        <v>324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3">
      <c r="B131" s="20"/>
      <c r="C131" s="20"/>
    </row>
    <row r="132" spans="1:3" x14ac:dyDescent="0.3">
      <c r="B132" s="20"/>
      <c r="C132" s="20"/>
    </row>
    <row r="133" spans="1:3" x14ac:dyDescent="0.3">
      <c r="B133" s="20"/>
      <c r="C133" s="20"/>
    </row>
    <row r="134" spans="1:3" x14ac:dyDescent="0.3">
      <c r="B134" s="20"/>
      <c r="C134" s="20"/>
    </row>
    <row r="135" spans="1:3" x14ac:dyDescent="0.3">
      <c r="B135" s="20"/>
      <c r="C135" s="20"/>
    </row>
    <row r="136" spans="1:3" x14ac:dyDescent="0.3">
      <c r="B136" s="20"/>
      <c r="C136" s="20"/>
    </row>
    <row r="137" spans="1:3" x14ac:dyDescent="0.3">
      <c r="B137" s="20"/>
      <c r="C137" s="20"/>
    </row>
    <row r="138" spans="1:3" x14ac:dyDescent="0.3">
      <c r="B138" s="20"/>
      <c r="C138" s="20"/>
    </row>
    <row r="139" spans="1:3" x14ac:dyDescent="0.3">
      <c r="B139" s="20"/>
      <c r="C139" s="20"/>
    </row>
    <row r="140" spans="1:3" x14ac:dyDescent="0.3">
      <c r="B140" s="20"/>
      <c r="C140" s="20"/>
    </row>
    <row r="141" spans="1:3" x14ac:dyDescent="0.3">
      <c r="B141" s="20"/>
      <c r="C141" s="20"/>
    </row>
    <row r="142" spans="1:3" x14ac:dyDescent="0.3">
      <c r="B142" s="20"/>
      <c r="C142" s="20"/>
    </row>
    <row r="143" spans="1:3" x14ac:dyDescent="0.3">
      <c r="B143" s="20"/>
      <c r="C143" s="20"/>
    </row>
    <row r="144" spans="1:3" x14ac:dyDescent="0.3">
      <c r="B144" s="20"/>
      <c r="C144" s="20"/>
    </row>
    <row r="145" spans="2:3" x14ac:dyDescent="0.3">
      <c r="B145" s="20"/>
      <c r="C145" s="20"/>
    </row>
    <row r="146" spans="2:3" x14ac:dyDescent="0.3">
      <c r="B146" s="20"/>
      <c r="C146" s="20"/>
    </row>
    <row r="147" spans="2:3" x14ac:dyDescent="0.3">
      <c r="B147" s="20"/>
      <c r="C147" s="20"/>
    </row>
    <row r="148" spans="2:3" x14ac:dyDescent="0.3">
      <c r="B148" s="20"/>
      <c r="C148" s="20"/>
    </row>
    <row r="149" spans="2:3" x14ac:dyDescent="0.3">
      <c r="B149" s="20"/>
      <c r="C149" s="20"/>
    </row>
    <row r="150" spans="2:3" x14ac:dyDescent="0.3">
      <c r="B150" s="20"/>
      <c r="C150" s="20"/>
    </row>
    <row r="151" spans="2:3" x14ac:dyDescent="0.3">
      <c r="B151" s="20"/>
      <c r="C151" s="20"/>
    </row>
    <row r="152" spans="2:3" x14ac:dyDescent="0.3">
      <c r="B152" s="20"/>
      <c r="C152" s="20"/>
    </row>
    <row r="153" spans="2:3" x14ac:dyDescent="0.3">
      <c r="B153" s="20"/>
      <c r="C153" s="20"/>
    </row>
    <row r="154" spans="2:3" x14ac:dyDescent="0.3">
      <c r="B154" s="20"/>
      <c r="C154" s="20"/>
    </row>
    <row r="155" spans="2:3" x14ac:dyDescent="0.3">
      <c r="B155" s="20"/>
      <c r="C155" s="20"/>
    </row>
    <row r="156" spans="2:3" x14ac:dyDescent="0.3">
      <c r="B156" s="20"/>
      <c r="C156" s="20"/>
    </row>
    <row r="157" spans="2:3" x14ac:dyDescent="0.3">
      <c r="B157" s="20"/>
      <c r="C157" s="20"/>
    </row>
    <row r="158" spans="2:3" x14ac:dyDescent="0.3">
      <c r="B158" s="20"/>
      <c r="C158" s="20"/>
    </row>
    <row r="159" spans="2:3" x14ac:dyDescent="0.3">
      <c r="B159" s="20"/>
      <c r="C159" s="20"/>
    </row>
    <row r="160" spans="2:3" x14ac:dyDescent="0.3">
      <c r="B160" s="20"/>
      <c r="C160" s="20"/>
    </row>
    <row r="161" spans="2:3" x14ac:dyDescent="0.3">
      <c r="B161" s="20"/>
      <c r="C161" s="20"/>
    </row>
    <row r="162" spans="2:3" x14ac:dyDescent="0.3">
      <c r="B162" s="20"/>
      <c r="C162" s="20"/>
    </row>
    <row r="163" spans="2:3" x14ac:dyDescent="0.3">
      <c r="B163" s="20"/>
      <c r="C163" s="20"/>
    </row>
    <row r="164" spans="2:3" x14ac:dyDescent="0.3">
      <c r="B164" s="20"/>
      <c r="C164" s="20"/>
    </row>
    <row r="165" spans="2:3" x14ac:dyDescent="0.3">
      <c r="B165" s="20"/>
      <c r="C165" s="20"/>
    </row>
    <row r="166" spans="2:3" x14ac:dyDescent="0.3">
      <c r="B166" s="20"/>
      <c r="C166" s="20"/>
    </row>
    <row r="167" spans="2:3" x14ac:dyDescent="0.3">
      <c r="B167" s="20"/>
      <c r="C167" s="20"/>
    </row>
    <row r="168" spans="2:3" x14ac:dyDescent="0.3">
      <c r="B168" s="20"/>
      <c r="C168" s="20"/>
    </row>
    <row r="169" spans="2:3" x14ac:dyDescent="0.3">
      <c r="B169" s="20"/>
      <c r="C169" s="20"/>
    </row>
    <row r="170" spans="2:3" x14ac:dyDescent="0.3">
      <c r="B170" s="20"/>
      <c r="C170" s="20"/>
    </row>
    <row r="171" spans="2:3" x14ac:dyDescent="0.3">
      <c r="B171" s="20"/>
      <c r="C171" s="20"/>
    </row>
    <row r="172" spans="2:3" x14ac:dyDescent="0.3">
      <c r="B172" s="20"/>
      <c r="C172" s="20"/>
    </row>
    <row r="173" spans="2:3" x14ac:dyDescent="0.3">
      <c r="B173" s="20"/>
      <c r="C173" s="20"/>
    </row>
    <row r="174" spans="2:3" x14ac:dyDescent="0.3">
      <c r="B174" s="20"/>
      <c r="C174" s="20"/>
    </row>
    <row r="175" spans="2:3" x14ac:dyDescent="0.3">
      <c r="B175" s="20"/>
      <c r="C175" s="20"/>
    </row>
    <row r="176" spans="2:3" x14ac:dyDescent="0.3">
      <c r="B176" s="20"/>
      <c r="C176" s="20"/>
    </row>
    <row r="177" spans="2:3" x14ac:dyDescent="0.3">
      <c r="B177" s="20"/>
      <c r="C177" s="20"/>
    </row>
    <row r="178" spans="2:3" x14ac:dyDescent="0.3">
      <c r="B178" s="20"/>
      <c r="C178" s="20"/>
    </row>
    <row r="179" spans="2:3" x14ac:dyDescent="0.3">
      <c r="B179" s="20"/>
      <c r="C179" s="20"/>
    </row>
    <row r="180" spans="2:3" x14ac:dyDescent="0.3">
      <c r="B180" s="20"/>
      <c r="C180" s="20"/>
    </row>
    <row r="181" spans="2:3" x14ac:dyDescent="0.3">
      <c r="B181" s="20"/>
      <c r="C181" s="20"/>
    </row>
    <row r="182" spans="2:3" x14ac:dyDescent="0.3">
      <c r="B182" s="20"/>
      <c r="C182" s="20"/>
    </row>
    <row r="183" spans="2:3" x14ac:dyDescent="0.3">
      <c r="B183" s="20"/>
      <c r="C183" s="20"/>
    </row>
    <row r="184" spans="2:3" x14ac:dyDescent="0.3">
      <c r="B184" s="20"/>
      <c r="C184" s="20"/>
    </row>
    <row r="185" spans="2:3" x14ac:dyDescent="0.3">
      <c r="B185" s="20"/>
      <c r="C185" s="20"/>
    </row>
    <row r="186" spans="2:3" x14ac:dyDescent="0.3">
      <c r="B186" s="20"/>
      <c r="C186" s="20"/>
    </row>
    <row r="187" spans="2:3" x14ac:dyDescent="0.3">
      <c r="B187" s="20"/>
      <c r="C187" s="20"/>
    </row>
    <row r="188" spans="2:3" x14ac:dyDescent="0.3">
      <c r="B188" s="20"/>
      <c r="C188" s="20"/>
    </row>
    <row r="189" spans="2:3" x14ac:dyDescent="0.3">
      <c r="B189" s="20"/>
      <c r="C189" s="20"/>
    </row>
    <row r="190" spans="2:3" x14ac:dyDescent="0.3">
      <c r="B190" s="20"/>
      <c r="C190" s="20"/>
    </row>
    <row r="191" spans="2:3" x14ac:dyDescent="0.3">
      <c r="B191" s="20"/>
      <c r="C191" s="20"/>
    </row>
    <row r="192" spans="2:3" x14ac:dyDescent="0.3">
      <c r="B192" s="20"/>
      <c r="C192" s="20"/>
    </row>
    <row r="193" spans="2:3" x14ac:dyDescent="0.3">
      <c r="B193" s="20"/>
      <c r="C193" s="20"/>
    </row>
    <row r="194" spans="2:3" x14ac:dyDescent="0.3">
      <c r="B194" s="20"/>
      <c r="C194" s="20"/>
    </row>
    <row r="195" spans="2:3" x14ac:dyDescent="0.3">
      <c r="B195" s="20"/>
      <c r="C195" s="20"/>
    </row>
    <row r="196" spans="2:3" x14ac:dyDescent="0.3">
      <c r="B196" s="20"/>
      <c r="C196" s="20"/>
    </row>
    <row r="197" spans="2:3" x14ac:dyDescent="0.3">
      <c r="B197" s="20"/>
      <c r="C197" s="20"/>
    </row>
    <row r="198" spans="2:3" x14ac:dyDescent="0.3">
      <c r="B198" s="20"/>
      <c r="C198" s="20"/>
    </row>
    <row r="199" spans="2:3" x14ac:dyDescent="0.3">
      <c r="B199" s="20"/>
      <c r="C199" s="20"/>
    </row>
    <row r="200" spans="2:3" x14ac:dyDescent="0.3">
      <c r="B200" s="20"/>
      <c r="C200" s="20"/>
    </row>
    <row r="201" spans="2:3" x14ac:dyDescent="0.3">
      <c r="B201" s="20"/>
      <c r="C201" s="20"/>
    </row>
    <row r="202" spans="2:3" x14ac:dyDescent="0.3">
      <c r="B202" s="20"/>
      <c r="C202" s="20"/>
    </row>
    <row r="203" spans="2:3" x14ac:dyDescent="0.3">
      <c r="B203" s="20"/>
      <c r="C203" s="20"/>
    </row>
    <row r="204" spans="2:3" x14ac:dyDescent="0.3">
      <c r="B204" s="20"/>
      <c r="C204" s="20"/>
    </row>
    <row r="205" spans="2:3" x14ac:dyDescent="0.3">
      <c r="B205" s="20"/>
      <c r="C205" s="20"/>
    </row>
    <row r="206" spans="2:3" x14ac:dyDescent="0.3">
      <c r="B206" s="20"/>
      <c r="C206" s="20"/>
    </row>
    <row r="207" spans="2:3" x14ac:dyDescent="0.3">
      <c r="B207" s="20"/>
      <c r="C207" s="20"/>
    </row>
    <row r="208" spans="2:3" x14ac:dyDescent="0.3">
      <c r="B208" s="20"/>
      <c r="C208" s="20"/>
    </row>
    <row r="209" spans="2:3" x14ac:dyDescent="0.3">
      <c r="B209" s="20"/>
      <c r="C209" s="20"/>
    </row>
    <row r="210" spans="2:3" x14ac:dyDescent="0.3">
      <c r="B210" s="20"/>
      <c r="C210" s="20"/>
    </row>
    <row r="211" spans="2:3" x14ac:dyDescent="0.3">
      <c r="B211" s="20"/>
      <c r="C211" s="20"/>
    </row>
    <row r="212" spans="2:3" x14ac:dyDescent="0.3">
      <c r="B212" s="20"/>
      <c r="C212" s="20"/>
    </row>
    <row r="213" spans="2:3" x14ac:dyDescent="0.3">
      <c r="B213" s="20"/>
      <c r="C213" s="20"/>
    </row>
    <row r="214" spans="2:3" x14ac:dyDescent="0.3">
      <c r="B214" s="20"/>
      <c r="C214" s="20"/>
    </row>
    <row r="215" spans="2:3" x14ac:dyDescent="0.3">
      <c r="B215" s="20"/>
      <c r="C215" s="20"/>
    </row>
    <row r="216" spans="2:3" x14ac:dyDescent="0.3">
      <c r="B216" s="20"/>
      <c r="C216" s="20"/>
    </row>
    <row r="217" spans="2:3" x14ac:dyDescent="0.3">
      <c r="B217" s="20"/>
      <c r="C217" s="20"/>
    </row>
    <row r="218" spans="2:3" x14ac:dyDescent="0.3">
      <c r="B218" s="20"/>
      <c r="C218" s="20"/>
    </row>
    <row r="219" spans="2:3" x14ac:dyDescent="0.3">
      <c r="B219" s="20"/>
      <c r="C219" s="20"/>
    </row>
    <row r="220" spans="2:3" x14ac:dyDescent="0.3">
      <c r="B220" s="20"/>
      <c r="C220" s="20"/>
    </row>
    <row r="221" spans="2:3" x14ac:dyDescent="0.3">
      <c r="B221" s="20"/>
      <c r="C221" s="20"/>
    </row>
    <row r="222" spans="2:3" x14ac:dyDescent="0.3">
      <c r="B222" s="20"/>
      <c r="C222" s="20"/>
    </row>
    <row r="223" spans="2:3" x14ac:dyDescent="0.3">
      <c r="B223" s="20"/>
      <c r="C223" s="20"/>
    </row>
    <row r="224" spans="2:3" x14ac:dyDescent="0.3">
      <c r="B224" s="20"/>
      <c r="C224" s="20"/>
    </row>
    <row r="225" spans="2:3" x14ac:dyDescent="0.3">
      <c r="B225" s="20"/>
      <c r="C225" s="20"/>
    </row>
    <row r="226" spans="2:3" x14ac:dyDescent="0.3">
      <c r="B226" s="20"/>
      <c r="C226" s="20"/>
    </row>
    <row r="227" spans="2:3" x14ac:dyDescent="0.3">
      <c r="B227" s="20"/>
      <c r="C227" s="20"/>
    </row>
    <row r="228" spans="2:3" x14ac:dyDescent="0.3">
      <c r="B228" s="20"/>
      <c r="C228" s="20"/>
    </row>
    <row r="229" spans="2:3" x14ac:dyDescent="0.3">
      <c r="B229" s="20"/>
      <c r="C229" s="20"/>
    </row>
    <row r="230" spans="2:3" x14ac:dyDescent="0.3">
      <c r="B230" s="20"/>
      <c r="C230" s="20"/>
    </row>
    <row r="231" spans="2:3" x14ac:dyDescent="0.3">
      <c r="B231" s="20"/>
      <c r="C231" s="20"/>
    </row>
    <row r="232" spans="2:3" x14ac:dyDescent="0.3">
      <c r="B232" s="20"/>
      <c r="C232" s="20"/>
    </row>
    <row r="233" spans="2:3" x14ac:dyDescent="0.3">
      <c r="B233" s="20"/>
      <c r="C233" s="20"/>
    </row>
    <row r="234" spans="2:3" x14ac:dyDescent="0.3">
      <c r="B234" s="20"/>
      <c r="C234" s="20"/>
    </row>
    <row r="235" spans="2:3" x14ac:dyDescent="0.3">
      <c r="B235" s="20"/>
      <c r="C235" s="20"/>
    </row>
    <row r="236" spans="2:3" x14ac:dyDescent="0.3">
      <c r="B236" s="20"/>
      <c r="C236" s="20"/>
    </row>
    <row r="237" spans="2:3" x14ac:dyDescent="0.3">
      <c r="B237" s="20"/>
      <c r="C237" s="20"/>
    </row>
    <row r="238" spans="2:3" x14ac:dyDescent="0.3">
      <c r="B238" s="20"/>
      <c r="C238" s="20"/>
    </row>
    <row r="239" spans="2:3" x14ac:dyDescent="0.3">
      <c r="B239" s="20"/>
      <c r="C239" s="20"/>
    </row>
    <row r="240" spans="2:3" x14ac:dyDescent="0.3">
      <c r="B240" s="20"/>
      <c r="C240" s="20"/>
    </row>
    <row r="241" spans="2:3" x14ac:dyDescent="0.3">
      <c r="B241" s="20"/>
      <c r="C241" s="20"/>
    </row>
    <row r="242" spans="2:3" x14ac:dyDescent="0.3">
      <c r="B242" s="20"/>
      <c r="C242" s="20"/>
    </row>
    <row r="243" spans="2:3" x14ac:dyDescent="0.3">
      <c r="B243" s="20"/>
      <c r="C243" s="20"/>
    </row>
    <row r="244" spans="2:3" x14ac:dyDescent="0.3">
      <c r="B244" s="20"/>
      <c r="C244" s="20"/>
    </row>
    <row r="245" spans="2:3" x14ac:dyDescent="0.3">
      <c r="B245" s="20"/>
      <c r="C245" s="20"/>
    </row>
    <row r="246" spans="2:3" x14ac:dyDescent="0.3">
      <c r="B246" s="20"/>
      <c r="C246" s="20"/>
    </row>
    <row r="247" spans="2:3" x14ac:dyDescent="0.3">
      <c r="B247" s="20"/>
      <c r="C247" s="20"/>
    </row>
    <row r="248" spans="2:3" x14ac:dyDescent="0.3">
      <c r="B248" s="20"/>
      <c r="C248" s="20"/>
    </row>
    <row r="249" spans="2:3" x14ac:dyDescent="0.3">
      <c r="B249" s="20"/>
      <c r="C249" s="20"/>
    </row>
    <row r="250" spans="2:3" x14ac:dyDescent="0.3">
      <c r="B250" s="20"/>
      <c r="C250" s="20"/>
    </row>
    <row r="251" spans="2:3" x14ac:dyDescent="0.3">
      <c r="B251" s="20"/>
      <c r="C251" s="20"/>
    </row>
    <row r="252" spans="2:3" x14ac:dyDescent="0.3">
      <c r="B252" s="20"/>
      <c r="C252" s="20"/>
    </row>
    <row r="253" spans="2:3" x14ac:dyDescent="0.3">
      <c r="B253" s="20"/>
      <c r="C253" s="20"/>
    </row>
    <row r="254" spans="2:3" x14ac:dyDescent="0.3">
      <c r="B254" s="20"/>
      <c r="C254" s="20"/>
    </row>
    <row r="255" spans="2:3" x14ac:dyDescent="0.3">
      <c r="B255" s="20"/>
      <c r="C255" s="20"/>
    </row>
    <row r="256" spans="2:3" x14ac:dyDescent="0.3">
      <c r="B256" s="20"/>
      <c r="C256" s="20"/>
    </row>
    <row r="257" spans="2:3" x14ac:dyDescent="0.3">
      <c r="B257" s="20"/>
      <c r="C257" s="20"/>
    </row>
    <row r="258" spans="2:3" x14ac:dyDescent="0.3">
      <c r="B258" s="20"/>
      <c r="C258" s="20"/>
    </row>
    <row r="259" spans="2:3" x14ac:dyDescent="0.3">
      <c r="B259" s="20"/>
      <c r="C259" s="20"/>
    </row>
    <row r="260" spans="2:3" x14ac:dyDescent="0.3">
      <c r="B260" s="20"/>
      <c r="C260" s="20"/>
    </row>
    <row r="261" spans="2:3" x14ac:dyDescent="0.3">
      <c r="B261" s="20"/>
      <c r="C261" s="20"/>
    </row>
    <row r="262" spans="2:3" x14ac:dyDescent="0.3">
      <c r="B262" s="20"/>
      <c r="C262" s="20"/>
    </row>
    <row r="263" spans="2:3" x14ac:dyDescent="0.3">
      <c r="B263" s="20"/>
      <c r="C263" s="20"/>
    </row>
    <row r="264" spans="2:3" x14ac:dyDescent="0.3">
      <c r="B264" s="20"/>
      <c r="C264" s="20"/>
    </row>
    <row r="265" spans="2:3" x14ac:dyDescent="0.3">
      <c r="B265" s="20"/>
      <c r="C265" s="20"/>
    </row>
    <row r="266" spans="2:3" x14ac:dyDescent="0.3">
      <c r="B266" s="20"/>
      <c r="C266" s="20"/>
    </row>
    <row r="267" spans="2:3" x14ac:dyDescent="0.3">
      <c r="B267" s="20"/>
      <c r="C267" s="20"/>
    </row>
    <row r="268" spans="2:3" x14ac:dyDescent="0.3">
      <c r="B268" s="20"/>
      <c r="C268" s="20"/>
    </row>
    <row r="269" spans="2:3" x14ac:dyDescent="0.3">
      <c r="B269" s="20"/>
      <c r="C269" s="20"/>
    </row>
    <row r="270" spans="2:3" x14ac:dyDescent="0.3">
      <c r="B270" s="20"/>
      <c r="C270" s="20"/>
    </row>
    <row r="271" spans="2:3" x14ac:dyDescent="0.3">
      <c r="B271" s="20"/>
      <c r="C271" s="20"/>
    </row>
    <row r="272" spans="2:3" x14ac:dyDescent="0.3">
      <c r="B272" s="20"/>
      <c r="C272" s="20"/>
    </row>
    <row r="273" spans="2:3" x14ac:dyDescent="0.3">
      <c r="B273" s="20"/>
      <c r="C273" s="20"/>
    </row>
    <row r="274" spans="2:3" x14ac:dyDescent="0.3">
      <c r="B274" s="20"/>
      <c r="C274" s="20"/>
    </row>
    <row r="275" spans="2:3" x14ac:dyDescent="0.3">
      <c r="B275" s="20"/>
      <c r="C275" s="20"/>
    </row>
    <row r="276" spans="2:3" x14ac:dyDescent="0.3">
      <c r="B276" s="20"/>
      <c r="C276" s="20"/>
    </row>
    <row r="277" spans="2:3" x14ac:dyDescent="0.3">
      <c r="B277" s="20"/>
      <c r="C277" s="20"/>
    </row>
    <row r="278" spans="2:3" x14ac:dyDescent="0.3">
      <c r="B278" s="20"/>
      <c r="C278" s="20"/>
    </row>
    <row r="279" spans="2:3" x14ac:dyDescent="0.3">
      <c r="B279" s="20"/>
      <c r="C279" s="20"/>
    </row>
    <row r="280" spans="2:3" x14ac:dyDescent="0.3">
      <c r="B280" s="20"/>
      <c r="C280" s="20"/>
    </row>
    <row r="281" spans="2:3" x14ac:dyDescent="0.3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McDowell, Trey</cp:lastModifiedBy>
  <dcterms:created xsi:type="dcterms:W3CDTF">2016-04-12T13:52:23Z</dcterms:created>
  <dcterms:modified xsi:type="dcterms:W3CDTF">2017-10-24T15:20:18Z</dcterms:modified>
</cp:coreProperties>
</file>