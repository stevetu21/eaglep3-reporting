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6" i="9" l="1"/>
  <c r="C76" i="9"/>
  <c r="B77" i="9"/>
  <c r="C78" i="9" s="1"/>
  <c r="C77" i="9"/>
  <c r="B78" i="9"/>
  <c r="B79" i="9"/>
  <c r="C80" i="9" s="1"/>
  <c r="C79" i="9"/>
  <c r="B80" i="9"/>
  <c r="B81" i="9"/>
  <c r="C81" i="9"/>
  <c r="X40" i="1"/>
  <c r="X41" i="1"/>
  <c r="X42" i="1"/>
  <c r="K39" i="1"/>
  <c r="L39" i="1"/>
  <c r="M39" i="1"/>
  <c r="P39" i="1" s="1"/>
  <c r="V39" i="1"/>
  <c r="Y39" i="1"/>
  <c r="Z39" i="1"/>
  <c r="AA39" i="1" s="1"/>
  <c r="AB39" i="1"/>
  <c r="AC39" i="1"/>
  <c r="AD39" i="1"/>
  <c r="T39" i="1" s="1"/>
  <c r="AE39" i="1"/>
  <c r="AF39" i="1"/>
  <c r="AH39" i="1"/>
  <c r="B6" i="6"/>
  <c r="F6" i="6"/>
  <c r="G6" i="6"/>
  <c r="H6" i="6"/>
  <c r="I6" i="6"/>
  <c r="J6" i="6"/>
  <c r="K6" i="6"/>
  <c r="B7" i="6"/>
  <c r="F7" i="6" s="1"/>
  <c r="I7" i="6"/>
  <c r="K7" i="6"/>
  <c r="B8" i="6"/>
  <c r="G8" i="6" s="1"/>
  <c r="F8" i="6"/>
  <c r="I8" i="6"/>
  <c r="J8" i="6"/>
  <c r="K8" i="6"/>
  <c r="B9" i="6"/>
  <c r="H9" i="6" s="1"/>
  <c r="F9" i="6"/>
  <c r="G9" i="6"/>
  <c r="I9" i="6"/>
  <c r="J9" i="6"/>
  <c r="K9" i="6"/>
  <c r="B10" i="6"/>
  <c r="F10" i="6"/>
  <c r="G10" i="6"/>
  <c r="H10" i="6"/>
  <c r="I10" i="6"/>
  <c r="J10" i="6"/>
  <c r="K10" i="6"/>
  <c r="K18" i="1"/>
  <c r="L18" i="1"/>
  <c r="M18" i="1"/>
  <c r="P18" i="1" s="1"/>
  <c r="V18" i="1"/>
  <c r="Y18" i="1"/>
  <c r="Z18" i="1"/>
  <c r="AB18" i="1"/>
  <c r="AC18" i="1"/>
  <c r="AD18" i="1"/>
  <c r="T18" i="1" s="1"/>
  <c r="AE18" i="1"/>
  <c r="AF18" i="1"/>
  <c r="AH18" i="1"/>
  <c r="K17" i="1"/>
  <c r="L17" i="1"/>
  <c r="M17" i="1"/>
  <c r="P17" i="1" s="1"/>
  <c r="V17" i="1"/>
  <c r="Y17" i="1"/>
  <c r="AA17" i="1" s="1"/>
  <c r="Z17" i="1"/>
  <c r="AB17" i="1"/>
  <c r="AC17" i="1"/>
  <c r="AD17" i="1"/>
  <c r="T17" i="1" s="1"/>
  <c r="AE17" i="1"/>
  <c r="AF17" i="1"/>
  <c r="AH17" i="1"/>
  <c r="M28" i="5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S22" i="3" s="1"/>
  <c r="Y15" i="1"/>
  <c r="Z15" i="1"/>
  <c r="AB15" i="1"/>
  <c r="AC15" i="1"/>
  <c r="AD15" i="1"/>
  <c r="T15" i="1" s="1"/>
  <c r="AE15" i="1"/>
  <c r="R22" i="3" s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P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S11" i="3" s="1"/>
  <c r="Y37" i="1"/>
  <c r="Z37" i="1"/>
  <c r="AB37" i="1"/>
  <c r="AC37" i="1"/>
  <c r="AD37" i="1"/>
  <c r="T37" i="1" s="1"/>
  <c r="AE37" i="1"/>
  <c r="R11" i="3" s="1"/>
  <c r="AF37" i="1"/>
  <c r="AH37" i="1"/>
  <c r="K38" i="1"/>
  <c r="L38" i="1"/>
  <c r="M38" i="1"/>
  <c r="N38" i="1" s="1"/>
  <c r="V38" i="1"/>
  <c r="S8" i="3" s="1"/>
  <c r="Y38" i="1"/>
  <c r="Z38" i="1"/>
  <c r="AB38" i="1"/>
  <c r="AC38" i="1"/>
  <c r="AD38" i="1"/>
  <c r="AE38" i="1"/>
  <c r="R8" i="3" s="1"/>
  <c r="AF38" i="1"/>
  <c r="AH38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S12" i="3" s="1"/>
  <c r="Y47" i="1"/>
  <c r="Z47" i="1"/>
  <c r="AB47" i="1"/>
  <c r="AC47" i="1"/>
  <c r="AD47" i="1"/>
  <c r="AG47" i="1" s="1"/>
  <c r="AE47" i="1"/>
  <c r="R12" i="3" s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S14" i="3" s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15" i="3" s="1"/>
  <c r="Y54" i="1"/>
  <c r="Z54" i="1"/>
  <c r="AB54" i="1"/>
  <c r="AC54" i="1"/>
  <c r="AD54" i="1"/>
  <c r="X54" i="1" s="1"/>
  <c r="AE54" i="1"/>
  <c r="R15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S10" i="3" s="1"/>
  <c r="Y59" i="1"/>
  <c r="Z59" i="1"/>
  <c r="AB59" i="1"/>
  <c r="AC59" i="1"/>
  <c r="AD59" i="1"/>
  <c r="AG59" i="1" s="1"/>
  <c r="AE59" i="1"/>
  <c r="R10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S7" i="3" s="1"/>
  <c r="Y73" i="1"/>
  <c r="Z73" i="1"/>
  <c r="AB73" i="1"/>
  <c r="AC73" i="1"/>
  <c r="AD73" i="1"/>
  <c r="T73" i="1" s="1"/>
  <c r="AE73" i="1"/>
  <c r="R7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S16" i="3" s="1"/>
  <c r="Y75" i="1"/>
  <c r="Z75" i="1"/>
  <c r="AB75" i="1"/>
  <c r="AC75" i="1"/>
  <c r="AD75" i="1"/>
  <c r="AG75" i="1" s="1"/>
  <c r="AE75" i="1"/>
  <c r="R17" i="3" s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S18" i="3" s="1"/>
  <c r="Y77" i="1"/>
  <c r="Z77" i="1"/>
  <c r="AB77" i="1"/>
  <c r="AC77" i="1"/>
  <c r="AD77" i="1"/>
  <c r="AE77" i="1"/>
  <c r="R18" i="3" s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I95" i="1" s="1"/>
  <c r="AB95" i="1"/>
  <c r="AC95" i="1"/>
  <c r="AD95" i="1"/>
  <c r="AG95" i="1" s="1"/>
  <c r="AE95" i="1"/>
  <c r="AF95" i="1"/>
  <c r="AH95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7" i="1"/>
  <c r="K163" i="1"/>
  <c r="L163" i="1"/>
  <c r="M163" i="1"/>
  <c r="N163" i="1" s="1"/>
  <c r="V163" i="1"/>
  <c r="S24" i="3" s="1"/>
  <c r="Y163" i="1"/>
  <c r="Z163" i="1"/>
  <c r="AB163" i="1"/>
  <c r="AC163" i="1"/>
  <c r="AD163" i="1"/>
  <c r="X163" i="1" s="1"/>
  <c r="AE163" i="1"/>
  <c r="R24" i="3" s="1"/>
  <c r="AF163" i="1"/>
  <c r="AH98" i="1"/>
  <c r="K164" i="1"/>
  <c r="L164" i="1"/>
  <c r="M164" i="1"/>
  <c r="N164" i="1" s="1"/>
  <c r="V164" i="1"/>
  <c r="Y164" i="1"/>
  <c r="Z164" i="1"/>
  <c r="AA164" i="1" s="1"/>
  <c r="AB164" i="1"/>
  <c r="AC164" i="1"/>
  <c r="AD164" i="1"/>
  <c r="X164" i="1" s="1"/>
  <c r="AE164" i="1"/>
  <c r="AF164" i="1"/>
  <c r="AH99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2" i="1"/>
  <c r="K168" i="1"/>
  <c r="L168" i="1"/>
  <c r="M168" i="1"/>
  <c r="N168" i="1" s="1"/>
  <c r="V168" i="1"/>
  <c r="S27" i="3" s="1"/>
  <c r="Y168" i="1"/>
  <c r="Z168" i="1"/>
  <c r="AB168" i="1"/>
  <c r="AC168" i="1"/>
  <c r="AD168" i="1"/>
  <c r="AG168" i="1" s="1"/>
  <c r="AE168" i="1"/>
  <c r="R27" i="3" s="1"/>
  <c r="AF168" i="1"/>
  <c r="AH103" i="1"/>
  <c r="K169" i="1"/>
  <c r="L169" i="1"/>
  <c r="M169" i="1"/>
  <c r="N169" i="1" s="1"/>
  <c r="V169" i="1"/>
  <c r="Y169" i="1"/>
  <c r="AB169" i="1"/>
  <c r="AC169" i="1"/>
  <c r="AD169" i="1"/>
  <c r="AG169" i="1" s="1"/>
  <c r="AE169" i="1"/>
  <c r="AF169" i="1"/>
  <c r="AH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0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7" i="1"/>
  <c r="K172" i="1"/>
  <c r="L172" i="1"/>
  <c r="M172" i="1"/>
  <c r="N172" i="1" s="1"/>
  <c r="V172" i="1"/>
  <c r="Y172" i="1"/>
  <c r="AB172" i="1"/>
  <c r="AC172" i="1"/>
  <c r="AD172" i="1"/>
  <c r="AE172" i="1"/>
  <c r="AF172" i="1"/>
  <c r="AH108" i="1"/>
  <c r="K173" i="1"/>
  <c r="L173" i="1"/>
  <c r="M173" i="1"/>
  <c r="N173" i="1" s="1"/>
  <c r="V173" i="1"/>
  <c r="S28" i="3" s="1"/>
  <c r="Y173" i="1"/>
  <c r="Z173" i="1"/>
  <c r="AB173" i="1"/>
  <c r="AC173" i="1"/>
  <c r="AD173" i="1"/>
  <c r="T173" i="1" s="1"/>
  <c r="AE173" i="1"/>
  <c r="R28" i="3" s="1"/>
  <c r="AF173" i="1"/>
  <c r="AH10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1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1" i="1"/>
  <c r="K176" i="1"/>
  <c r="L176" i="1"/>
  <c r="M176" i="1"/>
  <c r="N176" i="1" s="1"/>
  <c r="V176" i="1"/>
  <c r="S34" i="3" s="1"/>
  <c r="Y176" i="1"/>
  <c r="Z176" i="1"/>
  <c r="AB176" i="1"/>
  <c r="AC176" i="1"/>
  <c r="AD176" i="1"/>
  <c r="AG176" i="1" s="1"/>
  <c r="AE176" i="1"/>
  <c r="R34" i="3" s="1"/>
  <c r="AF176" i="1"/>
  <c r="AH11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181" i="1"/>
  <c r="L181" i="1"/>
  <c r="M181" i="1"/>
  <c r="N181" i="1" s="1"/>
  <c r="V181" i="1"/>
  <c r="S26" i="3" s="1"/>
  <c r="Y181" i="1"/>
  <c r="Z181" i="1"/>
  <c r="AB181" i="1"/>
  <c r="AC181" i="1"/>
  <c r="AD181" i="1"/>
  <c r="AG181" i="1" s="1"/>
  <c r="AE181" i="1"/>
  <c r="R26" i="3" s="1"/>
  <c r="AF181" i="1"/>
  <c r="AH11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8" i="1"/>
  <c r="K183" i="1"/>
  <c r="L183" i="1"/>
  <c r="M183" i="1"/>
  <c r="N183" i="1" s="1"/>
  <c r="V183" i="1"/>
  <c r="S23" i="3" s="1"/>
  <c r="Y183" i="1"/>
  <c r="Z183" i="1"/>
  <c r="AB183" i="1"/>
  <c r="AC183" i="1"/>
  <c r="AD183" i="1"/>
  <c r="AG183" i="1" s="1"/>
  <c r="AE183" i="1"/>
  <c r="R23" i="3" s="1"/>
  <c r="AF183" i="1"/>
  <c r="AH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K185" i="1"/>
  <c r="L185" i="1"/>
  <c r="M185" i="1"/>
  <c r="N185" i="1" s="1"/>
  <c r="V185" i="1"/>
  <c r="S30" i="3" s="1"/>
  <c r="Y185" i="1"/>
  <c r="Z185" i="1"/>
  <c r="AB185" i="1"/>
  <c r="AC185" i="1"/>
  <c r="AD185" i="1"/>
  <c r="AG185" i="1" s="1"/>
  <c r="AE185" i="1"/>
  <c r="R30" i="3" s="1"/>
  <c r="AF185" i="1"/>
  <c r="AH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K187" i="1"/>
  <c r="L187" i="1"/>
  <c r="M187" i="1"/>
  <c r="N187" i="1" s="1"/>
  <c r="V187" i="1"/>
  <c r="S31" i="3" s="1"/>
  <c r="Y187" i="1"/>
  <c r="Z187" i="1"/>
  <c r="AB187" i="1"/>
  <c r="AC187" i="1"/>
  <c r="AD187" i="1"/>
  <c r="AE187" i="1"/>
  <c r="R31" i="3" s="1"/>
  <c r="AF187" i="1"/>
  <c r="AH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K189" i="1"/>
  <c r="L189" i="1"/>
  <c r="M189" i="1"/>
  <c r="N189" i="1" s="1"/>
  <c r="V189" i="1"/>
  <c r="S25" i="3" s="1"/>
  <c r="Y189" i="1"/>
  <c r="Z189" i="1"/>
  <c r="AB189" i="1"/>
  <c r="AC189" i="1"/>
  <c r="AD189" i="1"/>
  <c r="AG189" i="1" s="1"/>
  <c r="AE189" i="1"/>
  <c r="R25" i="3" s="1"/>
  <c r="AF189" i="1"/>
  <c r="AH12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6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129" i="1"/>
  <c r="K193" i="1"/>
  <c r="L193" i="1"/>
  <c r="M193" i="1"/>
  <c r="N193" i="1" s="1"/>
  <c r="V193" i="1"/>
  <c r="S33" i="3" s="1"/>
  <c r="Y193" i="1"/>
  <c r="Z193" i="1"/>
  <c r="AB193" i="1"/>
  <c r="AC193" i="1"/>
  <c r="AD193" i="1"/>
  <c r="AE193" i="1"/>
  <c r="R33" i="3" s="1"/>
  <c r="AF193" i="1"/>
  <c r="AH130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31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2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3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4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5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6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7" i="1"/>
  <c r="K105" i="1"/>
  <c r="L105" i="1"/>
  <c r="M105" i="1"/>
  <c r="N105" i="1" s="1"/>
  <c r="V105" i="1"/>
  <c r="S13" i="3" s="1"/>
  <c r="Y105" i="1"/>
  <c r="Z105" i="1"/>
  <c r="AB105" i="1"/>
  <c r="AC105" i="1"/>
  <c r="AD105" i="1"/>
  <c r="X105" i="1" s="1"/>
  <c r="AE105" i="1"/>
  <c r="R13" i="3" s="1"/>
  <c r="AF105" i="1"/>
  <c r="AH138" i="1"/>
  <c r="K204" i="1"/>
  <c r="L204" i="1"/>
  <c r="M204" i="1"/>
  <c r="N204" i="1" s="1"/>
  <c r="V204" i="1"/>
  <c r="S37" i="3" s="1"/>
  <c r="Y204" i="1"/>
  <c r="Z204" i="1"/>
  <c r="AB204" i="1"/>
  <c r="AC204" i="1"/>
  <c r="AD204" i="1"/>
  <c r="AG204" i="1" s="1"/>
  <c r="AE204" i="1"/>
  <c r="R37" i="3" s="1"/>
  <c r="AF204" i="1"/>
  <c r="AH139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0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1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2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3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4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5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6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7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48" i="1"/>
  <c r="K115" i="1"/>
  <c r="L115" i="1"/>
  <c r="M115" i="1"/>
  <c r="N115" i="1" s="1"/>
  <c r="V115" i="1"/>
  <c r="S19" i="3" s="1"/>
  <c r="Y115" i="1"/>
  <c r="Z115" i="1"/>
  <c r="AB115" i="1"/>
  <c r="AC115" i="1"/>
  <c r="AD115" i="1"/>
  <c r="AG115" i="1" s="1"/>
  <c r="AE115" i="1"/>
  <c r="R19" i="3" s="1"/>
  <c r="AF115" i="1"/>
  <c r="AH149" i="1"/>
  <c r="K116" i="1"/>
  <c r="L116" i="1"/>
  <c r="M116" i="1"/>
  <c r="P116" i="1" s="1"/>
  <c r="V116" i="1"/>
  <c r="Y116" i="1"/>
  <c r="Z116" i="1"/>
  <c r="AB116" i="1"/>
  <c r="AC116" i="1"/>
  <c r="AD116" i="1"/>
  <c r="T116" i="1" s="1"/>
  <c r="AE116" i="1"/>
  <c r="AF116" i="1"/>
  <c r="AH150" i="1"/>
  <c r="AH151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2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3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54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59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0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1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2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3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4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5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6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7" i="1"/>
  <c r="K135" i="1"/>
  <c r="L135" i="1"/>
  <c r="M135" i="1"/>
  <c r="N135" i="1" s="1"/>
  <c r="V135" i="1"/>
  <c r="Y135" i="1"/>
  <c r="AB135" i="1"/>
  <c r="AC135" i="1"/>
  <c r="AD135" i="1"/>
  <c r="AE135" i="1"/>
  <c r="AF135" i="1"/>
  <c r="AH168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69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0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1" i="1"/>
  <c r="K139" i="1"/>
  <c r="L139" i="1"/>
  <c r="M139" i="1"/>
  <c r="V139" i="1"/>
  <c r="Y139" i="1"/>
  <c r="Z139" i="1"/>
  <c r="AB139" i="1"/>
  <c r="AC139" i="1"/>
  <c r="AD139" i="1"/>
  <c r="T139" i="1" s="1"/>
  <c r="AE139" i="1"/>
  <c r="AF139" i="1"/>
  <c r="AH172" i="1"/>
  <c r="K140" i="1"/>
  <c r="L140" i="1"/>
  <c r="M140" i="1"/>
  <c r="V140" i="1"/>
  <c r="Y140" i="1"/>
  <c r="Z140" i="1"/>
  <c r="AB140" i="1"/>
  <c r="AC140" i="1"/>
  <c r="AD140" i="1"/>
  <c r="T140" i="1" s="1"/>
  <c r="AE140" i="1"/>
  <c r="AF140" i="1"/>
  <c r="AH173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4" i="1"/>
  <c r="K142" i="1"/>
  <c r="L142" i="1"/>
  <c r="M142" i="1"/>
  <c r="N142" i="1" s="1"/>
  <c r="V142" i="1"/>
  <c r="S9" i="3" s="1"/>
  <c r="Y142" i="1"/>
  <c r="Z142" i="1"/>
  <c r="AB142" i="1"/>
  <c r="AC142" i="1"/>
  <c r="AD142" i="1"/>
  <c r="AG142" i="1" s="1"/>
  <c r="AE142" i="1"/>
  <c r="R9" i="3" s="1"/>
  <c r="AF142" i="1"/>
  <c r="AH175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76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7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8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79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0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81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2" i="1"/>
  <c r="K150" i="1"/>
  <c r="L150" i="1"/>
  <c r="M150" i="1"/>
  <c r="N150" i="1" s="1"/>
  <c r="V150" i="1"/>
  <c r="S20" i="3" s="1"/>
  <c r="Y150" i="1"/>
  <c r="Z150" i="1"/>
  <c r="AB150" i="1"/>
  <c r="AC150" i="1"/>
  <c r="AD150" i="1"/>
  <c r="AE150" i="1"/>
  <c r="R20" i="3" s="1"/>
  <c r="AF150" i="1"/>
  <c r="AH183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84" i="1"/>
  <c r="K152" i="1"/>
  <c r="L152" i="1"/>
  <c r="M152" i="1"/>
  <c r="N152" i="1" s="1"/>
  <c r="V152" i="1"/>
  <c r="S21" i="3" s="1"/>
  <c r="Y152" i="1"/>
  <c r="Z152" i="1"/>
  <c r="AB152" i="1"/>
  <c r="AC152" i="1"/>
  <c r="AD152" i="1"/>
  <c r="T152" i="1" s="1"/>
  <c r="AE152" i="1"/>
  <c r="R21" i="3" s="1"/>
  <c r="AF152" i="1"/>
  <c r="AH185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6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7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88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89" i="1"/>
  <c r="AH19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1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2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3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4" i="1"/>
  <c r="AH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4" i="1"/>
  <c r="K205" i="1"/>
  <c r="L205" i="1"/>
  <c r="M205" i="1"/>
  <c r="N205" i="1" s="1"/>
  <c r="V205" i="1"/>
  <c r="S35" i="3" s="1"/>
  <c r="Y205" i="1"/>
  <c r="Z205" i="1"/>
  <c r="AB205" i="1"/>
  <c r="AC205" i="1"/>
  <c r="AD205" i="1"/>
  <c r="AG205" i="1" s="1"/>
  <c r="AE205" i="1"/>
  <c r="R35" i="3" s="1"/>
  <c r="AF205" i="1"/>
  <c r="AH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K210" i="1"/>
  <c r="L210" i="1"/>
  <c r="M210" i="1"/>
  <c r="N210" i="1" s="1"/>
  <c r="V210" i="1"/>
  <c r="S38" i="3" s="1"/>
  <c r="Y210" i="1"/>
  <c r="Z210" i="1"/>
  <c r="AB210" i="1"/>
  <c r="AC210" i="1"/>
  <c r="AD210" i="1"/>
  <c r="AG210" i="1" s="1"/>
  <c r="AE210" i="1"/>
  <c r="R38" i="3" s="1"/>
  <c r="AF210" i="1"/>
  <c r="AH210" i="1"/>
  <c r="K211" i="1"/>
  <c r="L211" i="1"/>
  <c r="M211" i="1"/>
  <c r="N211" i="1" s="1"/>
  <c r="V211" i="1"/>
  <c r="S40" i="3" s="1"/>
  <c r="Y211" i="1"/>
  <c r="Z211" i="1"/>
  <c r="AB211" i="1"/>
  <c r="AC211" i="1"/>
  <c r="AD211" i="1"/>
  <c r="AG211" i="1" s="1"/>
  <c r="AE211" i="1"/>
  <c r="R39" i="3" s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K214" i="1"/>
  <c r="L214" i="1"/>
  <c r="M214" i="1"/>
  <c r="N214" i="1"/>
  <c r="V214" i="1"/>
  <c r="Y214" i="1"/>
  <c r="Z214" i="1"/>
  <c r="AB214" i="1"/>
  <c r="AC214" i="1"/>
  <c r="AD214" i="1"/>
  <c r="AG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M22" i="3"/>
  <c r="N22" i="3"/>
  <c r="U22" i="3"/>
  <c r="T22" i="3" s="1"/>
  <c r="V22" i="3"/>
  <c r="W22" i="3"/>
  <c r="X22" i="3"/>
  <c r="AC22" i="3"/>
  <c r="M37" i="3"/>
  <c r="N37" i="3"/>
  <c r="U37" i="3"/>
  <c r="T37" i="3" s="1"/>
  <c r="V37" i="3"/>
  <c r="W37" i="3"/>
  <c r="X37" i="3"/>
  <c r="M24" i="3"/>
  <c r="N24" i="3"/>
  <c r="U24" i="3"/>
  <c r="AC24" i="3" s="1"/>
  <c r="V24" i="3"/>
  <c r="W24" i="3"/>
  <c r="X24" i="3"/>
  <c r="M8" i="3"/>
  <c r="N8" i="3"/>
  <c r="U8" i="3"/>
  <c r="T8" i="3" s="1"/>
  <c r="V8" i="3"/>
  <c r="W8" i="3"/>
  <c r="X8" i="3"/>
  <c r="AC8" i="3"/>
  <c r="M11" i="3"/>
  <c r="N11" i="3"/>
  <c r="U11" i="3"/>
  <c r="T11" i="3" s="1"/>
  <c r="V11" i="3"/>
  <c r="W11" i="3"/>
  <c r="X11" i="3"/>
  <c r="AC11" i="3"/>
  <c r="M12" i="3"/>
  <c r="N12" i="3"/>
  <c r="U12" i="3"/>
  <c r="T12" i="3" s="1"/>
  <c r="V12" i="3"/>
  <c r="W12" i="3"/>
  <c r="X12" i="3"/>
  <c r="AC12" i="3"/>
  <c r="M27" i="3"/>
  <c r="N27" i="3"/>
  <c r="U27" i="3"/>
  <c r="V27" i="3"/>
  <c r="W27" i="3"/>
  <c r="X27" i="3"/>
  <c r="AC27" i="3"/>
  <c r="M14" i="3"/>
  <c r="N14" i="3"/>
  <c r="R14" i="3"/>
  <c r="U14" i="3"/>
  <c r="T14" i="3" s="1"/>
  <c r="V14" i="3"/>
  <c r="W14" i="3"/>
  <c r="X14" i="3"/>
  <c r="AC14" i="3"/>
  <c r="M10" i="3"/>
  <c r="N10" i="3"/>
  <c r="U10" i="3"/>
  <c r="T10" i="3" s="1"/>
  <c r="V10" i="3"/>
  <c r="W10" i="3"/>
  <c r="X10" i="3"/>
  <c r="AC10" i="3"/>
  <c r="M15" i="3"/>
  <c r="N15" i="3"/>
  <c r="U15" i="3"/>
  <c r="T15" i="3" s="1"/>
  <c r="V15" i="3"/>
  <c r="W15" i="3"/>
  <c r="X15" i="3"/>
  <c r="AC15" i="3"/>
  <c r="M29" i="3"/>
  <c r="N29" i="3"/>
  <c r="R29" i="3"/>
  <c r="S29" i="3"/>
  <c r="U29" i="3"/>
  <c r="V29" i="3"/>
  <c r="W29" i="3"/>
  <c r="X29" i="3"/>
  <c r="AC29" i="3"/>
  <c r="M28" i="3"/>
  <c r="N28" i="3"/>
  <c r="U28" i="3"/>
  <c r="T28" i="3" s="1"/>
  <c r="V28" i="3"/>
  <c r="W28" i="3"/>
  <c r="X28" i="3"/>
  <c r="AC28" i="3"/>
  <c r="M7" i="3"/>
  <c r="N7" i="3"/>
  <c r="U7" i="3"/>
  <c r="T7" i="3" s="1"/>
  <c r="V7" i="3"/>
  <c r="W7" i="3"/>
  <c r="X7" i="3"/>
  <c r="AC7" i="3"/>
  <c r="M16" i="3"/>
  <c r="N16" i="3"/>
  <c r="U16" i="3"/>
  <c r="T16" i="3" s="1"/>
  <c r="V16" i="3"/>
  <c r="W16" i="3"/>
  <c r="X16" i="3"/>
  <c r="AC16" i="3"/>
  <c r="M17" i="3"/>
  <c r="N17" i="3"/>
  <c r="U17" i="3"/>
  <c r="V17" i="3"/>
  <c r="W17" i="3"/>
  <c r="X17" i="3"/>
  <c r="AC17" i="3"/>
  <c r="M18" i="3"/>
  <c r="N18" i="3"/>
  <c r="U18" i="3"/>
  <c r="T18" i="3" s="1"/>
  <c r="V18" i="3"/>
  <c r="W18" i="3"/>
  <c r="X18" i="3"/>
  <c r="AC18" i="3"/>
  <c r="M34" i="3"/>
  <c r="N34" i="3"/>
  <c r="U34" i="3"/>
  <c r="T34" i="3" s="1"/>
  <c r="V34" i="3"/>
  <c r="W34" i="3"/>
  <c r="X34" i="3"/>
  <c r="AC34" i="3"/>
  <c r="M13" i="3"/>
  <c r="N13" i="3"/>
  <c r="U13" i="3"/>
  <c r="T13" i="3" s="1"/>
  <c r="V13" i="3"/>
  <c r="W13" i="3"/>
  <c r="X13" i="3"/>
  <c r="AC13" i="3"/>
  <c r="M26" i="3"/>
  <c r="N26" i="3"/>
  <c r="U26" i="3"/>
  <c r="AD26" i="3" s="1"/>
  <c r="V26" i="3"/>
  <c r="W26" i="3"/>
  <c r="X26" i="3"/>
  <c r="AC26" i="3"/>
  <c r="M23" i="3"/>
  <c r="N23" i="3"/>
  <c r="U23" i="3"/>
  <c r="T23" i="3" s="1"/>
  <c r="V23" i="3"/>
  <c r="W23" i="3"/>
  <c r="X23" i="3"/>
  <c r="M19" i="3"/>
  <c r="N19" i="3"/>
  <c r="U19" i="3"/>
  <c r="T19" i="3" s="1"/>
  <c r="V19" i="3"/>
  <c r="W19" i="3"/>
  <c r="X19" i="3"/>
  <c r="AC19" i="3"/>
  <c r="M30" i="3"/>
  <c r="N30" i="3"/>
  <c r="U30" i="3"/>
  <c r="T30" i="3" s="1"/>
  <c r="V30" i="3"/>
  <c r="W30" i="3"/>
  <c r="X30" i="3"/>
  <c r="AC30" i="3"/>
  <c r="M38" i="3"/>
  <c r="N38" i="3"/>
  <c r="U38" i="3"/>
  <c r="V38" i="3"/>
  <c r="W38" i="3"/>
  <c r="X38" i="3"/>
  <c r="AC38" i="3"/>
  <c r="M40" i="3"/>
  <c r="N40" i="3"/>
  <c r="U40" i="3"/>
  <c r="T40" i="3" s="1"/>
  <c r="V40" i="3"/>
  <c r="W40" i="3"/>
  <c r="X40" i="3"/>
  <c r="M31" i="3"/>
  <c r="N31" i="3"/>
  <c r="U31" i="3"/>
  <c r="T31" i="3" s="1"/>
  <c r="V31" i="3"/>
  <c r="W31" i="3"/>
  <c r="X31" i="3"/>
  <c r="AC31" i="3"/>
  <c r="M25" i="3"/>
  <c r="N25" i="3"/>
  <c r="U25" i="3"/>
  <c r="V25" i="3"/>
  <c r="W25" i="3"/>
  <c r="X25" i="3"/>
  <c r="M39" i="3"/>
  <c r="N39" i="3"/>
  <c r="U39" i="3"/>
  <c r="AD20" i="3" s="1"/>
  <c r="V39" i="3"/>
  <c r="W39" i="3"/>
  <c r="X39" i="3"/>
  <c r="AC39" i="3"/>
  <c r="M9" i="3"/>
  <c r="N9" i="3"/>
  <c r="U9" i="3"/>
  <c r="T9" i="3" s="1"/>
  <c r="V9" i="3"/>
  <c r="W9" i="3"/>
  <c r="X9" i="3"/>
  <c r="M32" i="3"/>
  <c r="N32" i="3"/>
  <c r="U32" i="3"/>
  <c r="T32" i="3" s="1"/>
  <c r="V32" i="3"/>
  <c r="W32" i="3"/>
  <c r="X32" i="3"/>
  <c r="AC32" i="3"/>
  <c r="M33" i="3"/>
  <c r="N33" i="3"/>
  <c r="U33" i="3"/>
  <c r="AD25" i="3" s="1"/>
  <c r="V33" i="3"/>
  <c r="W33" i="3"/>
  <c r="X33" i="3"/>
  <c r="AC33" i="3"/>
  <c r="M35" i="3"/>
  <c r="N35" i="3"/>
  <c r="U35" i="3"/>
  <c r="V35" i="3"/>
  <c r="W35" i="3"/>
  <c r="X35" i="3"/>
  <c r="AC35" i="3"/>
  <c r="M20" i="3"/>
  <c r="N20" i="3"/>
  <c r="U20" i="3"/>
  <c r="T20" i="3" s="1"/>
  <c r="V20" i="3"/>
  <c r="W20" i="3"/>
  <c r="X20" i="3"/>
  <c r="M21" i="3"/>
  <c r="N21" i="3"/>
  <c r="U21" i="3"/>
  <c r="T21" i="3" s="1"/>
  <c r="V21" i="3"/>
  <c r="W21" i="3"/>
  <c r="X21" i="3"/>
  <c r="AC21" i="3"/>
  <c r="AD30" i="3" l="1"/>
  <c r="AD13" i="3"/>
  <c r="T181" i="1"/>
  <c r="AA158" i="1"/>
  <c r="AA190" i="1"/>
  <c r="W190" i="1" s="1"/>
  <c r="AI182" i="1"/>
  <c r="X178" i="1"/>
  <c r="X162" i="1"/>
  <c r="X166" i="1"/>
  <c r="AG39" i="1"/>
  <c r="X39" i="1"/>
  <c r="R40" i="3"/>
  <c r="X165" i="1"/>
  <c r="X161" i="1"/>
  <c r="AC23" i="3"/>
  <c r="AI71" i="1"/>
  <c r="AI55" i="1"/>
  <c r="X159" i="1"/>
  <c r="X160" i="1"/>
  <c r="AC40" i="3"/>
  <c r="T82" i="1"/>
  <c r="U82" i="1" s="1"/>
  <c r="S82" i="1" s="1"/>
  <c r="AA20" i="1"/>
  <c r="AA19" i="1"/>
  <c r="X158" i="1"/>
  <c r="AA18" i="1"/>
  <c r="W18" i="1" s="1"/>
  <c r="AC9" i="3"/>
  <c r="H7" i="6"/>
  <c r="H8" i="6"/>
  <c r="G7" i="6"/>
  <c r="J7" i="6"/>
  <c r="AG18" i="1"/>
  <c r="X18" i="1"/>
  <c r="Y28" i="3"/>
  <c r="Y8" i="3"/>
  <c r="AG17" i="1"/>
  <c r="W17" i="1" s="1"/>
  <c r="X17" i="1"/>
  <c r="AA74" i="1"/>
  <c r="AA25" i="1"/>
  <c r="W25" i="1" s="1"/>
  <c r="AG15" i="1"/>
  <c r="AD17" i="3"/>
  <c r="Y37" i="3"/>
  <c r="S17" i="3"/>
  <c r="AA212" i="1"/>
  <c r="AA123" i="1"/>
  <c r="AI51" i="1"/>
  <c r="AI43" i="1"/>
  <c r="AA40" i="1"/>
  <c r="W40" i="1" s="1"/>
  <c r="X16" i="1"/>
  <c r="AA14" i="1"/>
  <c r="P139" i="1"/>
  <c r="X135" i="1"/>
  <c r="T33" i="1"/>
  <c r="U33" i="1" s="1"/>
  <c r="S33" i="1" s="1"/>
  <c r="X116" i="1"/>
  <c r="X157" i="1"/>
  <c r="X120" i="1"/>
  <c r="T25" i="3"/>
  <c r="AA65" i="1"/>
  <c r="AA63" i="1"/>
  <c r="W63" i="1" s="1"/>
  <c r="AA59" i="1"/>
  <c r="W59" i="1" s="1"/>
  <c r="X115" i="1"/>
  <c r="AG131" i="1"/>
  <c r="X131" i="1"/>
  <c r="AI118" i="1"/>
  <c r="S32" i="3"/>
  <c r="AC37" i="3"/>
  <c r="T79" i="1"/>
  <c r="U79" i="1" s="1"/>
  <c r="S79" i="1" s="1"/>
  <c r="X76" i="1"/>
  <c r="AG73" i="1"/>
  <c r="U73" i="1" s="1"/>
  <c r="S73" i="1" s="1"/>
  <c r="X118" i="1"/>
  <c r="AC25" i="3"/>
  <c r="AA217" i="1"/>
  <c r="AI155" i="1"/>
  <c r="AD27" i="3"/>
  <c r="AD12" i="3"/>
  <c r="AA154" i="1"/>
  <c r="AA132" i="1"/>
  <c r="AA131" i="1"/>
  <c r="X121" i="1"/>
  <c r="X117" i="1"/>
  <c r="AG140" i="1"/>
  <c r="U140" i="1" s="1"/>
  <c r="AD35" i="3"/>
  <c r="AD9" i="3"/>
  <c r="Y19" i="3"/>
  <c r="AD18" i="3"/>
  <c r="T159" i="1"/>
  <c r="AA85" i="1"/>
  <c r="AA84" i="1"/>
  <c r="AA83" i="1"/>
  <c r="W83" i="1" s="1"/>
  <c r="AA71" i="1"/>
  <c r="W71" i="1" s="1"/>
  <c r="P65" i="1"/>
  <c r="AA55" i="1"/>
  <c r="W55" i="1" s="1"/>
  <c r="T50" i="1"/>
  <c r="U50" i="1" s="1"/>
  <c r="S50" i="1" s="1"/>
  <c r="X83" i="1"/>
  <c r="AA160" i="1"/>
  <c r="W160" i="1" s="1"/>
  <c r="AA149" i="1"/>
  <c r="W149" i="1" s="1"/>
  <c r="X140" i="1"/>
  <c r="AA139" i="1"/>
  <c r="AA115" i="1"/>
  <c r="W115" i="1" s="1"/>
  <c r="AA108" i="1"/>
  <c r="AA175" i="1"/>
  <c r="W175" i="1" s="1"/>
  <c r="AA96" i="1"/>
  <c r="W96" i="1" s="1"/>
  <c r="AG162" i="1"/>
  <c r="AI162" i="1" s="1"/>
  <c r="X86" i="1"/>
  <c r="X82" i="1"/>
  <c r="AD14" i="3"/>
  <c r="AG37" i="1"/>
  <c r="U37" i="1" s="1"/>
  <c r="S37" i="1" s="1"/>
  <c r="AD28" i="3"/>
  <c r="AD33" i="3"/>
  <c r="Y15" i="3"/>
  <c r="Y12" i="3"/>
  <c r="AD37" i="3"/>
  <c r="AA206" i="1"/>
  <c r="AA202" i="1"/>
  <c r="AA145" i="1"/>
  <c r="W145" i="1" s="1"/>
  <c r="AG139" i="1"/>
  <c r="X139" i="1"/>
  <c r="AA130" i="1"/>
  <c r="AI103" i="1"/>
  <c r="AA101" i="1"/>
  <c r="AA100" i="1"/>
  <c r="AA194" i="1"/>
  <c r="W194" i="1" s="1"/>
  <c r="AA193" i="1"/>
  <c r="AA191" i="1"/>
  <c r="T189" i="1"/>
  <c r="U189" i="1" s="1"/>
  <c r="S189" i="1" s="1"/>
  <c r="X96" i="1"/>
  <c r="T83" i="1"/>
  <c r="U83" i="1" s="1"/>
  <c r="S83" i="1" s="1"/>
  <c r="AA78" i="1"/>
  <c r="AA77" i="1"/>
  <c r="AA76" i="1"/>
  <c r="T76" i="1"/>
  <c r="U76" i="1" s="1"/>
  <c r="S76" i="1" s="1"/>
  <c r="X75" i="1"/>
  <c r="AG74" i="1"/>
  <c r="AI74" i="1" s="1"/>
  <c r="AA73" i="1"/>
  <c r="AI63" i="1"/>
  <c r="AA62" i="1"/>
  <c r="W206" i="1"/>
  <c r="AC20" i="3"/>
  <c r="R16" i="3"/>
  <c r="X206" i="1"/>
  <c r="Y21" i="3"/>
  <c r="Y32" i="3"/>
  <c r="R32" i="3"/>
  <c r="Y34" i="3"/>
  <c r="Y7" i="3"/>
  <c r="Y22" i="3"/>
  <c r="AA210" i="1"/>
  <c r="W210" i="1" s="1"/>
  <c r="T33" i="3"/>
  <c r="AD39" i="3"/>
  <c r="Y31" i="3"/>
  <c r="AA215" i="1"/>
  <c r="AA207" i="1"/>
  <c r="T205" i="1"/>
  <c r="U205" i="1" s="1"/>
  <c r="S205" i="1" s="1"/>
  <c r="AA201" i="1"/>
  <c r="W201" i="1" s="1"/>
  <c r="AA199" i="1"/>
  <c r="AA198" i="1"/>
  <c r="AA197" i="1"/>
  <c r="W197" i="1" s="1"/>
  <c r="AA195" i="1"/>
  <c r="T156" i="1"/>
  <c r="U156" i="1" s="1"/>
  <c r="S156" i="1" s="1"/>
  <c r="AA146" i="1"/>
  <c r="W146" i="1" s="1"/>
  <c r="AA128" i="1"/>
  <c r="AI126" i="1"/>
  <c r="AG123" i="1"/>
  <c r="U123" i="1" s="1"/>
  <c r="S123" i="1" s="1"/>
  <c r="X123" i="1"/>
  <c r="AG116" i="1"/>
  <c r="AI116" i="1" s="1"/>
  <c r="AA113" i="1"/>
  <c r="AG108" i="1"/>
  <c r="U108" i="1" s="1"/>
  <c r="S108" i="1" s="1"/>
  <c r="X108" i="1"/>
  <c r="AG191" i="1"/>
  <c r="U191" i="1" s="1"/>
  <c r="S191" i="1" s="1"/>
  <c r="AA98" i="1"/>
  <c r="W98" i="1" s="1"/>
  <c r="AA185" i="1"/>
  <c r="W185" i="1" s="1"/>
  <c r="T182" i="1"/>
  <c r="AA181" i="1"/>
  <c r="W181" i="1" s="1"/>
  <c r="T174" i="1"/>
  <c r="U174" i="1" s="1"/>
  <c r="S174" i="1" s="1"/>
  <c r="AI96" i="1"/>
  <c r="AA95" i="1"/>
  <c r="W95" i="1" s="1"/>
  <c r="T90" i="1"/>
  <c r="X87" i="1"/>
  <c r="AA81" i="1"/>
  <c r="AA80" i="1"/>
  <c r="W80" i="1" s="1"/>
  <c r="T80" i="1"/>
  <c r="AA72" i="1"/>
  <c r="T71" i="1"/>
  <c r="U71" i="1" s="1"/>
  <c r="S71" i="1" s="1"/>
  <c r="AA66" i="1"/>
  <c r="AI64" i="1"/>
  <c r="AA64" i="1"/>
  <c r="W64" i="1" s="1"/>
  <c r="AI59" i="1"/>
  <c r="AA211" i="1"/>
  <c r="W211" i="1" s="1"/>
  <c r="AA150" i="1"/>
  <c r="AG124" i="1"/>
  <c r="U124" i="1" s="1"/>
  <c r="S124" i="1" s="1"/>
  <c r="X124" i="1"/>
  <c r="AA116" i="1"/>
  <c r="AG109" i="1"/>
  <c r="U109" i="1" s="1"/>
  <c r="S109" i="1" s="1"/>
  <c r="X109" i="1"/>
  <c r="AA192" i="1"/>
  <c r="AA182" i="1"/>
  <c r="W182" i="1" s="1"/>
  <c r="AI90" i="1"/>
  <c r="AA89" i="1"/>
  <c r="AA88" i="1"/>
  <c r="AA87" i="1"/>
  <c r="T87" i="1"/>
  <c r="U87" i="1" s="1"/>
  <c r="S87" i="1" s="1"/>
  <c r="X80" i="1"/>
  <c r="AA70" i="1"/>
  <c r="P44" i="1"/>
  <c r="AI40" i="1"/>
  <c r="AA35" i="1"/>
  <c r="AA33" i="1"/>
  <c r="W33" i="1" s="1"/>
  <c r="AD40" i="3"/>
  <c r="AD16" i="3"/>
  <c r="AD15" i="3"/>
  <c r="AD8" i="3"/>
  <c r="AD23" i="3"/>
  <c r="AA152" i="1"/>
  <c r="W130" i="1"/>
  <c r="AG178" i="1"/>
  <c r="U178" i="1" s="1"/>
  <c r="S178" i="1" s="1"/>
  <c r="T94" i="1"/>
  <c r="U94" i="1" s="1"/>
  <c r="S94" i="1" s="1"/>
  <c r="T86" i="1"/>
  <c r="U86" i="1" s="1"/>
  <c r="S86" i="1" s="1"/>
  <c r="AI47" i="1"/>
  <c r="AA46" i="1"/>
  <c r="AG35" i="1"/>
  <c r="AI35" i="1" s="1"/>
  <c r="AA29" i="1"/>
  <c r="AG65" i="1"/>
  <c r="AI139" i="1"/>
  <c r="X191" i="1"/>
  <c r="X185" i="1"/>
  <c r="AI174" i="1"/>
  <c r="AI169" i="1"/>
  <c r="AA68" i="1"/>
  <c r="W68" i="1" s="1"/>
  <c r="X65" i="1"/>
  <c r="AA52" i="1"/>
  <c r="AA43" i="1"/>
  <c r="W43" i="1" s="1"/>
  <c r="X37" i="1"/>
  <c r="T25" i="1"/>
  <c r="AA214" i="1"/>
  <c r="W214" i="1" s="1"/>
  <c r="T209" i="1"/>
  <c r="U209" i="1" s="1"/>
  <c r="S209" i="1" s="1"/>
  <c r="AI201" i="1"/>
  <c r="AA200" i="1"/>
  <c r="W200" i="1" s="1"/>
  <c r="AA157" i="1"/>
  <c r="AA153" i="1"/>
  <c r="W153" i="1" s="1"/>
  <c r="T148" i="1"/>
  <c r="AG144" i="1"/>
  <c r="AI144" i="1" s="1"/>
  <c r="X144" i="1"/>
  <c r="AA143" i="1"/>
  <c r="W143" i="1" s="1"/>
  <c r="AA142" i="1"/>
  <c r="AA141" i="1"/>
  <c r="W141" i="1" s="1"/>
  <c r="AA140" i="1"/>
  <c r="AA137" i="1"/>
  <c r="W137" i="1" s="1"/>
  <c r="AA136" i="1"/>
  <c r="W136" i="1" s="1"/>
  <c r="X125" i="1"/>
  <c r="T121" i="1"/>
  <c r="U121" i="1" s="1"/>
  <c r="S121" i="1" s="1"/>
  <c r="AI117" i="1"/>
  <c r="X110" i="1"/>
  <c r="T106" i="1"/>
  <c r="AA102" i="1"/>
  <c r="AA186" i="1"/>
  <c r="AA183" i="1"/>
  <c r="W183" i="1" s="1"/>
  <c r="AA170" i="1"/>
  <c r="T163" i="1"/>
  <c r="AG92" i="1"/>
  <c r="AI92" i="1" s="1"/>
  <c r="AA60" i="1"/>
  <c r="X55" i="1"/>
  <c r="T54" i="1"/>
  <c r="AA51" i="1"/>
  <c r="W51" i="1" s="1"/>
  <c r="X50" i="1"/>
  <c r="AA49" i="1"/>
  <c r="AA48" i="1"/>
  <c r="AA36" i="1"/>
  <c r="W36" i="1" s="1"/>
  <c r="AA31" i="1"/>
  <c r="X26" i="1"/>
  <c r="AG23" i="1"/>
  <c r="AI23" i="1" s="1"/>
  <c r="AA21" i="1"/>
  <c r="W21" i="1" s="1"/>
  <c r="AA218" i="1"/>
  <c r="AA216" i="1"/>
  <c r="W216" i="1" s="1"/>
  <c r="AA208" i="1"/>
  <c r="W208" i="1" s="1"/>
  <c r="AG148" i="1"/>
  <c r="AI148" i="1" s="1"/>
  <c r="AA147" i="1"/>
  <c r="X145" i="1"/>
  <c r="X141" i="1"/>
  <c r="T137" i="1"/>
  <c r="U137" i="1" s="1"/>
  <c r="S137" i="1" s="1"/>
  <c r="AI133" i="1"/>
  <c r="AA129" i="1"/>
  <c r="W129" i="1" s="1"/>
  <c r="AA126" i="1"/>
  <c r="AA125" i="1"/>
  <c r="W125" i="1" s="1"/>
  <c r="AA124" i="1"/>
  <c r="AA122" i="1"/>
  <c r="AI121" i="1"/>
  <c r="AA121" i="1"/>
  <c r="W121" i="1" s="1"/>
  <c r="AA120" i="1"/>
  <c r="W120" i="1" s="1"/>
  <c r="AA114" i="1"/>
  <c r="W114" i="1" s="1"/>
  <c r="AA111" i="1"/>
  <c r="AA110" i="1"/>
  <c r="W110" i="1" s="1"/>
  <c r="AA109" i="1"/>
  <c r="AI106" i="1"/>
  <c r="AA106" i="1"/>
  <c r="W106" i="1" s="1"/>
  <c r="AA204" i="1"/>
  <c r="W204" i="1" s="1"/>
  <c r="AA184" i="1"/>
  <c r="AA179" i="1"/>
  <c r="AA168" i="1"/>
  <c r="W168" i="1" s="1"/>
  <c r="AG163" i="1"/>
  <c r="T62" i="1"/>
  <c r="U62" i="1" s="1"/>
  <c r="S62" i="1" s="1"/>
  <c r="AG58" i="1"/>
  <c r="U58" i="1" s="1"/>
  <c r="S58" i="1" s="1"/>
  <c r="X58" i="1"/>
  <c r="AA57" i="1"/>
  <c r="W57" i="1" s="1"/>
  <c r="AG54" i="1"/>
  <c r="AA53" i="1"/>
  <c r="X51" i="1"/>
  <c r="AA47" i="1"/>
  <c r="W47" i="1" s="1"/>
  <c r="AG42" i="1"/>
  <c r="U42" i="1" s="1"/>
  <c r="S42" i="1" s="1"/>
  <c r="AG36" i="1"/>
  <c r="X34" i="1"/>
  <c r="AG31" i="1"/>
  <c r="AI31" i="1" s="1"/>
  <c r="AA28" i="1"/>
  <c r="AA27" i="1"/>
  <c r="AA23" i="1"/>
  <c r="AI159" i="1"/>
  <c r="AI122" i="1"/>
  <c r="AI141" i="1"/>
  <c r="AI107" i="1"/>
  <c r="T197" i="1"/>
  <c r="U197" i="1" s="1"/>
  <c r="S197" i="1" s="1"/>
  <c r="T21" i="1"/>
  <c r="AG21" i="1"/>
  <c r="AA213" i="1"/>
  <c r="T210" i="1"/>
  <c r="U210" i="1" s="1"/>
  <c r="S210" i="1" s="1"/>
  <c r="S39" i="3"/>
  <c r="X214" i="1"/>
  <c r="AG213" i="1"/>
  <c r="AI213" i="1" s="1"/>
  <c r="AA209" i="1"/>
  <c r="W209" i="1" s="1"/>
  <c r="T206" i="1"/>
  <c r="U206" i="1" s="1"/>
  <c r="S206" i="1" s="1"/>
  <c r="T200" i="1"/>
  <c r="U200" i="1" s="1"/>
  <c r="S200" i="1" s="1"/>
  <c r="X197" i="1"/>
  <c r="AG196" i="1"/>
  <c r="U196" i="1" s="1"/>
  <c r="S196" i="1" s="1"/>
  <c r="T145" i="1"/>
  <c r="U145" i="1" s="1"/>
  <c r="S145" i="1" s="1"/>
  <c r="T218" i="1"/>
  <c r="X210" i="1"/>
  <c r="AA205" i="1"/>
  <c r="W205" i="1" s="1"/>
  <c r="AA203" i="1"/>
  <c r="W203" i="1" s="1"/>
  <c r="T201" i="1"/>
  <c r="U201" i="1" s="1"/>
  <c r="S201" i="1" s="1"/>
  <c r="AA156" i="1"/>
  <c r="W156" i="1" s="1"/>
  <c r="AA155" i="1"/>
  <c r="W155" i="1" s="1"/>
  <c r="T153" i="1"/>
  <c r="AA148" i="1"/>
  <c r="AG147" i="1"/>
  <c r="U147" i="1" s="1"/>
  <c r="S147" i="1" s="1"/>
  <c r="X147" i="1"/>
  <c r="AA144" i="1"/>
  <c r="U139" i="1"/>
  <c r="T136" i="1"/>
  <c r="U136" i="1" s="1"/>
  <c r="S136" i="1" s="1"/>
  <c r="AA133" i="1"/>
  <c r="W133" i="1" s="1"/>
  <c r="AG132" i="1"/>
  <c r="U132" i="1" s="1"/>
  <c r="S132" i="1" s="1"/>
  <c r="X132" i="1"/>
  <c r="T129" i="1"/>
  <c r="U129" i="1" s="1"/>
  <c r="S129" i="1" s="1"/>
  <c r="AI156" i="1"/>
  <c r="T120" i="1"/>
  <c r="U120" i="1" s="1"/>
  <c r="S120" i="1" s="1"/>
  <c r="AA117" i="1"/>
  <c r="W117" i="1" s="1"/>
  <c r="T114" i="1"/>
  <c r="U114" i="1" s="1"/>
  <c r="S114" i="1" s="1"/>
  <c r="T204" i="1"/>
  <c r="U204" i="1" s="1"/>
  <c r="S204" i="1" s="1"/>
  <c r="T192" i="1"/>
  <c r="X190" i="1"/>
  <c r="T185" i="1"/>
  <c r="U185" i="1" s="1"/>
  <c r="S185" i="1" s="1"/>
  <c r="U181" i="1"/>
  <c r="S181" i="1" s="1"/>
  <c r="AA180" i="1"/>
  <c r="W180" i="1" s="1"/>
  <c r="AA178" i="1"/>
  <c r="AG177" i="1"/>
  <c r="AI177" i="1" s="1"/>
  <c r="X177" i="1"/>
  <c r="AA176" i="1"/>
  <c r="W176" i="1" s="1"/>
  <c r="X175" i="1"/>
  <c r="AA171" i="1"/>
  <c r="AA169" i="1"/>
  <c r="W169" i="1" s="1"/>
  <c r="AA167" i="1"/>
  <c r="AA165" i="1"/>
  <c r="W165" i="1" s="1"/>
  <c r="AA163" i="1"/>
  <c r="AA161" i="1"/>
  <c r="W161" i="1" s="1"/>
  <c r="X95" i="1"/>
  <c r="AA75" i="1"/>
  <c r="W75" i="1" s="1"/>
  <c r="AI75" i="1"/>
  <c r="X73" i="1"/>
  <c r="AG72" i="1"/>
  <c r="AI72" i="1" s="1"/>
  <c r="X66" i="1"/>
  <c r="AG66" i="1"/>
  <c r="AI66" i="1" s="1"/>
  <c r="T66" i="1"/>
  <c r="AA42" i="1"/>
  <c r="AG22" i="1"/>
  <c r="X22" i="1"/>
  <c r="T22" i="1"/>
  <c r="T214" i="1"/>
  <c r="U214" i="1" s="1"/>
  <c r="S214" i="1" s="1"/>
  <c r="AG171" i="1"/>
  <c r="X171" i="1"/>
  <c r="T19" i="1"/>
  <c r="AG19" i="1"/>
  <c r="AI19" i="1" s="1"/>
  <c r="X201" i="1"/>
  <c r="AA196" i="1"/>
  <c r="X153" i="1"/>
  <c r="AG152" i="1"/>
  <c r="AA134" i="1"/>
  <c r="W134" i="1" s="1"/>
  <c r="X129" i="1"/>
  <c r="AG128" i="1"/>
  <c r="AA118" i="1"/>
  <c r="W118" i="1" s="1"/>
  <c r="X114" i="1"/>
  <c r="AG113" i="1"/>
  <c r="AI113" i="1" s="1"/>
  <c r="AA104" i="1"/>
  <c r="W104" i="1" s="1"/>
  <c r="AA103" i="1"/>
  <c r="W103" i="1" s="1"/>
  <c r="AG102" i="1"/>
  <c r="AG100" i="1"/>
  <c r="W100" i="1" s="1"/>
  <c r="AG192" i="1"/>
  <c r="T190" i="1"/>
  <c r="U190" i="1" s="1"/>
  <c r="S190" i="1" s="1"/>
  <c r="AG186" i="1"/>
  <c r="X186" i="1"/>
  <c r="T175" i="1"/>
  <c r="U175" i="1" s="1"/>
  <c r="S175" i="1" s="1"/>
  <c r="T170" i="1"/>
  <c r="X170" i="1"/>
  <c r="AG170" i="1"/>
  <c r="AI170" i="1" s="1"/>
  <c r="AG167" i="1"/>
  <c r="U167" i="1" s="1"/>
  <c r="S167" i="1" s="1"/>
  <c r="T95" i="1"/>
  <c r="U95" i="1" s="1"/>
  <c r="S95" i="1" s="1"/>
  <c r="AG30" i="1"/>
  <c r="AI30" i="1" s="1"/>
  <c r="X30" i="1"/>
  <c r="T30" i="1"/>
  <c r="AI149" i="1"/>
  <c r="T168" i="1"/>
  <c r="X46" i="1"/>
  <c r="AG46" i="1"/>
  <c r="AI46" i="1" s="1"/>
  <c r="X47" i="1"/>
  <c r="X218" i="1"/>
  <c r="AG217" i="1"/>
  <c r="AI217" i="1" s="1"/>
  <c r="X200" i="1"/>
  <c r="T160" i="1"/>
  <c r="U160" i="1" s="1"/>
  <c r="S160" i="1" s="1"/>
  <c r="AA159" i="1"/>
  <c r="W159" i="1" s="1"/>
  <c r="AA138" i="1"/>
  <c r="W138" i="1" s="1"/>
  <c r="AI158" i="1"/>
  <c r="W122" i="1"/>
  <c r="AA107" i="1"/>
  <c r="W107" i="1" s="1"/>
  <c r="T184" i="1"/>
  <c r="X184" i="1"/>
  <c r="AG184" i="1"/>
  <c r="W184" i="1" s="1"/>
  <c r="T96" i="1"/>
  <c r="U96" i="1" s="1"/>
  <c r="S96" i="1" s="1"/>
  <c r="AG91" i="1"/>
  <c r="AI91" i="1" s="1"/>
  <c r="X91" i="1"/>
  <c r="T91" i="1"/>
  <c r="U90" i="1"/>
  <c r="S90" i="1" s="1"/>
  <c r="T88" i="1"/>
  <c r="AG88" i="1"/>
  <c r="T84" i="1"/>
  <c r="AG84" i="1"/>
  <c r="T81" i="1"/>
  <c r="AG81" i="1"/>
  <c r="T77" i="1"/>
  <c r="AG77" i="1"/>
  <c r="T46" i="1"/>
  <c r="T29" i="1"/>
  <c r="AG29" i="1"/>
  <c r="W29" i="1" s="1"/>
  <c r="T27" i="1"/>
  <c r="AG27" i="1"/>
  <c r="AI27" i="1" s="1"/>
  <c r="AA189" i="1"/>
  <c r="W189" i="1" s="1"/>
  <c r="AA187" i="1"/>
  <c r="AA177" i="1"/>
  <c r="AA174" i="1"/>
  <c r="W174" i="1" s="1"/>
  <c r="AA172" i="1"/>
  <c r="AA162" i="1"/>
  <c r="W162" i="1" s="1"/>
  <c r="AA94" i="1"/>
  <c r="W94" i="1" s="1"/>
  <c r="AA93" i="1"/>
  <c r="AA91" i="1"/>
  <c r="AA86" i="1"/>
  <c r="W86" i="1" s="1"/>
  <c r="AA79" i="1"/>
  <c r="W79" i="1" s="1"/>
  <c r="X74" i="1"/>
  <c r="AG70" i="1"/>
  <c r="X63" i="1"/>
  <c r="X59" i="1"/>
  <c r="AA58" i="1"/>
  <c r="AA56" i="1"/>
  <c r="AA54" i="1"/>
  <c r="AG53" i="1"/>
  <c r="U53" i="1" s="1"/>
  <c r="S53" i="1" s="1"/>
  <c r="X53" i="1"/>
  <c r="AA50" i="1"/>
  <c r="W50" i="1" s="1"/>
  <c r="X45" i="1"/>
  <c r="AA38" i="1"/>
  <c r="AA30" i="1"/>
  <c r="U25" i="1"/>
  <c r="S25" i="1" s="1"/>
  <c r="AA22" i="1"/>
  <c r="AA90" i="1"/>
  <c r="W90" i="1" s="1"/>
  <c r="AA82" i="1"/>
  <c r="W82" i="1" s="1"/>
  <c r="AA67" i="1"/>
  <c r="T63" i="1"/>
  <c r="U63" i="1" s="1"/>
  <c r="S63" i="1" s="1"/>
  <c r="T59" i="1"/>
  <c r="U59" i="1" s="1"/>
  <c r="S59" i="1" s="1"/>
  <c r="AA44" i="1"/>
  <c r="W44" i="1" s="1"/>
  <c r="U35" i="1"/>
  <c r="S35" i="1" s="1"/>
  <c r="AA34" i="1"/>
  <c r="W34" i="1" s="1"/>
  <c r="T34" i="1"/>
  <c r="AA26" i="1"/>
  <c r="W26" i="1" s="1"/>
  <c r="T26" i="1"/>
  <c r="U26" i="1" s="1"/>
  <c r="S26" i="1" s="1"/>
  <c r="AA16" i="1"/>
  <c r="W16" i="1" s="1"/>
  <c r="T16" i="1"/>
  <c r="U15" i="1"/>
  <c r="S15" i="1" s="1"/>
  <c r="U74" i="1"/>
  <c r="S74" i="1" s="1"/>
  <c r="T55" i="1"/>
  <c r="U55" i="1" s="1"/>
  <c r="S55" i="1" s="1"/>
  <c r="T51" i="1"/>
  <c r="U51" i="1" s="1"/>
  <c r="S51" i="1" s="1"/>
  <c r="AA45" i="1"/>
  <c r="AA37" i="1"/>
  <c r="X36" i="1"/>
  <c r="AA32" i="1"/>
  <c r="AA24" i="1"/>
  <c r="AI211" i="1"/>
  <c r="AI216" i="1"/>
  <c r="AI210" i="1"/>
  <c r="AI160" i="1"/>
  <c r="W218" i="1"/>
  <c r="AI206" i="1"/>
  <c r="W158" i="1"/>
  <c r="AI190" i="1"/>
  <c r="AI153" i="1"/>
  <c r="AI137" i="1"/>
  <c r="U218" i="1"/>
  <c r="S218" i="1" s="1"/>
  <c r="AI218" i="1"/>
  <c r="AI208" i="1"/>
  <c r="U153" i="1"/>
  <c r="S153" i="1" s="1"/>
  <c r="AI214" i="1"/>
  <c r="AI204" i="1"/>
  <c r="W142" i="1"/>
  <c r="W126" i="1"/>
  <c r="AI194" i="1"/>
  <c r="AI175" i="1"/>
  <c r="T151" i="1"/>
  <c r="AI180" i="1"/>
  <c r="U144" i="1"/>
  <c r="S144" i="1" s="1"/>
  <c r="T135" i="1"/>
  <c r="T119" i="1"/>
  <c r="T105" i="1"/>
  <c r="AG101" i="1"/>
  <c r="X102" i="1"/>
  <c r="X213" i="1"/>
  <c r="X196" i="1"/>
  <c r="X216" i="1"/>
  <c r="T216" i="1"/>
  <c r="U216" i="1" s="1"/>
  <c r="S216" i="1" s="1"/>
  <c r="AG215" i="1"/>
  <c r="AI209" i="1"/>
  <c r="X208" i="1"/>
  <c r="T208" i="1"/>
  <c r="U208" i="1" s="1"/>
  <c r="S208" i="1" s="1"/>
  <c r="AG207" i="1"/>
  <c r="W207" i="1" s="1"/>
  <c r="AI205" i="1"/>
  <c r="X203" i="1"/>
  <c r="T203" i="1"/>
  <c r="U203" i="1" s="1"/>
  <c r="S203" i="1" s="1"/>
  <c r="AG202" i="1"/>
  <c r="W202" i="1" s="1"/>
  <c r="X199" i="1"/>
  <c r="T199" i="1"/>
  <c r="AG198" i="1"/>
  <c r="W198" i="1" s="1"/>
  <c r="AI197" i="1"/>
  <c r="T158" i="1"/>
  <c r="U158" i="1" s="1"/>
  <c r="S158" i="1" s="1"/>
  <c r="AG157" i="1"/>
  <c r="AI157" i="1" s="1"/>
  <c r="AI189" i="1"/>
  <c r="X155" i="1"/>
  <c r="T155" i="1"/>
  <c r="U155" i="1" s="1"/>
  <c r="S155" i="1" s="1"/>
  <c r="AG154" i="1"/>
  <c r="W154" i="1" s="1"/>
  <c r="T150" i="1"/>
  <c r="X150" i="1"/>
  <c r="X149" i="1"/>
  <c r="T143" i="1"/>
  <c r="X215" i="1"/>
  <c r="X211" i="1"/>
  <c r="T211" i="1"/>
  <c r="U211" i="1" s="1"/>
  <c r="S211" i="1" s="1"/>
  <c r="X207" i="1"/>
  <c r="X202" i="1"/>
  <c r="X198" i="1"/>
  <c r="X154" i="1"/>
  <c r="AA151" i="1"/>
  <c r="AG150" i="1"/>
  <c r="AI150" i="1" s="1"/>
  <c r="AI181" i="1"/>
  <c r="AG143" i="1"/>
  <c r="AI143" i="1" s="1"/>
  <c r="T141" i="1"/>
  <c r="U141" i="1" s="1"/>
  <c r="S141" i="1" s="1"/>
  <c r="T138" i="1"/>
  <c r="U138" i="1" s="1"/>
  <c r="S138" i="1" s="1"/>
  <c r="X138" i="1"/>
  <c r="X137" i="1"/>
  <c r="X136" i="1"/>
  <c r="AA135" i="1"/>
  <c r="AI165" i="1"/>
  <c r="AG127" i="1"/>
  <c r="AI127" i="1" s="1"/>
  <c r="X127" i="1"/>
  <c r="T125" i="1"/>
  <c r="U125" i="1" s="1"/>
  <c r="S125" i="1" s="1"/>
  <c r="T122" i="1"/>
  <c r="U122" i="1" s="1"/>
  <c r="S122" i="1" s="1"/>
  <c r="X122" i="1"/>
  <c r="AA119" i="1"/>
  <c r="AG112" i="1"/>
  <c r="AI112" i="1" s="1"/>
  <c r="X112" i="1"/>
  <c r="T110" i="1"/>
  <c r="U110" i="1" s="1"/>
  <c r="S110" i="1" s="1"/>
  <c r="T107" i="1"/>
  <c r="U107" i="1" s="1"/>
  <c r="S107" i="1" s="1"/>
  <c r="X107" i="1"/>
  <c r="X106" i="1"/>
  <c r="X204" i="1"/>
  <c r="AA105" i="1"/>
  <c r="X103" i="1"/>
  <c r="U102" i="1"/>
  <c r="T101" i="1"/>
  <c r="T187" i="1"/>
  <c r="X187" i="1"/>
  <c r="AG187" i="1"/>
  <c r="X97" i="1"/>
  <c r="AG97" i="1"/>
  <c r="AI97" i="1" s="1"/>
  <c r="X181" i="1"/>
  <c r="AG179" i="1"/>
  <c r="AI179" i="1" s="1"/>
  <c r="X179" i="1"/>
  <c r="T179" i="1"/>
  <c r="T85" i="1"/>
  <c r="AG85" i="1"/>
  <c r="T78" i="1"/>
  <c r="X78" i="1"/>
  <c r="AG78" i="1"/>
  <c r="W78" i="1" s="1"/>
  <c r="X79" i="1"/>
  <c r="AI68" i="1"/>
  <c r="AG56" i="1"/>
  <c r="W56" i="1" s="1"/>
  <c r="T56" i="1"/>
  <c r="X56" i="1"/>
  <c r="T111" i="1"/>
  <c r="X111" i="1"/>
  <c r="AI110" i="1"/>
  <c r="X217" i="1"/>
  <c r="X209" i="1"/>
  <c r="AG199" i="1"/>
  <c r="AG195" i="1"/>
  <c r="AI195" i="1" s="1"/>
  <c r="X156" i="1"/>
  <c r="X152" i="1"/>
  <c r="AG151" i="1"/>
  <c r="AI151" i="1" s="1"/>
  <c r="T149" i="1"/>
  <c r="T146" i="1"/>
  <c r="U146" i="1" s="1"/>
  <c r="S146" i="1" s="1"/>
  <c r="X146" i="1"/>
  <c r="AG135" i="1"/>
  <c r="T133" i="1"/>
  <c r="U133" i="1" s="1"/>
  <c r="S133" i="1" s="1"/>
  <c r="T130" i="1"/>
  <c r="U130" i="1" s="1"/>
  <c r="S130" i="1" s="1"/>
  <c r="X130" i="1"/>
  <c r="X128" i="1"/>
  <c r="AA127" i="1"/>
  <c r="AG119" i="1"/>
  <c r="AI119" i="1" s="1"/>
  <c r="T117" i="1"/>
  <c r="U117" i="1" s="1"/>
  <c r="S117" i="1" s="1"/>
  <c r="T115" i="1"/>
  <c r="U115" i="1" s="1"/>
  <c r="S115" i="1" s="1"/>
  <c r="X113" i="1"/>
  <c r="AA112" i="1"/>
  <c r="AG111" i="1"/>
  <c r="U106" i="1"/>
  <c r="S106" i="1" s="1"/>
  <c r="AG105" i="1"/>
  <c r="AI105" i="1" s="1"/>
  <c r="T103" i="1"/>
  <c r="U103" i="1" s="1"/>
  <c r="S103" i="1" s="1"/>
  <c r="X101" i="1"/>
  <c r="X99" i="1"/>
  <c r="AG99" i="1"/>
  <c r="AG193" i="1"/>
  <c r="AI193" i="1" s="1"/>
  <c r="X193" i="1"/>
  <c r="T193" i="1"/>
  <c r="T172" i="1"/>
  <c r="X172" i="1"/>
  <c r="AG172" i="1"/>
  <c r="W172" i="1" s="1"/>
  <c r="AG166" i="1"/>
  <c r="AI166" i="1" s="1"/>
  <c r="X167" i="1"/>
  <c r="AG164" i="1"/>
  <c r="AI164" i="1" s="1"/>
  <c r="T164" i="1"/>
  <c r="T89" i="1"/>
  <c r="X89" i="1"/>
  <c r="AG89" i="1"/>
  <c r="X90" i="1"/>
  <c r="AI62" i="1"/>
  <c r="U213" i="1"/>
  <c r="S213" i="1" s="1"/>
  <c r="U159" i="1"/>
  <c r="S159" i="1" s="1"/>
  <c r="U152" i="1"/>
  <c r="S152" i="1" s="1"/>
  <c r="U149" i="1"/>
  <c r="S149" i="1" s="1"/>
  <c r="T142" i="1"/>
  <c r="U142" i="1" s="1"/>
  <c r="S142" i="1" s="1"/>
  <c r="X142" i="1"/>
  <c r="T126" i="1"/>
  <c r="U126" i="1" s="1"/>
  <c r="S126" i="1" s="1"/>
  <c r="X126" i="1"/>
  <c r="AG38" i="1"/>
  <c r="X38" i="1"/>
  <c r="T38" i="1"/>
  <c r="AG212" i="1"/>
  <c r="X205" i="1"/>
  <c r="X212" i="1"/>
  <c r="X195" i="1"/>
  <c r="T134" i="1"/>
  <c r="U134" i="1" s="1"/>
  <c r="S134" i="1" s="1"/>
  <c r="X134" i="1"/>
  <c r="X133" i="1"/>
  <c r="W131" i="1"/>
  <c r="U131" i="1"/>
  <c r="S131" i="1" s="1"/>
  <c r="AI161" i="1"/>
  <c r="T118" i="1"/>
  <c r="U118" i="1" s="1"/>
  <c r="S118" i="1" s="1"/>
  <c r="W116" i="1"/>
  <c r="AI142" i="1"/>
  <c r="T104" i="1"/>
  <c r="U104" i="1" s="1"/>
  <c r="S104" i="1" s="1"/>
  <c r="X104" i="1"/>
  <c r="AI136" i="1"/>
  <c r="AI131" i="1"/>
  <c r="AI125" i="1"/>
  <c r="W179" i="1"/>
  <c r="AI104" i="1"/>
  <c r="AI94" i="1"/>
  <c r="AG93" i="1"/>
  <c r="W93" i="1" s="1"/>
  <c r="X94" i="1"/>
  <c r="X93" i="1"/>
  <c r="T93" i="1"/>
  <c r="X100" i="1"/>
  <c r="AA99" i="1"/>
  <c r="AI129" i="1"/>
  <c r="AG188" i="1"/>
  <c r="AI188" i="1" s="1"/>
  <c r="X188" i="1"/>
  <c r="T186" i="1"/>
  <c r="T183" i="1"/>
  <c r="U183" i="1" s="1"/>
  <c r="S183" i="1" s="1"/>
  <c r="X183" i="1"/>
  <c r="X182" i="1"/>
  <c r="AA97" i="1"/>
  <c r="AI114" i="1"/>
  <c r="AG173" i="1"/>
  <c r="AI173" i="1" s="1"/>
  <c r="X173" i="1"/>
  <c r="T171" i="1"/>
  <c r="T169" i="1"/>
  <c r="U169" i="1" s="1"/>
  <c r="S169" i="1" s="1"/>
  <c r="X169" i="1"/>
  <c r="X168" i="1"/>
  <c r="AA166" i="1"/>
  <c r="AI98" i="1"/>
  <c r="AI86" i="1"/>
  <c r="AI82" i="1"/>
  <c r="AI79" i="1"/>
  <c r="X69" i="1"/>
  <c r="AG69" i="1"/>
  <c r="X70" i="1"/>
  <c r="AG67" i="1"/>
  <c r="X67" i="1"/>
  <c r="T67" i="1"/>
  <c r="W62" i="1"/>
  <c r="T98" i="1"/>
  <c r="U98" i="1" s="1"/>
  <c r="S98" i="1" s="1"/>
  <c r="X98" i="1"/>
  <c r="X189" i="1"/>
  <c r="AA188" i="1"/>
  <c r="U182" i="1"/>
  <c r="S182" i="1" s="1"/>
  <c r="T176" i="1"/>
  <c r="U176" i="1" s="1"/>
  <c r="S176" i="1" s="1"/>
  <c r="X176" i="1"/>
  <c r="X174" i="1"/>
  <c r="AA173" i="1"/>
  <c r="U168" i="1"/>
  <c r="S168" i="1" s="1"/>
  <c r="T161" i="1"/>
  <c r="U161" i="1" s="1"/>
  <c r="S161" i="1" s="1"/>
  <c r="W87" i="1"/>
  <c r="W76" i="1"/>
  <c r="T69" i="1"/>
  <c r="AI65" i="1"/>
  <c r="U65" i="1"/>
  <c r="T60" i="1"/>
  <c r="X60" i="1"/>
  <c r="AG60" i="1"/>
  <c r="AG41" i="1"/>
  <c r="T41" i="1"/>
  <c r="T194" i="1"/>
  <c r="U194" i="1" s="1"/>
  <c r="S194" i="1" s="1"/>
  <c r="X194" i="1"/>
  <c r="AI120" i="1"/>
  <c r="T180" i="1"/>
  <c r="U180" i="1" s="1"/>
  <c r="S180" i="1" s="1"/>
  <c r="X180" i="1"/>
  <c r="T165" i="1"/>
  <c r="U165" i="1" s="1"/>
  <c r="S165" i="1" s="1"/>
  <c r="AI87" i="1"/>
  <c r="AI83" i="1"/>
  <c r="AI80" i="1"/>
  <c r="U80" i="1"/>
  <c r="S80" i="1" s="1"/>
  <c r="AI76" i="1"/>
  <c r="X92" i="1"/>
  <c r="X88" i="1"/>
  <c r="X77" i="1"/>
  <c r="T75" i="1"/>
  <c r="U75" i="1" s="1"/>
  <c r="S75" i="1" s="1"/>
  <c r="T72" i="1"/>
  <c r="X72" i="1"/>
  <c r="X71" i="1"/>
  <c r="AA69" i="1"/>
  <c r="AG61" i="1"/>
  <c r="X61" i="1"/>
  <c r="AI50" i="1"/>
  <c r="T64" i="1"/>
  <c r="U64" i="1" s="1"/>
  <c r="S64" i="1" s="1"/>
  <c r="X64" i="1"/>
  <c r="X62" i="1"/>
  <c r="AA61" i="1"/>
  <c r="W58" i="1"/>
  <c r="T57" i="1"/>
  <c r="U57" i="1" s="1"/>
  <c r="S57" i="1" s="1"/>
  <c r="X57" i="1"/>
  <c r="AI54" i="1"/>
  <c r="T48" i="1"/>
  <c r="X48" i="1"/>
  <c r="AG48" i="1"/>
  <c r="AI44" i="1"/>
  <c r="AI73" i="1"/>
  <c r="T68" i="1"/>
  <c r="U68" i="1" s="1"/>
  <c r="S68" i="1" s="1"/>
  <c r="X68" i="1"/>
  <c r="W65" i="1"/>
  <c r="AI58" i="1"/>
  <c r="AI57" i="1"/>
  <c r="AI36" i="1"/>
  <c r="U36" i="1"/>
  <c r="S36" i="1" s="1"/>
  <c r="AG49" i="1"/>
  <c r="W49" i="1" s="1"/>
  <c r="X49" i="1"/>
  <c r="T47" i="1"/>
  <c r="U47" i="1" s="1"/>
  <c r="S47" i="1" s="1"/>
  <c r="T44" i="1"/>
  <c r="U44" i="1" s="1"/>
  <c r="X44" i="1"/>
  <c r="X43" i="1"/>
  <c r="AA41" i="1"/>
  <c r="T32" i="1"/>
  <c r="X32" i="1"/>
  <c r="AG32" i="1"/>
  <c r="W32" i="1" s="1"/>
  <c r="X33" i="1"/>
  <c r="T28" i="1"/>
  <c r="X28" i="1"/>
  <c r="AG28" i="1"/>
  <c r="X29" i="1"/>
  <c r="U27" i="1"/>
  <c r="S27" i="1" s="1"/>
  <c r="T24" i="1"/>
  <c r="X24" i="1"/>
  <c r="AG24" i="1"/>
  <c r="X25" i="1"/>
  <c r="T20" i="1"/>
  <c r="AG20" i="1"/>
  <c r="X21" i="1"/>
  <c r="AA15" i="1"/>
  <c r="W15" i="1" s="1"/>
  <c r="T52" i="1"/>
  <c r="X52" i="1"/>
  <c r="T45" i="1"/>
  <c r="U34" i="1"/>
  <c r="S34" i="1" s="1"/>
  <c r="AI34" i="1"/>
  <c r="AI26" i="1"/>
  <c r="AI22" i="1"/>
  <c r="U16" i="1"/>
  <c r="S16" i="1" s="1"/>
  <c r="AI16" i="1"/>
  <c r="AI15" i="1"/>
  <c r="T14" i="1"/>
  <c r="AG14" i="1"/>
  <c r="W14" i="1" s="1"/>
  <c r="AG52" i="1"/>
  <c r="W52" i="1" s="1"/>
  <c r="AG45" i="1"/>
  <c r="T43" i="1"/>
  <c r="U43" i="1" s="1"/>
  <c r="S43" i="1" s="1"/>
  <c r="T40" i="1"/>
  <c r="U40" i="1" s="1"/>
  <c r="S40" i="1" s="1"/>
  <c r="AI33" i="1"/>
  <c r="AI25" i="1"/>
  <c r="X15" i="1"/>
  <c r="X35" i="1"/>
  <c r="X31" i="1"/>
  <c r="X27" i="1"/>
  <c r="X23" i="1"/>
  <c r="Y10" i="3"/>
  <c r="Y11" i="3"/>
  <c r="Y33" i="3"/>
  <c r="Y25" i="3"/>
  <c r="AD38" i="3"/>
  <c r="Y30" i="3"/>
  <c r="Y13" i="3"/>
  <c r="Y16" i="3"/>
  <c r="AD29" i="3"/>
  <c r="AD24" i="3"/>
  <c r="AD21" i="3"/>
  <c r="T35" i="3"/>
  <c r="T39" i="3"/>
  <c r="AD31" i="3"/>
  <c r="T38" i="3"/>
  <c r="AD19" i="3"/>
  <c r="T26" i="3"/>
  <c r="AD34" i="3"/>
  <c r="T17" i="3"/>
  <c r="AD7" i="3"/>
  <c r="T29" i="3"/>
  <c r="AD10" i="3"/>
  <c r="T27" i="3"/>
  <c r="AD11" i="3"/>
  <c r="T24" i="3"/>
  <c r="AD22" i="3"/>
  <c r="Y35" i="3"/>
  <c r="Y26" i="3"/>
  <c r="Y29" i="3"/>
  <c r="Y39" i="3"/>
  <c r="Y38" i="3"/>
  <c r="Y17" i="3"/>
  <c r="Y27" i="3"/>
  <c r="Y24" i="3"/>
  <c r="Y20" i="3"/>
  <c r="Y9" i="3"/>
  <c r="Y40" i="3"/>
  <c r="Y23" i="3"/>
  <c r="Y18" i="3"/>
  <c r="Y14" i="3"/>
  <c r="M36" i="3"/>
  <c r="N36" i="3"/>
  <c r="R36" i="3"/>
  <c r="S36" i="3"/>
  <c r="U36" i="3"/>
  <c r="T36" i="3" s="1"/>
  <c r="V36" i="3"/>
  <c r="W36" i="3"/>
  <c r="X36" i="3"/>
  <c r="U72" i="1" l="1"/>
  <c r="S72" i="1" s="1"/>
  <c r="W81" i="1"/>
  <c r="W148" i="1"/>
  <c r="W123" i="1"/>
  <c r="U113" i="1"/>
  <c r="S113" i="1" s="1"/>
  <c r="AI178" i="1"/>
  <c r="U116" i="1"/>
  <c r="S116" i="1" s="1"/>
  <c r="U100" i="1"/>
  <c r="S100" i="1" s="1"/>
  <c r="W77" i="1"/>
  <c r="W128" i="1"/>
  <c r="W109" i="1"/>
  <c r="AI140" i="1"/>
  <c r="W72" i="1"/>
  <c r="W73" i="1"/>
  <c r="U31" i="1"/>
  <c r="S31" i="1" s="1"/>
  <c r="W191" i="1"/>
  <c r="AI100" i="1"/>
  <c r="W163" i="1"/>
  <c r="W144" i="1"/>
  <c r="U22" i="1"/>
  <c r="S22" i="1" s="1"/>
  <c r="AI39" i="1"/>
  <c r="U39" i="1"/>
  <c r="S39" i="1" s="1"/>
  <c r="W39" i="1"/>
  <c r="W89" i="1"/>
  <c r="W85" i="1"/>
  <c r="W37" i="1"/>
  <c r="W67" i="1"/>
  <c r="U162" i="1"/>
  <c r="S162" i="1" s="1"/>
  <c r="W91" i="1"/>
  <c r="W113" i="1"/>
  <c r="AI29" i="1"/>
  <c r="AI37" i="1"/>
  <c r="U92" i="1"/>
  <c r="S92" i="1" s="1"/>
  <c r="U177" i="1"/>
  <c r="S177" i="1" s="1"/>
  <c r="W186" i="1"/>
  <c r="W124" i="1"/>
  <c r="AI18" i="1"/>
  <c r="U18" i="1"/>
  <c r="S18" i="1" s="1"/>
  <c r="U17" i="1"/>
  <c r="S17" i="1" s="1"/>
  <c r="AI17" i="1"/>
  <c r="U54" i="1"/>
  <c r="S54" i="1" s="1"/>
  <c r="W139" i="1"/>
  <c r="U192" i="1"/>
  <c r="S192" i="1" s="1"/>
  <c r="AI192" i="1"/>
  <c r="W22" i="1"/>
  <c r="U21" i="1"/>
  <c r="S21" i="1" s="1"/>
  <c r="S139" i="1"/>
  <c r="W74" i="1"/>
  <c r="W108" i="1"/>
  <c r="W140" i="1"/>
  <c r="W97" i="1"/>
  <c r="AI186" i="1"/>
  <c r="W178" i="1"/>
  <c r="W192" i="1"/>
  <c r="W193" i="1"/>
  <c r="W177" i="1"/>
  <c r="U91" i="1"/>
  <c r="S91" i="1" s="1"/>
  <c r="U19" i="1"/>
  <c r="S19" i="1" s="1"/>
  <c r="U23" i="1"/>
  <c r="S23" i="1" s="1"/>
  <c r="AI53" i="1"/>
  <c r="U184" i="1"/>
  <c r="S184" i="1" s="1"/>
  <c r="AI167" i="1"/>
  <c r="U170" i="1"/>
  <c r="S170" i="1" s="1"/>
  <c r="AI21" i="1"/>
  <c r="W53" i="1"/>
  <c r="W54" i="1"/>
  <c r="W88" i="1"/>
  <c r="AI42" i="1"/>
  <c r="W66" i="1"/>
  <c r="U148" i="1"/>
  <c r="S148" i="1" s="1"/>
  <c r="W35" i="1"/>
  <c r="W28" i="1"/>
  <c r="W48" i="1"/>
  <c r="U46" i="1"/>
  <c r="S46" i="1" s="1"/>
  <c r="U128" i="1"/>
  <c r="S128" i="1" s="1"/>
  <c r="AI128" i="1"/>
  <c r="W70" i="1"/>
  <c r="W42" i="1"/>
  <c r="W23" i="1"/>
  <c r="W45" i="1"/>
  <c r="W135" i="1"/>
  <c r="W187" i="1"/>
  <c r="W46" i="1"/>
  <c r="W170" i="1"/>
  <c r="AI172" i="1"/>
  <c r="U171" i="1"/>
  <c r="S171" i="1" s="1"/>
  <c r="W167" i="1"/>
  <c r="U163" i="1"/>
  <c r="S163" i="1" s="1"/>
  <c r="AI163" i="1"/>
  <c r="W19" i="1"/>
  <c r="W31" i="1"/>
  <c r="W92" i="1"/>
  <c r="AI135" i="1"/>
  <c r="AI102" i="1"/>
  <c r="AI171" i="1"/>
  <c r="U30" i="1"/>
  <c r="S30" i="1" s="1"/>
  <c r="U186" i="1"/>
  <c r="S186" i="1" s="1"/>
  <c r="W61" i="1"/>
  <c r="W188" i="1"/>
  <c r="W147" i="1"/>
  <c r="S102" i="1"/>
  <c r="W151" i="1"/>
  <c r="W196" i="1"/>
  <c r="W132" i="1"/>
  <c r="AI147" i="1"/>
  <c r="W30" i="1"/>
  <c r="U70" i="1"/>
  <c r="S70" i="1" s="1"/>
  <c r="AI70" i="1"/>
  <c r="U29" i="1"/>
  <c r="S29" i="1" s="1"/>
  <c r="U84" i="1"/>
  <c r="S84" i="1" s="1"/>
  <c r="AI84" i="1"/>
  <c r="W27" i="1"/>
  <c r="AI185" i="1"/>
  <c r="AI152" i="1"/>
  <c r="W152" i="1"/>
  <c r="U66" i="1"/>
  <c r="S65" i="1" s="1"/>
  <c r="W213" i="1"/>
  <c r="W217" i="1"/>
  <c r="W111" i="1"/>
  <c r="AI111" i="1"/>
  <c r="U77" i="1"/>
  <c r="S77" i="1" s="1"/>
  <c r="AI77" i="1"/>
  <c r="U88" i="1"/>
  <c r="S88" i="1" s="1"/>
  <c r="AI88" i="1"/>
  <c r="W41" i="1"/>
  <c r="U217" i="1"/>
  <c r="S217" i="1" s="1"/>
  <c r="AI198" i="1"/>
  <c r="AI202" i="1"/>
  <c r="U81" i="1"/>
  <c r="S81" i="1" s="1"/>
  <c r="AI81" i="1"/>
  <c r="W84" i="1"/>
  <c r="W102" i="1"/>
  <c r="W171" i="1"/>
  <c r="AI20" i="1"/>
  <c r="U20" i="1"/>
  <c r="S20" i="1" s="1"/>
  <c r="U212" i="1"/>
  <c r="S212" i="1" s="1"/>
  <c r="AI212" i="1"/>
  <c r="U38" i="1"/>
  <c r="S38" i="1" s="1"/>
  <c r="AI38" i="1"/>
  <c r="U193" i="1"/>
  <c r="S193" i="1" s="1"/>
  <c r="AI130" i="1"/>
  <c r="AI138" i="1"/>
  <c r="U105" i="1"/>
  <c r="S105" i="1" s="1"/>
  <c r="U199" i="1"/>
  <c r="S199" i="1" s="1"/>
  <c r="AI200" i="1"/>
  <c r="U179" i="1"/>
  <c r="S179" i="1" s="1"/>
  <c r="AI115" i="1"/>
  <c r="W105" i="1"/>
  <c r="AI146" i="1"/>
  <c r="U112" i="1"/>
  <c r="S112" i="1" s="1"/>
  <c r="W119" i="1"/>
  <c r="U127" i="1"/>
  <c r="S127" i="1" s="1"/>
  <c r="U101" i="1"/>
  <c r="S101" i="1" s="1"/>
  <c r="AI134" i="1"/>
  <c r="AI24" i="1"/>
  <c r="U24" i="1"/>
  <c r="W38" i="1"/>
  <c r="AI60" i="1"/>
  <c r="U60" i="1"/>
  <c r="S60" i="1" s="1"/>
  <c r="AI69" i="1"/>
  <c r="U69" i="1"/>
  <c r="S69" i="1" s="1"/>
  <c r="AI132" i="1"/>
  <c r="U99" i="1"/>
  <c r="S99" i="1" s="1"/>
  <c r="W24" i="1"/>
  <c r="AI48" i="1"/>
  <c r="U48" i="1"/>
  <c r="S48" i="1" s="1"/>
  <c r="AI41" i="1"/>
  <c r="U41" i="1"/>
  <c r="S41" i="1" s="1"/>
  <c r="W173" i="1"/>
  <c r="W20" i="1"/>
  <c r="AI45" i="1"/>
  <c r="U45" i="1"/>
  <c r="S44" i="1" s="1"/>
  <c r="AI14" i="1"/>
  <c r="U14" i="1"/>
  <c r="S14" i="1" s="1"/>
  <c r="AI32" i="1"/>
  <c r="U32" i="1"/>
  <c r="S32" i="1" s="1"/>
  <c r="AI49" i="1"/>
  <c r="U49" i="1"/>
  <c r="S49" i="1" s="1"/>
  <c r="AI61" i="1"/>
  <c r="U61" i="1"/>
  <c r="S61" i="1" s="1"/>
  <c r="W69" i="1"/>
  <c r="U67" i="1"/>
  <c r="S67" i="1" s="1"/>
  <c r="AI67" i="1"/>
  <c r="W166" i="1"/>
  <c r="AI124" i="1"/>
  <c r="U188" i="1"/>
  <c r="S188" i="1" s="1"/>
  <c r="W99" i="1"/>
  <c r="U164" i="1"/>
  <c r="S164" i="1" s="1"/>
  <c r="AI99" i="1"/>
  <c r="AI108" i="1"/>
  <c r="U172" i="1"/>
  <c r="S172" i="1" s="1"/>
  <c r="W112" i="1"/>
  <c r="W127" i="1"/>
  <c r="U151" i="1"/>
  <c r="S151" i="1" s="1"/>
  <c r="AI184" i="1"/>
  <c r="AI196" i="1"/>
  <c r="U195" i="1"/>
  <c r="S195" i="1" s="1"/>
  <c r="AI176" i="1"/>
  <c r="U143" i="1"/>
  <c r="S143" i="1" s="1"/>
  <c r="AI183" i="1"/>
  <c r="U150" i="1"/>
  <c r="S150" i="1" s="1"/>
  <c r="W150" i="1"/>
  <c r="AI191" i="1"/>
  <c r="U157" i="1"/>
  <c r="S157" i="1" s="1"/>
  <c r="U215" i="1"/>
  <c r="S215" i="1" s="1"/>
  <c r="AI215" i="1"/>
  <c r="W199" i="1"/>
  <c r="W157" i="1"/>
  <c r="AI154" i="1"/>
  <c r="U119" i="1"/>
  <c r="S119" i="1" s="1"/>
  <c r="AI168" i="1"/>
  <c r="U135" i="1"/>
  <c r="S135" i="1" s="1"/>
  <c r="U56" i="1"/>
  <c r="S56" i="1" s="1"/>
  <c r="AI56" i="1"/>
  <c r="U78" i="1"/>
  <c r="S78" i="1" s="1"/>
  <c r="AI78" i="1"/>
  <c r="U85" i="1"/>
  <c r="S85" i="1" s="1"/>
  <c r="AI85" i="1"/>
  <c r="AI123" i="1"/>
  <c r="U187" i="1"/>
  <c r="S187" i="1" s="1"/>
  <c r="W101" i="1"/>
  <c r="AI207" i="1"/>
  <c r="U207" i="1"/>
  <c r="S207" i="1" s="1"/>
  <c r="W60" i="1"/>
  <c r="W212" i="1"/>
  <c r="AI199" i="1"/>
  <c r="U198" i="1"/>
  <c r="S198" i="1" s="1"/>
  <c r="U202" i="1"/>
  <c r="S202" i="1" s="1"/>
  <c r="AI203" i="1"/>
  <c r="U52" i="1"/>
  <c r="S52" i="1" s="1"/>
  <c r="AI52" i="1"/>
  <c r="AI109" i="1"/>
  <c r="U173" i="1"/>
  <c r="S173" i="1" s="1"/>
  <c r="AI101" i="1"/>
  <c r="U166" i="1"/>
  <c r="S166" i="1" s="1"/>
  <c r="AI28" i="1"/>
  <c r="U28" i="1"/>
  <c r="S28" i="1" s="1"/>
  <c r="U93" i="1"/>
  <c r="S93" i="1" s="1"/>
  <c r="AI93" i="1"/>
  <c r="U89" i="1"/>
  <c r="S89" i="1" s="1"/>
  <c r="AI89" i="1"/>
  <c r="U111" i="1"/>
  <c r="S111" i="1" s="1"/>
  <c r="AI145" i="1"/>
  <c r="U97" i="1"/>
  <c r="S97" i="1" s="1"/>
  <c r="AI187" i="1"/>
  <c r="U154" i="1"/>
  <c r="S154" i="1" s="1"/>
  <c r="W164" i="1"/>
  <c r="W195" i="1"/>
  <c r="W215" i="1"/>
  <c r="AD32" i="3"/>
  <c r="Y36" i="3"/>
  <c r="AC36" i="3"/>
  <c r="AD36" i="3" l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K4" i="6"/>
  <c r="B5" i="6"/>
  <c r="K5" i="6"/>
  <c r="I5" i="6" l="1"/>
  <c r="F4" i="6"/>
  <c r="J4" i="6"/>
  <c r="J5" i="6"/>
  <c r="F5" i="6"/>
  <c r="I4" i="6"/>
  <c r="I3" i="6"/>
  <c r="J3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4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5" i="6" l="1"/>
  <c r="G3" i="6"/>
  <c r="H4" i="6"/>
  <c r="H3" i="6"/>
  <c r="H5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<sst xmlns="http://schemas.openxmlformats.org/spreadsheetml/2006/main" count="2327" uniqueCount="901">
  <si>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</si>
  <si>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</si>
  <si>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</si>
  <si>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</si>
  <si>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</si>
  <si>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</si>
  <si>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</si>
  <si>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</si>
  <si>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</si>
  <si>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</si>
  <si>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</si>
  <si>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</si>
  <si>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</si>
  <si>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</si>
  <si>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</si>
  <si>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</si>
  <si>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</si>
  <si>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</si>
  <si>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</si>
  <si>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</si>
  <si>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</si>
  <si>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</si>
  <si>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</si>
  <si>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</si>
  <si>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</si>
  <si>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</si>
  <si>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</si>
  <si>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</si>
  <si>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</si>
  <si>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</si>
  <si>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</si>
  <si>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</si>
  <si>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</si>
  <si>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</si>
  <si>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</si>
  <si>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</si>
  <si>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</si>
  <si>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</si>
  <si>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</si>
  <si>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</si>
  <si>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</si>
  <si>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</si>
  <si>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</si>
  <si>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</si>
  <si>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</si>
  <si>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</si>
  <si>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</si>
  <si>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</si>
  <si>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</si>
  <si>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</si>
  <si>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</si>
  <si>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</si>
  <si>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</si>
  <si>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</si>
  <si>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</si>
  <si>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</si>
  <si>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</si>
  <si>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</si>
  <si>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</si>
  <si>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</si>
  <si>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</si>
  <si>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</si>
  <si>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</si>
  <si>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</si>
  <si>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</si>
  <si>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</si>
  <si>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</si>
  <si>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</si>
  <si>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</si>
  <si>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</si>
  <si>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</si>
  <si>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</si>
  <si>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</si>
  <si>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</si>
  <si>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</si>
  <si>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</si>
  <si>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</si>
  <si>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</si>
  <si>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</si>
  <si>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</si>
  <si>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</si>
  <si>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</si>
  <si>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</si>
  <si>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</si>
  <si>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</si>
  <si>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</si>
  <si>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</si>
  <si>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</si>
  <si>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</si>
  <si>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</si>
  <si>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</si>
  <si>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</si>
  <si>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</si>
  <si>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</si>
  <si>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</si>
  <si>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</si>
  <si>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</si>
  <si>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</si>
  <si>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</si>
  <si>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</si>
  <si>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</si>
  <si>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</si>
  <si>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</si>
  <si>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</si>
  <si>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</si>
  <si>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</si>
  <si>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</si>
  <si>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</si>
  <si>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</si>
  <si>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</si>
  <si>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</si>
  <si>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</si>
  <si>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</si>
  <si>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</si>
  <si>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</si>
  <si>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</si>
  <si>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</si>
  <si>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</si>
  <si>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</si>
  <si>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</si>
  <si>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</si>
  <si>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</si>
  <si>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</si>
  <si>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</si>
  <si>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</si>
  <si>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</si>
  <si>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</si>
  <si>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</si>
  <si>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</si>
  <si>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</si>
  <si>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</si>
  <si>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</si>
  <si>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</si>
  <si>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</si>
  <si>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</si>
  <si>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</si>
  <si>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</si>
  <si>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</si>
  <si>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</si>
  <si>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</si>
  <si>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</si>
  <si>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</si>
  <si>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</si>
  <si>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</si>
  <si>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</si>
  <si>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</si>
  <si>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</si>
  <si>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</si>
  <si>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</si>
  <si>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</si>
  <si>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</si>
  <si>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</si>
  <si>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</si>
  <si>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</si>
  <si>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</si>
  <si>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</si>
  <si>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</si>
  <si>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</si>
  <si>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</si>
  <si>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</si>
  <si>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</si>
  <si>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</si>
  <si>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</si>
  <si>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</si>
  <si>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</si>
  <si>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</si>
  <si>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</si>
  <si>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</si>
  <si>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</si>
  <si>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</si>
  <si>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</si>
  <si>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</si>
  <si>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</si>
  <si>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</si>
  <si>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</si>
  <si>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</si>
  <si>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</si>
  <si>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</si>
  <si>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</si>
  <si>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</si>
  <si>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</si>
  <si>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</si>
  <si>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</si>
  <si>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</si>
  <si>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</si>
  <si>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</si>
  <si>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</si>
  <si>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</si>
  <si>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</si>
  <si>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</si>
  <si>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</si>
  <si>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</si>
  <si>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</si>
  <si>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</si>
  <si>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</si>
  <si>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</si>
  <si>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</si>
  <si>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</si>
  <si>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</si>
  <si>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</si>
  <si>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</si>
  <si>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</si>
  <si>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</si>
  <si>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</si>
  <si>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</si>
  <si>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</si>
  <si>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</si>
  <si>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</si>
  <si>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</si>
  <si>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</si>
  <si>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</si>
  <si>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</si>
  <si>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</si>
  <si>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</si>
  <si>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</si>
  <si>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</si>
  <si>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</si>
  <si>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</si>
  <si>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</si>
  <si>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</si>
  <si>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</si>
  <si>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</si>
  <si>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</si>
  <si>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</si>
  <si>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</si>
  <si>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MAGEE</t>
  </si>
  <si>
    <t>rtdc.l.rtdc.4043:itc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</si>
  <si>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</si>
  <si>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</si>
  <si>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</si>
  <si>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</si>
  <si>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</si>
  <si>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</si>
  <si>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</si>
  <si>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</si>
  <si>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</si>
  <si>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</si>
  <si>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</si>
  <si>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</si>
  <si>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</si>
  <si>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</si>
  <si>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204:232987</t>
  </si>
  <si>
    <t>rtdc.l.rtdc.4014:itc</t>
  </si>
  <si>
    <t>rtdc.l.rtdc.4013:itc</t>
  </si>
  <si>
    <t>204:232975</t>
  </si>
  <si>
    <t>204:232994</t>
  </si>
  <si>
    <t>204:440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</si>
  <si>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</si>
  <si>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</si>
  <si>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</si>
  <si>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</si>
  <si>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</si>
  <si>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</si>
  <si>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</si>
  <si>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</si>
  <si>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204:232983</t>
  </si>
  <si>
    <t>rtdc.l.rtdc.4031:itc</t>
  </si>
  <si>
    <t>204:442</t>
  </si>
  <si>
    <t>rtdc.l.rtdc.4045:itc</t>
  </si>
  <si>
    <t>rtdc.l.rtdc.4046:itc</t>
  </si>
  <si>
    <t>DAVIS</t>
  </si>
  <si>
    <t>204:161</t>
  </si>
  <si>
    <t>204:460</t>
  </si>
  <si>
    <t>204:233302</t>
  </si>
  <si>
    <t>204:139</t>
  </si>
  <si>
    <t>204:457</t>
  </si>
  <si>
    <t>204:471</t>
  </si>
  <si>
    <t>204:233293</t>
  </si>
  <si>
    <t>204:233321</t>
  </si>
  <si>
    <t>204:167</t>
  </si>
  <si>
    <t>rtdc.l.rtdc.4042:itc</t>
  </si>
  <si>
    <t>rtdc.l.rtdc.4041:itc</t>
  </si>
  <si>
    <t>DAVIDSON</t>
  </si>
  <si>
    <t>SAFIEF</t>
  </si>
  <si>
    <t>204:233306</t>
  </si>
  <si>
    <t>204:469</t>
  </si>
  <si>
    <t>rtdc.l.rtdc.4029:itc</t>
  </si>
  <si>
    <t>204:233307</t>
  </si>
  <si>
    <t>204:233000</t>
  </si>
  <si>
    <t>204:233308</t>
  </si>
  <si>
    <t>rtdc.l.rtdc.4003:itc</t>
  </si>
  <si>
    <t>rtdc.l.rtdc.4004:itc</t>
  </si>
  <si>
    <t>MAELZER</t>
  </si>
  <si>
    <t>MOSES</t>
  </si>
  <si>
    <t>204:232981</t>
  </si>
  <si>
    <t>204:233303</t>
  </si>
  <si>
    <t>204:232989</t>
  </si>
  <si>
    <t>rtdc.l.rtdc.4010:itc</t>
  </si>
  <si>
    <t>ROBINSON</t>
  </si>
  <si>
    <t>STRICKLAND</t>
  </si>
  <si>
    <t>ADANE</t>
  </si>
  <si>
    <t>204:232984</t>
  </si>
  <si>
    <t>204:232988</t>
  </si>
  <si>
    <t>204:145</t>
  </si>
  <si>
    <t>204:233312</t>
  </si>
  <si>
    <t>204:232996</t>
  </si>
  <si>
    <t>204:232992</t>
  </si>
  <si>
    <t>204:232980</t>
  </si>
  <si>
    <t>204:467</t>
  </si>
  <si>
    <t>204:233315</t>
  </si>
  <si>
    <t>204:233298</t>
  </si>
  <si>
    <t>204:659</t>
  </si>
  <si>
    <t>300:58611</t>
  </si>
  <si>
    <t>300:58922</t>
  </si>
  <si>
    <t>rtdc.l.rtdc.4032:itc</t>
  </si>
  <si>
    <t>242-25</t>
  </si>
  <si>
    <t>MCREYNOLDS</t>
  </si>
  <si>
    <t>CHANDLER</t>
  </si>
  <si>
    <t>LALONDE</t>
  </si>
  <si>
    <t>81-25</t>
  </si>
  <si>
    <t>80-25</t>
  </si>
  <si>
    <t>230-25</t>
  </si>
  <si>
    <t>233-25</t>
  </si>
  <si>
    <t>847-25</t>
  </si>
  <si>
    <t>232-25</t>
  </si>
  <si>
    <t>235-25</t>
  </si>
  <si>
    <t>908-25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</si>
  <si>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</si>
  <si>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</si>
  <si>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</si>
  <si>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</si>
  <si>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</si>
  <si>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</si>
  <si>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</si>
  <si>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</si>
  <si>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245-25</t>
  </si>
  <si>
    <t>309-25</t>
  </si>
  <si>
    <t>244-25</t>
  </si>
  <si>
    <t>311-25</t>
  </si>
  <si>
    <t>246-25</t>
  </si>
  <si>
    <t>313-25</t>
  </si>
  <si>
    <t>315-25</t>
  </si>
  <si>
    <t>204:232967</t>
  </si>
  <si>
    <t>204:233291</t>
  </si>
  <si>
    <t>204:232985</t>
  </si>
  <si>
    <t>204:233006</t>
  </si>
  <si>
    <t>204:233301</t>
  </si>
  <si>
    <t>204:233327</t>
  </si>
  <si>
    <t>204:233008</t>
  </si>
  <si>
    <t>204:232986</t>
  </si>
  <si>
    <t>204:232969</t>
  </si>
  <si>
    <t>204:233299</t>
  </si>
  <si>
    <t>204:473</t>
  </si>
  <si>
    <t>204:965</t>
  </si>
  <si>
    <t>rtdc.l.rtdc.4026:itc</t>
  </si>
  <si>
    <t>65-26</t>
  </si>
  <si>
    <t>239-26</t>
  </si>
  <si>
    <t>ACKERMAN</t>
  </si>
  <si>
    <t>KILLION</t>
  </si>
  <si>
    <t>CLARK</t>
  </si>
  <si>
    <t>STEWART</t>
  </si>
  <si>
    <t>BARTLETT</t>
  </si>
  <si>
    <t>BRUDER</t>
  </si>
  <si>
    <t>rtdc.l.rtdc.4025:itc</t>
  </si>
  <si>
    <t>WHITED</t>
  </si>
  <si>
    <t>237-26</t>
  </si>
  <si>
    <t>NELSON</t>
  </si>
  <si>
    <t>236-26</t>
  </si>
  <si>
    <t>241-26</t>
  </si>
  <si>
    <t>238-26</t>
  </si>
  <si>
    <t>240-26</t>
  </si>
  <si>
    <t>243-26</t>
  </si>
  <si>
    <t>242-26</t>
  </si>
  <si>
    <t>245-26</t>
  </si>
  <si>
    <t>309-26</t>
  </si>
  <si>
    <t>244-26</t>
  </si>
  <si>
    <t>311-26</t>
  </si>
  <si>
    <t>246-26</t>
  </si>
  <si>
    <t>315-26</t>
  </si>
  <si>
    <t>partly-cloudy-night</t>
  </si>
  <si>
    <t>partly-cloudy-day</t>
  </si>
  <si>
    <t>Mostly Cloudy</t>
  </si>
  <si>
    <t>204:717</t>
  </si>
  <si>
    <t>204:232990</t>
  </si>
  <si>
    <t>204:233310</t>
  </si>
  <si>
    <t>204:138</t>
  </si>
  <si>
    <t>204:726</t>
  </si>
  <si>
    <t>204:233004</t>
  </si>
  <si>
    <t>204:160</t>
  </si>
  <si>
    <t>204:170</t>
  </si>
  <si>
    <t>204:233311</t>
  </si>
  <si>
    <t>204:232982</t>
  </si>
  <si>
    <t>204:458</t>
  </si>
  <si>
    <t>204:972</t>
  </si>
  <si>
    <t>204:233325</t>
  </si>
  <si>
    <t>204:962</t>
  </si>
  <si>
    <t>300:58672</t>
  </si>
  <si>
    <t>300:58992</t>
  </si>
  <si>
    <t>300:58653</t>
  </si>
  <si>
    <t>300:58986</t>
  </si>
  <si>
    <t>204:233309</t>
  </si>
  <si>
    <t>204:233318</t>
  </si>
  <si>
    <t>204:477</t>
  </si>
  <si>
    <t>204:233286</t>
  </si>
  <si>
    <t>204:233344</t>
  </si>
  <si>
    <t>204:233346</t>
  </si>
  <si>
    <t>300:23295</t>
  </si>
  <si>
    <t>rtdc.l.rtdc.4021:itc</t>
  </si>
  <si>
    <t>302-27</t>
  </si>
  <si>
    <t>rtdc.l.rtdc.4016:itc</t>
  </si>
  <si>
    <t>103-27</t>
  </si>
  <si>
    <t>1901-27</t>
  </si>
  <si>
    <t>1802-27</t>
  </si>
  <si>
    <t>125-27</t>
  </si>
  <si>
    <t>124-27</t>
  </si>
  <si>
    <t>133-27</t>
  </si>
  <si>
    <t>1807-27</t>
  </si>
  <si>
    <t>136-27</t>
  </si>
  <si>
    <t>145-27</t>
  </si>
  <si>
    <t>rtdc.l.rtdc.4001:itc</t>
  </si>
  <si>
    <t>140-27</t>
  </si>
  <si>
    <t>1809-27</t>
  </si>
  <si>
    <t>1812-27</t>
  </si>
  <si>
    <t>rtdc.l.rtdc.4015:itc</t>
  </si>
  <si>
    <t>158-27</t>
  </si>
  <si>
    <t>160-27</t>
  </si>
  <si>
    <t>162-27</t>
  </si>
  <si>
    <t>1815-27</t>
  </si>
  <si>
    <t>190-27</t>
  </si>
  <si>
    <t>1820-27</t>
  </si>
  <si>
    <t>1822-27</t>
  </si>
  <si>
    <t>200-27</t>
  </si>
  <si>
    <t>1824-27</t>
  </si>
  <si>
    <t>64-27</t>
  </si>
  <si>
    <t>ATLANTIC-27</t>
  </si>
  <si>
    <t>1826-27</t>
  </si>
  <si>
    <t>1828-27</t>
  </si>
  <si>
    <t>226-27</t>
  </si>
  <si>
    <t>1832-27</t>
  </si>
  <si>
    <t>50-27</t>
  </si>
  <si>
    <t>234-27</t>
  </si>
  <si>
    <t>236-27</t>
  </si>
  <si>
    <t>101-27</t>
  </si>
  <si>
    <t>304-27</t>
  </si>
  <si>
    <t>102-27</t>
  </si>
  <si>
    <t>308-27</t>
  </si>
  <si>
    <t>310-27</t>
  </si>
  <si>
    <t>107-27</t>
  </si>
  <si>
    <t>104-27</t>
  </si>
  <si>
    <t>109-27</t>
  </si>
  <si>
    <t>111-27</t>
  </si>
  <si>
    <t>113-27</t>
  </si>
  <si>
    <t>108-27</t>
  </si>
  <si>
    <t>STARKS</t>
  </si>
  <si>
    <t>115-27</t>
  </si>
  <si>
    <t>YORK</t>
  </si>
  <si>
    <t>110-27</t>
  </si>
  <si>
    <t>117-27</t>
  </si>
  <si>
    <t>1800-27</t>
  </si>
  <si>
    <t>112-27</t>
  </si>
  <si>
    <t>119-27</t>
  </si>
  <si>
    <t>1801-27</t>
  </si>
  <si>
    <t>114-27</t>
  </si>
  <si>
    <t>116-27</t>
  </si>
  <si>
    <t>121-27</t>
  </si>
  <si>
    <t>123-27</t>
  </si>
  <si>
    <t>118-27</t>
  </si>
  <si>
    <t>127-27</t>
  </si>
  <si>
    <t>120-27</t>
  </si>
  <si>
    <t>122-27</t>
  </si>
  <si>
    <t>129-27</t>
  </si>
  <si>
    <t>1803-27</t>
  </si>
  <si>
    <t>131-27</t>
  </si>
  <si>
    <t>1804-27</t>
  </si>
  <si>
    <t>128-27</t>
  </si>
  <si>
    <t>130-27</t>
  </si>
  <si>
    <t>135-27</t>
  </si>
  <si>
    <t>1805-27</t>
  </si>
  <si>
    <t>137-27</t>
  </si>
  <si>
    <t>132-27</t>
  </si>
  <si>
    <t>139-27</t>
  </si>
  <si>
    <t>1806-27</t>
  </si>
  <si>
    <t>141-27</t>
  </si>
  <si>
    <t>DE LA ROSA</t>
  </si>
  <si>
    <t>134-27</t>
  </si>
  <si>
    <t>143-27</t>
  </si>
  <si>
    <t>138-27</t>
  </si>
  <si>
    <t>147-27</t>
  </si>
  <si>
    <t>142-27</t>
  </si>
  <si>
    <t>144-27</t>
  </si>
  <si>
    <t>1808-27</t>
  </si>
  <si>
    <t>149-27</t>
  </si>
  <si>
    <t>151-27</t>
  </si>
  <si>
    <t>146-27</t>
  </si>
  <si>
    <t>153-27</t>
  </si>
  <si>
    <t>148-27</t>
  </si>
  <si>
    <t>155-27</t>
  </si>
  <si>
    <t>150-27</t>
  </si>
  <si>
    <t>152-27</t>
  </si>
  <si>
    <t>1811-27</t>
  </si>
  <si>
    <t>1810-27</t>
  </si>
  <si>
    <t>157-27</t>
  </si>
  <si>
    <t>159-27</t>
  </si>
  <si>
    <t>154-27</t>
  </si>
  <si>
    <t>161-27</t>
  </si>
  <si>
    <t>156-27</t>
  </si>
  <si>
    <t>163-27</t>
  </si>
  <si>
    <t>165-27</t>
  </si>
  <si>
    <t>167-27</t>
  </si>
  <si>
    <t>YOUNG</t>
  </si>
  <si>
    <t>169-27</t>
  </si>
  <si>
    <t>1813-27</t>
  </si>
  <si>
    <t>164-27</t>
  </si>
  <si>
    <t>171-27</t>
  </si>
  <si>
    <t>DELGADO</t>
  </si>
  <si>
    <t>166-27</t>
  </si>
  <si>
    <t>1814-27</t>
  </si>
  <si>
    <t>173-27</t>
  </si>
  <si>
    <t>168-27</t>
  </si>
  <si>
    <t>175-27</t>
  </si>
  <si>
    <t>170-27</t>
  </si>
  <si>
    <t>177-27</t>
  </si>
  <si>
    <t>172-27</t>
  </si>
  <si>
    <t>179-27</t>
  </si>
  <si>
    <t>174-27</t>
  </si>
  <si>
    <t>1816-27</t>
  </si>
  <si>
    <t>181-27</t>
  </si>
  <si>
    <t>176-27</t>
  </si>
  <si>
    <t>183-27</t>
  </si>
  <si>
    <t>178-27</t>
  </si>
  <si>
    <t>1817-27</t>
  </si>
  <si>
    <t>185-27</t>
  </si>
  <si>
    <t>187-27</t>
  </si>
  <si>
    <t>180-27</t>
  </si>
  <si>
    <t>182-27</t>
  </si>
  <si>
    <t>1818-27</t>
  </si>
  <si>
    <t>189-27</t>
  </si>
  <si>
    <t>191-27</t>
  </si>
  <si>
    <t>184-27</t>
  </si>
  <si>
    <t>186-27</t>
  </si>
  <si>
    <t>1819-27</t>
  </si>
  <si>
    <t>193-27</t>
  </si>
  <si>
    <t>188-27</t>
  </si>
  <si>
    <t>195-27</t>
  </si>
  <si>
    <t>197-27</t>
  </si>
  <si>
    <t>192-27</t>
  </si>
  <si>
    <t>199-27</t>
  </si>
  <si>
    <t>1821-27</t>
  </si>
  <si>
    <t>194-27</t>
  </si>
  <si>
    <t>201-27</t>
  </si>
  <si>
    <t>196-27</t>
  </si>
  <si>
    <t>57-27</t>
  </si>
  <si>
    <t>SMITH</t>
  </si>
  <si>
    <t>203-27</t>
  </si>
  <si>
    <t>198-27</t>
  </si>
  <si>
    <t>205-27</t>
  </si>
  <si>
    <t>207-27</t>
  </si>
  <si>
    <t>1823-27</t>
  </si>
  <si>
    <t>202-27</t>
  </si>
  <si>
    <t>204-27</t>
  </si>
  <si>
    <t>209-27</t>
  </si>
  <si>
    <t>LEVERE</t>
  </si>
  <si>
    <t>73-27</t>
  </si>
  <si>
    <t>211-27</t>
  </si>
  <si>
    <t>206-27</t>
  </si>
  <si>
    <t>213-27</t>
  </si>
  <si>
    <t>COOLAHAN</t>
  </si>
  <si>
    <t>208-27</t>
  </si>
  <si>
    <t>215-27</t>
  </si>
  <si>
    <t>1825-27</t>
  </si>
  <si>
    <t>MACDONALD</t>
  </si>
  <si>
    <t>210-27</t>
  </si>
  <si>
    <t>217-27</t>
  </si>
  <si>
    <t>212-27</t>
  </si>
  <si>
    <t>219-27</t>
  </si>
  <si>
    <t>214-27</t>
  </si>
  <si>
    <t>216-27</t>
  </si>
  <si>
    <t>PACIFIC-27</t>
  </si>
  <si>
    <t>221-27</t>
  </si>
  <si>
    <t>1827-27</t>
  </si>
  <si>
    <t>218-27</t>
  </si>
  <si>
    <t>220-27</t>
  </si>
  <si>
    <t>223-27</t>
  </si>
  <si>
    <t>222-27</t>
  </si>
  <si>
    <t>1829-27</t>
  </si>
  <si>
    <t>225-27</t>
  </si>
  <si>
    <t>224-27</t>
  </si>
  <si>
    <t>227-27</t>
  </si>
  <si>
    <t>1830-27</t>
  </si>
  <si>
    <t>229-27</t>
  </si>
  <si>
    <t>1831-27</t>
  </si>
  <si>
    <t>228-27</t>
  </si>
  <si>
    <t>231-27</t>
  </si>
  <si>
    <t>230-27</t>
  </si>
  <si>
    <t>233-27</t>
  </si>
  <si>
    <t>1833-27</t>
  </si>
  <si>
    <t>232-27</t>
  </si>
  <si>
    <t>235-27</t>
  </si>
  <si>
    <t>237-27</t>
  </si>
  <si>
    <t>239-27</t>
  </si>
  <si>
    <t>51-27</t>
  </si>
  <si>
    <t>241-27</t>
  </si>
  <si>
    <t>238-27</t>
  </si>
  <si>
    <t>242-27</t>
  </si>
  <si>
    <t>240-27</t>
  </si>
  <si>
    <t>243-27</t>
  </si>
  <si>
    <t>309-27</t>
  </si>
  <si>
    <t>311-27</t>
  </si>
  <si>
    <t>244-27</t>
  </si>
  <si>
    <t>313-27</t>
  </si>
  <si>
    <t>315-27</t>
  </si>
  <si>
    <t>precipAccumulation</t>
  </si>
  <si>
    <t>precipType</t>
  </si>
  <si>
    <t>snow</t>
  </si>
  <si>
    <t>rain</t>
  </si>
  <si>
    <t>204:752</t>
  </si>
  <si>
    <t>204:233322</t>
  </si>
  <si>
    <t>204:232681</t>
  </si>
  <si>
    <t>204:704</t>
  </si>
  <si>
    <t>204:232723</t>
  </si>
  <si>
    <t>204:233324</t>
  </si>
  <si>
    <t>204:19130</t>
  </si>
  <si>
    <t>204:744</t>
  </si>
  <si>
    <t>204:17750</t>
  </si>
  <si>
    <t>204:1169</t>
  </si>
  <si>
    <t>204:478</t>
  </si>
  <si>
    <t>204:233304</t>
  </si>
  <si>
    <t>204:772</t>
  </si>
  <si>
    <t>204:233261</t>
  </si>
  <si>
    <t>204:232936</t>
  </si>
  <si>
    <t>204:233278</t>
  </si>
  <si>
    <t>204:232960</t>
  </si>
  <si>
    <t>204:233266</t>
  </si>
  <si>
    <t>204:228546</t>
  </si>
  <si>
    <t>204:134</t>
  </si>
  <si>
    <t>204:233337</t>
  </si>
  <si>
    <t>204:233319</t>
  </si>
  <si>
    <t>204:1162</t>
  </si>
  <si>
    <t>204:486</t>
  </si>
  <si>
    <t>204:232964</t>
  </si>
  <si>
    <t>204:109</t>
  </si>
  <si>
    <t>204:154433</t>
  </si>
  <si>
    <t>204:131976</t>
  </si>
  <si>
    <t>204:214</t>
  </si>
  <si>
    <t>204:196</t>
  </si>
  <si>
    <t>204:233272</t>
  </si>
  <si>
    <t>204:429</t>
  </si>
  <si>
    <t>204:232991</t>
  </si>
  <si>
    <t>204:509</t>
  </si>
  <si>
    <t>204:37177</t>
  </si>
  <si>
    <t>204:26868</t>
  </si>
  <si>
    <t>204:517</t>
  </si>
  <si>
    <t>204:130</t>
  </si>
  <si>
    <t>204:106</t>
  </si>
  <si>
    <t>204:427</t>
  </si>
  <si>
    <t>204:233320</t>
  </si>
  <si>
    <t>204:191</t>
  </si>
  <si>
    <t>204:233305</t>
  </si>
  <si>
    <t>204:232974</t>
  </si>
  <si>
    <t>204:163</t>
  </si>
  <si>
    <t>204:233002</t>
  </si>
  <si>
    <t>300:58643</t>
  </si>
  <si>
    <t>204:799</t>
  </si>
  <si>
    <t>204:1095</t>
  </si>
  <si>
    <t>300:58943</t>
  </si>
  <si>
    <t>300:58632</t>
  </si>
  <si>
    <t>204:789</t>
  </si>
  <si>
    <t>204:1072</t>
  </si>
  <si>
    <t>300:58626</t>
  </si>
  <si>
    <t>204:808</t>
  </si>
  <si>
    <t>300:58956</t>
  </si>
  <si>
    <t>300:58645</t>
  </si>
  <si>
    <t>204:797</t>
  </si>
  <si>
    <t>204:1084</t>
  </si>
  <si>
    <t>300:58963</t>
  </si>
  <si>
    <t>300:18483</t>
  </si>
  <si>
    <t>204:1088</t>
  </si>
  <si>
    <t>300:58950</t>
  </si>
  <si>
    <t>204:498</t>
  </si>
  <si>
    <t>300:58638</t>
  </si>
  <si>
    <t>204:764</t>
  </si>
  <si>
    <t>204:1049</t>
  </si>
  <si>
    <t>300:49032</t>
  </si>
  <si>
    <t>204:787</t>
  </si>
  <si>
    <t>204:1076</t>
  </si>
  <si>
    <t>300:58931</t>
  </si>
  <si>
    <t>204:778</t>
  </si>
  <si>
    <t>204:1060</t>
  </si>
  <si>
    <t>204:803</t>
  </si>
  <si>
    <t>300:58990</t>
  </si>
  <si>
    <t>204:708</t>
  </si>
  <si>
    <t>204:1004</t>
  </si>
  <si>
    <t>300:58996</t>
  </si>
  <si>
    <t>204:209</t>
  </si>
  <si>
    <t>300:58685</t>
  </si>
  <si>
    <t>204:934</t>
  </si>
  <si>
    <t>300:58676</t>
  </si>
  <si>
    <t>204:694</t>
  </si>
  <si>
    <t>204:988</t>
  </si>
  <si>
    <t>300:58997</t>
  </si>
  <si>
    <t>204:684</t>
  </si>
  <si>
    <t>300:59013</t>
  </si>
  <si>
    <t>300:58695</t>
  </si>
  <si>
    <t>204:673</t>
  </si>
  <si>
    <t>300:58670</t>
  </si>
  <si>
    <t>204:422</t>
  </si>
  <si>
    <t>204:233289</t>
  </si>
  <si>
    <t>300:58691</t>
  </si>
  <si>
    <t>204:719</t>
  </si>
  <si>
    <t>204:1023</t>
  </si>
  <si>
    <t>300:58973</t>
  </si>
  <si>
    <t>204:1063</t>
  </si>
  <si>
    <t>300:29513</t>
  </si>
  <si>
    <t>300:33021</t>
  </si>
  <si>
    <t>204:515</t>
  </si>
  <si>
    <t>204:433</t>
  </si>
  <si>
    <t>204:233328</t>
  </si>
  <si>
    <t>204:233005</t>
  </si>
  <si>
    <t>204:19126</t>
  </si>
  <si>
    <t>204:232971</t>
  </si>
  <si>
    <t>204:123</t>
  </si>
  <si>
    <t>204:232976</t>
  </si>
  <si>
    <t>204:232658</t>
  </si>
  <si>
    <t>204:735</t>
  </si>
  <si>
    <t>204:232677</t>
  </si>
  <si>
    <t>204:62528</t>
  </si>
  <si>
    <t>204:36714</t>
  </si>
  <si>
    <t>204:768</t>
  </si>
  <si>
    <t>204:672</t>
  </si>
  <si>
    <t>204:232702</t>
  </si>
  <si>
    <t>204:788</t>
  </si>
  <si>
    <t>204:232670</t>
  </si>
  <si>
    <t>204:233366</t>
  </si>
  <si>
    <t>204:232679</t>
  </si>
  <si>
    <t>204:774</t>
  </si>
  <si>
    <t>204:232689</t>
  </si>
  <si>
    <t>204:775</t>
  </si>
  <si>
    <t>204:233400</t>
  </si>
  <si>
    <t>204:232755</t>
  </si>
  <si>
    <t>204:192</t>
  </si>
  <si>
    <t>204:233297</t>
  </si>
  <si>
    <t>204:232662</t>
  </si>
  <si>
    <t>204:748</t>
  </si>
  <si>
    <t>204:233357</t>
  </si>
  <si>
    <t>204:232692</t>
  </si>
  <si>
    <t>204:232666</t>
  </si>
  <si>
    <t>204:830</t>
  </si>
  <si>
    <t>204:233349</t>
  </si>
  <si>
    <t>204:232726</t>
  </si>
  <si>
    <t>204:63</t>
  </si>
  <si>
    <t>300:23349</t>
  </si>
  <si>
    <t>300:18496</t>
  </si>
  <si>
    <t>300:22331</t>
  </si>
  <si>
    <t>204:90</t>
  </si>
  <si>
    <t>300:22136</t>
  </si>
  <si>
    <t>300:22408</t>
  </si>
  <si>
    <t>300:23321</t>
  </si>
  <si>
    <t>204:723</t>
  </si>
  <si>
    <t>300:23312</t>
  </si>
  <si>
    <t>204:755</t>
  </si>
  <si>
    <t>300:23299</t>
  </si>
  <si>
    <t>204:683</t>
  </si>
  <si>
    <t>300:22839</t>
  </si>
  <si>
    <t>300:58640</t>
  </si>
  <si>
    <t>300:28795</t>
  </si>
  <si>
    <t>300:58666</t>
  </si>
  <si>
    <t>300:16451</t>
  </si>
  <si>
    <t>300:58967</t>
  </si>
  <si>
    <t>204:211</t>
  </si>
  <si>
    <t>204:426</t>
  </si>
  <si>
    <t>204:428</t>
  </si>
  <si>
    <t>300:21744</t>
  </si>
  <si>
    <t>204:899</t>
  </si>
  <si>
    <t>204:129083</t>
  </si>
  <si>
    <t>204:110</t>
  </si>
  <si>
    <t>204:129244</t>
  </si>
  <si>
    <t>204:10151</t>
  </si>
  <si>
    <t>204:129311</t>
  </si>
  <si>
    <t>204:9956</t>
  </si>
  <si>
    <t>300:30779</t>
  </si>
  <si>
    <t>204:863</t>
  </si>
  <si>
    <t>204:10186</t>
  </si>
  <si>
    <t>204:129459</t>
  </si>
  <si>
    <t>204:10382</t>
  </si>
  <si>
    <t>204:129693</t>
  </si>
  <si>
    <t>204:1179</t>
  </si>
  <si>
    <t>204:129622</t>
  </si>
  <si>
    <t>204:404</t>
  </si>
  <si>
    <t>300:31265</t>
  </si>
  <si>
    <t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t>
  </si>
  <si>
    <t>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 &amp; aws s3 cp s3://rtdc.mdm.uploadarchive.raw/RTDC4043/ "%USERPROFILE%\AppData\Local\Temp\OnboardLogs"\RTDC4043\2016-11-28 --exclude "*" --recursive --include "*20161128*" &amp; "%USERPROFILE%\Documents\GitHub\mrs-test-scripts\Headless Mode &amp; Sideloading\WalkAndUnGZ.bat" "%USERPROFILE%\AppData\Local\Temp\OnboardLogs"\RTDC4043\2016-11-28</t>
  </si>
  <si>
    <t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t>
  </si>
  <si>
    <t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t>
  </si>
  <si>
    <t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t>
  </si>
  <si>
    <t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t>
  </si>
  <si>
    <t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t>
  </si>
  <si>
    <t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t>
  </si>
  <si>
    <t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t>
  </si>
  <si>
    <t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t>
  </si>
  <si>
    <t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t>
  </si>
  <si>
    <t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t>
  </si>
  <si>
    <t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t>
  </si>
  <si>
    <t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t>
  </si>
  <si>
    <t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t>
  </si>
  <si>
    <t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t>
  </si>
  <si>
    <t>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 &amp; 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</t>
  </si>
  <si>
    <t>:.+((SYSTEM_STATE.+slice.+state.+changed )|(ment ac)|(multiple cpu faults)|(system.+state.+changed )|(\[timeout)|(PRM\|1\|D)|(kpr)|(kdp)|(\|lc)|(penalty))</t>
  </si>
  <si>
    <t>Onboard in-route failure</t>
  </si>
  <si>
    <t>see logs</t>
  </si>
  <si>
    <t>CP 61st ELXS Failure</t>
  </si>
  <si>
    <t>At 07:52:25, EC1332RH 127-1T 1N dropped to STOP &amp; PROCEEd and CP 61st 2N went offline too. Was there an ELXS failure at the time?</t>
  </si>
  <si>
    <t>Cut out to get around Speed Restriction @ MP 2.7?</t>
  </si>
  <si>
    <t>DUS 2N/20N STOP</t>
  </si>
  <si>
    <t>Quebec 4S stuck at STOP - XING vital logic?</t>
  </si>
  <si>
    <t>At 20:52:58, Quebec 4S dropped to STOP and didn't clear until 20:57:06 despite receiving a clear control at 20:53:24. Was this due to vital logic (waiting for XING bits to come in), or something else going wrong here?</t>
  </si>
  <si>
    <t>Delayed by Form C</t>
  </si>
  <si>
    <t>40th 4S STOP</t>
  </si>
  <si>
    <t>61st 2N STOP</t>
  </si>
  <si>
    <t>http://stevetu21.github.io/eaglep3/load_kml.html?kml=http://rtdc.gmaps-snips.s3.amazonaws.com/27646fa4-cf3c-4a5f-9d44-b00a8b60543b.kml</t>
  </si>
  <si>
    <t>Wi-MAX data drop</t>
  </si>
  <si>
    <t>Early arrival</t>
  </si>
  <si>
    <t>Early arrival (41st)</t>
  </si>
  <si>
    <t>http://stevetu21.github.io/eaglep3/load_kml.html?kml=http://rtdc.gmaps-snips.s3.amazonaws.com/8b83f94f-d086-4601-b14a-3a74d6321daf.kml</t>
  </si>
  <si>
    <t>http://stevetu21.github.io/eaglep3/load_kml.html?kml=http://rtdc.gmaps-snips.s3.amazonaws.com/af9c5cae-d143-47e4-a830-2361268367fa.kml</t>
  </si>
  <si>
    <t>105-27</t>
  </si>
  <si>
    <t>Did not init - Wi-MAX outage</t>
  </si>
  <si>
    <t>106-27</t>
  </si>
  <si>
    <t>126-27</t>
  </si>
  <si>
    <t>SYS :2016/11/27 11:21:25.663:ENFORCEMENT:Predictive Enforcement Action:  Target Number: 00001002  Target Speed:   0.0  Current Speed:   5.0</t>
  </si>
  <si>
    <t>SYS :2016/11/27 11:21:25.700:ENFORCEMENT:Predictive Enforcement Action:  Target Number: 00001002  Target Speed:   0.0  Current Speed:   5.0</t>
  </si>
  <si>
    <t>SYS :2016/11/27 12:21:07.964:ENFORCEMENT:Predictive Enforcement Action:  Target Number: 00001006  Target Speed:   0.0  Current Speed:   5.2</t>
  </si>
  <si>
    <t>SYS :2016/11/27 12:28:24.566:ENFORCEMENT:Predictive Enforcement Action:  Target Number: 00006015  Target Speed:   0.0  Current Speed:  12.4</t>
  </si>
  <si>
    <t>SYS :2016/11/27 12:28:25.972:ENFORCEMENT:Predictive Enforcement Action:  Target Number: 0000600D  Target Speed:   0.0  Current Speed:  12.7</t>
  </si>
  <si>
    <t>SYS :2016/11/27 12:28:26.489:ENFORCEMENT:Predictive Enforcement Action:  Target Number: 0000600D  Target Speed:   0.0  Current Speed:  12.7</t>
  </si>
  <si>
    <t>SYS :2016/11/27 13:50:08.871:ENFORCEMENT:Reactive Enforcement Action:  Target Number: 00017066  Target Speed:   0.0  Current Speed:  41.6</t>
  </si>
  <si>
    <t>SYS :2016/11/27 13:50:09.120:ENFORCEMENT:Reactive Enforcement Action:  Target Number: 00017087  Target Speed:   0.0  Current Speed:  41.6</t>
  </si>
  <si>
    <t>SYS :2016/11/27 13:50:10.147:ENFORCEMENT:Reactive Enforcement Action:  Target Number: 00017087  Target Speed:   0.0  Current Speed:  40.8</t>
  </si>
  <si>
    <t>SYS :2016/11/27 14:07:40.433:ENFORCEMENT:Predictive Enforcement Action:  Target Number: 0001001B  Target Speed:  40.0  Current Speed:  53.7</t>
  </si>
  <si>
    <t>SYS :2016/11/27 14:07:40.689:ENFORCEMENT:Predictive Enforcement Action:  Target Number: 0001001B  Target Speed:  40.0  Current Speed:  53.7</t>
  </si>
  <si>
    <t>SYS :2016/11/27 14:07:40.808:ENFORCEMENT:Predictive Enforcement Action:  Target Number: 0001001B  Target Speed:  40.0  Current Speed:  53.7</t>
  </si>
  <si>
    <t>SYS :2016/11/27 14:38:50.338:ENFORCEMENT:Predictive Enforcement Action:  Target Number: 000063EF  Target Speed:   0.0  Current Speed:  46.0</t>
  </si>
  <si>
    <t>SYS :2016/11/27 14:38:51.022:ENFORCEMENT:Predictive Enforcement Action:  Target Number: 00006030  Target Speed:   0.0  Current Speed:  45.6</t>
  </si>
  <si>
    <t>SYS :2016/11/27 14:38:51.215:ENFORCEMENT:Predictive Enforcement Action:  Target Number: 000063F2  Target Speed:   0.0  Current Speed:  45.2</t>
  </si>
  <si>
    <t>SYS :2016/11/27 15:10:48.476:ENFORCEMENT:Predictive Enforcement Action:  Target Number: 00006086  Target Speed:   0.0  Current Speed:  52.4</t>
  </si>
  <si>
    <t>SYS :2016/11/27 15:10:50.462:ENFORCEMENT:Predictive Enforcement Action:  Target Number: 00006087  Target Speed:   0.0  Current Speed:  50.0</t>
  </si>
  <si>
    <t>SYS :2016/11/27 16:29:25.512:ENFORCEMENT:Predictive Enforcement Action:  Target Number: 0001008B  Target Speed:  30.0  Current Speed:  36.4</t>
  </si>
  <si>
    <t>SYS :2016/11/27 16:29:25.580:ENFORCEMENT:Predictive Enforcement Action:  Target Number: 0001008B  Target Speed:  30.0  Current Speed:  36.3</t>
  </si>
  <si>
    <t>SYS :2016/11/27 16:29:25.984:ENFORCEMENT:Predictive Enforcement Action:  Target Number: 00010082  Target Speed:  30.0  Current Speed:  36.4</t>
  </si>
  <si>
    <t>SYS :2016/11/27 16:36:00.737:ENFORCEMENT:Predictive Enforcement Action:  Target Number: 0000100A  Target Speed:   0.0  Current Speed:   7.4</t>
  </si>
  <si>
    <t>SYS :2016/11/27 16:48:54.807:ENFORCEMENT:Predictive Enforcement Action:  Target Number: 0001007C  Target Speed:  15.0  Current Speed:  34.1</t>
  </si>
  <si>
    <t>SYS :2016/11/27 16:48:54.849:ENFORCEMENT:Predictive Enforcement Action:  Target Number: 0001007E  Target Speed:  15.0  Current Speed:  34.3</t>
  </si>
  <si>
    <t>SYS :2016/11/27 16:48:54.910:ENFORCEMENT:Predictive Enforcement Action:  Target Number: 0001007E  Target Speed:  15.0  Current Speed:  34.1</t>
  </si>
  <si>
    <t>SYS :2016/11/27 17:00:40.488:ENFORCEMENT:Predictive Enforcement Action:  Target Number: 00001001  Target Speed:   0.0  Current Speed:   4.6</t>
  </si>
  <si>
    <t>SYS :2016/11/27 17:05:07.978:ENFORCEMENT:Predictive Enforcement Action:  Target Number: 00001002  Target Speed:   0.0  Current Speed:   9.3</t>
  </si>
  <si>
    <t>SYS :2016/11/27 17:28:00.361:ENFORCEMENT:Predictive Enforcement Action:  Target Number: 000060C1  Target Speed:   0.0  Current Speed:  47.9</t>
  </si>
  <si>
    <t>SYS :2016/11/27 17:28:01.589:ENFORCEMENT:Predictive Enforcement Action:  Target Number: 000060C5  Target Speed:   0.0  Current Speed:  49.8</t>
  </si>
  <si>
    <t>SYS :2016/11/27 17:28:01.985:ENFORCEMENT:Predictive Enforcement Action:  Target Number: 000060A2  Target Speed:   0.0  Current Speed:  49.8</t>
  </si>
  <si>
    <t>SYS :2016/11/27 18:50:01.456:ENFORCEMENT:Predictive Enforcement Action:  Target Number: 00006029  Target Speed:   0.0  Current Speed:  14.7</t>
  </si>
  <si>
    <t>SYS :2016/11/27 18:50:01.900:ENFORCEMENT:Predictive Enforcement Action:  Target Number: 000060AE  Target Speed:   0.0  Current Speed:  14.7</t>
  </si>
  <si>
    <t>SYS :2016/11/27 18:50:02.125:ENFORCEMENT:Predictive Enforcement Action:  Target Number: 00006232  Target Speed:   0.0  Current Speed:  14.7</t>
  </si>
  <si>
    <t>SYS :2016/11/27 19:12:07.776:ENFORCEMENT:Predictive Enforcement Action:  Target Number: 00010046  Target Speed:  30.0  Current Speed:  47.0</t>
  </si>
  <si>
    <t>SYS :2016/11/27 19:12:07.918:ENFORCEMENT:Predictive Enforcement Action:  Target Number: 00010083  Target Speed:  30.0  Current Speed:  47.9</t>
  </si>
  <si>
    <t>SYS :2016/11/27 19:12:08.637:ENFORCEMENT:Predictive Enforcement Action:  Target Number: 00010083  Target Speed:  30.0  Current Speed:  47.9</t>
  </si>
  <si>
    <t>SYS :2016/11/27 19:33:41.676:ENFORCEMENT:Predictive Enforcement Action:  Target Number: 00001010  Target Speed:   0.0  Current Speed:  14.6</t>
  </si>
  <si>
    <t>SYS :2016/11/27 19:33:46.934:ENFORCEMENT:Predictive Enforcement Action:  Target Number: 00001010  Target Speed:   0.0  Current Speed:  10.7</t>
  </si>
  <si>
    <t>SYS :2016/11/27 19:33:46.991:ENFORCEMENT:Predictive Enforcement Action:  Target Number: 00001009  Target Speed:   0.0  Current Speed:  10.7</t>
  </si>
  <si>
    <t>SYS :2016/11/27 19:34:26.931:ENFORCEMENT:Predictive Enforcement Action:  Target Number: 00001010  Target Speed:   0.0  Current Speed:   5.1</t>
  </si>
  <si>
    <t>SYS :2016/11/27 19:34:26.988:ENFORCEMENT:Predictive Enforcement Action:  Target Number: 00001009  Target Speed:   0.0  Current Speed:   5.1</t>
  </si>
  <si>
    <t>SYS :2016/11/27 19:34:27.676:ENFORCEMENT:Predictive Enforcement Action:  Target Number: 00001010  Target Speed:   0.0  Current Speed:   5.1</t>
  </si>
  <si>
    <t>SYS :2016/11/27 20:34:18.487:ENFORCEMENT:Predictive Enforcement Action:  Target Number: 00001019  Target Speed:   0.0  Current Speed:   3.1</t>
  </si>
  <si>
    <t>SYS :2016/11/27 20:34:18.527:ENFORCEMENT:Predictive Enforcement Action:  Target Number: 00001006  Target Speed:   0.0  Current Speed:   3.1</t>
  </si>
  <si>
    <t>SYS :2016/11/27 20:34:19.970:ENFORCEMENT:Predictive Enforcement Action:  Target Number: 00001018  Target Speed:   0.0  Current Speed:   2.6</t>
  </si>
  <si>
    <t>SYS :2016/11/27 21:30:16.400:ENFORCEMENT:Reactive Enforcement Action:  Target Number: 0001009B  Target Speed:  40.0  Current Speed:  45.2</t>
  </si>
  <si>
    <t>SYS :2016/11/27 22:49:17.539:ENFORCEMENT:Predictive Enforcement Action:  Target Number: 0000616C  Target Speed:   0.0  Current Speed:  68.9</t>
  </si>
  <si>
    <t>SYS :2016/11/27 22:49:17.599:ENFORCEMENT:Predictive Enforcement Action:  Target Number: 000060C4  Target Speed:   0.0  Current Speed:  68.9</t>
  </si>
  <si>
    <t>SYS :2016/11/27 22:49:18.487:ENFORCEMENT:Predictive Enforcement Action:  Target Number: 0000602A  Target Speed:   0.0  Current Speed:  68.8</t>
  </si>
  <si>
    <t>SYS :2016/11/27 22:51:49.113:ENFORCEMENT:Predictive Enforcement Action:  Target Number: 00010036  Target Speed:  20.0  Current Speed:  34.0</t>
  </si>
  <si>
    <t>SYS :2016/11/27 22:51:49.335:ENFORCEMENT:Predictive Enforcement Action:  Target Number: 00010023  Target Speed:  20.0  Current Speed:  34.0</t>
  </si>
  <si>
    <t>SYS :2016/11/27 22:51:49.463:ENFORCEMENT:Predictive Enforcement Action:  Target Number: 00010083  Target Speed:  20.0  Current Speed:  33.9</t>
  </si>
  <si>
    <t>SYS :2016/11/27 23:50:32.107:ENFORCEMENT:Predictive Enforcement Action:  Target Number: 00017008  Target Speed:   9.0  Current Speed:  28.9</t>
  </si>
  <si>
    <t>SYS :2016/11/27 23:50:32.328:ENFORCEMENT:Predictive Enforcement Action:  Target Number: 0000A003  Target Speed:  10.0  Current Speed:  28.9</t>
  </si>
  <si>
    <t>SYS :2016/11/27 23:50:32.339:ENFORCEMENT:Predictive Enforcement Action:  Target Number: 00017006  Target Speed:   9.0  Current Speed:  28.9</t>
  </si>
  <si>
    <t>SYS :2016/11/27 23:50:32.432:ENFORCEMENT:Predictive Enforcement Action:  Target Number: 00017011  Target Speed:   9.0  Current Speed:  28.9</t>
  </si>
  <si>
    <t>SYS :2016/11/28 00:35:39.625:ENFORCEMENT:Predictive Enforcement Action:  Target Number: 00001013  Target Speed:   0.0  Current Speed:   5.0</t>
  </si>
  <si>
    <t>SYS :2016/11/28 00:35:39.764:ENFORCEMENT:Predictive Enforcement Action:  Target Number: 0000100F  Target Speed:   0.0  Current Speed:   5.0</t>
  </si>
  <si>
    <t>SYS :2016/11/28 00:35:39.905:ENFORCEMENT:Predictive Enforcement Action:  Target Number: 00001013  Target Speed:   0.0  Current Speed:   5.0</t>
  </si>
  <si>
    <t>SYS :2016/11/28 00:55:04.105:ENFORCEMENT:Predictive Enforcement Action:  Target Number: 0000100B  Target Speed:   0.0  Current Speed:   3.6</t>
  </si>
  <si>
    <t>SYS :2016/11/28 00:55:04.313:ENFORCEMENT:Predictive Enforcement Action:  Target Number: 0000100A  Target Speed:   0.0  Current Speed:   3.5</t>
  </si>
  <si>
    <t>SYS :2016/11/28 00:55:04.419:ENFORCEMENT:Predictive Enforcement Action:  Target Number: 00001019  Target Speed:   0.0  Current Speed:   3.6</t>
  </si>
  <si>
    <t>SYS :2016/11/28 01:54:16.318:ENFORCEMENT:Predictive Enforcement Action:  Target Number: 0000100C  Target Speed:   0.0  Current Speed:   6.3</t>
  </si>
  <si>
    <t>SYS :2016/11/28 01:54:20.095:ENFORCEMENT:Predictive Enforcement Action:  Target Number: 0000100D  Target Speed:   0.0  Current Speed:   5.0</t>
  </si>
  <si>
    <t>SYS :2016/11/28 01:54:20.420:ENFORCEMENT:Predictive Enforcement Action:  Target Number: 0000101B  Target Speed:   0.0  Current Speed:   5.0</t>
  </si>
  <si>
    <t>SYS :2016/11/28 02:49:45.108:ENFORCEMENT:Predictive Enforcement Action:  Target Number: 0001700D  Target Speed:   0.0  Current Speed:  24.1</t>
  </si>
  <si>
    <t>SYS :2016/11/28 02:49:45.325:ENFORCEMENT:Predictive Enforcement Action:  Target Number: 0001700B  Target Speed:   0.0  Current Speed:  24.1</t>
  </si>
  <si>
    <t>SYS :2016/11/28 02:49:45.433:ENFORCEMENT:Predictive Enforcement Action:  Target Number: 00017016  Target Speed:   0.0  Current Speed:  24.1</t>
  </si>
  <si>
    <t>SYS :2016/11/28 04:02:30.948:ENFORCEMENT:Predictive Enforcement Action:  Target Number: 00010169  Target Speed:  60.0  Current Speed:  65.0</t>
  </si>
  <si>
    <t>SYS :2016/11/28 04:02:31.008:ENFORCEMENT:Predictive Enforcement Action:  Target Number: 0001011C  Target Speed:  60.0  Current Speed:  65.0</t>
  </si>
  <si>
    <t>SYS :2016/11/28 04:02:31.700:ENFORCEMENT:Predictive Enforcement Action:  Target Number: 0001016C  Target Speed:  60.0  Current Speed:  65.0</t>
  </si>
  <si>
    <t>SYS :2016/11/28 04:54:23.102:ENFORCEMENT:Predictive Enforcement Action:  Target Number: 00001013  Target Speed:   0.0  Current Speed:  13.0</t>
  </si>
  <si>
    <t>SYS :2016/11/28 04:54:23.325:ENFORCEMENT:Predictive Enforcement Action:  Target Number: 00001012  Target Speed:   0.0  Current Speed:  13.0</t>
  </si>
  <si>
    <t>SYS :2016/11/28 04:54:23.432:ENFORCEMENT:Predictive Enforcement Action:  Target Number: 00001021  Target Speed:   0.0  Current Speed:  13.0</t>
  </si>
  <si>
    <t>SYS :2016/11/28 04:55:27.096:ENFORCEMENT:Predictive Enforcement Action:  Target Number: 00001013  Target Speed:   0.0  Current Speed:   5.3</t>
  </si>
  <si>
    <t>SYS :2016/11/28 04:55:27.319:ENFORCEMENT:Predictive Enforcement Action:  Target Number: 00001012  Target Speed:   0.0  Current Speed:   5.3</t>
  </si>
  <si>
    <t>SYS :2016/11/28 04:55:27.420:ENFORCEMENT:Predictive Enforcement Action:  Target Number: 00001021  Target Speed:   0.0  Current Speed:   5.3</t>
  </si>
  <si>
    <t>SYS :2016/11/28 05:55:05.456:ENFORCEMENT:Predictive Enforcement Action:  Target Number: 0000612E  Target Speed:   0.0  Current Speed:  44.2</t>
  </si>
  <si>
    <t>SYS :2016/11/28 05:55:07.121:ENFORCEMENT:Predictive Enforcement Action:  Target Number: 000060E6  Target Speed:   0.0  Current Speed:  43.2</t>
  </si>
  <si>
    <t>SYS :2016/11/28 05:55:07.326:ENFORCEMENT:Predictive Enforcement Action:  Target Number: 000060C3  Target Speed:   0.0  Current Speed:  43.2</t>
  </si>
  <si>
    <t>SYS :2016/11/28 07:06:47.736:ENFORCEMENT:Predictive Enforcement Action:  Target Number: 0000101E  Target Speed:   0.0  Current Speed:   4.9</t>
  </si>
  <si>
    <t>SYS :2016/11/28 07:06:47.792:ENFORCEMENT:Predictive Enforcement Action:  Target Number: 0000101D  Target Speed:   0.0  Current Speed:   4.9</t>
  </si>
  <si>
    <t>Banner without braking</t>
  </si>
  <si>
    <t>CPU1 commanded braking, others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</si>
</sst>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8b83f94f-d086-4601-b14a-3a74d6321daf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2"/>
  <sheetViews>
    <sheetView tabSelected="1" workbookViewId="0">
      <selection activeCell="R13" sqref="R1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COUNTIFS($N$13:$N$9376,"&gt;0",$AG$13:$AG$9376,I1)</f>
        <v>135</v>
      </c>
      <c r="K5" s="44"/>
      <c r="L5" s="44"/>
      <c r="M5" s="45">
        <f>AVERAGEIFS($N$13:$N$9376,$AG$13:$AG$9376,I1)</f>
        <v>38.176666665822268</v>
      </c>
      <c r="N5" s="43">
        <f t="array" ref="N5">MIN(IF($AG$13:$AG$9376=I1,IF(ISNUMBER($N$13:$N$9376),IF($N$13:$N$9376&gt;0,$N$13:$N$9376))))</f>
        <v>34.65000000083819</v>
      </c>
      <c r="O5" s="3">
        <f t="array" ref="O5">MAX(IF($AG$13:$AG$9376=I1,IF(ISNUMBER($N$13:$N$9376),IF($N$13:$N$9376&gt;0,$N$13:$N$9376))))</f>
        <v>64.249999994644895</v>
      </c>
      <c r="P5" s="2"/>
      <c r="R5" s="80" t="s">
        <v>17</v>
      </c>
      <c r="S5" s="55">
        <f>COUNTIFS($N$13:$N$9376,"&gt;0",$AG$13:$AG$9376,R1)</f>
        <v>34</v>
      </c>
      <c r="T5" s="44"/>
      <c r="U5" s="169"/>
      <c r="V5" s="45">
        <f>AVERAGEIFS($N$13:$N$9376,$AG$13:$AG$9376,R1)</f>
        <v>14.943137255990329</v>
      </c>
      <c r="W5" s="43">
        <f t="array" ref="W5">MIN(IF($AG$13:$AG$9376=R1,IF(ISNUMBER($N$13:$N$9376),IF($N$13:$N$9376&gt;0,$N$13:$N$9376))))</f>
        <v>12.766666675452143</v>
      </c>
      <c r="X5" s="173">
        <f t="array" ref="X5">MAX(IF($AG$13:$AG$9376=R1,IF(ISNUMBER($N$13:$N$9376),IF($N$13:$N$9376&gt;0,$N$13:$N$9376))))</f>
        <v>18.033333336934447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COUNT($O$13:$O$155)</f>
        <v>0</v>
      </c>
      <c r="K6" s="44"/>
      <c r="L6" s="44"/>
      <c r="M6" s="45">
        <f>IFERROR(AVERAGE($O$13:$O$155),0)</f>
        <v>0</v>
      </c>
      <c r="N6" s="43">
        <f>MIN($O$13:$O$155)</f>
        <v>0</v>
      </c>
      <c r="O6" s="3">
        <f>MAX($O$13:$O$155)</f>
        <v>0</v>
      </c>
      <c r="P6" s="2"/>
      <c r="R6" s="81" t="s">
        <v>43</v>
      </c>
      <c r="S6" s="55">
        <f>COUNT($O$13:$O$155)</f>
        <v>0</v>
      </c>
      <c r="T6" s="44"/>
      <c r="U6" s="169"/>
      <c r="V6" s="45">
        <f>IFERROR(AVERAGE($O$13:$O$155),0)</f>
        <v>0</v>
      </c>
      <c r="W6" s="43">
        <f>MIN($O$13:$O$155)</f>
        <v>0</v>
      </c>
      <c r="X6" s="173">
        <f>MAX($O$13:$O$155)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COUNTIFS($P$13:$P$9376,"&gt;0",$AG$13:$AG$9376,I1)</f>
        <v>9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COUNTIFS($P$13:$P$9376,"&gt;0",$AG$13:$AG$9376,R1)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135</v>
      </c>
      <c r="K8" s="44"/>
      <c r="L8" s="44"/>
      <c r="M8" s="45">
        <f>M5</f>
        <v>38.176666665822268</v>
      </c>
      <c r="N8" s="43">
        <f>N5</f>
        <v>34.65000000083819</v>
      </c>
      <c r="O8" s="3">
        <f>O5</f>
        <v>64.249999994644895</v>
      </c>
      <c r="P8" s="2"/>
      <c r="R8" s="80" t="s">
        <v>16</v>
      </c>
      <c r="S8" s="55">
        <f>S5</f>
        <v>34</v>
      </c>
      <c r="T8" s="44"/>
      <c r="U8" s="169"/>
      <c r="V8" s="45">
        <f>V5</f>
        <v>14.943137255990329</v>
      </c>
      <c r="W8" s="43">
        <f>W5</f>
        <v>12.766666675452143</v>
      </c>
      <c r="X8" s="173">
        <f>X5</f>
        <v>18.033333336934447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0.9375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- 2016-11-27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AVERAGE(S13:S105)</f>
        <v>0.97499999999999998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432</v>
      </c>
      <c r="B13" s="7">
        <v>4009</v>
      </c>
      <c r="C13" s="22" t="s">
        <v>215</v>
      </c>
      <c r="D13" s="22" t="s">
        <v>605</v>
      </c>
      <c r="E13" s="13">
        <v>42701.128645833334</v>
      </c>
      <c r="F13" s="13">
        <v>42701.135659722226</v>
      </c>
      <c r="G13" s="7">
        <v>1</v>
      </c>
      <c r="H13" s="22" t="s">
        <v>606</v>
      </c>
      <c r="I13" s="13">
        <v>42701.160925925928</v>
      </c>
      <c r="J13" s="7">
        <v>0</v>
      </c>
      <c r="K13" s="109" t="str">
        <f t="shared" ref="K13:K76" si="0">IF(ISEVEN(B13),(B13-1)&amp;"/"&amp;B13,B13&amp;"/"&amp;(B13+1))</f>
        <v>4009/4010</v>
      </c>
      <c r="L13" s="22" t="str">
        <f>VLOOKUP(A13,'Trips&amp;Operators'!$C$1:$E$10000,3,FALSE)</f>
        <v>KILLION</v>
      </c>
      <c r="M13" s="6">
        <f t="shared" ref="M13:M76" si="1">I13-F13</f>
        <v>2.5266203701903578E-2</v>
      </c>
      <c r="N13" s="7">
        <f>24*60*SUM($M13:$M13)</f>
        <v>36.383333330741152</v>
      </c>
      <c r="O13" s="7"/>
      <c r="P13" s="7"/>
      <c r="Q13" s="23"/>
      <c r="R13" s="23"/>
      <c r="S13" s="35">
        <f t="shared" ref="S13:S23" si="2">SUM(U13:U13)/IF(AG13="EC",12,1)</f>
        <v>1</v>
      </c>
      <c r="T13" s="50" t="str">
        <f t="shared" ref="T13:T76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https://search-rtdc-monitor-bjffxe2xuh6vdkpspy63sjmuny.us-east-1.es.amazonaws.com/_plugin/kibana/#/discover/Steve-Slow-Train-Analysis-(2080s-and-2083s)?_g=(refreshInterval:(display:Off,section:0,value:0),time:(from:'2016-11-27 02:05:15-700',mode:absolute,to:'2016-11-27 04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" s="52" t="str">
        <f t="shared" ref="W13:W76" si="5">IF(AA13&lt;IF(AG13="EC",23,5.65),"Y","N")</f>
        <v>N</v>
      </c>
      <c r="X13" s="177" t="e">
        <f t="shared" ref="X13:X18" si="6">VALUE(LEFT(AD13,4))-VALUE(LEFT(AD12,4))</f>
        <v>#VALUE!</v>
      </c>
      <c r="Y13" s="67">
        <f t="shared" ref="Y13:Y76" si="7">RIGHT(D13,LEN(D13)-4)/10000</f>
        <v>7.5200000000000003E-2</v>
      </c>
      <c r="Z13" s="67">
        <f t="shared" ref="Z13:Z44" si="8">RIGHT(H13,LEN(H13)-4)/10000</f>
        <v>23.3322</v>
      </c>
      <c r="AA13" s="67">
        <f t="shared" ref="AA13:AA76" si="9">ABS(Z13-Y13)</f>
        <v>23.257000000000001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0">IF(LEN(A13)=6,"0"&amp;A13,A13)</f>
        <v>0101-27</v>
      </c>
      <c r="AE13" s="91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13" s="88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/stypes="app*4009*20161127*" /stext=" 10:.+((SYSTEM_STATE.+slice.+state.+changed )|(ment ac)|(multiple cpu faults)|(system.+state.+changed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4009 --swversion DE.1.0.8.0 --startMP 204:752 --initTime 2016-11-27T03:05:15 --startdatetime 2016-11-27T03:15:21 --delay 1 --endMP 204:233322 --enddatetime 2016-11-27T03:51:44 --enforcementcount 0 &gt;&gt;C:\Users\stu\Documents\GitHub\eaglep3-reporting\EC\2016-11-27-refined-times.txt</v>
      </c>
      <c r="AI13" s="11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{"issue":{"subject":"","project_id":79,"tracker_id":40,"status_id":1,"priority_id":2,"assigned_to_id":23,"start_date":"2016-11-27","description":"","custom_fields":[{"id":1,"name":"Subdivision","value":"EC"},{"id":4,"name":"Milepost","value":"23.3322"},{"id":17,"name":"Train ID","value":"101-27"},{"id":16,"name":"Locomotive ID","value":"4009"},{"id":130,"name":"Impact","value":""},{"id":150,"name":"Time of Event (Mountain Time)","value":"03:51:44"},{"id":151,"name":"Denver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434</v>
      </c>
      <c r="B14" s="7">
        <v>4021</v>
      </c>
      <c r="C14" s="22" t="s">
        <v>215</v>
      </c>
      <c r="D14" s="22" t="s">
        <v>607</v>
      </c>
      <c r="E14" s="13">
        <v>42701.167372685188</v>
      </c>
      <c r="F14" s="13">
        <v>42701.174537037034</v>
      </c>
      <c r="G14" s="7">
        <v>1</v>
      </c>
      <c r="H14" s="22" t="s">
        <v>222</v>
      </c>
      <c r="I14" s="13">
        <v>42701.200949074075</v>
      </c>
      <c r="J14" s="7">
        <v>0</v>
      </c>
      <c r="K14" s="109" t="str">
        <f t="shared" si="0"/>
        <v>4021/4022</v>
      </c>
      <c r="L14" s="22" t="str">
        <f>VLOOKUP(A14,'Trips&amp;Operators'!$C$1:$E$10000,3,FALSE)</f>
        <v>KILLION</v>
      </c>
      <c r="M14" s="6">
        <f t="shared" si="1"/>
        <v>2.641203704115469E-2</v>
      </c>
      <c r="N14" s="7">
        <f>24*60*SUM($M14:$M14)</f>
        <v>38.033333339262754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03:01:01-700',mode:absolute,to:'2016-11-27 05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 t="shared" si="5"/>
        <v>N</v>
      </c>
      <c r="X14" s="177">
        <f t="shared" si="6"/>
        <v>1</v>
      </c>
      <c r="Y14" s="67">
        <f t="shared" si="7"/>
        <v>23.2681</v>
      </c>
      <c r="Z14" s="67">
        <f t="shared" si="8"/>
        <v>1.4999999999999999E-2</v>
      </c>
      <c r="AA14" s="67">
        <f t="shared" si="9"/>
        <v>23.2531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0"/>
        <v>0102-27</v>
      </c>
      <c r="AE14" s="91" t="str">
        <f t="shared" si="11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14" s="88" t="str">
        <f t="shared" si="12"/>
        <v>"C:\Program Files (x86)\AstroGrep\AstroGrep.exe" /spath="%USERPROFILE%\AppData\Local\Temp\OnboardLogs" /stypes="app*4021*20161127*"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92" t="str">
        <f t="shared" ref="AH14:AH80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4021 --swversion DE.1.0.8.0 --startMP 204:232681 --initTime 2016-11-27T04:01:01 --startdatetime 2016-11-27T04:11:20 --delay 1 --endMP 204:150 --enddatetime 2016-11-27T04:49:22 --enforcementcount 0 &gt;&gt;C:\Users\stu\Documents\GitHub\eaglep3-reporting\EC\2016-11-27-refined-times.txt</v>
      </c>
      <c r="AI14" s="119" t="str">
        <f t="shared" ref="AI14:AI80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{"issue":{"subject":"","project_id":79,"tracker_id":40,"status_id":1,"priority_id":2,"assigned_to_id":23,"start_date":"2016-11-27","description":"","custom_fields":[{"id":1,"name":"Subdivision","value":"EC"},{"id":4,"name":"Milepost","value":"0.015"},{"id":17,"name":"Train ID","value":"102-27"},{"id":16,"name":"Locomotive ID","value":"4021"},{"id":130,"name":"Impact","value":""},{"id":150,"name":"Time of Event (Mountain Time)","value":"04:49:22"},{"id":151,"name":"Denver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400</v>
      </c>
      <c r="B15" s="7">
        <v>4016</v>
      </c>
      <c r="C15" s="22" t="s">
        <v>215</v>
      </c>
      <c r="D15" s="22" t="s">
        <v>608</v>
      </c>
      <c r="E15" s="13">
        <v>42701.151562500003</v>
      </c>
      <c r="F15" s="13">
        <v>42701.156481481485</v>
      </c>
      <c r="G15" s="7">
        <v>2</v>
      </c>
      <c r="H15" s="22" t="s">
        <v>394</v>
      </c>
      <c r="I15" s="13">
        <v>42701.181608796294</v>
      </c>
      <c r="J15" s="7">
        <v>0</v>
      </c>
      <c r="K15" s="109" t="str">
        <f t="shared" si="0"/>
        <v>4015/4016</v>
      </c>
      <c r="L15" s="22" t="str">
        <f>VLOOKUP(A15,'Trips&amp;Operators'!$C$1:$E$10000,3,FALSE)</f>
        <v>ACKERMAN</v>
      </c>
      <c r="M15" s="6">
        <f t="shared" si="1"/>
        <v>2.512731480965158E-2</v>
      </c>
      <c r="N15" s="7">
        <f>24*60*SUM($M15:$M15)</f>
        <v>36.183333325898275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02:38:15-700',mode:absolute,to:'2016-11-27 05:21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5"/>
        <v>N</v>
      </c>
      <c r="X15" s="177">
        <f t="shared" si="6"/>
        <v>1</v>
      </c>
      <c r="Y15" s="67">
        <f t="shared" si="7"/>
        <v>7.0400000000000004E-2</v>
      </c>
      <c r="Z15" s="67">
        <f t="shared" si="8"/>
        <v>23.334399999999999</v>
      </c>
      <c r="AA15" s="67">
        <f t="shared" si="9"/>
        <v>23.263999999999999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0"/>
        <v>0103-27</v>
      </c>
      <c r="AE15" s="91" t="str">
        <f t="shared" si="11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15" s="88" t="str">
        <f t="shared" si="12"/>
        <v>"C:\Program Files (x86)\AstroGrep\AstroGrep.exe" /spath="%USERPROFILE%\AppData\Local\Temp\OnboardLogs" /stypes="app*4016*20161127*"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92" t="str">
        <f t="shared" si="16"/>
        <v>"%USERPROFILE%\Documents\GitHub\eaglep3\Utilities\RefineRTDCRunTimes.py" --tripid 103-27 --locoid 4016 --swversion DE.1.0.8.0 --startMP 204:704 --initTime 2016-11-27T03:38:15 --startdatetime 2016-11-27T03:45:20 --delay 2 --endMP 204:233344 --enddatetime 2016-11-27T04:21:31 --enforcementcount 0 &gt;&gt;C:\Users\stu\Documents\GitHub\eaglep3-reporting\EC\2016-11-27-refined-times.txt</v>
      </c>
      <c r="AI15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{"issue":{"subject":"","project_id":79,"tracker_id":40,"status_id":1,"priority_id":2,"assigned_to_id":23,"start_date":"2016-11-27","description":"","custom_fields":[{"id":1,"name":"Subdivision","value":"EC"},{"id":4,"name":"Milepost","value":"23.3344"},{"id":17,"name":"Train ID","value":"103-27"},{"id":16,"name":"Locomotive ID","value":"4016"},{"id":130,"name":"Impact","value":""},{"id":150,"name":"Time of Event (Mountain Time)","value":"04:21:31"},{"id":151,"name":"Denver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438</v>
      </c>
      <c r="B16" s="7">
        <v>4045</v>
      </c>
      <c r="C16" s="22" t="s">
        <v>215</v>
      </c>
      <c r="D16" s="22" t="s">
        <v>609</v>
      </c>
      <c r="E16" s="13">
        <v>42701.189456018517</v>
      </c>
      <c r="F16" s="13">
        <v>42701.1953587963</v>
      </c>
      <c r="G16" s="7">
        <v>1</v>
      </c>
      <c r="H16" s="22" t="s">
        <v>293</v>
      </c>
      <c r="I16" s="13">
        <v>42701.223124999997</v>
      </c>
      <c r="J16" s="7">
        <v>0</v>
      </c>
      <c r="K16" s="109" t="str">
        <f t="shared" si="0"/>
        <v>4045/4046</v>
      </c>
      <c r="L16" s="22" t="str">
        <f>VLOOKUP(A16,'Trips&amp;Operators'!$C$1:$E$10000,3,FALSE)</f>
        <v>ACKERMAN</v>
      </c>
      <c r="M16" s="6">
        <f t="shared" si="1"/>
        <v>2.7766203696955927E-2</v>
      </c>
      <c r="N16" s="7">
        <f>24*60*SUM($M16:$M16)</f>
        <v>39.983333323616534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03:32:49-700',mode:absolute,to:'2016-11-27 06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2" t="str">
        <f t="shared" si="5"/>
        <v>N</v>
      </c>
      <c r="X16" s="177">
        <f t="shared" si="6"/>
        <v>1</v>
      </c>
      <c r="Y16" s="67">
        <f t="shared" si="7"/>
        <v>23.272300000000001</v>
      </c>
      <c r="Z16" s="67">
        <f t="shared" si="8"/>
        <v>1.4500000000000001E-2</v>
      </c>
      <c r="AA16" s="67">
        <f t="shared" si="9"/>
        <v>23.2578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0"/>
        <v>0104-27</v>
      </c>
      <c r="AE16" s="91" t="str">
        <f t="shared" si="11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16" s="88" t="str">
        <f t="shared" si="12"/>
        <v>"C:\Program Files (x86)\AstroGrep\AstroGrep.exe" /spath="%USERPROFILE%\AppData\Local\Temp\OnboardLogs" /stypes="app*4045*20161127*"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92" t="str">
        <f t="shared" si="16"/>
        <v>"%USERPROFILE%\Documents\GitHub\eaglep3\Utilities\RefineRTDCRunTimes.py" --tripid 104-27 --locoid 4045 --swversion DE.1.0.8.0 --startMP 204:232723 --initTime 2016-11-27T04:32:49 --startdatetime 2016-11-27T04:41:19 --delay 1 --endMP 204:145 --enddatetime 2016-11-27T05:21:18 --enforcementcount 0 &gt;&gt;C:\Users\stu\Documents\GitHub\eaglep3-reporting\EC\2016-11-27-refined-times.txt</v>
      </c>
      <c r="AI16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{"issue":{"subject":"","project_id":79,"tracker_id":40,"status_id":1,"priority_id":2,"assigned_to_id":23,"start_date":"2016-11-27","description":"","custom_fields":[{"id":1,"name":"Subdivision","value":"EC"},{"id":4,"name":"Milepost","value":"0.0145"},{"id":17,"name":"Train ID","value":"104-27"},{"id":16,"name":"Locomotive ID","value":"4045"},{"id":130,"name":"Impact","value":""},{"id":150,"name":"Time of Event (Mountain Time)","value":"05:21:18"},{"id":151,"name":"Denver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814</v>
      </c>
      <c r="B17" s="7">
        <v>4044</v>
      </c>
      <c r="C17" s="22" t="s">
        <v>215</v>
      </c>
      <c r="D17" s="22" t="s">
        <v>609</v>
      </c>
      <c r="E17" s="13">
        <v>42701.189456018517</v>
      </c>
      <c r="F17" s="13">
        <v>42701.177083333336</v>
      </c>
      <c r="G17" s="7">
        <v>1</v>
      </c>
      <c r="H17" s="22" t="s">
        <v>293</v>
      </c>
      <c r="I17" s="13">
        <v>42701.177777777775</v>
      </c>
      <c r="J17" s="7">
        <v>0</v>
      </c>
      <c r="K17" s="109" t="str">
        <f t="shared" si="0"/>
        <v>4043/4044</v>
      </c>
      <c r="L17" s="22" t="e">
        <f>VLOOKUP(A17,'Trips&amp;Operators'!$C$1:$E$10000,3,FALSE)</f>
        <v>#N/A</v>
      </c>
      <c r="M17" s="6">
        <f t="shared" si="1"/>
        <v>6.9444443943211809E-4</v>
      </c>
      <c r="N17" s="7"/>
      <c r="O17" s="7"/>
      <c r="P17" s="7">
        <f>24*60*SUM($M17:$M17)</f>
        <v>0.99999999278225005</v>
      </c>
      <c r="Q17" s="23"/>
      <c r="R17" s="23" t="s">
        <v>815</v>
      </c>
      <c r="S17" s="35">
        <f t="shared" si="2"/>
        <v>0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03:32:49-700',mode:absolute,to:'2016-11-27 05:16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" s="52" t="str">
        <f t="shared" si="5"/>
        <v>N</v>
      </c>
      <c r="X17" s="177">
        <f t="shared" si="6"/>
        <v>1</v>
      </c>
      <c r="Y17" s="67">
        <f t="shared" si="7"/>
        <v>23.272300000000001</v>
      </c>
      <c r="Z17" s="67">
        <f t="shared" si="8"/>
        <v>1.4500000000000001E-2</v>
      </c>
      <c r="AA17" s="67">
        <f t="shared" si="9"/>
        <v>23.2578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0"/>
        <v>0105-27</v>
      </c>
      <c r="AE17" s="91" t="str">
        <f t="shared" si="11"/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AF17" s="88" t="str">
        <f t="shared" si="12"/>
        <v>"C:\Program Files (x86)\AstroGrep\AstroGrep.exe" /spath="%USERPROFILE%\AppData\Local\Temp\OnboardLogs" /stypes="app*4044*20161127*"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92" t="str">
        <f t="shared" ref="AH17" si="18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105-27 --locoid 4044 --swversion DE.1.0.8.0 --startMP 204:232723 --initTime 2016-11-27T04:32:49 --startdatetime 2016-11-27T04:15:00 --delay 1 --endMP 204:145 --enddatetime 2016-11-27T04:16:00 --enforcementcount 0 &gt;&gt;C:\Users\stu\Documents\GitHub\eaglep3-reporting\EC\2016-11-27-refined-times.txt</v>
      </c>
      <c r="AI17" s="119" t="str">
        <f t="shared" ref="AI17" si="19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{"issue":{"subject":"Did not init - Wi-MAX outage","project_id":79,"tracker_id":40,"status_id":1,"priority_id":2,"assigned_to_id":23,"start_date":"2016-11-27","description":"","custom_fields":[{"id":1,"name":"Subdivision","value":"EC"},{"id":4,"name":"Milepost","value":"0.0145"},{"id":17,"name":"Train ID","value":"105-27"},{"id":16,"name":"Locomotive ID","value":"4044"},{"id":130,"name":"Impact","value":""},{"id":150,"name":"Time of Event (Mountain Time)","value":"04:16:00"},{"id":151,"name":"Denver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</row>
    <row r="18" spans="1:91" s="1" customFormat="1" x14ac:dyDescent="0.25">
      <c r="A18" s="37" t="s">
        <v>816</v>
      </c>
      <c r="B18" s="7">
        <v>4043</v>
      </c>
      <c r="C18" s="22" t="s">
        <v>215</v>
      </c>
      <c r="D18" s="22" t="s">
        <v>609</v>
      </c>
      <c r="E18" s="13">
        <v>42701.189456018517</v>
      </c>
      <c r="F18" s="13">
        <v>42701.177083333336</v>
      </c>
      <c r="G18" s="7">
        <v>1</v>
      </c>
      <c r="H18" s="22" t="s">
        <v>293</v>
      </c>
      <c r="I18" s="13">
        <v>42701.177777777775</v>
      </c>
      <c r="J18" s="7">
        <v>0</v>
      </c>
      <c r="K18" s="109" t="str">
        <f t="shared" si="0"/>
        <v>4043/4044</v>
      </c>
      <c r="L18" s="22" t="e">
        <f>VLOOKUP(A18,'Trips&amp;Operators'!$C$1:$E$10000,3,FALSE)</f>
        <v>#N/A</v>
      </c>
      <c r="M18" s="6">
        <f t="shared" si="1"/>
        <v>6.9444443943211809E-4</v>
      </c>
      <c r="N18" s="7"/>
      <c r="O18" s="7"/>
      <c r="P18" s="7">
        <f>24*60*SUM($M18:$M18)</f>
        <v>0.99999999278225005</v>
      </c>
      <c r="Q18" s="23"/>
      <c r="R18" s="23" t="s">
        <v>815</v>
      </c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03:32:49-700',mode:absolute,to:'2016-11-27 05:16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2" t="str">
        <f t="shared" si="5"/>
        <v>N</v>
      </c>
      <c r="X18" s="177">
        <f t="shared" si="6"/>
        <v>1</v>
      </c>
      <c r="Y18" s="67">
        <f t="shared" si="7"/>
        <v>23.272300000000001</v>
      </c>
      <c r="Z18" s="67">
        <f t="shared" si="8"/>
        <v>1.4500000000000001E-2</v>
      </c>
      <c r="AA18" s="67">
        <f t="shared" si="9"/>
        <v>23.2578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0"/>
        <v>0106-27</v>
      </c>
      <c r="AE18" s="91" t="str">
        <f t="shared" si="11"/>
        <v>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 &amp; aws s3 cp s3://rtdc.mdm.uploadarchive.raw/RTDC4043/ "%USERPROFILE%\AppData\Local\Temp\OnboardLogs"\RTDC4043\2016-11-28 --exclude "*" --recursive --include "*20161128*" &amp; "%USERPROFILE%\Documents\GitHub\mrs-test-scripts\Headless Mode &amp; Sideloading\WalkAndUnGZ.bat" "%USERPROFILE%\AppData\Local\Temp\OnboardLogs"\RTDC4043\2016-11-28</v>
      </c>
      <c r="AF18" s="88" t="str">
        <f t="shared" si="12"/>
        <v>"C:\Program Files (x86)\AstroGrep\AstroGrep.exe" /spath="%USERPROFILE%\AppData\Local\Temp\OnboardLogs" /stypes="app*4043*20161127*" /stext=" 11:.+((SYSTEM_STATE.+slice.+state.+changed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92" t="str">
        <f t="shared" ref="AH18" si="20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106-27 --locoid 4043 --swversion DE.1.0.8.0 --startMP 204:232723 --initTime 2016-11-27T04:32:49 --startdatetime 2016-11-27T04:15:00 --delay 1 --endMP 204:145 --enddatetime 2016-11-27T04:16:00 --enforcementcount 0 &gt;&gt;C:\Users\stu\Documents\GitHub\eaglep3-reporting\EC\2016-11-27-refined-times.txt</v>
      </c>
      <c r="AI18" s="119" t="str">
        <f t="shared" ref="AI18" si="21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{"issue":{"subject":"Did not init - Wi-MAX outage","project_id":79,"tracker_id":40,"status_id":1,"priority_id":2,"assigned_to_id":23,"start_date":"2016-11-27","description":"","custom_fields":[{"id":1,"name":"Subdivision","value":"EC"},{"id":4,"name":"Milepost","value":"0.0145"},{"id":17,"name":"Train ID","value":"106-27"},{"id":16,"name":"Locomotive ID","value":"4043"},{"id":130,"name":"Impact","value":""},{"id":150,"name":"Time of Event (Mountain Time)","value":"04:16:00"},{"id":151,"name":"Denver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</row>
    <row r="19" spans="1:91" s="1" customFormat="1" x14ac:dyDescent="0.25">
      <c r="A19" s="37" t="s">
        <v>437</v>
      </c>
      <c r="B19" s="7">
        <v>4011</v>
      </c>
      <c r="C19" s="22" t="s">
        <v>215</v>
      </c>
      <c r="D19" s="22" t="s">
        <v>239</v>
      </c>
      <c r="E19" s="13">
        <v>42701.18372685185</v>
      </c>
      <c r="F19" s="13">
        <v>42701.187662037039</v>
      </c>
      <c r="G19" s="7">
        <v>1</v>
      </c>
      <c r="H19" s="22" t="s">
        <v>268</v>
      </c>
      <c r="I19" s="13">
        <v>42701.213055555556</v>
      </c>
      <c r="J19" s="7">
        <v>0</v>
      </c>
      <c r="K19" s="109" t="str">
        <f t="shared" si="0"/>
        <v>4011/4012</v>
      </c>
      <c r="L19" s="22" t="str">
        <f>VLOOKUP(A19,'Trips&amp;Operators'!$C$1:$E$10000,3,FALSE)</f>
        <v>DAVIS</v>
      </c>
      <c r="M19" s="6">
        <f t="shared" si="1"/>
        <v>2.5393518517375924E-2</v>
      </c>
      <c r="N19" s="7">
        <f>24*60*SUM($M19:$M19)</f>
        <v>36.56666666502133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03:24:34-700',mode:absolute,to:'2016-11-27 06:06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5"/>
        <v>N</v>
      </c>
      <c r="X19" s="177">
        <f t="shared" ref="X19:X20" si="22">VALUE(LEFT(AD19,4))-VALUE(LEFT(AD18,4))</f>
        <v>1</v>
      </c>
      <c r="Y19" s="67">
        <f t="shared" si="7"/>
        <v>4.4900000000000002E-2</v>
      </c>
      <c r="Z19" s="67">
        <f t="shared" si="8"/>
        <v>23.332100000000001</v>
      </c>
      <c r="AA19" s="67">
        <f t="shared" si="9"/>
        <v>23.287200000000002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0"/>
        <v>0107-27</v>
      </c>
      <c r="AE19" s="91" t="str">
        <f t="shared" si="11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19" s="88" t="str">
        <f t="shared" si="12"/>
        <v>"C:\Program Files (x86)\AstroGrep\AstroGrep.exe" /spath="%USERPROFILE%\AppData\Local\Temp\OnboardLogs" /stypes="app*4011*20161127*"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92" t="str">
        <f t="shared" si="16"/>
        <v>"%USERPROFILE%\Documents\GitHub\eaglep3\Utilities\RefineRTDCRunTimes.py" --tripid 107-27 --locoid 4011 --swversion DE.1.0.8.0 --startMP 204:449 --initTime 2016-11-27T04:24:34 --startdatetime 2016-11-27T04:30:14 --delay 1 --endMP 204:233321 --enddatetime 2016-11-27T05:06:48 --enforcementcount 0 &gt;&gt;C:\Users\stu\Documents\GitHub\eaglep3-reporting\EC\2016-11-27-refined-times.txt</v>
      </c>
      <c r="AI19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{"issue":{"subject":"","project_id":79,"tracker_id":40,"status_id":1,"priority_id":2,"assigned_to_id":23,"start_date":"2016-11-27","description":"","custom_fields":[{"id":1,"name":"Subdivision","value":"EC"},{"id":4,"name":"Milepost","value":"23.3321"},{"id":17,"name":"Train ID","value":"107-27"},{"id":16,"name":"Locomotive ID","value":"4011"},{"id":130,"name":"Impact","value":""},{"id":150,"name":"Time of Event (Mountain Time)","value":"05:06:48"},{"id":151,"name":"Denver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442</v>
      </c>
      <c r="B20" s="7">
        <v>4012</v>
      </c>
      <c r="C20" s="22" t="s">
        <v>215</v>
      </c>
      <c r="D20" s="22" t="s">
        <v>338</v>
      </c>
      <c r="E20" s="13">
        <v>42701.2190625</v>
      </c>
      <c r="F20" s="13">
        <v>42701.226527777777</v>
      </c>
      <c r="G20" s="7">
        <v>1</v>
      </c>
      <c r="H20" s="22" t="s">
        <v>240</v>
      </c>
      <c r="I20" s="13">
        <v>42701.254166666666</v>
      </c>
      <c r="J20" s="7">
        <v>0</v>
      </c>
      <c r="K20" s="109" t="str">
        <f t="shared" si="0"/>
        <v>4011/4012</v>
      </c>
      <c r="L20" s="22" t="str">
        <f>VLOOKUP(A20,'Trips&amp;Operators'!$C$1:$E$10000,3,FALSE)</f>
        <v>DAVIS</v>
      </c>
      <c r="M20" s="6">
        <f t="shared" si="1"/>
        <v>2.7638888888759539E-2</v>
      </c>
      <c r="N20" s="7">
        <f>24*60*SUM($M20:$M20)</f>
        <v>39.799999999813735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04:15:27-700',mode:absolute,to:'2016-11-27 07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5"/>
        <v>N</v>
      </c>
      <c r="X20" s="177">
        <f t="shared" si="22"/>
        <v>1</v>
      </c>
      <c r="Y20" s="67">
        <f t="shared" si="7"/>
        <v>23.300799999999999</v>
      </c>
      <c r="Z20" s="67">
        <f t="shared" si="8"/>
        <v>1.41E-2</v>
      </c>
      <c r="AA20" s="67">
        <f t="shared" si="9"/>
        <v>23.2867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0"/>
        <v>0108-27</v>
      </c>
      <c r="AE20" s="91" t="str">
        <f t="shared" si="11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20" s="88" t="str">
        <f t="shared" si="12"/>
        <v>"C:\Program Files (x86)\AstroGrep\AstroGrep.exe" /spath="%USERPROFILE%\AppData\Local\Temp\OnboardLogs" /stypes="app*4012*20161127*"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92" t="str">
        <f t="shared" si="16"/>
        <v>"%USERPROFILE%\Documents\GitHub\eaglep3\Utilities\RefineRTDCRunTimes.py" --tripid 108-27 --locoid 4012 --swversion DE.1.0.8.0 --startMP 204:233008 --initTime 2016-11-27T05:15:27 --startdatetime 2016-11-27T05:26:12 --delay 1 --endMP 204:141 --enddatetime 2016-11-27T06:06:00 --enforcementcount 0 &gt;&gt;C:\Users\stu\Documents\GitHub\eaglep3-reporting\EC\2016-11-27-refined-times.txt</v>
      </c>
      <c r="AI20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{"issue":{"subject":"","project_id":79,"tracker_id":40,"status_id":1,"priority_id":2,"assigned_to_id":23,"start_date":"2016-11-27","description":"","custom_fields":[{"id":1,"name":"Subdivision","value":"EC"},{"id":4,"name":"Milepost","value":"0.0141"},{"id":17,"name":"Train ID","value":"108-27"},{"id":16,"name":"Locomotive ID","value":"4012"},{"id":130,"name":"Impact","value":""},{"id":150,"name":"Time of Event (Mountain Time)","value":"06:06:00"},{"id":151,"name":"Denver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439</v>
      </c>
      <c r="B21" s="7">
        <v>4038</v>
      </c>
      <c r="C21" s="22" t="s">
        <v>215</v>
      </c>
      <c r="D21" s="22" t="s">
        <v>196</v>
      </c>
      <c r="E21" s="13">
        <v>42701.191041666665</v>
      </c>
      <c r="F21" s="13">
        <v>42701.198078703703</v>
      </c>
      <c r="G21" s="7">
        <v>1</v>
      </c>
      <c r="H21" s="22" t="s">
        <v>610</v>
      </c>
      <c r="I21" s="13">
        <v>42701.222719907404</v>
      </c>
      <c r="J21" s="7">
        <v>0</v>
      </c>
      <c r="K21" s="109" t="str">
        <f t="shared" si="0"/>
        <v>4037/4038</v>
      </c>
      <c r="L21" s="22" t="str">
        <f>VLOOKUP(A21,'Trips&amp;Operators'!$C$1:$E$10000,3,FALSE)</f>
        <v>ROBINSON</v>
      </c>
      <c r="M21" s="6">
        <f t="shared" si="1"/>
        <v>2.4641203701321501E-2</v>
      </c>
      <c r="N21" s="7">
        <f>24*60*SUM($M21:$M21)</f>
        <v>35.483333329902962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03:35:06-700',mode:absolute,to:'2016-11-27 06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" s="52" t="str">
        <f t="shared" si="5"/>
        <v>N</v>
      </c>
      <c r="X21" s="177">
        <f t="shared" ref="X21:X39" si="23">VALUE(LEFT(AD21,4))-VALUE(LEFT(AD20,4))</f>
        <v>1</v>
      </c>
      <c r="Y21" s="67">
        <f t="shared" si="7"/>
        <v>4.4699999999999997E-2</v>
      </c>
      <c r="Z21" s="67">
        <f t="shared" si="8"/>
        <v>23.3324</v>
      </c>
      <c r="AA21" s="67">
        <f t="shared" si="9"/>
        <v>23.287700000000001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0"/>
        <v>0109-27</v>
      </c>
      <c r="AE21" s="91" t="str">
        <f t="shared" si="11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21" s="88" t="str">
        <f t="shared" si="12"/>
        <v>"C:\Program Files (x86)\AstroGrep\AstroGrep.exe" /spath="%USERPROFILE%\AppData\Local\Temp\OnboardLogs" /stypes="app*4038*20161127*"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92" t="str">
        <f t="shared" si="16"/>
        <v>"%USERPROFILE%\Documents\GitHub\eaglep3\Utilities\RefineRTDCRunTimes.py" --tripid 109-27 --locoid 4038 --swversion DE.1.0.8.0 --startMP 204:447 --initTime 2016-11-27T04:35:06 --startdatetime 2016-11-27T04:45:14 --delay 1 --endMP 204:233324 --enddatetime 2016-11-27T05:20:43 --enforcementcount 0 &gt;&gt;C:\Users\stu\Documents\GitHub\eaglep3-reporting\EC\2016-11-27-refined-times.txt</v>
      </c>
      <c r="AI21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{"issue":{"subject":"","project_id":79,"tracker_id":40,"status_id":1,"priority_id":2,"assigned_to_id":23,"start_date":"2016-11-27","description":"","custom_fields":[{"id":1,"name":"Subdivision","value":"EC"},{"id":4,"name":"Milepost","value":"23.3324"},{"id":17,"name":"Train ID","value":"109-27"},{"id":16,"name":"Locomotive ID","value":"4038"},{"id":130,"name":"Impact","value":""},{"id":150,"name":"Time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446</v>
      </c>
      <c r="B22" s="7">
        <v>4037</v>
      </c>
      <c r="C22" s="22" t="s">
        <v>215</v>
      </c>
      <c r="D22" s="22" t="s">
        <v>278</v>
      </c>
      <c r="E22" s="13">
        <v>42701.228726851848</v>
      </c>
      <c r="F22" s="13">
        <v>42701.237002314818</v>
      </c>
      <c r="G22" s="7">
        <v>1</v>
      </c>
      <c r="H22" s="22" t="s">
        <v>250</v>
      </c>
      <c r="I22" s="13">
        <v>42701.264652777776</v>
      </c>
      <c r="J22" s="7">
        <v>0</v>
      </c>
      <c r="K22" s="109" t="str">
        <f t="shared" si="0"/>
        <v>4037/4038</v>
      </c>
      <c r="L22" s="22" t="str">
        <f>VLOOKUP(A22,'Trips&amp;Operators'!$C$1:$E$10000,3,FALSE)</f>
        <v>ROBINSON</v>
      </c>
      <c r="M22" s="6">
        <f t="shared" si="1"/>
        <v>2.7650462958263233E-2</v>
      </c>
      <c r="N22" s="7">
        <f>24*60*SUM($M22:$M22)</f>
        <v>39.816666659899056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04:29:22-700',mode:absolute,to:'2016-11-27 07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" s="52" t="str">
        <f t="shared" si="5"/>
        <v>N</v>
      </c>
      <c r="X22" s="177">
        <f t="shared" si="23"/>
        <v>1</v>
      </c>
      <c r="Y22" s="67">
        <f t="shared" si="7"/>
        <v>23.3</v>
      </c>
      <c r="Z22" s="67">
        <f t="shared" si="8"/>
        <v>1.47E-2</v>
      </c>
      <c r="AA22" s="67">
        <f t="shared" si="9"/>
        <v>23.285299999999999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0"/>
        <v>0110-27</v>
      </c>
      <c r="AE22" s="91" t="str">
        <f t="shared" si="11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22" s="88" t="str">
        <f t="shared" si="12"/>
        <v>"C:\Program Files (x86)\AstroGrep\AstroGrep.exe" /spath="%USERPROFILE%\AppData\Local\Temp\OnboardLogs" /stypes="app*4037*20161127*"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92" t="str">
        <f t="shared" si="16"/>
        <v>"%USERPROFILE%\Documents\GitHub\eaglep3\Utilities\RefineRTDCRunTimes.py" --tripid 110-27 --locoid 4037 --swversion DE.1.0.8.0 --startMP 204:233000 --initTime 2016-11-27T05:29:22 --startdatetime 2016-11-27T05:41:17 --delay 1 --endMP 204:147 --enddatetime 2016-11-27T06:21:06 --enforcementcount 0 &gt;&gt;C:\Users\stu\Documents\GitHub\eaglep3-reporting\EC\2016-11-27-refined-times.txt</v>
      </c>
      <c r="AI22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{"issue":{"subject":"","project_id":79,"tracker_id":40,"status_id":1,"priority_id":2,"assigned_to_id":23,"start_date":"2016-11-27","description":"","custom_fields":[{"id":1,"name":"Subdivision","value":"EC"},{"id":4,"name":"Milepost","value":"0.0147"},{"id":17,"name":"Train ID","value":"110-27"},{"id":16,"name":"Locomotive ID","value":"4037"},{"id":130,"name":"Impact","value":""},{"id":150,"name":"Time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440</v>
      </c>
      <c r="B23" s="7">
        <v>4009</v>
      </c>
      <c r="C23" s="22" t="s">
        <v>215</v>
      </c>
      <c r="D23" s="22" t="s">
        <v>611</v>
      </c>
      <c r="E23" s="13">
        <v>42701.213796296295</v>
      </c>
      <c r="F23" s="13">
        <v>42701.215069444443</v>
      </c>
      <c r="G23" s="7">
        <v>1</v>
      </c>
      <c r="H23" s="22" t="s">
        <v>336</v>
      </c>
      <c r="I23" s="13">
        <v>42701.242650462962</v>
      </c>
      <c r="J23" s="7">
        <v>0</v>
      </c>
      <c r="K23" s="109" t="str">
        <f t="shared" si="0"/>
        <v>4009/4010</v>
      </c>
      <c r="L23" s="22" t="str">
        <f>VLOOKUP(A23,'Trips&amp;Operators'!$C$1:$E$10000,3,FALSE)</f>
        <v>STRICKLAND</v>
      </c>
      <c r="M23" s="6">
        <f t="shared" si="1"/>
        <v>2.7581018519413192E-2</v>
      </c>
      <c r="N23" s="7"/>
      <c r="O23" s="7"/>
      <c r="P23" s="7">
        <f>24*60*SUM($M23:$M23)</f>
        <v>39.716666667954996</v>
      </c>
      <c r="Q23" s="23"/>
      <c r="R23" s="23" t="s">
        <v>797</v>
      </c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04:07:52-700',mode:absolute,to:'2016-11-27 06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" s="52" t="str">
        <f t="shared" si="5"/>
        <v>Y</v>
      </c>
      <c r="X23" s="177">
        <f t="shared" si="23"/>
        <v>1</v>
      </c>
      <c r="Y23" s="67">
        <f t="shared" si="7"/>
        <v>1.913</v>
      </c>
      <c r="Z23" s="67">
        <f t="shared" si="8"/>
        <v>23.330100000000002</v>
      </c>
      <c r="AA23" s="67">
        <f t="shared" si="9"/>
        <v>21.417100000000001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0"/>
        <v>0111-27</v>
      </c>
      <c r="AE23" s="91" t="str">
        <f t="shared" si="11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23" s="88" t="str">
        <f t="shared" si="12"/>
        <v>"C:\Program Files (x86)\AstroGrep\AstroGrep.exe" /spath="%USERPROFILE%\AppData\Local\Temp\OnboardLogs" /stypes="app*4009*20161127*"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92" t="str">
        <f t="shared" si="16"/>
        <v>"%USERPROFILE%\Documents\GitHub\eaglep3\Utilities\RefineRTDCRunTimes.py" --tripid 111-27 --locoid 4009 --swversion DE.1.0.8.0 --startMP 204:19130 --initTime 2016-11-27T05:07:52 --startdatetime 2016-11-27T05:09:42 --delay 1 --endMP 204:233301 --enddatetime 2016-11-27T05:49:25 --enforcementcount 0 &gt;&gt;C:\Users\stu\Documents\GitHub\eaglep3-reporting\EC\2016-11-27-refined-times.txt</v>
      </c>
      <c r="AI23" s="119" t="str">
        <f t="shared" si="17"/>
        <v>echo {"issue":{"subject":"Onboard in-route failure","project_id":79,"tracker_id":40,"status_id":1,"priority_id":2,"assigned_to_id":23,"start_date":"2016-11-27","description":"see logs","custom_fields":[{"id":1,"name":"Subdivision","value":"EC"},{"id":4,"name":"Milepost","value":"23.3301"},{"id":17,"name":"Train ID","value":"111-27"},{"id":16,"name":"Locomotive ID","value":"4009"},{"id":130,"name":"Impact","value":"Failed State"},{"id":150,"name":"Time of Event (Mountain Time)","value":"05:49:25"},{"id":151,"name":"Denver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23" s="53" t="s">
        <v>798</v>
      </c>
      <c r="AK23" s="53" t="s">
        <v>128</v>
      </c>
      <c r="AL23" s="53" t="s">
        <v>176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440</v>
      </c>
      <c r="B24" s="7">
        <v>4009</v>
      </c>
      <c r="C24" s="22" t="s">
        <v>215</v>
      </c>
      <c r="D24" s="22" t="s">
        <v>612</v>
      </c>
      <c r="E24" s="13">
        <v>42701.202928240738</v>
      </c>
      <c r="F24" s="13">
        <v>42701.215069444443</v>
      </c>
      <c r="G24" s="7">
        <v>2</v>
      </c>
      <c r="H24" s="22" t="s">
        <v>613</v>
      </c>
      <c r="I24" s="13">
        <v>42701.242650462962</v>
      </c>
      <c r="J24" s="7">
        <v>0</v>
      </c>
      <c r="K24" s="109" t="str">
        <f t="shared" si="0"/>
        <v>4009/4010</v>
      </c>
      <c r="L24" s="22" t="str">
        <f>VLOOKUP(A24,'Trips&amp;Operators'!$C$1:$E$10000,3,FALSE)</f>
        <v>STRICKLAND</v>
      </c>
      <c r="M24" s="6">
        <f t="shared" si="1"/>
        <v>2.7581018519413192E-2</v>
      </c>
      <c r="N24" s="7"/>
      <c r="O24" s="7"/>
      <c r="P24" s="7"/>
      <c r="Q24" s="23"/>
      <c r="R24" s="23"/>
      <c r="S24" s="35"/>
      <c r="T24" s="50" t="str">
        <f t="shared" si="3"/>
        <v>NorthBound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03:52:13-700',mode:absolute,to:'2016-11-27 06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4" s="52" t="str">
        <f t="shared" si="5"/>
        <v>Y</v>
      </c>
      <c r="X24" s="177">
        <f t="shared" si="23"/>
        <v>0</v>
      </c>
      <c r="Y24" s="67">
        <f t="shared" si="7"/>
        <v>7.4399999999999994E-2</v>
      </c>
      <c r="Z24" s="67">
        <f t="shared" si="8"/>
        <v>1.7749999999999999</v>
      </c>
      <c r="AA24" s="67">
        <f t="shared" si="9"/>
        <v>1.7005999999999999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0"/>
        <v>0111-27</v>
      </c>
      <c r="AE24" s="91" t="str">
        <f t="shared" si="11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24" s="88" t="str">
        <f t="shared" si="12"/>
        <v>"C:\Program Files (x86)\AstroGrep\AstroGrep.exe" /spath="%USERPROFILE%\AppData\Local\Temp\OnboardLogs" /stypes="app*4009*20161127*" /stext=" 12:.+((SYSTEM_STATE.+slice.+state.+changed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92" t="str">
        <f t="shared" si="16"/>
        <v>"%USERPROFILE%\Documents\GitHub\eaglep3\Utilities\RefineRTDCRunTimes.py" --tripid 111-27 --locoid 4009 --swversion DE.1.0.8.0 --startMP 204:744 --initTime 2016-11-27T04:52:13 --startdatetime 2016-11-27T05:09:42 --delay 2 --endMP 204:17750 --enddatetime 2016-11-27T05:49:25 --enforcementcount 0 &gt;&gt;C:\Users\stu\Documents\GitHub\eaglep3-reporting\EC\2016-11-27-refined-times.txt</v>
      </c>
      <c r="AI24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{"issue":{"subject":"","project_id":79,"tracker_id":40,"status_id":1,"priority_id":2,"assigned_to_id":23,"start_date":"2016-11-27","description":"","custom_fields":[{"id":1,"name":"Subdivision","value":"EC"},{"id":4,"name":"Milepost","value":"1.775"},{"id":17,"name":"Train ID","value":"111-27"},{"id":16,"name":"Locomotive ID","value":"4009"},{"id":130,"name":"Impact","value":""},{"id":150,"name":"Time of Event (Mountain Time)","value":"05:49:25"},{"id":151,"name":"Denver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449</v>
      </c>
      <c r="B25" s="7">
        <v>4010</v>
      </c>
      <c r="C25" s="22" t="s">
        <v>215</v>
      </c>
      <c r="D25" s="22" t="s">
        <v>340</v>
      </c>
      <c r="E25" s="13">
        <v>42701.244074074071</v>
      </c>
      <c r="F25" s="13">
        <v>42701.247442129628</v>
      </c>
      <c r="G25" s="7">
        <v>1</v>
      </c>
      <c r="H25" s="22" t="s">
        <v>614</v>
      </c>
      <c r="I25" s="13">
        <v>42701.275370370371</v>
      </c>
      <c r="J25" s="7">
        <v>0</v>
      </c>
      <c r="K25" s="109" t="str">
        <f t="shared" si="0"/>
        <v>4009/4010</v>
      </c>
      <c r="L25" s="22" t="str">
        <f>VLOOKUP(A25,'Trips&amp;Operators'!$C$1:$E$10000,3,FALSE)</f>
        <v>STRICKLAND</v>
      </c>
      <c r="M25" s="6">
        <f t="shared" si="1"/>
        <v>2.792824074276723E-2</v>
      </c>
      <c r="N25" s="7">
        <f t="shared" ref="N25:N32" si="24">24*60*SUM($M25:$M25)</f>
        <v>40.216666669584811</v>
      </c>
      <c r="O25" s="7"/>
      <c r="P25" s="7"/>
      <c r="Q25" s="23"/>
      <c r="R25" s="23"/>
      <c r="S25" s="35">
        <f t="shared" ref="S25:S43" si="25">SUM(U25:U25)/IF(AG25="EC",12,1)</f>
        <v>1</v>
      </c>
      <c r="T25" s="50" t="str">
        <f t="shared" si="3"/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04:51:28-700',mode:absolute,to:'2016-11-27 07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5" s="52" t="str">
        <f t="shared" si="5"/>
        <v>N</v>
      </c>
      <c r="X25" s="177">
        <f t="shared" si="23"/>
        <v>1</v>
      </c>
      <c r="Y25" s="67">
        <f t="shared" si="7"/>
        <v>23.296900000000001</v>
      </c>
      <c r="Z25" s="67">
        <f t="shared" si="8"/>
        <v>0.1169</v>
      </c>
      <c r="AA25" s="67">
        <f t="shared" si="9"/>
        <v>23.18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0"/>
        <v>0112-27</v>
      </c>
      <c r="AE25" s="91" t="str">
        <f t="shared" si="11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25" s="88" t="str">
        <f t="shared" si="12"/>
        <v>"C:\Program Files (x86)\AstroGrep\AstroGrep.exe" /spath="%USERPROFILE%\AppData\Local\Temp\OnboardLogs" /stypes="app*4010*20161127*" /stext=" 13:.+((SYSTEM_STATE.+slice.+state.+changed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92" t="str">
        <f t="shared" si="16"/>
        <v>"%USERPROFILE%\Documents\GitHub\eaglep3\Utilities\RefineRTDCRunTimes.py" --tripid 112-27 --locoid 4010 --swversion DE.1.0.8.0 --startMP 204:232969 --initTime 2016-11-27T05:51:28 --startdatetime 2016-11-27T05:56:19 --delay 1 --endMP 204:1169 --enddatetime 2016-11-27T06:36:32 --enforcementcount 0 &gt;&gt;C:\Users\stu\Documents\GitHub\eaglep3-reporting\EC\2016-11-27-refined-times.txt</v>
      </c>
      <c r="AI25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{"issue":{"subject":"","project_id":79,"tracker_id":40,"status_id":1,"priority_id":2,"assigned_to_id":23,"start_date":"2016-11-27","description":"","custom_fields":[{"id":1,"name":"Subdivision","value":"EC"},{"id":4,"name":"Milepost","value":"0.1169"},{"id":17,"name":"Train ID","value":"112-27"},{"id":16,"name":"Locomotive ID","value":"4010"},{"id":130,"name":"Impact","value":""},{"id":150,"name":"Time of Event (Mountain Time)","value":"06:36:32"},{"id":151,"name":"Denver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441</v>
      </c>
      <c r="B26" s="7">
        <v>4022</v>
      </c>
      <c r="C26" s="22" t="s">
        <v>215</v>
      </c>
      <c r="D26" s="22" t="s">
        <v>615</v>
      </c>
      <c r="E26" s="13">
        <v>42701.204293981478</v>
      </c>
      <c r="F26" s="13">
        <v>42701.218993055554</v>
      </c>
      <c r="G26" s="7">
        <v>1</v>
      </c>
      <c r="H26" s="22" t="s">
        <v>616</v>
      </c>
      <c r="I26" s="13">
        <v>42701.245393518519</v>
      </c>
      <c r="J26" s="7">
        <v>0</v>
      </c>
      <c r="K26" s="109" t="str">
        <f t="shared" si="0"/>
        <v>4021/4022</v>
      </c>
      <c r="L26" s="22" t="str">
        <f>VLOOKUP(A26,'Trips&amp;Operators'!$C$1:$E$10000,3,FALSE)</f>
        <v>KILLION</v>
      </c>
      <c r="M26" s="6">
        <f t="shared" si="1"/>
        <v>2.6400462964375038E-2</v>
      </c>
      <c r="N26" s="7">
        <f t="shared" si="24"/>
        <v>38.016666668700054</v>
      </c>
      <c r="O26" s="7"/>
      <c r="P26" s="7"/>
      <c r="Q26" s="23"/>
      <c r="R26" s="23"/>
      <c r="S26" s="35">
        <f t="shared" si="25"/>
        <v>1</v>
      </c>
      <c r="T26" s="50" t="str">
        <f t="shared" si="3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03:54:11-700',mode:absolute,to:'2016-11-27 06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6" s="52" t="str">
        <f t="shared" si="5"/>
        <v>N</v>
      </c>
      <c r="X26" s="177">
        <f t="shared" si="23"/>
        <v>1</v>
      </c>
      <c r="Y26" s="67">
        <f t="shared" si="7"/>
        <v>4.7800000000000002E-2</v>
      </c>
      <c r="Z26" s="67">
        <f t="shared" si="8"/>
        <v>23.330400000000001</v>
      </c>
      <c r="AA26" s="67">
        <f t="shared" si="9"/>
        <v>23.282600000000002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0"/>
        <v>0113-27</v>
      </c>
      <c r="AE26" s="91" t="str">
        <f t="shared" si="11"/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26" s="88" t="str">
        <f t="shared" si="12"/>
        <v>"C:\Program Files (x86)\AstroGrep\AstroGrep.exe" /spath="%USERPROFILE%\AppData\Local\Temp\OnboardLogs" /stypes="app*4022*20161127*" /stext=" 12:.+((SYSTEM_STATE.+slice.+state.+changed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92" t="str">
        <f t="shared" si="16"/>
        <v>"%USERPROFILE%\Documents\GitHub\eaglep3\Utilities\RefineRTDCRunTimes.py" --tripid 113-27 --locoid 4022 --swversion DE.1.0.8.0 --startMP 204:478 --initTime 2016-11-27T04:54:11 --startdatetime 2016-11-27T05:15:21 --delay 1 --endMP 204:233304 --enddatetime 2016-11-27T05:53:22 --enforcementcount 0 &gt;&gt;C:\Users\stu\Documents\GitHub\eaglep3-reporting\EC\2016-11-27-refined-times.txt</v>
      </c>
      <c r="AI26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{"issue":{"subject":"","project_id":79,"tracker_id":40,"status_id":1,"priority_id":2,"assigned_to_id":23,"start_date":"2016-11-27","description":"","custom_fields":[{"id":1,"name":"Subdivision","value":"EC"},{"id":4,"name":"Milepost","value":"23.3304"},{"id":17,"name":"Train ID","value":"113-27"},{"id":16,"name":"Locomotive ID","value":"4022"},{"id":130,"name":"Impact","value":""},{"id":150,"name":"Time of Event (Mountain Time)","value":"05:53:22"},{"id":151,"name":"Denver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452</v>
      </c>
      <c r="B27" s="7">
        <v>4021</v>
      </c>
      <c r="C27" s="22" t="s">
        <v>215</v>
      </c>
      <c r="D27" s="22" t="s">
        <v>284</v>
      </c>
      <c r="E27" s="13">
        <v>42701.252002314817</v>
      </c>
      <c r="F27" s="13">
        <v>42701.257962962962</v>
      </c>
      <c r="G27" s="7">
        <v>1</v>
      </c>
      <c r="H27" s="22" t="s">
        <v>194</v>
      </c>
      <c r="I27" s="13">
        <v>42701.283993055556</v>
      </c>
      <c r="J27" s="7">
        <v>0</v>
      </c>
      <c r="K27" s="109" t="str">
        <f t="shared" si="0"/>
        <v>4021/4022</v>
      </c>
      <c r="L27" s="22" t="str">
        <f>VLOOKUP(A27,'Trips&amp;Operators'!$C$1:$E$10000,3,FALSE)</f>
        <v>KILLION</v>
      </c>
      <c r="M27" s="6">
        <f t="shared" si="1"/>
        <v>2.6030092594737653E-2</v>
      </c>
      <c r="N27" s="7">
        <f t="shared" si="24"/>
        <v>37.48333333642222</v>
      </c>
      <c r="O27" s="7"/>
      <c r="P27" s="7"/>
      <c r="Q27" s="23"/>
      <c r="R27" s="23"/>
      <c r="S27" s="35">
        <f t="shared" si="25"/>
        <v>1</v>
      </c>
      <c r="T27" s="50" t="str">
        <f t="shared" si="3"/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05:02:53-700',mode:absolute,to:'2016-11-27 07:48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7" s="52" t="str">
        <f t="shared" si="5"/>
        <v>N</v>
      </c>
      <c r="X27" s="177">
        <f t="shared" si="23"/>
        <v>1</v>
      </c>
      <c r="Y27" s="67">
        <f t="shared" si="7"/>
        <v>23.298100000000002</v>
      </c>
      <c r="Z27" s="67">
        <f t="shared" si="8"/>
        <v>1.49E-2</v>
      </c>
      <c r="AA27" s="67">
        <f t="shared" si="9"/>
        <v>23.283200000000001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0"/>
        <v>0114-27</v>
      </c>
      <c r="AE27" s="91" t="str">
        <f t="shared" si="11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27" s="88" t="str">
        <f t="shared" si="12"/>
        <v>"C:\Program Files (x86)\AstroGrep\AstroGrep.exe" /spath="%USERPROFILE%\AppData\Local\Temp\OnboardLogs" /stypes="app*4021*20161127*"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92" t="str">
        <f t="shared" si="16"/>
        <v>"%USERPROFILE%\Documents\GitHub\eaglep3\Utilities\RefineRTDCRunTimes.py" --tripid 114-27 --locoid 4021 --swversion DE.1.0.8.0 --startMP 204:232981 --initTime 2016-11-27T06:02:53 --startdatetime 2016-11-27T06:11:28 --delay 1 --endMP 204:149 --enddatetime 2016-11-27T06:48:57 --enforcementcount 0 &gt;&gt;C:\Users\stu\Documents\GitHub\eaglep3-reporting\EC\2016-11-27-refined-times.txt</v>
      </c>
      <c r="AI27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{"issue":{"subject":"","project_id":79,"tracker_id":40,"status_id":1,"priority_id":2,"assigned_to_id":23,"start_date":"2016-11-27","description":"","custom_fields":[{"id":1,"name":"Subdivision","value":"EC"},{"id":4,"name":"Milepost","value":"0.0149"},{"id":17,"name":"Train ID","value":"114-27"},{"id":16,"name":"Locomotive ID","value":"4021"},{"id":130,"name":"Impact","value":""},{"id":150,"name":"Time of Event (Mountain Time)","value":"06:48:57"},{"id":151,"name":"Denver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444</v>
      </c>
      <c r="B28" s="7">
        <v>4016</v>
      </c>
      <c r="C28" s="22" t="s">
        <v>215</v>
      </c>
      <c r="D28" s="22" t="s">
        <v>617</v>
      </c>
      <c r="E28" s="13">
        <v>42701.226863425924</v>
      </c>
      <c r="F28" s="13">
        <v>42701.229328703703</v>
      </c>
      <c r="G28" s="7">
        <v>1</v>
      </c>
      <c r="H28" s="22" t="s">
        <v>618</v>
      </c>
      <c r="I28" s="13">
        <v>42701.253668981481</v>
      </c>
      <c r="J28" s="7">
        <v>0</v>
      </c>
      <c r="K28" s="109" t="str">
        <f t="shared" si="0"/>
        <v>4015/4016</v>
      </c>
      <c r="L28" s="22" t="str">
        <f>VLOOKUP(A28,'Trips&amp;Operators'!$C$1:$E$10000,3,FALSE)</f>
        <v>YORK</v>
      </c>
      <c r="M28" s="6">
        <f t="shared" si="1"/>
        <v>2.4340277777810115E-2</v>
      </c>
      <c r="N28" s="7">
        <f t="shared" si="24"/>
        <v>35.050000000046566</v>
      </c>
      <c r="O28" s="7"/>
      <c r="P28" s="7"/>
      <c r="Q28" s="23"/>
      <c r="R28" s="23"/>
      <c r="S28" s="35">
        <f t="shared" si="25"/>
        <v>1</v>
      </c>
      <c r="T28" s="50" t="str">
        <f t="shared" si="3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04:26:41-700',mode:absolute,to:'2016-11-27 07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8" s="52" t="str">
        <f t="shared" si="5"/>
        <v>N</v>
      </c>
      <c r="X28" s="177">
        <f t="shared" si="23"/>
        <v>1</v>
      </c>
      <c r="Y28" s="67">
        <f t="shared" si="7"/>
        <v>7.7200000000000005E-2</v>
      </c>
      <c r="Z28" s="67">
        <f t="shared" si="8"/>
        <v>23.3261</v>
      </c>
      <c r="AA28" s="67">
        <f t="shared" si="9"/>
        <v>23.248899999999999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0"/>
        <v>0115-27</v>
      </c>
      <c r="AE28" s="91" t="str">
        <f t="shared" si="11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28" s="88" t="str">
        <f t="shared" si="12"/>
        <v>"C:\Program Files (x86)\AstroGrep\AstroGrep.exe" /spath="%USERPROFILE%\AppData\Local\Temp\OnboardLogs" /stypes="app*4016*20161127*" /stext=" 13:.+((SYSTEM_STATE.+slice.+state.+changed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92" t="str">
        <f t="shared" si="16"/>
        <v>"%USERPROFILE%\Documents\GitHub\eaglep3\Utilities\RefineRTDCRunTimes.py" --tripid 115-27 --locoid 4016 --swversion DE.1.0.8.0 --startMP 204:772 --initTime 2016-11-27T05:26:41 --startdatetime 2016-11-27T05:30:14 --delay 1 --endMP 204:233261 --enddatetime 2016-11-27T06:05:17 --enforcementcount 0 &gt;&gt;C:\Users\stu\Documents\GitHub\eaglep3-reporting\EC\2016-11-27-refined-times.txt</v>
      </c>
      <c r="AI28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{"issue":{"subject":"","project_id":79,"tracker_id":40,"status_id":1,"priority_id":2,"assigned_to_id":23,"start_date":"2016-11-27","description":"","custom_fields":[{"id":1,"name":"Subdivision","value":"EC"},{"id":4,"name":"Milepost","value":"23.3261"},{"id":17,"name":"Train ID","value":"115-27"},{"id":16,"name":"Locomotive ID","value":"4016"},{"id":130,"name":"Impact","value":""},{"id":150,"name":"Time of Event (Mountain Time)","value":"06:05:17"},{"id":151,"name":"Denver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453</v>
      </c>
      <c r="B29" s="7">
        <v>4015</v>
      </c>
      <c r="C29" s="22" t="s">
        <v>215</v>
      </c>
      <c r="D29" s="22" t="s">
        <v>619</v>
      </c>
      <c r="E29" s="13">
        <v>42701.254814814813</v>
      </c>
      <c r="F29" s="13">
        <v>42701.268703703703</v>
      </c>
      <c r="G29" s="7">
        <v>1</v>
      </c>
      <c r="H29" s="22" t="s">
        <v>217</v>
      </c>
      <c r="I29" s="13">
        <v>42701.29409722222</v>
      </c>
      <c r="J29" s="7">
        <v>0</v>
      </c>
      <c r="K29" s="109" t="str">
        <f t="shared" si="0"/>
        <v>4015/4016</v>
      </c>
      <c r="L29" s="22" t="str">
        <f>VLOOKUP(A29,'Trips&amp;Operators'!$C$1:$E$10000,3,FALSE)</f>
        <v>YORK</v>
      </c>
      <c r="M29" s="6">
        <f t="shared" si="1"/>
        <v>2.5393518517375924E-2</v>
      </c>
      <c r="N29" s="7">
        <f t="shared" si="24"/>
        <v>36.56666666502133</v>
      </c>
      <c r="O29" s="7"/>
      <c r="P29" s="7"/>
      <c r="Q29" s="23"/>
      <c r="R29" s="23"/>
      <c r="S29" s="35">
        <f t="shared" si="25"/>
        <v>1</v>
      </c>
      <c r="T29" s="50" t="str">
        <f t="shared" si="3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05:06:56-700',mode:absolute,to:'2016-11-27 08:03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9" s="52" t="str">
        <f t="shared" si="5"/>
        <v>N</v>
      </c>
      <c r="X29" s="177">
        <f t="shared" si="23"/>
        <v>1</v>
      </c>
      <c r="Y29" s="67">
        <f t="shared" si="7"/>
        <v>23.293600000000001</v>
      </c>
      <c r="Z29" s="67">
        <f t="shared" si="8"/>
        <v>1.5800000000000002E-2</v>
      </c>
      <c r="AA29" s="67">
        <f t="shared" si="9"/>
        <v>23.277800000000003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0"/>
        <v>0116-27</v>
      </c>
      <c r="AE29" s="91" t="str">
        <f t="shared" si="11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29" s="88" t="str">
        <f t="shared" si="12"/>
        <v>"C:\Program Files (x86)\AstroGrep\AstroGrep.exe" /spath="%USERPROFILE%\AppData\Local\Temp\OnboardLogs" /stypes="app*4015*20161127*" /stext=" 14:.+((SYSTEM_STATE.+slice.+state.+changed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92" t="str">
        <f t="shared" si="16"/>
        <v>"%USERPROFILE%\Documents\GitHub\eaglep3\Utilities\RefineRTDCRunTimes.py" --tripid 116-27 --locoid 4015 --swversion DE.1.0.8.0 --startMP 204:232936 --initTime 2016-11-27T06:06:56 --startdatetime 2016-11-27T06:26:56 --delay 1 --endMP 204:158 --enddatetime 2016-11-27T07:03:30 --enforcementcount 0 &gt;&gt;C:\Users\stu\Documents\GitHub\eaglep3-reporting\EC\2016-11-27-refined-times.txt</v>
      </c>
      <c r="AI29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{"issue":{"subject":"","project_id":79,"tracker_id":40,"status_id":1,"priority_id":2,"assigned_to_id":23,"start_date":"2016-11-27","description":"","custom_fields":[{"id":1,"name":"Subdivision","value":"EC"},{"id":4,"name":"Milepost","value":"0.0158"},{"id":17,"name":"Train ID","value":"116-27"},{"id":16,"name":"Locomotive ID","value":"4015"},{"id":130,"name":"Impact","value":""},{"id":150,"name":"Time of Event (Mountain Time)","value":"07:03:30"},{"id":151,"name":"Denver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447</v>
      </c>
      <c r="B30" s="7">
        <v>4046</v>
      </c>
      <c r="C30" s="22" t="s">
        <v>215</v>
      </c>
      <c r="D30" s="22" t="s">
        <v>262</v>
      </c>
      <c r="E30" s="13">
        <v>42701.232303240744</v>
      </c>
      <c r="F30" s="13">
        <v>42701.239756944444</v>
      </c>
      <c r="G30" s="7">
        <v>1</v>
      </c>
      <c r="H30" s="22" t="s">
        <v>620</v>
      </c>
      <c r="I30" s="13">
        <v>42701.264340277776</v>
      </c>
      <c r="J30" s="7">
        <v>0</v>
      </c>
      <c r="K30" s="109" t="str">
        <f t="shared" si="0"/>
        <v>4045/4046</v>
      </c>
      <c r="L30" s="22" t="str">
        <f>VLOOKUP(A30,'Trips&amp;Operators'!$C$1:$E$10000,3,FALSE)</f>
        <v>ACKERMAN</v>
      </c>
      <c r="M30" s="6">
        <f t="shared" si="1"/>
        <v>2.4583333331975155E-2</v>
      </c>
      <c r="N30" s="7">
        <f t="shared" si="24"/>
        <v>35.399999998044223</v>
      </c>
      <c r="O30" s="7"/>
      <c r="P30" s="7"/>
      <c r="Q30" s="23"/>
      <c r="R30" s="23"/>
      <c r="S30" s="35">
        <f t="shared" si="25"/>
        <v>1</v>
      </c>
      <c r="T30" s="50" t="str">
        <f t="shared" si="3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04:34:31-700',mode:absolute,to:'2016-11-27 07:20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0" s="52" t="str">
        <f t="shared" si="5"/>
        <v>N</v>
      </c>
      <c r="X30" s="177">
        <f t="shared" si="23"/>
        <v>1</v>
      </c>
      <c r="Y30" s="67">
        <f t="shared" si="7"/>
        <v>4.5999999999999999E-2</v>
      </c>
      <c r="Z30" s="67">
        <f t="shared" si="8"/>
        <v>23.3278</v>
      </c>
      <c r="AA30" s="67">
        <f t="shared" si="9"/>
        <v>23.2818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0"/>
        <v>0117-27</v>
      </c>
      <c r="AE30" s="91" t="str">
        <f t="shared" si="11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30" s="88" t="str">
        <f t="shared" si="12"/>
        <v>"C:\Program Files (x86)\AstroGrep\AstroGrep.exe" /spath="%USERPROFILE%\AppData\Local\Temp\OnboardLogs" /stypes="app*4046*20161127*" /stext=" 13:.+((SYSTEM_STATE.+slice.+state.+changed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92" t="str">
        <f t="shared" si="16"/>
        <v>"%USERPROFILE%\Documents\GitHub\eaglep3\Utilities\RefineRTDCRunTimes.py" --tripid 117-27 --locoid 4046 --swversion DE.1.0.8.0 --startMP 204:460 --initTime 2016-11-27T05:34:31 --startdatetime 2016-11-27T05:45:15 --delay 1 --endMP 204:233278 --enddatetime 2016-11-27T06:20:39 --enforcementcount 0 &gt;&gt;C:\Users\stu\Documents\GitHub\eaglep3-reporting\EC\2016-11-27-refined-times.txt</v>
      </c>
      <c r="AI30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{"issue":{"subject":"","project_id":79,"tracker_id":40,"status_id":1,"priority_id":2,"assigned_to_id":23,"start_date":"2016-11-27","description":"","custom_fields":[{"id":1,"name":"Subdivision","value":"EC"},{"id":4,"name":"Milepost","value":"23.3278"},{"id":17,"name":"Train ID","value":"117-27"},{"id":16,"name":"Locomotive ID","value":"4046"},{"id":130,"name":"Impact","value":""},{"id":150,"name":"Time of Event (Mountain Time)","value":"06:20:39"},{"id":151,"name":"Denver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456</v>
      </c>
      <c r="B31" s="7">
        <v>4045</v>
      </c>
      <c r="C31" s="22" t="s">
        <v>215</v>
      </c>
      <c r="D31" s="22" t="s">
        <v>621</v>
      </c>
      <c r="E31" s="13">
        <v>42701.271874999999</v>
      </c>
      <c r="F31" s="13">
        <v>42701.278645833336</v>
      </c>
      <c r="G31" s="7">
        <v>1</v>
      </c>
      <c r="H31" s="22" t="s">
        <v>269</v>
      </c>
      <c r="I31" s="13">
        <v>42701.305</v>
      </c>
      <c r="J31" s="7">
        <v>0</v>
      </c>
      <c r="K31" s="109" t="str">
        <f t="shared" si="0"/>
        <v>4045/4046</v>
      </c>
      <c r="L31" s="22" t="str">
        <f>VLOOKUP(A31,'Trips&amp;Operators'!$C$1:$E$10000,3,FALSE)</f>
        <v>ACKERMAN</v>
      </c>
      <c r="M31" s="6">
        <f t="shared" si="1"/>
        <v>2.6354166664532386E-2</v>
      </c>
      <c r="N31" s="7">
        <f t="shared" si="24"/>
        <v>37.949999996926636</v>
      </c>
      <c r="O31" s="7"/>
      <c r="P31" s="7"/>
      <c r="Q31" s="23"/>
      <c r="R31" s="23"/>
      <c r="S31" s="35">
        <f t="shared" si="25"/>
        <v>1</v>
      </c>
      <c r="T31" s="50" t="str">
        <f t="shared" si="3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05:31:30-700',mode:absolute,to:'2016-11-27 08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1" s="52" t="str">
        <f t="shared" si="5"/>
        <v>N</v>
      </c>
      <c r="X31" s="177">
        <f t="shared" si="23"/>
        <v>1</v>
      </c>
      <c r="Y31" s="67">
        <f t="shared" si="7"/>
        <v>23.295999999999999</v>
      </c>
      <c r="Z31" s="67">
        <f t="shared" si="8"/>
        <v>1.67E-2</v>
      </c>
      <c r="AA31" s="67">
        <f t="shared" si="9"/>
        <v>23.279299999999999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0"/>
        <v>0118-27</v>
      </c>
      <c r="AE31" s="91" t="str">
        <f t="shared" si="11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31" s="88" t="str">
        <f t="shared" si="12"/>
        <v>"C:\Program Files (x86)\AstroGrep\AstroGrep.exe" /spath="%USERPROFILE%\AppData\Local\Temp\OnboardLogs" /stypes="app*4045*20161127*" /stext=" 14:.+((SYSTEM_STATE.+slice.+state.+changed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92" t="str">
        <f t="shared" si="16"/>
        <v>"%USERPROFILE%\Documents\GitHub\eaglep3\Utilities\RefineRTDCRunTimes.py" --tripid 118-27 --locoid 4045 --swversion DE.1.0.8.0 --startMP 204:232960 --initTime 2016-11-27T06:31:30 --startdatetime 2016-11-27T06:41:15 --delay 1 --endMP 204:167 --enddatetime 2016-11-27T07:19:12 --enforcementcount 0 &gt;&gt;C:\Users\stu\Documents\GitHub\eaglep3-reporting\EC\2016-11-27-refined-times.txt</v>
      </c>
      <c r="AI31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{"issue":{"subject":"","project_id":79,"tracker_id":40,"status_id":1,"priority_id":2,"assigned_to_id":23,"start_date":"2016-11-27","description":"","custom_fields":[{"id":1,"name":"Subdivision","value":"EC"},{"id":4,"name":"Milepost","value":"0.0167"},{"id":17,"name":"Train ID","value":"118-27"},{"id":16,"name":"Locomotive ID","value":"4045"},{"id":130,"name":"Impact","value":""},{"id":150,"name":"Time of Event (Mountain Time)","value":"07:19:12"},{"id":151,"name":"Denver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450</v>
      </c>
      <c r="B32" s="7">
        <v>4044</v>
      </c>
      <c r="C32" s="22" t="s">
        <v>215</v>
      </c>
      <c r="D32" s="22" t="s">
        <v>376</v>
      </c>
      <c r="E32" s="13">
        <v>42701.248101851852</v>
      </c>
      <c r="F32" s="13">
        <v>42701.250243055554</v>
      </c>
      <c r="G32" s="7">
        <v>1</v>
      </c>
      <c r="H32" s="22" t="s">
        <v>622</v>
      </c>
      <c r="I32" s="13">
        <v>42701.27511574074</v>
      </c>
      <c r="J32" s="7">
        <v>0</v>
      </c>
      <c r="K32" s="109" t="str">
        <f t="shared" si="0"/>
        <v>4043/4044</v>
      </c>
      <c r="L32" s="22" t="str">
        <f>VLOOKUP(A32,'Trips&amp;Operators'!$C$1:$E$10000,3,FALSE)</f>
        <v>MAELZER</v>
      </c>
      <c r="M32" s="6">
        <f t="shared" si="1"/>
        <v>2.4872685185982846E-2</v>
      </c>
      <c r="N32" s="7">
        <f t="shared" si="24"/>
        <v>35.816666667815298</v>
      </c>
      <c r="O32" s="7"/>
      <c r="P32" s="7"/>
      <c r="Q32" s="23"/>
      <c r="R32" s="23"/>
      <c r="S32" s="35">
        <f t="shared" si="25"/>
        <v>1</v>
      </c>
      <c r="T32" s="50" t="str">
        <f t="shared" si="3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04:57:16-700',mode:absolute,to:'2016-11-27 07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2" s="52" t="str">
        <f t="shared" si="5"/>
        <v>N</v>
      </c>
      <c r="X32" s="177">
        <f t="shared" si="23"/>
        <v>1</v>
      </c>
      <c r="Y32" s="67">
        <f t="shared" si="7"/>
        <v>7.2599999999999998E-2</v>
      </c>
      <c r="Z32" s="67">
        <f t="shared" si="8"/>
        <v>23.326599999999999</v>
      </c>
      <c r="AA32" s="67">
        <f t="shared" si="9"/>
        <v>23.253999999999998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0"/>
        <v>0119-27</v>
      </c>
      <c r="AE32" s="91" t="str">
        <f t="shared" si="11"/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AF32" s="88" t="str">
        <f t="shared" si="12"/>
        <v>"C:\Program Files (x86)\AstroGrep\AstroGrep.exe" /spath="%USERPROFILE%\AppData\Local\Temp\OnboardLogs" /stypes="app*4044*20161127*" /stext=" 13:.+((SYSTEM_STATE.+slice.+state.+changed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92" t="str">
        <f t="shared" si="16"/>
        <v>"%USERPROFILE%\Documents\GitHub\eaglep3\Utilities\RefineRTDCRunTimes.py" --tripid 119-27 --locoid 4044 --swversion DE.1.0.8.0 --startMP 204:726 --initTime 2016-11-27T05:57:16 --startdatetime 2016-11-27T06:00:21 --delay 1 --endMP 204:233266 --enddatetime 2016-11-27T06:36:10 --enforcementcount 0 &gt;&gt;C:\Users\stu\Documents\GitHub\eaglep3-reporting\EC\2016-11-27-refined-times.txt</v>
      </c>
      <c r="AI32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{"issue":{"subject":"","project_id":79,"tracker_id":40,"status_id":1,"priority_id":2,"assigned_to_id":23,"start_date":"2016-11-27","description":"","custom_fields":[{"id":1,"name":"Subdivision","value":"EC"},{"id":4,"name":"Milepost","value":"23.3266"},{"id":17,"name":"Train ID","value":"119-27"},{"id":16,"name":"Locomotive ID","value":"4044"},{"id":130,"name":"Impact","value":""},{"id":150,"name":"Time of Event (Mountain Time)","value":"06:36:10"},{"id":151,"name":"Denver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458</v>
      </c>
      <c r="B33" s="7">
        <v>4043</v>
      </c>
      <c r="C33" s="22" t="s">
        <v>215</v>
      </c>
      <c r="D33" s="22" t="s">
        <v>623</v>
      </c>
      <c r="E33" s="13">
        <v>42701.290046296293</v>
      </c>
      <c r="F33" s="13">
        <v>42701.293275462966</v>
      </c>
      <c r="G33" s="7">
        <v>4</v>
      </c>
      <c r="H33" s="22" t="s">
        <v>194</v>
      </c>
      <c r="I33" s="13">
        <v>42701.317650462966</v>
      </c>
      <c r="J33" s="7">
        <v>0</v>
      </c>
      <c r="K33" s="109" t="str">
        <f t="shared" si="0"/>
        <v>4043/4044</v>
      </c>
      <c r="L33" s="22" t="str">
        <f>VLOOKUP(A33,'Trips&amp;Operators'!$C$1:$E$10000,3,FALSE)</f>
        <v>MAELZER</v>
      </c>
      <c r="M33" s="6">
        <f t="shared" si="1"/>
        <v>2.4375000000873115E-2</v>
      </c>
      <c r="N33" s="7"/>
      <c r="O33" s="7"/>
      <c r="P33" s="7">
        <f>24*60*SUM($M33:$M33)</f>
        <v>35.100000001257285</v>
      </c>
      <c r="Q33" s="23"/>
      <c r="R33" s="23" t="s">
        <v>797</v>
      </c>
      <c r="S33" s="35">
        <f t="shared" si="25"/>
        <v>1</v>
      </c>
      <c r="T33" s="50" t="str">
        <f t="shared" si="3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05:57:40-700',mode:absolute,to:'2016-11-27 08:37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3" s="52" t="str">
        <f t="shared" si="5"/>
        <v>Y</v>
      </c>
      <c r="X33" s="177">
        <f t="shared" si="23"/>
        <v>1</v>
      </c>
      <c r="Y33" s="67">
        <f t="shared" si="7"/>
        <v>22.854600000000001</v>
      </c>
      <c r="Z33" s="67">
        <f t="shared" si="8"/>
        <v>1.49E-2</v>
      </c>
      <c r="AA33" s="67">
        <f t="shared" si="9"/>
        <v>22.839700000000001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0"/>
        <v>0120-27</v>
      </c>
      <c r="AE33" s="91" t="str">
        <f t="shared" si="11"/>
        <v>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 &amp; aws s3 cp s3://rtdc.mdm.uploadarchive.raw/RTDC4043/ "%USERPROFILE%\AppData\Local\Temp\OnboardLogs"\RTDC4043\2016-11-28 --exclude "*" --recursive --include "*20161128*" &amp; "%USERPROFILE%\Documents\GitHub\mrs-test-scripts\Headless Mode &amp; Sideloading\WalkAndUnGZ.bat" "%USERPROFILE%\AppData\Local\Temp\OnboardLogs"\RTDC4043\2016-11-28</v>
      </c>
      <c r="AF33" s="88" t="str">
        <f t="shared" si="12"/>
        <v>"C:\Program Files (x86)\AstroGrep\AstroGrep.exe" /spath="%USERPROFILE%\AppData\Local\Temp\OnboardLogs" /stypes="app*4043*20161127*" /stext=" 14:.+((SYSTEM_STATE.+slice.+state.+changed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92" t="str">
        <f t="shared" si="16"/>
        <v>"%USERPROFILE%\Documents\GitHub\eaglep3\Utilities\RefineRTDCRunTimes.py" --tripid 120-27 --locoid 4043 --swversion DE.1.0.8.0 --startMP 204:228546 --initTime 2016-11-27T06:57:40 --startdatetime 2016-11-27T07:02:19 --delay 4 --endMP 204:149 --enddatetime 2016-11-27T07:37:25 --enforcementcount 0 &gt;&gt;C:\Users\stu\Documents\GitHub\eaglep3-reporting\EC\2016-11-27-refined-times.txt</v>
      </c>
      <c r="AI33" s="119" t="str">
        <f t="shared" si="17"/>
        <v>echo {"issue":{"subject":"Onboard in-route failure","project_id":79,"tracker_id":40,"status_id":1,"priority_id":2,"assigned_to_id":23,"start_date":"2016-11-27","description":"","custom_fields":[{"id":1,"name":"Subdivision","value":"EC"},{"id":4,"name":"Milepost","value":"0.0149"},{"id":17,"name":"Train ID","value":"120-27"},{"id":16,"name":"Locomotive ID","value":"4043"},{"id":130,"name":"Impact","value":""},{"id":150,"name":"Time of Event (Mountain Time)","value":"07:37:25"},{"id":151,"name":"Denver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454</v>
      </c>
      <c r="B34" s="7">
        <v>4011</v>
      </c>
      <c r="C34" s="22" t="s">
        <v>215</v>
      </c>
      <c r="D34" s="22" t="s">
        <v>197</v>
      </c>
      <c r="E34" s="13">
        <v>42701.25545138889</v>
      </c>
      <c r="F34" s="13">
        <v>42701.26059027778</v>
      </c>
      <c r="G34" s="7">
        <v>1</v>
      </c>
      <c r="H34" s="22" t="s">
        <v>274</v>
      </c>
      <c r="I34" s="13">
        <v>42701.285763888889</v>
      </c>
      <c r="J34" s="7">
        <v>0</v>
      </c>
      <c r="K34" s="109" t="str">
        <f t="shared" si="0"/>
        <v>4011/4012</v>
      </c>
      <c r="L34" s="22" t="str">
        <f>VLOOKUP(A34,'Trips&amp;Operators'!$C$1:$E$10000,3,FALSE)</f>
        <v>DAVIS</v>
      </c>
      <c r="M34" s="6">
        <f t="shared" si="1"/>
        <v>2.5173611109494232E-2</v>
      </c>
      <c r="N34" s="7">
        <f>24*60*SUM($M34:$M34)</f>
        <v>36.249999997671694</v>
      </c>
      <c r="O34" s="7"/>
      <c r="P34" s="7"/>
      <c r="Q34" s="23"/>
      <c r="R34" s="23"/>
      <c r="S34" s="35">
        <f t="shared" si="25"/>
        <v>1</v>
      </c>
      <c r="T34" s="50" t="str">
        <f t="shared" si="3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05:07:51-700',mode:absolute,to:'2016-11-27 07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4" s="52" t="str">
        <f t="shared" si="5"/>
        <v>N</v>
      </c>
      <c r="X34" s="177">
        <f t="shared" si="23"/>
        <v>1</v>
      </c>
      <c r="Y34" s="67">
        <f t="shared" si="7"/>
        <v>4.53E-2</v>
      </c>
      <c r="Z34" s="67">
        <f t="shared" si="8"/>
        <v>23.3306</v>
      </c>
      <c r="AA34" s="67">
        <f t="shared" si="9"/>
        <v>23.285299999999999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0"/>
        <v>0121-27</v>
      </c>
      <c r="AE34" s="91" t="str">
        <f t="shared" si="11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34" s="88" t="str">
        <f t="shared" si="12"/>
        <v>"C:\Program Files (x86)\AstroGrep\AstroGrep.exe" /spath="%USERPROFILE%\AppData\Local\Temp\OnboardLogs" /stypes="app*4011*20161127*" /stext=" 13:.+((SYSTEM_STATE.+slice.+state.+changed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92" t="str">
        <f t="shared" si="16"/>
        <v>"%USERPROFILE%\Documents\GitHub\eaglep3\Utilities\RefineRTDCRunTimes.py" --tripid 121-27 --locoid 4011 --swversion DE.1.0.8.0 --startMP 204:453 --initTime 2016-11-27T06:07:51 --startdatetime 2016-11-27T06:15:15 --delay 1 --endMP 204:233306 --enddatetime 2016-11-27T06:51:30 --enforcementcount 0 &gt;&gt;C:\Users\stu\Documents\GitHub\eaglep3-reporting\EC\2016-11-27-refined-times.txt</v>
      </c>
      <c r="AI34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{"issue":{"subject":"","project_id":79,"tracker_id":40,"status_id":1,"priority_id":2,"assigned_to_id":23,"start_date":"2016-11-27","description":"","custom_fields":[{"id":1,"name":"Subdivision","value":"EC"},{"id":4,"name":"Milepost","value":"23.3306"},{"id":17,"name":"Train ID","value":"121-27"},{"id":16,"name":"Locomotive ID","value":"4011"},{"id":130,"name":"Impact","value":""},{"id":150,"name":"Time of Event (Mountain Time)","value":"06:51:30"},{"id":151,"name":"Denver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459</v>
      </c>
      <c r="B35" s="7">
        <v>4012</v>
      </c>
      <c r="C35" s="22" t="s">
        <v>215</v>
      </c>
      <c r="D35" s="22" t="s">
        <v>241</v>
      </c>
      <c r="E35" s="13">
        <v>42701.293773148151</v>
      </c>
      <c r="F35" s="13">
        <v>42701.299479166664</v>
      </c>
      <c r="G35" s="7">
        <v>1</v>
      </c>
      <c r="H35" s="22" t="s">
        <v>624</v>
      </c>
      <c r="I35" s="13">
        <v>42701.327928240738</v>
      </c>
      <c r="J35" s="7">
        <v>0</v>
      </c>
      <c r="K35" s="109" t="str">
        <f t="shared" si="0"/>
        <v>4011/4012</v>
      </c>
      <c r="L35" s="22" t="str">
        <f>VLOOKUP(A35,'Trips&amp;Operators'!$C$1:$E$10000,3,FALSE)</f>
        <v>DAVIS</v>
      </c>
      <c r="M35" s="6">
        <f t="shared" si="1"/>
        <v>2.8449074074160308E-2</v>
      </c>
      <c r="N35" s="7">
        <f>24*60*SUM($M35:$M35)</f>
        <v>40.966666666790843</v>
      </c>
      <c r="O35" s="7"/>
      <c r="P35" s="7"/>
      <c r="Q35" s="23"/>
      <c r="R35" s="23"/>
      <c r="S35" s="35">
        <f t="shared" si="25"/>
        <v>1</v>
      </c>
      <c r="T35" s="50" t="str">
        <f t="shared" si="3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06:03:02-700',mode:absolute,to:'2016-11-27 08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5" s="52" t="str">
        <f t="shared" si="5"/>
        <v>N</v>
      </c>
      <c r="X35" s="177">
        <f t="shared" si="23"/>
        <v>1</v>
      </c>
      <c r="Y35" s="67">
        <f t="shared" si="7"/>
        <v>23.2987</v>
      </c>
      <c r="Z35" s="67">
        <f t="shared" si="8"/>
        <v>1.34E-2</v>
      </c>
      <c r="AA35" s="67">
        <f t="shared" si="9"/>
        <v>23.285299999999999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0"/>
        <v>0122-27</v>
      </c>
      <c r="AE35" s="91" t="str">
        <f t="shared" si="11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35" s="88" t="str">
        <f t="shared" si="12"/>
        <v>"C:\Program Files (x86)\AstroGrep\AstroGrep.exe" /spath="%USERPROFILE%\AppData\Local\Temp\OnboardLogs" /stypes="app*4012*20161127*"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92" t="str">
        <f t="shared" si="16"/>
        <v>"%USERPROFILE%\Documents\GitHub\eaglep3\Utilities\RefineRTDCRunTimes.py" --tripid 122-27 --locoid 4012 --swversion DE.1.0.8.0 --startMP 204:232987 --initTime 2016-11-27T07:03:02 --startdatetime 2016-11-27T07:11:15 --delay 1 --endMP 204:134 --enddatetime 2016-11-27T07:52:13 --enforcementcount 0 &gt;&gt;C:\Users\stu\Documents\GitHub\eaglep3-reporting\EC\2016-11-27-refined-times.txt</v>
      </c>
      <c r="AI35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{"issue":{"subject":"","project_id":79,"tracker_id":40,"status_id":1,"priority_id":2,"assigned_to_id":23,"start_date":"2016-11-27","description":"","custom_fields":[{"id":1,"name":"Subdivision","value":"EC"},{"id":4,"name":"Milepost","value":"0.0134"},{"id":17,"name":"Train ID","value":"122-27"},{"id":16,"name":"Locomotive ID","value":"4012"},{"id":130,"name":"Impact","value":""},{"id":150,"name":"Time of Event (Mountain Time)","value":"07:52:13"},{"id":151,"name":"Denver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455</v>
      </c>
      <c r="B36" s="7">
        <v>4038</v>
      </c>
      <c r="C36" s="22" t="s">
        <v>215</v>
      </c>
      <c r="D36" s="22" t="s">
        <v>265</v>
      </c>
      <c r="E36" s="13">
        <v>42701.267106481479</v>
      </c>
      <c r="F36" s="13">
        <v>42701.270983796298</v>
      </c>
      <c r="G36" s="7">
        <v>1</v>
      </c>
      <c r="H36" s="22" t="s">
        <v>625</v>
      </c>
      <c r="I36" s="13">
        <v>42701.295810185184</v>
      </c>
      <c r="J36" s="7">
        <v>0</v>
      </c>
      <c r="K36" s="109" t="str">
        <f t="shared" si="0"/>
        <v>4037/4038</v>
      </c>
      <c r="L36" s="22" t="str">
        <f>VLOOKUP(A36,'Trips&amp;Operators'!$C$1:$E$10000,3,FALSE)</f>
        <v>ROBINSON</v>
      </c>
      <c r="M36" s="6">
        <f t="shared" si="1"/>
        <v>2.4826388886140194E-2</v>
      </c>
      <c r="N36" s="7">
        <f>24*60*SUM($M36:$M36)</f>
        <v>35.749999996041879</v>
      </c>
      <c r="O36" s="7"/>
      <c r="P36" s="7"/>
      <c r="Q36" s="23"/>
      <c r="R36" s="23"/>
      <c r="S36" s="35">
        <f t="shared" si="25"/>
        <v>1</v>
      </c>
      <c r="T36" s="50" t="str">
        <f t="shared" si="3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05:24:38-700',mode:absolute,to:'2016-11-27 08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6" s="52" t="str">
        <f t="shared" si="5"/>
        <v>N</v>
      </c>
      <c r="X36" s="177">
        <f t="shared" si="23"/>
        <v>1</v>
      </c>
      <c r="Y36" s="67">
        <f t="shared" si="7"/>
        <v>4.5699999999999998E-2</v>
      </c>
      <c r="Z36" s="67">
        <f t="shared" si="8"/>
        <v>23.3337</v>
      </c>
      <c r="AA36" s="67">
        <f t="shared" si="9"/>
        <v>23.288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0"/>
        <v>0123-27</v>
      </c>
      <c r="AE36" s="91" t="str">
        <f t="shared" si="11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36" s="88" t="str">
        <f t="shared" si="12"/>
        <v>"C:\Program Files (x86)\AstroGrep\AstroGrep.exe" /spath="%USERPROFILE%\AppData\Local\Temp\OnboardLogs" /stypes="app*4038*20161127*" /stext=" 14:.+((SYSTEM_STATE.+slice.+state.+changed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92" t="str">
        <f t="shared" si="16"/>
        <v>"%USERPROFILE%\Documents\GitHub\eaglep3\Utilities\RefineRTDCRunTimes.py" --tripid 123-27 --locoid 4038 --swversion DE.1.0.8.0 --startMP 204:457 --initTime 2016-11-27T06:24:38 --startdatetime 2016-11-27T06:30:13 --delay 1 --endMP 204:233337 --enddatetime 2016-11-27T07:05:58 --enforcementcount 0 &gt;&gt;C:\Users\stu\Documents\GitHub\eaglep3-reporting\EC\2016-11-27-refined-times.txt</v>
      </c>
      <c r="AI36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{"issue":{"subject":"","project_id":79,"tracker_id":40,"status_id":1,"priority_id":2,"assigned_to_id":23,"start_date":"2016-11-27","description":"","custom_fields":[{"id":1,"name":"Subdivision","value":"EC"},{"id":4,"name":"Milepost","value":"23.3337"},{"id":17,"name":"Train ID","value":"123-27"},{"id":16,"name":"Locomotive ID","value":"4038"},{"id":130,"name":"Impact","value":""},{"id":150,"name":"Time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404</v>
      </c>
      <c r="B37" s="7">
        <v>4037</v>
      </c>
      <c r="C37" s="22" t="s">
        <v>215</v>
      </c>
      <c r="D37" s="22" t="s">
        <v>248</v>
      </c>
      <c r="E37" s="13">
        <v>42701.30096064815</v>
      </c>
      <c r="F37" s="13">
        <v>42701.309953703705</v>
      </c>
      <c r="G37" s="7">
        <v>1</v>
      </c>
      <c r="H37" s="22" t="s">
        <v>250</v>
      </c>
      <c r="I37" s="13">
        <v>42701.3359375</v>
      </c>
      <c r="J37" s="7">
        <v>0</v>
      </c>
      <c r="K37" s="109" t="str">
        <f t="shared" si="0"/>
        <v>4037/4038</v>
      </c>
      <c r="L37" s="22" t="str">
        <f>VLOOKUP(A37,'Trips&amp;Operators'!$C$1:$E$10000,3,FALSE)</f>
        <v>ROBINSON</v>
      </c>
      <c r="M37" s="6">
        <f t="shared" si="1"/>
        <v>2.5983796294895001E-2</v>
      </c>
      <c r="N37" s="7">
        <f>24*60*SUM($M37:$M37)</f>
        <v>37.416666664648801</v>
      </c>
      <c r="O37" s="7"/>
      <c r="P37" s="7"/>
      <c r="Q37" s="23"/>
      <c r="R37" s="23"/>
      <c r="S37" s="35">
        <f t="shared" si="25"/>
        <v>1</v>
      </c>
      <c r="T37" s="50" t="str">
        <f t="shared" si="3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06:13:23-700',mode:absolute,to:'2016-11-27 09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7" s="52" t="str">
        <f t="shared" si="5"/>
        <v>N</v>
      </c>
      <c r="X37" s="177">
        <f t="shared" si="23"/>
        <v>1</v>
      </c>
      <c r="Y37" s="67">
        <f t="shared" si="7"/>
        <v>23.299800000000001</v>
      </c>
      <c r="Z37" s="67">
        <f t="shared" si="8"/>
        <v>1.47E-2</v>
      </c>
      <c r="AA37" s="67">
        <f t="shared" si="9"/>
        <v>23.2851</v>
      </c>
      <c r="AB37" s="64" t="str">
        <f>VLOOKUP(A37,Enforcements!$C$7:$K$20,8,0)</f>
        <v>Signal based authority (5)</v>
      </c>
      <c r="AC37" s="60" t="str">
        <f>VLOOKUP(A37,Enforcements!$C$7:$E$20,3,0)</f>
        <v>SIGNAL</v>
      </c>
      <c r="AD37" s="61" t="str">
        <f t="shared" si="10"/>
        <v>0124-27</v>
      </c>
      <c r="AE37" s="91" t="str">
        <f t="shared" si="11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37" s="88" t="str">
        <f t="shared" si="12"/>
        <v>"C:\Program Files (x86)\AstroGrep\AstroGrep.exe" /spath="%USERPROFILE%\AppData\Local\Temp\OnboardLogs" /stypes="app*4037*20161127*" /stext=" 15:.+((SYSTEM_STATE.+slice.+state.+changed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92" t="str">
        <f t="shared" si="16"/>
        <v>"%USERPROFILE%\Documents\GitHub\eaglep3\Utilities\RefineRTDCRunTimes.py" --tripid 124-27 --locoid 4037 --swversion DE.1.0.8.0 --startMP 204:232998 --initTime 2016-11-27T07:13:23 --startdatetime 2016-11-27T07:26:20 --delay 1 --endMP 204:147 --enddatetime 2016-11-27T08:03:45 --enforcementcount 0 &gt;&gt;C:\Users\stu\Documents\GitHub\eaglep3-reporting\EC\2016-11-27-refined-times.txt</v>
      </c>
      <c r="AI37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{"issue":{"subject":"","project_id":79,"tracker_id":40,"status_id":1,"priority_id":2,"assigned_to_id":23,"start_date":"2016-11-27","description":"","custom_fields":[{"id":1,"name":"Subdivision","value":"EC"},{"id":4,"name":"Milepost","value":"0.0147"},{"id":17,"name":"Train ID","value":"124-27"},{"id":16,"name":"Locomotive ID","value":"4037"},{"id":130,"name":"Impact","value":""},{"id":150,"name":"Time of Event (Mountain Time)","value":"08:03:45"},{"id":151,"name":"Denver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403</v>
      </c>
      <c r="B38" s="7">
        <v>4002</v>
      </c>
      <c r="C38" s="22" t="s">
        <v>215</v>
      </c>
      <c r="D38" s="22" t="s">
        <v>239</v>
      </c>
      <c r="E38" s="13">
        <v>42701.278865740744</v>
      </c>
      <c r="F38" s="13">
        <v>42701.281875000001</v>
      </c>
      <c r="G38" s="7">
        <v>1</v>
      </c>
      <c r="H38" s="22" t="s">
        <v>626</v>
      </c>
      <c r="I38" s="13">
        <v>42701.308749999997</v>
      </c>
      <c r="J38" s="7">
        <v>0</v>
      </c>
      <c r="K38" s="109" t="str">
        <f t="shared" si="0"/>
        <v>4001/4002</v>
      </c>
      <c r="L38" s="22" t="str">
        <f>VLOOKUP(A38,'Trips&amp;Operators'!$C$1:$E$10000,3,FALSE)</f>
        <v>STRICKLAND</v>
      </c>
      <c r="M38" s="6">
        <f t="shared" si="1"/>
        <v>2.6874999995925464E-2</v>
      </c>
      <c r="N38" s="7">
        <f>24*60*SUM($M38:$M38)</f>
        <v>38.699999994132668</v>
      </c>
      <c r="O38" s="7"/>
      <c r="P38" s="7"/>
      <c r="Q38" s="23"/>
      <c r="R38" s="23"/>
      <c r="S38" s="35">
        <f t="shared" si="25"/>
        <v>1</v>
      </c>
      <c r="T38" s="50" t="str">
        <f t="shared" si="3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05:41:34-700',mode:absolute,to:'2016-11-27 08:24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8" s="52" t="str">
        <f t="shared" si="5"/>
        <v>N</v>
      </c>
      <c r="X38" s="177">
        <f t="shared" si="23"/>
        <v>1</v>
      </c>
      <c r="Y38" s="67">
        <f t="shared" si="7"/>
        <v>4.4900000000000002E-2</v>
      </c>
      <c r="Z38" s="67">
        <f t="shared" si="8"/>
        <v>23.331900000000001</v>
      </c>
      <c r="AA38" s="67">
        <f t="shared" si="9"/>
        <v>23.287000000000003</v>
      </c>
      <c r="AB38" s="64" t="str">
        <f>VLOOKUP(A38,Enforcements!$C$7:$K$20,8,0)</f>
        <v>Speed (6)</v>
      </c>
      <c r="AC38" s="60" t="str">
        <f>VLOOKUP(A38,Enforcements!$C$7:$E$20,3,0)</f>
        <v>PERMANENT SPEED RESTRICTION</v>
      </c>
      <c r="AD38" s="61" t="str">
        <f t="shared" si="10"/>
        <v>0125-27</v>
      </c>
      <c r="AE38" s="91" t="str">
        <f t="shared" si="11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38" s="88" t="str">
        <f t="shared" si="12"/>
        <v>"C:\Program Files (x86)\AstroGrep\AstroGrep.exe" /spath="%USERPROFILE%\AppData\Local\Temp\OnboardLogs" /stypes="app*4002*20161127*" /stext=" 14:.+((SYSTEM_STATE.+slice.+state.+changed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92" t="str">
        <f t="shared" si="16"/>
        <v>"%USERPROFILE%\Documents\GitHub\eaglep3\Utilities\RefineRTDCRunTimes.py" --tripid 125-27 --locoid 4002 --swversion DE.1.0.8.0 --startMP 204:449 --initTime 2016-11-27T06:41:34 --startdatetime 2016-11-27T06:45:54 --delay 1 --endMP 204:233319 --enddatetime 2016-11-27T07:24:36 --enforcementcount 0 &gt;&gt;C:\Users\stu\Documents\GitHub\eaglep3-reporting\EC\2016-11-27-refined-times.txt</v>
      </c>
      <c r="AI38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{"issue":{"subject":"","project_id":79,"tracker_id":40,"status_id":1,"priority_id":2,"assigned_to_id":23,"start_date":"2016-11-27","description":"","custom_fields":[{"id":1,"name":"Subdivision","value":"EC"},{"id":4,"name":"Milepost","value":"23.3319"},{"id":17,"name":"Train ID","value":"125-27"},{"id":16,"name":"Locomotive ID","value":"4002"},{"id":130,"name":"Impact","value":""},{"id":150,"name":"Time of Event (Mountain Time)","value":"07:24:36"},{"id":151,"name":"Denver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817</v>
      </c>
      <c r="B39" s="7">
        <v>4010</v>
      </c>
      <c r="C39" s="22" t="s">
        <v>215</v>
      </c>
      <c r="D39" s="22" t="s">
        <v>239</v>
      </c>
      <c r="E39" s="13">
        <v>42701.278865740744</v>
      </c>
      <c r="F39" s="13">
        <v>42701.330555555556</v>
      </c>
      <c r="G39" s="7">
        <v>1</v>
      </c>
      <c r="H39" s="22" t="s">
        <v>626</v>
      </c>
      <c r="I39" s="13">
        <v>42701.331250000003</v>
      </c>
      <c r="J39" s="7">
        <v>0</v>
      </c>
      <c r="K39" s="109" t="str">
        <f t="shared" si="0"/>
        <v>4009/4010</v>
      </c>
      <c r="L39" s="22" t="e">
        <f>VLOOKUP(A39,'Trips&amp;Operators'!$C$1:$E$10000,3,FALSE)</f>
        <v>#N/A</v>
      </c>
      <c r="M39" s="6">
        <f t="shared" si="1"/>
        <v>6.944444467080757E-4</v>
      </c>
      <c r="N39" s="7"/>
      <c r="O39" s="7"/>
      <c r="P39" s="7">
        <f>24*60*SUM($M39:$M39)</f>
        <v>1.000000003259629</v>
      </c>
      <c r="Q39" s="23"/>
      <c r="R39" s="23" t="s">
        <v>815</v>
      </c>
      <c r="S39" s="35">
        <f t="shared" si="25"/>
        <v>0</v>
      </c>
      <c r="T39" s="50" t="str">
        <f t="shared" si="3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05:41:34-700',mode:absolute,to:'2016-11-27 08:57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9" s="52" t="str">
        <f t="shared" si="5"/>
        <v>N</v>
      </c>
      <c r="X39" s="177">
        <f t="shared" si="23"/>
        <v>1</v>
      </c>
      <c r="Y39" s="67">
        <f t="shared" si="7"/>
        <v>4.4900000000000002E-2</v>
      </c>
      <c r="Z39" s="67">
        <f t="shared" si="8"/>
        <v>23.331900000000001</v>
      </c>
      <c r="AA39" s="67">
        <f t="shared" si="9"/>
        <v>23.287000000000003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0"/>
        <v>0126-27</v>
      </c>
      <c r="AE39" s="91" t="str">
        <f t="shared" si="11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39" s="88" t="str">
        <f t="shared" si="12"/>
        <v>"C:\Program Files (x86)\AstroGrep\AstroGrep.exe" /spath="%USERPROFILE%\AppData\Local\Temp\OnboardLogs" /stypes="app*4010*20161127*"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92" t="str">
        <f t="shared" ref="AH39" si="26">refinertdcruntimes&amp;" --tripid "&amp;A39&amp;" --locoid "&amp;B39&amp;" --swversion "&amp;C39&amp;" --startMP "&amp;D39&amp;" --initTime "&amp;TEXT(E39,"yyyy-mm-ddTHH:MM:SS")&amp;" --startdatetime "&amp;TEXT(F39,"yyyy-mm-ddTHH:MM:SS")&amp;" --delay "&amp;G39&amp;" --endMP "&amp;H39&amp;" --enddatetime "&amp;TEXT(I39,"yyyy-mm-ddTHH:MM:SS")&amp;" --enforcementcount "&amp;J39&amp;IF(outputrefinedruntimes," &gt;&gt;"&amp;RefinedRTDCRunTimesOutputFile,"")</f>
        <v>"%USERPROFILE%\Documents\GitHub\eaglep3\Utilities\RefineRTDCRunTimes.py" --tripid 126-27 --locoid 4010 --swversion DE.1.0.8.0 --startMP 204:449 --initTime 2016-11-27T06:41:34 --startdatetime 2016-11-27T07:56:00 --delay 1 --endMP 204:233319 --enddatetime 2016-11-27T07:57:00 --enforcementcount 0 &gt;&gt;C:\Users\stu\Documents\GitHub\eaglep3-reporting\EC\2016-11-27-refined-times.txt</v>
      </c>
      <c r="AI39" s="119" t="str">
        <f t="shared" ref="AI39" si="27">"echo {""issue"":{""subject"":"""&amp;R39&amp;""",""project_id"":79,""tracker_id"":40,""status_id"":"&amp;redmine_status&amp;",""priority_id"":"&amp;redmine_priority&amp;",""assigned_to_id"":"&amp;redmine_assignee&amp;",""start_date"":"""&amp;TEXT(I39,"YYYY-mm-dd")&amp;""",""description"":"""&amp;AJ39&amp;""",""custom_fields"":[{""id"":1,""name"":""Subdivision"",""value"":"""&amp;AG39&amp;"""},{""id"":4,""name"":""Milepost"",""value"":"""&amp;Z39&amp;"""},{""id"":17,""name"":""Train ID"",""value"":"""&amp;A39&amp;"""},{""id"":16,""name"":""Locomotive ID"",""value"":"""&amp;B39&amp;"""},{""id"":130,""name"":""Impact"",""value"":"""&amp;AK39&amp;"""},{""id"":150,""name"":""Time of Event (Mountain Time)"",""value"":"""&amp;TEXT(I39,"hh:mm:ss")&amp;"""},{""id"":151,""name"":""Denver Issue ID"",""value"":"""&amp;"""},{""id"":178,""name"":""Operational Impact"",""value"":"""&amp;redmine_op_impact&amp;"""},{""id"":179,""name"":""Denver Segment Assigned"",""value"":"""&amp;AL39&amp;"""}]}}"&amp;" | curl -X POST -H ""Content-Type: application/json"" -H ""X-Redmine-API-Key: "&amp;redm_api_key&amp;""" "&amp;redm_url&amp;" --data @-"</f>
        <v>echo {"issue":{"subject":"Did not init - Wi-MAX outage","project_id":79,"tracker_id":40,"status_id":1,"priority_id":2,"assigned_to_id":23,"start_date":"2016-11-27","description":"","custom_fields":[{"id":1,"name":"Subdivision","value":"EC"},{"id":4,"name":"Milepost","value":"23.3319"},{"id":17,"name":"Train ID","value":"126-27"},{"id":16,"name":"Locomotive ID","value":"4010"},{"id":130,"name":"Impact","value":""},{"id":150,"name":"Time of Event (Mountain Time)","value":"07:57:00"},{"id":151,"name":"Denver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</row>
    <row r="40" spans="1:91" s="1" customFormat="1" x14ac:dyDescent="0.25">
      <c r="A40" s="37" t="s">
        <v>457</v>
      </c>
      <c r="B40" s="7">
        <v>4022</v>
      </c>
      <c r="C40" s="22" t="s">
        <v>215</v>
      </c>
      <c r="D40" s="22" t="s">
        <v>265</v>
      </c>
      <c r="E40" s="13">
        <v>42701.285486111112</v>
      </c>
      <c r="F40" s="13">
        <v>42701.291898148149</v>
      </c>
      <c r="G40" s="7">
        <v>1</v>
      </c>
      <c r="H40" s="22" t="s">
        <v>267</v>
      </c>
      <c r="I40" s="13">
        <v>42701.316377314812</v>
      </c>
      <c r="J40" s="7">
        <v>0</v>
      </c>
      <c r="K40" s="109" t="str">
        <f t="shared" si="0"/>
        <v>4021/4022</v>
      </c>
      <c r="L40" s="22" t="str">
        <f>VLOOKUP(A40,'Trips&amp;Operators'!$C$1:$E$10000,3,FALSE)</f>
        <v>KILLION</v>
      </c>
      <c r="M40" s="6">
        <f t="shared" si="1"/>
        <v>2.4479166662786156E-2</v>
      </c>
      <c r="N40" s="7">
        <f>24*60*SUM($M40:$M40)</f>
        <v>35.249999994412065</v>
      </c>
      <c r="O40" s="7"/>
      <c r="P40" s="7"/>
      <c r="Q40" s="23"/>
      <c r="R40" s="23"/>
      <c r="S40" s="35">
        <f t="shared" si="25"/>
        <v>1</v>
      </c>
      <c r="T40" s="50" t="str">
        <f t="shared" si="3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05:51:06-700',mode:absolute,to:'2016-11-27 08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0" s="52" t="str">
        <f t="shared" si="5"/>
        <v>N</v>
      </c>
      <c r="X40" s="177">
        <f t="shared" ref="X40:X42" si="28">VALUE(LEFT(AD40,4))-VALUE(LEFT(AD39,4))</f>
        <v>1</v>
      </c>
      <c r="Y40" s="67">
        <f t="shared" si="7"/>
        <v>4.5699999999999998E-2</v>
      </c>
      <c r="Z40" s="67">
        <f t="shared" si="8"/>
        <v>23.3293</v>
      </c>
      <c r="AA40" s="67">
        <f t="shared" si="9"/>
        <v>23.2836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0"/>
        <v>0127-27</v>
      </c>
      <c r="AE40" s="91" t="str">
        <f t="shared" si="11"/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40" s="88" t="str">
        <f t="shared" si="12"/>
        <v>"C:\Program Files (x86)\AstroGrep\AstroGrep.exe" /spath="%USERPROFILE%\AppData\Local\Temp\OnboardLogs" /stypes="app*4022*20161127*" /stext=" 14:.+((SYSTEM_STATE.+slice.+state.+changed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92" t="str">
        <f t="shared" si="16"/>
        <v>"%USERPROFILE%\Documents\GitHub\eaglep3\Utilities\RefineRTDCRunTimes.py" --tripid 127-27 --locoid 4022 --swversion DE.1.0.8.0 --startMP 204:457 --initTime 2016-11-27T06:51:06 --startdatetime 2016-11-27T07:00:20 --delay 1 --endMP 204:233293 --enddatetime 2016-11-27T07:35:35 --enforcementcount 0 &gt;&gt;C:\Users\stu\Documents\GitHub\eaglep3-reporting\EC\2016-11-27-refined-times.txt</v>
      </c>
      <c r="AI40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{"issue":{"subject":"","project_id":79,"tracker_id":40,"status_id":1,"priority_id":2,"assigned_to_id":23,"start_date":"2016-11-27","description":"","custom_fields":[{"id":1,"name":"Subdivision","value":"EC"},{"id":4,"name":"Milepost","value":"23.3293"},{"id":17,"name":"Train ID","value":"127-27"},{"id":16,"name":"Locomotive ID","value":"4022"},{"id":130,"name":"Impact","value":""},{"id":150,"name":"Time of Event (Mountain Time)","value":"07:35:35"},{"id":151,"name":"Denver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464</v>
      </c>
      <c r="B41" s="7">
        <v>4021</v>
      </c>
      <c r="C41" s="22" t="s">
        <v>215</v>
      </c>
      <c r="D41" s="22" t="s">
        <v>292</v>
      </c>
      <c r="E41" s="13">
        <v>42701.323055555556</v>
      </c>
      <c r="F41" s="13">
        <v>42701.330752314818</v>
      </c>
      <c r="G41" s="7">
        <v>1</v>
      </c>
      <c r="H41" s="22" t="s">
        <v>627</v>
      </c>
      <c r="I41" s="13">
        <v>42701.363495370373</v>
      </c>
      <c r="J41" s="7">
        <v>0</v>
      </c>
      <c r="K41" s="109" t="str">
        <f t="shared" si="0"/>
        <v>4021/4022</v>
      </c>
      <c r="L41" s="22" t="str">
        <f>VLOOKUP(A41,'Trips&amp;Operators'!$C$1:$E$10000,3,FALSE)</f>
        <v>KILLION</v>
      </c>
      <c r="M41" s="6">
        <f t="shared" si="1"/>
        <v>3.2743055555329192E-2</v>
      </c>
      <c r="N41" s="7">
        <f>24*60*SUM($M41:$M41)</f>
        <v>47.149999999674037</v>
      </c>
      <c r="O41" s="7"/>
      <c r="P41" s="7"/>
      <c r="Q41" s="23"/>
      <c r="R41" s="23"/>
      <c r="S41" s="35">
        <f t="shared" si="25"/>
        <v>1</v>
      </c>
      <c r="T41" s="50" t="str">
        <f t="shared" si="3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06:45:12-700',mode:absolute,to:'2016-11-27 09:43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1" s="52" t="str">
        <f t="shared" si="5"/>
        <v>N</v>
      </c>
      <c r="X41" s="177">
        <f t="shared" si="28"/>
        <v>1</v>
      </c>
      <c r="Y41" s="67">
        <f t="shared" si="7"/>
        <v>23.2988</v>
      </c>
      <c r="Z41" s="67">
        <f t="shared" si="8"/>
        <v>0.1162</v>
      </c>
      <c r="AA41" s="67">
        <f t="shared" si="9"/>
        <v>23.182600000000001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0"/>
        <v>0128-27</v>
      </c>
      <c r="AE41" s="91" t="str">
        <f t="shared" si="11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41" s="88" t="str">
        <f t="shared" si="12"/>
        <v>"C:\Program Files (x86)\AstroGrep\AstroGrep.exe" /spath="%USERPROFILE%\AppData\Local\Temp\OnboardLogs" /stypes="app*4021*20161127*" /stext=" 15:.+((SYSTEM_STATE.+slice.+state.+changed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92" t="str">
        <f t="shared" si="16"/>
        <v>"%USERPROFILE%\Documents\GitHub\eaglep3\Utilities\RefineRTDCRunTimes.py" --tripid 128-27 --locoid 4021 --swversion DE.1.0.8.0 --startMP 204:232988 --initTime 2016-11-27T07:45:12 --startdatetime 2016-11-27T07:56:17 --delay 1 --endMP 204:1162 --enddatetime 2016-11-27T08:43:26 --enforcementcount 0 &gt;&gt;C:\Users\stu\Documents\GitHub\eaglep3-reporting\EC\2016-11-27-refined-times.txt</v>
      </c>
      <c r="AI41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{"issue":{"subject":"","project_id":79,"tracker_id":40,"status_id":1,"priority_id":2,"assigned_to_id":23,"start_date":"2016-11-27","description":"","custom_fields":[{"id":1,"name":"Subdivision","value":"EC"},{"id":4,"name":"Milepost","value":"0.1162"},{"id":17,"name":"Train ID","value":"128-27"},{"id":16,"name":"Locomotive ID","value":"4021"},{"id":130,"name":"Impact","value":""},{"id":150,"name":"Time of Event (Mountain Time)","value":"08:43:26"},{"id":151,"name":"Denver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460</v>
      </c>
      <c r="B42" s="7">
        <v>4016</v>
      </c>
      <c r="C42" s="22" t="s">
        <v>215</v>
      </c>
      <c r="D42" s="22" t="s">
        <v>628</v>
      </c>
      <c r="E42" s="13">
        <v>42701.295162037037</v>
      </c>
      <c r="F42" s="13">
        <v>42701.302499999998</v>
      </c>
      <c r="G42" s="7">
        <v>1</v>
      </c>
      <c r="H42" s="22" t="s">
        <v>620</v>
      </c>
      <c r="I42" s="13">
        <v>42701.327233796299</v>
      </c>
      <c r="J42" s="7">
        <v>0</v>
      </c>
      <c r="K42" s="109" t="str">
        <f t="shared" si="0"/>
        <v>4015/4016</v>
      </c>
      <c r="L42" s="22" t="str">
        <f>VLOOKUP(A42,'Trips&amp;Operators'!$C$1:$E$10000,3,FALSE)</f>
        <v>YORK</v>
      </c>
      <c r="M42" s="6">
        <f t="shared" si="1"/>
        <v>2.4733796301006805E-2</v>
      </c>
      <c r="N42" s="7">
        <f>24*60*SUM($M42:$M42)</f>
        <v>35.616666673449799</v>
      </c>
      <c r="O42" s="7"/>
      <c r="P42" s="7"/>
      <c r="Q42" s="23"/>
      <c r="R42" s="23"/>
      <c r="S42" s="35">
        <f t="shared" si="25"/>
        <v>1</v>
      </c>
      <c r="T42" s="50" t="str">
        <f t="shared" si="3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06:05:02-700',mode:absolute,to:'2016-11-27 08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2" s="52" t="str">
        <f t="shared" si="5"/>
        <v>N</v>
      </c>
      <c r="X42" s="177">
        <f t="shared" si="28"/>
        <v>1</v>
      </c>
      <c r="Y42" s="67">
        <f t="shared" si="7"/>
        <v>4.8599999999999997E-2</v>
      </c>
      <c r="Z42" s="67">
        <f t="shared" si="8"/>
        <v>23.3278</v>
      </c>
      <c r="AA42" s="67">
        <f t="shared" si="9"/>
        <v>23.279199999999999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0"/>
        <v>0129-27</v>
      </c>
      <c r="AE42" s="91" t="str">
        <f t="shared" si="11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42" s="88" t="str">
        <f t="shared" si="12"/>
        <v>"C:\Program Files (x86)\AstroGrep\AstroGrep.exe" /spath="%USERPROFILE%\AppData\Local\Temp\OnboardLogs" /stypes="app*4016*20161127*" /stext=" 14:.+((SYSTEM_STATE.+slice.+state.+changed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92" t="str">
        <f t="shared" si="16"/>
        <v>"%USERPROFILE%\Documents\GitHub\eaglep3\Utilities\RefineRTDCRunTimes.py" --tripid 129-27 --locoid 4016 --swversion DE.1.0.8.0 --startMP 204:486 --initTime 2016-11-27T07:05:02 --startdatetime 2016-11-27T07:15:36 --delay 1 --endMP 204:233278 --enddatetime 2016-11-27T07:51:13 --enforcementcount 0 &gt;&gt;C:\Users\stu\Documents\GitHub\eaglep3-reporting\EC\2016-11-27-refined-times.txt</v>
      </c>
      <c r="AI42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{"issue":{"subject":"","project_id":79,"tracker_id":40,"status_id":1,"priority_id":2,"assigned_to_id":23,"start_date":"2016-11-27","description":"","custom_fields":[{"id":1,"name":"Subdivision","value":"EC"},{"id":4,"name":"Milepost","value":"23.3278"},{"id":17,"name":"Train ID","value":"129-27"},{"id":16,"name":"Locomotive ID","value":"4016"},{"id":130,"name":"Impact","value":""},{"id":150,"name":"Time of Event (Mountain Time)","value":"07:51:13"},{"id":151,"name":"Denver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465</v>
      </c>
      <c r="B43" s="7">
        <v>4015</v>
      </c>
      <c r="C43" s="22" t="s">
        <v>215</v>
      </c>
      <c r="D43" s="22" t="s">
        <v>629</v>
      </c>
      <c r="E43" s="13">
        <v>42701.328298611108</v>
      </c>
      <c r="F43" s="13">
        <v>42701.341828703706</v>
      </c>
      <c r="G43" s="7">
        <v>0</v>
      </c>
      <c r="H43" s="22" t="s">
        <v>630</v>
      </c>
      <c r="I43" s="13">
        <v>42701.368993055556</v>
      </c>
      <c r="J43" s="7">
        <v>0</v>
      </c>
      <c r="K43" s="109" t="str">
        <f t="shared" si="0"/>
        <v>4015/4016</v>
      </c>
      <c r="L43" s="22" t="str">
        <f>VLOOKUP(A43,'Trips&amp;Operators'!$C$1:$E$10000,3,FALSE)</f>
        <v>YORK</v>
      </c>
      <c r="M43" s="6">
        <f t="shared" si="1"/>
        <v>2.7164351849933155E-2</v>
      </c>
      <c r="N43" s="7">
        <f>24*60*SUM($M43:$M43)</f>
        <v>39.116666663903743</v>
      </c>
      <c r="O43" s="7"/>
      <c r="P43" s="7"/>
      <c r="Q43" s="23"/>
      <c r="R43" s="23"/>
      <c r="S43" s="35">
        <f t="shared" si="25"/>
        <v>1</v>
      </c>
      <c r="T43" s="50" t="str">
        <f t="shared" si="3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06:52:45-700',mode:absolute,to:'2016-11-27 09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3" s="52" t="str">
        <f t="shared" si="5"/>
        <v>N</v>
      </c>
      <c r="X43" s="177">
        <f t="shared" ref="X43:X80" si="29">VALUE(LEFT(AD43,4))-VALUE(LEFT(AD42,4))</f>
        <v>1</v>
      </c>
      <c r="Y43" s="67">
        <f t="shared" si="7"/>
        <v>23.296399999999998</v>
      </c>
      <c r="Z43" s="67">
        <f t="shared" si="8"/>
        <v>1.09E-2</v>
      </c>
      <c r="AA43" s="67">
        <f t="shared" si="9"/>
        <v>23.285499999999999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0"/>
        <v>0130-27</v>
      </c>
      <c r="AE43" s="91" t="str">
        <f t="shared" si="11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43" s="88" t="str">
        <f t="shared" si="12"/>
        <v>"C:\Program Files (x86)\AstroGrep\AstroGrep.exe" /spath="%USERPROFILE%\AppData\Local\Temp\OnboardLogs" /stypes="app*4015*20161127*"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92" t="str">
        <f t="shared" si="16"/>
        <v>"%USERPROFILE%\Documents\GitHub\eaglep3\Utilities\RefineRTDCRunTimes.py" --tripid 130-27 --locoid 4015 --swversion DE.1.0.8.0 --startMP 204:232964 --initTime 2016-11-27T07:52:45 --startdatetime 2016-11-27T08:12:14 --delay 0 --endMP 204:109 --enddatetime 2016-11-27T08:51:21 --enforcementcount 0 &gt;&gt;C:\Users\stu\Documents\GitHub\eaglep3-reporting\EC\2016-11-27-refined-times.txt</v>
      </c>
      <c r="AI43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{"issue":{"subject":"","project_id":79,"tracker_id":40,"status_id":1,"priority_id":2,"assigned_to_id":23,"start_date":"2016-11-27","description":"","custom_fields":[{"id":1,"name":"Subdivision","value":"EC"},{"id":4,"name":"Milepost","value":"0.0109"},{"id":17,"name":"Train ID","value":"130-27"},{"id":16,"name":"Locomotive ID","value":"4015"},{"id":130,"name":"Impact","value":""},{"id":150,"name":"Time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462</v>
      </c>
      <c r="B44" s="7">
        <v>4046</v>
      </c>
      <c r="C44" s="22" t="s">
        <v>215</v>
      </c>
      <c r="D44" s="22" t="s">
        <v>631</v>
      </c>
      <c r="E44" s="13">
        <v>42701.336446759262</v>
      </c>
      <c r="F44" s="13">
        <v>42701.337430555555</v>
      </c>
      <c r="G44" s="7">
        <v>1</v>
      </c>
      <c r="H44" s="22" t="s">
        <v>393</v>
      </c>
      <c r="I44" s="13">
        <v>42701.344224537039</v>
      </c>
      <c r="J44" s="7">
        <v>0</v>
      </c>
      <c r="K44" s="109" t="str">
        <f t="shared" si="0"/>
        <v>4045/4046</v>
      </c>
      <c r="L44" s="22" t="str">
        <f>VLOOKUP(A44,'Trips&amp;Operators'!$C$1:$E$10000,3,FALSE)</f>
        <v>ACKERMAN</v>
      </c>
      <c r="M44" s="6">
        <f t="shared" si="1"/>
        <v>6.7939814834971912E-3</v>
      </c>
      <c r="N44" s="7"/>
      <c r="O44" s="7"/>
      <c r="P44" s="7">
        <f>24*60*SUM($M44:$M45)</f>
        <v>37.566666668280959</v>
      </c>
      <c r="Q44" s="23"/>
      <c r="R44" s="23" t="s">
        <v>799</v>
      </c>
      <c r="S44" s="35">
        <f>SUM(U44:U45)/IF(AG44="EC",12,1)</f>
        <v>1</v>
      </c>
      <c r="T44" s="50" t="str">
        <f t="shared" si="3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07:04:29-700',mode:absolute,to:'2016-11-27 09:15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4" s="52" t="str">
        <f t="shared" si="5"/>
        <v>Y</v>
      </c>
      <c r="X44" s="177">
        <f t="shared" si="29"/>
        <v>1</v>
      </c>
      <c r="Y44" s="67">
        <f t="shared" si="7"/>
        <v>15.443300000000001</v>
      </c>
      <c r="Z44" s="67">
        <f t="shared" si="8"/>
        <v>23.328600000000002</v>
      </c>
      <c r="AA44" s="67">
        <f t="shared" si="9"/>
        <v>7.8853000000000009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0"/>
        <v>0131-27</v>
      </c>
      <c r="AE44" s="91" t="str">
        <f t="shared" si="11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44" s="88" t="str">
        <f t="shared" si="12"/>
        <v>"C:\Program Files (x86)\AstroGrep\AstroGrep.exe" /spath="%USERPROFILE%\AppData\Local\Temp\OnboardLogs" /stypes="app*4046*20161127*"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92" t="str">
        <f t="shared" si="16"/>
        <v>"%USERPROFILE%\Documents\GitHub\eaglep3\Utilities\RefineRTDCRunTimes.py" --tripid 131-27 --locoid 4046 --swversion DE.1.0.8.0 --startMP 204:154433 --initTime 2016-11-27T08:04:29 --startdatetime 2016-11-27T08:05:54 --delay 1 --endMP 204:233286 --enddatetime 2016-11-27T08:15:41 --enforcementcount 0 &gt;&gt;C:\Users\stu\Documents\GitHub\eaglep3-reporting\EC\2016-11-27-refined-times.txt</v>
      </c>
      <c r="AI44" s="119" t="str">
        <f t="shared" si="17"/>
        <v>echo {"issue":{"subject":"CP 61st ELXS Failure","project_id":79,"tracker_id":40,"status_id":1,"priority_id":2,"assigned_to_id":23,"start_date":"2016-11-27","description":"At 07:52:25, EC1332RH 127-1T 1N dropped to STOP &amp; PROCEEd and CP 61st 2N went offline too. Was there an ELXS failure at the time?","custom_fields":[{"id":1,"name":"Subdivision","value":"EC"},{"id":4,"name":"Milepost","value":"23.3286"},{"id":17,"name":"Train ID","value":"131-27"},{"id":16,"name":"Locomotive ID","value":"4046"},{"id":130,"name":"Impact","value":"Unexpected Cut-Out or Disengaged"},{"id":150,"name":"Time of Event (Mountain Time)","value":"08:15:41"},{"id":151,"name":"Denver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4" s="53" t="s">
        <v>800</v>
      </c>
      <c r="AK44" s="53" t="s">
        <v>131</v>
      </c>
      <c r="AL44" s="53" t="s">
        <v>130</v>
      </c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462</v>
      </c>
      <c r="B45" s="7">
        <v>4046</v>
      </c>
      <c r="C45" s="22" t="s">
        <v>215</v>
      </c>
      <c r="D45" s="22" t="s">
        <v>239</v>
      </c>
      <c r="E45" s="13">
        <v>42701.306435185186</v>
      </c>
      <c r="F45" s="13">
        <v>42701.310914351852</v>
      </c>
      <c r="G45" s="7">
        <v>6</v>
      </c>
      <c r="H45" s="22" t="s">
        <v>632</v>
      </c>
      <c r="I45" s="13">
        <v>42701.330208333333</v>
      </c>
      <c r="J45" s="7">
        <v>0</v>
      </c>
      <c r="K45" s="109" t="str">
        <f t="shared" si="0"/>
        <v>4045/4046</v>
      </c>
      <c r="L45" s="22" t="str">
        <f>VLOOKUP(A45,'Trips&amp;Operators'!$C$1:$E$10000,3,FALSE)</f>
        <v>ACKERMAN</v>
      </c>
      <c r="M45" s="6">
        <f t="shared" si="1"/>
        <v>1.9293981480586808E-2</v>
      </c>
      <c r="N45" s="7"/>
      <c r="O45" s="7"/>
      <c r="P45" s="7"/>
      <c r="Q45" s="23"/>
      <c r="R45" s="23"/>
      <c r="S45" s="35"/>
      <c r="T45" s="50" t="str">
        <f t="shared" si="3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06:21:16-700',mode:absolute,to:'2016-11-27 08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5" s="52" t="str">
        <f t="shared" si="5"/>
        <v>Y</v>
      </c>
      <c r="X45" s="177">
        <f t="shared" si="29"/>
        <v>0</v>
      </c>
      <c r="Y45" s="67">
        <f t="shared" si="7"/>
        <v>4.4900000000000002E-2</v>
      </c>
      <c r="Z45" s="67">
        <f t="shared" ref="Z45:Z76" si="30">RIGHT(H45,LEN(H45)-4)/10000</f>
        <v>13.1976</v>
      </c>
      <c r="AA45" s="67">
        <f t="shared" si="9"/>
        <v>13.152699999999999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0"/>
        <v>0131-27</v>
      </c>
      <c r="AE45" s="91" t="str">
        <f t="shared" si="11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45" s="88" t="str">
        <f t="shared" si="12"/>
        <v>"C:\Program Files (x86)\AstroGrep\AstroGrep.exe" /spath="%USERPROFILE%\AppData\Local\Temp\OnboardLogs" /stypes="app*4046*20161127*" /stext=" 14:.+((SYSTEM_STATE.+slice.+state.+changed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92" t="str">
        <f t="shared" si="16"/>
        <v>"%USERPROFILE%\Documents\GitHub\eaglep3\Utilities\RefineRTDCRunTimes.py" --tripid 131-27 --locoid 4046 --swversion DE.1.0.8.0 --startMP 204:449 --initTime 2016-11-27T07:21:16 --startdatetime 2016-11-27T07:27:43 --delay 6 --endMP 204:131976 --enddatetime 2016-11-27T07:55:30 --enforcementcount 0 &gt;&gt;C:\Users\stu\Documents\GitHub\eaglep3-reporting\EC\2016-11-27-refined-times.txt</v>
      </c>
      <c r="AI45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{"issue":{"subject":"","project_id":79,"tracker_id":40,"status_id":1,"priority_id":2,"assigned_to_id":23,"start_date":"2016-11-27","description":"","custom_fields":[{"id":1,"name":"Subdivision","value":"EC"},{"id":4,"name":"Milepost","value":"13.1976"},{"id":17,"name":"Train ID","value":"131-27"},{"id":16,"name":"Locomotive ID","value":"4046"},{"id":130,"name":"Impact","value":""},{"id":150,"name":"Time of Event (Mountain Time)","value":"07:55:30"},{"id":151,"name":"Denver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469</v>
      </c>
      <c r="B46" s="7">
        <v>4045</v>
      </c>
      <c r="C46" s="22" t="s">
        <v>215</v>
      </c>
      <c r="D46" s="22" t="s">
        <v>340</v>
      </c>
      <c r="E46" s="13">
        <v>42701.346446759257</v>
      </c>
      <c r="F46" s="13">
        <v>42701.351574074077</v>
      </c>
      <c r="G46" s="7">
        <v>1</v>
      </c>
      <c r="H46" s="22" t="s">
        <v>375</v>
      </c>
      <c r="I46" s="13">
        <v>42701.379189814812</v>
      </c>
      <c r="J46" s="7">
        <v>0</v>
      </c>
      <c r="K46" s="109" t="str">
        <f t="shared" si="0"/>
        <v>4045/4046</v>
      </c>
      <c r="L46" s="22" t="str">
        <f>VLOOKUP(A46,'Trips&amp;Operators'!$C$1:$E$10000,3,FALSE)</f>
        <v>ACKERMAN</v>
      </c>
      <c r="M46" s="6">
        <f t="shared" si="1"/>
        <v>2.7615740735200234E-2</v>
      </c>
      <c r="N46" s="7">
        <f t="shared" ref="N46:N64" si="31">24*60*SUM($M46:$M46)</f>
        <v>39.766666658688337</v>
      </c>
      <c r="O46" s="7"/>
      <c r="P46" s="7"/>
      <c r="Q46" s="23"/>
      <c r="R46" s="23"/>
      <c r="S46" s="35">
        <f t="shared" ref="S46:S64" si="32">SUM(U46:U46)/IF(AG46="EC",12,1)</f>
        <v>1</v>
      </c>
      <c r="T46" s="50" t="str">
        <f t="shared" si="3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07:18:53-700',mode:absolute,to:'2016-11-27 10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6" s="52" t="str">
        <f t="shared" si="5"/>
        <v>N</v>
      </c>
      <c r="X46" s="177">
        <f t="shared" si="29"/>
        <v>1</v>
      </c>
      <c r="Y46" s="67">
        <f t="shared" si="7"/>
        <v>23.296900000000001</v>
      </c>
      <c r="Z46" s="67">
        <f t="shared" si="30"/>
        <v>1.38E-2</v>
      </c>
      <c r="AA46" s="67">
        <f t="shared" si="9"/>
        <v>23.283100000000001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0"/>
        <v>0132-27</v>
      </c>
      <c r="AE46" s="91" t="str">
        <f t="shared" si="11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46" s="88" t="str">
        <f t="shared" si="12"/>
        <v>"C:\Program Files (x86)\AstroGrep\AstroGrep.exe" /spath="%USERPROFILE%\AppData\Local\Temp\OnboardLogs" /stypes="app*4045*20161127*" /stext=" 16:.+((SYSTEM_STATE.+slice.+state.+changed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92" t="str">
        <f t="shared" si="16"/>
        <v>"%USERPROFILE%\Documents\GitHub\eaglep3\Utilities\RefineRTDCRunTimes.py" --tripid 132-27 --locoid 4045 --swversion DE.1.0.8.0 --startMP 204:232969 --initTime 2016-11-27T08:18:53 --startdatetime 2016-11-27T08:26:16 --delay 1 --endMP 204:138 --enddatetime 2016-11-27T09:06:02 --enforcementcount 0 &gt;&gt;C:\Users\stu\Documents\GitHub\eaglep3-reporting\EC\2016-11-27-refined-times.txt</v>
      </c>
      <c r="AI46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{"issue":{"subject":"","project_id":79,"tracker_id":40,"status_id":1,"priority_id":2,"assigned_to_id":23,"start_date":"2016-11-27","description":"","custom_fields":[{"id":1,"name":"Subdivision","value":"EC"},{"id":4,"name":"Milepost","value":"0.0138"},{"id":17,"name":"Train ID","value":"132-27"},{"id":16,"name":"Locomotive ID","value":"4045"},{"id":130,"name":"Impact","value":""},{"id":150,"name":"Time of Event (Mountain Time)","value":"09:06:02"},{"id":151,"name":"Denver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405</v>
      </c>
      <c r="B47" s="7">
        <v>4044</v>
      </c>
      <c r="C47" s="22" t="s">
        <v>215</v>
      </c>
      <c r="D47" s="22" t="s">
        <v>254</v>
      </c>
      <c r="E47" s="13">
        <v>42701.319432870368</v>
      </c>
      <c r="F47" s="13">
        <v>42701.323182870372</v>
      </c>
      <c r="G47" s="7">
        <v>1</v>
      </c>
      <c r="H47" s="22" t="s">
        <v>300</v>
      </c>
      <c r="I47" s="13">
        <v>42701.350740740738</v>
      </c>
      <c r="J47" s="7">
        <v>0</v>
      </c>
      <c r="K47" s="109" t="str">
        <f t="shared" si="0"/>
        <v>4043/4044</v>
      </c>
      <c r="L47" s="22" t="str">
        <f>VLOOKUP(A47,'Trips&amp;Operators'!$C$1:$E$10000,3,FALSE)</f>
        <v>MAELZER</v>
      </c>
      <c r="M47" s="6">
        <f t="shared" si="1"/>
        <v>2.7557870365853887E-2</v>
      </c>
      <c r="N47" s="7">
        <f t="shared" si="31"/>
        <v>39.683333326829597</v>
      </c>
      <c r="O47" s="7"/>
      <c r="P47" s="7"/>
      <c r="Q47" s="23"/>
      <c r="R47" s="23"/>
      <c r="S47" s="35">
        <f t="shared" si="32"/>
        <v>1</v>
      </c>
      <c r="T47" s="50" t="str">
        <f t="shared" si="3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06:39:59-700',mode:absolute,to:'2016-11-27 09:25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7" s="52" t="str">
        <f t="shared" si="5"/>
        <v>N</v>
      </c>
      <c r="X47" s="177">
        <f t="shared" si="29"/>
        <v>1</v>
      </c>
      <c r="Y47" s="67">
        <f t="shared" si="7"/>
        <v>4.5499999999999999E-2</v>
      </c>
      <c r="Z47" s="67">
        <f t="shared" si="30"/>
        <v>23.329799999999999</v>
      </c>
      <c r="AA47" s="67">
        <f t="shared" si="9"/>
        <v>23.284299999999998</v>
      </c>
      <c r="AB47" s="64" t="str">
        <f>VLOOKUP(A47,Enforcements!$C$7:$K$20,8,0)</f>
        <v>Signal based authority (5)</v>
      </c>
      <c r="AC47" s="60" t="str">
        <f>VLOOKUP(A47,Enforcements!$C$7:$E$20,3,0)</f>
        <v>SIGNAL</v>
      </c>
      <c r="AD47" s="61" t="str">
        <f t="shared" si="10"/>
        <v>0133-27</v>
      </c>
      <c r="AE47" s="91" t="str">
        <f t="shared" si="11"/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AF47" s="88" t="str">
        <f t="shared" si="12"/>
        <v>"C:\Program Files (x86)\AstroGrep\AstroGrep.exe" /spath="%USERPROFILE%\AppData\Local\Temp\OnboardLogs" /stypes="app*4044*20161127*" /stext=" 15:.+((SYSTEM_STATE.+slice.+state.+changed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92" t="str">
        <f t="shared" si="16"/>
        <v>"%USERPROFILE%\Documents\GitHub\eaglep3\Utilities\RefineRTDCRunTimes.py" --tripid 133-27 --locoid 4044 --swversion DE.1.0.8.0 --startMP 204:455 --initTime 2016-11-27T07:39:59 --startdatetime 2016-11-27T07:45:23 --delay 1 --endMP 204:233298 --enddatetime 2016-11-27T08:25:04 --enforcementcount 0 &gt;&gt;C:\Users\stu\Documents\GitHub\eaglep3-reporting\EC\2016-11-27-refined-times.txt</v>
      </c>
      <c r="AI47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{"issue":{"subject":"","project_id":79,"tracker_id":40,"status_id":1,"priority_id":2,"assigned_to_id":23,"start_date":"2016-11-27","description":"","custom_fields":[{"id":1,"name":"Subdivision","value":"EC"},{"id":4,"name":"Milepost","value":"23.3298"},{"id":17,"name":"Train ID","value":"133-27"},{"id":16,"name":"Locomotive ID","value":"4044"},{"id":130,"name":"Impact","value":""},{"id":150,"name":"Time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474</v>
      </c>
      <c r="B48" s="7">
        <v>4043</v>
      </c>
      <c r="C48" s="22" t="s">
        <v>215</v>
      </c>
      <c r="D48" s="22" t="s">
        <v>286</v>
      </c>
      <c r="E48" s="13">
        <v>42701.361238425925</v>
      </c>
      <c r="F48" s="13">
        <v>42701.363692129627</v>
      </c>
      <c r="G48" s="7">
        <v>2</v>
      </c>
      <c r="H48" s="22" t="s">
        <v>293</v>
      </c>
      <c r="I48" s="13">
        <v>42701.38863425926</v>
      </c>
      <c r="J48" s="7">
        <v>0</v>
      </c>
      <c r="K48" s="109" t="str">
        <f t="shared" si="0"/>
        <v>4043/4044</v>
      </c>
      <c r="L48" s="22" t="str">
        <f>VLOOKUP(A48,'Trips&amp;Operators'!$C$1:$E$10000,3,FALSE)</f>
        <v>MAELZER</v>
      </c>
      <c r="M48" s="6">
        <f t="shared" si="1"/>
        <v>2.4942129632108845E-2</v>
      </c>
      <c r="N48" s="7">
        <f t="shared" si="31"/>
        <v>35.916666670236737</v>
      </c>
      <c r="O48" s="7"/>
      <c r="P48" s="7"/>
      <c r="Q48" s="23"/>
      <c r="R48" s="23"/>
      <c r="S48" s="35">
        <f t="shared" si="32"/>
        <v>1</v>
      </c>
      <c r="T48" s="50" t="str">
        <f t="shared" si="3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07:40:11-700',mode:absolute,to:'2016-11-27 10:19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8" s="52" t="str">
        <f t="shared" si="5"/>
        <v>N</v>
      </c>
      <c r="X48" s="177">
        <f t="shared" si="29"/>
        <v>1</v>
      </c>
      <c r="Y48" s="67">
        <f t="shared" si="7"/>
        <v>23.2989</v>
      </c>
      <c r="Z48" s="67">
        <f t="shared" si="30"/>
        <v>1.4500000000000001E-2</v>
      </c>
      <c r="AA48" s="67">
        <f t="shared" si="9"/>
        <v>23.284399999999998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0"/>
        <v>0134-27</v>
      </c>
      <c r="AE48" s="91" t="str">
        <f t="shared" si="11"/>
        <v>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 &amp; aws s3 cp s3://rtdc.mdm.uploadarchive.raw/RTDC4043/ "%USERPROFILE%\AppData\Local\Temp\OnboardLogs"\RTDC4043\2016-11-28 --exclude "*" --recursive --include "*20161128*" &amp; "%USERPROFILE%\Documents\GitHub\mrs-test-scripts\Headless Mode &amp; Sideloading\WalkAndUnGZ.bat" "%USERPROFILE%\AppData\Local\Temp\OnboardLogs"\RTDC4043\2016-11-28</v>
      </c>
      <c r="AF48" s="88" t="str">
        <f t="shared" si="12"/>
        <v>"C:\Program Files (x86)\AstroGrep\AstroGrep.exe" /spath="%USERPROFILE%\AppData\Local\Temp\OnboardLogs" /stypes="app*4043*20161127*" /stext=" 16:.+((SYSTEM_STATE.+slice.+state.+changed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92" t="str">
        <f t="shared" si="16"/>
        <v>"%USERPROFILE%\Documents\GitHub\eaglep3\Utilities\RefineRTDCRunTimes.py" --tripid 134-27 --locoid 4043 --swversion DE.1.0.8.0 --startMP 204:232989 --initTime 2016-11-27T08:40:11 --startdatetime 2016-11-27T08:43:43 --delay 2 --endMP 204:145 --enddatetime 2016-11-27T09:19:38 --enforcementcount 0 &gt;&gt;C:\Users\stu\Documents\GitHub\eaglep3-reporting\EC\2016-11-27-refined-times.txt</v>
      </c>
      <c r="AI48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{"issue":{"subject":"","project_id":79,"tracker_id":40,"status_id":1,"priority_id":2,"assigned_to_id":23,"start_date":"2016-11-27","description":"","custom_fields":[{"id":1,"name":"Subdivision","value":"EC"},{"id":4,"name":"Milepost","value":"0.0145"},{"id":17,"name":"Train ID","value":"134-27"},{"id":16,"name":"Locomotive ID","value":"4043"},{"id":130,"name":"Impact","value":""},{"id":150,"name":"Time of Event (Mountain Time)","value":"09:19:38"},{"id":151,"name":"Denver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466</v>
      </c>
      <c r="B49" s="7">
        <v>4011</v>
      </c>
      <c r="C49" s="22" t="s">
        <v>215</v>
      </c>
      <c r="D49" s="22" t="s">
        <v>239</v>
      </c>
      <c r="E49" s="13">
        <v>42701.329189814816</v>
      </c>
      <c r="F49" s="13">
        <v>42701.333483796298</v>
      </c>
      <c r="G49" s="7">
        <v>1</v>
      </c>
      <c r="H49" s="22" t="s">
        <v>380</v>
      </c>
      <c r="I49" s="13">
        <v>42701.360949074071</v>
      </c>
      <c r="J49" s="7">
        <v>0</v>
      </c>
      <c r="K49" s="109" t="str">
        <f t="shared" si="0"/>
        <v>4011/4012</v>
      </c>
      <c r="L49" s="22" t="str">
        <f>VLOOKUP(A49,'Trips&amp;Operators'!$C$1:$E$10000,3,FALSE)</f>
        <v>DAVIS</v>
      </c>
      <c r="M49" s="6">
        <f t="shared" si="1"/>
        <v>2.7465277773444541E-2</v>
      </c>
      <c r="N49" s="7">
        <f t="shared" si="31"/>
        <v>39.549999993760139</v>
      </c>
      <c r="O49" s="7"/>
      <c r="P49" s="7"/>
      <c r="Q49" s="23"/>
      <c r="R49" s="23"/>
      <c r="S49" s="35">
        <f t="shared" si="32"/>
        <v>1</v>
      </c>
      <c r="T49" s="50" t="str">
        <f t="shared" si="3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06:54:02-700',mode:absolute,to:'2016-11-27 09:39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9" s="52" t="str">
        <f t="shared" si="5"/>
        <v>N</v>
      </c>
      <c r="X49" s="177">
        <f t="shared" si="29"/>
        <v>1</v>
      </c>
      <c r="Y49" s="67">
        <f t="shared" si="7"/>
        <v>4.4900000000000002E-2</v>
      </c>
      <c r="Z49" s="67">
        <f t="shared" si="30"/>
        <v>23.331099999999999</v>
      </c>
      <c r="AA49" s="67">
        <f t="shared" si="9"/>
        <v>23.286200000000001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0"/>
        <v>0135-27</v>
      </c>
      <c r="AE49" s="91" t="str">
        <f t="shared" si="11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49" s="88" t="str">
        <f t="shared" si="12"/>
        <v>"C:\Program Files (x86)\AstroGrep\AstroGrep.exe" /spath="%USERPROFILE%\AppData\Local\Temp\OnboardLogs" /stypes="app*4011*20161127*" /stext=" 15:.+((SYSTEM_STATE.+slice.+state.+changed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92" t="str">
        <f t="shared" si="16"/>
        <v>"%USERPROFILE%\Documents\GitHub\eaglep3\Utilities\RefineRTDCRunTimes.py" --tripid 135-27 --locoid 4011 --swversion DE.1.0.8.0 --startMP 204:449 --initTime 2016-11-27T07:54:02 --startdatetime 2016-11-27T08:00:13 --delay 1 --endMP 204:233311 --enddatetime 2016-11-27T08:39:46 --enforcementcount 0 &gt;&gt;C:\Users\stu\Documents\GitHub\eaglep3-reporting\EC\2016-11-27-refined-times.txt</v>
      </c>
      <c r="AI49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{"issue":{"subject":"","project_id":79,"tracker_id":40,"status_id":1,"priority_id":2,"assigned_to_id":23,"start_date":"2016-11-27","description":"","custom_fields":[{"id":1,"name":"Subdivision","value":"EC"},{"id":4,"name":"Milepost","value":"23.3311"},{"id":17,"name":"Train ID","value":"135-27"},{"id":16,"name":"Locomotive ID","value":"4011"},{"id":130,"name":"Impact","value":""},{"id":150,"name":"Time of Event (Mountain Time)","value":"08:39:46"},{"id":151,"name":"Denver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407</v>
      </c>
      <c r="B50" s="7">
        <v>4012</v>
      </c>
      <c r="C50" s="22" t="s">
        <v>215</v>
      </c>
      <c r="D50" s="22" t="s">
        <v>296</v>
      </c>
      <c r="E50" s="13">
        <v>42701.367986111109</v>
      </c>
      <c r="F50" s="13">
        <v>42701.372476851851</v>
      </c>
      <c r="G50" s="7">
        <v>1</v>
      </c>
      <c r="H50" s="22" t="s">
        <v>633</v>
      </c>
      <c r="I50" s="13">
        <v>42701.400092592594</v>
      </c>
      <c r="J50" s="7">
        <v>0</v>
      </c>
      <c r="K50" s="109" t="str">
        <f t="shared" si="0"/>
        <v>4011/4012</v>
      </c>
      <c r="L50" s="22" t="str">
        <f>VLOOKUP(A50,'Trips&amp;Operators'!$C$1:$E$10000,3,FALSE)</f>
        <v>DAVIS</v>
      </c>
      <c r="M50" s="6">
        <f t="shared" si="1"/>
        <v>2.7615740742476191E-2</v>
      </c>
      <c r="N50" s="7">
        <f t="shared" si="31"/>
        <v>39.766666669165716</v>
      </c>
      <c r="O50" s="7"/>
      <c r="P50" s="7"/>
      <c r="Q50" s="23"/>
      <c r="R50" s="23"/>
      <c r="S50" s="35">
        <f t="shared" si="32"/>
        <v>1</v>
      </c>
      <c r="T50" s="50" t="str">
        <f t="shared" si="3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07:49:54-700',mode:absolute,to:'2016-11-27 10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0" s="52" t="str">
        <f t="shared" si="5"/>
        <v>N</v>
      </c>
      <c r="X50" s="177">
        <f t="shared" si="29"/>
        <v>1</v>
      </c>
      <c r="Y50" s="67">
        <f t="shared" si="7"/>
        <v>23.299199999999999</v>
      </c>
      <c r="Z50" s="67">
        <f t="shared" si="30"/>
        <v>2.1399999999999999E-2</v>
      </c>
      <c r="AA50" s="67">
        <f t="shared" si="9"/>
        <v>23.277799999999999</v>
      </c>
      <c r="AB50" s="64" t="str">
        <f>VLOOKUP(A50,Enforcements!$C$7:$K$20,8,0)</f>
        <v>Form based authority (4)</v>
      </c>
      <c r="AC50" s="60" t="str">
        <f>VLOOKUP(A50,Enforcements!$C$7:$E$20,3,0)</f>
        <v>TRACK WARRANT AUTHORITY</v>
      </c>
      <c r="AD50" s="61" t="str">
        <f t="shared" si="10"/>
        <v>0136-27</v>
      </c>
      <c r="AE50" s="91" t="str">
        <f t="shared" si="11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50" s="88" t="str">
        <f t="shared" si="12"/>
        <v>"C:\Program Files (x86)\AstroGrep\AstroGrep.exe" /spath="%USERPROFILE%\AppData\Local\Temp\OnboardLogs" /stypes="app*4012*20161127*" /stext=" 16:.+((SYSTEM_STATE.+slice.+state.+changed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92" t="str">
        <f t="shared" si="16"/>
        <v>"%USERPROFILE%\Documents\GitHub\eaglep3\Utilities\RefineRTDCRunTimes.py" --tripid 136-27 --locoid 4012 --swversion DE.1.0.8.0 --startMP 204:232992 --initTime 2016-11-27T08:49:54 --startdatetime 2016-11-27T08:56:22 --delay 1 --endMP 204:214 --enddatetime 2016-11-27T09:36:08 --enforcementcount 0 &gt;&gt;C:\Users\stu\Documents\GitHub\eaglep3-reporting\EC\2016-11-27-refined-times.txt</v>
      </c>
      <c r="AI50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{"issue":{"subject":"","project_id":79,"tracker_id":40,"status_id":1,"priority_id":2,"assigned_to_id":23,"start_date":"2016-11-27","description":"","custom_fields":[{"id":1,"name":"Subdivision","value":"EC"},{"id":4,"name":"Milepost","value":"0.0214"},{"id":17,"name":"Train ID","value":"136-27"},{"id":16,"name":"Locomotive ID","value":"4012"},{"id":130,"name":"Impact","value":""},{"id":150,"name":"Time of Event (Mountain Time)","value":"09:36:08"},{"id":151,"name":"Denver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468</v>
      </c>
      <c r="B51" s="7">
        <v>4038</v>
      </c>
      <c r="C51" s="22" t="s">
        <v>215</v>
      </c>
      <c r="D51" s="22" t="s">
        <v>196</v>
      </c>
      <c r="E51" s="13">
        <v>42701.338530092595</v>
      </c>
      <c r="F51" s="13">
        <v>42701.343900462962</v>
      </c>
      <c r="G51" s="7">
        <v>1</v>
      </c>
      <c r="H51" s="22" t="s">
        <v>299</v>
      </c>
      <c r="I51" s="13">
        <v>42701.368680555555</v>
      </c>
      <c r="J51" s="7">
        <v>0</v>
      </c>
      <c r="K51" s="109" t="str">
        <f t="shared" si="0"/>
        <v>4037/4038</v>
      </c>
      <c r="L51" s="22" t="str">
        <f>VLOOKUP(A51,'Trips&amp;Operators'!$C$1:$E$10000,3,FALSE)</f>
        <v>ROBINSON</v>
      </c>
      <c r="M51" s="6">
        <f t="shared" si="1"/>
        <v>2.4780092593573499E-2</v>
      </c>
      <c r="N51" s="7">
        <f t="shared" si="31"/>
        <v>35.683333334745839</v>
      </c>
      <c r="O51" s="7"/>
      <c r="P51" s="7"/>
      <c r="Q51" s="23"/>
      <c r="R51" s="23"/>
      <c r="S51" s="35">
        <f t="shared" si="32"/>
        <v>1</v>
      </c>
      <c r="T51" s="50" t="str">
        <f t="shared" si="3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07:07:29-700',mode:absolute,to:'2016-11-27 09:50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5"/>
        <v>N</v>
      </c>
      <c r="X51" s="177">
        <f t="shared" si="29"/>
        <v>1</v>
      </c>
      <c r="Y51" s="67">
        <f t="shared" si="7"/>
        <v>4.4699999999999997E-2</v>
      </c>
      <c r="Z51" s="67">
        <f t="shared" si="30"/>
        <v>23.331499999999998</v>
      </c>
      <c r="AA51" s="67">
        <f t="shared" si="9"/>
        <v>23.286799999999999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0"/>
        <v>0137-27</v>
      </c>
      <c r="AE51" s="91" t="str">
        <f t="shared" si="11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51" s="88" t="str">
        <f t="shared" si="12"/>
        <v>"C:\Program Files (x86)\AstroGrep\AstroGrep.exe" /spath="%USERPROFILE%\AppData\Local\Temp\OnboardLogs" /stypes="app*4038*20161127*" /stext=" 15:.+((SYSTEM_STATE.+slice.+state.+changed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92" t="str">
        <f t="shared" si="16"/>
        <v>"%USERPROFILE%\Documents\GitHub\eaglep3\Utilities\RefineRTDCRunTimes.py" --tripid 137-27 --locoid 4038 --swversion DE.1.0.8.0 --startMP 204:447 --initTime 2016-11-27T08:07:29 --startdatetime 2016-11-27T08:15:13 --delay 1 --endMP 204:233315 --enddatetime 2016-11-27T08:50:54 --enforcementcount 0 &gt;&gt;C:\Users\stu\Documents\GitHub\eaglep3-reporting\EC\2016-11-27-refined-times.txt</v>
      </c>
      <c r="AI51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{"issue":{"subject":"","project_id":79,"tracker_id":40,"status_id":1,"priority_id":2,"assigned_to_id":23,"start_date":"2016-11-27","description":"","custom_fields":[{"id":1,"name":"Subdivision","value":"EC"},{"id":4,"name":"Milepost","value":"23.3315"},{"id":17,"name":"Train ID","value":"137-27"},{"id":16,"name":"Locomotive ID","value":"4038"},{"id":130,"name":"Impact","value":""},{"id":150,"name":"Time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476</v>
      </c>
      <c r="B52" s="7">
        <v>4037</v>
      </c>
      <c r="C52" s="22" t="s">
        <v>215</v>
      </c>
      <c r="D52" s="22" t="s">
        <v>295</v>
      </c>
      <c r="E52" s="13">
        <v>42701.374988425923</v>
      </c>
      <c r="F52" s="13">
        <v>42701.382824074077</v>
      </c>
      <c r="G52" s="7">
        <v>1</v>
      </c>
      <c r="H52" s="22" t="s">
        <v>264</v>
      </c>
      <c r="I52" s="13">
        <v>42701.41</v>
      </c>
      <c r="J52" s="7">
        <v>0</v>
      </c>
      <c r="K52" s="109" t="str">
        <f t="shared" si="0"/>
        <v>4037/4038</v>
      </c>
      <c r="L52" s="22" t="str">
        <f>VLOOKUP(A52,'Trips&amp;Operators'!$C$1:$E$10000,3,FALSE)</f>
        <v>ROBINSON</v>
      </c>
      <c r="M52" s="6">
        <f t="shared" si="1"/>
        <v>2.7175925926712807E-2</v>
      </c>
      <c r="N52" s="7">
        <f t="shared" si="31"/>
        <v>39.133333334466442</v>
      </c>
      <c r="O52" s="7"/>
      <c r="P52" s="7"/>
      <c r="Q52" s="23"/>
      <c r="R52" s="23"/>
      <c r="S52" s="35">
        <f t="shared" si="32"/>
        <v>1</v>
      </c>
      <c r="T52" s="50" t="str">
        <f t="shared" si="3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07:59:59-700',mode:absolute,to:'2016-11-27 10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5"/>
        <v>N</v>
      </c>
      <c r="X52" s="177">
        <f t="shared" si="29"/>
        <v>1</v>
      </c>
      <c r="Y52" s="67">
        <f t="shared" si="7"/>
        <v>23.299600000000002</v>
      </c>
      <c r="Z52" s="67">
        <f t="shared" si="30"/>
        <v>1.3899999999999999E-2</v>
      </c>
      <c r="AA52" s="67">
        <f t="shared" si="9"/>
        <v>23.285700000000002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0"/>
        <v>0138-27</v>
      </c>
      <c r="AE52" s="91" t="str">
        <f t="shared" si="11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52" s="88" t="str">
        <f t="shared" si="12"/>
        <v>"C:\Program Files (x86)\AstroGrep\AstroGrep.exe" /spath="%USERPROFILE%\AppData\Local\Temp\OnboardLogs" /stypes="app*4037*20161127*"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92" t="str">
        <f t="shared" si="16"/>
        <v>"%USERPROFILE%\Documents\GitHub\eaglep3\Utilities\RefineRTDCRunTimes.py" --tripid 138-27 --locoid 4037 --swversion DE.1.0.8.0 --startMP 204:232996 --initTime 2016-11-27T08:59:59 --startdatetime 2016-11-27T09:11:16 --delay 1 --endMP 204:139 --enddatetime 2016-11-27T09:50:24 --enforcementcount 0 &gt;&gt;C:\Users\stu\Documents\GitHub\eaglep3-reporting\EC\2016-11-27-refined-times.txt</v>
      </c>
      <c r="AI52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{"issue":{"subject":"","project_id":79,"tracker_id":40,"status_id":1,"priority_id":2,"assigned_to_id":23,"start_date":"2016-11-27","description":"","custom_fields":[{"id":1,"name":"Subdivision","value":"EC"},{"id":4,"name":"Milepost","value":"0.0139"},{"id":17,"name":"Train ID","value":"138-27"},{"id":16,"name":"Locomotive ID","value":"4037"},{"id":130,"name":"Impact","value":""},{"id":150,"name":"Time of Event (Mountain Time)","value":"09:50:24"},{"id":151,"name":"Denver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470</v>
      </c>
      <c r="B53" s="7">
        <v>4002</v>
      </c>
      <c r="C53" s="22" t="s">
        <v>215</v>
      </c>
      <c r="D53" s="22" t="s">
        <v>275</v>
      </c>
      <c r="E53" s="13">
        <v>42701.352372685185</v>
      </c>
      <c r="F53" s="13">
        <v>42701.354444444441</v>
      </c>
      <c r="G53" s="7">
        <v>1</v>
      </c>
      <c r="H53" s="22" t="s">
        <v>277</v>
      </c>
      <c r="I53" s="13">
        <v>42701.380254629628</v>
      </c>
      <c r="J53" s="7">
        <v>0</v>
      </c>
      <c r="K53" s="109" t="str">
        <f t="shared" si="0"/>
        <v>4001/4002</v>
      </c>
      <c r="L53" s="22" t="str">
        <f>VLOOKUP(A53,'Trips&amp;Operators'!$C$1:$E$10000,3,FALSE)</f>
        <v>STRICKLAND</v>
      </c>
      <c r="M53" s="6">
        <f t="shared" si="1"/>
        <v>2.5810185186855961E-2</v>
      </c>
      <c r="N53" s="7">
        <f t="shared" si="31"/>
        <v>37.166666669072583</v>
      </c>
      <c r="O53" s="7"/>
      <c r="P53" s="7"/>
      <c r="Q53" s="23"/>
      <c r="R53" s="23"/>
      <c r="S53" s="35">
        <f t="shared" si="32"/>
        <v>1</v>
      </c>
      <c r="T53" s="50" t="str">
        <f t="shared" si="3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07:27:25-700',mode:absolute,to:'2016-11-27 10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3" s="52" t="str">
        <f t="shared" si="5"/>
        <v>N</v>
      </c>
      <c r="X53" s="177">
        <f t="shared" si="29"/>
        <v>1</v>
      </c>
      <c r="Y53" s="67">
        <f t="shared" si="7"/>
        <v>4.6899999999999997E-2</v>
      </c>
      <c r="Z53" s="67">
        <f t="shared" si="30"/>
        <v>23.3307</v>
      </c>
      <c r="AA53" s="67">
        <f t="shared" si="9"/>
        <v>23.283799999999999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0"/>
        <v>0139-27</v>
      </c>
      <c r="AE53" s="91" t="str">
        <f t="shared" si="11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53" s="88" t="str">
        <f t="shared" si="12"/>
        <v>"C:\Program Files (x86)\AstroGrep\AstroGrep.exe" /spath="%USERPROFILE%\AppData\Local\Temp\OnboardLogs" /stypes="app*4002*20161127*" /stext=" 16:.+((SYSTEM_STATE.+slice.+state.+changed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92" t="str">
        <f t="shared" si="16"/>
        <v>"%USERPROFILE%\Documents\GitHub\eaglep3\Utilities\RefineRTDCRunTimes.py" --tripid 139-27 --locoid 4002 --swversion DE.1.0.8.0 --startMP 204:469 --initTime 2016-11-27T08:27:25 --startdatetime 2016-11-27T08:30:24 --delay 1 --endMP 204:233307 --enddatetime 2016-11-27T09:07:34 --enforcementcount 0 &gt;&gt;C:\Users\stu\Documents\GitHub\eaglep3-reporting\EC\2016-11-27-refined-times.txt</v>
      </c>
      <c r="AI53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{"issue":{"subject":"","project_id":79,"tracker_id":40,"status_id":1,"priority_id":2,"assigned_to_id":23,"start_date":"2016-11-27","description":"","custom_fields":[{"id":1,"name":"Subdivision","value":"EC"},{"id":4,"name":"Milepost","value":"23.3307"},{"id":17,"name":"Train ID","value":"139-27"},{"id":16,"name":"Locomotive ID","value":"4002"},{"id":130,"name":"Impact","value":""},{"id":150,"name":"Time of Event (Mountain Time)","value":"09:07:34"},{"id":151,"name":"Denver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410</v>
      </c>
      <c r="B54" s="7">
        <v>4001</v>
      </c>
      <c r="C54" s="22" t="s">
        <v>215</v>
      </c>
      <c r="D54" s="22" t="s">
        <v>339</v>
      </c>
      <c r="E54" s="13">
        <v>42701.381423611114</v>
      </c>
      <c r="F54" s="13">
        <v>42701.39340277778</v>
      </c>
      <c r="G54" s="7">
        <v>2</v>
      </c>
      <c r="H54" s="22" t="s">
        <v>634</v>
      </c>
      <c r="I54" s="13">
        <v>42701.420324074075</v>
      </c>
      <c r="J54" s="7">
        <v>0</v>
      </c>
      <c r="K54" s="109" t="str">
        <f t="shared" si="0"/>
        <v>4001/4002</v>
      </c>
      <c r="L54" s="22" t="str">
        <f>VLOOKUP(A54,'Trips&amp;Operators'!$C$1:$E$10000,3,FALSE)</f>
        <v>STRICKLAND</v>
      </c>
      <c r="M54" s="6">
        <f t="shared" si="1"/>
        <v>2.6921296295768116E-2</v>
      </c>
      <c r="N54" s="7">
        <f t="shared" si="31"/>
        <v>38.766666665906087</v>
      </c>
      <c r="O54" s="7"/>
      <c r="P54" s="7"/>
      <c r="Q54" s="23"/>
      <c r="R54" s="23"/>
      <c r="S54" s="35">
        <f t="shared" si="32"/>
        <v>1</v>
      </c>
      <c r="T54" s="50" t="str">
        <f t="shared" si="3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08:09:15-700',mode:absolute,to:'2016-11-27 11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4" s="52" t="str">
        <f t="shared" si="5"/>
        <v>N</v>
      </c>
      <c r="X54" s="177">
        <f t="shared" si="29"/>
        <v>1</v>
      </c>
      <c r="Y54" s="67">
        <f t="shared" si="7"/>
        <v>23.2986</v>
      </c>
      <c r="Z54" s="67">
        <f t="shared" si="30"/>
        <v>1.9599999999999999E-2</v>
      </c>
      <c r="AA54" s="67">
        <f t="shared" si="9"/>
        <v>23.279</v>
      </c>
      <c r="AB54" s="64" t="str">
        <f>VLOOKUP(A54,Enforcements!$C$7:$K$20,8,0)</f>
        <v>Form based authority (4)</v>
      </c>
      <c r="AC54" s="60" t="str">
        <f>VLOOKUP(A54,Enforcements!$C$7:$E$20,3,0)</f>
        <v>TRACK WARRANT AUTHORITY</v>
      </c>
      <c r="AD54" s="61" t="str">
        <f t="shared" si="10"/>
        <v>0140-27</v>
      </c>
      <c r="AE54" s="91" t="str">
        <f t="shared" si="11"/>
        <v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v>
      </c>
      <c r="AF54" s="88" t="str">
        <f t="shared" si="12"/>
        <v>"C:\Program Files (x86)\AstroGrep\AstroGrep.exe" /spath="%USERPROFILE%\AppData\Local\Temp\OnboardLogs" /stypes="app*4001*20161127*" /stext=" 17:.+((SYSTEM_STATE.+slice.+state.+changed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92" t="str">
        <f t="shared" si="16"/>
        <v>"%USERPROFILE%\Documents\GitHub\eaglep3\Utilities\RefineRTDCRunTimes.py" --tripid 140-27 --locoid 4001 --swversion DE.1.0.8.0 --startMP 204:232986 --initTime 2016-11-27T09:09:15 --startdatetime 2016-11-27T09:26:30 --delay 2 --endMP 204:196 --enddatetime 2016-11-27T10:05:16 --enforcementcount 0 &gt;&gt;C:\Users\stu\Documents\GitHub\eaglep3-reporting\EC\2016-11-27-refined-times.txt</v>
      </c>
      <c r="AI54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{"issue":{"subject":"","project_id":79,"tracker_id":40,"status_id":1,"priority_id":2,"assigned_to_id":23,"start_date":"2016-11-27","description":"","custom_fields":[{"id":1,"name":"Subdivision","value":"EC"},{"id":4,"name":"Milepost","value":"0.0196"},{"id":17,"name":"Train ID","value":"140-27"},{"id":16,"name":"Locomotive ID","value":"4001"},{"id":130,"name":"Impact","value":""},{"id":150,"name":"Time of Event (Mountain Time)","value":"10:05:16"},{"id":151,"name":"Denver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472</v>
      </c>
      <c r="B55" s="7">
        <v>4009</v>
      </c>
      <c r="C55" s="22" t="s">
        <v>215</v>
      </c>
      <c r="D55" s="22" t="s">
        <v>199</v>
      </c>
      <c r="E55" s="13">
        <v>42701.359560185185</v>
      </c>
      <c r="F55" s="13">
        <v>42701.364953703705</v>
      </c>
      <c r="G55" s="7">
        <v>2</v>
      </c>
      <c r="H55" s="22" t="s">
        <v>374</v>
      </c>
      <c r="I55" s="13">
        <v>42701.389606481483</v>
      </c>
      <c r="J55" s="7">
        <v>0</v>
      </c>
      <c r="K55" s="109" t="str">
        <f t="shared" si="0"/>
        <v>4009/4010</v>
      </c>
      <c r="L55" s="22" t="str">
        <f>VLOOKUP(A55,'Trips&amp;Operators'!$C$1:$E$10000,3,FALSE)</f>
        <v>DE LA ROSA</v>
      </c>
      <c r="M55" s="6">
        <f t="shared" si="1"/>
        <v>2.4652777778101154E-2</v>
      </c>
      <c r="N55" s="7">
        <f t="shared" si="31"/>
        <v>35.500000000465661</v>
      </c>
      <c r="O55" s="7"/>
      <c r="P55" s="7"/>
      <c r="Q55" s="23"/>
      <c r="R55" s="23"/>
      <c r="S55" s="35">
        <f t="shared" si="32"/>
        <v>1</v>
      </c>
      <c r="T55" s="50" t="str">
        <f t="shared" si="3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07:37:46-700',mode:absolute,to:'2016-11-27 10:21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5"/>
        <v>N</v>
      </c>
      <c r="X55" s="177">
        <f t="shared" si="29"/>
        <v>1</v>
      </c>
      <c r="Y55" s="67">
        <f t="shared" si="7"/>
        <v>4.5100000000000001E-2</v>
      </c>
      <c r="Z55" s="67">
        <f t="shared" si="30"/>
        <v>23.331</v>
      </c>
      <c r="AA55" s="67">
        <f t="shared" si="9"/>
        <v>23.285899999999998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0"/>
        <v>0141-27</v>
      </c>
      <c r="AE55" s="91" t="str">
        <f t="shared" si="11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55" s="88" t="str">
        <f t="shared" si="12"/>
        <v>"C:\Program Files (x86)\AstroGrep\AstroGrep.exe" /spath="%USERPROFILE%\AppData\Local\Temp\OnboardLogs" /stypes="app*4009*20161127*" /stext=" 16:.+((SYSTEM_STATE.+slice.+state.+changed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92" t="str">
        <f t="shared" si="16"/>
        <v>"%USERPROFILE%\Documents\GitHub\eaglep3\Utilities\RefineRTDCRunTimes.py" --tripid 141-27 --locoid 4009 --swversion DE.1.0.8.0 --startMP 204:451 --initTime 2016-11-27T08:37:46 --startdatetime 2016-11-27T08:45:32 --delay 2 --endMP 204:233310 --enddatetime 2016-11-27T09:21:02 --enforcementcount 0 &gt;&gt;C:\Users\stu\Documents\GitHub\eaglep3-reporting\EC\2016-11-27-refined-times.txt</v>
      </c>
      <c r="AI55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{"issue":{"subject":"","project_id":79,"tracker_id":40,"status_id":1,"priority_id":2,"assigned_to_id":23,"start_date":"2016-11-27","description":"","custom_fields":[{"id":1,"name":"Subdivision","value":"EC"},{"id":4,"name":"Milepost","value":"23.331"},{"id":17,"name":"Train ID","value":"141-27"},{"id":16,"name":"Locomotive ID","value":"4009"},{"id":130,"name":"Impact","value":""},{"id":150,"name":"Time of Event (Mountain Time)","value":"09:21:02"},{"id":151,"name":"Denver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478</v>
      </c>
      <c r="B56" s="7">
        <v>4010</v>
      </c>
      <c r="C56" s="22" t="s">
        <v>215</v>
      </c>
      <c r="D56" s="22" t="s">
        <v>284</v>
      </c>
      <c r="E56" s="13">
        <v>42701.398136574076</v>
      </c>
      <c r="F56" s="13">
        <v>42701.403634259259</v>
      </c>
      <c r="G56" s="7">
        <v>1</v>
      </c>
      <c r="H56" s="22" t="s">
        <v>194</v>
      </c>
      <c r="I56" s="13">
        <v>42701.430775462963</v>
      </c>
      <c r="J56" s="7">
        <v>0</v>
      </c>
      <c r="K56" s="109" t="str">
        <f t="shared" si="0"/>
        <v>4009/4010</v>
      </c>
      <c r="L56" s="22" t="str">
        <f>VLOOKUP(A56,'Trips&amp;Operators'!$C$1:$E$10000,3,FALSE)</f>
        <v>DE LA ROSA</v>
      </c>
      <c r="M56" s="6">
        <f t="shared" si="1"/>
        <v>2.7141203703649808E-2</v>
      </c>
      <c r="N56" s="7">
        <f t="shared" si="31"/>
        <v>39.083333333255723</v>
      </c>
      <c r="O56" s="7"/>
      <c r="P56" s="7"/>
      <c r="Q56" s="23"/>
      <c r="R56" s="23"/>
      <c r="S56" s="35">
        <f t="shared" si="32"/>
        <v>1</v>
      </c>
      <c r="T56" s="50" t="str">
        <f t="shared" si="3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08:33:19-700',mode:absolute,to:'2016-11-27 11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5"/>
        <v>N</v>
      </c>
      <c r="X56" s="177">
        <f t="shared" si="29"/>
        <v>1</v>
      </c>
      <c r="Y56" s="67">
        <f t="shared" si="7"/>
        <v>23.298100000000002</v>
      </c>
      <c r="Z56" s="67">
        <f t="shared" si="30"/>
        <v>1.49E-2</v>
      </c>
      <c r="AA56" s="67">
        <f t="shared" si="9"/>
        <v>23.283200000000001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0"/>
        <v>0142-27</v>
      </c>
      <c r="AE56" s="91" t="str">
        <f t="shared" si="11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56" s="88" t="str">
        <f t="shared" si="12"/>
        <v>"C:\Program Files (x86)\AstroGrep\AstroGrep.exe" /spath="%USERPROFILE%\AppData\Local\Temp\OnboardLogs" /stypes="app*4010*20161127*" /stext=" 17:.+((SYSTEM_STATE.+slice.+state.+changed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92" t="str">
        <f t="shared" si="16"/>
        <v>"%USERPROFILE%\Documents\GitHub\eaglep3\Utilities\RefineRTDCRunTimes.py" --tripid 142-27 --locoid 4010 --swversion DE.1.0.8.0 --startMP 204:232981 --initTime 2016-11-27T09:33:19 --startdatetime 2016-11-27T09:41:14 --delay 1 --endMP 204:149 --enddatetime 2016-11-27T10:20:19 --enforcementcount 0 &gt;&gt;C:\Users\stu\Documents\GitHub\eaglep3-reporting\EC\2016-11-27-refined-times.txt</v>
      </c>
      <c r="AI56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{"issue":{"subject":"","project_id":79,"tracker_id":40,"status_id":1,"priority_id":2,"assigned_to_id":23,"start_date":"2016-11-27","description":"","custom_fields":[{"id":1,"name":"Subdivision","value":"EC"},{"id":4,"name":"Milepost","value":"0.0149"},{"id":17,"name":"Train ID","value":"142-27"},{"id":16,"name":"Locomotive ID","value":"4010"},{"id":130,"name":"Impact","value":""},{"id":150,"name":"Time of Event (Mountain Time)","value":"10:20:19"},{"id":151,"name":"Denver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475</v>
      </c>
      <c r="B57" s="7">
        <v>4016</v>
      </c>
      <c r="C57" s="22" t="s">
        <v>215</v>
      </c>
      <c r="D57" s="22" t="s">
        <v>239</v>
      </c>
      <c r="E57" s="13">
        <v>42701.37122685185</v>
      </c>
      <c r="F57" s="13">
        <v>42701.375277777777</v>
      </c>
      <c r="G57" s="7">
        <v>0</v>
      </c>
      <c r="H57" s="22" t="s">
        <v>635</v>
      </c>
      <c r="I57" s="13">
        <v>42701.399340277778</v>
      </c>
      <c r="J57" s="7">
        <v>0</v>
      </c>
      <c r="K57" s="109" t="str">
        <f t="shared" si="0"/>
        <v>4015/4016</v>
      </c>
      <c r="L57" s="22" t="str">
        <f>VLOOKUP(A57,'Trips&amp;Operators'!$C$1:$E$10000,3,FALSE)</f>
        <v>YORK</v>
      </c>
      <c r="M57" s="6">
        <f t="shared" si="1"/>
        <v>2.4062500000582077E-2</v>
      </c>
      <c r="N57" s="7">
        <f t="shared" si="31"/>
        <v>34.65000000083819</v>
      </c>
      <c r="O57" s="7"/>
      <c r="P57" s="7"/>
      <c r="Q57" s="23"/>
      <c r="R57" s="23"/>
      <c r="S57" s="35">
        <f t="shared" si="32"/>
        <v>1</v>
      </c>
      <c r="T57" s="50" t="str">
        <f t="shared" si="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07:54:34-700',mode:absolute,to:'2016-11-27 10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5"/>
        <v>N</v>
      </c>
      <c r="X57" s="177">
        <f t="shared" si="29"/>
        <v>1</v>
      </c>
      <c r="Y57" s="67">
        <f t="shared" si="7"/>
        <v>4.4900000000000002E-2</v>
      </c>
      <c r="Z57" s="67">
        <f t="shared" si="30"/>
        <v>23.327200000000001</v>
      </c>
      <c r="AA57" s="67">
        <f t="shared" si="9"/>
        <v>23.282300000000003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0"/>
        <v>0143-27</v>
      </c>
      <c r="AE57" s="91" t="str">
        <f t="shared" si="11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57" s="88" t="str">
        <f t="shared" si="12"/>
        <v>"C:\Program Files (x86)\AstroGrep\AstroGrep.exe" /spath="%USERPROFILE%\AppData\Local\Temp\OnboardLogs" /stypes="app*4016*20161127*" /stext=" 16:.+((SYSTEM_STATE.+slice.+state.+changed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92" t="str">
        <f t="shared" si="16"/>
        <v>"%USERPROFILE%\Documents\GitHub\eaglep3\Utilities\RefineRTDCRunTimes.py" --tripid 143-27 --locoid 4016 --swversion DE.1.0.8.0 --startMP 204:449 --initTime 2016-11-27T08:54:34 --startdatetime 2016-11-27T09:00:24 --delay 0 --endMP 204:233272 --enddatetime 2016-11-27T09:35:03 --enforcementcount 0 &gt;&gt;C:\Users\stu\Documents\GitHub\eaglep3-reporting\EC\2016-11-27-refined-times.txt</v>
      </c>
      <c r="AI57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{"issue":{"subject":"","project_id":79,"tracker_id":40,"status_id":1,"priority_id":2,"assigned_to_id":23,"start_date":"2016-11-27","description":"","custom_fields":[{"id":1,"name":"Subdivision","value":"EC"},{"id":4,"name":"Milepost","value":"23.3272"},{"id":17,"name":"Train ID","value":"143-27"},{"id":16,"name":"Locomotive ID","value":"4016"},{"id":130,"name":"Impact","value":""},{"id":150,"name":"Time of Event (Mountain Time)","value":"09:35:03"},{"id":151,"name":"Denver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479</v>
      </c>
      <c r="B58" s="7">
        <v>4015</v>
      </c>
      <c r="C58" s="22" t="s">
        <v>215</v>
      </c>
      <c r="D58" s="22" t="s">
        <v>244</v>
      </c>
      <c r="E58" s="13">
        <v>42701.400810185187</v>
      </c>
      <c r="F58" s="13">
        <v>42701.414189814815</v>
      </c>
      <c r="G58" s="7">
        <v>1</v>
      </c>
      <c r="H58" s="22" t="s">
        <v>217</v>
      </c>
      <c r="I58" s="13">
        <v>42701.44122685185</v>
      </c>
      <c r="J58" s="7">
        <v>0</v>
      </c>
      <c r="K58" s="109" t="str">
        <f t="shared" si="0"/>
        <v>4015/4016</v>
      </c>
      <c r="L58" s="22" t="str">
        <f>VLOOKUP(A58,'Trips&amp;Operators'!$C$1:$E$10000,3,FALSE)</f>
        <v>YORK</v>
      </c>
      <c r="M58" s="6">
        <f t="shared" si="1"/>
        <v>2.7037037034460809E-2</v>
      </c>
      <c r="N58" s="7">
        <f t="shared" si="31"/>
        <v>38.933333329623565</v>
      </c>
      <c r="O58" s="7"/>
      <c r="P58" s="7"/>
      <c r="Q58" s="23"/>
      <c r="R58" s="23"/>
      <c r="S58" s="35">
        <f t="shared" si="32"/>
        <v>1</v>
      </c>
      <c r="T58" s="50" t="str">
        <f t="shared" si="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08:37:10-700',mode:absolute,to:'2016-11-27 11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5"/>
        <v>N</v>
      </c>
      <c r="X58" s="177">
        <f t="shared" si="29"/>
        <v>1</v>
      </c>
      <c r="Y58" s="67">
        <f t="shared" si="7"/>
        <v>23.297499999999999</v>
      </c>
      <c r="Z58" s="67">
        <f t="shared" si="30"/>
        <v>1.5800000000000002E-2</v>
      </c>
      <c r="AA58" s="67">
        <f t="shared" si="9"/>
        <v>23.281700000000001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0"/>
        <v>0144-27</v>
      </c>
      <c r="AE58" s="91" t="str">
        <f t="shared" si="11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58" s="88" t="str">
        <f t="shared" si="12"/>
        <v>"C:\Program Files (x86)\AstroGrep\AstroGrep.exe" /spath="%USERPROFILE%\AppData\Local\Temp\OnboardLogs" /stypes="app*4015*20161127*"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92" t="str">
        <f t="shared" si="16"/>
        <v>"%USERPROFILE%\Documents\GitHub\eaglep3\Utilities\RefineRTDCRunTimes.py" --tripid 144-27 --locoid 4015 --swversion DE.1.0.8.0 --startMP 204:232975 --initTime 2016-11-27T09:37:10 --startdatetime 2016-11-27T09:56:26 --delay 1 --endMP 204:158 --enddatetime 2016-11-27T10:35:22 --enforcementcount 0 &gt;&gt;C:\Users\stu\Documents\GitHub\eaglep3-reporting\EC\2016-11-27-refined-times.txt</v>
      </c>
      <c r="AI58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{"issue":{"subject":"","project_id":79,"tracker_id":40,"status_id":1,"priority_id":2,"assigned_to_id":23,"start_date":"2016-11-27","description":"","custom_fields":[{"id":1,"name":"Subdivision","value":"EC"},{"id":4,"name":"Milepost","value":"0.0158"},{"id":17,"name":"Train ID","value":"144-27"},{"id":16,"name":"Locomotive ID","value":"4015"},{"id":130,"name":"Impact","value":""},{"id":150,"name":"Time of Event (Mountain Time)","value":"10:35:22"},{"id":151,"name":"Denver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408</v>
      </c>
      <c r="B59" s="7">
        <v>4046</v>
      </c>
      <c r="C59" s="22" t="s">
        <v>215</v>
      </c>
      <c r="D59" s="22" t="s">
        <v>636</v>
      </c>
      <c r="E59" s="13">
        <v>42701.380578703705</v>
      </c>
      <c r="F59" s="13">
        <v>42701.38559027778</v>
      </c>
      <c r="G59" s="7">
        <v>1</v>
      </c>
      <c r="H59" s="22" t="s">
        <v>384</v>
      </c>
      <c r="I59" s="13">
        <v>42701.410879629628</v>
      </c>
      <c r="J59" s="7">
        <v>0</v>
      </c>
      <c r="K59" s="109" t="str">
        <f t="shared" si="0"/>
        <v>4045/4046</v>
      </c>
      <c r="L59" s="22" t="str">
        <f>VLOOKUP(A59,'Trips&amp;Operators'!$C$1:$E$10000,3,FALSE)</f>
        <v>ACKERMAN</v>
      </c>
      <c r="M59" s="6">
        <f t="shared" si="1"/>
        <v>2.5289351848186925E-2</v>
      </c>
      <c r="N59" s="7">
        <f t="shared" si="31"/>
        <v>36.416666661389172</v>
      </c>
      <c r="O59" s="7"/>
      <c r="P59" s="7"/>
      <c r="Q59" s="23"/>
      <c r="R59" s="23"/>
      <c r="S59" s="35">
        <f t="shared" si="32"/>
        <v>1</v>
      </c>
      <c r="T59" s="50" t="str">
        <f t="shared" si="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08:08:02-700',mode:absolute,to:'2016-11-27 10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9" s="52" t="str">
        <f t="shared" si="5"/>
        <v>N</v>
      </c>
      <c r="X59" s="177">
        <f t="shared" si="29"/>
        <v>1</v>
      </c>
      <c r="Y59" s="67">
        <f t="shared" si="7"/>
        <v>4.2900000000000001E-2</v>
      </c>
      <c r="Z59" s="67">
        <f t="shared" si="30"/>
        <v>23.3325</v>
      </c>
      <c r="AA59" s="67">
        <f t="shared" si="9"/>
        <v>23.2896</v>
      </c>
      <c r="AB59" s="64" t="str">
        <f>VLOOKUP(A59,Enforcements!$C$7:$K$20,8,0)</f>
        <v>Speed (6)</v>
      </c>
      <c r="AC59" s="60" t="str">
        <f>VLOOKUP(A59,Enforcements!$C$7:$E$20,3,0)</f>
        <v>PERMANENT SPEED RESTRICTION</v>
      </c>
      <c r="AD59" s="61" t="str">
        <f t="shared" si="10"/>
        <v>0145-27</v>
      </c>
      <c r="AE59" s="91" t="str">
        <f t="shared" si="11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59" s="88" t="str">
        <f t="shared" si="12"/>
        <v>"C:\Program Files (x86)\AstroGrep\AstroGrep.exe" /spath="%USERPROFILE%\AppData\Local\Temp\OnboardLogs" /stypes="app*4046*20161127*" /stext=" 16:.+((SYSTEM_STATE.+slice.+state.+changed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92" t="str">
        <f t="shared" si="16"/>
        <v>"%USERPROFILE%\Documents\GitHub\eaglep3\Utilities\RefineRTDCRunTimes.py" --tripid 145-27 --locoid 4046 --swversion DE.1.0.8.0 --startMP 204:429 --initTime 2016-11-27T09:08:02 --startdatetime 2016-11-27T09:15:15 --delay 1 --endMP 204:233325 --enddatetime 2016-11-27T09:51:40 --enforcementcount 0 &gt;&gt;C:\Users\stu\Documents\GitHub\eaglep3-reporting\EC\2016-11-27-refined-times.txt</v>
      </c>
      <c r="AI59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{"issue":{"subject":"","project_id":79,"tracker_id":40,"status_id":1,"priority_id":2,"assigned_to_id":23,"start_date":"2016-11-27","description":"","custom_fields":[{"id":1,"name":"Subdivision","value":"EC"},{"id":4,"name":"Milepost","value":"23.3325"},{"id":17,"name":"Train ID","value":"145-27"},{"id":16,"name":"Locomotive ID","value":"4046"},{"id":130,"name":"Impact","value":""},{"id":150,"name":"Time of Event (Mountain Time)","value":"09:51:40"},{"id":151,"name":"Denver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483</v>
      </c>
      <c r="B60" s="7">
        <v>4045</v>
      </c>
      <c r="C60" s="22" t="s">
        <v>215</v>
      </c>
      <c r="D60" s="22" t="s">
        <v>637</v>
      </c>
      <c r="E60" s="13">
        <v>42701.416365740741</v>
      </c>
      <c r="F60" s="13">
        <v>42701.424490740741</v>
      </c>
      <c r="G60" s="7">
        <v>2</v>
      </c>
      <c r="H60" s="22" t="s">
        <v>250</v>
      </c>
      <c r="I60" s="13">
        <v>42701.451018518521</v>
      </c>
      <c r="J60" s="7">
        <v>0</v>
      </c>
      <c r="K60" s="109" t="str">
        <f t="shared" si="0"/>
        <v>4045/4046</v>
      </c>
      <c r="L60" s="22" t="str">
        <f>VLOOKUP(A60,'Trips&amp;Operators'!$C$1:$E$10000,3,FALSE)</f>
        <v>ACKERMAN</v>
      </c>
      <c r="M60" s="6">
        <f t="shared" si="1"/>
        <v>2.6527777779847383E-2</v>
      </c>
      <c r="N60" s="7">
        <f t="shared" si="31"/>
        <v>38.200000002980232</v>
      </c>
      <c r="O60" s="7"/>
      <c r="P60" s="7"/>
      <c r="Q60" s="23"/>
      <c r="R60" s="23"/>
      <c r="S60" s="35">
        <f t="shared" si="32"/>
        <v>1</v>
      </c>
      <c r="T60" s="50" t="str">
        <f t="shared" si="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08:59:34-700',mode:absolute,to:'2016-11-27 11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0" s="52" t="str">
        <f t="shared" si="5"/>
        <v>N</v>
      </c>
      <c r="X60" s="177">
        <f t="shared" si="29"/>
        <v>1</v>
      </c>
      <c r="Y60" s="67">
        <f t="shared" si="7"/>
        <v>23.299099999999999</v>
      </c>
      <c r="Z60" s="67">
        <f t="shared" si="30"/>
        <v>1.47E-2</v>
      </c>
      <c r="AA60" s="67">
        <f t="shared" si="9"/>
        <v>23.284399999999998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0"/>
        <v>0146-27</v>
      </c>
      <c r="AE60" s="91" t="str">
        <f t="shared" si="11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60" s="88" t="str">
        <f t="shared" si="12"/>
        <v>"C:\Program Files (x86)\AstroGrep\AstroGrep.exe" /spath="%USERPROFILE%\AppData\Local\Temp\OnboardLogs" /stypes="app*4045*20161127*"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92" t="str">
        <f t="shared" si="16"/>
        <v>"%USERPROFILE%\Documents\GitHub\eaglep3\Utilities\RefineRTDCRunTimes.py" --tripid 146-27 --locoid 4045 --swversion DE.1.0.8.0 --startMP 204:232991 --initTime 2016-11-27T09:59:34 --startdatetime 2016-11-27T10:11:16 --delay 2 --endMP 204:147 --enddatetime 2016-11-27T10:49:28 --enforcementcount 0 &gt;&gt;C:\Users\stu\Documents\GitHub\eaglep3-reporting\EC\2016-11-27-refined-times.txt</v>
      </c>
      <c r="AI60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{"issue":{"subject":"","project_id":79,"tracker_id":40,"status_id":1,"priority_id":2,"assigned_to_id":23,"start_date":"2016-11-27","description":"","custom_fields":[{"id":1,"name":"Subdivision","value":"EC"},{"id":4,"name":"Milepost","value":"0.0147"},{"id":17,"name":"Train ID","value":"146-27"},{"id":16,"name":"Locomotive ID","value":"4045"},{"id":130,"name":"Impact","value":""},{"id":150,"name":"Time of Event (Mountain Time)","value":"10:49:28"},{"id":151,"name":"Denver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477</v>
      </c>
      <c r="B61" s="7">
        <v>4044</v>
      </c>
      <c r="C61" s="22" t="s">
        <v>215</v>
      </c>
      <c r="D61" s="22" t="s">
        <v>257</v>
      </c>
      <c r="E61" s="13">
        <v>42701.395902777775</v>
      </c>
      <c r="F61" s="13">
        <v>42701.398553240739</v>
      </c>
      <c r="G61" s="7">
        <v>1</v>
      </c>
      <c r="H61" s="22" t="s">
        <v>380</v>
      </c>
      <c r="I61" s="13">
        <v>42701.422824074078</v>
      </c>
      <c r="J61" s="7">
        <v>0</v>
      </c>
      <c r="K61" s="109" t="str">
        <f t="shared" si="0"/>
        <v>4043/4044</v>
      </c>
      <c r="L61" s="22" t="str">
        <f>VLOOKUP(A61,'Trips&amp;Operators'!$C$1:$E$10000,3,FALSE)</f>
        <v>MAELZER</v>
      </c>
      <c r="M61" s="6">
        <f t="shared" si="1"/>
        <v>2.4270833338960074E-2</v>
      </c>
      <c r="N61" s="7">
        <f t="shared" si="31"/>
        <v>34.950000008102506</v>
      </c>
      <c r="O61" s="7"/>
      <c r="P61" s="7"/>
      <c r="Q61" s="23"/>
      <c r="R61" s="23"/>
      <c r="S61" s="35">
        <f t="shared" si="32"/>
        <v>1</v>
      </c>
      <c r="T61" s="50" t="str">
        <f t="shared" si="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08:30:06-700',mode:absolute,to:'2016-11-27 11:08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1" s="52" t="str">
        <f t="shared" si="5"/>
        <v>N</v>
      </c>
      <c r="X61" s="177">
        <f t="shared" si="29"/>
        <v>1</v>
      </c>
      <c r="Y61" s="67">
        <f t="shared" si="7"/>
        <v>4.4200000000000003E-2</v>
      </c>
      <c r="Z61" s="67">
        <f t="shared" si="30"/>
        <v>23.331099999999999</v>
      </c>
      <c r="AA61" s="67">
        <f t="shared" si="9"/>
        <v>23.286899999999999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0"/>
        <v>0147-27</v>
      </c>
      <c r="AE61" s="91" t="str">
        <f t="shared" si="11"/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AF61" s="88" t="str">
        <f t="shared" si="12"/>
        <v>"C:\Program Files (x86)\AstroGrep\AstroGrep.exe" /spath="%USERPROFILE%\AppData\Local\Temp\OnboardLogs" /stypes="app*4044*20161127*" /stext=" 17:.+((SYSTEM_STATE.+slice.+state.+changed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92" t="str">
        <f t="shared" si="16"/>
        <v>"%USERPROFILE%\Documents\GitHub\eaglep3\Utilities\RefineRTDCRunTimes.py" --tripid 147-27 --locoid 4044 --swversion DE.1.0.8.0 --startMP 204:442 --initTime 2016-11-27T09:30:06 --startdatetime 2016-11-27T09:33:55 --delay 1 --endMP 204:233311 --enddatetime 2016-11-27T10:08:52 --enforcementcount 0 &gt;&gt;C:\Users\stu\Documents\GitHub\eaglep3-reporting\EC\2016-11-27-refined-times.txt</v>
      </c>
      <c r="AI61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{"issue":{"subject":"","project_id":79,"tracker_id":40,"status_id":1,"priority_id":2,"assigned_to_id":23,"start_date":"2016-11-27","description":"","custom_fields":[{"id":1,"name":"Subdivision","value":"EC"},{"id":4,"name":"Milepost","value":"23.3311"},{"id":17,"name":"Train ID","value":"147-27"},{"id":16,"name":"Locomotive ID","value":"4044"},{"id":130,"name":"Impact","value":""},{"id":150,"name":"Time of Event (Mountain Time)","value":"10:08:52"},{"id":151,"name":"Denver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485</v>
      </c>
      <c r="B62" s="7">
        <v>4043</v>
      </c>
      <c r="C62" s="22" t="s">
        <v>215</v>
      </c>
      <c r="D62" s="22" t="s">
        <v>373</v>
      </c>
      <c r="E62" s="13">
        <v>42701.430543981478</v>
      </c>
      <c r="F62" s="13">
        <v>42701.435266203705</v>
      </c>
      <c r="G62" s="7">
        <v>1</v>
      </c>
      <c r="H62" s="22" t="s">
        <v>195</v>
      </c>
      <c r="I62" s="13">
        <v>42701.460787037038</v>
      </c>
      <c r="J62" s="7">
        <v>0</v>
      </c>
      <c r="K62" s="109" t="str">
        <f t="shared" si="0"/>
        <v>4043/4044</v>
      </c>
      <c r="L62" s="22" t="str">
        <f>VLOOKUP(A62,'Trips&amp;Operators'!$C$1:$E$10000,3,FALSE)</f>
        <v>MAELZER</v>
      </c>
      <c r="M62" s="6">
        <f t="shared" si="1"/>
        <v>2.5520833332848269E-2</v>
      </c>
      <c r="N62" s="7">
        <f t="shared" si="31"/>
        <v>36.749999999301508</v>
      </c>
      <c r="O62" s="7"/>
      <c r="P62" s="7"/>
      <c r="Q62" s="23"/>
      <c r="R62" s="23"/>
      <c r="S62" s="35">
        <f t="shared" si="32"/>
        <v>1</v>
      </c>
      <c r="T62" s="50" t="str">
        <f t="shared" si="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09:19:59-700',mode:absolute,to:'2016-11-27 12:03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2" s="52" t="str">
        <f t="shared" si="5"/>
        <v>N</v>
      </c>
      <c r="X62" s="177">
        <f t="shared" si="29"/>
        <v>1</v>
      </c>
      <c r="Y62" s="67">
        <f t="shared" si="7"/>
        <v>23.298999999999999</v>
      </c>
      <c r="Z62" s="67">
        <f t="shared" si="30"/>
        <v>1.43E-2</v>
      </c>
      <c r="AA62" s="67">
        <f t="shared" si="9"/>
        <v>23.284700000000001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0"/>
        <v>0148-27</v>
      </c>
      <c r="AE62" s="91" t="str">
        <f t="shared" si="11"/>
        <v>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 &amp; aws s3 cp s3://rtdc.mdm.uploadarchive.raw/RTDC4043/ "%USERPROFILE%\AppData\Local\Temp\OnboardLogs"\RTDC4043\2016-11-28 --exclude "*" --recursive --include "*20161128*" &amp; "%USERPROFILE%\Documents\GitHub\mrs-test-scripts\Headless Mode &amp; Sideloading\WalkAndUnGZ.bat" "%USERPROFILE%\AppData\Local\Temp\OnboardLogs"\RTDC4043\2016-11-28</v>
      </c>
      <c r="AF62" s="88" t="str">
        <f t="shared" si="12"/>
        <v>"C:\Program Files (x86)\AstroGrep\AstroGrep.exe" /spath="%USERPROFILE%\AppData\Local\Temp\OnboardLogs" /stypes="app*4043*20161127*" /stext=" 18:.+((SYSTEM_STATE.+slice.+state.+changed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92" t="str">
        <f t="shared" si="16"/>
        <v>"%USERPROFILE%\Documents\GitHub\eaglep3\Utilities\RefineRTDCRunTimes.py" --tripid 148-27 --locoid 4043 --swversion DE.1.0.8.0 --startMP 204:232990 --initTime 2016-11-27T10:19:59 --startdatetime 2016-11-27T10:26:47 --delay 1 --endMP 204:143 --enddatetime 2016-11-27T11:03:32 --enforcementcount 0 &gt;&gt;C:\Users\stu\Documents\GitHub\eaglep3-reporting\EC\2016-11-27-refined-times.txt</v>
      </c>
      <c r="AI62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{"issue":{"subject":"","project_id":79,"tracker_id":40,"status_id":1,"priority_id":2,"assigned_to_id":23,"start_date":"2016-11-27","description":"","custom_fields":[{"id":1,"name":"Subdivision","value":"EC"},{"id":4,"name":"Milepost","value":"0.0143"},{"id":17,"name":"Train ID","value":"148-27"},{"id":16,"name":"Locomotive ID","value":"4043"},{"id":130,"name":"Impact","value":""},{"id":150,"name":"Time of Event (Mountain Time)","value":"11:03:32"},{"id":151,"name":"Denver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481</v>
      </c>
      <c r="B63" s="7">
        <v>4011</v>
      </c>
      <c r="C63" s="22" t="s">
        <v>215</v>
      </c>
      <c r="D63" s="22" t="s">
        <v>638</v>
      </c>
      <c r="E63" s="13">
        <v>42701.401863425926</v>
      </c>
      <c r="F63" s="13">
        <v>42701.406412037039</v>
      </c>
      <c r="G63" s="7">
        <v>1</v>
      </c>
      <c r="H63" s="22" t="s">
        <v>384</v>
      </c>
      <c r="I63" s="13">
        <v>42701.432060185187</v>
      </c>
      <c r="J63" s="7">
        <v>0</v>
      </c>
      <c r="K63" s="109" t="str">
        <f t="shared" si="0"/>
        <v>4011/4012</v>
      </c>
      <c r="L63" s="22" t="str">
        <f>VLOOKUP(A63,'Trips&amp;Operators'!$C$1:$E$10000,3,FALSE)</f>
        <v>DAVIS</v>
      </c>
      <c r="M63" s="6">
        <f t="shared" si="1"/>
        <v>2.5648148148320615E-2</v>
      </c>
      <c r="N63" s="7">
        <f t="shared" si="31"/>
        <v>36.933333333581686</v>
      </c>
      <c r="O63" s="7"/>
      <c r="P63" s="7"/>
      <c r="Q63" s="23"/>
      <c r="R63" s="23"/>
      <c r="S63" s="35">
        <f t="shared" si="32"/>
        <v>1</v>
      </c>
      <c r="T63" s="50" t="str">
        <f t="shared" si="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08:38:41-700',mode:absolute,to:'2016-11-27 11:22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3" s="52" t="str">
        <f t="shared" si="5"/>
        <v>N</v>
      </c>
      <c r="X63" s="177">
        <f t="shared" si="29"/>
        <v>1</v>
      </c>
      <c r="Y63" s="67">
        <f t="shared" si="7"/>
        <v>5.0900000000000001E-2</v>
      </c>
      <c r="Z63" s="67">
        <f t="shared" si="30"/>
        <v>23.3325</v>
      </c>
      <c r="AA63" s="67">
        <f t="shared" si="9"/>
        <v>23.281600000000001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0"/>
        <v>0149-27</v>
      </c>
      <c r="AE63" s="91" t="str">
        <f t="shared" si="11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63" s="88" t="str">
        <f t="shared" si="12"/>
        <v>"C:\Program Files (x86)\AstroGrep\AstroGrep.exe" /spath="%USERPROFILE%\AppData\Local\Temp\OnboardLogs" /stypes="app*4011*20161127*" /stext=" 17:.+((SYSTEM_STATE.+slice.+state.+changed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92" t="str">
        <f t="shared" si="16"/>
        <v>"%USERPROFILE%\Documents\GitHub\eaglep3\Utilities\RefineRTDCRunTimes.py" --tripid 149-27 --locoid 4011 --swversion DE.1.0.8.0 --startMP 204:509 --initTime 2016-11-27T09:38:41 --startdatetime 2016-11-27T09:45:14 --delay 1 --endMP 204:233325 --enddatetime 2016-11-27T10:22:10 --enforcementcount 0 &gt;&gt;C:\Users\stu\Documents\GitHub\eaglep3-reporting\EC\2016-11-27-refined-times.txt</v>
      </c>
      <c r="AI63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{"issue":{"subject":"","project_id":79,"tracker_id":40,"status_id":1,"priority_id":2,"assigned_to_id":23,"start_date":"2016-11-27","description":"","custom_fields":[{"id":1,"name":"Subdivision","value":"EC"},{"id":4,"name":"Milepost","value":"23.3325"},{"id":17,"name":"Train ID","value":"149-27"},{"id":16,"name":"Locomotive ID","value":"4011"},{"id":130,"name":"Impact","value":""},{"id":150,"name":"Time of Event (Mountain Time)","value":"10:22:10"},{"id":151,"name":"Denver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487</v>
      </c>
      <c r="B64" s="7">
        <v>4012</v>
      </c>
      <c r="C64" s="22" t="s">
        <v>215</v>
      </c>
      <c r="D64" s="22" t="s">
        <v>637</v>
      </c>
      <c r="E64" s="13">
        <v>42701.440358796295</v>
      </c>
      <c r="F64" s="13">
        <v>42701.445347222223</v>
      </c>
      <c r="G64" s="7">
        <v>2</v>
      </c>
      <c r="H64" s="22" t="s">
        <v>264</v>
      </c>
      <c r="I64" s="13">
        <v>42701.473310185182</v>
      </c>
      <c r="J64" s="7">
        <v>0</v>
      </c>
      <c r="K64" s="109" t="str">
        <f t="shared" si="0"/>
        <v>4011/4012</v>
      </c>
      <c r="L64" s="22" t="str">
        <f>VLOOKUP(A64,'Trips&amp;Operators'!$C$1:$E$10000,3,FALSE)</f>
        <v>DAVIS</v>
      </c>
      <c r="M64" s="6">
        <f t="shared" si="1"/>
        <v>2.7962962958554272E-2</v>
      </c>
      <c r="N64" s="7">
        <f t="shared" si="31"/>
        <v>40.266666660318151</v>
      </c>
      <c r="O64" s="7"/>
      <c r="P64" s="7"/>
      <c r="Q64" s="23"/>
      <c r="R64" s="23"/>
      <c r="S64" s="35">
        <f t="shared" si="32"/>
        <v>1</v>
      </c>
      <c r="T64" s="50" t="str">
        <f t="shared" si="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09:34:07-700',mode:absolute,to:'2016-11-27 12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4" s="52" t="str">
        <f t="shared" si="5"/>
        <v>N</v>
      </c>
      <c r="X64" s="177">
        <f t="shared" si="29"/>
        <v>1</v>
      </c>
      <c r="Y64" s="67">
        <f t="shared" si="7"/>
        <v>23.299099999999999</v>
      </c>
      <c r="Z64" s="67">
        <f t="shared" si="30"/>
        <v>1.3899999999999999E-2</v>
      </c>
      <c r="AA64" s="67">
        <f t="shared" si="9"/>
        <v>23.2852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0"/>
        <v>0150-27</v>
      </c>
      <c r="AE64" s="91" t="str">
        <f t="shared" si="11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64" s="88" t="str">
        <f t="shared" si="12"/>
        <v>"C:\Program Files (x86)\AstroGrep\AstroGrep.exe" /spath="%USERPROFILE%\AppData\Local\Temp\OnboardLogs" /stypes="app*4012*20161127*" /stext=" 18:.+((SYSTEM_STATE.+slice.+state.+changed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92" t="str">
        <f t="shared" si="16"/>
        <v>"%USERPROFILE%\Documents\GitHub\eaglep3\Utilities\RefineRTDCRunTimes.py" --tripid 150-27 --locoid 4012 --swversion DE.1.0.8.0 --startMP 204:232991 --initTime 2016-11-27T10:34:07 --startdatetime 2016-11-27T10:41:18 --delay 2 --endMP 204:139 --enddatetime 2016-11-27T11:21:34 --enforcementcount 0 &gt;&gt;C:\Users\stu\Documents\GitHub\eaglep3-reporting\EC\2016-11-27-refined-times.txt</v>
      </c>
      <c r="AI64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{"issue":{"subject":"","project_id":79,"tracker_id":40,"status_id":1,"priority_id":2,"assigned_to_id":23,"start_date":"2016-11-27","description":"","custom_fields":[{"id":1,"name":"Subdivision","value":"EC"},{"id":4,"name":"Milepost","value":"0.0139"},{"id":17,"name":"Train ID","value":"150-27"},{"id":16,"name":"Locomotive ID","value":"4012"},{"id":130,"name":"Impact","value":""},{"id":150,"name":"Time of Event (Mountain Time)","value":"11:21:34"},{"id":151,"name":"Denver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482</v>
      </c>
      <c r="B65" s="7">
        <v>4038</v>
      </c>
      <c r="C65" s="22" t="s">
        <v>215</v>
      </c>
      <c r="D65" s="22" t="s">
        <v>639</v>
      </c>
      <c r="E65" s="13">
        <v>42701.424108796295</v>
      </c>
      <c r="F65" s="13">
        <v>42701.425138888888</v>
      </c>
      <c r="G65" s="7">
        <v>1</v>
      </c>
      <c r="H65" s="22" t="s">
        <v>333</v>
      </c>
      <c r="I65" s="13">
        <v>42701.442280092589</v>
      </c>
      <c r="J65" s="7">
        <v>0</v>
      </c>
      <c r="K65" s="109" t="str">
        <f t="shared" si="0"/>
        <v>4037/4038</v>
      </c>
      <c r="L65" s="22" t="str">
        <f>VLOOKUP(A65,'Trips&amp;Operators'!$C$1:$E$10000,3,FALSE)</f>
        <v>ROBINSON</v>
      </c>
      <c r="M65" s="6">
        <f t="shared" si="1"/>
        <v>1.714120370161254E-2</v>
      </c>
      <c r="N65" s="7"/>
      <c r="O65" s="7"/>
      <c r="P65" s="7">
        <f>24*60*SUM($M65:$M66)</f>
        <v>37.699999990873039</v>
      </c>
      <c r="Q65" s="23"/>
      <c r="R65" s="23" t="s">
        <v>801</v>
      </c>
      <c r="S65" s="35">
        <f>SUM(U65:U66)/IF(AG65="EC",12,1)</f>
        <v>0.75</v>
      </c>
      <c r="T65" s="50" t="str">
        <f t="shared" si="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9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09:10:43-700',mode:absolute,to:'2016-11-27 11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5"/>
        <v>Y</v>
      </c>
      <c r="X65" s="177">
        <f t="shared" si="29"/>
        <v>1</v>
      </c>
      <c r="Y65" s="67">
        <f t="shared" si="7"/>
        <v>3.7176999999999998</v>
      </c>
      <c r="Z65" s="67">
        <f t="shared" si="30"/>
        <v>23.3291</v>
      </c>
      <c r="AA65" s="67">
        <f t="shared" si="9"/>
        <v>19.6114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0"/>
        <v>0151-27</v>
      </c>
      <c r="AE65" s="91" t="str">
        <f t="shared" si="11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65" s="88" t="str">
        <f t="shared" si="12"/>
        <v>"C:\Program Files (x86)\AstroGrep\AstroGrep.exe" /spath="%USERPROFILE%\AppData\Local\Temp\OnboardLogs" /stypes="app*4038*20161127*" /stext=" 17:.+((SYSTEM_STATE.+slice.+state.+changed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92" t="str">
        <f t="shared" si="16"/>
        <v>"%USERPROFILE%\Documents\GitHub\eaglep3\Utilities\RefineRTDCRunTimes.py" --tripid 151-27 --locoid 4038 --swversion DE.1.0.8.0 --startMP 204:37177 --initTime 2016-11-27T10:10:43 --startdatetime 2016-11-27T10:12:12 --delay 1 --endMP 204:233291 --enddatetime 2016-11-27T10:36:53 --enforcementcount 0 &gt;&gt;C:\Users\stu\Documents\GitHub\eaglep3-reporting\EC\2016-11-27-refined-times.txt</v>
      </c>
      <c r="AI65" s="119" t="str">
        <f t="shared" si="17"/>
        <v>echo {"issue":{"subject":"Cut out to get around Speed Restriction @ MP 2.7?","project_id":79,"tracker_id":40,"status_id":1,"priority_id":2,"assigned_to_id":23,"start_date":"2016-11-27","description":"","custom_fields":[{"id":1,"name":"Subdivision","value":"EC"},{"id":4,"name":"Milepost","value":"23.3291"},{"id":17,"name":"Train ID","value":"151-27"},{"id":16,"name":"Locomotive ID","value":"4038"},{"id":130,"name":"Impact","value":""},{"id":150,"name":"Time of Event (Mountain Time)","value":"10:36:53"},{"id":151,"name":"Denver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482</v>
      </c>
      <c r="B66" s="7">
        <v>4038</v>
      </c>
      <c r="C66" s="22" t="s">
        <v>215</v>
      </c>
      <c r="D66" s="22" t="s">
        <v>257</v>
      </c>
      <c r="E66" s="13">
        <v>42701.411805555559</v>
      </c>
      <c r="F66" s="13">
        <v>42701.412708333337</v>
      </c>
      <c r="G66" s="7">
        <v>1</v>
      </c>
      <c r="H66" s="22" t="s">
        <v>640</v>
      </c>
      <c r="I66" s="13">
        <v>42701.421747685185</v>
      </c>
      <c r="J66" s="7">
        <v>0</v>
      </c>
      <c r="K66" s="109" t="str">
        <f t="shared" si="0"/>
        <v>4037/4038</v>
      </c>
      <c r="L66" s="22" t="str">
        <f>VLOOKUP(A66,'Trips&amp;Operators'!$C$1:$E$10000,3,FALSE)</f>
        <v>ROBINSON</v>
      </c>
      <c r="M66" s="6">
        <f t="shared" si="1"/>
        <v>9.0393518476048484E-3</v>
      </c>
      <c r="N66" s="7"/>
      <c r="O66" s="7"/>
      <c r="P66" s="7"/>
      <c r="Q66" s="23"/>
      <c r="R66" s="23"/>
      <c r="S66" s="35"/>
      <c r="T66" s="50" t="str">
        <f t="shared" si="3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08:53:00-700',mode:absolute,to:'2016-11-27 11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6" s="52" t="str">
        <f t="shared" si="5"/>
        <v>Y</v>
      </c>
      <c r="X66" s="177">
        <f t="shared" si="29"/>
        <v>0</v>
      </c>
      <c r="Y66" s="67">
        <f t="shared" si="7"/>
        <v>4.4200000000000003E-2</v>
      </c>
      <c r="Z66" s="67">
        <f t="shared" si="30"/>
        <v>2.6867999999999999</v>
      </c>
      <c r="AA66" s="67">
        <f t="shared" si="9"/>
        <v>2.6425999999999998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0"/>
        <v>0151-27</v>
      </c>
      <c r="AE66" s="91" t="str">
        <f t="shared" si="11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66" s="88" t="str">
        <f t="shared" si="12"/>
        <v>"C:\Program Files (x86)\AstroGrep\AstroGrep.exe" /spath="%USERPROFILE%\AppData\Local\Temp\OnboardLogs" /stypes="app*4038*20161127*" /stext=" 17:.+((SYSTEM_STATE.+slice.+state.+changed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92" t="str">
        <f t="shared" si="16"/>
        <v>"%USERPROFILE%\Documents\GitHub\eaglep3\Utilities\RefineRTDCRunTimes.py" --tripid 151-27 --locoid 4038 --swversion DE.1.0.8.0 --startMP 204:442 --initTime 2016-11-27T09:53:00 --startdatetime 2016-11-27T09:54:18 --delay 1 --endMP 204:26868 --enddatetime 2016-11-27T10:07:19 --enforcementcount 0 &gt;&gt;C:\Users\stu\Documents\GitHub\eaglep3-reporting\EC\2016-11-27-refined-times.txt</v>
      </c>
      <c r="AI66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{"issue":{"subject":"","project_id":79,"tracker_id":40,"status_id":1,"priority_id":2,"assigned_to_id":23,"start_date":"2016-11-27","description":"","custom_fields":[{"id":1,"name":"Subdivision","value":"EC"},{"id":4,"name":"Milepost","value":"2.6868"},{"id":17,"name":"Train ID","value":"151-27"},{"id":16,"name":"Locomotive ID","value":"4038"},{"id":130,"name":"Impact","value":""},{"id":150,"name":"Time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488</v>
      </c>
      <c r="B67" s="7">
        <v>4037</v>
      </c>
      <c r="C67" s="22" t="s">
        <v>215</v>
      </c>
      <c r="D67" s="22" t="s">
        <v>297</v>
      </c>
      <c r="E67" s="13">
        <v>42701.443888888891</v>
      </c>
      <c r="F67" s="13">
        <v>42701.456064814818</v>
      </c>
      <c r="G67" s="7">
        <v>1</v>
      </c>
      <c r="H67" s="22" t="s">
        <v>240</v>
      </c>
      <c r="I67" s="13">
        <v>42701.482777777775</v>
      </c>
      <c r="J67" s="7">
        <v>0</v>
      </c>
      <c r="K67" s="109" t="str">
        <f t="shared" si="0"/>
        <v>4037/4038</v>
      </c>
      <c r="L67" s="22" t="str">
        <f>VLOOKUP(A67,'Trips&amp;Operators'!$C$1:$E$10000,3,FALSE)</f>
        <v>ROBINSON</v>
      </c>
      <c r="M67" s="6">
        <f t="shared" si="1"/>
        <v>2.6712962957390118E-2</v>
      </c>
      <c r="N67" s="7">
        <f t="shared" ref="N67:N98" si="33">24*60*SUM($M67:$M67)</f>
        <v>38.46666665864177</v>
      </c>
      <c r="O67" s="7"/>
      <c r="P67" s="7"/>
      <c r="Q67" s="23"/>
      <c r="R67" s="23"/>
      <c r="S67" s="35">
        <f t="shared" ref="S67:S98" si="34">SUM(U67:U67)/IF(AG67="EC",12,1)</f>
        <v>1</v>
      </c>
      <c r="T67" s="50" t="str">
        <f t="shared" si="3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09:39:12-700',mode:absolute,to:'2016-11-27 12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7" s="52" t="str">
        <f t="shared" si="5"/>
        <v>N</v>
      </c>
      <c r="X67" s="177">
        <f t="shared" si="29"/>
        <v>1</v>
      </c>
      <c r="Y67" s="67">
        <f t="shared" si="7"/>
        <v>23.297999999999998</v>
      </c>
      <c r="Z67" s="67">
        <f t="shared" si="30"/>
        <v>1.41E-2</v>
      </c>
      <c r="AA67" s="67">
        <f t="shared" si="9"/>
        <v>23.283899999999999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0"/>
        <v>0152-27</v>
      </c>
      <c r="AE67" s="91" t="str">
        <f t="shared" si="11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67" s="88" t="str">
        <f t="shared" si="12"/>
        <v>"C:\Program Files (x86)\AstroGrep\AstroGrep.exe" /spath="%USERPROFILE%\AppData\Local\Temp\OnboardLogs" /stypes="app*4037*20161127*"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92" t="str">
        <f t="shared" si="16"/>
        <v>"%USERPROFILE%\Documents\GitHub\eaglep3\Utilities\RefineRTDCRunTimes.py" --tripid 152-27 --locoid 4037 --swversion DE.1.0.8.0 --startMP 204:232980 --initTime 2016-11-27T10:39:12 --startdatetime 2016-11-27T10:56:44 --delay 1 --endMP 204:141 --enddatetime 2016-11-27T11:35:12 --enforcementcount 0 &gt;&gt;C:\Users\stu\Documents\GitHub\eaglep3-reporting\EC\2016-11-27-refined-times.txt</v>
      </c>
      <c r="AI67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{"issue":{"subject":"","project_id":79,"tracker_id":40,"status_id":1,"priority_id":2,"assigned_to_id":23,"start_date":"2016-11-27","description":"","custom_fields":[{"id":1,"name":"Subdivision","value":"EC"},{"id":4,"name":"Milepost","value":"0.0141"},{"id":17,"name":"Train ID","value":"152-27"},{"id":16,"name":"Locomotive ID","value":"4037"},{"id":130,"name":"Impact","value":""},{"id":150,"name":"Time of Event (Mountain Time)","value":"11:35:12"},{"id":151,"name":"Denver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484</v>
      </c>
      <c r="B68" s="7">
        <v>4002</v>
      </c>
      <c r="C68" s="22" t="s">
        <v>215</v>
      </c>
      <c r="D68" s="22" t="s">
        <v>641</v>
      </c>
      <c r="E68" s="13">
        <v>42701.4221412037</v>
      </c>
      <c r="F68" s="13">
        <v>42701.427673611113</v>
      </c>
      <c r="G68" s="7">
        <v>1</v>
      </c>
      <c r="H68" s="22" t="s">
        <v>279</v>
      </c>
      <c r="I68" s="13">
        <v>42701.453333333331</v>
      </c>
      <c r="J68" s="7">
        <v>0</v>
      </c>
      <c r="K68" s="109" t="str">
        <f t="shared" si="0"/>
        <v>4001/4002</v>
      </c>
      <c r="L68" s="22" t="str">
        <f>VLOOKUP(A68,'Trips&amp;Operators'!$C$1:$E$10000,3,FALSE)</f>
        <v>STRICKLAND</v>
      </c>
      <c r="M68" s="6">
        <f t="shared" si="1"/>
        <v>2.565972221782431E-2</v>
      </c>
      <c r="N68" s="7">
        <f t="shared" si="33"/>
        <v>36.949999993667006</v>
      </c>
      <c r="O68" s="7"/>
      <c r="P68" s="7"/>
      <c r="Q68" s="23"/>
      <c r="R68" s="23"/>
      <c r="S68" s="35">
        <f t="shared" si="34"/>
        <v>1</v>
      </c>
      <c r="T68" s="50" t="str">
        <f t="shared" si="3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09:07:53-700',mode:absolute,to:'2016-11-27 11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8" s="52" t="str">
        <f t="shared" si="5"/>
        <v>N</v>
      </c>
      <c r="X68" s="177">
        <f t="shared" si="29"/>
        <v>1</v>
      </c>
      <c r="Y68" s="67">
        <f t="shared" si="7"/>
        <v>5.1700000000000003E-2</v>
      </c>
      <c r="Z68" s="67">
        <f t="shared" si="30"/>
        <v>23.3308</v>
      </c>
      <c r="AA68" s="67">
        <f t="shared" si="9"/>
        <v>23.2791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0"/>
        <v>0153-27</v>
      </c>
      <c r="AE68" s="91" t="str">
        <f t="shared" si="11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68" s="88" t="str">
        <f t="shared" si="12"/>
        <v>"C:\Program Files (x86)\AstroGrep\AstroGrep.exe" /spath="%USERPROFILE%\AppData\Local\Temp\OnboardLogs" /stypes="app*4002*20161127*" /stext=" 17:.+((SYSTEM_STATE.+slice.+state.+changed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92" t="str">
        <f t="shared" si="16"/>
        <v>"%USERPROFILE%\Documents\GitHub\eaglep3\Utilities\RefineRTDCRunTimes.py" --tripid 153-27 --locoid 4002 --swversion DE.1.0.8.0 --startMP 204:517 --initTime 2016-11-27T10:07:53 --startdatetime 2016-11-27T10:15:51 --delay 1 --endMP 204:233308 --enddatetime 2016-11-27T10:52:48 --enforcementcount 0 &gt;&gt;C:\Users\stu\Documents\GitHub\eaglep3-reporting\EC\2016-11-27-refined-times.txt</v>
      </c>
      <c r="AI68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{"issue":{"subject":"","project_id":79,"tracker_id":40,"status_id":1,"priority_id":2,"assigned_to_id":23,"start_date":"2016-11-27","description":"","custom_fields":[{"id":1,"name":"Subdivision","value":"EC"},{"id":4,"name":"Milepost","value":"23.3308"},{"id":17,"name":"Train ID","value":"153-27"},{"id":16,"name":"Locomotive ID","value":"4002"},{"id":130,"name":"Impact","value":""},{"id":150,"name":"Time of Event (Mountain Time)","value":"10:52:48"},{"id":151,"name":"Denver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493</v>
      </c>
      <c r="B69" s="7">
        <v>4001</v>
      </c>
      <c r="C69" s="22" t="s">
        <v>215</v>
      </c>
      <c r="D69" s="22" t="s">
        <v>241</v>
      </c>
      <c r="E69" s="13">
        <v>42701.462222222224</v>
      </c>
      <c r="F69" s="13">
        <v>42701.466423611113</v>
      </c>
      <c r="G69" s="7">
        <v>1</v>
      </c>
      <c r="H69" s="22" t="s">
        <v>261</v>
      </c>
      <c r="I69" s="13">
        <v>42701.494259259256</v>
      </c>
      <c r="J69" s="7">
        <v>0</v>
      </c>
      <c r="K69" s="109" t="str">
        <f t="shared" si="0"/>
        <v>4001/4002</v>
      </c>
      <c r="L69" s="22" t="str">
        <f>VLOOKUP(A69,'Trips&amp;Operators'!$C$1:$E$10000,3,FALSE)</f>
        <v>STRICKLAND</v>
      </c>
      <c r="M69" s="6">
        <f t="shared" si="1"/>
        <v>2.7835648143081926E-2</v>
      </c>
      <c r="N69" s="7">
        <f t="shared" si="33"/>
        <v>40.083333326037973</v>
      </c>
      <c r="O69" s="7"/>
      <c r="P69" s="7"/>
      <c r="Q69" s="23"/>
      <c r="R69" s="23"/>
      <c r="S69" s="35">
        <f t="shared" si="34"/>
        <v>1</v>
      </c>
      <c r="T69" s="50" t="str">
        <f t="shared" si="3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10:05:36-700',mode:absolute,to:'2016-11-27 12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9" s="52" t="str">
        <f t="shared" si="5"/>
        <v>N</v>
      </c>
      <c r="X69" s="177">
        <f t="shared" si="29"/>
        <v>1</v>
      </c>
      <c r="Y69" s="67">
        <f t="shared" si="7"/>
        <v>23.2987</v>
      </c>
      <c r="Z69" s="67">
        <f t="shared" si="30"/>
        <v>1.61E-2</v>
      </c>
      <c r="AA69" s="67">
        <f t="shared" si="9"/>
        <v>23.282599999999999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0"/>
        <v>0154-27</v>
      </c>
      <c r="AE69" s="91" t="str">
        <f t="shared" si="11"/>
        <v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v>
      </c>
      <c r="AF69" s="88" t="str">
        <f t="shared" si="12"/>
        <v>"C:\Program Files (x86)\AstroGrep\AstroGrep.exe" /spath="%USERPROFILE%\AppData\Local\Temp\OnboardLogs" /stypes="app*4001*20161127*" /stext=" 18:.+((SYSTEM_STATE.+slice.+state.+changed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92" t="str">
        <f t="shared" si="16"/>
        <v>"%USERPROFILE%\Documents\GitHub\eaglep3\Utilities\RefineRTDCRunTimes.py" --tripid 154-27 --locoid 4001 --swversion DE.1.0.8.0 --startMP 204:232987 --initTime 2016-11-27T11:05:36 --startdatetime 2016-11-27T11:11:39 --delay 1 --endMP 204:161 --enddatetime 2016-11-27T11:51:44 --enforcementcount 0 &gt;&gt;C:\Users\stu\Documents\GitHub\eaglep3-reporting\EC\2016-11-27-refined-times.txt</v>
      </c>
      <c r="AI69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{"issue":{"subject":"","project_id":79,"tracker_id":40,"status_id":1,"priority_id":2,"assigned_to_id":23,"start_date":"2016-11-27","description":"","custom_fields":[{"id":1,"name":"Subdivision","value":"EC"},{"id":4,"name":"Milepost","value":"0.0161"},{"id":17,"name":"Train ID","value":"154-27"},{"id":16,"name":"Locomotive ID","value":"4001"},{"id":130,"name":"Impact","value":""},{"id":150,"name":"Time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486</v>
      </c>
      <c r="B70" s="7">
        <v>4009</v>
      </c>
      <c r="C70" s="22" t="s">
        <v>215</v>
      </c>
      <c r="D70" s="22" t="s">
        <v>262</v>
      </c>
      <c r="E70" s="13">
        <v>42701.432905092595</v>
      </c>
      <c r="F70" s="13">
        <v>42701.437685185185</v>
      </c>
      <c r="G70" s="7">
        <v>1</v>
      </c>
      <c r="H70" s="22" t="s">
        <v>606</v>
      </c>
      <c r="I70" s="13">
        <v>42701.462962962964</v>
      </c>
      <c r="J70" s="7">
        <v>0</v>
      </c>
      <c r="K70" s="109" t="str">
        <f t="shared" si="0"/>
        <v>4009/4010</v>
      </c>
      <c r="L70" s="22" t="str">
        <f>VLOOKUP(A70,'Trips&amp;Operators'!$C$1:$E$10000,3,FALSE)</f>
        <v>CLARK</v>
      </c>
      <c r="M70" s="6">
        <f t="shared" si="1"/>
        <v>2.527777777868323E-2</v>
      </c>
      <c r="N70" s="7">
        <f t="shared" si="33"/>
        <v>36.400000001303852</v>
      </c>
      <c r="O70" s="7"/>
      <c r="P70" s="7"/>
      <c r="Q70" s="23"/>
      <c r="R70" s="23"/>
      <c r="S70" s="35">
        <f t="shared" si="34"/>
        <v>1</v>
      </c>
      <c r="T70" s="50" t="str">
        <f t="shared" si="3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09:23:23-700',mode:absolute,to:'2016-11-27 12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0" s="52" t="str">
        <f t="shared" si="5"/>
        <v>N</v>
      </c>
      <c r="X70" s="177">
        <f t="shared" si="29"/>
        <v>1</v>
      </c>
      <c r="Y70" s="67">
        <f t="shared" si="7"/>
        <v>4.5999999999999999E-2</v>
      </c>
      <c r="Z70" s="67">
        <f t="shared" si="30"/>
        <v>23.3322</v>
      </c>
      <c r="AA70" s="67">
        <f t="shared" si="9"/>
        <v>23.286200000000001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0"/>
        <v>0155-27</v>
      </c>
      <c r="AE70" s="91" t="str">
        <f t="shared" si="11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70" s="88" t="str">
        <f t="shared" si="12"/>
        <v>"C:\Program Files (x86)\AstroGrep\AstroGrep.exe" /spath="%USERPROFILE%\AppData\Local\Temp\OnboardLogs" /stypes="app*4009*20161127*"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92" t="str">
        <f t="shared" si="16"/>
        <v>"%USERPROFILE%\Documents\GitHub\eaglep3\Utilities\RefineRTDCRunTimes.py" --tripid 155-27 --locoid 4009 --swversion DE.1.0.8.0 --startMP 204:460 --initTime 2016-11-27T10:23:23 --startdatetime 2016-11-27T10:30:16 --delay 1 --endMP 204:233322 --enddatetime 2016-11-27T11:06:40 --enforcementcount 0 &gt;&gt;C:\Users\stu\Documents\GitHub\eaglep3-reporting\EC\2016-11-27-refined-times.txt</v>
      </c>
      <c r="AI70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{"issue":{"subject":"","project_id":79,"tracker_id":40,"status_id":1,"priority_id":2,"assigned_to_id":23,"start_date":"2016-11-27","description":"","custom_fields":[{"id":1,"name":"Subdivision","value":"EC"},{"id":4,"name":"Milepost","value":"23.3322"},{"id":17,"name":"Train ID","value":"155-27"},{"id":16,"name":"Locomotive ID","value":"4009"},{"id":130,"name":"Impact","value":""},{"id":150,"name":"Time of Event (Mountain Time)","value":"11:06:40"},{"id":151,"name":"Denver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495</v>
      </c>
      <c r="B71" s="7">
        <v>4010</v>
      </c>
      <c r="C71" s="22" t="s">
        <v>215</v>
      </c>
      <c r="D71" s="22" t="s">
        <v>373</v>
      </c>
      <c r="E71" s="13">
        <v>42701.473113425927</v>
      </c>
      <c r="F71" s="13">
        <v>42701.476539351854</v>
      </c>
      <c r="G71" s="7">
        <v>1</v>
      </c>
      <c r="H71" s="22" t="s">
        <v>222</v>
      </c>
      <c r="I71" s="13">
        <v>42701.504270833335</v>
      </c>
      <c r="J71" s="7">
        <v>0</v>
      </c>
      <c r="K71" s="109" t="str">
        <f t="shared" si="0"/>
        <v>4009/4010</v>
      </c>
      <c r="L71" s="22" t="str">
        <f>VLOOKUP(A71,'Trips&amp;Operators'!$C$1:$E$10000,3,FALSE)</f>
        <v>CLARK</v>
      </c>
      <c r="M71" s="6">
        <f t="shared" si="1"/>
        <v>2.7731481481168885E-2</v>
      </c>
      <c r="N71" s="7">
        <f t="shared" si="33"/>
        <v>39.933333332883194</v>
      </c>
      <c r="O71" s="7"/>
      <c r="P71" s="7"/>
      <c r="Q71" s="23"/>
      <c r="R71" s="23"/>
      <c r="S71" s="35">
        <f t="shared" si="34"/>
        <v>1</v>
      </c>
      <c r="T71" s="50" t="str">
        <f t="shared" si="3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10:21:17-700',mode:absolute,to:'2016-11-27 13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1" s="52" t="str">
        <f t="shared" si="5"/>
        <v>N</v>
      </c>
      <c r="X71" s="177">
        <f t="shared" si="29"/>
        <v>1</v>
      </c>
      <c r="Y71" s="67">
        <f t="shared" si="7"/>
        <v>23.298999999999999</v>
      </c>
      <c r="Z71" s="67">
        <f t="shared" si="30"/>
        <v>1.4999999999999999E-2</v>
      </c>
      <c r="AA71" s="67">
        <f t="shared" si="9"/>
        <v>23.283999999999999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0"/>
        <v>0156-27</v>
      </c>
      <c r="AE71" s="91" t="str">
        <f t="shared" si="11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71" s="88" t="str">
        <f t="shared" si="12"/>
        <v>"C:\Program Files (x86)\AstroGrep\AstroGrep.exe" /spath="%USERPROFILE%\AppData\Local\Temp\OnboardLogs" /stypes="app*4010*20161127*"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92" t="str">
        <f t="shared" si="16"/>
        <v>"%USERPROFILE%\Documents\GitHub\eaglep3\Utilities\RefineRTDCRunTimes.py" --tripid 156-27 --locoid 4010 --swversion DE.1.0.8.0 --startMP 204:232990 --initTime 2016-11-27T11:21:17 --startdatetime 2016-11-27T11:26:13 --delay 1 --endMP 204:150 --enddatetime 2016-11-27T12:06:09 --enforcementcount 0 &gt;&gt;C:\Users\stu\Documents\GitHub\eaglep3-reporting\EC\2016-11-27-refined-times.txt</v>
      </c>
      <c r="AI71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{"issue":{"subject":"","project_id":79,"tracker_id":40,"status_id":1,"priority_id":2,"assigned_to_id":23,"start_date":"2016-11-27","description":"","custom_fields":[{"id":1,"name":"Subdivision","value":"EC"},{"id":4,"name":"Milepost","value":"0.015"},{"id":17,"name":"Train ID","value":"156-27"},{"id":16,"name":"Locomotive ID","value":"4010"},{"id":130,"name":"Impact","value":""},{"id":150,"name":"Time of Event (Mountain Time)","value":"12:06:09"},{"id":151,"name":"Denver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491</v>
      </c>
      <c r="B72" s="7">
        <v>4016</v>
      </c>
      <c r="C72" s="22" t="s">
        <v>215</v>
      </c>
      <c r="D72" s="22" t="s">
        <v>214</v>
      </c>
      <c r="E72" s="13">
        <v>42701.445868055554</v>
      </c>
      <c r="F72" s="13">
        <v>42701.448217592595</v>
      </c>
      <c r="G72" s="7">
        <v>1</v>
      </c>
      <c r="H72" s="22" t="s">
        <v>253</v>
      </c>
      <c r="I72" s="13">
        <v>42701.472418981481</v>
      </c>
      <c r="J72" s="7">
        <v>0</v>
      </c>
      <c r="K72" s="109" t="str">
        <f t="shared" si="0"/>
        <v>4015/4016</v>
      </c>
      <c r="L72" s="22" t="str">
        <f>VLOOKUP(A72,'Trips&amp;Operators'!$C$1:$E$10000,3,FALSE)</f>
        <v>YORK</v>
      </c>
      <c r="M72" s="6">
        <f t="shared" si="1"/>
        <v>2.4201388885558117E-2</v>
      </c>
      <c r="N72" s="7">
        <f t="shared" si="33"/>
        <v>34.849999995203689</v>
      </c>
      <c r="O72" s="7"/>
      <c r="P72" s="7"/>
      <c r="Q72" s="23"/>
      <c r="R72" s="23"/>
      <c r="S72" s="35">
        <f t="shared" si="34"/>
        <v>1</v>
      </c>
      <c r="T72" s="50" t="str">
        <f t="shared" si="3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09:42:03-700',mode:absolute,to:'2016-11-27 12:20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2" s="52" t="str">
        <f t="shared" si="5"/>
        <v>N</v>
      </c>
      <c r="X72" s="177">
        <f t="shared" si="29"/>
        <v>1</v>
      </c>
      <c r="Y72" s="67">
        <f t="shared" si="7"/>
        <v>4.6399999999999997E-2</v>
      </c>
      <c r="Z72" s="67">
        <f t="shared" si="30"/>
        <v>23.331399999999999</v>
      </c>
      <c r="AA72" s="67">
        <f t="shared" si="9"/>
        <v>23.285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0"/>
        <v>0157-27</v>
      </c>
      <c r="AE72" s="91" t="str">
        <f t="shared" si="11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72" s="88" t="str">
        <f t="shared" si="12"/>
        <v>"C:\Program Files (x86)\AstroGrep\AstroGrep.exe" /spath="%USERPROFILE%\AppData\Local\Temp\OnboardLogs" /stypes="app*4016*20161127*" /stext=" 18:.+((SYSTEM_STATE.+slice.+state.+changed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92" t="str">
        <f t="shared" si="16"/>
        <v>"%USERPROFILE%\Documents\GitHub\eaglep3\Utilities\RefineRTDCRunTimes.py" --tripid 157-27 --locoid 4016 --swversion DE.1.0.8.0 --startMP 204:464 --initTime 2016-11-27T10:42:03 --startdatetime 2016-11-27T10:45:26 --delay 1 --endMP 204:233314 --enddatetime 2016-11-27T11:20:17 --enforcementcount 0 &gt;&gt;C:\Users\stu\Documents\GitHub\eaglep3-reporting\EC\2016-11-27-refined-times.txt</v>
      </c>
      <c r="AI72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{"issue":{"subject":"","project_id":79,"tracker_id":40,"status_id":1,"priority_id":2,"assigned_to_id":23,"start_date":"2016-11-27","description":"","custom_fields":[{"id":1,"name":"Subdivision","value":"EC"},{"id":4,"name":"Milepost","value":"23.3314"},{"id":17,"name":"Train ID","value":"157-27"},{"id":16,"name":"Locomotive ID","value":"4016"},{"id":130,"name":"Impact","value":""},{"id":150,"name":"Time of Event (Mountain Time)","value":"11:20:17"},{"id":151,"name":"Denver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414</v>
      </c>
      <c r="B73" s="7">
        <v>4015</v>
      </c>
      <c r="C73" s="22" t="s">
        <v>215</v>
      </c>
      <c r="D73" s="22" t="s">
        <v>245</v>
      </c>
      <c r="E73" s="13">
        <v>42701.473611111112</v>
      </c>
      <c r="F73" s="13">
        <v>42701.487129629626</v>
      </c>
      <c r="G73" s="7">
        <v>2</v>
      </c>
      <c r="H73" s="22" t="s">
        <v>642</v>
      </c>
      <c r="I73" s="13">
        <v>42701.513148148151</v>
      </c>
      <c r="J73" s="7">
        <v>0</v>
      </c>
      <c r="K73" s="109" t="str">
        <f t="shared" si="0"/>
        <v>4015/4016</v>
      </c>
      <c r="L73" s="22" t="str">
        <f>VLOOKUP(A73,'Trips&amp;Operators'!$C$1:$E$10000,3,FALSE)</f>
        <v>YORK</v>
      </c>
      <c r="M73" s="6">
        <f t="shared" si="1"/>
        <v>2.6018518525233958E-2</v>
      </c>
      <c r="N73" s="7">
        <f t="shared" si="33"/>
        <v>37.466666676336899</v>
      </c>
      <c r="O73" s="7"/>
      <c r="P73" s="7"/>
      <c r="Q73" s="23"/>
      <c r="R73" s="23"/>
      <c r="S73" s="35">
        <f t="shared" si="34"/>
        <v>1</v>
      </c>
      <c r="T73" s="50" t="str">
        <f t="shared" si="3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10:22:00-700',mode:absolute,to:'2016-11-27 13:18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3" s="52" t="str">
        <f t="shared" si="5"/>
        <v>N</v>
      </c>
      <c r="X73" s="177">
        <f t="shared" si="29"/>
        <v>1</v>
      </c>
      <c r="Y73" s="67">
        <f t="shared" si="7"/>
        <v>23.299399999999999</v>
      </c>
      <c r="Z73" s="67">
        <f t="shared" si="30"/>
        <v>1.2999999999999999E-2</v>
      </c>
      <c r="AA73" s="67">
        <f t="shared" si="9"/>
        <v>23.286399999999997</v>
      </c>
      <c r="AB73" s="64" t="str">
        <f>VLOOKUP(A73,Enforcements!$C$7:$K$20,8,0)</f>
        <v>Speed (6)</v>
      </c>
      <c r="AC73" s="60" t="str">
        <f>VLOOKUP(A73,Enforcements!$C$7:$E$20,3,0)</f>
        <v>PERMANENT SPEED RESTRICTION</v>
      </c>
      <c r="AD73" s="61" t="str">
        <f t="shared" si="10"/>
        <v>0158-27</v>
      </c>
      <c r="AE73" s="91" t="str">
        <f t="shared" si="11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73" s="88" t="str">
        <f t="shared" si="12"/>
        <v>"C:\Program Files (x86)\AstroGrep\AstroGrep.exe" /spath="%USERPROFILE%\AppData\Local\Temp\OnboardLogs" /stypes="app*4015*20161127*" /stext=" 19:.+((SYSTEM_STATE.+slice.+state.+changed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92" t="str">
        <f t="shared" si="16"/>
        <v>"%USERPROFILE%\Documents\GitHub\eaglep3\Utilities\RefineRTDCRunTimes.py" --tripid 158-27 --locoid 4015 --swversion DE.1.0.8.0 --startMP 204:232994 --initTime 2016-11-27T11:22:00 --startdatetime 2016-11-27T11:41:28 --delay 2 --endMP 204:130 --enddatetime 2016-11-27T12:18:56 --enforcementcount 0 &gt;&gt;C:\Users\stu\Documents\GitHub\eaglep3-reporting\EC\2016-11-27-refined-times.txt</v>
      </c>
      <c r="AI73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{"issue":{"subject":"","project_id":79,"tracker_id":40,"status_id":1,"priority_id":2,"assigned_to_id":23,"start_date":"2016-11-27","description":"","custom_fields":[{"id":1,"name":"Subdivision","value":"EC"},{"id":4,"name":"Milepost","value":"0.013"},{"id":17,"name":"Train ID","value":"158-27"},{"id":16,"name":"Locomotive ID","value":"4015"},{"id":130,"name":"Impact","value":""},{"id":150,"name":"Time of Event (Mountain Time)","value":"12:18:56"},{"id":151,"name":"Denver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492</v>
      </c>
      <c r="B74" s="7">
        <v>4046</v>
      </c>
      <c r="C74" s="22" t="s">
        <v>215</v>
      </c>
      <c r="D74" s="22" t="s">
        <v>298</v>
      </c>
      <c r="E74" s="13">
        <v>42701.453599537039</v>
      </c>
      <c r="F74" s="13">
        <v>42701.458564814813</v>
      </c>
      <c r="G74" s="7">
        <v>1</v>
      </c>
      <c r="H74" s="22" t="s">
        <v>285</v>
      </c>
      <c r="I74" s="13">
        <v>42701.482812499999</v>
      </c>
      <c r="J74" s="7">
        <v>0</v>
      </c>
      <c r="K74" s="109" t="str">
        <f t="shared" si="0"/>
        <v>4045/4046</v>
      </c>
      <c r="L74" s="22" t="str">
        <f>VLOOKUP(A74,'Trips&amp;Operators'!$C$1:$E$10000,3,FALSE)</f>
        <v>STEWART</v>
      </c>
      <c r="M74" s="6">
        <f t="shared" si="1"/>
        <v>2.4247685185400769E-2</v>
      </c>
      <c r="N74" s="7">
        <f t="shared" si="33"/>
        <v>34.916666666977108</v>
      </c>
      <c r="O74" s="7"/>
      <c r="P74" s="7"/>
      <c r="Q74" s="23"/>
      <c r="R74" s="23"/>
      <c r="S74" s="35">
        <f t="shared" si="34"/>
        <v>1</v>
      </c>
      <c r="T74" s="50" t="str">
        <f t="shared" si="3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09:53:11-700',mode:absolute,to:'2016-11-27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4" s="52" t="str">
        <f t="shared" si="5"/>
        <v>N</v>
      </c>
      <c r="X74" s="177">
        <f t="shared" si="29"/>
        <v>1</v>
      </c>
      <c r="Y74" s="67">
        <f t="shared" si="7"/>
        <v>4.6699999999999998E-2</v>
      </c>
      <c r="Z74" s="67">
        <f t="shared" si="30"/>
        <v>23.330300000000001</v>
      </c>
      <c r="AA74" s="67">
        <f t="shared" si="9"/>
        <v>23.2836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0"/>
        <v>0159-27</v>
      </c>
      <c r="AE74" s="91" t="str">
        <f t="shared" si="11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74" s="88" t="str">
        <f t="shared" si="12"/>
        <v>"C:\Program Files (x86)\AstroGrep\AstroGrep.exe" /spath="%USERPROFILE%\AppData\Local\Temp\OnboardLogs" /stypes="app*4046*20161127*" /stext=" 18:.+((SYSTEM_STATE.+slice.+state.+changed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92" t="str">
        <f t="shared" si="16"/>
        <v>"%USERPROFILE%\Documents\GitHub\eaglep3\Utilities\RefineRTDCRunTimes.py" --tripid 159-27 --locoid 4046 --swversion DE.1.0.8.0 --startMP 204:467 --initTime 2016-11-27T10:53:11 --startdatetime 2016-11-27T11:00:20 --delay 1 --endMP 204:233303 --enddatetime 2016-11-27T11:35:15 --enforcementcount 0 &gt;&gt;C:\Users\stu\Documents\GitHub\eaglep3-reporting\EC\2016-11-27-refined-times.txt</v>
      </c>
      <c r="AI74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{"issue":{"subject":"","project_id":79,"tracker_id":40,"status_id":1,"priority_id":2,"assigned_to_id":23,"start_date":"2016-11-27","description":"","custom_fields":[{"id":1,"name":"Subdivision","value":"EC"},{"id":4,"name":"Milepost","value":"23.3303"},{"id":17,"name":"Train ID","value":"159-27"},{"id":16,"name":"Locomotive ID","value":"4046"},{"id":130,"name":"Impact","value":""},{"id":150,"name":"Time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415</v>
      </c>
      <c r="B75" s="7">
        <v>4045</v>
      </c>
      <c r="C75" s="22" t="s">
        <v>215</v>
      </c>
      <c r="D75" s="22" t="s">
        <v>208</v>
      </c>
      <c r="E75" s="13">
        <v>42701.494687500002</v>
      </c>
      <c r="F75" s="13">
        <v>42701.497453703705</v>
      </c>
      <c r="G75" s="7">
        <v>1</v>
      </c>
      <c r="H75" s="22" t="s">
        <v>222</v>
      </c>
      <c r="I75" s="13">
        <v>42701.523993055554</v>
      </c>
      <c r="J75" s="7">
        <v>0</v>
      </c>
      <c r="K75" s="109" t="str">
        <f t="shared" si="0"/>
        <v>4045/4046</v>
      </c>
      <c r="L75" s="22" t="str">
        <f>VLOOKUP(A75,'Trips&amp;Operators'!$C$1:$E$10000,3,FALSE)</f>
        <v>STEWART</v>
      </c>
      <c r="M75" s="6">
        <f t="shared" si="1"/>
        <v>2.6539351849351078E-2</v>
      </c>
      <c r="N75" s="7">
        <f t="shared" si="33"/>
        <v>38.216666663065553</v>
      </c>
      <c r="O75" s="7"/>
      <c r="P75" s="7"/>
      <c r="Q75" s="23"/>
      <c r="R75" s="23"/>
      <c r="S75" s="35">
        <f t="shared" si="34"/>
        <v>1</v>
      </c>
      <c r="T75" s="50" t="str">
        <f t="shared" si="3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10:52:21-700',mode:absolute,to:'2016-11-27 13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5" s="52" t="str">
        <f t="shared" si="5"/>
        <v>N</v>
      </c>
      <c r="X75" s="177">
        <f t="shared" si="29"/>
        <v>1</v>
      </c>
      <c r="Y75" s="67">
        <f t="shared" si="7"/>
        <v>23.297699999999999</v>
      </c>
      <c r="Z75" s="67">
        <f t="shared" si="30"/>
        <v>1.4999999999999999E-2</v>
      </c>
      <c r="AA75" s="67">
        <f t="shared" si="9"/>
        <v>23.282699999999998</v>
      </c>
      <c r="AB75" s="64" t="str">
        <f>VLOOKUP(A75,Enforcements!$C$7:$K$20,8,0)</f>
        <v>Form based authority (4)</v>
      </c>
      <c r="AC75" s="60" t="str">
        <f>VLOOKUP(A75,Enforcements!$C$7:$E$20,3,0)</f>
        <v>TRACK WARRANT AUTHORITY</v>
      </c>
      <c r="AD75" s="61" t="str">
        <f t="shared" si="10"/>
        <v>0160-27</v>
      </c>
      <c r="AE75" s="91" t="str">
        <f t="shared" si="11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75" s="88" t="str">
        <f t="shared" si="12"/>
        <v>"C:\Program Files (x86)\AstroGrep\AstroGrep.exe" /spath="%USERPROFILE%\AppData\Local\Temp\OnboardLogs" /stypes="app*4045*20161127*"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92" t="str">
        <f t="shared" si="16"/>
        <v>"%USERPROFILE%\Documents\GitHub\eaglep3\Utilities\RefineRTDCRunTimes.py" --tripid 160-27 --locoid 4045 --swversion DE.1.0.8.0 --startMP 204:232977 --initTime 2016-11-27T11:52:21 --startdatetime 2016-11-27T11:56:20 --delay 1 --endMP 204:150 --enddatetime 2016-11-27T12:34:33 --enforcementcount 0 &gt;&gt;C:\Users\stu\Documents\GitHub\eaglep3-reporting\EC\2016-11-27-refined-times.txt</v>
      </c>
      <c r="AI75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{"issue":{"subject":"","project_id":79,"tracker_id":40,"status_id":1,"priority_id":2,"assigned_to_id":23,"start_date":"2016-11-27","description":"","custom_fields":[{"id":1,"name":"Subdivision","value":"EC"},{"id":4,"name":"Milepost","value":"0.015"},{"id":17,"name":"Train ID","value":"160-27"},{"id":16,"name":"Locomotive ID","value":"4045"},{"id":130,"name":"Impact","value":""},{"id":150,"name":"Time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494</v>
      </c>
      <c r="B76" s="7">
        <v>4044</v>
      </c>
      <c r="C76" s="22" t="s">
        <v>215</v>
      </c>
      <c r="D76" s="22" t="s">
        <v>275</v>
      </c>
      <c r="E76" s="13">
        <v>42701.464247685188</v>
      </c>
      <c r="F76" s="13">
        <v>42701.468946759262</v>
      </c>
      <c r="G76" s="7">
        <v>1</v>
      </c>
      <c r="H76" s="22" t="s">
        <v>268</v>
      </c>
      <c r="I76" s="13">
        <v>42701.501666666663</v>
      </c>
      <c r="J76" s="7">
        <v>0</v>
      </c>
      <c r="K76" s="109" t="str">
        <f t="shared" si="0"/>
        <v>4043/4044</v>
      </c>
      <c r="L76" s="22" t="str">
        <f>VLOOKUP(A76,'Trips&amp;Operators'!$C$1:$E$10000,3,FALSE)</f>
        <v>BARTLETT</v>
      </c>
      <c r="M76" s="6">
        <f t="shared" si="1"/>
        <v>3.2719907401769888E-2</v>
      </c>
      <c r="N76" s="7">
        <f t="shared" si="33"/>
        <v>47.116666658548638</v>
      </c>
      <c r="O76" s="7"/>
      <c r="P76" s="7"/>
      <c r="Q76" s="23"/>
      <c r="R76" s="23"/>
      <c r="S76" s="35">
        <f t="shared" si="34"/>
        <v>1</v>
      </c>
      <c r="T76" s="50" t="str">
        <f t="shared" si="3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https://search-rtdc-monitor-bjffxe2xuh6vdkpspy63sjmuny.us-east-1.es.amazonaws.com/_plugin/kibana/#/discover/Steve-Slow-Train-Analysis-(2080s-and-2083s)?_g=(refreshInterval:(display:Off,section:0,value:0),time:(from:'2016-11-27 10:08:31-700',mode:absolute,to:'2016-11-27 13:02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6" s="52" t="str">
        <f t="shared" si="5"/>
        <v>N</v>
      </c>
      <c r="X76" s="177">
        <f t="shared" si="29"/>
        <v>1</v>
      </c>
      <c r="Y76" s="67">
        <f t="shared" si="7"/>
        <v>4.6899999999999997E-2</v>
      </c>
      <c r="Z76" s="67">
        <f t="shared" si="30"/>
        <v>23.332100000000001</v>
      </c>
      <c r="AA76" s="67">
        <f t="shared" si="9"/>
        <v>23.2852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0"/>
        <v>0161-27</v>
      </c>
      <c r="AE76" s="91" t="str">
        <f t="shared" si="11"/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AF76" s="88" t="str">
        <f t="shared" si="12"/>
        <v>"C:\Program Files (x86)\AstroGrep\AstroGrep.exe" /spath="%USERPROFILE%\AppData\Local\Temp\OnboardLogs" /stypes="app*4044*20161127*" /stext=" 19:.+((SYSTEM_STATE.+slice.+state.+changed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92" t="str">
        <f t="shared" si="16"/>
        <v>"%USERPROFILE%\Documents\GitHub\eaglep3\Utilities\RefineRTDCRunTimes.py" --tripid 161-27 --locoid 4044 --swversion DE.1.0.8.0 --startMP 204:469 --initTime 2016-11-27T11:08:31 --startdatetime 2016-11-27T11:15:17 --delay 1 --endMP 204:233321 --enddatetime 2016-11-27T12:02:24 --enforcementcount 0 &gt;&gt;C:\Users\stu\Documents\GitHub\eaglep3-reporting\EC\2016-11-27-refined-times.txt</v>
      </c>
      <c r="AI76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{"issue":{"subject":"","project_id":79,"tracker_id":40,"status_id":1,"priority_id":2,"assigned_to_id":23,"start_date":"2016-11-27","description":"","custom_fields":[{"id":1,"name":"Subdivision","value":"EC"},{"id":4,"name":"Milepost","value":"23.3321"},{"id":17,"name":"Train ID","value":"161-27"},{"id":16,"name":"Locomotive ID","value":"4044"},{"id":130,"name":"Impact","value":""},{"id":150,"name":"Time of Event (Mountain Time)","value":"12:02:24"},{"id":151,"name":"Denver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416</v>
      </c>
      <c r="B77" s="7">
        <v>4043</v>
      </c>
      <c r="C77" s="22" t="s">
        <v>215</v>
      </c>
      <c r="D77" s="22" t="s">
        <v>377</v>
      </c>
      <c r="E77" s="13">
        <v>42701.50340277778</v>
      </c>
      <c r="F77" s="13">
        <v>42701.5078587963</v>
      </c>
      <c r="G77" s="7">
        <v>1</v>
      </c>
      <c r="H77" s="22" t="s">
        <v>643</v>
      </c>
      <c r="I77" s="13">
        <v>42701.534282407411</v>
      </c>
      <c r="J77" s="7">
        <v>0</v>
      </c>
      <c r="K77" s="109" t="str">
        <f t="shared" ref="K77:K140" si="35">IF(ISEVEN(B77),(B77-1)&amp;"/"&amp;B77,B77&amp;"/"&amp;(B77+1))</f>
        <v>4043/4044</v>
      </c>
      <c r="L77" s="22" t="str">
        <f>VLOOKUP(A77,'Trips&amp;Operators'!$C$1:$E$10000,3,FALSE)</f>
        <v>BARTLETT</v>
      </c>
      <c r="M77" s="6">
        <f t="shared" ref="M77:M140" si="36">I77-F77</f>
        <v>2.6423611110658385E-2</v>
      </c>
      <c r="N77" s="7">
        <f t="shared" si="33"/>
        <v>38.049999999348074</v>
      </c>
      <c r="O77" s="7"/>
      <c r="P77" s="7"/>
      <c r="Q77" s="23"/>
      <c r="R77" s="23"/>
      <c r="S77" s="35">
        <f t="shared" si="34"/>
        <v>1</v>
      </c>
      <c r="T77" s="50" t="str">
        <f t="shared" ref="T77:T140" si="37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https://search-rtdc-monitor-bjffxe2xuh6vdkpspy63sjmuny.us-east-1.es.amazonaws.com/_plugin/kibana/#/discover/Steve-Slow-Train-Analysis-(2080s-and-2083s)?_g=(refreshInterval:(display:Off,section:0,value:0),time:(from:'2016-11-27 11:04:54-700',mode:absolute,to:'2016-11-27 13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7" s="52" t="str">
        <f t="shared" ref="W77:W140" si="39">IF(AA77&lt;IF(AG77="EC",23,5.65),"Y","N")</f>
        <v>N</v>
      </c>
      <c r="X77" s="177">
        <f t="shared" si="29"/>
        <v>1</v>
      </c>
      <c r="Y77" s="67">
        <f t="shared" ref="Y77:Y140" si="40">RIGHT(D77,LEN(D77)-4)/10000</f>
        <v>23.3004</v>
      </c>
      <c r="Z77" s="67">
        <f t="shared" ref="Z77:Z108" si="41">RIGHT(H77,LEN(H77)-4)/10000</f>
        <v>1.06E-2</v>
      </c>
      <c r="AA77" s="67">
        <f t="shared" ref="AA77:AA140" si="42">ABS(Z77-Y77)</f>
        <v>23.2898</v>
      </c>
      <c r="AB77" s="64" t="str">
        <f>VLOOKUP(A77,Enforcements!$C$7:$K$20,8,0)</f>
        <v>Form based authority (4)</v>
      </c>
      <c r="AC77" s="60" t="str">
        <f>VLOOKUP(A77,Enforcements!$C$7:$E$20,3,0)</f>
        <v>TRACK WARRANT AUTHORITY</v>
      </c>
      <c r="AD77" s="61" t="str">
        <f t="shared" ref="AD77:AD140" si="43">IF(LEN(A77)=6,"0"&amp;A77,A77)</f>
        <v>0162-27</v>
      </c>
      <c r="AE77" s="91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 &amp; aws s3 cp s3://rtdc.mdm.uploadarchive.raw/RTDC4043/ "%USERPROFILE%\AppData\Local\Temp\OnboardLogs"\RTDC4043\2016-11-28 --exclude "*" --recursive --include "*20161128*" &amp; "%USERPROFILE%\Documents\GitHub\mrs-test-scripts\Headless Mode &amp; Sideloading\WalkAndUnGZ.bat" "%USERPROFILE%\AppData\Local\Temp\OnboardLogs"\RTDC4043\2016-11-28</v>
      </c>
      <c r="AF77" s="88" t="str">
        <f t="shared" ref="AF77:AF140" si="4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/stypes="app*4043*20161127*" /stext=" 19:.+((SYSTEM_STATE.+slice.+state.+changed )|(ment ac)|(multiple cpu faults)|(system.+state.+changed )|(\[timeout)|(PRM\|1\|D)|(kpr)|(kdp)|(\|lc)|(penalty))" /e /r /s</v>
      </c>
      <c r="AG77" s="1" t="str">
        <f t="shared" ref="AG77:AG140" si="46">IFERROR(IF(VALUE(LEFT(AD77,2))&lt;=2,"EC",IF(OR(VALUE(LEFT(AD77,2))=8,VALUE(LEFT(AD77,2))=18),"NW","Other")),"Other")</f>
        <v>EC</v>
      </c>
      <c r="AH77" s="92" t="str">
        <f t="shared" si="16"/>
        <v>"%USERPROFILE%\Documents\GitHub\eaglep3\Utilities\RefineRTDCRunTimes.py" --tripid 162-27 --locoid 4043 --swversion DE.1.0.8.0 --startMP 204:233004 --initTime 2016-11-27T12:04:54 --startdatetime 2016-11-27T12:11:19 --delay 1 --endMP 204:106 --enddatetime 2016-11-27T12:49:22 --enforcementcount 0 &gt;&gt;C:\Users\stu\Documents\GitHub\eaglep3-reporting\EC\2016-11-27-refined-times.txt</v>
      </c>
      <c r="AI77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{"issue":{"subject":"","project_id":79,"tracker_id":40,"status_id":1,"priority_id":2,"assigned_to_id":23,"start_date":"2016-11-27","description":"","custom_fields":[{"id":1,"name":"Subdivision","value":"EC"},{"id":4,"name":"Milepost","value":"0.0106"},{"id":17,"name":"Train ID","value":"162-27"},{"id":16,"name":"Locomotive ID","value":"4043"},{"id":130,"name":"Impact","value":""},{"id":150,"name":"Time of Event (Mountain Time)","value":"12:49:22"},{"id":151,"name":"Denver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496</v>
      </c>
      <c r="B78" s="7">
        <v>4011</v>
      </c>
      <c r="C78" s="22" t="s">
        <v>215</v>
      </c>
      <c r="D78" s="22" t="s">
        <v>644</v>
      </c>
      <c r="E78" s="13">
        <v>42701.476261574076</v>
      </c>
      <c r="F78" s="13">
        <v>42701.47934027778</v>
      </c>
      <c r="G78" s="7">
        <v>2</v>
      </c>
      <c r="H78" s="22" t="s">
        <v>341</v>
      </c>
      <c r="I78" s="13">
        <v>42701.503668981481</v>
      </c>
      <c r="J78" s="7">
        <v>0</v>
      </c>
      <c r="K78" s="109" t="str">
        <f t="shared" si="35"/>
        <v>4011/4012</v>
      </c>
      <c r="L78" s="22" t="str">
        <f>VLOOKUP(A78,'Trips&amp;Operators'!$C$1:$E$10000,3,FALSE)</f>
        <v>BRUDER</v>
      </c>
      <c r="M78" s="6">
        <f t="shared" si="36"/>
        <v>2.4328703701030463E-2</v>
      </c>
      <c r="N78" s="7">
        <f t="shared" si="33"/>
        <v>35.033333329483867</v>
      </c>
      <c r="O78" s="7"/>
      <c r="P78" s="7"/>
      <c r="Q78" s="23"/>
      <c r="R78" s="23"/>
      <c r="S78" s="35">
        <f t="shared" si="34"/>
        <v>1</v>
      </c>
      <c r="T78" s="50" t="str">
        <f t="shared" si="37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10:25:49-700',mode:absolute,to:'2016-11-27 13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8" s="52" t="str">
        <f t="shared" si="39"/>
        <v>N</v>
      </c>
      <c r="X78" s="177">
        <f t="shared" si="29"/>
        <v>1</v>
      </c>
      <c r="Y78" s="67">
        <f t="shared" si="40"/>
        <v>4.2700000000000002E-2</v>
      </c>
      <c r="Z78" s="67">
        <f t="shared" si="41"/>
        <v>23.329899999999999</v>
      </c>
      <c r="AA78" s="67">
        <f t="shared" si="42"/>
        <v>23.287199999999999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43"/>
        <v>0163-27</v>
      </c>
      <c r="AE78" s="91" t="str">
        <f t="shared" si="44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78" s="88" t="str">
        <f t="shared" si="45"/>
        <v>"C:\Program Files (x86)\AstroGrep\AstroGrep.exe" /spath="%USERPROFILE%\AppData\Local\Temp\OnboardLogs" /stypes="app*4011*20161127*" /stext=" 19:.+((SYSTEM_STATE.+slice.+state.+changed )|(ment ac)|(multiple cpu faults)|(system.+state.+changed )|(\[timeout)|(PRM\|1\|D)|(kpr)|(kdp)|(\|lc)|(penalty))" /e /r /s</v>
      </c>
      <c r="AG78" s="1" t="str">
        <f t="shared" si="46"/>
        <v>EC</v>
      </c>
      <c r="AH78" s="92" t="str">
        <f t="shared" si="16"/>
        <v>"%USERPROFILE%\Documents\GitHub\eaglep3\Utilities\RefineRTDCRunTimes.py" --tripid 163-27 --locoid 4011 --swversion DE.1.0.8.0 --startMP 204:427 --initTime 2016-11-27T11:25:49 --startdatetime 2016-11-27T11:30:15 --delay 2 --endMP 204:233299 --enddatetime 2016-11-27T12:05:17 --enforcementcount 0 &gt;&gt;C:\Users\stu\Documents\GitHub\eaglep3-reporting\EC\2016-11-27-refined-times.txt</v>
      </c>
      <c r="AI78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{"issue":{"subject":"","project_id":79,"tracker_id":40,"status_id":1,"priority_id":2,"assigned_to_id":23,"start_date":"2016-11-27","description":"","custom_fields":[{"id":1,"name":"Subdivision","value":"EC"},{"id":4,"name":"Milepost","value":"23.3299"},{"id":17,"name":"Train ID","value":"163-27"},{"id":16,"name":"Locomotive ID","value":"4011"},{"id":130,"name":"Impact","value":""},{"id":150,"name":"Time of Event (Mountain Time)","value":"12:05:17"},{"id":151,"name":"Denver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502</v>
      </c>
      <c r="B79" s="7">
        <v>4012</v>
      </c>
      <c r="C79" s="22" t="s">
        <v>215</v>
      </c>
      <c r="D79" s="22" t="s">
        <v>208</v>
      </c>
      <c r="E79" s="13">
        <v>42701.513414351852</v>
      </c>
      <c r="F79" s="13">
        <v>42701.518263888887</v>
      </c>
      <c r="G79" s="7">
        <v>1</v>
      </c>
      <c r="H79" s="22" t="s">
        <v>250</v>
      </c>
      <c r="I79" s="13">
        <v>42701.544039351851</v>
      </c>
      <c r="J79" s="7">
        <v>0</v>
      </c>
      <c r="K79" s="109" t="str">
        <f t="shared" si="35"/>
        <v>4011/4012</v>
      </c>
      <c r="L79" s="22" t="str">
        <f>VLOOKUP(A79,'Trips&amp;Operators'!$C$1:$E$10000,3,FALSE)</f>
        <v>BRUDER</v>
      </c>
      <c r="M79" s="6">
        <f t="shared" si="36"/>
        <v>2.5775462963792961E-2</v>
      </c>
      <c r="N79" s="7">
        <f t="shared" si="33"/>
        <v>37.116666667861864</v>
      </c>
      <c r="O79" s="7"/>
      <c r="P79" s="7"/>
      <c r="Q79" s="23"/>
      <c r="R79" s="23"/>
      <c r="S79" s="35">
        <f t="shared" si="34"/>
        <v>1</v>
      </c>
      <c r="T79" s="50" t="str">
        <f t="shared" si="37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11:19:19-700',mode:absolute,to:'2016-11-27 14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9" s="52" t="str">
        <f t="shared" si="39"/>
        <v>N</v>
      </c>
      <c r="X79" s="177">
        <f t="shared" si="29"/>
        <v>1</v>
      </c>
      <c r="Y79" s="67">
        <f t="shared" si="40"/>
        <v>23.297699999999999</v>
      </c>
      <c r="Z79" s="67">
        <f t="shared" si="41"/>
        <v>1.47E-2</v>
      </c>
      <c r="AA79" s="67">
        <f t="shared" si="42"/>
        <v>23.282999999999998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3"/>
        <v>0164-27</v>
      </c>
      <c r="AE79" s="91" t="str">
        <f t="shared" si="44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79" s="88" t="str">
        <f t="shared" si="45"/>
        <v>"C:\Program Files (x86)\AstroGrep\AstroGrep.exe" /spath="%USERPROFILE%\AppData\Local\Temp\OnboardLogs" /stypes="app*4012*20161127*" /stext=" 20:.+((SYSTEM_STATE.+slice.+state.+changed )|(ment ac)|(multiple cpu faults)|(system.+state.+changed )|(\[timeout)|(PRM\|1\|D)|(kpr)|(kdp)|(\|lc)|(penalty))" /e /r /s</v>
      </c>
      <c r="AG79" s="1" t="str">
        <f t="shared" si="46"/>
        <v>EC</v>
      </c>
      <c r="AH79" s="92" t="str">
        <f t="shared" si="16"/>
        <v>"%USERPROFILE%\Documents\GitHub\eaglep3\Utilities\RefineRTDCRunTimes.py" --tripid 164-27 --locoid 4012 --swversion DE.1.0.8.0 --startMP 204:232977 --initTime 2016-11-27T12:19:19 --startdatetime 2016-11-27T12:26:18 --delay 1 --endMP 204:147 --enddatetime 2016-11-27T13:03:25 --enforcementcount 0 &gt;&gt;C:\Users\stu\Documents\GitHub\eaglep3-reporting\EC\2016-11-27-refined-times.txt</v>
      </c>
      <c r="AI79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{"issue":{"subject":"","project_id":79,"tracker_id":40,"status_id":1,"priority_id":2,"assigned_to_id":23,"start_date":"2016-11-27","description":"","custom_fields":[{"id":1,"name":"Subdivision","value":"EC"},{"id":4,"name":"Milepost","value":"0.0147"},{"id":17,"name":"Train ID","value":"164-27"},{"id":16,"name":"Locomotive ID","value":"4012"},{"id":130,"name":"Impact","value":""},{"id":150,"name":"Time of Event (Mountain Time)","value":"13:03:25"},{"id":151,"name":"Denver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497</v>
      </c>
      <c r="B80" s="7">
        <v>4038</v>
      </c>
      <c r="C80" s="22" t="s">
        <v>215</v>
      </c>
      <c r="D80" s="22" t="s">
        <v>262</v>
      </c>
      <c r="E80" s="13">
        <v>42701.486157407409</v>
      </c>
      <c r="F80" s="13">
        <v>42701.489930555559</v>
      </c>
      <c r="G80" s="7">
        <v>5</v>
      </c>
      <c r="H80" s="22" t="s">
        <v>253</v>
      </c>
      <c r="I80" s="13">
        <v>42701.515856481485</v>
      </c>
      <c r="J80" s="7">
        <v>0</v>
      </c>
      <c r="K80" s="109" t="str">
        <f t="shared" si="35"/>
        <v>4037/4038</v>
      </c>
      <c r="L80" s="22" t="str">
        <f>VLOOKUP(A80,'Trips&amp;Operators'!$C$1:$E$10000,3,FALSE)</f>
        <v>MOSES</v>
      </c>
      <c r="M80" s="6">
        <f t="shared" si="36"/>
        <v>2.5925925925548654E-2</v>
      </c>
      <c r="N80" s="7">
        <f t="shared" si="33"/>
        <v>37.333333332790062</v>
      </c>
      <c r="O80" s="7"/>
      <c r="P80" s="7"/>
      <c r="Q80" s="23"/>
      <c r="R80" s="23"/>
      <c r="S80" s="35">
        <f t="shared" si="34"/>
        <v>1</v>
      </c>
      <c r="T80" s="50" t="str">
        <f t="shared" si="37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10:40:04-700',mode:absolute,to:'2016-11-27 13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0" s="52" t="str">
        <f t="shared" si="39"/>
        <v>N</v>
      </c>
      <c r="X80" s="177">
        <f t="shared" si="29"/>
        <v>1</v>
      </c>
      <c r="Y80" s="67">
        <f t="shared" si="40"/>
        <v>4.5999999999999999E-2</v>
      </c>
      <c r="Z80" s="67">
        <f t="shared" si="41"/>
        <v>23.331399999999999</v>
      </c>
      <c r="AA80" s="67">
        <f t="shared" si="42"/>
        <v>23.285399999999999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3"/>
        <v>0165-27</v>
      </c>
      <c r="AE80" s="91" t="str">
        <f t="shared" si="44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80" s="88" t="str">
        <f t="shared" si="45"/>
        <v>"C:\Program Files (x86)\AstroGrep\AstroGrep.exe" /spath="%USERPROFILE%\AppData\Local\Temp\OnboardLogs" /stypes="app*4038*20161127*" /stext=" 19:.+((SYSTEM_STATE.+slice.+state.+changed )|(ment ac)|(multiple cpu faults)|(system.+state.+changed )|(\[timeout)|(PRM\|1\|D)|(kpr)|(kdp)|(\|lc)|(penalty))" /e /r /s</v>
      </c>
      <c r="AG80" s="1" t="str">
        <f t="shared" si="46"/>
        <v>EC</v>
      </c>
      <c r="AH80" s="92" t="str">
        <f t="shared" si="16"/>
        <v>"%USERPROFILE%\Documents\GitHub\eaglep3\Utilities\RefineRTDCRunTimes.py" --tripid 165-27 --locoid 4038 --swversion DE.1.0.8.0 --startMP 204:460 --initTime 2016-11-27T11:40:04 --startdatetime 2016-11-27T11:45:30 --delay 5 --endMP 204:233314 --enddatetime 2016-11-27T12:22:50 --enforcementcount 0 &gt;&gt;C:\Users\stu\Documents\GitHub\eaglep3-reporting\EC\2016-11-27-refined-times.txt</v>
      </c>
      <c r="AI80" s="119" t="str">
        <f t="shared" si="17"/>
        <v>echo {"issue":{"subject":"","project_id":79,"tracker_id":40,"status_id":1,"priority_id":2,"assigned_to_id":23,"start_date":"2016-11-27","description":"","custom_fields":[{"id":1,"name":"Subdivision","value":"EC"},{"id":4,"name":"Milepost","value":"23.3314"},{"id":17,"name":"Train ID","value":"165-27"},{"id":16,"name":"Locomotive ID","value":"4038"},{"id":130,"name":"Impact","value":""},{"id":150,"name":"Time of Event (Mountain Time)","value":"12:22:50"},{"id":151,"name":"Denver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505</v>
      </c>
      <c r="B81" s="7">
        <v>4037</v>
      </c>
      <c r="C81" s="22" t="s">
        <v>215</v>
      </c>
      <c r="D81" s="22" t="s">
        <v>278</v>
      </c>
      <c r="E81" s="13">
        <v>42701.524745370371</v>
      </c>
      <c r="F81" s="13">
        <v>42701.528993055559</v>
      </c>
      <c r="G81" s="7">
        <v>2</v>
      </c>
      <c r="H81" s="22" t="s">
        <v>217</v>
      </c>
      <c r="I81" s="13">
        <v>42701.555601851855</v>
      </c>
      <c r="J81" s="7">
        <v>0</v>
      </c>
      <c r="K81" s="109" t="str">
        <f t="shared" si="35"/>
        <v>4037/4038</v>
      </c>
      <c r="L81" s="22" t="str">
        <f>VLOOKUP(A81,'Trips&amp;Operators'!$C$1:$E$10000,3,FALSE)</f>
        <v>MOSES</v>
      </c>
      <c r="M81" s="6">
        <f t="shared" si="36"/>
        <v>2.6608796295477077E-2</v>
      </c>
      <c r="N81" s="7">
        <f t="shared" si="33"/>
        <v>38.316666665486991</v>
      </c>
      <c r="O81" s="7"/>
      <c r="P81" s="7"/>
      <c r="Q81" s="23"/>
      <c r="R81" s="23"/>
      <c r="S81" s="35">
        <f t="shared" si="34"/>
        <v>1</v>
      </c>
      <c r="T81" s="50" t="str">
        <f t="shared" si="37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11:35:38-700',mode:absolute,to:'2016-11-27 14:20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1" s="52" t="str">
        <f t="shared" si="39"/>
        <v>N</v>
      </c>
      <c r="X81" s="177">
        <f t="shared" ref="X81:X86" si="47">VALUE(LEFT(AD81,4))-VALUE(LEFT(AD80,4))</f>
        <v>1</v>
      </c>
      <c r="Y81" s="67">
        <f t="shared" si="40"/>
        <v>23.3</v>
      </c>
      <c r="Z81" s="67">
        <f t="shared" si="41"/>
        <v>1.5800000000000002E-2</v>
      </c>
      <c r="AA81" s="67">
        <f t="shared" si="42"/>
        <v>23.284200000000002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3"/>
        <v>0166-27</v>
      </c>
      <c r="AE81" s="91" t="str">
        <f t="shared" si="44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81" s="88" t="str">
        <f t="shared" si="45"/>
        <v>"C:\Program Files (x86)\AstroGrep\AstroGrep.exe" /spath="%USERPROFILE%\AppData\Local\Temp\OnboardLogs" /stypes="app*4037*20161127*" /stext=" 20:.+((SYSTEM_STATE.+slice.+state.+changed )|(ment ac)|(multiple cpu faults)|(system.+state.+changed )|(\[timeout)|(PRM\|1\|D)|(kpr)|(kdp)|(\|lc)|(penalty))" /e /r /s</v>
      </c>
      <c r="AG81" s="1" t="str">
        <f t="shared" si="46"/>
        <v>EC</v>
      </c>
      <c r="AH81" s="92" t="str">
        <f t="shared" ref="AH81:AH142" si="48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166-27 --locoid 4037 --swversion DE.1.0.8.0 --startMP 204:233000 --initTime 2016-11-27T12:35:38 --startdatetime 2016-11-27T12:41:45 --delay 2 --endMP 204:158 --enddatetime 2016-11-27T13:20:04 --enforcementcount 0 &gt;&gt;C:\Users\stu\Documents\GitHub\eaglep3-reporting\EC\2016-11-27-refined-times.txt</v>
      </c>
      <c r="AI81" s="119" t="str">
        <f t="shared" ref="AI81:AI142" si="49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{"issue":{"subject":"","project_id":79,"tracker_id":40,"status_id":1,"priority_id":2,"assigned_to_id":23,"start_date":"2016-11-27","description":"","custom_fields":[{"id":1,"name":"Subdivision","value":"EC"},{"id":4,"name":"Milepost","value":"0.0158"},{"id":17,"name":"Train ID","value":"166-27"},{"id":16,"name":"Locomotive ID","value":"4037"},{"id":130,"name":"Impact","value":""},{"id":150,"name":"Time of Event (Mountain Time)","value":"13:20:04"},{"id":151,"name":"Denver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498</v>
      </c>
      <c r="B82" s="7">
        <v>4002</v>
      </c>
      <c r="C82" s="22" t="s">
        <v>215</v>
      </c>
      <c r="D82" s="22" t="s">
        <v>265</v>
      </c>
      <c r="E82" s="13">
        <v>42701.497037037036</v>
      </c>
      <c r="F82" s="13">
        <v>42701.500173611108</v>
      </c>
      <c r="G82" s="7">
        <v>2</v>
      </c>
      <c r="H82" s="22" t="s">
        <v>645</v>
      </c>
      <c r="I82" s="13">
        <v>42701.525856481479</v>
      </c>
      <c r="J82" s="7">
        <v>0</v>
      </c>
      <c r="K82" s="109" t="str">
        <f t="shared" si="35"/>
        <v>4001/4002</v>
      </c>
      <c r="L82" s="22" t="str">
        <f>VLOOKUP(A82,'Trips&amp;Operators'!$C$1:$E$10000,3,FALSE)</f>
        <v>YOUNG</v>
      </c>
      <c r="M82" s="6">
        <f t="shared" si="36"/>
        <v>2.5682870371383615E-2</v>
      </c>
      <c r="N82" s="7">
        <f t="shared" si="33"/>
        <v>36.983333334792405</v>
      </c>
      <c r="O82" s="7"/>
      <c r="P82" s="7"/>
      <c r="Q82" s="23"/>
      <c r="R82" s="23"/>
      <c r="S82" s="35">
        <f t="shared" si="34"/>
        <v>1</v>
      </c>
      <c r="T82" s="50" t="str">
        <f t="shared" si="37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10:55:44-700',mode:absolute,to:'2016-11-27 13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2" s="52" t="str">
        <f t="shared" si="39"/>
        <v>N</v>
      </c>
      <c r="X82" s="177">
        <f t="shared" si="47"/>
        <v>1</v>
      </c>
      <c r="Y82" s="67">
        <f t="shared" si="40"/>
        <v>4.5699999999999998E-2</v>
      </c>
      <c r="Z82" s="67">
        <f t="shared" si="41"/>
        <v>23.332000000000001</v>
      </c>
      <c r="AA82" s="67">
        <f t="shared" si="42"/>
        <v>23.286300000000001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3"/>
        <v>0167-27</v>
      </c>
      <c r="AE82" s="91" t="str">
        <f t="shared" si="44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82" s="88" t="str">
        <f t="shared" si="45"/>
        <v>"C:\Program Files (x86)\AstroGrep\AstroGrep.exe" /spath="%USERPROFILE%\AppData\Local\Temp\OnboardLogs" /stypes="app*4002*20161127*" /stext=" 19:.+((SYSTEM_STATE.+slice.+state.+changed )|(ment ac)|(multiple cpu faults)|(system.+state.+changed )|(\[timeout)|(PRM\|1\|D)|(kpr)|(kdp)|(\|lc)|(penalty))" /e /r /s</v>
      </c>
      <c r="AG82" s="1" t="str">
        <f t="shared" si="46"/>
        <v>EC</v>
      </c>
      <c r="AH82" s="92" t="str">
        <f t="shared" si="48"/>
        <v>"%USERPROFILE%\Documents\GitHub\eaglep3\Utilities\RefineRTDCRunTimes.py" --tripid 167-27 --locoid 4002 --swversion DE.1.0.8.0 --startMP 204:457 --initTime 2016-11-27T11:55:44 --startdatetime 2016-11-27T12:00:15 --delay 2 --endMP 204:233320 --enddatetime 2016-11-27T12:37:14 --enforcementcount 0 &gt;&gt;C:\Users\stu\Documents\GitHub\eaglep3-reporting\EC\2016-11-27-refined-times.txt</v>
      </c>
      <c r="AI82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{"issue":{"subject":"","project_id":79,"tracker_id":40,"status_id":1,"priority_id":2,"assigned_to_id":23,"start_date":"2016-11-27","description":"","custom_fields":[{"id":1,"name":"Subdivision","value":"EC"},{"id":4,"name":"Milepost","value":"23.332"},{"id":17,"name":"Train ID","value":"167-27"},{"id":16,"name":"Locomotive ID","value":"4002"},{"id":130,"name":"Impact","value":""},{"id":150,"name":"Time of Event (Mountain Time)","value":"12:37:14"},{"id":151,"name":"Denver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508</v>
      </c>
      <c r="B83" s="7">
        <v>4001</v>
      </c>
      <c r="C83" s="22" t="s">
        <v>215</v>
      </c>
      <c r="D83" s="22" t="s">
        <v>373</v>
      </c>
      <c r="E83" s="13">
        <v>42701.528946759259</v>
      </c>
      <c r="F83" s="13">
        <v>42701.539097222223</v>
      </c>
      <c r="G83" s="7">
        <v>2</v>
      </c>
      <c r="H83" s="22" t="s">
        <v>646</v>
      </c>
      <c r="I83" s="13">
        <v>42701.566944444443</v>
      </c>
      <c r="J83" s="7">
        <v>0</v>
      </c>
      <c r="K83" s="109" t="str">
        <f t="shared" si="35"/>
        <v>4001/4002</v>
      </c>
      <c r="L83" s="22" t="str">
        <f>VLOOKUP(A83,'Trips&amp;Operators'!$C$1:$E$10000,3,FALSE)</f>
        <v>YOUNG</v>
      </c>
      <c r="M83" s="6">
        <f t="shared" si="36"/>
        <v>2.7847222219861578E-2</v>
      </c>
      <c r="N83" s="7">
        <f t="shared" si="33"/>
        <v>40.099999996600673</v>
      </c>
      <c r="O83" s="7"/>
      <c r="P83" s="7"/>
      <c r="Q83" s="23"/>
      <c r="R83" s="23"/>
      <c r="S83" s="35">
        <f t="shared" si="34"/>
        <v>1</v>
      </c>
      <c r="T83" s="50" t="str">
        <f t="shared" si="37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11:41:41-700',mode:absolute,to:'2016-11-27 14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3" s="52" t="str">
        <f t="shared" si="39"/>
        <v>N</v>
      </c>
      <c r="X83" s="177">
        <f t="shared" si="47"/>
        <v>1</v>
      </c>
      <c r="Y83" s="67">
        <f t="shared" si="40"/>
        <v>23.298999999999999</v>
      </c>
      <c r="Z83" s="67">
        <f t="shared" si="41"/>
        <v>1.9099999999999999E-2</v>
      </c>
      <c r="AA83" s="67">
        <f t="shared" si="42"/>
        <v>23.279899999999998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3"/>
        <v>0168-27</v>
      </c>
      <c r="AE83" s="91" t="str">
        <f t="shared" si="44"/>
        <v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v>
      </c>
      <c r="AF83" s="88" t="str">
        <f t="shared" si="45"/>
        <v>"C:\Program Files (x86)\AstroGrep\AstroGrep.exe" /spath="%USERPROFILE%\AppData\Local\Temp\OnboardLogs" /stypes="app*4001*20161127*" /stext=" 20:.+((SYSTEM_STATE.+slice.+state.+changed )|(ment ac)|(multiple cpu faults)|(system.+state.+changed )|(\[timeout)|(PRM\|1\|D)|(kpr)|(kdp)|(\|lc)|(penalty))" /e /r /s</v>
      </c>
      <c r="AG83" s="1" t="str">
        <f t="shared" si="46"/>
        <v>EC</v>
      </c>
      <c r="AH83" s="92" t="str">
        <f t="shared" si="48"/>
        <v>"%USERPROFILE%\Documents\GitHub\eaglep3\Utilities\RefineRTDCRunTimes.py" --tripid 168-27 --locoid 4001 --swversion DE.1.0.8.0 --startMP 204:232990 --initTime 2016-11-27T12:41:41 --startdatetime 2016-11-27T12:56:18 --delay 2 --endMP 204:191 --enddatetime 2016-11-27T13:36:24 --enforcementcount 0 &gt;&gt;C:\Users\stu\Documents\GitHub\eaglep3-reporting\EC\2016-11-27-refined-times.txt</v>
      </c>
      <c r="AI83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{"issue":{"subject":"","project_id":79,"tracker_id":40,"status_id":1,"priority_id":2,"assigned_to_id":23,"start_date":"2016-11-27","description":"","custom_fields":[{"id":1,"name":"Subdivision","value":"EC"},{"id":4,"name":"Milepost","value":"0.0191"},{"id":17,"name":"Train ID","value":"168-27"},{"id":16,"name":"Locomotive ID","value":"4001"},{"id":130,"name":"Impact","value":""},{"id":150,"name":"Time of Event (Mountain Time)","value":"13:36:24"},{"id":151,"name":"Denver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500</v>
      </c>
      <c r="B84" s="7">
        <v>4009</v>
      </c>
      <c r="C84" s="22" t="s">
        <v>215</v>
      </c>
      <c r="D84" s="22" t="s">
        <v>212</v>
      </c>
      <c r="E84" s="13">
        <v>42701.505914351852</v>
      </c>
      <c r="F84" s="13">
        <v>42701.510601851849</v>
      </c>
      <c r="G84" s="7">
        <v>1</v>
      </c>
      <c r="H84" s="22" t="s">
        <v>253</v>
      </c>
      <c r="I84" s="13">
        <v>42701.536041666666</v>
      </c>
      <c r="J84" s="7">
        <v>0</v>
      </c>
      <c r="K84" s="109" t="str">
        <f t="shared" si="35"/>
        <v>4009/4010</v>
      </c>
      <c r="L84" s="22" t="str">
        <f>VLOOKUP(A84,'Trips&amp;Operators'!$C$1:$E$10000,3,FALSE)</f>
        <v>CLARK</v>
      </c>
      <c r="M84" s="6">
        <f t="shared" si="36"/>
        <v>2.5439814817218576E-2</v>
      </c>
      <c r="N84" s="7">
        <f t="shared" si="33"/>
        <v>36.633333336794749</v>
      </c>
      <c r="O84" s="7"/>
      <c r="P84" s="7"/>
      <c r="Q84" s="23"/>
      <c r="R84" s="23"/>
      <c r="S84" s="35">
        <f t="shared" si="34"/>
        <v>1</v>
      </c>
      <c r="T84" s="50" t="str">
        <f t="shared" si="37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11:08:31-700',mode:absolute,to:'2016-11-27 13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4" s="52" t="str">
        <f t="shared" si="39"/>
        <v>N</v>
      </c>
      <c r="X84" s="177">
        <f t="shared" si="47"/>
        <v>1</v>
      </c>
      <c r="Y84" s="67">
        <f t="shared" si="40"/>
        <v>4.6199999999999998E-2</v>
      </c>
      <c r="Z84" s="67">
        <f t="shared" si="41"/>
        <v>23.331399999999999</v>
      </c>
      <c r="AA84" s="67">
        <f t="shared" si="42"/>
        <v>23.2852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43"/>
        <v>0169-27</v>
      </c>
      <c r="AE84" s="91" t="str">
        <f t="shared" si="44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84" s="88" t="str">
        <f t="shared" si="45"/>
        <v>"C:\Program Files (x86)\AstroGrep\AstroGrep.exe" /spath="%USERPROFILE%\AppData\Local\Temp\OnboardLogs" /stypes="app*4009*20161127*" /stext=" 19:.+((SYSTEM_STATE.+slice.+state.+changed )|(ment ac)|(multiple cpu faults)|(system.+state.+changed )|(\[timeout)|(PRM\|1\|D)|(kpr)|(kdp)|(\|lc)|(penalty))" /e /r /s</v>
      </c>
      <c r="AG84" s="1" t="str">
        <f t="shared" si="46"/>
        <v>EC</v>
      </c>
      <c r="AH84" s="92" t="str">
        <f t="shared" si="48"/>
        <v>"%USERPROFILE%\Documents\GitHub\eaglep3\Utilities\RefineRTDCRunTimes.py" --tripid 169-27 --locoid 4009 --swversion DE.1.0.8.0 --startMP 204:462 --initTime 2016-11-27T12:08:31 --startdatetime 2016-11-27T12:15:16 --delay 1 --endMP 204:233314 --enddatetime 2016-11-27T12:51:54 --enforcementcount 0 &gt;&gt;C:\Users\stu\Documents\GitHub\eaglep3-reporting\EC\2016-11-27-refined-times.txt</v>
      </c>
      <c r="AI84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{"issue":{"subject":"","project_id":79,"tracker_id":40,"status_id":1,"priority_id":2,"assigned_to_id":23,"start_date":"2016-11-27","description":"","custom_fields":[{"id":1,"name":"Subdivision","value":"EC"},{"id":4,"name":"Milepost","value":"23.3314"},{"id":17,"name":"Train ID","value":"169-27"},{"id":16,"name":"Locomotive ID","value":"4009"},{"id":130,"name":"Impact","value":""},{"id":150,"name":"Time of Event (Mountain Time)","value":"12:51:54"},{"id":151,"name":"Denver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510</v>
      </c>
      <c r="B85" s="7">
        <v>4010</v>
      </c>
      <c r="C85" s="22" t="s">
        <v>215</v>
      </c>
      <c r="D85" s="22" t="s">
        <v>251</v>
      </c>
      <c r="E85" s="13">
        <v>42701.543958333335</v>
      </c>
      <c r="F85" s="13">
        <v>42701.549502314818</v>
      </c>
      <c r="G85" s="7">
        <v>1</v>
      </c>
      <c r="H85" s="22" t="s">
        <v>210</v>
      </c>
      <c r="I85" s="13">
        <v>42701.577280092592</v>
      </c>
      <c r="J85" s="7">
        <v>0</v>
      </c>
      <c r="K85" s="109" t="str">
        <f t="shared" si="35"/>
        <v>4009/4010</v>
      </c>
      <c r="L85" s="22" t="str">
        <f>VLOOKUP(A85,'Trips&amp;Operators'!$C$1:$E$10000,3,FALSE)</f>
        <v>CLARK</v>
      </c>
      <c r="M85" s="6">
        <f t="shared" si="36"/>
        <v>2.7777777773735579E-2</v>
      </c>
      <c r="N85" s="7">
        <f t="shared" si="33"/>
        <v>39.999999994179234</v>
      </c>
      <c r="O85" s="7"/>
      <c r="P85" s="7"/>
      <c r="Q85" s="23"/>
      <c r="R85" s="23"/>
      <c r="S85" s="35">
        <f t="shared" si="34"/>
        <v>1</v>
      </c>
      <c r="T85" s="50" t="str">
        <f t="shared" si="37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12:03:18-700',mode:absolute,to:'2016-11-27 14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5" s="52" t="str">
        <f t="shared" si="39"/>
        <v>N</v>
      </c>
      <c r="X85" s="177">
        <f t="shared" si="47"/>
        <v>1</v>
      </c>
      <c r="Y85" s="67">
        <f t="shared" si="40"/>
        <v>23.299299999999999</v>
      </c>
      <c r="Z85" s="67">
        <f t="shared" si="41"/>
        <v>1.5599999999999999E-2</v>
      </c>
      <c r="AA85" s="67">
        <f t="shared" si="42"/>
        <v>23.2837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43"/>
        <v>0170-27</v>
      </c>
      <c r="AE85" s="91" t="str">
        <f t="shared" si="44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85" s="88" t="str">
        <f t="shared" si="45"/>
        <v>"C:\Program Files (x86)\AstroGrep\AstroGrep.exe" /spath="%USERPROFILE%\AppData\Local\Temp\OnboardLogs" /stypes="app*4010*20161127*" /stext=" 20:.+((SYSTEM_STATE.+slice.+state.+changed )|(ment ac)|(multiple cpu faults)|(system.+state.+changed )|(\[timeout)|(PRM\|1\|D)|(kpr)|(kdp)|(\|lc)|(penalty))" /e /r /s</v>
      </c>
      <c r="AG85" s="1" t="str">
        <f t="shared" si="46"/>
        <v>EC</v>
      </c>
      <c r="AH85" s="92" t="str">
        <f t="shared" si="48"/>
        <v>"%USERPROFILE%\Documents\GitHub\eaglep3\Utilities\RefineRTDCRunTimes.py" --tripid 170-27 --locoid 4010 --swversion DE.1.0.8.0 --startMP 204:232993 --initTime 2016-11-27T13:03:18 --startdatetime 2016-11-27T13:11:17 --delay 1 --endMP 204:156 --enddatetime 2016-11-27T13:51:17 --enforcementcount 0 &gt;&gt;C:\Users\stu\Documents\GitHub\eaglep3-reporting\EC\2016-11-27-refined-times.txt</v>
      </c>
      <c r="AI85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{"issue":{"subject":"","project_id":79,"tracker_id":40,"status_id":1,"priority_id":2,"assigned_to_id":23,"start_date":"2016-11-27","description":"","custom_fields":[{"id":1,"name":"Subdivision","value":"EC"},{"id":4,"name":"Milepost","value":"0.0156"},{"id":17,"name":"Train ID","value":"170-27"},{"id":16,"name":"Locomotive ID","value":"4010"},{"id":130,"name":"Impact","value":""},{"id":150,"name":"Time of Event (Mountain Time)","value":"13:51:17"},{"id":151,"name":"Denver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503</v>
      </c>
      <c r="B86" s="7">
        <v>4016</v>
      </c>
      <c r="C86" s="22" t="s">
        <v>215</v>
      </c>
      <c r="D86" s="22" t="s">
        <v>212</v>
      </c>
      <c r="E86" s="13">
        <v>42701.516238425924</v>
      </c>
      <c r="F86" s="13">
        <v>42701.521111111113</v>
      </c>
      <c r="G86" s="7">
        <v>3</v>
      </c>
      <c r="H86" s="22" t="s">
        <v>647</v>
      </c>
      <c r="I86" s="13">
        <v>42701.546701388892</v>
      </c>
      <c r="J86" s="7">
        <v>0</v>
      </c>
      <c r="K86" s="109" t="str">
        <f t="shared" si="35"/>
        <v>4015/4016</v>
      </c>
      <c r="L86" s="22" t="str">
        <f>VLOOKUP(A86,'Trips&amp;Operators'!$C$1:$E$10000,3,FALSE)</f>
        <v>DELGADO</v>
      </c>
      <c r="M86" s="6">
        <f t="shared" si="36"/>
        <v>2.5590277778974269E-2</v>
      </c>
      <c r="N86" s="7">
        <f t="shared" si="33"/>
        <v>36.850000001722947</v>
      </c>
      <c r="O86" s="7"/>
      <c r="P86" s="7"/>
      <c r="Q86" s="23"/>
      <c r="R86" s="23"/>
      <c r="S86" s="35">
        <f t="shared" si="34"/>
        <v>1</v>
      </c>
      <c r="T86" s="50" t="str">
        <f t="shared" si="37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11:23:23-700',mode:absolute,to:'2016-11-27 14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6" s="52" t="str">
        <f t="shared" si="39"/>
        <v>N</v>
      </c>
      <c r="X86" s="177">
        <f t="shared" si="47"/>
        <v>1</v>
      </c>
      <c r="Y86" s="67">
        <f t="shared" si="40"/>
        <v>4.6199999999999998E-2</v>
      </c>
      <c r="Z86" s="67">
        <f t="shared" si="41"/>
        <v>23.330500000000001</v>
      </c>
      <c r="AA86" s="67">
        <f t="shared" si="42"/>
        <v>23.284300000000002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3"/>
        <v>0171-27</v>
      </c>
      <c r="AE86" s="91" t="str">
        <f t="shared" si="44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86" s="88" t="str">
        <f t="shared" si="45"/>
        <v>"C:\Program Files (x86)\AstroGrep\AstroGrep.exe" /spath="%USERPROFILE%\AppData\Local\Temp\OnboardLogs" /stypes="app*4016*20161127*" /stext=" 20:.+((SYSTEM_STATE.+slice.+state.+changed )|(ment ac)|(multiple cpu faults)|(system.+state.+changed )|(\[timeout)|(PRM\|1\|D)|(kpr)|(kdp)|(\|lc)|(penalty))" /e /r /s</v>
      </c>
      <c r="AG86" s="1" t="str">
        <f t="shared" si="46"/>
        <v>EC</v>
      </c>
      <c r="AH86" s="92" t="str">
        <f t="shared" si="48"/>
        <v>"%USERPROFILE%\Documents\GitHub\eaglep3\Utilities\RefineRTDCRunTimes.py" --tripid 171-27 --locoid 4016 --swversion DE.1.0.8.0 --startMP 204:462 --initTime 2016-11-27T12:23:23 --startdatetime 2016-11-27T12:30:24 --delay 3 --endMP 204:233305 --enddatetime 2016-11-27T13:07:15 --enforcementcount 0 &gt;&gt;C:\Users\stu\Documents\GitHub\eaglep3-reporting\EC\2016-11-27-refined-times.txt</v>
      </c>
      <c r="AI86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{"issue":{"subject":"","project_id":79,"tracker_id":40,"status_id":1,"priority_id":2,"assigned_to_id":23,"start_date":"2016-11-27","description":"","custom_fields":[{"id":1,"name":"Subdivision","value":"EC"},{"id":4,"name":"Milepost","value":"23.3305"},{"id":17,"name":"Train ID","value":"171-27"},{"id":16,"name":"Locomotive ID","value":"4016"},{"id":130,"name":"Impact","value":""},{"id":150,"name":"Time of Event (Mountain Time)","value":"13:07:15"},{"id":151,"name":"Denver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512</v>
      </c>
      <c r="B87" s="7">
        <v>4015</v>
      </c>
      <c r="C87" s="22" t="s">
        <v>215</v>
      </c>
      <c r="D87" s="22" t="s">
        <v>291</v>
      </c>
      <c r="E87" s="13">
        <v>42701.552233796298</v>
      </c>
      <c r="F87" s="13">
        <v>42701.560011574074</v>
      </c>
      <c r="G87" s="7">
        <v>2</v>
      </c>
      <c r="H87" s="22" t="s">
        <v>642</v>
      </c>
      <c r="I87" s="13">
        <v>42701.587361111109</v>
      </c>
      <c r="J87" s="7">
        <v>0</v>
      </c>
      <c r="K87" s="109" t="str">
        <f t="shared" si="35"/>
        <v>4015/4016</v>
      </c>
      <c r="L87" s="22" t="str">
        <f>VLOOKUP(A87,'Trips&amp;Operators'!$C$1:$E$10000,3,FALSE)</f>
        <v>DELGADO</v>
      </c>
      <c r="M87" s="6">
        <f t="shared" si="36"/>
        <v>2.7349537034751847E-2</v>
      </c>
      <c r="N87" s="7">
        <f t="shared" si="33"/>
        <v>39.38333333004266</v>
      </c>
      <c r="O87" s="7"/>
      <c r="P87" s="7"/>
      <c r="Q87" s="23"/>
      <c r="R87" s="23"/>
      <c r="S87" s="35">
        <f t="shared" si="34"/>
        <v>1</v>
      </c>
      <c r="T87" s="50" t="str">
        <f t="shared" si="37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12:15:13-700',mode:absolute,to:'2016-11-27 15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7" s="52" t="str">
        <f t="shared" si="39"/>
        <v>N</v>
      </c>
      <c r="X87" s="177">
        <f t="shared" ref="X87:X114" si="50">VALUE(LEFT(AD87,4))-VALUE(LEFT(AD86,4))</f>
        <v>1</v>
      </c>
      <c r="Y87" s="67">
        <f t="shared" si="40"/>
        <v>23.298400000000001</v>
      </c>
      <c r="Z87" s="67">
        <f t="shared" si="41"/>
        <v>1.2999999999999999E-2</v>
      </c>
      <c r="AA87" s="67">
        <f t="shared" si="42"/>
        <v>23.285399999999999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3"/>
        <v>0172-27</v>
      </c>
      <c r="AE87" s="91" t="str">
        <f t="shared" si="44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87" s="88" t="str">
        <f t="shared" si="45"/>
        <v>"C:\Program Files (x86)\AstroGrep\AstroGrep.exe" /spath="%USERPROFILE%\AppData\Local\Temp\OnboardLogs" /stypes="app*4015*20161127*" /stext=" 21:.+((SYSTEM_STATE.+slice.+state.+changed )|(ment ac)|(multiple cpu faults)|(system.+state.+changed )|(\[timeout)|(PRM\|1\|D)|(kpr)|(kdp)|(\|lc)|(penalty))" /e /r /s</v>
      </c>
      <c r="AG87" s="1" t="str">
        <f t="shared" si="46"/>
        <v>EC</v>
      </c>
      <c r="AH87" s="92" t="str">
        <f t="shared" si="48"/>
        <v>"%USERPROFILE%\Documents\GitHub\eaglep3\Utilities\RefineRTDCRunTimes.py" --tripid 172-27 --locoid 4015 --swversion DE.1.0.8.0 --startMP 204:232984 --initTime 2016-11-27T13:15:13 --startdatetime 2016-11-27T13:26:25 --delay 2 --endMP 204:130 --enddatetime 2016-11-27T14:05:48 --enforcementcount 0 &gt;&gt;C:\Users\stu\Documents\GitHub\eaglep3-reporting\EC\2016-11-27-refined-times.txt</v>
      </c>
      <c r="AI87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{"issue":{"subject":"","project_id":79,"tracker_id":40,"status_id":1,"priority_id":2,"assigned_to_id":23,"start_date":"2016-11-27","description":"","custom_fields":[{"id":1,"name":"Subdivision","value":"EC"},{"id":4,"name":"Milepost","value":"0.013"},{"id":17,"name":"Train ID","value":"172-27"},{"id":16,"name":"Locomotive ID","value":"4015"},{"id":130,"name":"Impact","value":""},{"id":150,"name":"Time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507</v>
      </c>
      <c r="B88" s="7">
        <v>4046</v>
      </c>
      <c r="C88" s="22" t="s">
        <v>215</v>
      </c>
      <c r="D88" s="22" t="s">
        <v>392</v>
      </c>
      <c r="E88" s="13">
        <v>42701.526064814818</v>
      </c>
      <c r="F88" s="13">
        <v>42701.531875000001</v>
      </c>
      <c r="G88" s="7">
        <v>1</v>
      </c>
      <c r="H88" s="22" t="s">
        <v>263</v>
      </c>
      <c r="I88" s="13">
        <v>42701.556469907409</v>
      </c>
      <c r="J88" s="7">
        <v>0</v>
      </c>
      <c r="K88" s="109" t="str">
        <f t="shared" si="35"/>
        <v>4045/4046</v>
      </c>
      <c r="L88" s="22" t="str">
        <f>VLOOKUP(A88,'Trips&amp;Operators'!$C$1:$E$10000,3,FALSE)</f>
        <v>STEWART</v>
      </c>
      <c r="M88" s="6">
        <f t="shared" si="36"/>
        <v>2.4594907408754807E-2</v>
      </c>
      <c r="N88" s="7">
        <f t="shared" si="33"/>
        <v>35.416666668606922</v>
      </c>
      <c r="O88" s="7"/>
      <c r="P88" s="7"/>
      <c r="Q88" s="23"/>
      <c r="R88" s="23"/>
      <c r="S88" s="35">
        <f t="shared" si="34"/>
        <v>1</v>
      </c>
      <c r="T88" s="50" t="str">
        <f t="shared" si="37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11:37:32-700',mode:absolute,to:'2016-11-27 14:21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8" s="52" t="str">
        <f t="shared" si="39"/>
        <v>N</v>
      </c>
      <c r="X88" s="177">
        <f t="shared" si="50"/>
        <v>1</v>
      </c>
      <c r="Y88" s="67">
        <f t="shared" si="40"/>
        <v>4.7699999999999999E-2</v>
      </c>
      <c r="Z88" s="67">
        <f t="shared" si="41"/>
        <v>23.330200000000001</v>
      </c>
      <c r="AA88" s="67">
        <f t="shared" si="42"/>
        <v>23.282500000000002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3"/>
        <v>0173-27</v>
      </c>
      <c r="AE88" s="91" t="str">
        <f t="shared" si="44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88" s="88" t="str">
        <f t="shared" si="45"/>
        <v>"C:\Program Files (x86)\AstroGrep\AstroGrep.exe" /spath="%USERPROFILE%\AppData\Local\Temp\OnboardLogs" /stypes="app*4046*20161127*" /stext=" 20:.+((SYSTEM_STATE.+slice.+state.+changed )|(ment ac)|(multiple cpu faults)|(system.+state.+changed )|(\[timeout)|(PRM\|1\|D)|(kpr)|(kdp)|(\|lc)|(penalty))" /e /r /s</v>
      </c>
      <c r="AG88" s="1" t="str">
        <f t="shared" si="46"/>
        <v>EC</v>
      </c>
      <c r="AH88" s="92" t="str">
        <f t="shared" si="48"/>
        <v>"%USERPROFILE%\Documents\GitHub\eaglep3\Utilities\RefineRTDCRunTimes.py" --tripid 173-27 --locoid 4046 --swversion DE.1.0.8.0 --startMP 204:477 --initTime 2016-11-27T12:37:32 --startdatetime 2016-11-27T12:45:54 --delay 1 --endMP 204:233302 --enddatetime 2016-11-27T13:21:19 --enforcementcount 0 &gt;&gt;C:\Users\stu\Documents\GitHub\eaglep3-reporting\EC\2016-11-27-refined-times.txt</v>
      </c>
      <c r="AI88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{"issue":{"subject":"","project_id":79,"tracker_id":40,"status_id":1,"priority_id":2,"assigned_to_id":23,"start_date":"2016-11-27","description":"","custom_fields":[{"id":1,"name":"Subdivision","value":"EC"},{"id":4,"name":"Milepost","value":"23.3302"},{"id":17,"name":"Train ID","value":"173-27"},{"id":16,"name":"Locomotive ID","value":"4046"},{"id":130,"name":"Impact","value":""},{"id":150,"name":"Time of Event (Mountain Time)","value":"13:21:19"},{"id":151,"name":"Denver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514</v>
      </c>
      <c r="B89" s="7">
        <v>4045</v>
      </c>
      <c r="C89" s="22" t="s">
        <v>215</v>
      </c>
      <c r="D89" s="22" t="s">
        <v>648</v>
      </c>
      <c r="E89" s="13">
        <v>42701.566712962966</v>
      </c>
      <c r="F89" s="13">
        <v>42701.570405092592</v>
      </c>
      <c r="G89" s="7">
        <v>1</v>
      </c>
      <c r="H89" s="22" t="s">
        <v>649</v>
      </c>
      <c r="I89" s="13">
        <v>42701.59611111111</v>
      </c>
      <c r="J89" s="7">
        <v>0</v>
      </c>
      <c r="K89" s="109" t="str">
        <f t="shared" si="35"/>
        <v>4045/4046</v>
      </c>
      <c r="L89" s="22" t="str">
        <f>VLOOKUP(A89,'Trips&amp;Operators'!$C$1:$E$10000,3,FALSE)</f>
        <v>STEWART</v>
      </c>
      <c r="M89" s="6">
        <f t="shared" si="36"/>
        <v>2.5706018517666962E-2</v>
      </c>
      <c r="N89" s="7">
        <f t="shared" si="33"/>
        <v>37.016666665440425</v>
      </c>
      <c r="O89" s="7"/>
      <c r="P89" s="7"/>
      <c r="Q89" s="23"/>
      <c r="R89" s="23"/>
      <c r="S89" s="35">
        <f t="shared" si="34"/>
        <v>1</v>
      </c>
      <c r="T89" s="50" t="str">
        <f t="shared" si="37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12:36:04-700',mode:absolute,to:'2016-11-27 15:18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9" s="52" t="str">
        <f t="shared" si="39"/>
        <v>N</v>
      </c>
      <c r="X89" s="177">
        <f t="shared" si="50"/>
        <v>1</v>
      </c>
      <c r="Y89" s="67">
        <f t="shared" si="40"/>
        <v>23.2974</v>
      </c>
      <c r="Z89" s="67">
        <f t="shared" si="41"/>
        <v>1.6299999999999999E-2</v>
      </c>
      <c r="AA89" s="67">
        <f t="shared" si="42"/>
        <v>23.281099999999999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3"/>
        <v>0174-27</v>
      </c>
      <c r="AE89" s="91" t="str">
        <f t="shared" si="44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89" s="88" t="str">
        <f t="shared" si="45"/>
        <v>"C:\Program Files (x86)\AstroGrep\AstroGrep.exe" /spath="%USERPROFILE%\AppData\Local\Temp\OnboardLogs" /stypes="app*4045*20161127*" /stext=" 21:.+((SYSTEM_STATE.+slice.+state.+changed )|(ment ac)|(multiple cpu faults)|(system.+state.+changed )|(\[timeout)|(PRM\|1\|D)|(kpr)|(kdp)|(\|lc)|(penalty))" /e /r /s</v>
      </c>
      <c r="AG89" s="1" t="str">
        <f t="shared" si="46"/>
        <v>EC</v>
      </c>
      <c r="AH89" s="92" t="str">
        <f t="shared" si="48"/>
        <v>"%USERPROFILE%\Documents\GitHub\eaglep3\Utilities\RefineRTDCRunTimes.py" --tripid 174-27 --locoid 4045 --swversion DE.1.0.8.0 --startMP 204:232974 --initTime 2016-11-27T13:36:04 --startdatetime 2016-11-27T13:41:23 --delay 1 --endMP 204:163 --enddatetime 2016-11-27T14:18:24 --enforcementcount 0 &gt;&gt;C:\Users\stu\Documents\GitHub\eaglep3-reporting\EC\2016-11-27-refined-times.txt</v>
      </c>
      <c r="AI89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{"issue":{"subject":"","project_id":79,"tracker_id":40,"status_id":1,"priority_id":2,"assigned_to_id":23,"start_date":"2016-11-27","description":"","custom_fields":[{"id":1,"name":"Subdivision","value":"EC"},{"id":4,"name":"Milepost","value":"0.0163"},{"id":17,"name":"Train ID","value":"174-27"},{"id":16,"name":"Locomotive ID","value":"4045"},{"id":130,"name":"Impact","value":""},{"id":150,"name":"Time of Event (Mountain Time)","value":"14:18:24"},{"id":151,"name":"Denver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509</v>
      </c>
      <c r="B90" s="7">
        <v>4022</v>
      </c>
      <c r="C90" s="22" t="s">
        <v>215</v>
      </c>
      <c r="D90" s="22" t="s">
        <v>262</v>
      </c>
      <c r="E90" s="13">
        <v>42701.535185185188</v>
      </c>
      <c r="F90" s="13">
        <v>42701.542199074072</v>
      </c>
      <c r="G90" s="7">
        <v>2</v>
      </c>
      <c r="H90" s="22" t="s">
        <v>393</v>
      </c>
      <c r="I90" s="13">
        <v>42701.567002314812</v>
      </c>
      <c r="J90" s="7">
        <v>0</v>
      </c>
      <c r="K90" s="109" t="str">
        <f t="shared" si="35"/>
        <v>4021/4022</v>
      </c>
      <c r="L90" s="22" t="str">
        <f>VLOOKUP(A90,'Trips&amp;Operators'!$C$1:$E$10000,3,FALSE)</f>
        <v>BARTLETT</v>
      </c>
      <c r="M90" s="6">
        <f t="shared" si="36"/>
        <v>2.4803240739856847E-2</v>
      </c>
      <c r="N90" s="7">
        <f t="shared" si="33"/>
        <v>35.716666665393859</v>
      </c>
      <c r="O90" s="7"/>
      <c r="P90" s="7"/>
      <c r="Q90" s="23"/>
      <c r="R90" s="23"/>
      <c r="S90" s="35">
        <f t="shared" si="34"/>
        <v>1</v>
      </c>
      <c r="T90" s="50" t="str">
        <f t="shared" si="37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11:50:40-700',mode:absolute,to:'2016-11-27 14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0" s="52" t="str">
        <f t="shared" si="39"/>
        <v>N</v>
      </c>
      <c r="X90" s="177">
        <f t="shared" si="50"/>
        <v>1</v>
      </c>
      <c r="Y90" s="67">
        <f t="shared" si="40"/>
        <v>4.5999999999999999E-2</v>
      </c>
      <c r="Z90" s="67">
        <f t="shared" si="41"/>
        <v>23.328600000000002</v>
      </c>
      <c r="AA90" s="67">
        <f t="shared" si="42"/>
        <v>23.282600000000002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3"/>
        <v>0175-27</v>
      </c>
      <c r="AE90" s="91" t="str">
        <f t="shared" si="44"/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90" s="88" t="str">
        <f t="shared" si="45"/>
        <v>"C:\Program Files (x86)\AstroGrep\AstroGrep.exe" /spath="%USERPROFILE%\AppData\Local\Temp\OnboardLogs" /stypes="app*4022*20161127*" /stext=" 20:.+((SYSTEM_STATE.+slice.+state.+changed )|(ment ac)|(multiple cpu faults)|(system.+state.+changed )|(\[timeout)|(PRM\|1\|D)|(kpr)|(kdp)|(\|lc)|(penalty))" /e /r /s</v>
      </c>
      <c r="AG90" s="1" t="str">
        <f t="shared" si="46"/>
        <v>EC</v>
      </c>
      <c r="AH90" s="92" t="str">
        <f t="shared" si="48"/>
        <v>"%USERPROFILE%\Documents\GitHub\eaglep3\Utilities\RefineRTDCRunTimes.py" --tripid 175-27 --locoid 4022 --swversion DE.1.0.8.0 --startMP 204:460 --initTime 2016-11-27T12:50:40 --startdatetime 2016-11-27T13:00:46 --delay 2 --endMP 204:233286 --enddatetime 2016-11-27T13:36:29 --enforcementcount 0 &gt;&gt;C:\Users\stu\Documents\GitHub\eaglep3-reporting\EC\2016-11-27-refined-times.txt</v>
      </c>
      <c r="AI90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{"issue":{"subject":"","project_id":79,"tracker_id":40,"status_id":1,"priority_id":2,"assigned_to_id":23,"start_date":"2016-11-27","description":"","custom_fields":[{"id":1,"name":"Subdivision","value":"EC"},{"id":4,"name":"Milepost","value":"23.3286"},{"id":17,"name":"Train ID","value":"175-27"},{"id":16,"name":"Locomotive ID","value":"4022"},{"id":130,"name":"Impact","value":""},{"id":150,"name":"Time of Event (Mountain Time)","value":"13:36:29"},{"id":151,"name":"Denver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517</v>
      </c>
      <c r="B91" s="7">
        <v>4021</v>
      </c>
      <c r="C91" s="22" t="s">
        <v>215</v>
      </c>
      <c r="D91" s="22" t="s">
        <v>208</v>
      </c>
      <c r="E91" s="13">
        <v>42701.57608796296</v>
      </c>
      <c r="F91" s="13">
        <v>42701.58079861111</v>
      </c>
      <c r="G91" s="7">
        <v>1</v>
      </c>
      <c r="H91" s="22" t="s">
        <v>269</v>
      </c>
      <c r="I91" s="13">
        <v>42701.60728009259</v>
      </c>
      <c r="J91" s="7">
        <v>0</v>
      </c>
      <c r="K91" s="109" t="str">
        <f t="shared" si="35"/>
        <v>4021/4022</v>
      </c>
      <c r="L91" s="22" t="str">
        <f>VLOOKUP(A91,'Trips&amp;Operators'!$C$1:$E$10000,3,FALSE)</f>
        <v>BARTLETT</v>
      </c>
      <c r="M91" s="6">
        <f t="shared" si="36"/>
        <v>2.6481481480004732E-2</v>
      </c>
      <c r="N91" s="7">
        <f t="shared" si="33"/>
        <v>38.133333331206813</v>
      </c>
      <c r="O91" s="7"/>
      <c r="P91" s="7"/>
      <c r="Q91" s="23"/>
      <c r="R91" s="23"/>
      <c r="S91" s="35">
        <f t="shared" si="34"/>
        <v>1</v>
      </c>
      <c r="T91" s="50" t="str">
        <f t="shared" si="37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12:49:34-700',mode:absolute,to:'2016-11-27 15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1" s="52" t="str">
        <f t="shared" si="39"/>
        <v>N</v>
      </c>
      <c r="X91" s="177">
        <f t="shared" si="50"/>
        <v>1</v>
      </c>
      <c r="Y91" s="67">
        <f t="shared" si="40"/>
        <v>23.297699999999999</v>
      </c>
      <c r="Z91" s="67">
        <f t="shared" si="41"/>
        <v>1.67E-2</v>
      </c>
      <c r="AA91" s="67">
        <f t="shared" si="42"/>
        <v>23.280999999999999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3"/>
        <v>0176-27</v>
      </c>
      <c r="AE91" s="91" t="str">
        <f t="shared" si="44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91" s="88" t="str">
        <f t="shared" si="45"/>
        <v>"C:\Program Files (x86)\AstroGrep\AstroGrep.exe" /spath="%USERPROFILE%\AppData\Local\Temp\OnboardLogs" /stypes="app*4021*20161127*" /stext=" 21:.+((SYSTEM_STATE.+slice.+state.+changed )|(ment ac)|(multiple cpu faults)|(system.+state.+changed )|(\[timeout)|(PRM\|1\|D)|(kpr)|(kdp)|(\|lc)|(penalty))" /e /r /s</v>
      </c>
      <c r="AG91" s="1" t="str">
        <f t="shared" si="46"/>
        <v>EC</v>
      </c>
      <c r="AH91" s="92" t="str">
        <f t="shared" si="48"/>
        <v>"%USERPROFILE%\Documents\GitHub\eaglep3\Utilities\RefineRTDCRunTimes.py" --tripid 176-27 --locoid 4021 --swversion DE.1.0.8.0 --startMP 204:232977 --initTime 2016-11-27T13:49:34 --startdatetime 2016-11-27T13:56:21 --delay 1 --endMP 204:167 --enddatetime 2016-11-27T14:34:29 --enforcementcount 0 &gt;&gt;C:\Users\stu\Documents\GitHub\eaglep3-reporting\EC\2016-11-27-refined-times.txt</v>
      </c>
      <c r="AI91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{"issue":{"subject":"","project_id":79,"tracker_id":40,"status_id":1,"priority_id":2,"assigned_to_id":23,"start_date":"2016-11-27","description":"","custom_fields":[{"id":1,"name":"Subdivision","value":"EC"},{"id":4,"name":"Milepost","value":"0.0167"},{"id":17,"name":"Train ID","value":"176-27"},{"id":16,"name":"Locomotive ID","value":"4021"},{"id":130,"name":"Impact","value":""},{"id":150,"name":"Time of Event (Mountain Time)","value":"14:34:29"},{"id":151,"name":"Denver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511</v>
      </c>
      <c r="B92" s="7">
        <v>4011</v>
      </c>
      <c r="C92" s="22" t="s">
        <v>215</v>
      </c>
      <c r="D92" s="22" t="s">
        <v>196</v>
      </c>
      <c r="E92" s="13">
        <v>42701.546469907407</v>
      </c>
      <c r="F92" s="13">
        <v>42701.552268518521</v>
      </c>
      <c r="G92" s="7">
        <v>1</v>
      </c>
      <c r="H92" s="22" t="s">
        <v>274</v>
      </c>
      <c r="I92" s="13">
        <v>42701.576539351852</v>
      </c>
      <c r="J92" s="7">
        <v>0</v>
      </c>
      <c r="K92" s="109" t="str">
        <f t="shared" si="35"/>
        <v>4011/4012</v>
      </c>
      <c r="L92" s="22" t="str">
        <f>VLOOKUP(A92,'Trips&amp;Operators'!$C$1:$E$10000,3,FALSE)</f>
        <v>BRUDER</v>
      </c>
      <c r="M92" s="6">
        <f t="shared" si="36"/>
        <v>2.4270833331684116E-2</v>
      </c>
      <c r="N92" s="7">
        <f t="shared" si="33"/>
        <v>34.949999997625127</v>
      </c>
      <c r="O92" s="7"/>
      <c r="P92" s="7"/>
      <c r="Q92" s="23"/>
      <c r="R92" s="23"/>
      <c r="S92" s="35">
        <f t="shared" si="34"/>
        <v>1</v>
      </c>
      <c r="T92" s="50" t="str">
        <f t="shared" si="37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12:06:55-700',mode:absolute,to:'2016-11-27 14:50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2" s="52" t="str">
        <f t="shared" si="39"/>
        <v>N</v>
      </c>
      <c r="X92" s="177">
        <f t="shared" si="50"/>
        <v>1</v>
      </c>
      <c r="Y92" s="67">
        <f t="shared" si="40"/>
        <v>4.4699999999999997E-2</v>
      </c>
      <c r="Z92" s="67">
        <f t="shared" si="41"/>
        <v>23.3306</v>
      </c>
      <c r="AA92" s="67">
        <f t="shared" si="42"/>
        <v>23.285900000000002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3"/>
        <v>0177-27</v>
      </c>
      <c r="AE92" s="91" t="str">
        <f t="shared" si="44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92" s="88" t="str">
        <f t="shared" si="45"/>
        <v>"C:\Program Files (x86)\AstroGrep\AstroGrep.exe" /spath="%USERPROFILE%\AppData\Local\Temp\OnboardLogs" /stypes="app*4011*20161127*" /stext=" 20:.+((SYSTEM_STATE.+slice.+state.+changed )|(ment ac)|(multiple cpu faults)|(system.+state.+changed )|(\[timeout)|(PRM\|1\|D)|(kpr)|(kdp)|(\|lc)|(penalty))" /e /r /s</v>
      </c>
      <c r="AG92" s="1" t="str">
        <f t="shared" si="46"/>
        <v>EC</v>
      </c>
      <c r="AH92" s="92" t="str">
        <f t="shared" si="48"/>
        <v>"%USERPROFILE%\Documents\GitHub\eaglep3\Utilities\RefineRTDCRunTimes.py" --tripid 177-27 --locoid 4011 --swversion DE.1.0.8.0 --startMP 204:447 --initTime 2016-11-27T13:06:55 --startdatetime 2016-11-27T13:15:16 --delay 1 --endMP 204:233306 --enddatetime 2016-11-27T13:50:13 --enforcementcount 0 &gt;&gt;C:\Users\stu\Documents\GitHub\eaglep3-reporting\EC\2016-11-27-refined-times.txt</v>
      </c>
      <c r="AI92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{"issue":{"subject":"","project_id":79,"tracker_id":40,"status_id":1,"priority_id":2,"assigned_to_id":23,"start_date":"2016-11-27","description":"","custom_fields":[{"id":1,"name":"Subdivision","value":"EC"},{"id":4,"name":"Milepost","value":"23.3306"},{"id":17,"name":"Train ID","value":"177-27"},{"id":16,"name":"Locomotive ID","value":"4011"},{"id":130,"name":"Impact","value":""},{"id":150,"name":"Time of Event (Mountain Time)","value":"13:50:13"},{"id":151,"name":"Denver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519</v>
      </c>
      <c r="B93" s="7">
        <v>4012</v>
      </c>
      <c r="C93" s="22" t="s">
        <v>215</v>
      </c>
      <c r="D93" s="22" t="s">
        <v>650</v>
      </c>
      <c r="E93" s="13">
        <v>42701.584803240738</v>
      </c>
      <c r="F93" s="13">
        <v>42701.591273148151</v>
      </c>
      <c r="G93" s="7">
        <v>1</v>
      </c>
      <c r="H93" s="22" t="s">
        <v>378</v>
      </c>
      <c r="I93" s="13">
        <v>42701.616979166669</v>
      </c>
      <c r="J93" s="7">
        <v>0</v>
      </c>
      <c r="K93" s="109" t="str">
        <f t="shared" si="35"/>
        <v>4011/4012</v>
      </c>
      <c r="L93" s="22" t="str">
        <f>VLOOKUP(A93,'Trips&amp;Operators'!$C$1:$E$10000,3,FALSE)</f>
        <v>BRUDER</v>
      </c>
      <c r="M93" s="6">
        <f t="shared" si="36"/>
        <v>2.5706018517666962E-2</v>
      </c>
      <c r="N93" s="7">
        <f t="shared" si="33"/>
        <v>37.016666665440425</v>
      </c>
      <c r="O93" s="7"/>
      <c r="P93" s="7"/>
      <c r="Q93" s="23"/>
      <c r="R93" s="23"/>
      <c r="S93" s="35">
        <f t="shared" si="34"/>
        <v>1</v>
      </c>
      <c r="T93" s="50" t="str">
        <f t="shared" si="37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13:02:07-700',mode:absolute,to:'2016-11-27 15:48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3" s="52" t="str">
        <f t="shared" si="39"/>
        <v>N</v>
      </c>
      <c r="X93" s="177">
        <f t="shared" si="50"/>
        <v>1</v>
      </c>
      <c r="Y93" s="67">
        <f t="shared" si="40"/>
        <v>23.3002</v>
      </c>
      <c r="Z93" s="67">
        <f t="shared" si="41"/>
        <v>1.6E-2</v>
      </c>
      <c r="AA93" s="67">
        <f t="shared" si="42"/>
        <v>23.284200000000002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3"/>
        <v>0178-27</v>
      </c>
      <c r="AE93" s="91" t="str">
        <f t="shared" si="44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93" s="88" t="str">
        <f t="shared" si="45"/>
        <v>"C:\Program Files (x86)\AstroGrep\AstroGrep.exe" /spath="%USERPROFILE%\AppData\Local\Temp\OnboardLogs" /stypes="app*4012*20161127*" /stext=" 21:.+((SYSTEM_STATE.+slice.+state.+changed )|(ment ac)|(multiple cpu faults)|(system.+state.+changed )|(\[timeout)|(PRM\|1\|D)|(kpr)|(kdp)|(\|lc)|(penalty))" /e /r /s</v>
      </c>
      <c r="AG93" s="1" t="str">
        <f t="shared" si="46"/>
        <v>EC</v>
      </c>
      <c r="AH93" s="92" t="str">
        <f t="shared" si="48"/>
        <v>"%USERPROFILE%\Documents\GitHub\eaglep3\Utilities\RefineRTDCRunTimes.py" --tripid 178-27 --locoid 4012 --swversion DE.1.0.8.0 --startMP 204:233002 --initTime 2016-11-27T14:02:07 --startdatetime 2016-11-27T14:11:26 --delay 1 --endMP 204:160 --enddatetime 2016-11-27T14:48:27 --enforcementcount 0 &gt;&gt;C:\Users\stu\Documents\GitHub\eaglep3-reporting\EC\2016-11-27-refined-times.txt</v>
      </c>
      <c r="AI93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{"issue":{"subject":"","project_id":79,"tracker_id":40,"status_id":1,"priority_id":2,"assigned_to_id":23,"start_date":"2016-11-27","description":"","custom_fields":[{"id":1,"name":"Subdivision","value":"EC"},{"id":4,"name":"Milepost","value":"0.016"},{"id":17,"name":"Train ID","value":"178-27"},{"id":16,"name":"Locomotive ID","value":"4012"},{"id":130,"name":"Impact","value":""},{"id":150,"name":"Time of Event (Mountain Time)","value":"14:48:27"},{"id":151,"name":"Denver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513</v>
      </c>
      <c r="B94" s="7">
        <v>4038</v>
      </c>
      <c r="C94" s="22" t="s">
        <v>215</v>
      </c>
      <c r="D94" s="22" t="s">
        <v>342</v>
      </c>
      <c r="E94" s="13">
        <v>42701.558136574073</v>
      </c>
      <c r="F94" s="13">
        <v>42701.5627662037</v>
      </c>
      <c r="G94" s="7">
        <v>1</v>
      </c>
      <c r="H94" s="22" t="s">
        <v>198</v>
      </c>
      <c r="I94" s="13">
        <v>42701.587256944447</v>
      </c>
      <c r="J94" s="7">
        <v>0</v>
      </c>
      <c r="K94" s="109" t="str">
        <f t="shared" si="35"/>
        <v>4037/4038</v>
      </c>
      <c r="L94" s="22" t="str">
        <f>VLOOKUP(A94,'Trips&amp;Operators'!$C$1:$E$10000,3,FALSE)</f>
        <v>MOSES</v>
      </c>
      <c r="M94" s="6">
        <f t="shared" si="36"/>
        <v>2.4490740746841766E-2</v>
      </c>
      <c r="N94" s="7">
        <f t="shared" si="33"/>
        <v>35.266666675452143</v>
      </c>
      <c r="O94" s="7"/>
      <c r="P94" s="7"/>
      <c r="Q94" s="23"/>
      <c r="R94" s="23"/>
      <c r="S94" s="35">
        <f t="shared" si="34"/>
        <v>1</v>
      </c>
      <c r="T94" s="50" t="str">
        <f t="shared" si="37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12:23:43-700',mode:absolute,to:'2016-11-27 15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4" s="52" t="str">
        <f t="shared" si="39"/>
        <v>N</v>
      </c>
      <c r="X94" s="177">
        <f t="shared" si="50"/>
        <v>1</v>
      </c>
      <c r="Y94" s="67">
        <f t="shared" si="40"/>
        <v>4.7300000000000002E-2</v>
      </c>
      <c r="Z94" s="67">
        <f t="shared" si="41"/>
        <v>23.329499999999999</v>
      </c>
      <c r="AA94" s="67">
        <f t="shared" si="42"/>
        <v>23.2822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3"/>
        <v>0179-27</v>
      </c>
      <c r="AE94" s="91" t="str">
        <f t="shared" si="44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94" s="88" t="str">
        <f t="shared" si="45"/>
        <v>"C:\Program Files (x86)\AstroGrep\AstroGrep.exe" /spath="%USERPROFILE%\AppData\Local\Temp\OnboardLogs" /stypes="app*4038*20161127*" /stext=" 21:.+((SYSTEM_STATE.+slice.+state.+changed )|(ment ac)|(multiple cpu faults)|(system.+state.+changed )|(\[timeout)|(PRM\|1\|D)|(kpr)|(kdp)|(\|lc)|(penalty))" /e /r /s</v>
      </c>
      <c r="AG94" s="1" t="str">
        <f t="shared" si="46"/>
        <v>EC</v>
      </c>
      <c r="AH94" s="92" t="str">
        <f t="shared" si="48"/>
        <v>"%USERPROFILE%\Documents\GitHub\eaglep3\Utilities\RefineRTDCRunTimes.py" --tripid 179-27 --locoid 4038 --swversion DE.1.0.8.0 --startMP 204:473 --initTime 2016-11-27T13:23:43 --startdatetime 2016-11-27T13:30:23 --delay 1 --endMP 204:233295 --enddatetime 2016-11-27T14:05:39 --enforcementcount 0 &gt;&gt;C:\Users\stu\Documents\GitHub\eaglep3-reporting\EC\2016-11-27-refined-times.txt</v>
      </c>
      <c r="AI94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{"issue":{"subject":"","project_id":79,"tracker_id":40,"status_id":1,"priority_id":2,"assigned_to_id":23,"start_date":"2016-11-27","description":"","custom_fields":[{"id":1,"name":"Subdivision","value":"EC"},{"id":4,"name":"Milepost","value":"23.3295"},{"id":17,"name":"Train ID","value":"179-27"},{"id":16,"name":"Locomotive ID","value":"4038"},{"id":130,"name":"Impact","value":""},{"id":150,"name":"Time of Event (Mountain Time)","value":"14:05:39"},{"id":151,"name":"Denver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523</v>
      </c>
      <c r="B95" s="7">
        <v>4037</v>
      </c>
      <c r="C95" s="22" t="s">
        <v>215</v>
      </c>
      <c r="D95" s="22" t="s">
        <v>297</v>
      </c>
      <c r="E95" s="13">
        <v>42701.599062499998</v>
      </c>
      <c r="F95" s="13">
        <v>42701.601840277777</v>
      </c>
      <c r="G95" s="7">
        <v>1</v>
      </c>
      <c r="H95" s="22" t="s">
        <v>237</v>
      </c>
      <c r="I95" s="13">
        <v>42701.628564814811</v>
      </c>
      <c r="J95" s="7">
        <v>0</v>
      </c>
      <c r="K95" s="109" t="str">
        <f t="shared" si="35"/>
        <v>4037/4038</v>
      </c>
      <c r="L95" s="22" t="str">
        <f>VLOOKUP(A95,'Trips&amp;Operators'!$C$1:$E$10000,3,FALSE)</f>
        <v>MOSES</v>
      </c>
      <c r="M95" s="6">
        <f t="shared" si="36"/>
        <v>2.6724537034169771E-2</v>
      </c>
      <c r="N95" s="7">
        <f t="shared" si="33"/>
        <v>38.48333332920447</v>
      </c>
      <c r="O95" s="7"/>
      <c r="P95" s="7"/>
      <c r="Q95" s="23"/>
      <c r="R95" s="23"/>
      <c r="S95" s="35">
        <f t="shared" si="34"/>
        <v>1</v>
      </c>
      <c r="T95" s="50" t="str">
        <f t="shared" si="37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13:22:39-700',mode:absolute,to:'2016-11-27 16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5" s="52" t="str">
        <f t="shared" si="39"/>
        <v>N</v>
      </c>
      <c r="X95" s="177">
        <f t="shared" si="50"/>
        <v>1</v>
      </c>
      <c r="Y95" s="67">
        <f t="shared" si="40"/>
        <v>23.297999999999998</v>
      </c>
      <c r="Z95" s="67">
        <f t="shared" si="41"/>
        <v>1.54E-2</v>
      </c>
      <c r="AA95" s="67">
        <f t="shared" si="42"/>
        <v>23.282599999999999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3"/>
        <v>0180-27</v>
      </c>
      <c r="AE95" s="91" t="str">
        <f t="shared" si="44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95" s="88" t="str">
        <f t="shared" si="45"/>
        <v>"C:\Program Files (x86)\AstroGrep\AstroGrep.exe" /spath="%USERPROFILE%\AppData\Local\Temp\OnboardLogs" /stypes="app*4037*20161127*" /stext=" 22:.+((SYSTEM_STATE.+slice.+state.+changed )|(ment ac)|(multiple cpu faults)|(system.+state.+changed )|(\[timeout)|(PRM\|1\|D)|(kpr)|(kdp)|(\|lc)|(penalty))" /e /r /s</v>
      </c>
      <c r="AG95" s="1" t="str">
        <f t="shared" si="46"/>
        <v>EC</v>
      </c>
      <c r="AH95" s="92" t="str">
        <f t="shared" si="48"/>
        <v>"%USERPROFILE%\Documents\GitHub\eaglep3\Utilities\RefineRTDCRunTimes.py" --tripid 180-27 --locoid 4037 --swversion DE.1.0.8.0 --startMP 204:232980 --initTime 2016-11-27T14:22:39 --startdatetime 2016-11-27T14:26:39 --delay 1 --endMP 204:154 --enddatetime 2016-11-27T15:05:08 --enforcementcount 0 &gt;&gt;C:\Users\stu\Documents\GitHub\eaglep3-reporting\EC\2016-11-27-refined-times.txt</v>
      </c>
      <c r="AI95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{"issue":{"subject":"","project_id":79,"tracker_id":40,"status_id":1,"priority_id":2,"assigned_to_id":23,"start_date":"2016-11-27","description":"","custom_fields":[{"id":1,"name":"Subdivision","value":"EC"},{"id":4,"name":"Milepost","value":"0.0154"},{"id":17,"name":"Train ID","value":"180-27"},{"id":16,"name":"Locomotive ID","value":"4037"},{"id":130,"name":"Impact","value":""},{"id":150,"name":"Time of Event (Mountain Time)","value":"15:05:08"},{"id":151,"name":"Denver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516</v>
      </c>
      <c r="B96" s="7">
        <v>4002</v>
      </c>
      <c r="C96" s="22" t="s">
        <v>215</v>
      </c>
      <c r="D96" s="22" t="s">
        <v>668</v>
      </c>
      <c r="E96" s="13">
        <v>42701.569432870368</v>
      </c>
      <c r="F96" s="13">
        <v>42701.573287037034</v>
      </c>
      <c r="G96" s="7">
        <v>2</v>
      </c>
      <c r="H96" s="22" t="s">
        <v>300</v>
      </c>
      <c r="I96" s="13">
        <v>42701.599282407406</v>
      </c>
      <c r="J96" s="7">
        <v>0</v>
      </c>
      <c r="K96" s="109" t="str">
        <f t="shared" si="35"/>
        <v>4001/4002</v>
      </c>
      <c r="L96" s="22" t="str">
        <f>VLOOKUP(A96,'Trips&amp;Operators'!$C$1:$E$10000,3,FALSE)</f>
        <v>YOUNG</v>
      </c>
      <c r="M96" s="6">
        <f t="shared" si="36"/>
        <v>2.5995370371674653E-2</v>
      </c>
      <c r="N96" s="7">
        <f t="shared" si="33"/>
        <v>37.433333335211501</v>
      </c>
      <c r="O96" s="7"/>
      <c r="P96" s="7"/>
      <c r="Q96" s="23"/>
      <c r="R96" s="23"/>
      <c r="S96" s="35">
        <f t="shared" si="34"/>
        <v>1</v>
      </c>
      <c r="T96" s="50" t="str">
        <f t="shared" si="37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12:39:59-700',mode:absolute,to:'2016-11-27 15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6" s="52" t="str">
        <f t="shared" si="39"/>
        <v>N</v>
      </c>
      <c r="X96" s="177">
        <f t="shared" si="50"/>
        <v>1</v>
      </c>
      <c r="Y96" s="67">
        <f t="shared" si="40"/>
        <v>4.9799999999999997E-2</v>
      </c>
      <c r="Z96" s="67">
        <f t="shared" si="41"/>
        <v>23.329799999999999</v>
      </c>
      <c r="AA96" s="67">
        <f t="shared" si="42"/>
        <v>23.279999999999998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3"/>
        <v>0181-27</v>
      </c>
      <c r="AE96" s="91" t="str">
        <f t="shared" si="44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96" s="88" t="str">
        <f t="shared" si="45"/>
        <v>"C:\Program Files (x86)\AstroGrep\AstroGrep.exe" /spath="%USERPROFILE%\AppData\Local\Temp\OnboardLogs" /stypes="app*4002*20161127*" /stext=" 21:.+((SYSTEM_STATE.+slice.+state.+changed )|(ment ac)|(multiple cpu faults)|(system.+state.+changed )|(\[timeout)|(PRM\|1\|D)|(kpr)|(kdp)|(\|lc)|(penalty))" /e /r /s</v>
      </c>
      <c r="AG96" s="1" t="str">
        <f t="shared" si="46"/>
        <v>EC</v>
      </c>
      <c r="AH96" s="92" t="str">
        <f t="shared" si="48"/>
        <v>"%USERPROFILE%\Documents\GitHub\eaglep3\Utilities\RefineRTDCRunTimes.py" --tripid 181-27 --locoid 4002 --swversion DE.1.0.8.0 --startMP 204:498 --initTime 2016-11-27T13:39:59 --startdatetime 2016-11-27T13:45:32 --delay 2 --endMP 204:233298 --enddatetime 2016-11-27T14:22:58 --enforcementcount 0 &gt;&gt;C:\Users\stu\Documents\GitHub\eaglep3-reporting\EC\2016-11-27-refined-times.txt</v>
      </c>
      <c r="AI96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{"issue":{"subject":"","project_id":79,"tracker_id":40,"status_id":1,"priority_id":2,"assigned_to_id":23,"start_date":"2016-11-27","description":"","custom_fields":[{"id":1,"name":"Subdivision","value":"EC"},{"id":4,"name":"Milepost","value":"23.3298"},{"id":17,"name":"Train ID","value":"181-27"},{"id":16,"name":"Locomotive ID","value":"4002"},{"id":130,"name":"Impact","value":""},{"id":150,"name":"Time of Event (Mountain Time)","value":"14:22:58"},{"id":151,"name":"Denver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524</v>
      </c>
      <c r="B97" s="7">
        <v>4001</v>
      </c>
      <c r="C97" s="22" t="s">
        <v>215</v>
      </c>
      <c r="D97" s="22" t="s">
        <v>637</v>
      </c>
      <c r="E97" s="13">
        <v>42701.605011574073</v>
      </c>
      <c r="F97" s="13">
        <v>42701.611990740741</v>
      </c>
      <c r="G97" s="7">
        <v>2</v>
      </c>
      <c r="H97" s="22" t="s">
        <v>683</v>
      </c>
      <c r="I97" s="13">
        <v>42701.640046296299</v>
      </c>
      <c r="J97" s="7">
        <v>0</v>
      </c>
      <c r="K97" s="109" t="str">
        <f t="shared" si="35"/>
        <v>4001/4002</v>
      </c>
      <c r="L97" s="22" t="str">
        <f>VLOOKUP(A97,'Trips&amp;Operators'!$C$1:$E$10000,3,FALSE)</f>
        <v>YOUNG</v>
      </c>
      <c r="M97" s="6">
        <f t="shared" si="36"/>
        <v>2.8055555558239575E-2</v>
      </c>
      <c r="N97" s="7">
        <f t="shared" si="33"/>
        <v>40.400000003864989</v>
      </c>
      <c r="O97" s="7"/>
      <c r="P97" s="7"/>
      <c r="Q97" s="23"/>
      <c r="R97" s="23"/>
      <c r="S97" s="35">
        <f t="shared" si="34"/>
        <v>1</v>
      </c>
      <c r="T97" s="50" t="str">
        <f t="shared" si="37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13:31:13-700',mode:absolute,to:'2016-11-27 16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7" s="52" t="str">
        <f t="shared" si="39"/>
        <v>N</v>
      </c>
      <c r="X97" s="177">
        <f t="shared" si="50"/>
        <v>1</v>
      </c>
      <c r="Y97" s="67">
        <f t="shared" si="40"/>
        <v>23.299099999999999</v>
      </c>
      <c r="Z97" s="67">
        <f t="shared" si="41"/>
        <v>2.0899999999999998E-2</v>
      </c>
      <c r="AA97" s="67">
        <f t="shared" si="42"/>
        <v>23.278199999999998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3"/>
        <v>0182-27</v>
      </c>
      <c r="AE97" s="91" t="str">
        <f t="shared" si="44"/>
        <v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v>
      </c>
      <c r="AF97" s="88" t="str">
        <f t="shared" si="45"/>
        <v>"C:\Program Files (x86)\AstroGrep\AstroGrep.exe" /spath="%USERPROFILE%\AppData\Local\Temp\OnboardLogs" /stypes="app*4001*20161127*" /stext=" 22:.+((SYSTEM_STATE.+slice.+state.+changed )|(ment ac)|(multiple cpu faults)|(system.+state.+changed )|(\[timeout)|(PRM\|1\|D)|(kpr)|(kdp)|(\|lc)|(penalty))" /e /r /s</v>
      </c>
      <c r="AG97" s="1" t="str">
        <f t="shared" si="46"/>
        <v>EC</v>
      </c>
      <c r="AH97" s="92" t="str">
        <f t="shared" si="48"/>
        <v>"%USERPROFILE%\Documents\GitHub\eaglep3\Utilities\RefineRTDCRunTimes.py" --tripid 182-27 --locoid 4001 --swversion DE.1.0.8.0 --startMP 204:232991 --initTime 2016-11-27T14:31:13 --startdatetime 2016-11-27T14:41:16 --delay 2 --endMP 204:209 --enddatetime 2016-11-27T15:21:40 --enforcementcount 0 &gt;&gt;C:\Users\stu\Documents\GitHub\eaglep3-reporting\EC\2016-11-27-refined-times.txt</v>
      </c>
      <c r="AI97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{"issue":{"subject":"","project_id":79,"tracker_id":40,"status_id":1,"priority_id":2,"assigned_to_id":23,"start_date":"2016-11-27","description":"","custom_fields":[{"id":1,"name":"Subdivision","value":"EC"},{"id":4,"name":"Milepost","value":"0.0209"},{"id":17,"name":"Train ID","value":"182-27"},{"id":16,"name":"Locomotive ID","value":"4001"},{"id":130,"name":"Impact","value":""},{"id":150,"name":"Time of Event (Mountain Time)","value":"15:21:40"},{"id":151,"name":"Denver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518</v>
      </c>
      <c r="B98" s="7">
        <v>4009</v>
      </c>
      <c r="C98" s="22" t="s">
        <v>215</v>
      </c>
      <c r="D98" s="22" t="s">
        <v>695</v>
      </c>
      <c r="E98" s="13">
        <v>42701.579062500001</v>
      </c>
      <c r="F98" s="13">
        <v>42701.583541666667</v>
      </c>
      <c r="G98" s="7">
        <v>1</v>
      </c>
      <c r="H98" s="22" t="s">
        <v>696</v>
      </c>
      <c r="I98" s="13">
        <v>42701.609236111108</v>
      </c>
      <c r="J98" s="7">
        <v>0</v>
      </c>
      <c r="K98" s="109" t="str">
        <f t="shared" si="35"/>
        <v>4009/4010</v>
      </c>
      <c r="L98" s="22" t="str">
        <f>VLOOKUP(A98,'Trips&amp;Operators'!$C$1:$E$10000,3,FALSE)</f>
        <v>CLARK</v>
      </c>
      <c r="M98" s="6">
        <f t="shared" si="36"/>
        <v>2.569444444088731E-2</v>
      </c>
      <c r="N98" s="7">
        <f t="shared" si="33"/>
        <v>36.999999994877726</v>
      </c>
      <c r="O98" s="7"/>
      <c r="P98" s="7"/>
      <c r="Q98" s="23"/>
      <c r="R98" s="23"/>
      <c r="S98" s="35">
        <f t="shared" si="34"/>
        <v>1</v>
      </c>
      <c r="T98" s="50" t="str">
        <f t="shared" si="37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12:53:51-700',mode:absolute,to:'2016-11-27 15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8" s="52" t="str">
        <f t="shared" si="39"/>
        <v>N</v>
      </c>
      <c r="X98" s="177">
        <f t="shared" si="50"/>
        <v>1</v>
      </c>
      <c r="Y98" s="67">
        <f t="shared" si="40"/>
        <v>4.2200000000000001E-2</v>
      </c>
      <c r="Z98" s="67">
        <f t="shared" si="41"/>
        <v>23.328900000000001</v>
      </c>
      <c r="AA98" s="67">
        <f t="shared" si="42"/>
        <v>23.2867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3"/>
        <v>0183-27</v>
      </c>
      <c r="AE98" s="91" t="str">
        <f t="shared" si="44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98" s="88" t="str">
        <f t="shared" si="45"/>
        <v>"C:\Program Files (x86)\AstroGrep\AstroGrep.exe" /spath="%USERPROFILE%\AppData\Local\Temp\OnboardLogs" /stypes="app*4009*20161127*" /stext=" 21:.+((SYSTEM_STATE.+slice.+state.+changed )|(ment ac)|(multiple cpu faults)|(system.+state.+changed )|(\[timeout)|(PRM\|1\|D)|(kpr)|(kdp)|(\|lc)|(penalty))" /e /r /s</v>
      </c>
      <c r="AG98" s="1" t="str">
        <f t="shared" si="46"/>
        <v>EC</v>
      </c>
      <c r="AH98" s="92" t="str">
        <f t="shared" si="48"/>
        <v>"%USERPROFILE%\Documents\GitHub\eaglep3\Utilities\RefineRTDCRunTimes.py" --tripid 183-27 --locoid 4009 --swversion DE.1.0.8.0 --startMP 204:422 --initTime 2016-11-27T13:53:51 --startdatetime 2016-11-27T14:00:18 --delay 1 --endMP 204:233289 --enddatetime 2016-11-27T14:37:18 --enforcementcount 0 &gt;&gt;C:\Users\stu\Documents\GitHub\eaglep3-reporting\EC\2016-11-27-refined-times.txt</v>
      </c>
      <c r="AI98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{"issue":{"subject":"","project_id":79,"tracker_id":40,"status_id":1,"priority_id":2,"assigned_to_id":23,"start_date":"2016-11-27","description":"","custom_fields":[{"id":1,"name":"Subdivision","value":"EC"},{"id":4,"name":"Milepost","value":"23.3289"},{"id":17,"name":"Train ID","value":"183-27"},{"id":16,"name":"Locomotive ID","value":"4009"},{"id":130,"name":"Impact","value":""},{"id":150,"name":"Time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528</v>
      </c>
      <c r="B99" s="7">
        <v>4010</v>
      </c>
      <c r="C99" s="22" t="s">
        <v>215</v>
      </c>
      <c r="D99" s="22" t="s">
        <v>340</v>
      </c>
      <c r="E99" s="13">
        <v>42701.62</v>
      </c>
      <c r="F99" s="13">
        <v>42701.622384259259</v>
      </c>
      <c r="G99" s="7">
        <v>1</v>
      </c>
      <c r="H99" s="22" t="s">
        <v>261</v>
      </c>
      <c r="I99" s="13">
        <v>42701.650590277779</v>
      </c>
      <c r="J99" s="7">
        <v>0</v>
      </c>
      <c r="K99" s="109" t="str">
        <f t="shared" si="35"/>
        <v>4009/4010</v>
      </c>
      <c r="L99" s="22" t="str">
        <f>VLOOKUP(A99,'Trips&amp;Operators'!$C$1:$E$10000,3,FALSE)</f>
        <v>CLARK</v>
      </c>
      <c r="M99" s="6">
        <f t="shared" si="36"/>
        <v>2.8206018519995268E-2</v>
      </c>
      <c r="N99" s="7">
        <f t="shared" ref="N99:N115" si="51">24*60*SUM($M99:$M99)</f>
        <v>40.616666668793187</v>
      </c>
      <c r="O99" s="7"/>
      <c r="P99" s="7"/>
      <c r="Q99" s="23"/>
      <c r="R99" s="23"/>
      <c r="S99" s="35">
        <f t="shared" ref="S99:S130" si="52">SUM(U99:U99)/IF(AG99="EC",12,1)</f>
        <v>1</v>
      </c>
      <c r="T99" s="50" t="str">
        <f t="shared" si="37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13:52:48-700',mode:absolute,to:'2016-11-27 16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9" s="52" t="str">
        <f t="shared" si="39"/>
        <v>N</v>
      </c>
      <c r="X99" s="177">
        <f t="shared" si="50"/>
        <v>1</v>
      </c>
      <c r="Y99" s="67">
        <f t="shared" si="40"/>
        <v>23.296900000000001</v>
      </c>
      <c r="Z99" s="67">
        <f t="shared" si="41"/>
        <v>1.61E-2</v>
      </c>
      <c r="AA99" s="67">
        <f t="shared" si="42"/>
        <v>23.280799999999999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43"/>
        <v>0184-27</v>
      </c>
      <c r="AE99" s="91" t="str">
        <f t="shared" si="44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99" s="88" t="str">
        <f t="shared" si="45"/>
        <v>"C:\Program Files (x86)\AstroGrep\AstroGrep.exe" /spath="%USERPROFILE%\AppData\Local\Temp\OnboardLogs" /stypes="app*4010*20161127*" /stext=" 22:.+((SYSTEM_STATE.+slice.+state.+changed )|(ment ac)|(multiple cpu faults)|(system.+state.+changed )|(\[timeout)|(PRM\|1\|D)|(kpr)|(kdp)|(\|lc)|(penalty))" /e /r /s</v>
      </c>
      <c r="AG99" s="1" t="str">
        <f t="shared" si="46"/>
        <v>EC</v>
      </c>
      <c r="AH99" s="92" t="str">
        <f t="shared" si="48"/>
        <v>"%USERPROFILE%\Documents\GitHub\eaglep3\Utilities\RefineRTDCRunTimes.py" --tripid 184-27 --locoid 4010 --swversion DE.1.0.8.0 --startMP 204:232969 --initTime 2016-11-27T14:52:48 --startdatetime 2016-11-27T14:56:14 --delay 1 --endMP 204:161 --enddatetime 2016-11-27T15:36:51 --enforcementcount 0 &gt;&gt;C:\Users\stu\Documents\GitHub\eaglep3-reporting\EC\2016-11-27-refined-times.txt</v>
      </c>
      <c r="AI99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{"issue":{"subject":"","project_id":79,"tracker_id":40,"status_id":1,"priority_id":2,"assigned_to_id":23,"start_date":"2016-11-27","description":"","custom_fields":[{"id":1,"name":"Subdivision","value":"EC"},{"id":4,"name":"Milepost","value":"0.0161"},{"id":17,"name":"Train ID","value":"184-27"},{"id":16,"name":"Locomotive ID","value":"4010"},{"id":130,"name":"Impact","value":""},{"id":150,"name":"Time of Event (Mountain Time)","value":"15:36:51"},{"id":151,"name":"Denver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521</v>
      </c>
      <c r="B100" s="7">
        <v>4016</v>
      </c>
      <c r="C100" s="22" t="s">
        <v>215</v>
      </c>
      <c r="D100" s="22" t="s">
        <v>246</v>
      </c>
      <c r="E100" s="13">
        <v>42701.589687500003</v>
      </c>
      <c r="F100" s="13">
        <v>42701.594039351854</v>
      </c>
      <c r="G100" s="7">
        <v>2</v>
      </c>
      <c r="H100" s="22" t="s">
        <v>253</v>
      </c>
      <c r="I100" s="13">
        <v>42701.619652777779</v>
      </c>
      <c r="J100" s="7">
        <v>0</v>
      </c>
      <c r="K100" s="109" t="str">
        <f t="shared" si="35"/>
        <v>4015/4016</v>
      </c>
      <c r="L100" s="22" t="str">
        <f>VLOOKUP(A100,'Trips&amp;Operators'!$C$1:$E$10000,3,FALSE)</f>
        <v>DELGADO</v>
      </c>
      <c r="M100" s="6">
        <f t="shared" si="36"/>
        <v>2.5613425925257616E-2</v>
      </c>
      <c r="N100" s="7">
        <f t="shared" si="51"/>
        <v>36.883333332370967</v>
      </c>
      <c r="O100" s="7"/>
      <c r="P100" s="7"/>
      <c r="Q100" s="23"/>
      <c r="R100" s="23"/>
      <c r="S100" s="35">
        <f t="shared" si="52"/>
        <v>1</v>
      </c>
      <c r="T100" s="50" t="str">
        <f t="shared" si="37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13:09:09-700',mode:absolute,to:'2016-11-27 15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0" s="52" t="str">
        <f t="shared" si="39"/>
        <v>N</v>
      </c>
      <c r="X100" s="177">
        <f t="shared" si="50"/>
        <v>1</v>
      </c>
      <c r="Y100" s="67">
        <f t="shared" si="40"/>
        <v>4.3999999999999997E-2</v>
      </c>
      <c r="Z100" s="67">
        <f t="shared" si="41"/>
        <v>23.331399999999999</v>
      </c>
      <c r="AA100" s="67">
        <f t="shared" si="42"/>
        <v>23.287399999999998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3"/>
        <v>0185-27</v>
      </c>
      <c r="AE100" s="91" t="str">
        <f t="shared" si="44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100" s="88" t="str">
        <f t="shared" si="45"/>
        <v>"C:\Program Files (x86)\AstroGrep\AstroGrep.exe" /spath="%USERPROFILE%\AppData\Local\Temp\OnboardLogs" /stypes="app*4016*20161127*" /stext=" 21:.+((SYSTEM_STATE.+slice.+state.+changed )|(ment ac)|(multiple cpu faults)|(system.+state.+changed )|(\[timeout)|(PRM\|1\|D)|(kpr)|(kdp)|(\|lc)|(penalty))" /e /r /s</v>
      </c>
      <c r="AG100" s="1" t="str">
        <f t="shared" si="46"/>
        <v>EC</v>
      </c>
      <c r="AH100" s="92" t="str">
        <f t="shared" si="48"/>
        <v>"%USERPROFILE%\Documents\GitHub\eaglep3\Utilities\RefineRTDCRunTimes.py" --tripid 185-27 --locoid 4016 --swversion DE.1.0.8.0 --startMP 204:440 --initTime 2016-11-27T14:09:09 --startdatetime 2016-11-27T14:15:25 --delay 2 --endMP 204:233314 --enddatetime 2016-11-27T14:52:18 --enforcementcount 0 &gt;&gt;C:\Users\stu\Documents\GitHub\eaglep3-reporting\EC\2016-11-27-refined-times.txt</v>
      </c>
      <c r="AI100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{"issue":{"subject":"","project_id":79,"tracker_id":40,"status_id":1,"priority_id":2,"assigned_to_id":23,"start_date":"2016-11-27","description":"","custom_fields":[{"id":1,"name":"Subdivision","value":"EC"},{"id":4,"name":"Milepost","value":"23.3314"},{"id":17,"name":"Train ID","value":"185-27"},{"id":16,"name":"Locomotive ID","value":"4016"},{"id":130,"name":"Impact","value":""},{"id":150,"name":"Time of Event (Mountain Time)","value":"14:52:18"},{"id":151,"name":"Denver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529</v>
      </c>
      <c r="B101" s="7">
        <v>4015</v>
      </c>
      <c r="C101" s="22" t="s">
        <v>215</v>
      </c>
      <c r="D101" s="22" t="s">
        <v>377</v>
      </c>
      <c r="E101" s="13">
        <v>42701.621655092589</v>
      </c>
      <c r="F101" s="13">
        <v>42701.632881944446</v>
      </c>
      <c r="G101" s="7">
        <v>1</v>
      </c>
      <c r="H101" s="22" t="s">
        <v>217</v>
      </c>
      <c r="I101" s="13">
        <v>42701.660243055558</v>
      </c>
      <c r="J101" s="7">
        <v>0</v>
      </c>
      <c r="K101" s="109" t="str">
        <f t="shared" si="35"/>
        <v>4015/4016</v>
      </c>
      <c r="L101" s="22" t="str">
        <f>VLOOKUP(A101,'Trips&amp;Operators'!$C$1:$E$10000,3,FALSE)</f>
        <v>DELGADO</v>
      </c>
      <c r="M101" s="6">
        <f t="shared" si="36"/>
        <v>2.73611111115315E-2</v>
      </c>
      <c r="N101" s="7">
        <f t="shared" si="51"/>
        <v>39.40000000060536</v>
      </c>
      <c r="O101" s="7"/>
      <c r="P101" s="7"/>
      <c r="Q101" s="23"/>
      <c r="R101" s="23"/>
      <c r="S101" s="35">
        <f t="shared" si="52"/>
        <v>1</v>
      </c>
      <c r="T101" s="50" t="str">
        <f t="shared" si="37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13:55:11-700',mode:absolute,to:'2016-11-27 16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1" s="52" t="str">
        <f t="shared" si="39"/>
        <v>N</v>
      </c>
      <c r="X101" s="177">
        <f t="shared" si="50"/>
        <v>1</v>
      </c>
      <c r="Y101" s="67">
        <f t="shared" si="40"/>
        <v>23.3004</v>
      </c>
      <c r="Z101" s="67">
        <f t="shared" si="41"/>
        <v>1.5800000000000002E-2</v>
      </c>
      <c r="AA101" s="67">
        <f t="shared" si="42"/>
        <v>23.284600000000001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3"/>
        <v>0186-27</v>
      </c>
      <c r="AE101" s="91" t="str">
        <f t="shared" si="44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101" s="88" t="str">
        <f t="shared" si="45"/>
        <v>"C:\Program Files (x86)\AstroGrep\AstroGrep.exe" /spath="%USERPROFILE%\AppData\Local\Temp\OnboardLogs" /stypes="app*4015*20161127*" /stext=" 22:.+((SYSTEM_STATE.+slice.+state.+changed )|(ment ac)|(multiple cpu faults)|(system.+state.+changed )|(\[timeout)|(PRM\|1\|D)|(kpr)|(kdp)|(\|lc)|(penalty))" /e /r /s</v>
      </c>
      <c r="AG101" s="1" t="str">
        <f t="shared" si="46"/>
        <v>EC</v>
      </c>
      <c r="AH101" s="92" t="str">
        <f t="shared" si="48"/>
        <v>"%USERPROFILE%\Documents\GitHub\eaglep3\Utilities\RefineRTDCRunTimes.py" --tripid 186-27 --locoid 4015 --swversion DE.1.0.8.0 --startMP 204:233004 --initTime 2016-11-27T14:55:11 --startdatetime 2016-11-27T15:11:21 --delay 1 --endMP 204:158 --enddatetime 2016-11-27T15:50:45 --enforcementcount 0 &gt;&gt;C:\Users\stu\Documents\GitHub\eaglep3-reporting\EC\2016-11-27-refined-times.txt</v>
      </c>
      <c r="AI101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{"issue":{"subject":"","project_id":79,"tracker_id":40,"status_id":1,"priority_id":2,"assigned_to_id":23,"start_date":"2016-11-27","description":"","custom_fields":[{"id":1,"name":"Subdivision","value":"EC"},{"id":4,"name":"Milepost","value":"0.0158"},{"id":17,"name":"Train ID","value":"186-27"},{"id":16,"name":"Locomotive ID","value":"4015"},{"id":130,"name":"Impact","value":""},{"id":150,"name":"Time of Event (Mountain Time)","value":"15:50:45"},{"id":151,"name":"Denver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522</v>
      </c>
      <c r="B102" s="7">
        <v>4046</v>
      </c>
      <c r="C102" s="22" t="s">
        <v>215</v>
      </c>
      <c r="D102" s="22" t="s">
        <v>266</v>
      </c>
      <c r="E102" s="13">
        <v>42701.598680555559</v>
      </c>
      <c r="F102" s="13">
        <v>42701.604375000003</v>
      </c>
      <c r="G102" s="7">
        <v>1</v>
      </c>
      <c r="H102" s="22" t="s">
        <v>391</v>
      </c>
      <c r="I102" s="13">
        <v>42701.628703703704</v>
      </c>
      <c r="J102" s="7">
        <v>0</v>
      </c>
      <c r="K102" s="109" t="str">
        <f t="shared" si="35"/>
        <v>4045/4046</v>
      </c>
      <c r="L102" s="22" t="str">
        <f>VLOOKUP(A102,'Trips&amp;Operators'!$C$1:$E$10000,3,FALSE)</f>
        <v>STEWART</v>
      </c>
      <c r="M102" s="6">
        <f t="shared" si="36"/>
        <v>2.4328703701030463E-2</v>
      </c>
      <c r="N102" s="7">
        <f t="shared" si="51"/>
        <v>35.033333329483867</v>
      </c>
      <c r="O102" s="7"/>
      <c r="P102" s="7"/>
      <c r="Q102" s="23"/>
      <c r="R102" s="23"/>
      <c r="S102" s="35">
        <f t="shared" si="52"/>
        <v>1</v>
      </c>
      <c r="T102" s="50" t="str">
        <f t="shared" si="37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13:22:06-700',mode:absolute,to:'2016-11-27 16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2" s="52" t="str">
        <f t="shared" si="39"/>
        <v>N</v>
      </c>
      <c r="X102" s="177">
        <f t="shared" si="50"/>
        <v>1</v>
      </c>
      <c r="Y102" s="67">
        <f t="shared" si="40"/>
        <v>4.7100000000000003E-2</v>
      </c>
      <c r="Z102" s="67">
        <f t="shared" si="41"/>
        <v>23.331800000000001</v>
      </c>
      <c r="AA102" s="67">
        <f t="shared" si="42"/>
        <v>23.284700000000001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3"/>
        <v>0187-27</v>
      </c>
      <c r="AE102" s="91" t="str">
        <f t="shared" si="44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102" s="88" t="str">
        <f t="shared" si="45"/>
        <v>"C:\Program Files (x86)\AstroGrep\AstroGrep.exe" /spath="%USERPROFILE%\AppData\Local\Temp\OnboardLogs" /stypes="app*4046*20161127*" /stext=" 22:.+((SYSTEM_STATE.+slice.+state.+changed )|(ment ac)|(multiple cpu faults)|(system.+state.+changed )|(\[timeout)|(PRM\|1\|D)|(kpr)|(kdp)|(\|lc)|(penalty))" /e /r /s</v>
      </c>
      <c r="AG102" s="1" t="str">
        <f t="shared" si="46"/>
        <v>EC</v>
      </c>
      <c r="AH102" s="92" t="str">
        <f t="shared" si="48"/>
        <v>"%USERPROFILE%\Documents\GitHub\eaglep3\Utilities\RefineRTDCRunTimes.py" --tripid 187-27 --locoid 4046 --swversion DE.1.0.8.0 --startMP 204:471 --initTime 2016-11-27T14:22:06 --startdatetime 2016-11-27T14:30:18 --delay 1 --endMP 204:233318 --enddatetime 2016-11-27T15:05:20 --enforcementcount 0 &gt;&gt;C:\Users\stu\Documents\GitHub\eaglep3-reporting\EC\2016-11-27-refined-times.txt</v>
      </c>
      <c r="AI102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{"issue":{"subject":"","project_id":79,"tracker_id":40,"status_id":1,"priority_id":2,"assigned_to_id":23,"start_date":"2016-11-27","description":"","custom_fields":[{"id":1,"name":"Subdivision","value":"EC"},{"id":4,"name":"Milepost","value":"23.3318"},{"id":17,"name":"Train ID","value":"187-27"},{"id":16,"name":"Locomotive ID","value":"4046"},{"id":130,"name":"Impact","value":""},{"id":150,"name":"Time of Event (Mountain Time)","value":"15:05:20"},{"id":151,"name":"Denver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532</v>
      </c>
      <c r="B103" s="7">
        <v>4045</v>
      </c>
      <c r="C103" s="22" t="s">
        <v>215</v>
      </c>
      <c r="D103" s="22" t="s">
        <v>332</v>
      </c>
      <c r="E103" s="13">
        <v>42701.640046296299</v>
      </c>
      <c r="F103" s="13">
        <v>42701.643275462964</v>
      </c>
      <c r="G103" s="7">
        <v>1</v>
      </c>
      <c r="H103" s="22" t="s">
        <v>379</v>
      </c>
      <c r="I103" s="13">
        <v>42701.66946759259</v>
      </c>
      <c r="J103" s="7">
        <v>0</v>
      </c>
      <c r="K103" s="109" t="str">
        <f t="shared" si="35"/>
        <v>4045/4046</v>
      </c>
      <c r="L103" s="22" t="str">
        <f>VLOOKUP(A103,'Trips&amp;Operators'!$C$1:$E$10000,3,FALSE)</f>
        <v>STEWART</v>
      </c>
      <c r="M103" s="6">
        <f t="shared" si="36"/>
        <v>2.619212962599704E-2</v>
      </c>
      <c r="N103" s="7">
        <f t="shared" si="51"/>
        <v>37.716666661435738</v>
      </c>
      <c r="O103" s="7"/>
      <c r="P103" s="7"/>
      <c r="Q103" s="23"/>
      <c r="R103" s="23"/>
      <c r="S103" s="35">
        <f t="shared" si="52"/>
        <v>1</v>
      </c>
      <c r="T103" s="50" t="str">
        <f t="shared" si="37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14:21:40-700',mode:absolute,to:'2016-11-27 17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3" s="52" t="str">
        <f t="shared" si="39"/>
        <v>N</v>
      </c>
      <c r="X103" s="177">
        <f t="shared" si="50"/>
        <v>1</v>
      </c>
      <c r="Y103" s="67">
        <f t="shared" si="40"/>
        <v>23.296700000000001</v>
      </c>
      <c r="Z103" s="67">
        <f t="shared" si="41"/>
        <v>1.7000000000000001E-2</v>
      </c>
      <c r="AA103" s="67">
        <f t="shared" si="42"/>
        <v>23.279700000000002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3"/>
        <v>0188-27</v>
      </c>
      <c r="AE103" s="91" t="str">
        <f t="shared" si="44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103" s="88" t="str">
        <f t="shared" si="45"/>
        <v>"C:\Program Files (x86)\AstroGrep\AstroGrep.exe" /spath="%USERPROFILE%\AppData\Local\Temp\OnboardLogs" /stypes="app*4045*20161127*" /stext=" 23:.+((SYSTEM_STATE.+slice.+state.+changed )|(ment ac)|(multiple cpu faults)|(system.+state.+changed )|(\[timeout)|(PRM\|1\|D)|(kpr)|(kdp)|(\|lc)|(penalty))" /e /r /s</v>
      </c>
      <c r="AG103" s="1" t="str">
        <f t="shared" si="46"/>
        <v>EC</v>
      </c>
      <c r="AH103" s="92" t="str">
        <f t="shared" si="48"/>
        <v>"%USERPROFILE%\Documents\GitHub\eaglep3\Utilities\RefineRTDCRunTimes.py" --tripid 188-27 --locoid 4045 --swversion DE.1.0.8.0 --startMP 204:232967 --initTime 2016-11-27T15:21:40 --startdatetime 2016-11-27T15:26:19 --delay 1 --endMP 204:170 --enddatetime 2016-11-27T16:04:02 --enforcementcount 0 &gt;&gt;C:\Users\stu\Documents\GitHub\eaglep3-reporting\EC\2016-11-27-refined-times.txt</v>
      </c>
      <c r="AI103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{"issue":{"subject":"","project_id":79,"tracker_id":40,"status_id":1,"priority_id":2,"assigned_to_id":23,"start_date":"2016-11-27","description":"","custom_fields":[{"id":1,"name":"Subdivision","value":"EC"},{"id":4,"name":"Milepost","value":"0.017"},{"id":17,"name":"Train ID","value":"188-27"},{"id":16,"name":"Locomotive ID","value":"4045"},{"id":130,"name":"Impact","value":""},{"id":150,"name":"Time of Event (Mountain Time)","value":"16:04:02"},{"id":151,"name":"Denver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526</v>
      </c>
      <c r="B104" s="7">
        <v>4022</v>
      </c>
      <c r="C104" s="22" t="s">
        <v>215</v>
      </c>
      <c r="D104" s="22" t="s">
        <v>275</v>
      </c>
      <c r="E104" s="13">
        <v>42701.610474537039</v>
      </c>
      <c r="F104" s="13">
        <v>42701.614791666667</v>
      </c>
      <c r="G104" s="7">
        <v>2</v>
      </c>
      <c r="H104" s="22" t="s">
        <v>294</v>
      </c>
      <c r="I104" s="13">
        <v>42701.639837962961</v>
      </c>
      <c r="J104" s="7">
        <v>0</v>
      </c>
      <c r="K104" s="109" t="str">
        <f t="shared" si="35"/>
        <v>4021/4022</v>
      </c>
      <c r="L104" s="22" t="str">
        <f>VLOOKUP(A104,'Trips&amp;Operators'!$C$1:$E$10000,3,FALSE)</f>
        <v>BARTLETT</v>
      </c>
      <c r="M104" s="6">
        <f t="shared" si="36"/>
        <v>2.5046296294021886E-2</v>
      </c>
      <c r="N104" s="7">
        <f t="shared" si="51"/>
        <v>36.066666663391516</v>
      </c>
      <c r="O104" s="7"/>
      <c r="P104" s="7"/>
      <c r="Q104" s="23"/>
      <c r="R104" s="23"/>
      <c r="S104" s="35">
        <f t="shared" si="52"/>
        <v>1</v>
      </c>
      <c r="T104" s="50" t="str">
        <f t="shared" si="37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13:39:05-700',mode:absolute,to:'2016-11-27 16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4" s="52" t="str">
        <f t="shared" si="39"/>
        <v>N</v>
      </c>
      <c r="X104" s="177">
        <f t="shared" si="50"/>
        <v>1</v>
      </c>
      <c r="Y104" s="67">
        <f t="shared" si="40"/>
        <v>4.6899999999999997E-2</v>
      </c>
      <c r="Z104" s="67">
        <f t="shared" si="41"/>
        <v>23.331199999999999</v>
      </c>
      <c r="AA104" s="67">
        <f t="shared" si="42"/>
        <v>23.284299999999998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3"/>
        <v>0189-27</v>
      </c>
      <c r="AE104" s="91" t="str">
        <f t="shared" si="44"/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104" s="88" t="str">
        <f t="shared" si="45"/>
        <v>"C:\Program Files (x86)\AstroGrep\AstroGrep.exe" /spath="%USERPROFILE%\AppData\Local\Temp\OnboardLogs" /stypes="app*4022*20161127*" /stext=" 22:.+((SYSTEM_STATE.+slice.+state.+changed )|(ment ac)|(multiple cpu faults)|(system.+state.+changed )|(\[timeout)|(PRM\|1\|D)|(kpr)|(kdp)|(\|lc)|(penalty))" /e /r /s</v>
      </c>
      <c r="AG104" s="1" t="str">
        <f t="shared" si="46"/>
        <v>EC</v>
      </c>
      <c r="AH104" s="92" t="str">
        <f t="shared" si="48"/>
        <v>"%USERPROFILE%\Documents\GitHub\eaglep3\Utilities\RefineRTDCRunTimes.py" --tripid 189-27 --locoid 4022 --swversion DE.1.0.8.0 --startMP 204:469 --initTime 2016-11-27T14:39:05 --startdatetime 2016-11-27T14:45:18 --delay 2 --endMP 204:233312 --enddatetime 2016-11-27T15:21:22 --enforcementcount 0 &gt;&gt;C:\Users\stu\Documents\GitHub\eaglep3-reporting\EC\2016-11-27-refined-times.txt</v>
      </c>
      <c r="AI104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{"issue":{"subject":"","project_id":79,"tracker_id":40,"status_id":1,"priority_id":2,"assigned_to_id":23,"start_date":"2016-11-27","description":"","custom_fields":[{"id":1,"name":"Subdivision","value":"EC"},{"id":4,"name":"Milepost","value":"23.3312"},{"id":17,"name":"Train ID","value":"189-27"},{"id":16,"name":"Locomotive ID","value":"4022"},{"id":130,"name":"Impact","value":""},{"id":150,"name":"Time of Event (Mountain Time)","value":"15:21:22"},{"id":151,"name":"Denver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418</v>
      </c>
      <c r="B105" s="7">
        <v>4021</v>
      </c>
      <c r="C105" s="22" t="s">
        <v>215</v>
      </c>
      <c r="D105" s="22" t="s">
        <v>255</v>
      </c>
      <c r="E105" s="13">
        <v>42701.642604166664</v>
      </c>
      <c r="F105" s="13">
        <v>42701.653634259259</v>
      </c>
      <c r="G105" s="7">
        <v>1</v>
      </c>
      <c r="H105" s="22" t="s">
        <v>210</v>
      </c>
      <c r="I105" s="13">
        <v>42701.68068287037</v>
      </c>
      <c r="J105" s="7">
        <v>0</v>
      </c>
      <c r="K105" s="109" t="str">
        <f t="shared" si="35"/>
        <v>4021/4022</v>
      </c>
      <c r="L105" s="22" t="str">
        <f>VLOOKUP(A105,'Trips&amp;Operators'!$C$1:$E$10000,3,FALSE)</f>
        <v>BARTLETT</v>
      </c>
      <c r="M105" s="6">
        <f t="shared" si="36"/>
        <v>2.7048611111240461E-2</v>
      </c>
      <c r="N105" s="7">
        <f t="shared" si="51"/>
        <v>38.950000000186265</v>
      </c>
      <c r="O105" s="7"/>
      <c r="P105" s="7"/>
      <c r="Q105" s="23"/>
      <c r="R105" s="23"/>
      <c r="S105" s="35">
        <f t="shared" si="52"/>
        <v>1</v>
      </c>
      <c r="T105" s="50" t="str">
        <f t="shared" si="37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14:25:21-700',mode:absolute,to:'2016-11-27 17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5" s="52" t="str">
        <f t="shared" si="39"/>
        <v>N</v>
      </c>
      <c r="X105" s="177">
        <f t="shared" si="50"/>
        <v>1</v>
      </c>
      <c r="Y105" s="67">
        <f t="shared" si="40"/>
        <v>23.298300000000001</v>
      </c>
      <c r="Z105" s="67">
        <f t="shared" si="41"/>
        <v>1.5599999999999999E-2</v>
      </c>
      <c r="AA105" s="67">
        <f t="shared" si="42"/>
        <v>23.282700000000002</v>
      </c>
      <c r="AB105" s="64" t="str">
        <f>VLOOKUP(A105,Enforcements!$C$7:$K$20,8,0)</f>
        <v>Signal based authority (5)</v>
      </c>
      <c r="AC105" s="60" t="str">
        <f>VLOOKUP(A105,Enforcements!$C$7:$E$20,3,0)</f>
        <v>SIGNAL</v>
      </c>
      <c r="AD105" s="61" t="str">
        <f t="shared" si="43"/>
        <v>0190-27</v>
      </c>
      <c r="AE105" s="91" t="str">
        <f t="shared" si="44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105" s="88" t="str">
        <f t="shared" si="45"/>
        <v>"C:\Program Files (x86)\AstroGrep\AstroGrep.exe" /spath="%USERPROFILE%\AppData\Local\Temp\OnboardLogs" /stypes="app*4021*20161127*" /stext=" 23:.+((SYSTEM_STATE.+slice.+state.+changed )|(ment ac)|(multiple cpu faults)|(system.+state.+changed )|(\[timeout)|(PRM\|1\|D)|(kpr)|(kdp)|(\|lc)|(penalty))" /e /r /s</v>
      </c>
      <c r="AG105" s="1" t="str">
        <f t="shared" si="46"/>
        <v>EC</v>
      </c>
      <c r="AH105" s="92" t="str">
        <f t="shared" si="48"/>
        <v>"%USERPROFILE%\Documents\GitHub\eaglep3\Utilities\RefineRTDCRunTimes.py" --tripid 190-27 --locoid 4021 --swversion DE.1.0.8.0 --startMP 204:232983 --initTime 2016-11-27T15:25:21 --startdatetime 2016-11-27T15:41:14 --delay 1 --endMP 204:156 --enddatetime 2016-11-27T16:20:11 --enforcementcount 0 &gt;&gt;C:\Users\stu\Documents\GitHub\eaglep3-reporting\EC\2016-11-27-refined-times.txt</v>
      </c>
      <c r="AI105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{"issue":{"subject":"","project_id":79,"tracker_id":40,"status_id":1,"priority_id":2,"assigned_to_id":23,"start_date":"2016-11-27","description":"","custom_fields":[{"id":1,"name":"Subdivision","value":"EC"},{"id":4,"name":"Milepost","value":"0.0156"},{"id":17,"name":"Train ID","value":"190-27"},{"id":16,"name":"Locomotive ID","value":"4021"},{"id":130,"name":"Impact","value":""},{"id":150,"name":"Time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527</v>
      </c>
      <c r="B106" s="7">
        <v>4011</v>
      </c>
      <c r="C106" s="22" t="s">
        <v>215</v>
      </c>
      <c r="D106" s="22" t="s">
        <v>382</v>
      </c>
      <c r="E106" s="13">
        <v>42701.619039351855</v>
      </c>
      <c r="F106" s="13">
        <v>42701.625173611108</v>
      </c>
      <c r="G106" s="7">
        <v>2</v>
      </c>
      <c r="H106" s="22" t="s">
        <v>267</v>
      </c>
      <c r="I106" s="13">
        <v>42701.649317129632</v>
      </c>
      <c r="J106" s="7">
        <v>0</v>
      </c>
      <c r="K106" s="109" t="str">
        <f t="shared" si="35"/>
        <v>4011/4012</v>
      </c>
      <c r="L106" s="22" t="str">
        <f>VLOOKUP(A106,'Trips&amp;Operators'!$C$1:$E$10000,3,FALSE)</f>
        <v>BRUDER</v>
      </c>
      <c r="M106" s="6">
        <f t="shared" si="36"/>
        <v>2.4143518523487728E-2</v>
      </c>
      <c r="N106" s="7">
        <f t="shared" si="51"/>
        <v>34.766666673822328</v>
      </c>
      <c r="O106" s="7"/>
      <c r="P106" s="7"/>
      <c r="Q106" s="23"/>
      <c r="R106" s="23"/>
      <c r="S106" s="35">
        <f t="shared" si="52"/>
        <v>1</v>
      </c>
      <c r="T106" s="50" t="str">
        <f t="shared" si="37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13:51:25-700',mode:absolute,to:'2016-11-27 16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6" s="52" t="str">
        <f t="shared" si="39"/>
        <v>N</v>
      </c>
      <c r="X106" s="177">
        <f t="shared" si="50"/>
        <v>1</v>
      </c>
      <c r="Y106" s="67">
        <f t="shared" si="40"/>
        <v>4.58E-2</v>
      </c>
      <c r="Z106" s="67">
        <f t="shared" si="41"/>
        <v>23.3293</v>
      </c>
      <c r="AA106" s="67">
        <f t="shared" si="42"/>
        <v>23.2835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3"/>
        <v>0191-27</v>
      </c>
      <c r="AE106" s="91" t="str">
        <f t="shared" si="44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106" s="88" t="str">
        <f t="shared" si="45"/>
        <v>"C:\Program Files (x86)\AstroGrep\AstroGrep.exe" /spath="%USERPROFILE%\AppData\Local\Temp\OnboardLogs" /stypes="app*4011*20161127*" /stext=" 22:.+((SYSTEM_STATE.+slice.+state.+changed )|(ment ac)|(multiple cpu faults)|(system.+state.+changed )|(\[timeout)|(PRM\|1\|D)|(kpr)|(kdp)|(\|lc)|(penalty))" /e /r /s</v>
      </c>
      <c r="AG106" s="1" t="str">
        <f t="shared" si="46"/>
        <v>EC</v>
      </c>
      <c r="AH106" s="92" t="str">
        <f t="shared" si="48"/>
        <v>"%USERPROFILE%\Documents\GitHub\eaglep3\Utilities\RefineRTDCRunTimes.py" --tripid 191-27 --locoid 4011 --swversion DE.1.0.8.0 --startMP 204:458 --initTime 2016-11-27T14:51:25 --startdatetime 2016-11-27T15:00:15 --delay 2 --endMP 204:233293 --enddatetime 2016-11-27T15:35:01 --enforcementcount 0 &gt;&gt;C:\Users\stu\Documents\GitHub\eaglep3-reporting\EC\2016-11-27-refined-times.txt</v>
      </c>
      <c r="AI106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{"issue":{"subject":"","project_id":79,"tracker_id":40,"status_id":1,"priority_id":2,"assigned_to_id":23,"start_date":"2016-11-27","description":"","custom_fields":[{"id":1,"name":"Subdivision","value":"EC"},{"id":4,"name":"Milepost","value":"23.3293"},{"id":17,"name":"Train ID","value":"191-27"},{"id":16,"name":"Locomotive ID","value":"4011"},{"id":130,"name":"Impact","value":""},{"id":150,"name":"Time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535</v>
      </c>
      <c r="B107" s="7">
        <v>4012</v>
      </c>
      <c r="C107" s="22" t="s">
        <v>215</v>
      </c>
      <c r="D107" s="22" t="s">
        <v>339</v>
      </c>
      <c r="E107" s="13">
        <v>42701.657280092593</v>
      </c>
      <c r="F107" s="13">
        <v>42701.664074074077</v>
      </c>
      <c r="G107" s="7">
        <v>1</v>
      </c>
      <c r="H107" s="22" t="s">
        <v>269</v>
      </c>
      <c r="I107" s="13">
        <v>42701.689988425926</v>
      </c>
      <c r="J107" s="7">
        <v>0</v>
      </c>
      <c r="K107" s="109" t="str">
        <f t="shared" si="35"/>
        <v>4011/4012</v>
      </c>
      <c r="L107" s="22" t="str">
        <f>VLOOKUP(A107,'Trips&amp;Operators'!$C$1:$E$10000,3,FALSE)</f>
        <v>BRUDER</v>
      </c>
      <c r="M107" s="6">
        <f t="shared" si="36"/>
        <v>2.5914351848769002E-2</v>
      </c>
      <c r="N107" s="7">
        <f t="shared" si="51"/>
        <v>37.316666662227362</v>
      </c>
      <c r="O107" s="7"/>
      <c r="P107" s="7"/>
      <c r="Q107" s="23"/>
      <c r="R107" s="23"/>
      <c r="S107" s="35">
        <f t="shared" si="52"/>
        <v>1</v>
      </c>
      <c r="T107" s="50" t="str">
        <f t="shared" si="37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14:46:29-700',mode:absolute,to:'2016-11-27 17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7" s="52" t="str">
        <f t="shared" si="39"/>
        <v>N</v>
      </c>
      <c r="X107" s="177">
        <f t="shared" si="50"/>
        <v>1</v>
      </c>
      <c r="Y107" s="67">
        <f t="shared" si="40"/>
        <v>23.2986</v>
      </c>
      <c r="Z107" s="67">
        <f t="shared" si="41"/>
        <v>1.67E-2</v>
      </c>
      <c r="AA107" s="67">
        <f t="shared" si="42"/>
        <v>23.2819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3"/>
        <v>0192-27</v>
      </c>
      <c r="AE107" s="91" t="str">
        <f t="shared" si="44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107" s="88" t="str">
        <f t="shared" si="45"/>
        <v>"C:\Program Files (x86)\AstroGrep\AstroGrep.exe" /spath="%USERPROFILE%\AppData\Local\Temp\OnboardLogs" /stypes="app*4012*20161127*" /stext=" 23:.+((SYSTEM_STATE.+slice.+state.+changed )|(ment ac)|(multiple cpu faults)|(system.+state.+changed )|(\[timeout)|(PRM\|1\|D)|(kpr)|(kdp)|(\|lc)|(penalty))" /e /r /s</v>
      </c>
      <c r="AG107" s="1" t="str">
        <f t="shared" si="46"/>
        <v>EC</v>
      </c>
      <c r="AH107" s="92" t="str">
        <f t="shared" si="48"/>
        <v>"%USERPROFILE%\Documents\GitHub\eaglep3\Utilities\RefineRTDCRunTimes.py" --tripid 192-27 --locoid 4012 --swversion DE.1.0.8.0 --startMP 204:232986 --initTime 2016-11-27T15:46:29 --startdatetime 2016-11-27T15:56:16 --delay 1 --endMP 204:167 --enddatetime 2016-11-27T16:33:35 --enforcementcount 0 &gt;&gt;C:\Users\stu\Documents\GitHub\eaglep3-reporting\EC\2016-11-27-refined-times.txt</v>
      </c>
      <c r="AI107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{"issue":{"subject":"","project_id":79,"tracker_id":40,"status_id":1,"priority_id":2,"assigned_to_id":23,"start_date":"2016-11-27","description":"","custom_fields":[{"id":1,"name":"Subdivision","value":"EC"},{"id":4,"name":"Milepost","value":"0.0167"},{"id":17,"name":"Train ID","value":"192-27"},{"id":16,"name":"Locomotive ID","value":"4012"},{"id":130,"name":"Impact","value":""},{"id":150,"name":"Time of Event (Mountain Time)","value":"16:33:35"},{"id":151,"name":"Denver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531</v>
      </c>
      <c r="B108" s="7">
        <v>4038</v>
      </c>
      <c r="C108" s="22" t="s">
        <v>215</v>
      </c>
      <c r="D108" s="22" t="s">
        <v>196</v>
      </c>
      <c r="E108" s="13">
        <v>42701.632268518515</v>
      </c>
      <c r="F108" s="13">
        <v>42701.635694444441</v>
      </c>
      <c r="G108" s="7">
        <v>1</v>
      </c>
      <c r="H108" s="22" t="s">
        <v>268</v>
      </c>
      <c r="I108" s="13">
        <v>42701.661608796298</v>
      </c>
      <c r="J108" s="7">
        <v>0</v>
      </c>
      <c r="K108" s="109" t="str">
        <f t="shared" si="35"/>
        <v>4037/4038</v>
      </c>
      <c r="L108" s="22" t="str">
        <f>VLOOKUP(A108,'Trips&amp;Operators'!$C$1:$E$10000,3,FALSE)</f>
        <v>MOSES</v>
      </c>
      <c r="M108" s="6">
        <f t="shared" si="36"/>
        <v>2.5914351856044959E-2</v>
      </c>
      <c r="N108" s="7">
        <f t="shared" si="51"/>
        <v>37.316666672704741</v>
      </c>
      <c r="O108" s="7"/>
      <c r="P108" s="7"/>
      <c r="Q108" s="23"/>
      <c r="R108" s="23"/>
      <c r="S108" s="35">
        <f t="shared" si="52"/>
        <v>1</v>
      </c>
      <c r="T108" s="50" t="str">
        <f t="shared" si="37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14:10:28-700',mode:absolute,to:'2016-11-27 16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8" s="52" t="str">
        <f t="shared" si="39"/>
        <v>N</v>
      </c>
      <c r="X108" s="177">
        <f t="shared" si="50"/>
        <v>1</v>
      </c>
      <c r="Y108" s="67">
        <f t="shared" si="40"/>
        <v>4.4699999999999997E-2</v>
      </c>
      <c r="Z108" s="67">
        <f t="shared" si="41"/>
        <v>23.332100000000001</v>
      </c>
      <c r="AA108" s="67">
        <f t="shared" si="42"/>
        <v>23.287400000000002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43"/>
        <v>0193-27</v>
      </c>
      <c r="AE108" s="91" t="str">
        <f t="shared" si="44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108" s="88" t="str">
        <f t="shared" si="45"/>
        <v>"C:\Program Files (x86)\AstroGrep\AstroGrep.exe" /spath="%USERPROFILE%\AppData\Local\Temp\OnboardLogs" /stypes="app*4038*20161127*" /stext=" 22:.+((SYSTEM_STATE.+slice.+state.+changed )|(ment ac)|(multiple cpu faults)|(system.+state.+changed )|(\[timeout)|(PRM\|1\|D)|(kpr)|(kdp)|(\|lc)|(penalty))" /e /r /s</v>
      </c>
      <c r="AG108" s="1" t="str">
        <f t="shared" si="46"/>
        <v>EC</v>
      </c>
      <c r="AH108" s="92" t="str">
        <f t="shared" si="48"/>
        <v>"%USERPROFILE%\Documents\GitHub\eaglep3\Utilities\RefineRTDCRunTimes.py" --tripid 193-27 --locoid 4038 --swversion DE.1.0.8.0 --startMP 204:447 --initTime 2016-11-27T15:10:28 --startdatetime 2016-11-27T15:15:24 --delay 1 --endMP 204:233321 --enddatetime 2016-11-27T15:52:43 --enforcementcount 0 &gt;&gt;C:\Users\stu\Documents\GitHub\eaglep3-reporting\EC\2016-11-27-refined-times.txt</v>
      </c>
      <c r="AI108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{"issue":{"subject":"","project_id":79,"tracker_id":40,"status_id":1,"priority_id":2,"assigned_to_id":23,"start_date":"2016-11-27","description":"","custom_fields":[{"id":1,"name":"Subdivision","value":"EC"},{"id":4,"name":"Milepost","value":"23.3321"},{"id":17,"name":"Train ID","value":"193-27"},{"id":16,"name":"Locomotive ID","value":"4038"},{"id":130,"name":"Impact","value":""},{"id":150,"name":"Time of Event (Mountain Time)","value":"15:52:43"},{"id":151,"name":"Denver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538</v>
      </c>
      <c r="B109" s="7">
        <v>4037</v>
      </c>
      <c r="C109" s="22" t="s">
        <v>215</v>
      </c>
      <c r="D109" s="22" t="s">
        <v>278</v>
      </c>
      <c r="E109" s="13">
        <v>42701.671377314815</v>
      </c>
      <c r="F109" s="13">
        <v>42701.674780092595</v>
      </c>
      <c r="G109" s="7">
        <v>1</v>
      </c>
      <c r="H109" s="22" t="s">
        <v>194</v>
      </c>
      <c r="I109" s="13">
        <v>42701.701064814813</v>
      </c>
      <c r="J109" s="7">
        <v>0</v>
      </c>
      <c r="K109" s="109" t="str">
        <f t="shared" si="35"/>
        <v>4037/4038</v>
      </c>
      <c r="L109" s="22" t="str">
        <f>VLOOKUP(A109,'Trips&amp;Operators'!$C$1:$E$10000,3,FALSE)</f>
        <v>MOSES</v>
      </c>
      <c r="M109" s="6">
        <f t="shared" si="36"/>
        <v>2.6284722218406387E-2</v>
      </c>
      <c r="N109" s="7">
        <f t="shared" si="51"/>
        <v>37.849999994505197</v>
      </c>
      <c r="O109" s="7"/>
      <c r="P109" s="7"/>
      <c r="Q109" s="23"/>
      <c r="R109" s="23"/>
      <c r="S109" s="35">
        <f t="shared" si="52"/>
        <v>1</v>
      </c>
      <c r="T109" s="50" t="str">
        <f t="shared" si="37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15:06:47-700',mode:absolute,to:'2016-11-27 17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9" s="52" t="str">
        <f t="shared" si="39"/>
        <v>N</v>
      </c>
      <c r="X109" s="177">
        <f t="shared" si="50"/>
        <v>1</v>
      </c>
      <c r="Y109" s="67">
        <f t="shared" si="40"/>
        <v>23.3</v>
      </c>
      <c r="Z109" s="67">
        <f t="shared" ref="Z109:Z134" si="53">RIGHT(H109,LEN(H109)-4)/10000</f>
        <v>1.49E-2</v>
      </c>
      <c r="AA109" s="67">
        <f t="shared" si="42"/>
        <v>23.2851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43"/>
        <v>0194-27</v>
      </c>
      <c r="AE109" s="91" t="str">
        <f t="shared" si="44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109" s="88" t="str">
        <f t="shared" si="45"/>
        <v>"C:\Program Files (x86)\AstroGrep\AstroGrep.exe" /spath="%USERPROFILE%\AppData\Local\Temp\OnboardLogs" /stypes="app*4037*20161127*" /stext=" 23:.+((SYSTEM_STATE.+slice.+state.+changed )|(ment ac)|(multiple cpu faults)|(system.+state.+changed )|(\[timeout)|(PRM\|1\|D)|(kpr)|(kdp)|(\|lc)|(penalty))" /e /r /s</v>
      </c>
      <c r="AG109" s="1" t="str">
        <f t="shared" si="46"/>
        <v>EC</v>
      </c>
      <c r="AH109" s="92" t="str">
        <f t="shared" si="48"/>
        <v>"%USERPROFILE%\Documents\GitHub\eaglep3\Utilities\RefineRTDCRunTimes.py" --tripid 194-27 --locoid 4037 --swversion DE.1.0.8.0 --startMP 204:233000 --initTime 2016-11-27T16:06:47 --startdatetime 2016-11-27T16:11:41 --delay 1 --endMP 204:149 --enddatetime 2016-11-27T16:49:32 --enforcementcount 0 &gt;&gt;C:\Users\stu\Documents\GitHub\eaglep3-reporting\EC\2016-11-27-refined-times.txt</v>
      </c>
      <c r="AI109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{"issue":{"subject":"","project_id":79,"tracker_id":40,"status_id":1,"priority_id":2,"assigned_to_id":23,"start_date":"2016-11-27","description":"","custom_fields":[{"id":1,"name":"Subdivision","value":"EC"},{"id":4,"name":"Milepost","value":"0.0149"},{"id":17,"name":"Train ID","value":"194-27"},{"id":16,"name":"Locomotive ID","value":"4037"},{"id":130,"name":"Impact","value":""},{"id":150,"name":"Time of Event (Mountain Time)","value":"16:49:32"},{"id":151,"name":"Denver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533</v>
      </c>
      <c r="B110" s="7">
        <v>4002</v>
      </c>
      <c r="C110" s="22" t="s">
        <v>215</v>
      </c>
      <c r="D110" s="22" t="s">
        <v>704</v>
      </c>
      <c r="E110" s="13">
        <v>42701.641539351855</v>
      </c>
      <c r="F110" s="13">
        <v>42701.646087962959</v>
      </c>
      <c r="G110" s="7">
        <v>2</v>
      </c>
      <c r="H110" s="22" t="s">
        <v>647</v>
      </c>
      <c r="I110" s="13">
        <v>42701.671597222223</v>
      </c>
      <c r="J110" s="7">
        <v>0</v>
      </c>
      <c r="K110" s="109" t="str">
        <f t="shared" si="35"/>
        <v>4001/4002</v>
      </c>
      <c r="L110" s="22" t="str">
        <f>VLOOKUP(A110,'Trips&amp;Operators'!$C$1:$E$10000,3,FALSE)</f>
        <v>YOUNG</v>
      </c>
      <c r="M110" s="6">
        <f t="shared" si="36"/>
        <v>2.5509259263344575E-2</v>
      </c>
      <c r="N110" s="7">
        <f t="shared" si="51"/>
        <v>36.733333339216188</v>
      </c>
      <c r="O110" s="7"/>
      <c r="P110" s="7"/>
      <c r="Q110" s="23"/>
      <c r="R110" s="23"/>
      <c r="S110" s="35">
        <f t="shared" si="52"/>
        <v>1</v>
      </c>
      <c r="T110" s="50" t="str">
        <f t="shared" si="37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14:23:49-700',mode:absolute,to:'2016-11-27 17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0" s="52" t="str">
        <f t="shared" si="39"/>
        <v>N</v>
      </c>
      <c r="X110" s="177">
        <f t="shared" si="50"/>
        <v>1</v>
      </c>
      <c r="Y110" s="67">
        <f t="shared" si="40"/>
        <v>5.1499999999999997E-2</v>
      </c>
      <c r="Z110" s="67">
        <f t="shared" si="53"/>
        <v>23.330500000000001</v>
      </c>
      <c r="AA110" s="67">
        <f t="shared" si="42"/>
        <v>23.279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43"/>
        <v>0195-27</v>
      </c>
      <c r="AE110" s="91" t="str">
        <f t="shared" si="44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110" s="88" t="str">
        <f t="shared" si="45"/>
        <v>"C:\Program Files (x86)\AstroGrep\AstroGrep.exe" /spath="%USERPROFILE%\AppData\Local\Temp\OnboardLogs" /stypes="app*4002*20161127*" /stext=" 23:.+((SYSTEM_STATE.+slice.+state.+changed )|(ment ac)|(multiple cpu faults)|(system.+state.+changed )|(\[timeout)|(PRM\|1\|D)|(kpr)|(kdp)|(\|lc)|(penalty))" /e /r /s</v>
      </c>
      <c r="AG110" s="1" t="str">
        <f t="shared" si="46"/>
        <v>EC</v>
      </c>
      <c r="AH110" s="92" t="str">
        <f t="shared" si="48"/>
        <v>"%USERPROFILE%\Documents\GitHub\eaglep3\Utilities\RefineRTDCRunTimes.py" --tripid 195-27 --locoid 4002 --swversion DE.1.0.8.0 --startMP 204:515 --initTime 2016-11-27T15:23:49 --startdatetime 2016-11-27T15:30:22 --delay 2 --endMP 204:233305 --enddatetime 2016-11-27T16:07:06 --enforcementcount 0 &gt;&gt;C:\Users\stu\Documents\GitHub\eaglep3-reporting\EC\2016-11-27-refined-times.txt</v>
      </c>
      <c r="AI110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{"issue":{"subject":"","project_id":79,"tracker_id":40,"status_id":1,"priority_id":2,"assigned_to_id":23,"start_date":"2016-11-27","description":"","custom_fields":[{"id":1,"name":"Subdivision","value":"EC"},{"id":4,"name":"Milepost","value":"23.3305"},{"id":17,"name":"Train ID","value":"195-27"},{"id":16,"name":"Locomotive ID","value":"4002"},{"id":130,"name":"Impact","value":""},{"id":150,"name":"Time of Event (Mountain Time)","value":"16:07:06"},{"id":151,"name":"Denver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540</v>
      </c>
      <c r="B111" s="7">
        <v>4001</v>
      </c>
      <c r="C111" s="22" t="s">
        <v>215</v>
      </c>
      <c r="D111" s="22" t="s">
        <v>381</v>
      </c>
      <c r="E111" s="13">
        <v>42701.67465277778</v>
      </c>
      <c r="F111" s="13">
        <v>42701.684988425928</v>
      </c>
      <c r="G111" s="7">
        <v>1</v>
      </c>
      <c r="H111" s="22" t="s">
        <v>237</v>
      </c>
      <c r="I111" s="13">
        <v>42701.713194444441</v>
      </c>
      <c r="J111" s="7">
        <v>0</v>
      </c>
      <c r="K111" s="109" t="str">
        <f t="shared" si="35"/>
        <v>4001/4002</v>
      </c>
      <c r="L111" s="22" t="str">
        <f>VLOOKUP(A111,'Trips&amp;Operators'!$C$1:$E$10000,3,FALSE)</f>
        <v>YOUNG</v>
      </c>
      <c r="M111" s="6">
        <f t="shared" si="36"/>
        <v>2.8206018512719311E-2</v>
      </c>
      <c r="N111" s="7">
        <f t="shared" si="51"/>
        <v>40.616666658315808</v>
      </c>
      <c r="O111" s="7"/>
      <c r="P111" s="7"/>
      <c r="Q111" s="23"/>
      <c r="R111" s="23"/>
      <c r="S111" s="35">
        <f t="shared" si="52"/>
        <v>1</v>
      </c>
      <c r="T111" s="50" t="str">
        <f t="shared" si="37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15:11:30-700',mode:absolute,to:'2016-11-27 18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1" s="52" t="str">
        <f t="shared" si="39"/>
        <v>N</v>
      </c>
      <c r="X111" s="177">
        <f t="shared" si="50"/>
        <v>1</v>
      </c>
      <c r="Y111" s="67">
        <f t="shared" si="40"/>
        <v>23.298200000000001</v>
      </c>
      <c r="Z111" s="67">
        <f t="shared" si="53"/>
        <v>1.54E-2</v>
      </c>
      <c r="AA111" s="67">
        <f t="shared" si="42"/>
        <v>23.282800000000002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43"/>
        <v>0196-27</v>
      </c>
      <c r="AE111" s="91" t="str">
        <f t="shared" si="44"/>
        <v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v>
      </c>
      <c r="AF111" s="88" t="str">
        <f t="shared" si="45"/>
        <v>"C:\Program Files (x86)\AstroGrep\AstroGrep.exe" /spath="%USERPROFILE%\AppData\Local\Temp\OnboardLogs" /stypes="app*4001*20161128*" /stext=" 00:.+((SYSTEM_STATE.+slice.+state.+changed )|(ment ac)|(multiple cpu faults)|(system.+state.+changed )|(\[timeout)|(PRM\|1\|D)|(kpr)|(kdp)|(\|lc)|(penalty))" /e /r /s</v>
      </c>
      <c r="AG111" s="1" t="str">
        <f t="shared" si="46"/>
        <v>EC</v>
      </c>
      <c r="AH111" s="92" t="str">
        <f t="shared" si="48"/>
        <v>"%USERPROFILE%\Documents\GitHub\eaglep3\Utilities\RefineRTDCRunTimes.py" --tripid 196-27 --locoid 4001 --swversion DE.1.0.8.0 --startMP 204:232982 --initTime 2016-11-27T16:11:30 --startdatetime 2016-11-27T16:26:23 --delay 1 --endMP 204:154 --enddatetime 2016-11-27T17:07:00 --enforcementcount 0 &gt;&gt;C:\Users\stu\Documents\GitHub\eaglep3-reporting\EC\2016-11-27-refined-times.txt</v>
      </c>
      <c r="AI111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{"issue":{"subject":"","project_id":79,"tracker_id":40,"status_id":1,"priority_id":2,"assigned_to_id":23,"start_date":"2016-11-27","description":"","custom_fields":[{"id":1,"name":"Subdivision","value":"EC"},{"id":4,"name":"Milepost","value":"0.0154"},{"id":17,"name":"Train ID","value":"196-27"},{"id":16,"name":"Locomotive ID","value":"4001"},{"id":130,"name":"Impact","value":""},{"id":150,"name":"Time of Event (Mountain Time)","value":"17:07:00"},{"id":151,"name":"Denver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534</v>
      </c>
      <c r="B112" s="7">
        <v>4009</v>
      </c>
      <c r="C112" s="22" t="s">
        <v>215</v>
      </c>
      <c r="D112" s="22" t="s">
        <v>214</v>
      </c>
      <c r="E112" s="13">
        <v>42701.652511574073</v>
      </c>
      <c r="F112" s="13">
        <v>42701.656435185185</v>
      </c>
      <c r="G112" s="7">
        <v>1</v>
      </c>
      <c r="H112" s="22" t="s">
        <v>263</v>
      </c>
      <c r="I112" s="13">
        <v>42701.682199074072</v>
      </c>
      <c r="J112" s="7">
        <v>0</v>
      </c>
      <c r="K112" s="109" t="str">
        <f t="shared" si="35"/>
        <v>4009/4010</v>
      </c>
      <c r="L112" s="22" t="str">
        <f>VLOOKUP(A112,'Trips&amp;Operators'!$C$1:$E$10000,3,FALSE)</f>
        <v>CLARK</v>
      </c>
      <c r="M112" s="6">
        <f t="shared" si="36"/>
        <v>2.5763888887013309E-2</v>
      </c>
      <c r="N112" s="7">
        <f t="shared" si="51"/>
        <v>37.099999997299165</v>
      </c>
      <c r="O112" s="7"/>
      <c r="P112" s="7"/>
      <c r="Q112" s="23"/>
      <c r="R112" s="23"/>
      <c r="S112" s="35">
        <f t="shared" si="52"/>
        <v>1</v>
      </c>
      <c r="T112" s="50" t="str">
        <f t="shared" si="37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14:39:37-700',mode:absolute,to:'2016-11-27 17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2" s="52" t="str">
        <f t="shared" si="39"/>
        <v>N</v>
      </c>
      <c r="X112" s="177">
        <f t="shared" si="50"/>
        <v>1</v>
      </c>
      <c r="Y112" s="67">
        <f t="shared" si="40"/>
        <v>4.6399999999999997E-2</v>
      </c>
      <c r="Z112" s="67">
        <f t="shared" si="53"/>
        <v>23.330200000000001</v>
      </c>
      <c r="AA112" s="67">
        <f t="shared" si="42"/>
        <v>23.283800000000003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43"/>
        <v>0197-27</v>
      </c>
      <c r="AE112" s="91" t="str">
        <f t="shared" si="44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112" s="88" t="str">
        <f t="shared" si="45"/>
        <v>"C:\Program Files (x86)\AstroGrep\AstroGrep.exe" /spath="%USERPROFILE%\AppData\Local\Temp\OnboardLogs" /stypes="app*4009*20161127*" /stext=" 23:.+((SYSTEM_STATE.+slice.+state.+changed )|(ment ac)|(multiple cpu faults)|(system.+state.+changed )|(\[timeout)|(PRM\|1\|D)|(kpr)|(kdp)|(\|lc)|(penalty))" /e /r /s</v>
      </c>
      <c r="AG112" s="1" t="str">
        <f t="shared" si="46"/>
        <v>EC</v>
      </c>
      <c r="AH112" s="92" t="str">
        <f t="shared" si="48"/>
        <v>"%USERPROFILE%\Documents\GitHub\eaglep3\Utilities\RefineRTDCRunTimes.py" --tripid 197-27 --locoid 4009 --swversion DE.1.0.8.0 --startMP 204:464 --initTime 2016-11-27T15:39:37 --startdatetime 2016-11-27T15:45:16 --delay 1 --endMP 204:233302 --enddatetime 2016-11-27T16:22:22 --enforcementcount 0 &gt;&gt;C:\Users\stu\Documents\GitHub\eaglep3-reporting\EC\2016-11-27-refined-times.txt</v>
      </c>
      <c r="AI112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{"issue":{"subject":"","project_id":79,"tracker_id":40,"status_id":1,"priority_id":2,"assigned_to_id":23,"start_date":"2016-11-27","description":"","custom_fields":[{"id":1,"name":"Subdivision","value":"EC"},{"id":4,"name":"Milepost","value":"23.3302"},{"id":17,"name":"Train ID","value":"197-27"},{"id":16,"name":"Locomotive ID","value":"4009"},{"id":130,"name":"Impact","value":""},{"id":150,"name":"Time of Event (Mountain Time)","value":"16:22:22"},{"id":151,"name":"Denver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544</v>
      </c>
      <c r="B113" s="7">
        <v>4010</v>
      </c>
      <c r="C113" s="22" t="s">
        <v>215</v>
      </c>
      <c r="D113" s="22" t="s">
        <v>278</v>
      </c>
      <c r="E113" s="13">
        <v>42701.689965277779</v>
      </c>
      <c r="F113" s="13">
        <v>42701.695300925923</v>
      </c>
      <c r="G113" s="7">
        <v>1</v>
      </c>
      <c r="H113" s="22" t="s">
        <v>649</v>
      </c>
      <c r="I113" s="13">
        <v>42701.725532407407</v>
      </c>
      <c r="J113" s="7">
        <v>0</v>
      </c>
      <c r="K113" s="109" t="str">
        <f t="shared" si="35"/>
        <v>4009/4010</v>
      </c>
      <c r="L113" s="22" t="str">
        <f>VLOOKUP(A113,'Trips&amp;Operators'!$C$1:$E$10000,3,FALSE)</f>
        <v>CLARK</v>
      </c>
      <c r="M113" s="6">
        <f t="shared" si="36"/>
        <v>3.0231481483497191E-2</v>
      </c>
      <c r="N113" s="7">
        <f t="shared" si="51"/>
        <v>43.533333336235955</v>
      </c>
      <c r="O113" s="7"/>
      <c r="P113" s="7"/>
      <c r="Q113" s="23"/>
      <c r="R113" s="23"/>
      <c r="S113" s="35">
        <f t="shared" si="52"/>
        <v>1</v>
      </c>
      <c r="T113" s="50" t="str">
        <f t="shared" si="37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15:33:33-700',mode:absolute,to:'2016-11-27 18:24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3" s="52" t="str">
        <f t="shared" si="39"/>
        <v>N</v>
      </c>
      <c r="X113" s="177">
        <f t="shared" si="50"/>
        <v>1</v>
      </c>
      <c r="Y113" s="67">
        <f t="shared" si="40"/>
        <v>23.3</v>
      </c>
      <c r="Z113" s="67">
        <f t="shared" si="53"/>
        <v>1.6299999999999999E-2</v>
      </c>
      <c r="AA113" s="67">
        <f t="shared" si="42"/>
        <v>23.2837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43"/>
        <v>0198-27</v>
      </c>
      <c r="AE113" s="91" t="str">
        <f t="shared" si="44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113" s="88" t="str">
        <f t="shared" si="45"/>
        <v>"C:\Program Files (x86)\AstroGrep\AstroGrep.exe" /spath="%USERPROFILE%\AppData\Local\Temp\OnboardLogs" /stypes="app*4010*20161128*" /stext=" 00:.+((SYSTEM_STATE.+slice.+state.+changed )|(ment ac)|(multiple cpu faults)|(system.+state.+changed )|(\[timeout)|(PRM\|1\|D)|(kpr)|(kdp)|(\|lc)|(penalty))" /e /r /s</v>
      </c>
      <c r="AG113" s="1" t="str">
        <f t="shared" si="46"/>
        <v>EC</v>
      </c>
      <c r="AH113" s="92" t="str">
        <f t="shared" si="48"/>
        <v>"%USERPROFILE%\Documents\GitHub\eaglep3\Utilities\RefineRTDCRunTimes.py" --tripid 198-27 --locoid 4010 --swversion DE.1.0.8.0 --startMP 204:233000 --initTime 2016-11-27T16:33:33 --startdatetime 2016-11-27T16:41:14 --delay 1 --endMP 204:163 --enddatetime 2016-11-27T17:24:46 --enforcementcount 0 &gt;&gt;C:\Users\stu\Documents\GitHub\eaglep3-reporting\EC\2016-11-27-refined-times.txt</v>
      </c>
      <c r="AI113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{"issue":{"subject":"","project_id":79,"tracker_id":40,"status_id":1,"priority_id":2,"assigned_to_id":23,"start_date":"2016-11-27","description":"","custom_fields":[{"id":1,"name":"Subdivision","value":"EC"},{"id":4,"name":"Milepost","value":"0.0163"},{"id":17,"name":"Train ID","value":"198-27"},{"id":16,"name":"Locomotive ID","value":"4010"},{"id":130,"name":"Impact","value":""},{"id":150,"name":"Time of Event (Mountain Time)","value":"17:24:46"},{"id":151,"name":"Denver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536</v>
      </c>
      <c r="B114" s="7">
        <v>4016</v>
      </c>
      <c r="C114" s="22" t="s">
        <v>215</v>
      </c>
      <c r="D114" s="22" t="s">
        <v>705</v>
      </c>
      <c r="E114" s="13">
        <v>42701.662870370368</v>
      </c>
      <c r="F114" s="13">
        <v>42701.666956018518</v>
      </c>
      <c r="G114" s="7">
        <v>1</v>
      </c>
      <c r="H114" s="22" t="s">
        <v>706</v>
      </c>
      <c r="I114" s="13">
        <v>42701.692175925928</v>
      </c>
      <c r="J114" s="7">
        <v>0</v>
      </c>
      <c r="K114" s="109" t="str">
        <f t="shared" si="35"/>
        <v>4015/4016</v>
      </c>
      <c r="L114" s="22" t="str">
        <f>VLOOKUP(A114,'Trips&amp;Operators'!$C$1:$E$10000,3,FALSE)</f>
        <v>DELGADO</v>
      </c>
      <c r="M114" s="6">
        <f t="shared" si="36"/>
        <v>2.5219907409336884E-2</v>
      </c>
      <c r="N114" s="7">
        <f t="shared" si="51"/>
        <v>36.316666669445112</v>
      </c>
      <c r="O114" s="7"/>
      <c r="P114" s="7"/>
      <c r="Q114" s="23"/>
      <c r="R114" s="23"/>
      <c r="S114" s="35">
        <f t="shared" si="52"/>
        <v>1</v>
      </c>
      <c r="T114" s="50" t="str">
        <f t="shared" si="37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14:54:32-700',mode:absolute,to:'2016-11-27 17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4" s="52" t="str">
        <f t="shared" si="39"/>
        <v>N</v>
      </c>
      <c r="X114" s="177">
        <f t="shared" si="50"/>
        <v>1</v>
      </c>
      <c r="Y114" s="67">
        <f t="shared" si="40"/>
        <v>4.3299999999999998E-2</v>
      </c>
      <c r="Z114" s="67">
        <f t="shared" si="53"/>
        <v>23.332799999999999</v>
      </c>
      <c r="AA114" s="67">
        <f t="shared" si="42"/>
        <v>23.2895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43"/>
        <v>0199-27</v>
      </c>
      <c r="AE114" s="91" t="str">
        <f t="shared" si="44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114" s="88" t="str">
        <f t="shared" si="45"/>
        <v>"C:\Program Files (x86)\AstroGrep\AstroGrep.exe" /spath="%USERPROFILE%\AppData\Local\Temp\OnboardLogs" /stypes="app*4016*20161127*" /stext=" 23:.+((SYSTEM_STATE.+slice.+state.+changed )|(ment ac)|(multiple cpu faults)|(system.+state.+changed )|(\[timeout)|(PRM\|1\|D)|(kpr)|(kdp)|(\|lc)|(penalty))" /e /r /s</v>
      </c>
      <c r="AG114" s="1" t="str">
        <f t="shared" si="46"/>
        <v>EC</v>
      </c>
      <c r="AH114" s="92" t="str">
        <f t="shared" si="48"/>
        <v>"%USERPROFILE%\Documents\GitHub\eaglep3\Utilities\RefineRTDCRunTimes.py" --tripid 199-27 --locoid 4016 --swversion DE.1.0.8.0 --startMP 204:433 --initTime 2016-11-27T15:54:32 --startdatetime 2016-11-27T16:00:25 --delay 1 --endMP 204:233328 --enddatetime 2016-11-27T16:36:44 --enforcementcount 0 &gt;&gt;C:\Users\stu\Documents\GitHub\eaglep3-reporting\EC\2016-11-27-refined-times.txt</v>
      </c>
      <c r="AI114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{"issue":{"subject":"","project_id":79,"tracker_id":40,"status_id":1,"priority_id":2,"assigned_to_id":23,"start_date":"2016-11-27","description":"","custom_fields":[{"id":1,"name":"Subdivision","value":"EC"},{"id":4,"name":"Milepost","value":"23.3328"},{"id":17,"name":"Train ID","value":"199-27"},{"id":16,"name":"Locomotive ID","value":"4016"},{"id":130,"name":"Impact","value":""},{"id":150,"name":"Time of Event (Mountain Time)","value":"16:36:44"},{"id":151,"name":"Denver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421</v>
      </c>
      <c r="B115" s="7">
        <v>4015</v>
      </c>
      <c r="C115" s="22" t="s">
        <v>215</v>
      </c>
      <c r="D115" s="22" t="s">
        <v>707</v>
      </c>
      <c r="E115" s="13">
        <v>42701.698067129626</v>
      </c>
      <c r="F115" s="13">
        <v>42701.705821759257</v>
      </c>
      <c r="G115" s="7">
        <v>1</v>
      </c>
      <c r="H115" s="22" t="s">
        <v>194</v>
      </c>
      <c r="I115" s="13">
        <v>42701.733159722222</v>
      </c>
      <c r="J115" s="7">
        <v>0</v>
      </c>
      <c r="K115" s="109" t="str">
        <f t="shared" si="35"/>
        <v>4015/4016</v>
      </c>
      <c r="L115" s="22" t="str">
        <f>VLOOKUP(A115,'Trips&amp;Operators'!$C$1:$E$10000,3,FALSE)</f>
        <v>DELGADO</v>
      </c>
      <c r="M115" s="6">
        <f t="shared" si="36"/>
        <v>2.7337962965248153E-2</v>
      </c>
      <c r="N115" s="7">
        <f t="shared" si="51"/>
        <v>39.36666666995734</v>
      </c>
      <c r="O115" s="7"/>
      <c r="P115" s="7"/>
      <c r="Q115" s="23"/>
      <c r="R115" s="23"/>
      <c r="S115" s="35">
        <f t="shared" si="52"/>
        <v>1</v>
      </c>
      <c r="T115" s="50" t="str">
        <f t="shared" si="37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15:45:13-700',mode:absolute,to:'2016-11-27 18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5" s="52" t="str">
        <f t="shared" si="39"/>
        <v>N</v>
      </c>
      <c r="X115" s="177">
        <f t="shared" ref="X115:X121" si="54">VALUE(LEFT(AD115,4))-VALUE(LEFT(AD114,4))</f>
        <v>1</v>
      </c>
      <c r="Y115" s="67">
        <f t="shared" si="40"/>
        <v>23.3005</v>
      </c>
      <c r="Z115" s="67">
        <f t="shared" si="53"/>
        <v>1.49E-2</v>
      </c>
      <c r="AA115" s="67">
        <f t="shared" si="42"/>
        <v>23.285599999999999</v>
      </c>
      <c r="AB115" s="64" t="str">
        <f>VLOOKUP(A115,Enforcements!$C$7:$K$20,8,0)</f>
        <v>Form based authority (4)</v>
      </c>
      <c r="AC115" s="60" t="str">
        <f>VLOOKUP(A115,Enforcements!$C$7:$E$20,3,0)</f>
        <v>TRACK WARRANT AUTHORITY</v>
      </c>
      <c r="AD115" s="61" t="str">
        <f t="shared" si="43"/>
        <v>0200-27</v>
      </c>
      <c r="AE115" s="91" t="str">
        <f t="shared" si="44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115" s="88" t="str">
        <f t="shared" si="45"/>
        <v>"C:\Program Files (x86)\AstroGrep\AstroGrep.exe" /spath="%USERPROFILE%\AppData\Local\Temp\OnboardLogs" /stypes="app*4015*20161128*" /stext=" 00:.+((SYSTEM_STATE.+slice.+state.+changed )|(ment ac)|(multiple cpu faults)|(system.+state.+changed )|(\[timeout)|(PRM\|1\|D)|(kpr)|(kdp)|(\|lc)|(penalty))" /e /r /s</v>
      </c>
      <c r="AG115" s="1" t="str">
        <f t="shared" si="46"/>
        <v>EC</v>
      </c>
      <c r="AH115" s="92" t="str">
        <f t="shared" si="48"/>
        <v>"%USERPROFILE%\Documents\GitHub\eaglep3\Utilities\RefineRTDCRunTimes.py" --tripid 200-27 --locoid 4015 --swversion DE.1.0.8.0 --startMP 204:233005 --initTime 2016-11-27T16:45:13 --startdatetime 2016-11-27T16:56:23 --delay 1 --endMP 204:149 --enddatetime 2016-11-27T17:35:45 --enforcementcount 0 &gt;&gt;C:\Users\stu\Documents\GitHub\eaglep3-reporting\EC\2016-11-27-refined-times.txt</v>
      </c>
      <c r="AI115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{"issue":{"subject":"","project_id":79,"tracker_id":40,"status_id":1,"priority_id":2,"assigned_to_id":23,"start_date":"2016-11-27","description":"","custom_fields":[{"id":1,"name":"Subdivision","value":"EC"},{"id":4,"name":"Milepost","value":"0.0149"},{"id":17,"name":"Train ID","value":"200-27"},{"id":16,"name":"Locomotive ID","value":"4015"},{"id":130,"name":"Impact","value":""},{"id":150,"name":"Time of Event (Mountain Time)","value":"17:35:45"},{"id":151,"name":"Denver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539</v>
      </c>
      <c r="B116" s="7">
        <v>4046</v>
      </c>
      <c r="C116" s="22" t="s">
        <v>215</v>
      </c>
      <c r="D116" s="22" t="s">
        <v>708</v>
      </c>
      <c r="E116" s="13">
        <v>42701.681840277779</v>
      </c>
      <c r="F116" s="13">
        <v>42701.683020833334</v>
      </c>
      <c r="G116" s="7">
        <v>1</v>
      </c>
      <c r="H116" s="22" t="s">
        <v>300</v>
      </c>
      <c r="I116" s="13">
        <v>42701.704733796294</v>
      </c>
      <c r="J116" s="7">
        <v>0</v>
      </c>
      <c r="K116" s="109" t="str">
        <f t="shared" si="35"/>
        <v>4045/4046</v>
      </c>
      <c r="L116" s="22" t="str">
        <f>VLOOKUP(A116,'Trips&amp;Operators'!$C$1:$E$10000,3,FALSE)</f>
        <v>STEWART</v>
      </c>
      <c r="M116" s="6">
        <f t="shared" si="36"/>
        <v>2.1712962960009463E-2</v>
      </c>
      <c r="N116" s="7"/>
      <c r="O116" s="7"/>
      <c r="P116" s="7">
        <f>24*60*SUM($M116:$M116)</f>
        <v>31.266666662413627</v>
      </c>
      <c r="Q116" s="23"/>
      <c r="R116" s="23" t="s">
        <v>802</v>
      </c>
      <c r="S116" s="35">
        <f t="shared" si="52"/>
        <v>1</v>
      </c>
      <c r="T116" s="50" t="str">
        <f t="shared" si="37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15:21:51-700',mode:absolute,to:'2016-11-27 17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6" s="52" t="str">
        <f t="shared" si="39"/>
        <v>Y</v>
      </c>
      <c r="X116" s="177">
        <f t="shared" si="54"/>
        <v>1</v>
      </c>
      <c r="Y116" s="67">
        <f t="shared" si="40"/>
        <v>1.9126000000000001</v>
      </c>
      <c r="Z116" s="67">
        <f t="shared" si="53"/>
        <v>23.329799999999999</v>
      </c>
      <c r="AA116" s="67">
        <f t="shared" si="42"/>
        <v>21.417199999999998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43"/>
        <v>0201-27</v>
      </c>
      <c r="AE116" s="91" t="str">
        <f t="shared" si="44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116" s="88" t="str">
        <f t="shared" si="45"/>
        <v>"C:\Program Files (x86)\AstroGrep\AstroGrep.exe" /spath="%USERPROFILE%\AppData\Local\Temp\OnboardLogs" /stypes="app*4046*20161127*" /stext=" 23:.+((SYSTEM_STATE.+slice.+state.+changed )|(ment ac)|(multiple cpu faults)|(system.+state.+changed )|(\[timeout)|(PRM\|1\|D)|(kpr)|(kdp)|(\|lc)|(penalty))" /e /r /s</v>
      </c>
      <c r="AG116" s="1" t="str">
        <f t="shared" si="46"/>
        <v>EC</v>
      </c>
      <c r="AH116" s="92" t="str">
        <f t="shared" si="48"/>
        <v>"%USERPROFILE%\Documents\GitHub\eaglep3\Utilities\RefineRTDCRunTimes.py" --tripid 201-27 --locoid 4046 --swversion DE.1.0.8.0 --startMP 204:19126 --initTime 2016-11-27T16:21:51 --startdatetime 2016-11-27T16:23:33 --delay 1 --endMP 204:233298 --enddatetime 2016-11-27T16:54:49 --enforcementcount 0 &gt;&gt;C:\Users\stu\Documents\GitHub\eaglep3-reporting\EC\2016-11-27-refined-times.txt</v>
      </c>
      <c r="AI116" s="119" t="str">
        <f t="shared" si="49"/>
        <v>echo {"issue":{"subject":"DUS 2N/20N STOP","project_id":79,"tracker_id":40,"status_id":1,"priority_id":2,"assigned_to_id":23,"start_date":"2016-11-27","description":"","custom_fields":[{"id":1,"name":"Subdivision","value":"EC"},{"id":4,"name":"Milepost","value":"23.3298"},{"id":17,"name":"Train ID","value":"201-27"},{"id":16,"name":"Locomotive ID","value":"4046"},{"id":130,"name":"Impact","value":""},{"id":150,"name":"Time of Event (Mountain Time)","value":"16:54:49"},{"id":151,"name":"Denver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548</v>
      </c>
      <c r="B117" s="7">
        <v>4045</v>
      </c>
      <c r="C117" s="22" t="s">
        <v>215</v>
      </c>
      <c r="D117" s="22" t="s">
        <v>255</v>
      </c>
      <c r="E117" s="13">
        <v>42701.713587962964</v>
      </c>
      <c r="F117" s="13">
        <v>42701.716539351852</v>
      </c>
      <c r="G117" s="7">
        <v>1</v>
      </c>
      <c r="H117" s="22" t="s">
        <v>237</v>
      </c>
      <c r="I117" s="13">
        <v>42701.742696759262</v>
      </c>
      <c r="J117" s="7">
        <v>0</v>
      </c>
      <c r="K117" s="109" t="str">
        <f t="shared" si="35"/>
        <v>4045/4046</v>
      </c>
      <c r="L117" s="22" t="str">
        <f>VLOOKUP(A117,'Trips&amp;Operators'!$C$1:$E$10000,3,FALSE)</f>
        <v>STEWART</v>
      </c>
      <c r="M117" s="6">
        <f t="shared" si="36"/>
        <v>2.6157407410209998E-2</v>
      </c>
      <c r="N117" s="7">
        <f t="shared" ref="N117:N138" si="55">24*60*SUM($M117:$M117)</f>
        <v>37.666666670702398</v>
      </c>
      <c r="O117" s="7"/>
      <c r="P117" s="7"/>
      <c r="Q117" s="23"/>
      <c r="R117" s="23"/>
      <c r="S117" s="35">
        <f t="shared" si="52"/>
        <v>1</v>
      </c>
      <c r="T117" s="50" t="str">
        <f t="shared" si="37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16:07:34-700',mode:absolute,to:'2016-11-27 18:49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7" s="52" t="str">
        <f t="shared" si="39"/>
        <v>N</v>
      </c>
      <c r="X117" s="177">
        <f t="shared" si="54"/>
        <v>1</v>
      </c>
      <c r="Y117" s="67">
        <f t="shared" si="40"/>
        <v>23.298300000000001</v>
      </c>
      <c r="Z117" s="67">
        <f t="shared" si="53"/>
        <v>1.54E-2</v>
      </c>
      <c r="AA117" s="67">
        <f t="shared" si="42"/>
        <v>23.282900000000001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43"/>
        <v>0202-27</v>
      </c>
      <c r="AE117" s="91" t="str">
        <f t="shared" si="44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117" s="88" t="str">
        <f t="shared" si="45"/>
        <v>"C:\Program Files (x86)\AstroGrep\AstroGrep.exe" /spath="%USERPROFILE%\AppData\Local\Temp\OnboardLogs" /stypes="app*4045*20161128*" /stext=" 00:.+((SYSTEM_STATE.+slice.+state.+changed )|(ment ac)|(multiple cpu faults)|(system.+state.+changed )|(\[timeout)|(PRM\|1\|D)|(kpr)|(kdp)|(\|lc)|(penalty))" /e /r /s</v>
      </c>
      <c r="AG117" s="1" t="str">
        <f t="shared" si="46"/>
        <v>EC</v>
      </c>
      <c r="AH117" s="92" t="str">
        <f t="shared" si="48"/>
        <v>"%USERPROFILE%\Documents\GitHub\eaglep3\Utilities\RefineRTDCRunTimes.py" --tripid 202-27 --locoid 4045 --swversion DE.1.0.8.0 --startMP 204:232983 --initTime 2016-11-27T17:07:34 --startdatetime 2016-11-27T17:11:49 --delay 1 --endMP 204:154 --enddatetime 2016-11-27T17:49:29 --enforcementcount 0 &gt;&gt;C:\Users\stu\Documents\GitHub\eaglep3-reporting\EC\2016-11-27-refined-times.txt</v>
      </c>
      <c r="AI117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{"issue":{"subject":"","project_id":79,"tracker_id":40,"status_id":1,"priority_id":2,"assigned_to_id":23,"start_date":"2016-11-27","description":"","custom_fields":[{"id":1,"name":"Subdivision","value":"EC"},{"id":4,"name":"Milepost","value":"0.0154"},{"id":17,"name":"Train ID","value":"202-27"},{"id":16,"name":"Locomotive ID","value":"4045"},{"id":130,"name":"Impact","value":""},{"id":150,"name":"Time of Event (Mountain Time)","value":"17:49:29"},{"id":151,"name":"Denver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543</v>
      </c>
      <c r="B118" s="7">
        <v>4022</v>
      </c>
      <c r="C118" s="22" t="s">
        <v>215</v>
      </c>
      <c r="D118" s="22" t="s">
        <v>212</v>
      </c>
      <c r="E118" s="13">
        <v>42701.682662037034</v>
      </c>
      <c r="F118" s="13">
        <v>42701.687685185185</v>
      </c>
      <c r="G118" s="7">
        <v>1</v>
      </c>
      <c r="H118" s="22" t="s">
        <v>390</v>
      </c>
      <c r="I118" s="13">
        <v>42701.712754629632</v>
      </c>
      <c r="J118" s="7">
        <v>0</v>
      </c>
      <c r="K118" s="109" t="str">
        <f t="shared" si="35"/>
        <v>4021/4022</v>
      </c>
      <c r="L118" s="22" t="str">
        <f>VLOOKUP(A118,'Trips&amp;Operators'!$C$1:$E$10000,3,FALSE)</f>
        <v>BARTLETT</v>
      </c>
      <c r="M118" s="6">
        <f t="shared" si="36"/>
        <v>2.5069444447581191E-2</v>
      </c>
      <c r="N118" s="7">
        <f t="shared" si="55"/>
        <v>36.100000004516914</v>
      </c>
      <c r="O118" s="7"/>
      <c r="P118" s="7"/>
      <c r="Q118" s="23"/>
      <c r="R118" s="23"/>
      <c r="S118" s="35">
        <f t="shared" si="52"/>
        <v>1</v>
      </c>
      <c r="T118" s="50" t="str">
        <f t="shared" si="37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15:23:02-700',mode:absolute,to:'2016-11-27 18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8" s="52" t="str">
        <f t="shared" si="39"/>
        <v>N</v>
      </c>
      <c r="X118" s="177">
        <f t="shared" si="54"/>
        <v>1</v>
      </c>
      <c r="Y118" s="67">
        <f t="shared" si="40"/>
        <v>4.6199999999999998E-2</v>
      </c>
      <c r="Z118" s="67">
        <f t="shared" si="53"/>
        <v>23.3309</v>
      </c>
      <c r="AA118" s="67">
        <f t="shared" si="42"/>
        <v>23.284700000000001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43"/>
        <v>0203-27</v>
      </c>
      <c r="AE118" s="91" t="str">
        <f t="shared" si="44"/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118" s="88" t="str">
        <f t="shared" si="45"/>
        <v>"C:\Program Files (x86)\AstroGrep\AstroGrep.exe" /spath="%USERPROFILE%\AppData\Local\Temp\OnboardLogs" /stypes="app*4022*20161128*" /stext=" 00:.+((SYSTEM_STATE.+slice.+state.+changed )|(ment ac)|(multiple cpu faults)|(system.+state.+changed )|(\[timeout)|(PRM\|1\|D)|(kpr)|(kdp)|(\|lc)|(penalty))" /e /r /s</v>
      </c>
      <c r="AG118" s="1" t="str">
        <f t="shared" si="46"/>
        <v>EC</v>
      </c>
      <c r="AH118" s="92" t="str">
        <f t="shared" si="48"/>
        <v>"%USERPROFILE%\Documents\GitHub\eaglep3\Utilities\RefineRTDCRunTimes.py" --tripid 203-27 --locoid 4022 --swversion DE.1.0.8.0 --startMP 204:462 --initTime 2016-11-27T16:23:02 --startdatetime 2016-11-27T16:30:16 --delay 1 --endMP 204:233309 --enddatetime 2016-11-27T17:06:22 --enforcementcount 0 &gt;&gt;C:\Users\stu\Documents\GitHub\eaglep3-reporting\EC\2016-11-27-refined-times.txt</v>
      </c>
      <c r="AI118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{"issue":{"subject":"","project_id":79,"tracker_id":40,"status_id":1,"priority_id":2,"assigned_to_id":23,"start_date":"2016-11-27","description":"","custom_fields":[{"id":1,"name":"Subdivision","value":"EC"},{"id":4,"name":"Milepost","value":"23.3309"},{"id":17,"name":"Train ID","value":"203-27"},{"id":16,"name":"Locomotive ID","value":"4022"},{"id":130,"name":"Impact","value":""},{"id":150,"name":"Time of Event (Mountain Time)","value":"17:06:22"},{"id":151,"name":"Denver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549</v>
      </c>
      <c r="B119" s="7">
        <v>4021</v>
      </c>
      <c r="C119" s="22" t="s">
        <v>215</v>
      </c>
      <c r="D119" s="22" t="s">
        <v>709</v>
      </c>
      <c r="E119" s="13">
        <v>42701.715208333335</v>
      </c>
      <c r="F119" s="13">
        <v>42701.7266087963</v>
      </c>
      <c r="G119" s="7">
        <v>1</v>
      </c>
      <c r="H119" s="22" t="s">
        <v>250</v>
      </c>
      <c r="I119" s="13">
        <v>42701.753194444442</v>
      </c>
      <c r="J119" s="7">
        <v>0</v>
      </c>
      <c r="K119" s="109" t="str">
        <f t="shared" si="35"/>
        <v>4021/4022</v>
      </c>
      <c r="L119" s="22" t="str">
        <f>VLOOKUP(A119,'Trips&amp;Operators'!$C$1:$E$10000,3,FALSE)</f>
        <v>BARTLETT</v>
      </c>
      <c r="M119" s="6">
        <f t="shared" si="36"/>
        <v>2.6585648141917773E-2</v>
      </c>
      <c r="N119" s="7">
        <f t="shared" si="55"/>
        <v>38.283333324361593</v>
      </c>
      <c r="O119" s="7"/>
      <c r="P119" s="7"/>
      <c r="Q119" s="23"/>
      <c r="R119" s="23"/>
      <c r="S119" s="35">
        <f t="shared" si="52"/>
        <v>1</v>
      </c>
      <c r="T119" s="50" t="str">
        <f t="shared" si="37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16:09:54-700',mode:absolute,to:'2016-11-27 19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9" s="52" t="str">
        <f t="shared" si="39"/>
        <v>N</v>
      </c>
      <c r="X119" s="177">
        <f t="shared" si="54"/>
        <v>1</v>
      </c>
      <c r="Y119" s="67">
        <f t="shared" si="40"/>
        <v>23.2971</v>
      </c>
      <c r="Z119" s="67">
        <f t="shared" si="53"/>
        <v>1.47E-2</v>
      </c>
      <c r="AA119" s="67">
        <f t="shared" si="42"/>
        <v>23.282399999999999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43"/>
        <v>0204-27</v>
      </c>
      <c r="AE119" s="91" t="str">
        <f t="shared" si="44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119" s="88" t="str">
        <f t="shared" si="45"/>
        <v>"C:\Program Files (x86)\AstroGrep\AstroGrep.exe" /spath="%USERPROFILE%\AppData\Local\Temp\OnboardLogs" /stypes="app*4021*20161128*" /stext=" 01:.+((SYSTEM_STATE.+slice.+state.+changed )|(ment ac)|(multiple cpu faults)|(system.+state.+changed )|(\[timeout)|(PRM\|1\|D)|(kpr)|(kdp)|(\|lc)|(penalty))" /e /r /s</v>
      </c>
      <c r="AG119" s="1" t="str">
        <f t="shared" si="46"/>
        <v>EC</v>
      </c>
      <c r="AH119" s="92" t="str">
        <f t="shared" si="48"/>
        <v>"%USERPROFILE%\Documents\GitHub\eaglep3\Utilities\RefineRTDCRunTimes.py" --tripid 204-27 --locoid 4021 --swversion DE.1.0.8.0 --startMP 204:232971 --initTime 2016-11-27T17:09:54 --startdatetime 2016-11-27T17:26:19 --delay 1 --endMP 204:147 --enddatetime 2016-11-27T18:04:36 --enforcementcount 0 &gt;&gt;C:\Users\stu\Documents\GitHub\eaglep3-reporting\EC\2016-11-27-refined-times.txt</v>
      </c>
      <c r="AI119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{"issue":{"subject":"","project_id":79,"tracker_id":40,"status_id":1,"priority_id":2,"assigned_to_id":23,"start_date":"2016-11-27","description":"","custom_fields":[{"id":1,"name":"Subdivision","value":"EC"},{"id":4,"name":"Milepost","value":"0.0147"},{"id":17,"name":"Train ID","value":"204-27"},{"id":16,"name":"Locomotive ID","value":"4021"},{"id":130,"name":"Impact","value":""},{"id":150,"name":"Time of Event (Mountain Time)","value":"18:04:36"},{"id":151,"name":"Denver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545</v>
      </c>
      <c r="B120" s="7">
        <v>4011</v>
      </c>
      <c r="C120" s="22" t="s">
        <v>215</v>
      </c>
      <c r="D120" s="22" t="s">
        <v>382</v>
      </c>
      <c r="E120" s="13">
        <v>42701.691828703704</v>
      </c>
      <c r="F120" s="13">
        <v>42701.698136574072</v>
      </c>
      <c r="G120" s="7">
        <v>1</v>
      </c>
      <c r="H120" s="22" t="s">
        <v>374</v>
      </c>
      <c r="I120" s="13">
        <v>42701.722488425927</v>
      </c>
      <c r="J120" s="7">
        <v>0</v>
      </c>
      <c r="K120" s="109" t="str">
        <f t="shared" si="35"/>
        <v>4011/4012</v>
      </c>
      <c r="L120" s="22" t="str">
        <f>VLOOKUP(A120,'Trips&amp;Operators'!$C$1:$E$10000,3,FALSE)</f>
        <v>BRUDER</v>
      </c>
      <c r="M120" s="6">
        <f t="shared" si="36"/>
        <v>2.4351851854589768E-2</v>
      </c>
      <c r="N120" s="7">
        <f t="shared" si="55"/>
        <v>35.066666670609266</v>
      </c>
      <c r="O120" s="7"/>
      <c r="P120" s="7"/>
      <c r="Q120" s="23"/>
      <c r="R120" s="23"/>
      <c r="S120" s="35">
        <f t="shared" si="52"/>
        <v>1</v>
      </c>
      <c r="T120" s="50" t="str">
        <f t="shared" si="37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15:36:14-700',mode:absolute,to:'2016-11-27 18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0" s="52" t="str">
        <f t="shared" si="39"/>
        <v>N</v>
      </c>
      <c r="X120" s="177">
        <f t="shared" si="54"/>
        <v>1</v>
      </c>
      <c r="Y120" s="67">
        <f t="shared" si="40"/>
        <v>4.58E-2</v>
      </c>
      <c r="Z120" s="67">
        <f t="shared" si="53"/>
        <v>23.331</v>
      </c>
      <c r="AA120" s="67">
        <f t="shared" si="42"/>
        <v>23.2852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43"/>
        <v>0205-27</v>
      </c>
      <c r="AE120" s="91" t="str">
        <f t="shared" si="44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120" s="88" t="str">
        <f t="shared" si="45"/>
        <v>"C:\Program Files (x86)\AstroGrep\AstroGrep.exe" /spath="%USERPROFILE%\AppData\Local\Temp\OnboardLogs" /stypes="app*4011*20161128*" /stext=" 00:.+((SYSTEM_STATE.+slice.+state.+changed )|(ment ac)|(multiple cpu faults)|(system.+state.+changed )|(\[timeout)|(PRM\|1\|D)|(kpr)|(kdp)|(\|lc)|(penalty))" /e /r /s</v>
      </c>
      <c r="AG120" s="1" t="str">
        <f t="shared" si="46"/>
        <v>EC</v>
      </c>
      <c r="AH120" s="92" t="str">
        <f t="shared" si="48"/>
        <v>"%USERPROFILE%\Documents\GitHub\eaglep3\Utilities\RefineRTDCRunTimes.py" --tripid 205-27 --locoid 4011 --swversion DE.1.0.8.0 --startMP 204:458 --initTime 2016-11-27T16:36:14 --startdatetime 2016-11-27T16:45:19 --delay 1 --endMP 204:233310 --enddatetime 2016-11-27T17:20:23 --enforcementcount 0 &gt;&gt;C:\Users\stu\Documents\GitHub\eaglep3-reporting\EC\2016-11-27-refined-times.txt</v>
      </c>
      <c r="AI120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{"issue":{"subject":"","project_id":79,"tracker_id":40,"status_id":1,"priority_id":2,"assigned_to_id":23,"start_date":"2016-11-27","description":"","custom_fields":[{"id":1,"name":"Subdivision","value":"EC"},{"id":4,"name":"Milepost","value":"23.331"},{"id":17,"name":"Train ID","value":"205-27"},{"id":16,"name":"Locomotive ID","value":"4011"},{"id":130,"name":"Impact","value":""},{"id":150,"name":"Time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554</v>
      </c>
      <c r="B121" s="7">
        <v>4012</v>
      </c>
      <c r="C121" s="22" t="s">
        <v>215</v>
      </c>
      <c r="D121" s="22" t="s">
        <v>241</v>
      </c>
      <c r="E121" s="13">
        <v>42701.730069444442</v>
      </c>
      <c r="F121" s="13">
        <v>42701.737013888887</v>
      </c>
      <c r="G121" s="7">
        <v>1</v>
      </c>
      <c r="H121" s="22" t="s">
        <v>240</v>
      </c>
      <c r="I121" s="13">
        <v>42701.76326388889</v>
      </c>
      <c r="J121" s="7">
        <v>0</v>
      </c>
      <c r="K121" s="109" t="str">
        <f t="shared" si="35"/>
        <v>4011/4012</v>
      </c>
      <c r="L121" s="22" t="str">
        <f>VLOOKUP(A121,'Trips&amp;Operators'!$C$1:$E$10000,3,FALSE)</f>
        <v>BRUDER</v>
      </c>
      <c r="M121" s="6">
        <f t="shared" si="36"/>
        <v>2.6250000002619345E-2</v>
      </c>
      <c r="N121" s="7">
        <f t="shared" si="55"/>
        <v>37.800000003771856</v>
      </c>
      <c r="O121" s="7"/>
      <c r="P121" s="7"/>
      <c r="Q121" s="23"/>
      <c r="R121" s="23"/>
      <c r="S121" s="35">
        <f t="shared" si="52"/>
        <v>1</v>
      </c>
      <c r="T121" s="50" t="str">
        <f t="shared" si="37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16:31:18-700',mode:absolute,to:'2016-11-27 19:19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1" s="52" t="str">
        <f t="shared" si="39"/>
        <v>N</v>
      </c>
      <c r="X121" s="177">
        <f t="shared" si="54"/>
        <v>1</v>
      </c>
      <c r="Y121" s="67">
        <f t="shared" si="40"/>
        <v>23.2987</v>
      </c>
      <c r="Z121" s="67">
        <f t="shared" si="53"/>
        <v>1.41E-2</v>
      </c>
      <c r="AA121" s="67">
        <f t="shared" si="42"/>
        <v>23.284600000000001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43"/>
        <v>0206-27</v>
      </c>
      <c r="AE121" s="91" t="str">
        <f t="shared" si="44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121" s="88" t="str">
        <f t="shared" si="45"/>
        <v>"C:\Program Files (x86)\AstroGrep\AstroGrep.exe" /spath="%USERPROFILE%\AppData\Local\Temp\OnboardLogs" /stypes="app*4012*20161128*" /stext=" 01:.+((SYSTEM_STATE.+slice.+state.+changed )|(ment ac)|(multiple cpu faults)|(system.+state.+changed )|(\[timeout)|(PRM\|1\|D)|(kpr)|(kdp)|(\|lc)|(penalty))" /e /r /s</v>
      </c>
      <c r="AG121" s="1" t="str">
        <f t="shared" si="46"/>
        <v>EC</v>
      </c>
      <c r="AH121" s="92" t="str">
        <f t="shared" si="48"/>
        <v>"%USERPROFILE%\Documents\GitHub\eaglep3\Utilities\RefineRTDCRunTimes.py" --tripid 206-27 --locoid 4012 --swversion DE.1.0.8.0 --startMP 204:232987 --initTime 2016-11-27T17:31:18 --startdatetime 2016-11-27T17:41:18 --delay 1 --endMP 204:141 --enddatetime 2016-11-27T18:19:06 --enforcementcount 0 &gt;&gt;C:\Users\stu\Documents\GitHub\eaglep3-reporting\EC\2016-11-27-refined-times.txt</v>
      </c>
      <c r="AI121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{"issue":{"subject":"","project_id":79,"tracker_id":40,"status_id":1,"priority_id":2,"assigned_to_id":23,"start_date":"2016-11-27","description":"","custom_fields":[{"id":1,"name":"Subdivision","value":"EC"},{"id":4,"name":"Milepost","value":"0.0141"},{"id":17,"name":"Train ID","value":"206-27"},{"id":16,"name":"Locomotive ID","value":"4012"},{"id":130,"name":"Impact","value":""},{"id":150,"name":"Time of Event (Mountain Time)","value":"18:19:06"},{"id":151,"name":"Denver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546</v>
      </c>
      <c r="B122" s="7">
        <v>4038</v>
      </c>
      <c r="C122" s="22" t="s">
        <v>215</v>
      </c>
      <c r="D122" s="22" t="s">
        <v>342</v>
      </c>
      <c r="E122" s="13">
        <v>42701.705138888887</v>
      </c>
      <c r="F122" s="13">
        <v>42701.708715277775</v>
      </c>
      <c r="G122" s="7">
        <v>1</v>
      </c>
      <c r="H122" s="22" t="s">
        <v>336</v>
      </c>
      <c r="I122" s="13">
        <v>42701.733402777776</v>
      </c>
      <c r="J122" s="7">
        <v>0</v>
      </c>
      <c r="K122" s="109" t="str">
        <f t="shared" si="35"/>
        <v>4037/4038</v>
      </c>
      <c r="L122" s="22" t="str">
        <f>VLOOKUP(A122,'Trips&amp;Operators'!$C$1:$E$10000,3,FALSE)</f>
        <v>MOSES</v>
      </c>
      <c r="M122" s="6">
        <f t="shared" si="36"/>
        <v>2.4687500001164153E-2</v>
      </c>
      <c r="N122" s="7">
        <f t="shared" si="55"/>
        <v>35.550000001676381</v>
      </c>
      <c r="O122" s="7"/>
      <c r="P122" s="7"/>
      <c r="Q122" s="23"/>
      <c r="R122" s="23"/>
      <c r="S122" s="35">
        <f t="shared" si="52"/>
        <v>1</v>
      </c>
      <c r="T122" s="50" t="str">
        <f t="shared" si="37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15:55:24-700',mode:absolute,to:'2016-11-27 18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2" s="52" t="str">
        <f t="shared" si="39"/>
        <v>N</v>
      </c>
      <c r="X122" s="177">
        <f t="shared" ref="X122:X156" si="56">VALUE(LEFT(AD122,4))-VALUE(LEFT(AD121,4))</f>
        <v>1</v>
      </c>
      <c r="Y122" s="67">
        <f t="shared" si="40"/>
        <v>4.7300000000000002E-2</v>
      </c>
      <c r="Z122" s="67">
        <f t="shared" si="53"/>
        <v>23.330100000000002</v>
      </c>
      <c r="AA122" s="67">
        <f t="shared" si="42"/>
        <v>23.282800000000002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43"/>
        <v>0207-27</v>
      </c>
      <c r="AE122" s="91" t="str">
        <f t="shared" si="44"/>
        <v>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 &amp; 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</v>
      </c>
      <c r="AF122" s="88" t="str">
        <f t="shared" si="45"/>
        <v>"C:\Program Files (x86)\AstroGrep\AstroGrep.exe" /spath="%USERPROFILE%\AppData\Local\Temp\OnboardLogs" /stypes="app*4038*20161128*" /stext=" 00:.+((SYSTEM_STATE.+slice.+state.+changed )|(ment ac)|(multiple cpu faults)|(system.+state.+changed )|(\[timeout)|(PRM\|1\|D)|(kpr)|(kdp)|(\|lc)|(penalty))" /e /r /s</v>
      </c>
      <c r="AG122" s="1" t="str">
        <f t="shared" si="46"/>
        <v>EC</v>
      </c>
      <c r="AH122" s="92" t="str">
        <f t="shared" si="48"/>
        <v>"%USERPROFILE%\Documents\GitHub\eaglep3\Utilities\RefineRTDCRunTimes.py" --tripid 207-27 --locoid 4038 --swversion DE.1.0.8.0 --startMP 204:473 --initTime 2016-11-27T16:55:24 --startdatetime 2016-11-27T17:00:33 --delay 1 --endMP 204:233301 --enddatetime 2016-11-27T17:36:06 --enforcementcount 0 &gt;&gt;C:\Users\stu\Documents\GitHub\eaglep3-reporting\EC\2016-11-27-refined-times.txt</v>
      </c>
      <c r="AI122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{"issue":{"subject":"","project_id":79,"tracker_id":40,"status_id":1,"priority_id":2,"assigned_to_id":23,"start_date":"2016-11-27","description":"","custom_fields":[{"id":1,"name":"Subdivision","value":"EC"},{"id":4,"name":"Milepost","value":"23.3301"},{"id":17,"name":"Train ID","value":"207-27"},{"id":16,"name":"Locomotive ID","value":"4038"},{"id":130,"name":"Impact","value":""},{"id":150,"name":"Time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557</v>
      </c>
      <c r="B123" s="7">
        <v>4037</v>
      </c>
      <c r="C123" s="22" t="s">
        <v>215</v>
      </c>
      <c r="D123" s="22" t="s">
        <v>297</v>
      </c>
      <c r="E123" s="13">
        <v>42701.741064814814</v>
      </c>
      <c r="F123" s="13">
        <v>42701.747546296298</v>
      </c>
      <c r="G123" s="7">
        <v>1</v>
      </c>
      <c r="H123" s="22" t="s">
        <v>710</v>
      </c>
      <c r="I123" s="13">
        <v>42701.775740740741</v>
      </c>
      <c r="J123" s="7">
        <v>0</v>
      </c>
      <c r="K123" s="109" t="str">
        <f t="shared" si="35"/>
        <v>4037/4038</v>
      </c>
      <c r="L123" s="22" t="str">
        <f>VLOOKUP(A123,'Trips&amp;Operators'!$C$1:$E$10000,3,FALSE)</f>
        <v>MOSES</v>
      </c>
      <c r="M123" s="6">
        <f t="shared" si="36"/>
        <v>2.8194444443215616E-2</v>
      </c>
      <c r="N123" s="7">
        <f t="shared" si="55"/>
        <v>40.599999998230487</v>
      </c>
      <c r="O123" s="7"/>
      <c r="P123" s="7"/>
      <c r="Q123" s="23"/>
      <c r="R123" s="23"/>
      <c r="S123" s="35">
        <f t="shared" si="52"/>
        <v>1</v>
      </c>
      <c r="T123" s="50" t="str">
        <f t="shared" si="37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16:47:08-700',mode:absolute,to:'2016-11-27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3" s="52" t="str">
        <f t="shared" si="39"/>
        <v>N</v>
      </c>
      <c r="X123" s="177">
        <f t="shared" si="56"/>
        <v>1</v>
      </c>
      <c r="Y123" s="67">
        <f t="shared" si="40"/>
        <v>23.297999999999998</v>
      </c>
      <c r="Z123" s="67">
        <f t="shared" si="53"/>
        <v>1.23E-2</v>
      </c>
      <c r="AA123" s="67">
        <f t="shared" si="42"/>
        <v>23.285699999999999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43"/>
        <v>0208-27</v>
      </c>
      <c r="AE123" s="91" t="str">
        <f t="shared" si="44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123" s="88" t="str">
        <f t="shared" si="45"/>
        <v>"C:\Program Files (x86)\AstroGrep\AstroGrep.exe" /spath="%USERPROFILE%\AppData\Local\Temp\OnboardLogs" /stypes="app*4037*20161128*" /stext=" 01:.+((SYSTEM_STATE.+slice.+state.+changed )|(ment ac)|(multiple cpu faults)|(system.+state.+changed )|(\[timeout)|(PRM\|1\|D)|(kpr)|(kdp)|(\|lc)|(penalty))" /e /r /s</v>
      </c>
      <c r="AG123" s="1" t="str">
        <f t="shared" si="46"/>
        <v>EC</v>
      </c>
      <c r="AH123" s="92" t="str">
        <f t="shared" si="48"/>
        <v>"%USERPROFILE%\Documents\GitHub\eaglep3\Utilities\RefineRTDCRunTimes.py" --tripid 208-27 --locoid 4037 --swversion DE.1.0.8.0 --startMP 204:232980 --initTime 2016-11-27T17:47:08 --startdatetime 2016-11-27T17:56:28 --delay 1 --endMP 204:123 --enddatetime 2016-11-27T18:37:04 --enforcementcount 0 &gt;&gt;C:\Users\stu\Documents\GitHub\eaglep3-reporting\EC\2016-11-27-refined-times.txt</v>
      </c>
      <c r="AI123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{"issue":{"subject":"","project_id":79,"tracker_id":40,"status_id":1,"priority_id":2,"assigned_to_id":23,"start_date":"2016-11-27","description":"","custom_fields":[{"id":1,"name":"Subdivision","value":"EC"},{"id":4,"name":"Milepost","value":"0.0123"},{"id":17,"name":"Train ID","value":"208-27"},{"id":16,"name":"Locomotive ID","value":"4037"},{"id":130,"name":"Impact","value":""},{"id":150,"name":"Time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550</v>
      </c>
      <c r="B124" s="7">
        <v>4002</v>
      </c>
      <c r="C124" s="22" t="s">
        <v>215</v>
      </c>
      <c r="D124" s="22" t="s">
        <v>214</v>
      </c>
      <c r="E124" s="13">
        <v>42701.716041666667</v>
      </c>
      <c r="F124" s="13">
        <v>42701.718969907408</v>
      </c>
      <c r="G124" s="7">
        <v>1</v>
      </c>
      <c r="H124" s="22" t="s">
        <v>294</v>
      </c>
      <c r="I124" s="13">
        <v>42701.743831018517</v>
      </c>
      <c r="J124" s="7">
        <v>0</v>
      </c>
      <c r="K124" s="109" t="str">
        <f t="shared" si="35"/>
        <v>4001/4002</v>
      </c>
      <c r="L124" s="22" t="str">
        <f>VLOOKUP(A124,'Trips&amp;Operators'!$C$1:$E$10000,3,FALSE)</f>
        <v>LEVERE</v>
      </c>
      <c r="M124" s="6">
        <f t="shared" si="36"/>
        <v>2.4861111109203193E-2</v>
      </c>
      <c r="N124" s="7">
        <f t="shared" si="55"/>
        <v>35.799999997252598</v>
      </c>
      <c r="O124" s="7"/>
      <c r="P124" s="7"/>
      <c r="Q124" s="23"/>
      <c r="R124" s="23"/>
      <c r="S124" s="35">
        <f t="shared" si="52"/>
        <v>1</v>
      </c>
      <c r="T124" s="50" t="str">
        <f t="shared" si="37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16:11:06-700',mode:absolute,to:'2016-11-27 18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4" s="52" t="str">
        <f t="shared" si="39"/>
        <v>N</v>
      </c>
      <c r="X124" s="177">
        <f t="shared" si="56"/>
        <v>1</v>
      </c>
      <c r="Y124" s="67">
        <f t="shared" si="40"/>
        <v>4.6399999999999997E-2</v>
      </c>
      <c r="Z124" s="67">
        <f t="shared" si="53"/>
        <v>23.331199999999999</v>
      </c>
      <c r="AA124" s="67">
        <f t="shared" si="42"/>
        <v>23.284800000000001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43"/>
        <v>0209-27</v>
      </c>
      <c r="AE124" s="91" t="str">
        <f t="shared" si="44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124" s="88" t="str">
        <f t="shared" si="45"/>
        <v>"C:\Program Files (x86)\AstroGrep\AstroGrep.exe" /spath="%USERPROFILE%\AppData\Local\Temp\OnboardLogs" /stypes="app*4002*20161128*" /stext=" 00:.+((SYSTEM_STATE.+slice.+state.+changed )|(ment ac)|(multiple cpu faults)|(system.+state.+changed )|(\[timeout)|(PRM\|1\|D)|(kpr)|(kdp)|(\|lc)|(penalty))" /e /r /s</v>
      </c>
      <c r="AG124" s="1" t="str">
        <f t="shared" si="46"/>
        <v>EC</v>
      </c>
      <c r="AH124" s="92" t="str">
        <f t="shared" si="48"/>
        <v>"%USERPROFILE%\Documents\GitHub\eaglep3\Utilities\RefineRTDCRunTimes.py" --tripid 209-27 --locoid 4002 --swversion DE.1.0.8.0 --startMP 204:464 --initTime 2016-11-27T17:11:06 --startdatetime 2016-11-27T17:15:19 --delay 1 --endMP 204:233312 --enddatetime 2016-11-27T17:51:07 --enforcementcount 0 &gt;&gt;C:\Users\stu\Documents\GitHub\eaglep3-reporting\EC\2016-11-27-refined-times.txt</v>
      </c>
      <c r="AI124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{"issue":{"subject":"","project_id":79,"tracker_id":40,"status_id":1,"priority_id":2,"assigned_to_id":23,"start_date":"2016-11-27","description":"","custom_fields":[{"id":1,"name":"Subdivision","value":"EC"},{"id":4,"name":"Milepost","value":"23.3312"},{"id":17,"name":"Train ID","value":"209-27"},{"id":16,"name":"Locomotive ID","value":"4002"},{"id":130,"name":"Impact","value":""},{"id":150,"name":"Time of Event (Mountain Time)","value":"17:51:07"},{"id":151,"name":"Denver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561</v>
      </c>
      <c r="B125" s="7">
        <v>4001</v>
      </c>
      <c r="C125" s="22" t="s">
        <v>215</v>
      </c>
      <c r="D125" s="22" t="s">
        <v>334</v>
      </c>
      <c r="E125" s="13">
        <v>42701.752395833333</v>
      </c>
      <c r="F125" s="13">
        <v>42701.758206018516</v>
      </c>
      <c r="G125" s="7">
        <v>1</v>
      </c>
      <c r="H125" s="22" t="s">
        <v>638</v>
      </c>
      <c r="I125" s="13">
        <v>42701.785960648151</v>
      </c>
      <c r="J125" s="7">
        <v>0</v>
      </c>
      <c r="K125" s="109" t="str">
        <f t="shared" si="35"/>
        <v>4001/4002</v>
      </c>
      <c r="L125" s="22" t="str">
        <f>VLOOKUP(A125,'Trips&amp;Operators'!$C$1:$E$10000,3,FALSE)</f>
        <v>LEVERE</v>
      </c>
      <c r="M125" s="6">
        <f t="shared" si="36"/>
        <v>2.775462963472819E-2</v>
      </c>
      <c r="N125" s="7">
        <f t="shared" si="55"/>
        <v>39.966666674008593</v>
      </c>
      <c r="O125" s="7"/>
      <c r="P125" s="7"/>
      <c r="Q125" s="23"/>
      <c r="R125" s="23"/>
      <c r="S125" s="35">
        <f t="shared" si="52"/>
        <v>1</v>
      </c>
      <c r="T125" s="50" t="str">
        <f t="shared" si="37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17:03:27-700',mode:absolute,to:'2016-11-27 19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5" s="52" t="str">
        <f t="shared" si="39"/>
        <v>N</v>
      </c>
      <c r="X125" s="177">
        <f t="shared" si="56"/>
        <v>1</v>
      </c>
      <c r="Y125" s="67">
        <f t="shared" si="40"/>
        <v>23.298500000000001</v>
      </c>
      <c r="Z125" s="67">
        <f t="shared" si="53"/>
        <v>5.0900000000000001E-2</v>
      </c>
      <c r="AA125" s="67">
        <f t="shared" si="42"/>
        <v>23.247600000000002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43"/>
        <v>0210-27</v>
      </c>
      <c r="AE125" s="91" t="str">
        <f t="shared" si="44"/>
        <v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v>
      </c>
      <c r="AF125" s="88" t="str">
        <f t="shared" si="45"/>
        <v>"C:\Program Files (x86)\AstroGrep\AstroGrep.exe" /spath="%USERPROFILE%\AppData\Local\Temp\OnboardLogs" /stypes="app*4001*20161128*" /stext=" 01:.+((SYSTEM_STATE.+slice.+state.+changed )|(ment ac)|(multiple cpu faults)|(system.+state.+changed )|(\[timeout)|(PRM\|1\|D)|(kpr)|(kdp)|(\|lc)|(penalty))" /e /r /s</v>
      </c>
      <c r="AG125" s="1" t="str">
        <f t="shared" si="46"/>
        <v>EC</v>
      </c>
      <c r="AH125" s="92" t="str">
        <f t="shared" si="48"/>
        <v>"%USERPROFILE%\Documents\GitHub\eaglep3\Utilities\RefineRTDCRunTimes.py" --tripid 210-27 --locoid 4001 --swversion DE.1.0.8.0 --startMP 204:232985 --initTime 2016-11-27T18:03:27 --startdatetime 2016-11-27T18:11:49 --delay 1 --endMP 204:509 --enddatetime 2016-11-27T18:51:47 --enforcementcount 0 &gt;&gt;C:\Users\stu\Documents\GitHub\eaglep3-reporting\EC\2016-11-27-refined-times.txt</v>
      </c>
      <c r="AI125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{"issue":{"subject":"","project_id":79,"tracker_id":40,"status_id":1,"priority_id":2,"assigned_to_id":23,"start_date":"2016-11-27","description":"","custom_fields":[{"id":1,"name":"Subdivision","value":"EC"},{"id":4,"name":"Milepost","value":"0.0509"},{"id":17,"name":"Train ID","value":"210-27"},{"id":16,"name":"Locomotive ID","value":"4001"},{"id":130,"name":"Impact","value":""},{"id":150,"name":"Time of Event (Mountain Time)","value":"18:51:47"},{"id":151,"name":"Denver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553</v>
      </c>
      <c r="B126" s="7">
        <v>4009</v>
      </c>
      <c r="C126" s="22" t="s">
        <v>215</v>
      </c>
      <c r="D126" s="22" t="s">
        <v>342</v>
      </c>
      <c r="E126" s="13">
        <v>42701.727951388886</v>
      </c>
      <c r="F126" s="13">
        <v>42701.729814814818</v>
      </c>
      <c r="G126" s="7">
        <v>1</v>
      </c>
      <c r="H126" s="22" t="s">
        <v>645</v>
      </c>
      <c r="I126" s="13">
        <v>42701.756122685183</v>
      </c>
      <c r="J126" s="7">
        <v>0</v>
      </c>
      <c r="K126" s="109" t="str">
        <f t="shared" si="35"/>
        <v>4009/4010</v>
      </c>
      <c r="L126" s="22" t="str">
        <f>VLOOKUP(A126,'Trips&amp;Operators'!$C$1:$E$10000,3,FALSE)</f>
        <v>YOUNG</v>
      </c>
      <c r="M126" s="6">
        <f t="shared" si="36"/>
        <v>2.6307870364689734E-2</v>
      </c>
      <c r="N126" s="7">
        <f t="shared" si="55"/>
        <v>37.883333325153217</v>
      </c>
      <c r="O126" s="7"/>
      <c r="P126" s="7"/>
      <c r="Q126" s="23"/>
      <c r="R126" s="23"/>
      <c r="S126" s="35">
        <f t="shared" si="52"/>
        <v>1</v>
      </c>
      <c r="T126" s="50" t="str">
        <f t="shared" si="37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16:28:15-700',mode:absolute,to:'2016-11-27 19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6" s="52" t="str">
        <f t="shared" si="39"/>
        <v>N</v>
      </c>
      <c r="X126" s="177">
        <f t="shared" si="56"/>
        <v>1</v>
      </c>
      <c r="Y126" s="67">
        <f t="shared" si="40"/>
        <v>4.7300000000000002E-2</v>
      </c>
      <c r="Z126" s="67">
        <f t="shared" si="53"/>
        <v>23.332000000000001</v>
      </c>
      <c r="AA126" s="67">
        <f t="shared" si="42"/>
        <v>23.284700000000001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43"/>
        <v>0211-27</v>
      </c>
      <c r="AE126" s="91" t="str">
        <f t="shared" si="44"/>
        <v>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 &amp; 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</v>
      </c>
      <c r="AF126" s="88" t="str">
        <f t="shared" si="45"/>
        <v>"C:\Program Files (x86)\AstroGrep\AstroGrep.exe" /spath="%USERPROFILE%\AppData\Local\Temp\OnboardLogs" /stypes="app*4009*20161128*" /stext=" 01:.+((SYSTEM_STATE.+slice.+state.+changed )|(ment ac)|(multiple cpu faults)|(system.+state.+changed )|(\[timeout)|(PRM\|1\|D)|(kpr)|(kdp)|(\|lc)|(penalty))" /e /r /s</v>
      </c>
      <c r="AG126" s="1" t="str">
        <f t="shared" si="46"/>
        <v>EC</v>
      </c>
      <c r="AH126" s="92" t="str">
        <f t="shared" si="48"/>
        <v>"%USERPROFILE%\Documents\GitHub\eaglep3\Utilities\RefineRTDCRunTimes.py" --tripid 211-27 --locoid 4009 --swversion DE.1.0.8.0 --startMP 204:473 --initTime 2016-11-27T17:28:15 --startdatetime 2016-11-27T17:30:56 --delay 1 --endMP 204:233320 --enddatetime 2016-11-27T18:08:49 --enforcementcount 0 &gt;&gt;C:\Users\stu\Documents\GitHub\eaglep3-reporting\EC\2016-11-27-refined-times.txt</v>
      </c>
      <c r="AI126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{"issue":{"subject":"","project_id":79,"tracker_id":40,"status_id":1,"priority_id":2,"assigned_to_id":23,"start_date":"2016-11-27","description":"","custom_fields":[{"id":1,"name":"Subdivision","value":"EC"},{"id":4,"name":"Milepost","value":"23.332"},{"id":17,"name":"Train ID","value":"211-27"},{"id":16,"name":"Locomotive ID","value":"4009"},{"id":130,"name":"Impact","value":""},{"id":150,"name":"Time of Event (Mountain Time)","value":"18:08:49"},{"id":151,"name":"Denver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s="21" customFormat="1" x14ac:dyDescent="0.25">
      <c r="A127" s="37" t="s">
        <v>563</v>
      </c>
      <c r="B127" s="7">
        <v>4010</v>
      </c>
      <c r="C127" s="22" t="s">
        <v>215</v>
      </c>
      <c r="D127" s="22" t="s">
        <v>278</v>
      </c>
      <c r="E127" s="13">
        <v>42701.758738425924</v>
      </c>
      <c r="F127" s="13">
        <v>42701.768368055556</v>
      </c>
      <c r="G127" s="7">
        <v>2</v>
      </c>
      <c r="H127" s="22" t="s">
        <v>195</v>
      </c>
      <c r="I127" s="13">
        <v>42701.797118055554</v>
      </c>
      <c r="J127" s="7">
        <v>0</v>
      </c>
      <c r="K127" s="109" t="str">
        <f t="shared" si="35"/>
        <v>4009/4010</v>
      </c>
      <c r="L127" s="22" t="str">
        <f>VLOOKUP(A127,'Trips&amp;Operators'!$C$1:$E$10000,3,FALSE)</f>
        <v>YOUNG</v>
      </c>
      <c r="M127" s="6">
        <f t="shared" si="36"/>
        <v>2.8749999997671694E-2</v>
      </c>
      <c r="N127" s="7">
        <f t="shared" si="55"/>
        <v>41.399999996647239</v>
      </c>
      <c r="O127" s="7"/>
      <c r="P127" s="7"/>
      <c r="Q127" s="23"/>
      <c r="R127" s="23"/>
      <c r="S127" s="35">
        <f t="shared" si="52"/>
        <v>1</v>
      </c>
      <c r="T127" s="50" t="str">
        <f t="shared" si="37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17:12:35-700',mode:absolute,to:'2016-11-27 20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7" s="52" t="str">
        <f t="shared" si="39"/>
        <v>N</v>
      </c>
      <c r="X127" s="177">
        <f t="shared" si="56"/>
        <v>1</v>
      </c>
      <c r="Y127" s="67">
        <f t="shared" si="40"/>
        <v>23.3</v>
      </c>
      <c r="Z127" s="67">
        <f t="shared" si="53"/>
        <v>1.43E-2</v>
      </c>
      <c r="AA127" s="67">
        <f t="shared" si="42"/>
        <v>23.285700000000002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43"/>
        <v>0212-27</v>
      </c>
      <c r="AE127" s="91" t="str">
        <f t="shared" si="44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127" s="88" t="str">
        <f t="shared" si="45"/>
        <v>"C:\Program Files (x86)\AstroGrep\AstroGrep.exe" /spath="%USERPROFILE%\AppData\Local\Temp\OnboardLogs" /stypes="app*4010*20161128*" /stext=" 02:.+((SYSTEM_STATE.+slice.+state.+changed )|(ment ac)|(multiple cpu faults)|(system.+state.+changed )|(\[timeout)|(PRM\|1\|D)|(kpr)|(kdp)|(\|lc)|(penalty))" /e /r /s</v>
      </c>
      <c r="AG127" s="1" t="str">
        <f t="shared" si="46"/>
        <v>EC</v>
      </c>
      <c r="AH127" s="92" t="str">
        <f t="shared" si="48"/>
        <v>"%USERPROFILE%\Documents\GitHub\eaglep3\Utilities\RefineRTDCRunTimes.py" --tripid 212-27 --locoid 4010 --swversion DE.1.0.8.0 --startMP 204:233000 --initTime 2016-11-27T18:12:35 --startdatetime 2016-11-27T18:26:27 --delay 2 --endMP 204:143 --enddatetime 2016-11-27T19:07:51 --enforcementcount 0 &gt;&gt;C:\Users\stu\Documents\GitHub\eaglep3-reporting\EC\2016-11-27-refined-times.txt</v>
      </c>
      <c r="AI127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{"issue":{"subject":"","project_id":79,"tracker_id":40,"status_id":1,"priority_id":2,"assigned_to_id":23,"start_date":"2016-11-27","description":"","custom_fields":[{"id":1,"name":"Subdivision","value":"EC"},{"id":4,"name":"Milepost","value":"0.0143"},{"id":17,"name":"Train ID","value":"212-27"},{"id":16,"name":"Locomotive ID","value":"4010"},{"id":130,"name":"Impact","value":""},{"id":150,"name":"Time of Event (Mountain Time)","value":"19:07:51"},{"id":151,"name":"Denver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555</v>
      </c>
      <c r="B128" s="7">
        <v>4016</v>
      </c>
      <c r="C128" s="22" t="s">
        <v>215</v>
      </c>
      <c r="D128" s="22" t="s">
        <v>197</v>
      </c>
      <c r="E128" s="13">
        <v>42701.736550925925</v>
      </c>
      <c r="F128" s="13">
        <v>42701.739872685182</v>
      </c>
      <c r="G128" s="7">
        <v>2</v>
      </c>
      <c r="H128" s="22" t="s">
        <v>337</v>
      </c>
      <c r="I128" s="13">
        <v>42701.764467592591</v>
      </c>
      <c r="J128" s="7">
        <v>0</v>
      </c>
      <c r="K128" s="109" t="str">
        <f t="shared" si="35"/>
        <v>4015/4016</v>
      </c>
      <c r="L128" s="22" t="str">
        <f>VLOOKUP(A128,'Trips&amp;Operators'!$C$1:$E$10000,3,FALSE)</f>
        <v>COOLAHAN</v>
      </c>
      <c r="M128" s="6">
        <f t="shared" si="36"/>
        <v>2.4594907408754807E-2</v>
      </c>
      <c r="N128" s="7">
        <f t="shared" si="55"/>
        <v>35.416666668606922</v>
      </c>
      <c r="O128" s="7"/>
      <c r="P128" s="7"/>
      <c r="Q128" s="23"/>
      <c r="R128" s="23"/>
      <c r="S128" s="35">
        <f t="shared" si="52"/>
        <v>1</v>
      </c>
      <c r="T128" s="50" t="str">
        <f t="shared" si="37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16:40:38-700',mode:absolute,to:'2016-11-27 19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8" s="52" t="str">
        <f t="shared" si="39"/>
        <v>N</v>
      </c>
      <c r="X128" s="177">
        <f t="shared" si="56"/>
        <v>1</v>
      </c>
      <c r="Y128" s="67">
        <f t="shared" si="40"/>
        <v>4.53E-2</v>
      </c>
      <c r="Z128" s="67">
        <f t="shared" si="53"/>
        <v>23.332699999999999</v>
      </c>
      <c r="AA128" s="67">
        <f t="shared" si="42"/>
        <v>23.287399999999998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43"/>
        <v>0213-27</v>
      </c>
      <c r="AE128" s="91" t="str">
        <f t="shared" si="44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128" s="88" t="str">
        <f t="shared" si="45"/>
        <v>"C:\Program Files (x86)\AstroGrep\AstroGrep.exe" /spath="%USERPROFILE%\AppData\Local\Temp\OnboardLogs" /stypes="app*4016*20161128*" /stext=" 01:.+((SYSTEM_STATE.+slice.+state.+changed )|(ment ac)|(multiple cpu faults)|(system.+state.+changed )|(\[timeout)|(PRM\|1\|D)|(kpr)|(kdp)|(\|lc)|(penalty))" /e /r /s</v>
      </c>
      <c r="AG128" s="1" t="str">
        <f t="shared" si="46"/>
        <v>EC</v>
      </c>
      <c r="AH128" s="92" t="str">
        <f t="shared" si="48"/>
        <v>"%USERPROFILE%\Documents\GitHub\eaglep3\Utilities\RefineRTDCRunTimes.py" --tripid 213-27 --locoid 4016 --swversion DE.1.0.8.0 --startMP 204:453 --initTime 2016-11-27T17:40:38 --startdatetime 2016-11-27T17:45:25 --delay 2 --endMP 204:233327 --enddatetime 2016-11-27T18:20:50 --enforcementcount 0 &gt;&gt;C:\Users\stu\Documents\GitHub\eaglep3-reporting\EC\2016-11-27-refined-times.txt</v>
      </c>
      <c r="AI128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{"issue":{"subject":"","project_id":79,"tracker_id":40,"status_id":1,"priority_id":2,"assigned_to_id":23,"start_date":"2016-11-27","description":"","custom_fields":[{"id":1,"name":"Subdivision","value":"EC"},{"id":4,"name":"Milepost","value":"23.3327"},{"id":17,"name":"Train ID","value":"213-27"},{"id":16,"name":"Locomotive ID","value":"4016"},{"id":130,"name":"Impact","value":""},{"id":150,"name":"Time of Event (Mountain Time)","value":"18:20:50"},{"id":151,"name":"Denver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565</v>
      </c>
      <c r="B129" s="7">
        <v>4015</v>
      </c>
      <c r="C129" s="22" t="s">
        <v>215</v>
      </c>
      <c r="D129" s="22" t="s">
        <v>335</v>
      </c>
      <c r="E129" s="13">
        <v>42701.770925925928</v>
      </c>
      <c r="F129" s="13">
        <v>42701.779097222221</v>
      </c>
      <c r="G129" s="7">
        <v>2</v>
      </c>
      <c r="H129" s="22" t="s">
        <v>238</v>
      </c>
      <c r="I129" s="13">
        <v>42701.805439814816</v>
      </c>
      <c r="J129" s="7">
        <v>0</v>
      </c>
      <c r="K129" s="109" t="str">
        <f t="shared" si="35"/>
        <v>4015/4016</v>
      </c>
      <c r="L129" s="22" t="str">
        <f>VLOOKUP(A129,'Trips&amp;Operators'!$C$1:$E$10000,3,FALSE)</f>
        <v>COOLAHAN</v>
      </c>
      <c r="M129" s="6">
        <f t="shared" si="36"/>
        <v>2.6342592595028691E-2</v>
      </c>
      <c r="N129" s="7">
        <f t="shared" si="55"/>
        <v>37.933333336841315</v>
      </c>
      <c r="O129" s="7"/>
      <c r="P129" s="7"/>
      <c r="Q129" s="23"/>
      <c r="R129" s="23"/>
      <c r="S129" s="35">
        <f t="shared" si="52"/>
        <v>1</v>
      </c>
      <c r="T129" s="50" t="str">
        <f t="shared" si="37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17:30:08-700',mode:absolute,to:'2016-11-27 20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9" s="52" t="str">
        <f t="shared" si="39"/>
        <v>N</v>
      </c>
      <c r="X129" s="177">
        <f t="shared" si="56"/>
        <v>1</v>
      </c>
      <c r="Y129" s="67">
        <f t="shared" si="40"/>
        <v>23.300599999999999</v>
      </c>
      <c r="Z129" s="67">
        <f t="shared" si="53"/>
        <v>4.6600000000000003E-2</v>
      </c>
      <c r="AA129" s="67">
        <f t="shared" si="42"/>
        <v>23.253999999999998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43"/>
        <v>0214-27</v>
      </c>
      <c r="AE129" s="91" t="str">
        <f t="shared" si="44"/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AF129" s="88" t="str">
        <f t="shared" si="45"/>
        <v>"C:\Program Files (x86)\AstroGrep\AstroGrep.exe" /spath="%USERPROFILE%\AppData\Local\Temp\OnboardLogs" /stypes="app*4015*20161128*" /stext=" 02:.+((SYSTEM_STATE.+slice.+state.+changed )|(ment ac)|(multiple cpu faults)|(system.+state.+changed )|(\[timeout)|(PRM\|1\|D)|(kpr)|(kdp)|(\|lc)|(penalty))" /e /r /s</v>
      </c>
      <c r="AG129" s="1" t="str">
        <f t="shared" si="46"/>
        <v>EC</v>
      </c>
      <c r="AH129" s="92" t="str">
        <f t="shared" si="48"/>
        <v>"%USERPROFILE%\Documents\GitHub\eaglep3\Utilities\RefineRTDCRunTimes.py" --tripid 214-27 --locoid 4015 --swversion DE.1.0.8.0 --startMP 204:233006 --initTime 2016-11-27T18:30:08 --startdatetime 2016-11-27T18:41:54 --delay 2 --endMP 204:466 --enddatetime 2016-11-27T19:19:50 --enforcementcount 0 &gt;&gt;C:\Users\stu\Documents\GitHub\eaglep3-reporting\EC\2016-11-27-refined-times.txt</v>
      </c>
      <c r="AI129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{"issue":{"subject":"","project_id":79,"tracker_id":40,"status_id":1,"priority_id":2,"assigned_to_id":23,"start_date":"2016-11-27","description":"","custom_fields":[{"id":1,"name":"Subdivision","value":"EC"},{"id":4,"name":"Milepost","value":"0.0466"},{"id":17,"name":"Train ID","value":"214-27"},{"id":16,"name":"Locomotive ID","value":"4015"},{"id":130,"name":"Impact","value":""},{"id":150,"name":"Time of Event (Mountain Time)","value":"19:19:50"},{"id":151,"name":"Denver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558</v>
      </c>
      <c r="B130" s="7">
        <v>4046</v>
      </c>
      <c r="C130" s="22" t="s">
        <v>215</v>
      </c>
      <c r="D130" s="22" t="s">
        <v>275</v>
      </c>
      <c r="E130" s="13">
        <v>42701.745162037034</v>
      </c>
      <c r="F130" s="13">
        <v>42701.750219907408</v>
      </c>
      <c r="G130" s="7">
        <v>1</v>
      </c>
      <c r="H130" s="22" t="s">
        <v>277</v>
      </c>
      <c r="I130" s="13">
        <v>42701.776469907411</v>
      </c>
      <c r="J130" s="7">
        <v>0</v>
      </c>
      <c r="K130" s="109" t="str">
        <f t="shared" si="35"/>
        <v>4045/4046</v>
      </c>
      <c r="L130" s="22" t="str">
        <f>VLOOKUP(A130,'Trips&amp;Operators'!$C$1:$E$10000,3,FALSE)</f>
        <v>DELGADO</v>
      </c>
      <c r="M130" s="6">
        <f t="shared" si="36"/>
        <v>2.6250000002619345E-2</v>
      </c>
      <c r="N130" s="7">
        <f t="shared" si="55"/>
        <v>37.800000003771856</v>
      </c>
      <c r="O130" s="7"/>
      <c r="P130" s="7"/>
      <c r="Q130" s="23"/>
      <c r="R130" s="23"/>
      <c r="S130" s="35">
        <f t="shared" si="52"/>
        <v>1</v>
      </c>
      <c r="T130" s="50" t="str">
        <f t="shared" si="37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16:53:02-700',mode:absolute,to:'2016-11-27 19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0" s="52" t="str">
        <f t="shared" si="39"/>
        <v>N</v>
      </c>
      <c r="X130" s="177">
        <f t="shared" si="56"/>
        <v>1</v>
      </c>
      <c r="Y130" s="67">
        <f t="shared" si="40"/>
        <v>4.6899999999999997E-2</v>
      </c>
      <c r="Z130" s="67">
        <f t="shared" si="53"/>
        <v>23.3307</v>
      </c>
      <c r="AA130" s="67">
        <f t="shared" si="42"/>
        <v>23.283799999999999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43"/>
        <v>0215-27</v>
      </c>
      <c r="AE130" s="91" t="str">
        <f t="shared" si="44"/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AF130" s="88" t="str">
        <f t="shared" si="45"/>
        <v>"C:\Program Files (x86)\AstroGrep\AstroGrep.exe" /spath="%USERPROFILE%\AppData\Local\Temp\OnboardLogs" /stypes="app*4046*20161128*" /stext=" 01:.+((SYSTEM_STATE.+slice.+state.+changed )|(ment ac)|(multiple cpu faults)|(system.+state.+changed )|(\[timeout)|(PRM\|1\|D)|(kpr)|(kdp)|(\|lc)|(penalty))" /e /r /s</v>
      </c>
      <c r="AG130" s="1" t="str">
        <f t="shared" si="46"/>
        <v>EC</v>
      </c>
      <c r="AH130" s="92" t="str">
        <f t="shared" si="48"/>
        <v>"%USERPROFILE%\Documents\GitHub\eaglep3\Utilities\RefineRTDCRunTimes.py" --tripid 215-27 --locoid 4046 --swversion DE.1.0.8.0 --startMP 204:469 --initTime 2016-11-27T17:53:02 --startdatetime 2016-11-27T18:00:19 --delay 1 --endMP 204:233307 --enddatetime 2016-11-27T18:38:07 --enforcementcount 0 &gt;&gt;C:\Users\stu\Documents\GitHub\eaglep3-reporting\EC\2016-11-27-refined-times.txt</v>
      </c>
      <c r="AI130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{"issue":{"subject":"","project_id":79,"tracker_id":40,"status_id":1,"priority_id":2,"assigned_to_id":23,"start_date":"2016-11-27","description":"","custom_fields":[{"id":1,"name":"Subdivision","value":"EC"},{"id":4,"name":"Milepost","value":"23.3307"},{"id":17,"name":"Train ID","value":"215-27"},{"id":16,"name":"Locomotive ID","value":"4046"},{"id":130,"name":"Impact","value":""},{"id":150,"name":"Time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566</v>
      </c>
      <c r="B131" s="7">
        <v>4045</v>
      </c>
      <c r="C131" s="22" t="s">
        <v>215</v>
      </c>
      <c r="D131" s="22" t="s">
        <v>339</v>
      </c>
      <c r="E131" s="13">
        <v>42701.781284722223</v>
      </c>
      <c r="F131" s="13">
        <v>42701.789085648146</v>
      </c>
      <c r="G131" s="7">
        <v>1</v>
      </c>
      <c r="H131" s="22" t="s">
        <v>375</v>
      </c>
      <c r="I131" s="13">
        <v>42701.816527777781</v>
      </c>
      <c r="J131" s="7">
        <v>0</v>
      </c>
      <c r="K131" s="109" t="str">
        <f t="shared" si="35"/>
        <v>4045/4046</v>
      </c>
      <c r="L131" s="22" t="str">
        <f>VLOOKUP(A131,'Trips&amp;Operators'!$C$1:$E$10000,3,FALSE)</f>
        <v>DELGADO</v>
      </c>
      <c r="M131" s="6">
        <f t="shared" si="36"/>
        <v>2.7442129634437151E-2</v>
      </c>
      <c r="N131" s="7">
        <f t="shared" si="55"/>
        <v>39.516666673589498</v>
      </c>
      <c r="O131" s="7"/>
      <c r="P131" s="7"/>
      <c r="Q131" s="23"/>
      <c r="R131" s="23"/>
      <c r="S131" s="35">
        <f t="shared" ref="S131:S138" si="57">SUM(U131:U131)/IF(AG131="EC",12,1)</f>
        <v>1</v>
      </c>
      <c r="T131" s="50" t="str">
        <f t="shared" si="37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17:45:03-700',mode:absolute,to:'2016-11-27 20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1" s="52" t="str">
        <f t="shared" si="39"/>
        <v>N</v>
      </c>
      <c r="X131" s="177">
        <f t="shared" si="56"/>
        <v>1</v>
      </c>
      <c r="Y131" s="67">
        <f t="shared" si="40"/>
        <v>23.2986</v>
      </c>
      <c r="Z131" s="67">
        <f t="shared" si="53"/>
        <v>1.38E-2</v>
      </c>
      <c r="AA131" s="67">
        <f t="shared" si="42"/>
        <v>23.284800000000001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43"/>
        <v>0216-27</v>
      </c>
      <c r="AE131" s="91" t="str">
        <f t="shared" si="44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131" s="88" t="str">
        <f t="shared" si="45"/>
        <v>"C:\Program Files (x86)\AstroGrep\AstroGrep.exe" /spath="%USERPROFILE%\AppData\Local\Temp\OnboardLogs" /stypes="app*4045*20161128*" /stext=" 02:.+((SYSTEM_STATE.+slice.+state.+changed )|(ment ac)|(multiple cpu faults)|(system.+state.+changed )|(\[timeout)|(PRM\|1\|D)|(kpr)|(kdp)|(\|lc)|(penalty))" /e /r /s</v>
      </c>
      <c r="AG131" s="1" t="str">
        <f t="shared" si="46"/>
        <v>EC</v>
      </c>
      <c r="AH131" s="92" t="str">
        <f t="shared" si="48"/>
        <v>"%USERPROFILE%\Documents\GitHub\eaglep3\Utilities\RefineRTDCRunTimes.py" --tripid 216-27 --locoid 4045 --swversion DE.1.0.8.0 --startMP 204:232986 --initTime 2016-11-27T18:45:03 --startdatetime 2016-11-27T18:56:17 --delay 1 --endMP 204:138 --enddatetime 2016-11-27T19:35:48 --enforcementcount 0 &gt;&gt;C:\Users\stu\Documents\GitHub\eaglep3-reporting\EC\2016-11-27-refined-times.txt</v>
      </c>
      <c r="AI131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{"issue":{"subject":"","project_id":79,"tracker_id":40,"status_id":1,"priority_id":2,"assigned_to_id":23,"start_date":"2016-11-27","description":"","custom_fields":[{"id":1,"name":"Subdivision","value":"EC"},{"id":4,"name":"Milepost","value":"0.0138"},{"id":17,"name":"Train ID","value":"216-27"},{"id":16,"name":"Locomotive ID","value":"4045"},{"id":130,"name":"Impact","value":""},{"id":150,"name":"Time of Event (Mountain Time)","value":"19:35:48"},{"id":151,"name":"Denver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562</v>
      </c>
      <c r="B132" s="7">
        <v>4022</v>
      </c>
      <c r="C132" s="22" t="s">
        <v>215</v>
      </c>
      <c r="D132" s="22" t="s">
        <v>254</v>
      </c>
      <c r="E132" s="13">
        <v>42701.757847222223</v>
      </c>
      <c r="F132" s="13">
        <v>42701.760844907411</v>
      </c>
      <c r="G132" s="7">
        <v>2</v>
      </c>
      <c r="H132" s="22" t="s">
        <v>374</v>
      </c>
      <c r="I132" s="13">
        <v>42701.786805555559</v>
      </c>
      <c r="J132" s="7">
        <v>0</v>
      </c>
      <c r="K132" s="109" t="str">
        <f t="shared" si="35"/>
        <v>4021/4022</v>
      </c>
      <c r="L132" s="22" t="str">
        <f>VLOOKUP(A132,'Trips&amp;Operators'!$C$1:$E$10000,3,FALSE)</f>
        <v>BADERTSCHER</v>
      </c>
      <c r="M132" s="6">
        <f t="shared" si="36"/>
        <v>2.5960648148611654E-2</v>
      </c>
      <c r="N132" s="7">
        <f t="shared" si="55"/>
        <v>37.383333334000781</v>
      </c>
      <c r="O132" s="7"/>
      <c r="P132" s="7"/>
      <c r="Q132" s="23"/>
      <c r="R132" s="23"/>
      <c r="S132" s="35">
        <f t="shared" si="57"/>
        <v>1</v>
      </c>
      <c r="T132" s="50" t="str">
        <f t="shared" si="37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17:11:18-700',mode:absolute,to:'2016-11-27 19:53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2" s="52" t="str">
        <f t="shared" si="39"/>
        <v>N</v>
      </c>
      <c r="X132" s="177">
        <f t="shared" si="56"/>
        <v>1</v>
      </c>
      <c r="Y132" s="67">
        <f t="shared" si="40"/>
        <v>4.5499999999999999E-2</v>
      </c>
      <c r="Z132" s="67">
        <f t="shared" si="53"/>
        <v>23.331</v>
      </c>
      <c r="AA132" s="67">
        <f t="shared" si="42"/>
        <v>23.285499999999999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43"/>
        <v>0217-27</v>
      </c>
      <c r="AE132" s="91" t="str">
        <f t="shared" si="44"/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132" s="88" t="str">
        <f t="shared" si="45"/>
        <v>"C:\Program Files (x86)\AstroGrep\AstroGrep.exe" /spath="%USERPROFILE%\AppData\Local\Temp\OnboardLogs" /stypes="app*4022*20161128*" /stext=" 01:.+((SYSTEM_STATE.+slice.+state.+changed )|(ment ac)|(multiple cpu faults)|(system.+state.+changed )|(\[timeout)|(PRM\|1\|D)|(kpr)|(kdp)|(\|lc)|(penalty))" /e /r /s</v>
      </c>
      <c r="AG132" s="1" t="str">
        <f t="shared" si="46"/>
        <v>EC</v>
      </c>
      <c r="AH132" s="92" t="str">
        <f t="shared" si="48"/>
        <v>"%USERPROFILE%\Documents\GitHub\eaglep3\Utilities\RefineRTDCRunTimes.py" --tripid 217-27 --locoid 4022 --swversion DE.1.0.8.0 --startMP 204:455 --initTime 2016-11-27T18:11:18 --startdatetime 2016-11-27T18:15:37 --delay 2 --endMP 204:233310 --enddatetime 2016-11-27T18:53:00 --enforcementcount 0 &gt;&gt;C:\Users\stu\Documents\GitHub\eaglep3-reporting\EC\2016-11-27-refined-times.txt</v>
      </c>
      <c r="AI132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{"issue":{"subject":"","project_id":79,"tracker_id":40,"status_id":1,"priority_id":2,"assigned_to_id":23,"start_date":"2016-11-27","description":"","custom_fields":[{"id":1,"name":"Subdivision","value":"EC"},{"id":4,"name":"Milepost","value":"23.331"},{"id":17,"name":"Train ID","value":"217-27"},{"id":16,"name":"Locomotive ID","value":"4022"},{"id":130,"name":"Impact","value":""},{"id":150,"name":"Time of Event (Mountain Time)","value":"18:53:00"},{"id":151,"name":"Denver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570</v>
      </c>
      <c r="B133" s="7">
        <v>4021</v>
      </c>
      <c r="C133" s="22" t="s">
        <v>215</v>
      </c>
      <c r="D133" s="22" t="s">
        <v>711</v>
      </c>
      <c r="E133" s="13">
        <v>42701.790347222224</v>
      </c>
      <c r="F133" s="13">
        <v>42701.800127314818</v>
      </c>
      <c r="G133" s="7">
        <v>2</v>
      </c>
      <c r="H133" s="22" t="s">
        <v>298</v>
      </c>
      <c r="I133" s="13">
        <v>42701.829143518517</v>
      </c>
      <c r="J133" s="7">
        <v>0</v>
      </c>
      <c r="K133" s="109" t="str">
        <f t="shared" si="35"/>
        <v>4021/4022</v>
      </c>
      <c r="L133" s="22" t="str">
        <f>VLOOKUP(A133,'Trips&amp;Operators'!$C$1:$E$10000,3,FALSE)</f>
        <v>BADERTSCHER</v>
      </c>
      <c r="M133" s="6">
        <f t="shared" si="36"/>
        <v>2.901620369812008E-2</v>
      </c>
      <c r="N133" s="7">
        <f t="shared" si="55"/>
        <v>41.783333325292915</v>
      </c>
      <c r="O133" s="7"/>
      <c r="P133" s="7"/>
      <c r="Q133" s="23"/>
      <c r="R133" s="23"/>
      <c r="S133" s="35">
        <f t="shared" si="57"/>
        <v>1</v>
      </c>
      <c r="T133" s="50" t="str">
        <f t="shared" si="37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17:58:06-700',mode:absolute,to:'2016-11-27 20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3" s="52" t="str">
        <f t="shared" si="39"/>
        <v>N</v>
      </c>
      <c r="X133" s="177">
        <f t="shared" si="56"/>
        <v>1</v>
      </c>
      <c r="Y133" s="67">
        <f t="shared" si="40"/>
        <v>23.297599999999999</v>
      </c>
      <c r="Z133" s="67">
        <f t="shared" si="53"/>
        <v>4.6699999999999998E-2</v>
      </c>
      <c r="AA133" s="67">
        <f t="shared" si="42"/>
        <v>23.250899999999998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43"/>
        <v>0218-27</v>
      </c>
      <c r="AE133" s="91" t="str">
        <f t="shared" si="44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133" s="88" t="str">
        <f t="shared" si="45"/>
        <v>"C:\Program Files (x86)\AstroGrep\AstroGrep.exe" /spath="%USERPROFILE%\AppData\Local\Temp\OnboardLogs" /stypes="app*4021*20161128*" /stext=" 02:.+((SYSTEM_STATE.+slice.+state.+changed )|(ment ac)|(multiple cpu faults)|(system.+state.+changed )|(\[timeout)|(PRM\|1\|D)|(kpr)|(kdp)|(\|lc)|(penalty))" /e /r /s</v>
      </c>
      <c r="AG133" s="1" t="str">
        <f t="shared" si="46"/>
        <v>EC</v>
      </c>
      <c r="AH133" s="92" t="str">
        <f t="shared" si="48"/>
        <v>"%USERPROFILE%\Documents\GitHub\eaglep3\Utilities\RefineRTDCRunTimes.py" --tripid 218-27 --locoid 4021 --swversion DE.1.0.8.0 --startMP 204:232976 --initTime 2016-11-27T18:58:06 --startdatetime 2016-11-27T19:12:11 --delay 2 --endMP 204:467 --enddatetime 2016-11-27T19:53:58 --enforcementcount 0 &gt;&gt;C:\Users\stu\Documents\GitHub\eaglep3-reporting\EC\2016-11-27-refined-times.txt</v>
      </c>
      <c r="AI133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{"issue":{"subject":"","project_id":79,"tracker_id":40,"status_id":1,"priority_id":2,"assigned_to_id":23,"start_date":"2016-11-27","description":"","custom_fields":[{"id":1,"name":"Subdivision","value":"EC"},{"id":4,"name":"Milepost","value":"0.0467"},{"id":17,"name":"Train ID","value":"218-27"},{"id":16,"name":"Locomotive ID","value":"4021"},{"id":130,"name":"Impact","value":""},{"id":150,"name":"Time of Event (Mountain Time)","value":"19:53:58"},{"id":151,"name":"Denver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564</v>
      </c>
      <c r="B134" s="7">
        <v>4011</v>
      </c>
      <c r="C134" s="22" t="s">
        <v>215</v>
      </c>
      <c r="D134" s="22" t="s">
        <v>254</v>
      </c>
      <c r="E134" s="13">
        <v>42701.768113425926</v>
      </c>
      <c r="F134" s="13">
        <v>42701.771041666667</v>
      </c>
      <c r="G134" s="7">
        <v>1</v>
      </c>
      <c r="H134" s="22" t="s">
        <v>647</v>
      </c>
      <c r="I134" s="13">
        <v>42701.795694444445</v>
      </c>
      <c r="J134" s="7">
        <v>0</v>
      </c>
      <c r="K134" s="109" t="str">
        <f t="shared" si="35"/>
        <v>4011/4012</v>
      </c>
      <c r="L134" s="22" t="str">
        <f>VLOOKUP(A134,'Trips&amp;Operators'!$C$1:$E$10000,3,FALSE)</f>
        <v>CHANDLER</v>
      </c>
      <c r="M134" s="6">
        <f t="shared" si="36"/>
        <v>2.4652777778101154E-2</v>
      </c>
      <c r="N134" s="7">
        <f t="shared" si="55"/>
        <v>35.500000000465661</v>
      </c>
      <c r="O134" s="7"/>
      <c r="P134" s="7"/>
      <c r="Q134" s="23"/>
      <c r="R134" s="23"/>
      <c r="S134" s="35">
        <f t="shared" si="57"/>
        <v>1</v>
      </c>
      <c r="T134" s="50" t="str">
        <f t="shared" si="37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17:26:05-700',mode:absolute,to:'2016-11-27 20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4" s="52" t="str">
        <f t="shared" si="39"/>
        <v>N</v>
      </c>
      <c r="X134" s="177">
        <f t="shared" si="56"/>
        <v>1</v>
      </c>
      <c r="Y134" s="67">
        <f t="shared" si="40"/>
        <v>4.5499999999999999E-2</v>
      </c>
      <c r="Z134" s="67">
        <f t="shared" si="53"/>
        <v>23.330500000000001</v>
      </c>
      <c r="AA134" s="67">
        <f t="shared" si="42"/>
        <v>23.285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43"/>
        <v>0219-27</v>
      </c>
      <c r="AE134" s="91" t="str">
        <f t="shared" si="44"/>
        <v>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 &amp; aws s3 cp s3://rtdc.mdm.uploadarchive.raw/RTDC4011/ "%USERPROFILE%\AppData\Local\Temp\OnboardLogs"\RTDC4011\2016-11-28 --exclude "*" --recursive --include "*20161128*" &amp; "%USERPROFILE%\Documents\GitHub\mrs-test-scripts\Headless Mode &amp; Sideloading\WalkAndUnGZ.bat" "%USERPROFILE%\AppData\Local\Temp\OnboardLogs"\RTDC4011\2016-11-28</v>
      </c>
      <c r="AF134" s="88" t="str">
        <f t="shared" si="45"/>
        <v>"C:\Program Files (x86)\AstroGrep\AstroGrep.exe" /spath="%USERPROFILE%\AppData\Local\Temp\OnboardLogs" /stypes="app*4011*20161128*" /stext=" 02:.+((SYSTEM_STATE.+slice.+state.+changed )|(ment ac)|(multiple cpu faults)|(system.+state.+changed )|(\[timeout)|(PRM\|1\|D)|(kpr)|(kdp)|(\|lc)|(penalty))" /e /r /s</v>
      </c>
      <c r="AG134" s="1" t="str">
        <f t="shared" si="46"/>
        <v>EC</v>
      </c>
      <c r="AH134" s="92" t="str">
        <f t="shared" si="48"/>
        <v>"%USERPROFILE%\Documents\GitHub\eaglep3\Utilities\RefineRTDCRunTimes.py" --tripid 219-27 --locoid 4011 --swversion DE.1.0.8.0 --startMP 204:455 --initTime 2016-11-27T18:26:05 --startdatetime 2016-11-27T18:30:18 --delay 1 --endMP 204:233305 --enddatetime 2016-11-27T19:05:48 --enforcementcount 0 &gt;&gt;C:\Users\stu\Documents\GitHub\eaglep3-reporting\EC\2016-11-27-refined-times.txt</v>
      </c>
      <c r="AI134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{"issue":{"subject":"","project_id":79,"tracker_id":40,"status_id":1,"priority_id":2,"assigned_to_id":23,"start_date":"2016-11-27","description":"","custom_fields":[{"id":1,"name":"Subdivision","value":"EC"},{"id":4,"name":"Milepost","value":"23.3305"},{"id":17,"name":"Train ID","value":"219-27"},{"id":16,"name":"Locomotive ID","value":"4011"},{"id":130,"name":"Impact","value":""},{"id":150,"name":"Time of Event (Mountain Time)","value":"19:05:48"},{"id":151,"name":"Denver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571</v>
      </c>
      <c r="B135" s="7">
        <v>4012</v>
      </c>
      <c r="C135" s="22" t="s">
        <v>215</v>
      </c>
      <c r="D135" s="22" t="s">
        <v>208</v>
      </c>
      <c r="E135" s="13">
        <v>42701.806909722225</v>
      </c>
      <c r="F135" s="13">
        <v>42701.809953703705</v>
      </c>
      <c r="G135" s="7">
        <v>1</v>
      </c>
      <c r="H135" s="22">
        <v>8.5388888888888896</v>
      </c>
      <c r="I135" s="13">
        <v>42701.837766203702</v>
      </c>
      <c r="J135" s="7">
        <v>0</v>
      </c>
      <c r="K135" s="109" t="str">
        <f t="shared" si="35"/>
        <v>4011/4012</v>
      </c>
      <c r="L135" s="22" t="str">
        <f>VLOOKUP(A135,'Trips&amp;Operators'!$C$1:$E$10000,3,FALSE)</f>
        <v>CHANDLER</v>
      </c>
      <c r="M135" s="6">
        <f t="shared" si="36"/>
        <v>2.7812499996798579E-2</v>
      </c>
      <c r="N135" s="7">
        <f t="shared" si="55"/>
        <v>40.049999995389953</v>
      </c>
      <c r="O135" s="7"/>
      <c r="P135" s="7"/>
      <c r="Q135" s="23"/>
      <c r="R135" s="23"/>
      <c r="S135" s="35">
        <f t="shared" si="57"/>
        <v>1</v>
      </c>
      <c r="T135" s="50" t="str">
        <f t="shared" si="37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18:21:57-700',mode:absolute,to:'2016-11-27 21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5" s="52" t="str">
        <f t="shared" si="39"/>
        <v>N</v>
      </c>
      <c r="X135" s="177">
        <f t="shared" si="56"/>
        <v>1</v>
      </c>
      <c r="Y135" s="67">
        <f t="shared" si="40"/>
        <v>23.297699999999999</v>
      </c>
      <c r="Z135" s="67">
        <v>5.0000000000000001E-3</v>
      </c>
      <c r="AA135" s="67">
        <f t="shared" si="42"/>
        <v>23.2927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43"/>
        <v>0220-27</v>
      </c>
      <c r="AE135" s="91" t="str">
        <f t="shared" si="44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135" s="88" t="str">
        <f t="shared" si="45"/>
        <v>"C:\Program Files (x86)\AstroGrep\AstroGrep.exe" /spath="%USERPROFILE%\AppData\Local\Temp\OnboardLogs" /stypes="app*4012*20161128*" /stext=" 03:.+((SYSTEM_STATE.+slice.+state.+changed )|(ment ac)|(multiple cpu faults)|(system.+state.+changed )|(\[timeout)|(PRM\|1\|D)|(kpr)|(kdp)|(\|lc)|(penalty))" /e /r /s</v>
      </c>
      <c r="AG135" s="1" t="str">
        <f t="shared" si="46"/>
        <v>EC</v>
      </c>
      <c r="AH135" s="92" t="str">
        <f t="shared" si="48"/>
        <v>"%USERPROFILE%\Documents\GitHub\eaglep3\Utilities\RefineRTDCRunTimes.py" --tripid 220-27 --locoid 4012 --swversion DE.1.0.8.0 --startMP 204:232977 --initTime 2016-11-27T19:21:57 --startdatetime 2016-11-27T19:26:20 --delay 1 --endMP 8.53888888888889 --enddatetime 2016-11-27T20:06:23 --enforcementcount 0 &gt;&gt;C:\Users\stu\Documents\GitHub\eaglep3-reporting\EC\2016-11-27-refined-times.txt</v>
      </c>
      <c r="AI135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{"issue":{"subject":"","project_id":79,"tracker_id":40,"status_id":1,"priority_id":2,"assigned_to_id":23,"start_date":"2016-11-27","description":"","custom_fields":[{"id":1,"name":"Subdivision","value":"EC"},{"id":4,"name":"Milepost","value":"0.005"},{"id":17,"name":"Train ID","value":"220-27"},{"id":16,"name":"Locomotive ID","value":"4012"},{"id":130,"name":"Impact","value":""},{"id":150,"name":"Time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568</v>
      </c>
      <c r="B136" s="7">
        <v>4002</v>
      </c>
      <c r="C136" s="22" t="s">
        <v>215</v>
      </c>
      <c r="D136" s="22" t="s">
        <v>605</v>
      </c>
      <c r="E136" s="13">
        <v>42701.789652777778</v>
      </c>
      <c r="F136" s="13">
        <v>42701.792118055557</v>
      </c>
      <c r="G136" s="7">
        <v>1</v>
      </c>
      <c r="H136" s="22" t="s">
        <v>274</v>
      </c>
      <c r="I136" s="13">
        <v>42701.817962962959</v>
      </c>
      <c r="J136" s="7">
        <v>0</v>
      </c>
      <c r="K136" s="109" t="str">
        <f t="shared" si="35"/>
        <v>4001/4002</v>
      </c>
      <c r="L136" s="22" t="str">
        <f>VLOOKUP(A136,'Trips&amp;Operators'!$C$1:$E$10000,3,FALSE)</f>
        <v>LEVERE</v>
      </c>
      <c r="M136" s="6">
        <f t="shared" si="36"/>
        <v>2.5844907402643003E-2</v>
      </c>
      <c r="N136" s="7">
        <f t="shared" si="55"/>
        <v>37.216666659805924</v>
      </c>
      <c r="O136" s="7"/>
      <c r="P136" s="7"/>
      <c r="Q136" s="23"/>
      <c r="R136" s="23"/>
      <c r="S136" s="35">
        <f t="shared" si="57"/>
        <v>1</v>
      </c>
      <c r="T136" s="50" t="str">
        <f t="shared" si="37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17:57:06-700',mode:absolute,to:'2016-11-27 20:37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6" s="52" t="str">
        <f t="shared" si="39"/>
        <v>N</v>
      </c>
      <c r="X136" s="177">
        <f t="shared" si="56"/>
        <v>1</v>
      </c>
      <c r="Y136" s="67">
        <f t="shared" si="40"/>
        <v>7.5200000000000003E-2</v>
      </c>
      <c r="Z136" s="67">
        <f t="shared" ref="Z136:Z168" si="58">RIGHT(H136,LEN(H136)-4)/10000</f>
        <v>23.3306</v>
      </c>
      <c r="AA136" s="67">
        <f t="shared" si="42"/>
        <v>23.255400000000002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43"/>
        <v>0221-27</v>
      </c>
      <c r="AE136" s="91" t="str">
        <f t="shared" si="44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136" s="88" t="str">
        <f t="shared" si="45"/>
        <v>"C:\Program Files (x86)\AstroGrep\AstroGrep.exe" /spath="%USERPROFILE%\AppData\Local\Temp\OnboardLogs" /stypes="app*4002*20161128*" /stext=" 02:.+((SYSTEM_STATE.+slice.+state.+changed )|(ment ac)|(multiple cpu faults)|(system.+state.+changed )|(\[timeout)|(PRM\|1\|D)|(kpr)|(kdp)|(\|lc)|(penalty))" /e /r /s</v>
      </c>
      <c r="AG136" s="1" t="str">
        <f t="shared" si="46"/>
        <v>EC</v>
      </c>
      <c r="AH136" s="92" t="str">
        <f t="shared" si="48"/>
        <v>"%USERPROFILE%\Documents\GitHub\eaglep3\Utilities\RefineRTDCRunTimes.py" --tripid 221-27 --locoid 4002 --swversion DE.1.0.8.0 --startMP 204:752 --initTime 2016-11-27T18:57:06 --startdatetime 2016-11-27T19:00:39 --delay 1 --endMP 204:233306 --enddatetime 2016-11-27T19:37:52 --enforcementcount 0 &gt;&gt;C:\Users\stu\Documents\GitHub\eaglep3-reporting\EC\2016-11-27-refined-times.txt</v>
      </c>
      <c r="AI136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{"issue":{"subject":"","project_id":79,"tracker_id":40,"status_id":1,"priority_id":2,"assigned_to_id":23,"start_date":"2016-11-27","description":"","custom_fields":[{"id":1,"name":"Subdivision","value":"EC"},{"id":4,"name":"Milepost","value":"23.3306"},{"id":17,"name":"Train ID","value":"221-27"},{"id":16,"name":"Locomotive ID","value":"4002"},{"id":130,"name":"Impact","value":""},{"id":150,"name":"Time of Event (Mountain Time)","value":"19:37:52"},{"id":151,"name":"Denver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573</v>
      </c>
      <c r="B137" s="7">
        <v>4037</v>
      </c>
      <c r="C137" s="22" t="s">
        <v>215</v>
      </c>
      <c r="D137" s="22" t="s">
        <v>712</v>
      </c>
      <c r="E137" s="13">
        <v>42701.825428240743</v>
      </c>
      <c r="F137" s="13">
        <v>42701.830995370372</v>
      </c>
      <c r="G137" s="7">
        <v>1</v>
      </c>
      <c r="H137" s="22" t="s">
        <v>252</v>
      </c>
      <c r="I137" s="13">
        <v>42701.858437499999</v>
      </c>
      <c r="J137" s="7">
        <v>0</v>
      </c>
      <c r="K137" s="109" t="str">
        <f t="shared" si="35"/>
        <v>4037/4038</v>
      </c>
      <c r="L137" s="22" t="str">
        <f>VLOOKUP(A137,'Trips&amp;Operators'!$C$1:$E$10000,3,FALSE)</f>
        <v>LEVERE</v>
      </c>
      <c r="M137" s="6">
        <f t="shared" si="36"/>
        <v>2.7442129627161194E-2</v>
      </c>
      <c r="N137" s="7">
        <f t="shared" si="55"/>
        <v>39.516666663112119</v>
      </c>
      <c r="O137" s="7"/>
      <c r="P137" s="7"/>
      <c r="Q137" s="23"/>
      <c r="R137" s="23"/>
      <c r="S137" s="35">
        <f t="shared" si="57"/>
        <v>1</v>
      </c>
      <c r="T137" s="50" t="str">
        <f t="shared" si="37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18:48:37-700',mode:absolute,to:'2016-11-27 21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7" s="52" t="str">
        <f t="shared" si="39"/>
        <v>N</v>
      </c>
      <c r="X137" s="177">
        <f t="shared" si="56"/>
        <v>1</v>
      </c>
      <c r="Y137" s="67">
        <f t="shared" si="40"/>
        <v>23.265799999999999</v>
      </c>
      <c r="Z137" s="67">
        <f t="shared" si="58"/>
        <v>1.6500000000000001E-2</v>
      </c>
      <c r="AA137" s="67">
        <f t="shared" si="42"/>
        <v>23.249299999999998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43"/>
        <v>0222-27</v>
      </c>
      <c r="AE137" s="91" t="str">
        <f t="shared" si="44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137" s="88" t="str">
        <f t="shared" si="45"/>
        <v>"C:\Program Files (x86)\AstroGrep\AstroGrep.exe" /spath="%USERPROFILE%\AppData\Local\Temp\OnboardLogs" /stypes="app*4037*20161128*" /stext=" 03:.+((SYSTEM_STATE.+slice.+state.+changed )|(ment ac)|(multiple cpu faults)|(system.+state.+changed )|(\[timeout)|(PRM\|1\|D)|(kpr)|(kdp)|(\|lc)|(penalty))" /e /r /s</v>
      </c>
      <c r="AG137" s="1" t="str">
        <f t="shared" si="46"/>
        <v>EC</v>
      </c>
      <c r="AH137" s="92" t="str">
        <f t="shared" si="48"/>
        <v>"%USERPROFILE%\Documents\GitHub\eaglep3\Utilities\RefineRTDCRunTimes.py" --tripid 222-27 --locoid 4037 --swversion DE.1.0.8.0 --startMP 204:232658 --initTime 2016-11-27T19:48:37 --startdatetime 2016-11-27T19:56:38 --delay 1 --endMP 204:165 --enddatetime 2016-11-27T20:36:09 --enforcementcount 0 &gt;&gt;C:\Users\stu\Documents\GitHub\eaglep3-reporting\EC\2016-11-27-refined-times.txt</v>
      </c>
      <c r="AI137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{"issue":{"subject":"","project_id":79,"tracker_id":40,"status_id":1,"priority_id":2,"assigned_to_id":23,"start_date":"2016-11-27","description":"","custom_fields":[{"id":1,"name":"Subdivision","value":"EC"},{"id":4,"name":"Milepost","value":"0.0165"},{"id":17,"name":"Train ID","value":"222-27"},{"id":16,"name":"Locomotive ID","value":"4037"},{"id":130,"name":"Impact","value":""},{"id":150,"name":"Time of Event (Mountain Time)","value":"20:36:09"},{"id":151,"name":"Denver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572</v>
      </c>
      <c r="B138" s="7">
        <v>4016</v>
      </c>
      <c r="C138" s="22" t="s">
        <v>215</v>
      </c>
      <c r="D138" s="22" t="s">
        <v>713</v>
      </c>
      <c r="E138" s="13">
        <v>42701.808807870373</v>
      </c>
      <c r="F138" s="13">
        <v>42701.812916666669</v>
      </c>
      <c r="G138" s="7">
        <v>1</v>
      </c>
      <c r="H138" s="22" t="s">
        <v>395</v>
      </c>
      <c r="I138" s="13">
        <v>42701.837905092594</v>
      </c>
      <c r="J138" s="7">
        <v>0</v>
      </c>
      <c r="K138" s="109" t="str">
        <f t="shared" si="35"/>
        <v>4015/4016</v>
      </c>
      <c r="L138" s="22" t="str">
        <f>VLOOKUP(A138,'Trips&amp;Operators'!$C$1:$E$10000,3,FALSE)</f>
        <v>COOLAHAN</v>
      </c>
      <c r="M138" s="6">
        <f t="shared" si="36"/>
        <v>2.4988425924675539E-2</v>
      </c>
      <c r="N138" s="7">
        <f t="shared" si="55"/>
        <v>35.983333331532776</v>
      </c>
      <c r="O138" s="7"/>
      <c r="P138" s="7"/>
      <c r="Q138" s="23"/>
      <c r="R138" s="23"/>
      <c r="S138" s="35">
        <f t="shared" si="57"/>
        <v>1</v>
      </c>
      <c r="T138" s="50" t="str">
        <f t="shared" si="37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18:24:41-700',mode:absolute,to:'2016-11-27 21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8" s="52" t="str">
        <f t="shared" si="39"/>
        <v>N</v>
      </c>
      <c r="X138" s="177">
        <f t="shared" si="56"/>
        <v>1</v>
      </c>
      <c r="Y138" s="67">
        <f t="shared" si="40"/>
        <v>7.3499999999999996E-2</v>
      </c>
      <c r="Z138" s="67">
        <f t="shared" si="58"/>
        <v>23.334599999999998</v>
      </c>
      <c r="AA138" s="67">
        <f t="shared" si="42"/>
        <v>23.261099999999999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43"/>
        <v>0223-27</v>
      </c>
      <c r="AE138" s="91" t="str">
        <f t="shared" si="44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138" s="88" t="str">
        <f t="shared" si="45"/>
        <v>"C:\Program Files (x86)\AstroGrep\AstroGrep.exe" /spath="%USERPROFILE%\AppData\Local\Temp\OnboardLogs" /stypes="app*4016*20161128*" /stext=" 03:.+((SYSTEM_STATE.+slice.+state.+changed )|(ment ac)|(multiple cpu faults)|(system.+state.+changed )|(\[timeout)|(PRM\|1\|D)|(kpr)|(kdp)|(\|lc)|(penalty))" /e /r /s</v>
      </c>
      <c r="AG138" s="1" t="str">
        <f t="shared" si="46"/>
        <v>EC</v>
      </c>
      <c r="AH138" s="92" t="str">
        <f t="shared" si="48"/>
        <v>"%USERPROFILE%\Documents\GitHub\eaglep3\Utilities\RefineRTDCRunTimes.py" --tripid 223-27 --locoid 4016 --swversion DE.1.0.8.0 --startMP 204:735 --initTime 2016-11-27T19:24:41 --startdatetime 2016-11-27T19:30:36 --delay 1 --endMP 204:233346 --enddatetime 2016-11-27T20:06:35 --enforcementcount 0 &gt;&gt;C:\Users\stu\Documents\GitHub\eaglep3-reporting\EC\2016-11-27-refined-times.txt</v>
      </c>
      <c r="AI138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{"issue":{"subject":"","project_id":79,"tracker_id":40,"status_id":1,"priority_id":2,"assigned_to_id":23,"start_date":"2016-11-27","description":"","custom_fields":[{"id":1,"name":"Subdivision","value":"EC"},{"id":4,"name":"Milepost","value":"23.3346"},{"id":17,"name":"Train ID","value":"223-27"},{"id":16,"name":"Locomotive ID","value":"4016"},{"id":130,"name":"Impact","value":""},{"id":150,"name":"Time of Event (Mountain Time)","value":"20:06:35"},{"id":151,"name":"Denver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576</v>
      </c>
      <c r="B139" s="7">
        <v>4010</v>
      </c>
      <c r="C139" s="22" t="s">
        <v>215</v>
      </c>
      <c r="D139" s="22" t="s">
        <v>714</v>
      </c>
      <c r="E139" s="13">
        <v>42701.845416666663</v>
      </c>
      <c r="F139" s="13">
        <v>42701.846446759257</v>
      </c>
      <c r="G139" s="7">
        <v>1</v>
      </c>
      <c r="H139" s="22" t="s">
        <v>715</v>
      </c>
      <c r="I139" s="13">
        <v>42701.872800925928</v>
      </c>
      <c r="J139" s="7">
        <v>0</v>
      </c>
      <c r="K139" s="109" t="str">
        <f t="shared" si="35"/>
        <v>4009/4010</v>
      </c>
      <c r="L139" s="22" t="str">
        <f>VLOOKUP(A139,'Trips&amp;Operators'!$C$1:$E$10000,3,FALSE)</f>
        <v>COOLAHAN</v>
      </c>
      <c r="M139" s="6">
        <f t="shared" si="36"/>
        <v>2.6354166671808343E-2</v>
      </c>
      <c r="N139" s="7"/>
      <c r="O139" s="7"/>
      <c r="P139" s="7">
        <f>24*60*SUM($M139:$M140)</f>
        <v>51.200000003445894</v>
      </c>
      <c r="Q139" s="23"/>
      <c r="R139" s="23" t="s">
        <v>803</v>
      </c>
      <c r="S139" s="35">
        <f>SUM(U139:U140)/IF(AG139="EC",12,1)</f>
        <v>0.58333333333333337</v>
      </c>
      <c r="T139" s="50" t="str">
        <f t="shared" si="37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4</v>
      </c>
      <c r="V13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19:17:24-700',mode:absolute,to:'2016-11-27 21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9" s="52" t="str">
        <f t="shared" si="39"/>
        <v>Y</v>
      </c>
      <c r="X139" s="177">
        <f t="shared" si="56"/>
        <v>1</v>
      </c>
      <c r="Y139" s="67">
        <f t="shared" si="40"/>
        <v>23.267700000000001</v>
      </c>
      <c r="Z139" s="67">
        <f t="shared" si="58"/>
        <v>6.2527999999999997</v>
      </c>
      <c r="AA139" s="67">
        <f t="shared" si="42"/>
        <v>17.014900000000001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43"/>
        <v>0224-27</v>
      </c>
      <c r="AE139" s="91" t="str">
        <f t="shared" si="44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139" s="88" t="str">
        <f t="shared" si="45"/>
        <v>"C:\Program Files (x86)\AstroGrep\AstroGrep.exe" /spath="%USERPROFILE%\AppData\Local\Temp\OnboardLogs" /stypes="app*4010*20161128*" /stext=" 03:.+((SYSTEM_STATE.+slice.+state.+changed )|(ment ac)|(multiple cpu faults)|(system.+state.+changed )|(\[timeout)|(PRM\|1\|D)|(kpr)|(kdp)|(\|lc)|(penalty))" /e /r /s</v>
      </c>
      <c r="AG139" s="1" t="str">
        <f t="shared" si="46"/>
        <v>EC</v>
      </c>
      <c r="AH139" s="92" t="str">
        <f t="shared" si="48"/>
        <v>"%USERPROFILE%\Documents\GitHub\eaglep3\Utilities\RefineRTDCRunTimes.py" --tripid 224-27 --locoid 4010 --swversion DE.1.0.8.0 --startMP 204:232677 --initTime 2016-11-27T20:17:24 --startdatetime 2016-11-27T20:18:53 --delay 1 --endMP 204:62528 --enddatetime 2016-11-27T20:56:50 --enforcementcount 0 &gt;&gt;C:\Users\stu\Documents\GitHub\eaglep3-reporting\EC\2016-11-27-refined-times.txt</v>
      </c>
      <c r="AI139" s="119" t="str">
        <f t="shared" si="49"/>
        <v>echo {"issue":{"subject":"Quebec 4S stuck at STOP - XING vital logic?","project_id":79,"tracker_id":40,"status_id":1,"priority_id":2,"assigned_to_id":23,"start_date":"2016-11-27","description":"At 20:52:58, Quebec 4S dropped to STOP and didn't clear until 20:57:06 despite receiving a clear control at 20:53:24. Was this due to vital logic (waiting for XING bits to come in), or something else going wrong here?","custom_fields":[{"id":1,"name":"Subdivision","value":"EC"},{"id":4,"name":"Milepost","value":"6.2528"},{"id":17,"name":"Train ID","value":"224-27"},{"id":16,"name":"Locomotive ID","value":"4010"},{"id":130,"name":"Impact","value":"Unexpected Cut-Out or Disengaged"},{"id":150,"name":"Time of Event (Mountain Time)","value":"20:56:50"},{"id":151,"name":"Denver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9" s="53" t="s">
        <v>804</v>
      </c>
      <c r="AK139" s="53" t="s">
        <v>131</v>
      </c>
      <c r="AL139" s="53" t="s">
        <v>130</v>
      </c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576</v>
      </c>
      <c r="B140" s="7">
        <v>4010</v>
      </c>
      <c r="C140" s="22" t="s">
        <v>215</v>
      </c>
      <c r="D140" s="22" t="s">
        <v>716</v>
      </c>
      <c r="E140" s="13">
        <v>42701.875381944446</v>
      </c>
      <c r="F140" s="13">
        <v>42701.876030092593</v>
      </c>
      <c r="G140" s="7">
        <v>0</v>
      </c>
      <c r="H140" s="22" t="s">
        <v>264</v>
      </c>
      <c r="I140" s="13">
        <v>42701.885231481479</v>
      </c>
      <c r="J140" s="7">
        <v>0</v>
      </c>
      <c r="K140" s="109" t="str">
        <f t="shared" si="35"/>
        <v>4009/4010</v>
      </c>
      <c r="L140" s="22" t="str">
        <f>VLOOKUP(A140,'Trips&amp;Operators'!$C$1:$E$10000,3,FALSE)</f>
        <v>COOLAHAN</v>
      </c>
      <c r="M140" s="6">
        <f t="shared" si="36"/>
        <v>9.2013888861401938E-3</v>
      </c>
      <c r="N140" s="7"/>
      <c r="O140" s="7"/>
      <c r="P140" s="7"/>
      <c r="Q140" s="23"/>
      <c r="R140" s="23"/>
      <c r="S140" s="35"/>
      <c r="T140" s="50" t="str">
        <f t="shared" si="37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3</v>
      </c>
      <c r="V14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https://search-rtdc-monitor-bjffxe2xuh6vdkpspy63sjmuny.us-east-1.es.amazonaws.com/_plugin/kibana/#/discover/Steve-Slow-Train-Analysis-(2080s-and-2083s)?_g=(refreshInterval:(display:Off,section:0,value:0),time:(from:'2016-11-27 20:00:33-700',mode:absolute,to:'2016-11-27 22:14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0" s="52" t="str">
        <f t="shared" si="39"/>
        <v>Y</v>
      </c>
      <c r="X140" s="177">
        <f t="shared" si="56"/>
        <v>0</v>
      </c>
      <c r="Y140" s="67">
        <f t="shared" si="40"/>
        <v>3.6714000000000002</v>
      </c>
      <c r="Z140" s="67">
        <f t="shared" si="58"/>
        <v>1.3899999999999999E-2</v>
      </c>
      <c r="AA140" s="67">
        <f t="shared" si="42"/>
        <v>3.6575000000000002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43"/>
        <v>0224-27</v>
      </c>
      <c r="AE140" s="91" t="str">
        <f t="shared" si="44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140" s="88" t="str">
        <f t="shared" si="45"/>
        <v>"C:\Program Files (x86)\AstroGrep\AstroGrep.exe" /spath="%USERPROFILE%\AppData\Local\Temp\OnboardLogs" /stypes="app*4010*20161128*" /stext=" 04:.+((SYSTEM_STATE.+slice.+state.+changed )|(ment ac)|(multiple cpu faults)|(system.+state.+changed )|(\[timeout)|(PRM\|1\|D)|(kpr)|(kdp)|(\|lc)|(penalty))" /e /r /s</v>
      </c>
      <c r="AG140" s="1" t="str">
        <f t="shared" si="46"/>
        <v>EC</v>
      </c>
      <c r="AH140" s="92" t="str">
        <f t="shared" si="48"/>
        <v>"%USERPROFILE%\Documents\GitHub\eaglep3\Utilities\RefineRTDCRunTimes.py" --tripid 224-27 --locoid 4010 --swversion DE.1.0.8.0 --startMP 204:36714 --initTime 2016-11-27T21:00:33 --startdatetime 2016-11-27T21:01:29 --delay 0 --endMP 204:139 --enddatetime 2016-11-27T21:14:44 --enforcementcount 0 &gt;&gt;C:\Users\stu\Documents\GitHub\eaglep3-reporting\EC\2016-11-27-refined-times.txt</v>
      </c>
      <c r="AI140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{"issue":{"subject":"","project_id":79,"tracker_id":40,"status_id":1,"priority_id":2,"assigned_to_id":23,"start_date":"2016-11-27","description":"","custom_fields":[{"id":1,"name":"Subdivision","value":"EC"},{"id":4,"name":"Milepost","value":"0.0139"},{"id":17,"name":"Train ID","value":"224-27"},{"id":16,"name":"Locomotive ID","value":"4010"},{"id":130,"name":"Impact","value":""},{"id":150,"name":"Time of Event (Mountain Time)","value":"21:14:44"},{"id":151,"name":"Denver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575</v>
      </c>
      <c r="B141" s="7">
        <v>4022</v>
      </c>
      <c r="C141" s="22" t="s">
        <v>215</v>
      </c>
      <c r="D141" s="22" t="s">
        <v>717</v>
      </c>
      <c r="E141" s="13">
        <v>42701.834409722222</v>
      </c>
      <c r="F141" s="13">
        <v>42701.836053240739</v>
      </c>
      <c r="G141" s="7">
        <v>1</v>
      </c>
      <c r="H141" s="22" t="s">
        <v>279</v>
      </c>
      <c r="I141" s="13">
        <v>42701.862673611111</v>
      </c>
      <c r="J141" s="7">
        <v>0</v>
      </c>
      <c r="K141" s="109" t="str">
        <f t="shared" ref="K141:K204" si="59">IF(ISEVEN(B141),(B141-1)&amp;"/"&amp;B141,B141&amp;"/"&amp;(B141+1))</f>
        <v>4021/4022</v>
      </c>
      <c r="L141" s="22" t="str">
        <f>VLOOKUP(A141,'Trips&amp;Operators'!$C$1:$E$10000,3,FALSE)</f>
        <v>BADERTSCHER</v>
      </c>
      <c r="M141" s="6">
        <f t="shared" ref="M141:M204" si="60">I141-F141</f>
        <v>2.662037037225673E-2</v>
      </c>
      <c r="N141" s="7">
        <f t="shared" ref="N141:N172" si="61">24*60*SUM($M141:$M141)</f>
        <v>38.333333336049691</v>
      </c>
      <c r="O141" s="7"/>
      <c r="P141" s="7"/>
      <c r="Q141" s="23"/>
      <c r="R141" s="23"/>
      <c r="S141" s="35">
        <f t="shared" ref="S141:S172" si="62">SUM(U141:U141)/IF(AG141="EC",12,1)</f>
        <v>1</v>
      </c>
      <c r="T141" s="50" t="str">
        <f t="shared" ref="T141:T204" si="63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6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https://search-rtdc-monitor-bjffxe2xuh6vdkpspy63sjmuny.us-east-1.es.amazonaws.com/_plugin/kibana/#/discover/Steve-Slow-Train-Analysis-(2080s-and-2083s)?_g=(refreshInterval:(display:Off,section:0,value:0),time:(from:'2016-11-27 19:01:33-700',mode:absolute,to:'2016-11-27 21:42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1" s="52" t="str">
        <f t="shared" ref="W141:W204" si="65">IF(AA141&lt;IF(AG141="EC",23,5.65),"Y","N")</f>
        <v>N</v>
      </c>
      <c r="X141" s="177">
        <f t="shared" si="56"/>
        <v>1</v>
      </c>
      <c r="Y141" s="67">
        <f t="shared" ref="Y141:Y204" si="66">RIGHT(D141,LEN(D141)-4)/10000</f>
        <v>7.6799999999999993E-2</v>
      </c>
      <c r="Z141" s="67">
        <f t="shared" si="58"/>
        <v>23.3308</v>
      </c>
      <c r="AA141" s="67">
        <f t="shared" ref="AA141:AA204" si="67">ABS(Z141-Y141)</f>
        <v>23.254000000000001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68">IF(LEN(A141)=6,"0"&amp;A141,A141)</f>
        <v>0225-27</v>
      </c>
      <c r="AE141" s="91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141" s="88" t="str">
        <f t="shared" ref="AF141:AF204" si="70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/stypes="app*4022*20161128*" /stext=" 03:.+((SYSTEM_STATE.+slice.+state.+changed )|(ment ac)|(multiple cpu faults)|(system.+state.+changed )|(\[timeout)|(PRM\|1\|D)|(kpr)|(kdp)|(\|lc)|(penalty))" /e /r /s</v>
      </c>
      <c r="AG141" s="1" t="str">
        <f t="shared" ref="AG141:AG204" si="71">IFERROR(IF(VALUE(LEFT(AD141,2))&lt;=2,"EC",IF(OR(VALUE(LEFT(AD141,2))=8,VALUE(LEFT(AD141,2))=18),"NW","Other")),"Other")</f>
        <v>EC</v>
      </c>
      <c r="AH141" s="92" t="str">
        <f t="shared" si="48"/>
        <v>"%USERPROFILE%\Documents\GitHub\eaglep3\Utilities\RefineRTDCRunTimes.py" --tripid 225-27 --locoid 4022 --swversion DE.1.0.8.0 --startMP 204:768 --initTime 2016-11-27T20:01:33 --startdatetime 2016-11-27T20:03:55 --delay 1 --endMP 204:233308 --enddatetime 2016-11-27T20:42:15 --enforcementcount 0 &gt;&gt;C:\Users\stu\Documents\GitHub\eaglep3-reporting\EC\2016-11-27-refined-times.txt</v>
      </c>
      <c r="AI141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{"issue":{"subject":"","project_id":79,"tracker_id":40,"status_id":1,"priority_id":2,"assigned_to_id":23,"start_date":"2016-11-27","description":"","custom_fields":[{"id":1,"name":"Subdivision","value":"EC"},{"id":4,"name":"Milepost","value":"23.3308"},{"id":17,"name":"Train ID","value":"225-27"},{"id":16,"name":"Locomotive ID","value":"4022"},{"id":130,"name":"Impact","value":""},{"id":150,"name":"Time of Event (Mountain Time)","value":"20:42:15"},{"id":151,"name":"Denver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427</v>
      </c>
      <c r="B142" s="7">
        <v>4045</v>
      </c>
      <c r="C142" s="22" t="s">
        <v>215</v>
      </c>
      <c r="D142" s="22" t="s">
        <v>712</v>
      </c>
      <c r="E142" s="13">
        <v>42701.869560185187</v>
      </c>
      <c r="F142" s="13">
        <v>42701.872719907406</v>
      </c>
      <c r="G142" s="7">
        <v>1</v>
      </c>
      <c r="H142" s="22" t="s">
        <v>210</v>
      </c>
      <c r="I142" s="13">
        <v>42701.902581018519</v>
      </c>
      <c r="J142" s="7">
        <v>0</v>
      </c>
      <c r="K142" s="109" t="str">
        <f t="shared" si="59"/>
        <v>4045/4046</v>
      </c>
      <c r="L142" s="22" t="str">
        <f>VLOOKUP(A142,'Trips&amp;Operators'!$C$1:$E$10000,3,FALSE)</f>
        <v>BADERTSCHER</v>
      </c>
      <c r="M142" s="6">
        <f t="shared" si="60"/>
        <v>2.9861111113859806E-2</v>
      </c>
      <c r="N142" s="7">
        <f t="shared" si="61"/>
        <v>43.000000003958121</v>
      </c>
      <c r="O142" s="7"/>
      <c r="P142" s="7"/>
      <c r="Q142" s="23"/>
      <c r="R142" s="23"/>
      <c r="S142" s="35">
        <f t="shared" si="62"/>
        <v>1</v>
      </c>
      <c r="T142" s="50" t="str">
        <f t="shared" si="63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19:52:10-700',mode:absolute,to:'2016-11-27 22:39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2" s="52" t="str">
        <f t="shared" si="65"/>
        <v>N</v>
      </c>
      <c r="X142" s="177">
        <f t="shared" si="56"/>
        <v>1</v>
      </c>
      <c r="Y142" s="67">
        <f t="shared" si="66"/>
        <v>23.265799999999999</v>
      </c>
      <c r="Z142" s="67">
        <f t="shared" si="58"/>
        <v>1.5599999999999999E-2</v>
      </c>
      <c r="AA142" s="67">
        <f t="shared" si="67"/>
        <v>23.2502</v>
      </c>
      <c r="AB142" s="64" t="str">
        <f>VLOOKUP(A142,Enforcements!$C$7:$K$20,8,0)</f>
        <v>Speed (6)</v>
      </c>
      <c r="AC142" s="60" t="str">
        <f>VLOOKUP(A142,Enforcements!$C$7:$E$20,3,0)</f>
        <v>PERMANENT SPEED RESTRICTION</v>
      </c>
      <c r="AD142" s="61" t="str">
        <f t="shared" si="68"/>
        <v>0226-27</v>
      </c>
      <c r="AE142" s="91" t="str">
        <f t="shared" si="69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142" s="88" t="str">
        <f t="shared" si="70"/>
        <v>"C:\Program Files (x86)\AstroGrep\AstroGrep.exe" /spath="%USERPROFILE%\AppData\Local\Temp\OnboardLogs" /stypes="app*4045*20161128*" /stext=" 04:.+((SYSTEM_STATE.+slice.+state.+changed )|(ment ac)|(multiple cpu faults)|(system.+state.+changed )|(\[timeout)|(PRM\|1\|D)|(kpr)|(kdp)|(\|lc)|(penalty))" /e /r /s</v>
      </c>
      <c r="AG142" s="1" t="str">
        <f t="shared" si="71"/>
        <v>EC</v>
      </c>
      <c r="AH142" s="92" t="str">
        <f t="shared" si="48"/>
        <v>"%USERPROFILE%\Documents\GitHub\eaglep3\Utilities\RefineRTDCRunTimes.py" --tripid 226-27 --locoid 4045 --swversion DE.1.0.8.0 --startMP 204:232658 --initTime 2016-11-27T20:52:10 --startdatetime 2016-11-27T20:56:43 --delay 1 --endMP 204:156 --enddatetime 2016-11-27T21:39:43 --enforcementcount 0 &gt;&gt;C:\Users\stu\Documents\GitHub\eaglep3-reporting\EC\2016-11-27-refined-times.txt</v>
      </c>
      <c r="AI142" s="119" t="str">
        <f t="shared" si="49"/>
        <v>echo {"issue":{"subject":"","project_id":79,"tracker_id":40,"status_id":1,"priority_id":2,"assigned_to_id":23,"start_date":"2016-11-27","description":"","custom_fields":[{"id":1,"name":"Subdivision","value":"EC"},{"id":4,"name":"Milepost","value":"0.0156"},{"id":17,"name":"Train ID","value":"226-27"},{"id":16,"name":"Locomotive ID","value":"4045"},{"id":130,"name":"Impact","value":""},{"id":150,"name":"Time of Event (Mountain Time)","value":"21:39:43"},{"id":151,"name":"Denver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577</v>
      </c>
      <c r="B143" s="7">
        <v>4044</v>
      </c>
      <c r="C143" s="22" t="s">
        <v>215</v>
      </c>
      <c r="D143" s="22" t="s">
        <v>718</v>
      </c>
      <c r="E143" s="13">
        <v>42701.849432870367</v>
      </c>
      <c r="F143" s="13">
        <v>42701.854525462964</v>
      </c>
      <c r="G143" s="7">
        <v>1</v>
      </c>
      <c r="H143" s="22" t="s">
        <v>384</v>
      </c>
      <c r="I143" s="13">
        <v>42701.880023148151</v>
      </c>
      <c r="J143" s="7">
        <v>0</v>
      </c>
      <c r="K143" s="109" t="str">
        <f t="shared" si="59"/>
        <v>4043/4044</v>
      </c>
      <c r="L143" s="22" t="str">
        <f>VLOOKUP(A143,'Trips&amp;Operators'!$C$1:$E$10000,3,FALSE)</f>
        <v>CHANDLER</v>
      </c>
      <c r="M143" s="6">
        <f t="shared" si="60"/>
        <v>2.5497685186564922E-2</v>
      </c>
      <c r="N143" s="7">
        <f t="shared" si="61"/>
        <v>36.716666668653488</v>
      </c>
      <c r="O143" s="7"/>
      <c r="P143" s="7"/>
      <c r="Q143" s="23"/>
      <c r="R143" s="23"/>
      <c r="S143" s="35">
        <f t="shared" si="62"/>
        <v>1</v>
      </c>
      <c r="T143" s="50" t="str">
        <f t="shared" si="63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19:23:11-700',mode:absolute,to:'2016-11-27 22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65"/>
        <v>N</v>
      </c>
      <c r="X143" s="177">
        <f t="shared" si="56"/>
        <v>1</v>
      </c>
      <c r="Y143" s="67">
        <f t="shared" si="66"/>
        <v>6.7199999999999996E-2</v>
      </c>
      <c r="Z143" s="67">
        <f t="shared" si="58"/>
        <v>23.3325</v>
      </c>
      <c r="AA143" s="67">
        <f t="shared" si="67"/>
        <v>23.2653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8"/>
        <v>0227-27</v>
      </c>
      <c r="AE143" s="91" t="str">
        <f t="shared" si="69"/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AF143" s="88" t="str">
        <f t="shared" si="70"/>
        <v>"C:\Program Files (x86)\AstroGrep\AstroGrep.exe" /spath="%USERPROFILE%\AppData\Local\Temp\OnboardLogs" /stypes="app*4044*20161128*" /stext=" 04:.+((SYSTEM_STATE.+slice.+state.+changed )|(ment ac)|(multiple cpu faults)|(system.+state.+changed )|(\[timeout)|(PRM\|1\|D)|(kpr)|(kdp)|(\|lc)|(penalty))" /e /r /s</v>
      </c>
      <c r="AG143" s="1" t="str">
        <f t="shared" si="71"/>
        <v>EC</v>
      </c>
      <c r="AH143" s="92" t="str">
        <f t="shared" ref="AH143:AH204" si="7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227-27 --locoid 4044 --swversion DE.1.0.8.0 --startMP 204:672 --initTime 2016-11-27T20:23:11 --startdatetime 2016-11-27T20:30:31 --delay 1 --endMP 204:233325 --enddatetime 2016-11-27T21:07:14 --enforcementcount 0 &gt;&gt;C:\Users\stu\Documents\GitHub\eaglep3-reporting\EC\2016-11-27-refined-times.txt</v>
      </c>
      <c r="AI143" s="119" t="str">
        <f t="shared" ref="AI143:AI204" si="7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{"issue":{"subject":"","project_id":79,"tracker_id":40,"status_id":1,"priority_id":2,"assigned_to_id":23,"start_date":"2016-11-27","description":"","custom_fields":[{"id":1,"name":"Subdivision","value":"EC"},{"id":4,"name":"Milepost","value":"23.3325"},{"id":17,"name":"Train ID","value":"227-27"},{"id":16,"name":"Locomotive ID","value":"4044"},{"id":130,"name":"Impact","value":""},{"id":150,"name":"Time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581</v>
      </c>
      <c r="B144" s="7">
        <v>4012</v>
      </c>
      <c r="C144" s="22" t="s">
        <v>215</v>
      </c>
      <c r="D144" s="22" t="s">
        <v>719</v>
      </c>
      <c r="E144" s="13">
        <v>42701.890381944446</v>
      </c>
      <c r="F144" s="13">
        <v>42701.893437500003</v>
      </c>
      <c r="G144" s="7">
        <v>1</v>
      </c>
      <c r="H144" s="22" t="s">
        <v>240</v>
      </c>
      <c r="I144" s="13">
        <v>42701.922731481478</v>
      </c>
      <c r="J144" s="7">
        <v>0</v>
      </c>
      <c r="K144" s="109" t="str">
        <f t="shared" si="59"/>
        <v>4011/4012</v>
      </c>
      <c r="L144" s="22" t="str">
        <f>VLOOKUP(A144,'Trips&amp;Operators'!$C$1:$E$10000,3,FALSE)</f>
        <v>CHANDLER</v>
      </c>
      <c r="M144" s="6">
        <f t="shared" si="60"/>
        <v>2.9293981475348119E-2</v>
      </c>
      <c r="N144" s="7">
        <f t="shared" si="61"/>
        <v>42.183333324501291</v>
      </c>
      <c r="O144" s="7"/>
      <c r="P144" s="7"/>
      <c r="Q144" s="23"/>
      <c r="R144" s="23"/>
      <c r="S144" s="35">
        <f t="shared" si="62"/>
        <v>1</v>
      </c>
      <c r="T144" s="50" t="str">
        <f t="shared" si="63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20:22:09-700',mode:absolute,to:'2016-11-27 23:08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4" s="52" t="str">
        <f t="shared" si="65"/>
        <v>N</v>
      </c>
      <c r="X144" s="177">
        <f t="shared" si="56"/>
        <v>1</v>
      </c>
      <c r="Y144" s="67">
        <f t="shared" si="66"/>
        <v>23.270199999999999</v>
      </c>
      <c r="Z144" s="67">
        <f t="shared" si="58"/>
        <v>1.41E-2</v>
      </c>
      <c r="AA144" s="67">
        <f t="shared" si="67"/>
        <v>23.2561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8"/>
        <v>0228-27</v>
      </c>
      <c r="AE144" s="91" t="str">
        <f t="shared" si="69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144" s="88" t="str">
        <f t="shared" si="70"/>
        <v>"C:\Program Files (x86)\AstroGrep\AstroGrep.exe" /spath="%USERPROFILE%\AppData\Local\Temp\OnboardLogs" /stypes="app*4012*20161128*" /stext=" 05:.+((SYSTEM_STATE.+slice.+state.+changed )|(ment ac)|(multiple cpu faults)|(system.+state.+changed )|(\[timeout)|(PRM\|1\|D)|(kpr)|(kdp)|(\|lc)|(penalty))" /e /r /s</v>
      </c>
      <c r="AG144" s="1" t="str">
        <f t="shared" si="71"/>
        <v>EC</v>
      </c>
      <c r="AH144" s="92" t="str">
        <f t="shared" si="72"/>
        <v>"%USERPROFILE%\Documents\GitHub\eaglep3\Utilities\RefineRTDCRunTimes.py" --tripid 228-27 --locoid 4012 --swversion DE.1.0.8.0 --startMP 204:232702 --initTime 2016-11-27T21:22:09 --startdatetime 2016-11-27T21:26:33 --delay 1 --endMP 204:141 --enddatetime 2016-11-27T22:08:44 --enforcementcount 0 &gt;&gt;C:\Users\stu\Documents\GitHub\eaglep3-reporting\EC\2016-11-27-refined-times.txt</v>
      </c>
      <c r="AI144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{"issue":{"subject":"","project_id":79,"tracker_id":40,"status_id":1,"priority_id":2,"assigned_to_id":23,"start_date":"2016-11-27","description":"","custom_fields":[{"id":1,"name":"Subdivision","value":"EC"},{"id":4,"name":"Milepost","value":"0.0141"},{"id":17,"name":"Train ID","value":"228-27"},{"id":16,"name":"Locomotive ID","value":"4012"},{"id":130,"name":"Impact","value":""},{"id":150,"name":"Time of Event (Mountain Time)","value":"22:08:44"},{"id":151,"name":"Denver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579</v>
      </c>
      <c r="B145" s="7">
        <v>4002</v>
      </c>
      <c r="C145" s="22" t="s">
        <v>215</v>
      </c>
      <c r="D145" s="22" t="s">
        <v>720</v>
      </c>
      <c r="E145" s="13">
        <v>42701.867824074077</v>
      </c>
      <c r="F145" s="13">
        <v>42701.875254629631</v>
      </c>
      <c r="G145" s="7">
        <v>1</v>
      </c>
      <c r="H145" s="22" t="s">
        <v>274</v>
      </c>
      <c r="I145" s="13">
        <v>42701.900625000002</v>
      </c>
      <c r="J145" s="7">
        <v>0</v>
      </c>
      <c r="K145" s="109" t="str">
        <f t="shared" si="59"/>
        <v>4001/4002</v>
      </c>
      <c r="L145" s="22" t="str">
        <f>VLOOKUP(A145,'Trips&amp;Operators'!$C$1:$E$10000,3,FALSE)</f>
        <v>LEVERE</v>
      </c>
      <c r="M145" s="6">
        <f t="shared" si="60"/>
        <v>2.5370370371092577E-2</v>
      </c>
      <c r="N145" s="7">
        <f t="shared" si="61"/>
        <v>36.53333333437331</v>
      </c>
      <c r="O145" s="7"/>
      <c r="P145" s="7"/>
      <c r="Q145" s="23"/>
      <c r="R145" s="23"/>
      <c r="S145" s="35">
        <f t="shared" si="62"/>
        <v>1</v>
      </c>
      <c r="T145" s="50" t="str">
        <f t="shared" si="63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19:49:40-700',mode:absolute,to:'2016-11-27 22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 t="shared" si="65"/>
        <v>N</v>
      </c>
      <c r="X145" s="177">
        <f t="shared" si="56"/>
        <v>1</v>
      </c>
      <c r="Y145" s="67">
        <f t="shared" si="66"/>
        <v>7.8799999999999995E-2</v>
      </c>
      <c r="Z145" s="67">
        <f t="shared" si="58"/>
        <v>23.3306</v>
      </c>
      <c r="AA145" s="67">
        <f t="shared" si="67"/>
        <v>23.251799999999999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8"/>
        <v>0229-27</v>
      </c>
      <c r="AE145" s="91" t="str">
        <f t="shared" si="69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145" s="88" t="str">
        <f t="shared" si="70"/>
        <v>"C:\Program Files (x86)\AstroGrep\AstroGrep.exe" /spath="%USERPROFILE%\AppData\Local\Temp\OnboardLogs" /stypes="app*4002*20161128*" /stext=" 04:.+((SYSTEM_STATE.+slice.+state.+changed )|(ment ac)|(multiple cpu faults)|(system.+state.+changed )|(\[timeout)|(PRM\|1\|D)|(kpr)|(kdp)|(\|lc)|(penalty))" /e /r /s</v>
      </c>
      <c r="AG145" s="1" t="str">
        <f t="shared" si="71"/>
        <v>EC</v>
      </c>
      <c r="AH145" s="92" t="str">
        <f t="shared" si="72"/>
        <v>"%USERPROFILE%\Documents\GitHub\eaglep3\Utilities\RefineRTDCRunTimes.py" --tripid 229-27 --locoid 4002 --swversion DE.1.0.8.0 --startMP 204:788 --initTime 2016-11-27T20:49:40 --startdatetime 2016-11-27T21:00:22 --delay 1 --endMP 204:233306 --enddatetime 2016-11-27T21:36:54 --enforcementcount 0 &gt;&gt;C:\Users\stu\Documents\GitHub\eaglep3-reporting\EC\2016-11-27-refined-times.txt</v>
      </c>
      <c r="AI145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{"issue":{"subject":"","project_id":79,"tracker_id":40,"status_id":1,"priority_id":2,"assigned_to_id":23,"start_date":"2016-11-27","description":"","custom_fields":[{"id":1,"name":"Subdivision","value":"EC"},{"id":4,"name":"Milepost","value":"23.3306"},{"id":17,"name":"Train ID","value":"229-27"},{"id":16,"name":"Locomotive ID","value":"4002"},{"id":130,"name":"Impact","value":""},{"id":150,"name":"Time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583</v>
      </c>
      <c r="B146" s="7">
        <v>4037</v>
      </c>
      <c r="C146" s="22" t="s">
        <v>215</v>
      </c>
      <c r="D146" s="22" t="s">
        <v>721</v>
      </c>
      <c r="E146" s="13">
        <v>42701.906180555554</v>
      </c>
      <c r="F146" s="13">
        <v>42701.914143518516</v>
      </c>
      <c r="G146" s="7">
        <v>1</v>
      </c>
      <c r="H146" s="22" t="s">
        <v>195</v>
      </c>
      <c r="I146" s="13">
        <v>42701.941458333335</v>
      </c>
      <c r="J146" s="7">
        <v>0</v>
      </c>
      <c r="K146" s="109" t="str">
        <f t="shared" si="59"/>
        <v>4037/4038</v>
      </c>
      <c r="L146" s="22" t="str">
        <f>VLOOKUP(A146,'Trips&amp;Operators'!$C$1:$E$10000,3,FALSE)</f>
        <v>LEVERE</v>
      </c>
      <c r="M146" s="6">
        <f t="shared" si="60"/>
        <v>2.7314814818964805E-2</v>
      </c>
      <c r="N146" s="7">
        <f t="shared" si="61"/>
        <v>39.33333333930932</v>
      </c>
      <c r="O146" s="7"/>
      <c r="P146" s="7"/>
      <c r="Q146" s="23"/>
      <c r="R146" s="23"/>
      <c r="S146" s="35">
        <f t="shared" si="62"/>
        <v>1</v>
      </c>
      <c r="T146" s="50" t="str">
        <f t="shared" si="63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20:44:54-700',mode:absolute,to:'2016-11-27 23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6" s="52" t="str">
        <f t="shared" si="65"/>
        <v>N</v>
      </c>
      <c r="X146" s="177">
        <f t="shared" si="56"/>
        <v>1</v>
      </c>
      <c r="Y146" s="67">
        <f t="shared" si="66"/>
        <v>23.266999999999999</v>
      </c>
      <c r="Z146" s="67">
        <f t="shared" si="58"/>
        <v>1.43E-2</v>
      </c>
      <c r="AA146" s="67">
        <f t="shared" si="67"/>
        <v>23.252700000000001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8"/>
        <v>0230-27</v>
      </c>
      <c r="AE146" s="91" t="str">
        <f t="shared" si="69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146" s="88" t="str">
        <f t="shared" si="70"/>
        <v>"C:\Program Files (x86)\AstroGrep\AstroGrep.exe" /spath="%USERPROFILE%\AppData\Local\Temp\OnboardLogs" /stypes="app*4037*20161128*" /stext=" 05:.+((SYSTEM_STATE.+slice.+state.+changed )|(ment ac)|(multiple cpu faults)|(system.+state.+changed )|(\[timeout)|(PRM\|1\|D)|(kpr)|(kdp)|(\|lc)|(penalty))" /e /r /s</v>
      </c>
      <c r="AG146" s="1" t="str">
        <f t="shared" si="71"/>
        <v>EC</v>
      </c>
      <c r="AH146" s="92" t="str">
        <f t="shared" si="72"/>
        <v>"%USERPROFILE%\Documents\GitHub\eaglep3\Utilities\RefineRTDCRunTimes.py" --tripid 230-27 --locoid 4037 --swversion DE.1.0.8.0 --startMP 204:232670 --initTime 2016-11-27T21:44:54 --startdatetime 2016-11-27T21:56:22 --delay 1 --endMP 204:143 --enddatetime 2016-11-27T22:35:42 --enforcementcount 0 &gt;&gt;C:\Users\stu\Documents\GitHub\eaglep3-reporting\EC\2016-11-27-refined-times.txt</v>
      </c>
      <c r="AI146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{"issue":{"subject":"","project_id":79,"tracker_id":40,"status_id":1,"priority_id":2,"assigned_to_id":23,"start_date":"2016-11-27","description":"","custom_fields":[{"id":1,"name":"Subdivision","value":"EC"},{"id":4,"name":"Milepost","value":"0.0143"},{"id":17,"name":"Train ID","value":"230-27"},{"id":16,"name":"Locomotive ID","value":"4037"},{"id":130,"name":"Impact","value":""},{"id":150,"name":"Time of Event (Mountain Time)","value":"22:35:42"},{"id":151,"name":"Denver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582</v>
      </c>
      <c r="B147" s="7">
        <v>4016</v>
      </c>
      <c r="C147" s="22" t="s">
        <v>215</v>
      </c>
      <c r="D147" s="22" t="s">
        <v>605</v>
      </c>
      <c r="E147" s="13">
        <v>42701.891932870371</v>
      </c>
      <c r="F147" s="13">
        <v>42701.896122685182</v>
      </c>
      <c r="G147" s="7">
        <v>2</v>
      </c>
      <c r="H147" s="22" t="s">
        <v>722</v>
      </c>
      <c r="I147" s="13">
        <v>42701.921273148146</v>
      </c>
      <c r="J147" s="7">
        <v>0</v>
      </c>
      <c r="K147" s="109" t="str">
        <f t="shared" si="59"/>
        <v>4015/4016</v>
      </c>
      <c r="L147" s="22" t="str">
        <f>VLOOKUP(A147,'Trips&amp;Operators'!$C$1:$E$10000,3,FALSE)</f>
        <v>COOLAHAN</v>
      </c>
      <c r="M147" s="6">
        <f t="shared" si="60"/>
        <v>2.5150462963210884E-2</v>
      </c>
      <c r="N147" s="7">
        <f t="shared" si="61"/>
        <v>36.216666667023674</v>
      </c>
      <c r="O147" s="7"/>
      <c r="P147" s="7"/>
      <c r="Q147" s="23"/>
      <c r="R147" s="23"/>
      <c r="S147" s="35">
        <f t="shared" si="62"/>
        <v>1</v>
      </c>
      <c r="T147" s="50" t="str">
        <f t="shared" si="63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20:24:23-700',mode:absolute,to:'2016-11-27 23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7" s="52" t="str">
        <f t="shared" si="65"/>
        <v>N</v>
      </c>
      <c r="X147" s="177">
        <f t="shared" si="56"/>
        <v>1</v>
      </c>
      <c r="Y147" s="67">
        <f t="shared" si="66"/>
        <v>7.5200000000000003E-2</v>
      </c>
      <c r="Z147" s="67">
        <f t="shared" si="58"/>
        <v>23.336600000000001</v>
      </c>
      <c r="AA147" s="67">
        <f t="shared" si="67"/>
        <v>23.261400000000002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8"/>
        <v>0231-27</v>
      </c>
      <c r="AE147" s="91" t="str">
        <f t="shared" si="69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147" s="88" t="str">
        <f t="shared" si="70"/>
        <v>"C:\Program Files (x86)\AstroGrep\AstroGrep.exe" /spath="%USERPROFILE%\AppData\Local\Temp\OnboardLogs" /stypes="app*4016*20161128*" /stext=" 05:.+((SYSTEM_STATE.+slice.+state.+changed )|(ment ac)|(multiple cpu faults)|(system.+state.+changed )|(\[timeout)|(PRM\|1\|D)|(kpr)|(kdp)|(\|lc)|(penalty))" /e /r /s</v>
      </c>
      <c r="AG147" s="1" t="str">
        <f t="shared" si="71"/>
        <v>EC</v>
      </c>
      <c r="AH147" s="92" t="str">
        <f t="shared" si="72"/>
        <v>"%USERPROFILE%\Documents\GitHub\eaglep3\Utilities\RefineRTDCRunTimes.py" --tripid 231-27 --locoid 4016 --swversion DE.1.0.8.0 --startMP 204:752 --initTime 2016-11-27T21:24:23 --startdatetime 2016-11-27T21:30:25 --delay 2 --endMP 204:233366 --enddatetime 2016-11-27T22:06:38 --enforcementcount 0 &gt;&gt;C:\Users\stu\Documents\GitHub\eaglep3-reporting\EC\2016-11-27-refined-times.txt</v>
      </c>
      <c r="AI147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{"issue":{"subject":"","project_id":79,"tracker_id":40,"status_id":1,"priority_id":2,"assigned_to_id":23,"start_date":"2016-11-27","description":"","custom_fields":[{"id":1,"name":"Subdivision","value":"EC"},{"id":4,"name":"Milepost","value":"23.3366"},{"id":17,"name":"Train ID","value":"231-27"},{"id":16,"name":"Locomotive ID","value":"4016"},{"id":130,"name":"Impact","value":""},{"id":150,"name":"Time of Event (Mountain Time)","value":"22:06:38"},{"id":151,"name":"Denver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586</v>
      </c>
      <c r="B148" s="7">
        <v>4010</v>
      </c>
      <c r="C148" s="22" t="s">
        <v>215</v>
      </c>
      <c r="D148" s="22" t="s">
        <v>723</v>
      </c>
      <c r="E148" s="13">
        <v>42701.93037037037</v>
      </c>
      <c r="F148" s="13">
        <v>42701.935277777775</v>
      </c>
      <c r="G148" s="7">
        <v>2</v>
      </c>
      <c r="H148" s="22" t="s">
        <v>240</v>
      </c>
      <c r="I148" s="13">
        <v>42701.963067129633</v>
      </c>
      <c r="J148" s="7">
        <v>0</v>
      </c>
      <c r="K148" s="109" t="str">
        <f t="shared" si="59"/>
        <v>4009/4010</v>
      </c>
      <c r="L148" s="22" t="str">
        <f>VLOOKUP(A148,'Trips&amp;Operators'!$C$1:$E$10000,3,FALSE)</f>
        <v>COOLAHAN</v>
      </c>
      <c r="M148" s="6">
        <f t="shared" si="60"/>
        <v>2.7789351857791189E-2</v>
      </c>
      <c r="N148" s="7">
        <f t="shared" si="61"/>
        <v>40.016666675219312</v>
      </c>
      <c r="O148" s="7"/>
      <c r="P148" s="7"/>
      <c r="Q148" s="23"/>
      <c r="R148" s="23"/>
      <c r="S148" s="35">
        <f t="shared" si="62"/>
        <v>1</v>
      </c>
      <c r="T148" s="50" t="str">
        <f t="shared" si="63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21:19:44-700',mode:absolute,to:'2016-11-28 00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8" s="52" t="str">
        <f t="shared" si="65"/>
        <v>N</v>
      </c>
      <c r="X148" s="177">
        <f t="shared" si="56"/>
        <v>1</v>
      </c>
      <c r="Y148" s="67">
        <f t="shared" si="66"/>
        <v>23.267900000000001</v>
      </c>
      <c r="Z148" s="67">
        <f t="shared" si="58"/>
        <v>1.41E-2</v>
      </c>
      <c r="AA148" s="67">
        <f t="shared" si="67"/>
        <v>23.253800000000002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68"/>
        <v>0232-27</v>
      </c>
      <c r="AE148" s="91" t="str">
        <f t="shared" si="69"/>
        <v>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 &amp; 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</v>
      </c>
      <c r="AF148" s="88" t="str">
        <f t="shared" si="70"/>
        <v>"C:\Program Files (x86)\AstroGrep\AstroGrep.exe" /spath="%USERPROFILE%\AppData\Local\Temp\OnboardLogs" /stypes="app*4010*20161128*" /stext=" 06:.+((SYSTEM_STATE.+slice.+state.+changed )|(ment ac)|(multiple cpu faults)|(system.+state.+changed )|(\[timeout)|(PRM\|1\|D)|(kpr)|(kdp)|(\|lc)|(penalty))" /e /r /s</v>
      </c>
      <c r="AG148" s="1" t="str">
        <f t="shared" si="71"/>
        <v>EC</v>
      </c>
      <c r="AH148" s="92" t="str">
        <f t="shared" si="72"/>
        <v>"%USERPROFILE%\Documents\GitHub\eaglep3\Utilities\RefineRTDCRunTimes.py" --tripid 232-27 --locoid 4010 --swversion DE.1.0.8.0 --startMP 204:232679 --initTime 2016-11-27T22:19:44 --startdatetime 2016-11-27T22:26:48 --delay 2 --endMP 204:141 --enddatetime 2016-11-27T23:06:49 --enforcementcount 0 &gt;&gt;C:\Users\stu\Documents\GitHub\eaglep3-reporting\EC\2016-11-27-refined-times.txt</v>
      </c>
      <c r="AI148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{"issue":{"subject":"","project_id":79,"tracker_id":40,"status_id":1,"priority_id":2,"assigned_to_id":23,"start_date":"2016-11-27","description":"","custom_fields":[{"id":1,"name":"Subdivision","value":"EC"},{"id":4,"name":"Milepost","value":"0.0141"},{"id":17,"name":"Train ID","value":"232-27"},{"id":16,"name":"Locomotive ID","value":"4010"},{"id":130,"name":"Impact","value":""},{"id":150,"name":"Time of Event (Mountain Time)","value":"23:06:49"},{"id":151,"name":"Denver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584</v>
      </c>
      <c r="B149" s="7">
        <v>4022</v>
      </c>
      <c r="C149" s="22" t="s">
        <v>215</v>
      </c>
      <c r="D149" s="22" t="s">
        <v>724</v>
      </c>
      <c r="E149" s="13">
        <v>42701.908912037034</v>
      </c>
      <c r="F149" s="13">
        <v>42701.916967592595</v>
      </c>
      <c r="G149" s="7">
        <v>1</v>
      </c>
      <c r="H149" s="22" t="s">
        <v>626</v>
      </c>
      <c r="I149" s="13">
        <v>42701.944363425922</v>
      </c>
      <c r="J149" s="7">
        <v>0</v>
      </c>
      <c r="K149" s="109" t="str">
        <f t="shared" si="59"/>
        <v>4021/4022</v>
      </c>
      <c r="L149" s="22" t="str">
        <f>VLOOKUP(A149,'Trips&amp;Operators'!$C$1:$E$10000,3,FALSE)</f>
        <v>BADERTSCHER</v>
      </c>
      <c r="M149" s="6">
        <f t="shared" si="60"/>
        <v>2.7395833327318542E-2</v>
      </c>
      <c r="N149" s="7">
        <f t="shared" si="61"/>
        <v>39.4499999913387</v>
      </c>
      <c r="O149" s="7"/>
      <c r="P149" s="7"/>
      <c r="Q149" s="23"/>
      <c r="R149" s="23"/>
      <c r="S149" s="35">
        <f t="shared" si="62"/>
        <v>1</v>
      </c>
      <c r="T149" s="50" t="str">
        <f t="shared" si="63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20:48:50-700',mode:absolute,to:'2016-11-27 23:39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9" s="52" t="str">
        <f t="shared" si="65"/>
        <v>N</v>
      </c>
      <c r="X149" s="177">
        <f t="shared" si="56"/>
        <v>1</v>
      </c>
      <c r="Y149" s="67">
        <f t="shared" si="66"/>
        <v>7.7399999999999997E-2</v>
      </c>
      <c r="Z149" s="67">
        <f t="shared" si="58"/>
        <v>23.331900000000001</v>
      </c>
      <c r="AA149" s="67">
        <f t="shared" si="67"/>
        <v>23.2545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8"/>
        <v>0233-27</v>
      </c>
      <c r="AE149" s="91" t="str">
        <f t="shared" si="69"/>
        <v>aws s3 cp s3://rtdc.mdm.uploadarchive.raw/RTDC4022/ "%USERPROFILE%\AppData\Local\Temp\OnboardLogs"\RTDC4022\2016-11-27 --exclude "*" --recursive --include "*20161127*" &amp; "%USERPROFILE%\Documents\GitHub\mrs-test-scripts\Headless Mode &amp; Sideloading\WalkAndUnGZ.bat" "%USERPROFILE%\AppData\Local\Temp\OnboardLogs"\RTDC4022\2016-11-27 &amp; 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</v>
      </c>
      <c r="AF149" s="88" t="str">
        <f t="shared" si="70"/>
        <v>"C:\Program Files (x86)\AstroGrep\AstroGrep.exe" /spath="%USERPROFILE%\AppData\Local\Temp\OnboardLogs" /stypes="app*4022*20161128*" /stext=" 05:.+((SYSTEM_STATE.+slice.+state.+changed )|(ment ac)|(multiple cpu faults)|(system.+state.+changed )|(\[timeout)|(PRM\|1\|D)|(kpr)|(kdp)|(\|lc)|(penalty))" /e /r /s</v>
      </c>
      <c r="AG149" s="1" t="str">
        <f t="shared" si="71"/>
        <v>EC</v>
      </c>
      <c r="AH149" s="92" t="str">
        <f t="shared" si="72"/>
        <v>"%USERPROFILE%\Documents\GitHub\eaglep3\Utilities\RefineRTDCRunTimes.py" --tripid 233-27 --locoid 4022 --swversion DE.1.0.8.0 --startMP 204:774 --initTime 2016-11-27T21:48:50 --startdatetime 2016-11-27T22:00:26 --delay 1 --endMP 204:233319 --enddatetime 2016-11-27T22:39:53 --enforcementcount 0 &gt;&gt;C:\Users\stu\Documents\GitHub\eaglep3-reporting\EC\2016-11-27-refined-times.txt</v>
      </c>
      <c r="AI149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{"issue":{"subject":"","project_id":79,"tracker_id":40,"status_id":1,"priority_id":2,"assigned_to_id":23,"start_date":"2016-11-27","description":"","custom_fields":[{"id":1,"name":"Subdivision","value":"EC"},{"id":4,"name":"Milepost","value":"23.3319"},{"id":17,"name":"Train ID","value":"233-27"},{"id":16,"name":"Locomotive ID","value":"4022"},{"id":130,"name":"Impact","value":""},{"id":150,"name":"Time of Event (Mountain Time)","value":"22:39:53"},{"id":151,"name":"Denver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430</v>
      </c>
      <c r="B150" s="7">
        <v>4045</v>
      </c>
      <c r="C150" s="22" t="s">
        <v>215</v>
      </c>
      <c r="D150" s="22" t="s">
        <v>725</v>
      </c>
      <c r="E150" s="13">
        <v>42701.94971064815</v>
      </c>
      <c r="F150" s="13">
        <v>42701.955937500003</v>
      </c>
      <c r="G150" s="7">
        <v>1</v>
      </c>
      <c r="H150" s="22" t="s">
        <v>194</v>
      </c>
      <c r="I150" s="13">
        <v>42701.985358796293</v>
      </c>
      <c r="J150" s="7">
        <v>0</v>
      </c>
      <c r="K150" s="109" t="str">
        <f t="shared" si="59"/>
        <v>4045/4046</v>
      </c>
      <c r="L150" s="22" t="str">
        <f>VLOOKUP(A150,'Trips&amp;Operators'!$C$1:$E$10000,3,FALSE)</f>
        <v>BADERTSCHER</v>
      </c>
      <c r="M150" s="6">
        <f t="shared" si="60"/>
        <v>2.9421296290820464E-2</v>
      </c>
      <c r="N150" s="7">
        <f t="shared" si="61"/>
        <v>42.366666658781469</v>
      </c>
      <c r="O150" s="7"/>
      <c r="P150" s="7"/>
      <c r="Q150" s="23"/>
      <c r="R150" s="23"/>
      <c r="S150" s="35">
        <f t="shared" si="62"/>
        <v>1</v>
      </c>
      <c r="T150" s="50" t="str">
        <f t="shared" si="63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21:47:35-700',mode:absolute,to:'2016-11-28 00:38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0" s="52" t="str">
        <f t="shared" si="65"/>
        <v>N</v>
      </c>
      <c r="X150" s="177">
        <f t="shared" si="56"/>
        <v>1</v>
      </c>
      <c r="Y150" s="67">
        <f t="shared" si="66"/>
        <v>23.268899999999999</v>
      </c>
      <c r="Z150" s="67">
        <f t="shared" si="58"/>
        <v>1.49E-2</v>
      </c>
      <c r="AA150" s="67">
        <f t="shared" si="67"/>
        <v>23.253999999999998</v>
      </c>
      <c r="AB150" s="64" t="str">
        <f>VLOOKUP(A150,Enforcements!$C$7:$K$20,8,0)</f>
        <v>Form based authority (4)</v>
      </c>
      <c r="AC150" s="60" t="str">
        <f>VLOOKUP(A150,Enforcements!$C$7:$E$20,3,0)</f>
        <v>TRACK WARRANT AUTHORITY</v>
      </c>
      <c r="AD150" s="61" t="str">
        <f t="shared" si="68"/>
        <v>0234-27</v>
      </c>
      <c r="AE150" s="91" t="str">
        <f t="shared" si="69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150" s="88" t="str">
        <f t="shared" si="70"/>
        <v>"C:\Program Files (x86)\AstroGrep\AstroGrep.exe" /spath="%USERPROFILE%\AppData\Local\Temp\OnboardLogs" /stypes="app*4045*20161128*" /stext=" 06:.+((SYSTEM_STATE.+slice.+state.+changed )|(ment ac)|(multiple cpu faults)|(system.+state.+changed )|(\[timeout)|(PRM\|1\|D)|(kpr)|(kdp)|(\|lc)|(penalty))" /e /r /s</v>
      </c>
      <c r="AG150" s="1" t="str">
        <f t="shared" si="71"/>
        <v>EC</v>
      </c>
      <c r="AH150" s="92" t="str">
        <f t="shared" si="72"/>
        <v>"%USERPROFILE%\Documents\GitHub\eaglep3\Utilities\RefineRTDCRunTimes.py" --tripid 234-27 --locoid 4045 --swversion DE.1.0.8.0 --startMP 204:232689 --initTime 2016-11-27T22:47:35 --startdatetime 2016-11-27T22:56:33 --delay 1 --endMP 204:149 --enddatetime 2016-11-27T23:38:55 --enforcementcount 0 &gt;&gt;C:\Users\stu\Documents\GitHub\eaglep3-reporting\EC\2016-11-27-refined-times.txt</v>
      </c>
      <c r="AI150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{"issue":{"subject":"","project_id":79,"tracker_id":40,"status_id":1,"priority_id":2,"assigned_to_id":23,"start_date":"2016-11-27","description":"","custom_fields":[{"id":1,"name":"Subdivision","value":"EC"},{"id":4,"name":"Milepost","value":"0.0149"},{"id":17,"name":"Train ID","value":"234-27"},{"id":16,"name":"Locomotive ID","value":"4045"},{"id":130,"name":"Impact","value":""},{"id":150,"name":"Time of Event (Mountain Time)","value":"23:38:55"},{"id":151,"name":"Denver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587</v>
      </c>
      <c r="B151" s="7">
        <v>4044</v>
      </c>
      <c r="C151" s="22" t="s">
        <v>215</v>
      </c>
      <c r="D151" s="22" t="s">
        <v>726</v>
      </c>
      <c r="E151" s="13">
        <v>42701.936099537037</v>
      </c>
      <c r="F151" s="13">
        <v>42701.937777777777</v>
      </c>
      <c r="G151" s="7">
        <v>1</v>
      </c>
      <c r="H151" s="22" t="s">
        <v>727</v>
      </c>
      <c r="I151" s="13">
        <v>42701.962418981479</v>
      </c>
      <c r="J151" s="7">
        <v>0</v>
      </c>
      <c r="K151" s="109" t="str">
        <f t="shared" si="59"/>
        <v>4043/4044</v>
      </c>
      <c r="L151" s="22" t="str">
        <f>VLOOKUP(A151,'Trips&amp;Operators'!$C$1:$E$10000,3,FALSE)</f>
        <v>CHANDLER</v>
      </c>
      <c r="M151" s="6">
        <f t="shared" si="60"/>
        <v>2.4641203701321501E-2</v>
      </c>
      <c r="N151" s="7">
        <f t="shared" si="61"/>
        <v>35.483333329902962</v>
      </c>
      <c r="O151" s="7"/>
      <c r="P151" s="7"/>
      <c r="Q151" s="23"/>
      <c r="R151" s="23"/>
      <c r="S151" s="35">
        <f t="shared" si="62"/>
        <v>1</v>
      </c>
      <c r="T151" s="50" t="str">
        <f t="shared" si="63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21:27:59-700',mode:absolute,to:'2016-11-28 00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65"/>
        <v>N</v>
      </c>
      <c r="X151" s="177">
        <f t="shared" si="56"/>
        <v>1</v>
      </c>
      <c r="Y151" s="67">
        <f t="shared" si="66"/>
        <v>7.7499999999999999E-2</v>
      </c>
      <c r="Z151" s="67">
        <f t="shared" si="58"/>
        <v>23.34</v>
      </c>
      <c r="AA151" s="67">
        <f t="shared" si="67"/>
        <v>23.262499999999999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8"/>
        <v>0235-27</v>
      </c>
      <c r="AE151" s="91" t="str">
        <f t="shared" si="69"/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AF151" s="88" t="str">
        <f t="shared" si="70"/>
        <v>"C:\Program Files (x86)\AstroGrep\AstroGrep.exe" /spath="%USERPROFILE%\AppData\Local\Temp\OnboardLogs" /stypes="app*4044*20161128*" /stext=" 06:.+((SYSTEM_STATE.+slice.+state.+changed )|(ment ac)|(multiple cpu faults)|(system.+state.+changed )|(\[timeout)|(PRM\|1\|D)|(kpr)|(kdp)|(\|lc)|(penalty))" /e /r /s</v>
      </c>
      <c r="AG151" s="1" t="str">
        <f t="shared" si="71"/>
        <v>EC</v>
      </c>
      <c r="AH151" s="92" t="str">
        <f t="shared" si="72"/>
        <v>"%USERPROFILE%\Documents\GitHub\eaglep3\Utilities\RefineRTDCRunTimes.py" --tripid 235-27 --locoid 4044 --swversion DE.1.0.8.0 --startMP 204:775 --initTime 2016-11-27T22:27:59 --startdatetime 2016-11-27T22:30:24 --delay 1 --endMP 204:233400 --enddatetime 2016-11-27T23:05:53 --enforcementcount 0 &gt;&gt;C:\Users\stu\Documents\GitHub\eaglep3-reporting\EC\2016-11-27-refined-times.txt</v>
      </c>
      <c r="AI151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{"issue":{"subject":"","project_id":79,"tracker_id":40,"status_id":1,"priority_id":2,"assigned_to_id":23,"start_date":"2016-11-27","description":"","custom_fields":[{"id":1,"name":"Subdivision","value":"EC"},{"id":4,"name":"Milepost","value":"23.34"},{"id":17,"name":"Train ID","value":"235-27"},{"id":16,"name":"Locomotive ID","value":"4044"},{"id":130,"name":"Impact","value":""},{"id":150,"name":"Time of Event (Mountain Time)","value":"23:05:53"},{"id":151,"name":"Denver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431</v>
      </c>
      <c r="B152" s="7">
        <v>4012</v>
      </c>
      <c r="C152" s="22" t="s">
        <v>215</v>
      </c>
      <c r="D152" s="22" t="s">
        <v>728</v>
      </c>
      <c r="E152" s="13">
        <v>42701.975092592591</v>
      </c>
      <c r="F152" s="13">
        <v>42701.977106481485</v>
      </c>
      <c r="G152" s="7">
        <v>1</v>
      </c>
      <c r="H152" s="22" t="s">
        <v>729</v>
      </c>
      <c r="I152" s="13">
        <v>42702.004791666666</v>
      </c>
      <c r="J152" s="7">
        <v>0</v>
      </c>
      <c r="K152" s="109" t="str">
        <f t="shared" si="59"/>
        <v>4011/4012</v>
      </c>
      <c r="L152" s="22" t="str">
        <f>VLOOKUP(A152,'Trips&amp;Operators'!$C$1:$E$10000,3,FALSE)</f>
        <v>CHANDLER</v>
      </c>
      <c r="M152" s="6">
        <f t="shared" si="60"/>
        <v>2.7685185181326233E-2</v>
      </c>
      <c r="N152" s="7">
        <f t="shared" si="61"/>
        <v>39.866666661109775</v>
      </c>
      <c r="O152" s="7"/>
      <c r="P152" s="7"/>
      <c r="Q152" s="23"/>
      <c r="R152" s="23"/>
      <c r="S152" s="35">
        <f t="shared" si="62"/>
        <v>1</v>
      </c>
      <c r="T152" s="50" t="str">
        <f t="shared" si="63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22:24:08-700',mode:absolute,to:'2016-11-28 01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2" s="52" t="str">
        <f t="shared" si="65"/>
        <v>N</v>
      </c>
      <c r="X152" s="177">
        <f t="shared" si="56"/>
        <v>1</v>
      </c>
      <c r="Y152" s="67">
        <f t="shared" si="66"/>
        <v>23.275500000000001</v>
      </c>
      <c r="Z152" s="67">
        <f t="shared" si="58"/>
        <v>1.9199999999999998E-2</v>
      </c>
      <c r="AA152" s="67">
        <f t="shared" si="67"/>
        <v>23.2563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8"/>
        <v>0236-27</v>
      </c>
      <c r="AE152" s="91" t="str">
        <f t="shared" si="69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152" s="88" t="str">
        <f t="shared" si="70"/>
        <v>"C:\Program Files (x86)\AstroGrep\AstroGrep.exe" /spath="%USERPROFILE%\AppData\Local\Temp\OnboardLogs" /stypes="app*4012*20161128*" /stext=" 07:.+((SYSTEM_STATE.+slice.+state.+changed )|(ment ac)|(multiple cpu faults)|(system.+state.+changed )|(\[timeout)|(PRM\|1\|D)|(kpr)|(kdp)|(\|lc)|(penalty))" /e /r /s</v>
      </c>
      <c r="AG152" s="1" t="str">
        <f t="shared" si="71"/>
        <v>EC</v>
      </c>
      <c r="AH152" s="92" t="str">
        <f t="shared" si="72"/>
        <v>"%USERPROFILE%\Documents\GitHub\eaglep3\Utilities\RefineRTDCRunTimes.py" --tripid 236-27 --locoid 4012 --swversion DE.1.0.8.0 --startMP 204:232755 --initTime 2016-11-27T23:24:08 --startdatetime 2016-11-27T23:27:02 --delay 1 --endMP 204:192 --enddatetime 2016-11-28T00:06:54 --enforcementcount 0 &gt;&gt;C:\Users\stu\Documents\GitHub\eaglep3-reporting\EC\2016-11-27-refined-times.txt</v>
      </c>
      <c r="AI152" s="119" t="str">
        <f t="shared" si="73"/>
        <v>echo {"issue":{"subject":"","project_id":79,"tracker_id":40,"status_id":1,"priority_id":2,"assigned_to_id":23,"start_date":"2016-11-28","description":"","custom_fields":[{"id":1,"name":"Subdivision","value":"EC"},{"id":4,"name":"Milepost","value":"0.0192"},{"id":17,"name":"Train ID","value":"236-27"},{"id":16,"name":"Locomotive ID","value":"4012"},{"id":130,"name":"Impact","value":""},{"id":150,"name":"Time of Event (Mountain Time)","value":"00:06:54"},{"id":151,"name":"Denver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588</v>
      </c>
      <c r="B153" s="7">
        <v>4002</v>
      </c>
      <c r="C153" s="22" t="s">
        <v>215</v>
      </c>
      <c r="D153" s="22" t="s">
        <v>724</v>
      </c>
      <c r="E153" s="13">
        <v>42701.952337962961</v>
      </c>
      <c r="F153" s="13">
        <v>42701.958541666667</v>
      </c>
      <c r="G153" s="7">
        <v>1</v>
      </c>
      <c r="H153" s="22" t="s">
        <v>730</v>
      </c>
      <c r="I153" s="13">
        <v>42701.984479166669</v>
      </c>
      <c r="J153" s="7">
        <v>0</v>
      </c>
      <c r="K153" s="109" t="str">
        <f t="shared" si="59"/>
        <v>4001/4002</v>
      </c>
      <c r="L153" s="22" t="str">
        <f>VLOOKUP(A153,'Trips&amp;Operators'!$C$1:$E$10000,3,FALSE)</f>
        <v>LEVERE</v>
      </c>
      <c r="M153" s="6">
        <f t="shared" si="60"/>
        <v>2.5937500002328306E-2</v>
      </c>
      <c r="N153" s="7">
        <f t="shared" si="61"/>
        <v>37.350000003352761</v>
      </c>
      <c r="O153" s="7"/>
      <c r="P153" s="7"/>
      <c r="Q153" s="23"/>
      <c r="R153" s="23"/>
      <c r="S153" s="35">
        <f t="shared" si="62"/>
        <v>1</v>
      </c>
      <c r="T153" s="50" t="str">
        <f t="shared" si="63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21:51:22-700',mode:absolute,to:'2016-11-28 00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52" t="str">
        <f t="shared" si="65"/>
        <v>N</v>
      </c>
      <c r="X153" s="177">
        <f t="shared" si="56"/>
        <v>1</v>
      </c>
      <c r="Y153" s="67">
        <f t="shared" si="66"/>
        <v>7.7399999999999997E-2</v>
      </c>
      <c r="Z153" s="67">
        <f t="shared" si="58"/>
        <v>23.329699999999999</v>
      </c>
      <c r="AA153" s="67">
        <f t="shared" si="67"/>
        <v>23.252299999999998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68"/>
        <v>0237-27</v>
      </c>
      <c r="AE153" s="91" t="str">
        <f t="shared" si="69"/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AF153" s="88" t="str">
        <f t="shared" si="70"/>
        <v>"C:\Program Files (x86)\AstroGrep\AstroGrep.exe" /spath="%USERPROFILE%\AppData\Local\Temp\OnboardLogs" /stypes="app*4002*20161128*" /stext=" 06:.+((SYSTEM_STATE.+slice.+state.+changed )|(ment ac)|(multiple cpu faults)|(system.+state.+changed )|(\[timeout)|(PRM\|1\|D)|(kpr)|(kdp)|(\|lc)|(penalty))" /e /r /s</v>
      </c>
      <c r="AG153" s="1" t="str">
        <f t="shared" si="71"/>
        <v>EC</v>
      </c>
      <c r="AH153" s="92" t="str">
        <f t="shared" si="72"/>
        <v>"%USERPROFILE%\Documents\GitHub\eaglep3\Utilities\RefineRTDCRunTimes.py" --tripid 237-27 --locoid 4002 --swversion DE.1.0.8.0 --startMP 204:774 --initTime 2016-11-27T22:51:22 --startdatetime 2016-11-27T23:00:18 --delay 1 --endMP 204:233297 --enddatetime 2016-11-27T23:37:39 --enforcementcount 0 &gt;&gt;C:\Users\stu\Documents\GitHub\eaglep3-reporting\EC\2016-11-27-refined-times.txt</v>
      </c>
      <c r="AI153" s="119" t="str">
        <f t="shared" si="73"/>
        <v>echo {"issue":{"subject":"","project_id":79,"tracker_id":40,"status_id":1,"priority_id":2,"assigned_to_id":23,"start_date":"2016-11-27","description":"","custom_fields":[{"id":1,"name":"Subdivision","value":"EC"},{"id":4,"name":"Milepost","value":"23.3297"},{"id":17,"name":"Train ID","value":"237-27"},{"id":16,"name":"Locomotive ID","value":"4002"},{"id":130,"name":"Impact","value":""},{"id":150,"name":"Time of Event (Mountain Time)","value":"23:37:39"},{"id":151,"name":"Denver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592</v>
      </c>
      <c r="B154" s="7">
        <v>4037</v>
      </c>
      <c r="C154" s="22" t="s">
        <v>215</v>
      </c>
      <c r="D154" s="22" t="s">
        <v>731</v>
      </c>
      <c r="E154" s="13">
        <v>42701.9922337963</v>
      </c>
      <c r="F154" s="13">
        <v>42701.997488425928</v>
      </c>
      <c r="G154" s="7">
        <v>1</v>
      </c>
      <c r="H154" s="22" t="s">
        <v>210</v>
      </c>
      <c r="I154" s="13">
        <v>42702.025775462964</v>
      </c>
      <c r="J154" s="7">
        <v>0</v>
      </c>
      <c r="K154" s="109" t="str">
        <f t="shared" si="59"/>
        <v>4037/4038</v>
      </c>
      <c r="L154" s="22" t="str">
        <f>VLOOKUP(A154,'Trips&amp;Operators'!$C$1:$E$10000,3,FALSE)</f>
        <v>LEVERE</v>
      </c>
      <c r="M154" s="6">
        <f t="shared" si="60"/>
        <v>2.8287037035624962E-2</v>
      </c>
      <c r="N154" s="7">
        <f t="shared" si="61"/>
        <v>40.733333331299946</v>
      </c>
      <c r="O154" s="7"/>
      <c r="P154" s="7"/>
      <c r="Q154" s="23"/>
      <c r="R154" s="23"/>
      <c r="S154" s="35">
        <f t="shared" si="62"/>
        <v>1</v>
      </c>
      <c r="T154" s="50" t="str">
        <f t="shared" si="63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22:48:49-700',mode:absolute,to:'2016-11-28 01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4" s="52" t="str">
        <f t="shared" si="65"/>
        <v>N</v>
      </c>
      <c r="X154" s="177">
        <f t="shared" si="56"/>
        <v>1</v>
      </c>
      <c r="Y154" s="67">
        <f t="shared" si="66"/>
        <v>23.266200000000001</v>
      </c>
      <c r="Z154" s="67">
        <f t="shared" si="58"/>
        <v>1.5599999999999999E-2</v>
      </c>
      <c r="AA154" s="67">
        <f t="shared" si="67"/>
        <v>23.250600000000002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8"/>
        <v>0238-27</v>
      </c>
      <c r="AE154" s="91" t="str">
        <f t="shared" si="69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154" s="88" t="str">
        <f t="shared" si="70"/>
        <v>"C:\Program Files (x86)\AstroGrep\AstroGrep.exe" /spath="%USERPROFILE%\AppData\Local\Temp\OnboardLogs" /stypes="app*4037*20161128*" /stext=" 07:.+((SYSTEM_STATE.+slice.+state.+changed )|(ment ac)|(multiple cpu faults)|(system.+state.+changed )|(\[timeout)|(PRM\|1\|D)|(kpr)|(kdp)|(\|lc)|(penalty))" /e /r /s</v>
      </c>
      <c r="AG154" s="1" t="str">
        <f t="shared" si="71"/>
        <v>EC</v>
      </c>
      <c r="AH154" s="92" t="str">
        <f t="shared" si="72"/>
        <v>"%USERPROFILE%\Documents\GitHub\eaglep3\Utilities\RefineRTDCRunTimes.py" --tripid 238-27 --locoid 4037 --swversion DE.1.0.8.0 --startMP 204:232662 --initTime 2016-11-27T23:48:49 --startdatetime 2016-11-27T23:56:23 --delay 1 --endMP 204:156 --enddatetime 2016-11-28T00:37:07 --enforcementcount 0 &gt;&gt;C:\Users\stu\Documents\GitHub\eaglep3-reporting\EC\2016-11-27-refined-times.txt</v>
      </c>
      <c r="AI154" s="119" t="str">
        <f t="shared" si="73"/>
        <v>echo {"issue":{"subject":"","project_id":79,"tracker_id":40,"status_id":1,"priority_id":2,"assigned_to_id":23,"start_date":"2016-11-28","description":"","custom_fields":[{"id":1,"name":"Subdivision","value":"EC"},{"id":4,"name":"Milepost","value":"0.0156"},{"id":17,"name":"Train ID","value":"238-27"},{"id":16,"name":"Locomotive ID","value":"4037"},{"id":130,"name":"Impact","value":""},{"id":150,"name":"Time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589</v>
      </c>
      <c r="B155" s="7">
        <v>4016</v>
      </c>
      <c r="C155" s="22" t="s">
        <v>215</v>
      </c>
      <c r="D155" s="22" t="s">
        <v>732</v>
      </c>
      <c r="E155" s="13">
        <v>42701.974664351852</v>
      </c>
      <c r="F155" s="13">
        <v>42701.979421296295</v>
      </c>
      <c r="G155" s="7">
        <v>2</v>
      </c>
      <c r="H155" s="22" t="s">
        <v>733</v>
      </c>
      <c r="I155" s="13">
        <v>42702.004108796296</v>
      </c>
      <c r="J155" s="7">
        <v>0</v>
      </c>
      <c r="K155" s="109" t="str">
        <f t="shared" si="59"/>
        <v>4015/4016</v>
      </c>
      <c r="L155" s="22" t="str">
        <f>VLOOKUP(A155,'Trips&amp;Operators'!$C$1:$E$10000,3,FALSE)</f>
        <v>COOLAHAN</v>
      </c>
      <c r="M155" s="6">
        <f t="shared" si="60"/>
        <v>2.4687500001164153E-2</v>
      </c>
      <c r="N155" s="7">
        <f t="shared" si="61"/>
        <v>35.550000001676381</v>
      </c>
      <c r="O155" s="7"/>
      <c r="P155" s="7"/>
      <c r="Q155" s="23"/>
      <c r="R155" s="23"/>
      <c r="S155" s="35">
        <f t="shared" si="62"/>
        <v>1</v>
      </c>
      <c r="T155" s="50" t="str">
        <f t="shared" si="63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22:23:31-700',mode:absolute,to:'2016-11-28 01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5" s="52" t="str">
        <f t="shared" si="65"/>
        <v>N</v>
      </c>
      <c r="X155" s="177">
        <f t="shared" si="56"/>
        <v>1</v>
      </c>
      <c r="Y155" s="67">
        <f t="shared" si="66"/>
        <v>7.4800000000000005E-2</v>
      </c>
      <c r="Z155" s="67">
        <f t="shared" si="58"/>
        <v>23.335699999999999</v>
      </c>
      <c r="AA155" s="67">
        <f t="shared" si="67"/>
        <v>23.260899999999999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8"/>
        <v>0239-27</v>
      </c>
      <c r="AE155" s="91" t="str">
        <f t="shared" si="69"/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AF155" s="88" t="str">
        <f t="shared" si="70"/>
        <v>"C:\Program Files (x86)\AstroGrep\AstroGrep.exe" /spath="%USERPROFILE%\AppData\Local\Temp\OnboardLogs" /stypes="app*4016*20161128*" /stext=" 07:.+((SYSTEM_STATE.+slice.+state.+changed )|(ment ac)|(multiple cpu faults)|(system.+state.+changed )|(\[timeout)|(PRM\|1\|D)|(kpr)|(kdp)|(\|lc)|(penalty))" /e /r /s</v>
      </c>
      <c r="AG155" s="1" t="str">
        <f t="shared" si="71"/>
        <v>EC</v>
      </c>
      <c r="AH155" s="92" t="str">
        <f t="shared" si="72"/>
        <v>"%USERPROFILE%\Documents\GitHub\eaglep3\Utilities\RefineRTDCRunTimes.py" --tripid 239-27 --locoid 4016 --swversion DE.1.0.8.0 --startMP 204:748 --initTime 2016-11-27T23:23:31 --startdatetime 2016-11-27T23:30:22 --delay 2 --endMP 204:233357 --enddatetime 2016-11-28T00:05:55 --enforcementcount 0 &gt;&gt;C:\Users\stu\Documents\GitHub\eaglep3-reporting\EC\2016-11-27-refined-times.txt</v>
      </c>
      <c r="AI155" s="119" t="str">
        <f t="shared" si="73"/>
        <v>echo {"issue":{"subject":"","project_id":79,"tracker_id":40,"status_id":1,"priority_id":2,"assigned_to_id":23,"start_date":"2016-11-28","description":"","custom_fields":[{"id":1,"name":"Subdivision","value":"EC"},{"id":4,"name":"Milepost","value":"23.3357"},{"id":17,"name":"Train ID","value":"239-27"},{"id":16,"name":"Locomotive ID","value":"4016"},{"id":130,"name":"Impact","value":""},{"id":150,"name":"Time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594</v>
      </c>
      <c r="B156" s="7">
        <v>4010</v>
      </c>
      <c r="C156" s="22" t="s">
        <v>215</v>
      </c>
      <c r="D156" s="22" t="s">
        <v>734</v>
      </c>
      <c r="E156" s="13">
        <v>42702.014004629629</v>
      </c>
      <c r="F156" s="13">
        <v>42702.018483796295</v>
      </c>
      <c r="G156" s="7">
        <v>1</v>
      </c>
      <c r="H156" s="22" t="s">
        <v>194</v>
      </c>
      <c r="I156" s="13">
        <v>42702.046620370369</v>
      </c>
      <c r="J156" s="7">
        <v>0</v>
      </c>
      <c r="K156" s="109" t="str">
        <f t="shared" si="59"/>
        <v>4009/4010</v>
      </c>
      <c r="L156" s="22" t="str">
        <f>VLOOKUP(A156,'Trips&amp;Operators'!$C$1:$E$10000,3,FALSE)</f>
        <v>COOLAHAN</v>
      </c>
      <c r="M156" s="6">
        <f t="shared" si="60"/>
        <v>2.8136574073869269E-2</v>
      </c>
      <c r="N156" s="7">
        <f t="shared" si="61"/>
        <v>40.516666666371748</v>
      </c>
      <c r="O156" s="7"/>
      <c r="P156" s="7"/>
      <c r="Q156" s="23"/>
      <c r="R156" s="23"/>
      <c r="S156" s="35">
        <f t="shared" si="62"/>
        <v>1</v>
      </c>
      <c r="T156" s="50" t="str">
        <f t="shared" si="63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23:20:10-700',mode:absolute,to:'2016-11-28 02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6" s="52" t="str">
        <f t="shared" si="65"/>
        <v>N</v>
      </c>
      <c r="X156" s="177">
        <f t="shared" si="56"/>
        <v>1</v>
      </c>
      <c r="Y156" s="67">
        <f t="shared" si="66"/>
        <v>23.269200000000001</v>
      </c>
      <c r="Z156" s="67">
        <f t="shared" si="58"/>
        <v>1.49E-2</v>
      </c>
      <c r="AA156" s="67">
        <f t="shared" si="67"/>
        <v>23.254300000000001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8"/>
        <v>0240-27</v>
      </c>
      <c r="AE156" s="91" t="str">
        <f t="shared" si="69"/>
        <v>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 &amp; 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</v>
      </c>
      <c r="AF156" s="88" t="str">
        <f t="shared" si="70"/>
        <v>"C:\Program Files (x86)\AstroGrep\AstroGrep.exe" /spath="%USERPROFILE%\AppData\Local\Temp\OnboardLogs" /stypes="app*4010*20161128*" /stext=" 08:.+((SYSTEM_STATE.+slice.+state.+changed )|(ment ac)|(multiple cpu faults)|(system.+state.+changed )|(\[timeout)|(PRM\|1\|D)|(kpr)|(kdp)|(\|lc)|(penalty))" /e /r /s</v>
      </c>
      <c r="AG156" s="1" t="str">
        <f t="shared" si="71"/>
        <v>EC</v>
      </c>
      <c r="AH156" s="92" t="str">
        <f t="shared" si="72"/>
        <v>"%USERPROFILE%\Documents\GitHub\eaglep3\Utilities\RefineRTDCRunTimes.py" --tripid 240-27 --locoid 4010 --swversion DE.1.0.8.0 --startMP 204:232692 --initTime 2016-11-28T00:20:10 --startdatetime 2016-11-28T00:26:37 --delay 1 --endMP 204:149 --enddatetime 2016-11-28T01:07:08 --enforcementcount 0 &gt;&gt;C:\Users\stu\Documents\GitHub\eaglep3-reporting\EC\2016-11-27-refined-times.txt</v>
      </c>
      <c r="AI156" s="119" t="str">
        <f t="shared" si="73"/>
        <v>echo {"issue":{"subject":"","project_id":79,"tracker_id":40,"status_id":1,"priority_id":2,"assigned_to_id":23,"start_date":"2016-11-28","description":"","custom_fields":[{"id":1,"name":"Subdivision","value":"EC"},{"id":4,"name":"Milepost","value":"0.0149"},{"id":17,"name":"Train ID","value":"240-27"},{"id":16,"name":"Locomotive ID","value":"4010"},{"id":130,"name":"Impact","value":""},{"id":150,"name":"Time of Event (Mountain Time)","value":"01:07:08"},{"id":151,"name":"Denver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591</v>
      </c>
      <c r="B157" s="7">
        <v>4022</v>
      </c>
      <c r="C157" s="22" t="s">
        <v>215</v>
      </c>
      <c r="D157" s="22" t="s">
        <v>713</v>
      </c>
      <c r="E157" s="13">
        <v>42701.996099537035</v>
      </c>
      <c r="F157" s="13">
        <v>42702.000277777777</v>
      </c>
      <c r="G157" s="7">
        <v>1</v>
      </c>
      <c r="H157" s="22" t="s">
        <v>299</v>
      </c>
      <c r="I157" s="13">
        <v>42702.028078703705</v>
      </c>
      <c r="J157" s="7">
        <v>0</v>
      </c>
      <c r="K157" s="109" t="str">
        <f t="shared" si="59"/>
        <v>4021/4022</v>
      </c>
      <c r="L157" s="22" t="str">
        <f>VLOOKUP(A157,'Trips&amp;Operators'!$C$1:$E$10000,3,FALSE)</f>
        <v>BADERTSCHER</v>
      </c>
      <c r="M157" s="6">
        <f t="shared" si="60"/>
        <v>2.7800925927294884E-2</v>
      </c>
      <c r="N157" s="7">
        <f t="shared" si="61"/>
        <v>40.033333335304633</v>
      </c>
      <c r="O157" s="7"/>
      <c r="P157" s="7"/>
      <c r="Q157" s="23"/>
      <c r="R157" s="23"/>
      <c r="S157" s="35">
        <f t="shared" si="62"/>
        <v>1</v>
      </c>
      <c r="T157" s="50" t="str">
        <f t="shared" si="63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22:54:23-700',mode:absolute,to:'2016-11-28 01:40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7" s="52" t="str">
        <f t="shared" si="65"/>
        <v>N</v>
      </c>
      <c r="X157" s="177">
        <f t="shared" ref="X157:X166" si="74">VALUE(LEFT(AD157,4))-VALUE(LEFT(AD156,4))</f>
        <v>1</v>
      </c>
      <c r="Y157" s="67">
        <f t="shared" si="66"/>
        <v>7.3499999999999996E-2</v>
      </c>
      <c r="Z157" s="67">
        <f t="shared" si="58"/>
        <v>23.331499999999998</v>
      </c>
      <c r="AA157" s="67">
        <f t="shared" si="67"/>
        <v>23.257999999999999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8"/>
        <v>0241-27</v>
      </c>
      <c r="AE157" s="91" t="str">
        <f t="shared" si="69"/>
        <v>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 &amp; 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</v>
      </c>
      <c r="AF157" s="88" t="str">
        <f t="shared" si="70"/>
        <v>"C:\Program Files (x86)\AstroGrep\AstroGrep.exe" /spath="%USERPROFILE%\AppData\Local\Temp\OnboardLogs" /stypes="app*4022*20161128*" /stext=" 07:.+((SYSTEM_STATE.+slice.+state.+changed )|(ment ac)|(multiple cpu faults)|(system.+state.+changed )|(\[timeout)|(PRM\|1\|D)|(kpr)|(kdp)|(\|lc)|(penalty))" /e /r /s</v>
      </c>
      <c r="AG157" s="1" t="str">
        <f t="shared" si="71"/>
        <v>EC</v>
      </c>
      <c r="AH157" s="92" t="str">
        <f t="shared" si="72"/>
        <v>"%USERPROFILE%\Documents\GitHub\eaglep3\Utilities\RefineRTDCRunTimes.py" --tripid 241-27 --locoid 4022 --swversion DE.1.0.8.0 --startMP 204:735 --initTime 2016-11-27T23:54:23 --startdatetime 2016-11-28T00:00:24 --delay 1 --endMP 204:233315 --enddatetime 2016-11-28T00:40:26 --enforcementcount 0 &gt;&gt;C:\Users\stu\Documents\GitHub\eaglep3-reporting\EC\2016-11-27-refined-times.txt</v>
      </c>
      <c r="AI157" s="119" t="str">
        <f t="shared" si="73"/>
        <v>echo {"issue":{"subject":"","project_id":79,"tracker_id":40,"status_id":1,"priority_id":2,"assigned_to_id":23,"start_date":"2016-11-28","description":"","custom_fields":[{"id":1,"name":"Subdivision","value":"EC"},{"id":4,"name":"Milepost","value":"23.3315"},{"id":17,"name":"Train ID","value":"241-27"},{"id":16,"name":"Locomotive ID","value":"4022"},{"id":130,"name":"Impact","value":""},{"id":150,"name":"Time of Event (Mountain Time)","value":"00:40:26"},{"id":151,"name":"Denver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593</v>
      </c>
      <c r="B158" s="7">
        <v>4045</v>
      </c>
      <c r="C158" s="22" t="s">
        <v>215</v>
      </c>
      <c r="D158" s="22" t="s">
        <v>735</v>
      </c>
      <c r="E158" s="13">
        <v>42702.031307870369</v>
      </c>
      <c r="F158" s="13">
        <v>42702.039131944446</v>
      </c>
      <c r="G158" s="7">
        <v>1</v>
      </c>
      <c r="H158" s="22" t="s">
        <v>624</v>
      </c>
      <c r="I158" s="13">
        <v>42702.083749999998</v>
      </c>
      <c r="J158" s="7">
        <v>0</v>
      </c>
      <c r="K158" s="109" t="str">
        <f t="shared" si="59"/>
        <v>4045/4046</v>
      </c>
      <c r="L158" s="22" t="str">
        <f>VLOOKUP(A158,'Trips&amp;Operators'!$C$1:$E$10000,3,FALSE)</f>
        <v>BADERTSCHER</v>
      </c>
      <c r="M158" s="6">
        <f t="shared" si="60"/>
        <v>4.4618055551836733E-2</v>
      </c>
      <c r="N158" s="7">
        <f t="shared" si="61"/>
        <v>64.249999994644895</v>
      </c>
      <c r="O158" s="7"/>
      <c r="P158" s="7"/>
      <c r="Q158" s="23"/>
      <c r="R158" s="23" t="s">
        <v>805</v>
      </c>
      <c r="S158" s="35">
        <f t="shared" si="62"/>
        <v>1</v>
      </c>
      <c r="T158" s="50" t="str">
        <f t="shared" si="63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23:45:05-700',mode:absolute,to:'2016-11-28 03:00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8" s="52" t="str">
        <f t="shared" si="65"/>
        <v>N</v>
      </c>
      <c r="X158" s="177">
        <f t="shared" si="74"/>
        <v>1</v>
      </c>
      <c r="Y158" s="67">
        <f t="shared" si="66"/>
        <v>23.2666</v>
      </c>
      <c r="Z158" s="67">
        <f t="shared" si="58"/>
        <v>1.34E-2</v>
      </c>
      <c r="AA158" s="67">
        <f t="shared" si="67"/>
        <v>23.2532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8"/>
        <v>0242-27</v>
      </c>
      <c r="AE158" s="91" t="str">
        <f t="shared" si="69"/>
        <v>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 &amp; aws s3 cp s3://rtdc.mdm.uploadarchive.raw/RTDC4045/ "%USERPROFILE%\AppData\Local\Temp\OnboardLogs"\RTDC4045\2016-11-29 --exclude "*" --recursive --include "*20161129*" &amp; "%USERPROFILE%\Documents\GitHub\mrs-test-scripts\Headless Mode &amp; Sideloading\WalkAndUnGZ.bat" "%USERPROFILE%\AppData\Local\Temp\OnboardLogs"\RTDC4045\2016-11-29</v>
      </c>
      <c r="AF158" s="88" t="str">
        <f t="shared" si="70"/>
        <v>"C:\Program Files (x86)\AstroGrep\AstroGrep.exe" /spath="%USERPROFILE%\AppData\Local\Temp\OnboardLogs" /stypes="app*4045*20161128*" /stext=" 09:.+((SYSTEM_STATE.+slice.+state.+changed )|(ment ac)|(multiple cpu faults)|(system.+state.+changed )|(\[timeout)|(PRM\|1\|D)|(kpr)|(kdp)|(\|lc)|(penalty))" /e /r /s</v>
      </c>
      <c r="AG158" s="1" t="str">
        <f t="shared" si="71"/>
        <v>EC</v>
      </c>
      <c r="AH158" s="92" t="str">
        <f t="shared" si="72"/>
        <v>"%USERPROFILE%\Documents\GitHub\eaglep3\Utilities\RefineRTDCRunTimes.py" --tripid 242-27 --locoid 4045 --swversion DE.1.0.8.0 --startMP 204:232666 --initTime 2016-11-28T00:45:05 --startdatetime 2016-11-28T00:56:21 --delay 1 --endMP 204:134 --enddatetime 2016-11-28T02:00:36 --enforcementcount 0 &gt;&gt;C:\Users\stu\Documents\GitHub\eaglep3-reporting\EC\2016-11-27-refined-times.txt</v>
      </c>
      <c r="AI158" s="119" t="str">
        <f t="shared" si="73"/>
        <v>echo {"issue":{"subject":"Delayed by Form C","project_id":79,"tracker_id":40,"status_id":1,"priority_id":2,"assigned_to_id":23,"start_date":"2016-11-28","description":"","custom_fields":[{"id":1,"name":"Subdivision","value":"EC"},{"id":4,"name":"Milepost","value":"0.0134"},{"id":17,"name":"Train ID","value":"242-27"},{"id":16,"name":"Locomotive ID","value":"4045"},{"id":130,"name":"Impact","value":""},{"id":150,"name":"Time of Event (Mountain Time)","value":"02:00:36"},{"id":151,"name":"Denver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595</v>
      </c>
      <c r="B159" s="7">
        <v>4044</v>
      </c>
      <c r="C159" s="22" t="s">
        <v>215</v>
      </c>
      <c r="D159" s="22" t="s">
        <v>736</v>
      </c>
      <c r="E159" s="13">
        <v>42702.017418981479</v>
      </c>
      <c r="F159" s="13">
        <v>42702.02134259259</v>
      </c>
      <c r="G159" s="7">
        <v>1</v>
      </c>
      <c r="H159" s="22" t="s">
        <v>737</v>
      </c>
      <c r="I159" s="13">
        <v>42702.046307870369</v>
      </c>
      <c r="J159" s="7">
        <v>0</v>
      </c>
      <c r="K159" s="109" t="str">
        <f t="shared" si="59"/>
        <v>4043/4044</v>
      </c>
      <c r="L159" s="22" t="str">
        <f>VLOOKUP(A159,'Trips&amp;Operators'!$C$1:$E$10000,3,FALSE)</f>
        <v>CHANDLER</v>
      </c>
      <c r="M159" s="6">
        <f t="shared" si="60"/>
        <v>2.4965277778392192E-2</v>
      </c>
      <c r="N159" s="7">
        <f t="shared" si="61"/>
        <v>35.950000000884756</v>
      </c>
      <c r="O159" s="7"/>
      <c r="P159" s="7"/>
      <c r="Q159" s="23"/>
      <c r="R159" s="23"/>
      <c r="S159" s="35">
        <f t="shared" si="62"/>
        <v>1</v>
      </c>
      <c r="T159" s="50" t="str">
        <f t="shared" si="63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23:25:05-700',mode:absolute,to:'2016-11-28 02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9" s="52" t="str">
        <f t="shared" si="65"/>
        <v>N</v>
      </c>
      <c r="X159" s="177">
        <f t="shared" si="74"/>
        <v>1</v>
      </c>
      <c r="Y159" s="67">
        <f t="shared" si="66"/>
        <v>8.3000000000000004E-2</v>
      </c>
      <c r="Z159" s="67">
        <f t="shared" si="58"/>
        <v>23.334900000000001</v>
      </c>
      <c r="AA159" s="67">
        <f t="shared" si="67"/>
        <v>23.251900000000003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8"/>
        <v>0243-27</v>
      </c>
      <c r="AE159" s="91" t="str">
        <f t="shared" si="69"/>
        <v>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 &amp; 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</v>
      </c>
      <c r="AF159" s="88" t="str">
        <f t="shared" si="70"/>
        <v>"C:\Program Files (x86)\AstroGrep\AstroGrep.exe" /spath="%USERPROFILE%\AppData\Local\Temp\OnboardLogs" /stypes="app*4044*20161128*" /stext=" 08:.+((SYSTEM_STATE.+slice.+state.+changed )|(ment ac)|(multiple cpu faults)|(system.+state.+changed )|(\[timeout)|(PRM\|1\|D)|(kpr)|(kdp)|(\|lc)|(penalty))" /e /r /s</v>
      </c>
      <c r="AG159" s="1" t="str">
        <f t="shared" si="71"/>
        <v>EC</v>
      </c>
      <c r="AH159" s="92" t="str">
        <f t="shared" si="72"/>
        <v>"%USERPROFILE%\Documents\GitHub\eaglep3\Utilities\RefineRTDCRunTimes.py" --tripid 243-27 --locoid 4044 --swversion DE.1.0.8.0 --startMP 204:830 --initTime 2016-11-28T00:25:05 --startdatetime 2016-11-28T00:30:44 --delay 1 --endMP 204:233349 --enddatetime 2016-11-28T01:06:41 --enforcementcount 0 &gt;&gt;C:\Users\stu\Documents\GitHub\eaglep3-reporting\EC\2016-11-27-refined-times.txt</v>
      </c>
      <c r="AI159" s="119" t="str">
        <f t="shared" si="73"/>
        <v>echo {"issue":{"subject":"","project_id":79,"tracker_id":40,"status_id":1,"priority_id":2,"assigned_to_id":23,"start_date":"2016-11-28","description":"","custom_fields":[{"id":1,"name":"Subdivision","value":"EC"},{"id":4,"name":"Milepost","value":"23.3349"},{"id":17,"name":"Train ID","value":"243-27"},{"id":16,"name":"Locomotive ID","value":"4044"},{"id":130,"name":"Impact","value":""},{"id":150,"name":"Time of Event (Mountain Time)","value":"01:06:41"},{"id":151,"name":"Denver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598</v>
      </c>
      <c r="B160" s="7">
        <v>4012</v>
      </c>
      <c r="C160" s="22" t="s">
        <v>215</v>
      </c>
      <c r="D160" s="22" t="s">
        <v>738</v>
      </c>
      <c r="E160" s="13">
        <v>42702.050729166665</v>
      </c>
      <c r="F160" s="13">
        <v>42702.060335648152</v>
      </c>
      <c r="G160" s="7">
        <v>1</v>
      </c>
      <c r="H160" s="22" t="s">
        <v>739</v>
      </c>
      <c r="I160" s="13">
        <v>42702.088842592595</v>
      </c>
      <c r="J160" s="7">
        <v>0</v>
      </c>
      <c r="K160" s="109" t="str">
        <f t="shared" si="59"/>
        <v>4011/4012</v>
      </c>
      <c r="L160" s="22" t="str">
        <f>VLOOKUP(A160,'Trips&amp;Operators'!$C$1:$E$10000,3,FALSE)</f>
        <v>CHANDLER</v>
      </c>
      <c r="M160" s="6">
        <f t="shared" si="60"/>
        <v>2.8506944443506654E-2</v>
      </c>
      <c r="N160" s="7">
        <f t="shared" si="61"/>
        <v>41.049999998649582</v>
      </c>
      <c r="O160" s="7"/>
      <c r="P160" s="7"/>
      <c r="Q160" s="23"/>
      <c r="R160" s="23"/>
      <c r="S160" s="35">
        <f t="shared" si="62"/>
        <v>1</v>
      </c>
      <c r="T160" s="50" t="str">
        <f t="shared" si="63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https://search-rtdc-monitor-bjffxe2xuh6vdkpspy63sjmuny.us-east-1.es.amazonaws.com/_plugin/kibana/#/discover/Steve-Slow-Train-Analysis-(2080s-and-2083s)?_g=(refreshInterval:(display:Off,section:0,value:0),time:(from:'2016-11-28 00:13:03-700',mode:absolute,to:'2016-11-28 03:07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0" s="52" t="str">
        <f t="shared" si="65"/>
        <v>N</v>
      </c>
      <c r="X160" s="177">
        <f t="shared" si="74"/>
        <v>1</v>
      </c>
      <c r="Y160" s="67">
        <f t="shared" si="66"/>
        <v>23.272600000000001</v>
      </c>
      <c r="Z160" s="67">
        <f t="shared" si="58"/>
        <v>6.3E-3</v>
      </c>
      <c r="AA160" s="67">
        <f t="shared" si="67"/>
        <v>23.266300000000001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8"/>
        <v>0244-27</v>
      </c>
      <c r="AE160" s="91" t="str">
        <f t="shared" si="69"/>
        <v>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 &amp; 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</v>
      </c>
      <c r="AF160" s="88" t="str">
        <f t="shared" si="70"/>
        <v>"C:\Program Files (x86)\AstroGrep\AstroGrep.exe" /spath="%USERPROFILE%\AppData\Local\Temp\OnboardLogs" /stypes="app*4012*20161128*" /stext=" 09:.+((SYSTEM_STATE.+slice.+state.+changed )|(ment ac)|(multiple cpu faults)|(system.+state.+changed )|(\[timeout)|(PRM\|1\|D)|(kpr)|(kdp)|(\|lc)|(penalty))" /e /r /s</v>
      </c>
      <c r="AG160" s="1" t="str">
        <f t="shared" si="71"/>
        <v>EC</v>
      </c>
      <c r="AH160" s="92" t="str">
        <f t="shared" si="72"/>
        <v>"%USERPROFILE%\Documents\GitHub\eaglep3\Utilities\RefineRTDCRunTimes.py" --tripid 244-27 --locoid 4012 --swversion DE.1.0.8.0 --startMP 204:232726 --initTime 2016-11-28T01:13:03 --startdatetime 2016-11-28T01:26:53 --delay 1 --endMP 204:63 --enddatetime 2016-11-28T02:07:56 --enforcementcount 0 &gt;&gt;C:\Users\stu\Documents\GitHub\eaglep3-reporting\EC\2016-11-27-refined-times.txt</v>
      </c>
      <c r="AI160" s="119" t="str">
        <f t="shared" si="73"/>
        <v>echo {"issue":{"subject":"","project_id":79,"tracker_id":40,"status_id":1,"priority_id":2,"assigned_to_id":23,"start_date":"2016-11-28","description":"","custom_fields":[{"id":1,"name":"Subdivision","value":"EC"},{"id":4,"name":"Milepost","value":"0.0063"},{"id":17,"name":"Train ID","value":"244-27"},{"id":16,"name":"Locomotive ID","value":"4012"},{"id":130,"name":"Impact","value":""},{"id":150,"name":"Time of Event (Mountain Time)","value":"02:07:56"},{"id":151,"name":"Denver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448</v>
      </c>
      <c r="B161" s="7">
        <v>4026</v>
      </c>
      <c r="C161" s="22" t="s">
        <v>215</v>
      </c>
      <c r="D161" s="22" t="s">
        <v>651</v>
      </c>
      <c r="E161" s="13">
        <v>42701.234872685185</v>
      </c>
      <c r="F161" s="13">
        <v>42701.236643518518</v>
      </c>
      <c r="G161" s="7">
        <v>1</v>
      </c>
      <c r="H161" s="22" t="s">
        <v>652</v>
      </c>
      <c r="I161" s="13">
        <v>42701.24728009259</v>
      </c>
      <c r="J161" s="7">
        <v>0</v>
      </c>
      <c r="K161" s="109" t="str">
        <f t="shared" si="59"/>
        <v>4025/4026</v>
      </c>
      <c r="L161" s="22" t="str">
        <f>VLOOKUP(A161,'Trips&amp;Operators'!$C$1:$E$10000,3,FALSE)</f>
        <v>STARKS</v>
      </c>
      <c r="M161" s="6">
        <f t="shared" si="60"/>
        <v>1.063657407212304E-2</v>
      </c>
      <c r="N161" s="7">
        <f t="shared" si="61"/>
        <v>15.316666663857177</v>
      </c>
      <c r="O161" s="7"/>
      <c r="P161" s="7"/>
      <c r="Q161" s="23"/>
      <c r="R161" s="23"/>
      <c r="S161" s="35">
        <f t="shared" si="62"/>
        <v>1</v>
      </c>
      <c r="T161" s="50" t="str">
        <f t="shared" si="63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04:38:13-700',mode:absolute,to:'2016-11-27 06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1" s="52" t="str">
        <f t="shared" si="65"/>
        <v>N</v>
      </c>
      <c r="X161" s="177">
        <f t="shared" si="74"/>
        <v>1556</v>
      </c>
      <c r="Y161" s="67">
        <f t="shared" si="66"/>
        <v>5.8643000000000001</v>
      </c>
      <c r="Z161" s="67">
        <f t="shared" si="58"/>
        <v>7.9899999999999999E-2</v>
      </c>
      <c r="AA161" s="67">
        <f t="shared" si="67"/>
        <v>5.7843999999999998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8"/>
        <v>1800-27</v>
      </c>
      <c r="AE161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61" s="88" t="str">
        <f t="shared" si="70"/>
        <v>"C:\Program Files (x86)\AstroGrep\AstroGrep.exe" /spath="%USERPROFILE%\AppData\Local\Temp\OnboardLogs" /stypes="app*4026*20161127*" /stext=" 12:.+((SYSTEM_STATE.+slice.+state.+changed )|(ment ac)|(multiple cpu faults)|(system.+state.+changed )|(\[timeout)|(PRM\|1\|D)|(kpr)|(kdp)|(\|lc)|(penalty))" /e /r /s</v>
      </c>
      <c r="AG161" s="1" t="str">
        <f t="shared" si="71"/>
        <v>NW</v>
      </c>
      <c r="AH161" s="92" t="str">
        <f t="shared" si="72"/>
        <v>"%USERPROFILE%\Documents\GitHub\eaglep3\Utilities\RefineRTDCRunTimes.py" --tripid 1800-27 --locoid 4026 --swversion DE.1.0.8.0 --startMP 300:58643 --initTime 2016-11-27T05:38:13 --startdatetime 2016-11-27T05:40:46 --delay 1 --endMP 204:799 --enddatetime 2016-11-27T05:56:05 --enforcementcount 0 &gt;&gt;C:\Users\stu\Documents\GitHub\eaglep3-reporting\EC\2016-11-27-refined-times.txt</v>
      </c>
      <c r="AI161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{"issue":{"subject":"","project_id":79,"tracker_id":40,"status_id":1,"priority_id":2,"assigned_to_id":23,"start_date":"2016-11-27","description":"","custom_fields":[{"id":1,"name":"Subdivision","value":"NW"},{"id":4,"name":"Milepost","value":"0.0799"},{"id":17,"name":"Train ID","value":"1800-27"},{"id":16,"name":"Locomotive ID","value":"4026"},{"id":130,"name":"Impact","value":""},{"id":150,"name":"Time of Event (Mountain Time)","value":"05:56:05"},{"id":151,"name":"Denver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451</v>
      </c>
      <c r="B162" s="7">
        <v>4025</v>
      </c>
      <c r="C162" s="22" t="s">
        <v>215</v>
      </c>
      <c r="D162" s="22" t="s">
        <v>653</v>
      </c>
      <c r="E162" s="13">
        <v>42701.248888888891</v>
      </c>
      <c r="F162" s="13">
        <v>42701.264803240738</v>
      </c>
      <c r="G162" s="7">
        <v>1</v>
      </c>
      <c r="H162" s="22" t="s">
        <v>654</v>
      </c>
      <c r="I162" s="13">
        <v>42701.274386574078</v>
      </c>
      <c r="J162" s="7">
        <v>0</v>
      </c>
      <c r="K162" s="109" t="str">
        <f t="shared" si="59"/>
        <v>4025/4026</v>
      </c>
      <c r="L162" s="22" t="str">
        <f>VLOOKUP(A162,'Trips&amp;Operators'!$C$1:$E$10000,3,FALSE)</f>
        <v>STARKS</v>
      </c>
      <c r="M162" s="6">
        <f t="shared" si="60"/>
        <v>9.5833333398331888E-3</v>
      </c>
      <c r="N162" s="7">
        <f t="shared" si="61"/>
        <v>13.800000009359792</v>
      </c>
      <c r="O162" s="7"/>
      <c r="P162" s="7"/>
      <c r="Q162" s="23"/>
      <c r="R162" s="23"/>
      <c r="S162" s="35">
        <f t="shared" si="62"/>
        <v>1</v>
      </c>
      <c r="T162" s="50" t="str">
        <f t="shared" si="63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04:58:24-700',mode:absolute,to:'2016-11-27 07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2" s="52" t="str">
        <f t="shared" si="65"/>
        <v>N</v>
      </c>
      <c r="X162" s="177">
        <f t="shared" si="74"/>
        <v>1</v>
      </c>
      <c r="Y162" s="67">
        <f t="shared" si="66"/>
        <v>0.1095</v>
      </c>
      <c r="Z162" s="67">
        <f t="shared" si="58"/>
        <v>5.8943000000000003</v>
      </c>
      <c r="AA162" s="67">
        <f t="shared" si="67"/>
        <v>5.7848000000000006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8"/>
        <v>1801-27</v>
      </c>
      <c r="AE162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62" s="88" t="str">
        <f t="shared" si="70"/>
        <v>"C:\Program Files (x86)\AstroGrep\AstroGrep.exe" /spath="%USERPROFILE%\AppData\Local\Temp\OnboardLogs" /stypes="app*4025*20161127*" /stext=" 13:.+((SYSTEM_STATE.+slice.+state.+changed )|(ment ac)|(multiple cpu faults)|(system.+state.+changed )|(\[timeout)|(PRM\|1\|D)|(kpr)|(kdp)|(\|lc)|(penalty))" /e /r /s</v>
      </c>
      <c r="AG162" s="1" t="str">
        <f t="shared" si="71"/>
        <v>NW</v>
      </c>
      <c r="AH162" s="92" t="str">
        <f t="shared" si="72"/>
        <v>"%USERPROFILE%\Documents\GitHub\eaglep3\Utilities\RefineRTDCRunTimes.py" --tripid 1801-27 --locoid 4025 --swversion DE.1.0.8.0 --startMP 204:1095 --initTime 2016-11-27T05:58:24 --startdatetime 2016-11-27T06:21:19 --delay 1 --endMP 300:58943 --enddatetime 2016-11-27T06:35:07 --enforcementcount 0 &gt;&gt;C:\Users\stu\Documents\GitHub\eaglep3-reporting\EC\2016-11-27-refined-times.txt</v>
      </c>
      <c r="AI162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{"issue":{"subject":"","project_id":79,"tracker_id":40,"status_id":1,"priority_id":2,"assigned_to_id":23,"start_date":"2016-11-27","description":"","custom_fields":[{"id":1,"name":"Subdivision","value":"NW"},{"id":4,"name":"Milepost","value":"5.8943"},{"id":17,"name":"Train ID","value":"1801-27"},{"id":16,"name":"Locomotive ID","value":"4025"},{"id":130,"name":"Impact","value":""},{"id":150,"name":"Time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402</v>
      </c>
      <c r="B163" s="7">
        <v>4026</v>
      </c>
      <c r="C163" s="22" t="s">
        <v>215</v>
      </c>
      <c r="D163" s="22" t="s">
        <v>655</v>
      </c>
      <c r="E163" s="13">
        <v>42701.275636574072</v>
      </c>
      <c r="F163" s="13">
        <v>42701.276631944442</v>
      </c>
      <c r="G163" s="7">
        <v>1</v>
      </c>
      <c r="H163" s="22" t="s">
        <v>656</v>
      </c>
      <c r="I163" s="13">
        <v>42701.288969907408</v>
      </c>
      <c r="J163" s="7">
        <v>0</v>
      </c>
      <c r="K163" s="109" t="str">
        <f t="shared" si="59"/>
        <v>4025/4026</v>
      </c>
      <c r="L163" s="22" t="str">
        <f>VLOOKUP(A163,'Trips&amp;Operators'!$C$1:$E$10000,3,FALSE)</f>
        <v>STARKS</v>
      </c>
      <c r="M163" s="6">
        <f t="shared" si="60"/>
        <v>1.2337962965830229E-2</v>
      </c>
      <c r="N163" s="7">
        <f t="shared" si="61"/>
        <v>17.76666667079553</v>
      </c>
      <c r="O163" s="7"/>
      <c r="P163" s="7"/>
      <c r="Q163" s="23"/>
      <c r="R163" s="23"/>
      <c r="S163" s="35">
        <f t="shared" si="62"/>
        <v>1</v>
      </c>
      <c r="T163" s="50" t="str">
        <f t="shared" si="63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05:36:55-700',mode:absolute,to:'2016-11-27 07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3" s="52" t="str">
        <f t="shared" si="65"/>
        <v>N</v>
      </c>
      <c r="X163" s="177">
        <f t="shared" si="74"/>
        <v>1</v>
      </c>
      <c r="Y163" s="67">
        <f t="shared" si="66"/>
        <v>5.8632</v>
      </c>
      <c r="Z163" s="67">
        <f t="shared" si="58"/>
        <v>7.8899999999999998E-2</v>
      </c>
      <c r="AA163" s="67">
        <f t="shared" si="67"/>
        <v>5.7843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8"/>
        <v>1802-27</v>
      </c>
      <c r="AE163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63" s="88" t="str">
        <f t="shared" si="70"/>
        <v>"C:\Program Files (x86)\AstroGrep\AstroGrep.exe" /spath="%USERPROFILE%\AppData\Local\Temp\OnboardLogs" /stypes="app*4026*20161127*" /stext=" 13:.+((SYSTEM_STATE.+slice.+state.+changed )|(ment ac)|(multiple cpu faults)|(system.+state.+changed )|(\[timeout)|(PRM\|1\|D)|(kpr)|(kdp)|(\|lc)|(penalty))" /e /r /s</v>
      </c>
      <c r="AG163" s="1" t="str">
        <f t="shared" si="71"/>
        <v>NW</v>
      </c>
      <c r="AH163" s="92" t="str">
        <f t="shared" si="72"/>
        <v>"%USERPROFILE%\Documents\GitHub\eaglep3\Utilities\RefineRTDCRunTimes.py" --tripid 1802-27 --locoid 4026 --swversion DE.1.0.8.0 --startMP 300:58632 --initTime 2016-11-27T06:36:55 --startdatetime 2016-11-27T06:38:21 --delay 1 --endMP 204:789 --enddatetime 2016-11-27T06:56:07 --enforcementcount 0 &gt;&gt;C:\Users\stu\Documents\GitHub\eaglep3-reporting\EC\2016-11-27-refined-times.txt</v>
      </c>
      <c r="AI163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{"issue":{"subject":"","project_id":79,"tracker_id":40,"status_id":1,"priority_id":2,"assigned_to_id":23,"start_date":"2016-11-27","description":"","custom_fields":[{"id":1,"name":"Subdivision","value":"NW"},{"id":4,"name":"Milepost","value":"0.0789"},{"id":17,"name":"Train ID","value":"1802-27"},{"id":16,"name":"Locomotive ID","value":"4026"},{"id":130,"name":"Impact","value":""},{"id":150,"name":"Time of Event (Mountain Time)","value":"06:56:07"},{"id":151,"name":"Denver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461</v>
      </c>
      <c r="B164" s="7">
        <v>4025</v>
      </c>
      <c r="C164" s="22" t="s">
        <v>215</v>
      </c>
      <c r="D164" s="22" t="s">
        <v>657</v>
      </c>
      <c r="E164" s="13">
        <v>42701.304884259262</v>
      </c>
      <c r="F164" s="13">
        <v>42701.306423611109</v>
      </c>
      <c r="G164" s="7">
        <v>1</v>
      </c>
      <c r="H164" s="22" t="s">
        <v>303</v>
      </c>
      <c r="I164" s="13">
        <v>42701.316006944442</v>
      </c>
      <c r="J164" s="7">
        <v>0</v>
      </c>
      <c r="K164" s="109" t="str">
        <f t="shared" si="59"/>
        <v>4025/4026</v>
      </c>
      <c r="L164" s="22" t="str">
        <f>VLOOKUP(A164,'Trips&amp;Operators'!$C$1:$E$10000,3,FALSE)</f>
        <v>STARKS</v>
      </c>
      <c r="M164" s="6">
        <f t="shared" si="60"/>
        <v>9.5833333325572312E-3</v>
      </c>
      <c r="N164" s="7">
        <f t="shared" si="61"/>
        <v>13.799999998882413</v>
      </c>
      <c r="O164" s="7"/>
      <c r="P164" s="7"/>
      <c r="Q164" s="23"/>
      <c r="R164" s="23"/>
      <c r="S164" s="35">
        <f t="shared" si="62"/>
        <v>1</v>
      </c>
      <c r="T164" s="50" t="str">
        <f t="shared" si="63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06:19:02-700',mode:absolute,to:'2016-11-27 08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4" s="52" t="str">
        <f t="shared" si="65"/>
        <v>N</v>
      </c>
      <c r="X164" s="177">
        <f t="shared" si="74"/>
        <v>1</v>
      </c>
      <c r="Y164" s="67">
        <f t="shared" si="66"/>
        <v>0.1072</v>
      </c>
      <c r="Z164" s="67">
        <f t="shared" si="58"/>
        <v>5.8921999999999999</v>
      </c>
      <c r="AA164" s="67">
        <f t="shared" si="67"/>
        <v>5.7850000000000001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8"/>
        <v>1803-27</v>
      </c>
      <c r="AE164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64" s="88" t="str">
        <f t="shared" si="70"/>
        <v>"C:\Program Files (x86)\AstroGrep\AstroGrep.exe" /spath="%USERPROFILE%\AppData\Local\Temp\OnboardLogs" /stypes="app*4025*20161127*" /stext=" 14:.+((SYSTEM_STATE.+slice.+state.+changed )|(ment ac)|(multiple cpu faults)|(system.+state.+changed )|(\[timeout)|(PRM\|1\|D)|(kpr)|(kdp)|(\|lc)|(penalty))" /e /r /s</v>
      </c>
      <c r="AG164" s="1" t="str">
        <f t="shared" si="71"/>
        <v>NW</v>
      </c>
      <c r="AH164" s="92" t="str">
        <f t="shared" si="72"/>
        <v>"%USERPROFILE%\Documents\GitHub\eaglep3\Utilities\RefineRTDCRunTimes.py" --tripid 1803-27 --locoid 4025 --swversion DE.1.0.8.0 --startMP 204:1072 --initTime 2016-11-27T07:19:02 --startdatetime 2016-11-27T07:21:15 --delay 1 --endMP 300:58922 --enddatetime 2016-11-27T07:35:03 --enforcementcount 0 &gt;&gt;C:\Users\stu\Documents\GitHub\eaglep3-reporting\EC\2016-11-27-refined-times.txt</v>
      </c>
      <c r="AI164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{"issue":{"subject":"","project_id":79,"tracker_id":40,"status_id":1,"priority_id":2,"assigned_to_id":23,"start_date":"2016-11-27","description":"","custom_fields":[{"id":1,"name":"Subdivision","value":"NW"},{"id":4,"name":"Milepost","value":"5.8922"},{"id":17,"name":"Train ID","value":"1803-27"},{"id":16,"name":"Locomotive ID","value":"4025"},{"id":130,"name":"Impact","value":""},{"id":150,"name":"Time of Event (Mountain Time)","value":"07:35:03"},{"id":151,"name":"Denver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463</v>
      </c>
      <c r="B165" s="7">
        <v>4026</v>
      </c>
      <c r="C165" s="22" t="s">
        <v>215</v>
      </c>
      <c r="D165" s="22" t="s">
        <v>658</v>
      </c>
      <c r="E165" s="13">
        <v>42701.31763888889</v>
      </c>
      <c r="F165" s="13">
        <v>42701.318819444445</v>
      </c>
      <c r="G165" s="7">
        <v>1</v>
      </c>
      <c r="H165" s="22" t="s">
        <v>659</v>
      </c>
      <c r="I165" s="13">
        <v>42701.330590277779</v>
      </c>
      <c r="J165" s="7">
        <v>0</v>
      </c>
      <c r="K165" s="109" t="str">
        <f t="shared" si="59"/>
        <v>4025/4026</v>
      </c>
      <c r="L165" s="22" t="str">
        <f>VLOOKUP(A165,'Trips&amp;Operators'!$C$1:$E$10000,3,FALSE)</f>
        <v>STARKS</v>
      </c>
      <c r="M165" s="6">
        <f t="shared" si="60"/>
        <v>1.1770833334594499E-2</v>
      </c>
      <c r="N165" s="7">
        <f t="shared" si="61"/>
        <v>16.950000001816079</v>
      </c>
      <c r="O165" s="7"/>
      <c r="P165" s="7"/>
      <c r="Q165" s="23"/>
      <c r="R165" s="23"/>
      <c r="S165" s="35">
        <f t="shared" si="62"/>
        <v>1</v>
      </c>
      <c r="T165" s="50" t="str">
        <f t="shared" si="63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06:37:24-700',mode:absolute,to:'2016-11-27 08:56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2" t="str">
        <f t="shared" si="65"/>
        <v>N</v>
      </c>
      <c r="X165" s="177">
        <f t="shared" si="74"/>
        <v>1</v>
      </c>
      <c r="Y165" s="67">
        <f t="shared" si="66"/>
        <v>5.8625999999999996</v>
      </c>
      <c r="Z165" s="67">
        <f t="shared" si="58"/>
        <v>8.0799999999999997E-2</v>
      </c>
      <c r="AA165" s="67">
        <f t="shared" si="67"/>
        <v>5.7817999999999996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8"/>
        <v>1804-27</v>
      </c>
      <c r="AE165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65" s="88" t="str">
        <f t="shared" si="70"/>
        <v>"C:\Program Files (x86)\AstroGrep\AstroGrep.exe" /spath="%USERPROFILE%\AppData\Local\Temp\OnboardLogs" /stypes="app*4026*20161127*" /stext=" 14:.+((SYSTEM_STATE.+slice.+state.+changed )|(ment ac)|(multiple cpu faults)|(system.+state.+changed )|(\[timeout)|(PRM\|1\|D)|(kpr)|(kdp)|(\|lc)|(penalty))" /e /r /s</v>
      </c>
      <c r="AG165" s="1" t="str">
        <f t="shared" si="71"/>
        <v>NW</v>
      </c>
      <c r="AH165" s="92" t="str">
        <f t="shared" si="72"/>
        <v>"%USERPROFILE%\Documents\GitHub\eaglep3\Utilities\RefineRTDCRunTimes.py" --tripid 1804-27 --locoid 4026 --swversion DE.1.0.8.0 --startMP 300:58626 --initTime 2016-11-27T07:37:24 --startdatetime 2016-11-27T07:39:06 --delay 1 --endMP 204:808 --enddatetime 2016-11-27T07:56:03 --enforcementcount 0 &gt;&gt;C:\Users\stu\Documents\GitHub\eaglep3-reporting\EC\2016-11-27-refined-times.txt</v>
      </c>
      <c r="AI165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{"issue":{"subject":"","project_id":79,"tracker_id":40,"status_id":1,"priority_id":2,"assigned_to_id":23,"start_date":"2016-11-27","description":"","custom_fields":[{"id":1,"name":"Subdivision","value":"NW"},{"id":4,"name":"Milepost","value":"0.0808"},{"id":17,"name":"Train ID","value":"1804-27"},{"id":16,"name":"Locomotive ID","value":"4026"},{"id":130,"name":"Impact","value":""},{"id":150,"name":"Time of Event (Mountain Time)","value":"07:56:03"},{"id":151,"name":"Denver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467</v>
      </c>
      <c r="B166" s="7">
        <v>4025</v>
      </c>
      <c r="C166" s="22" t="s">
        <v>215</v>
      </c>
      <c r="D166" s="22" t="s">
        <v>653</v>
      </c>
      <c r="E166" s="13">
        <v>42701.333611111113</v>
      </c>
      <c r="F166" s="13">
        <v>42701.348101851851</v>
      </c>
      <c r="G166" s="7">
        <v>0</v>
      </c>
      <c r="H166" s="22" t="s">
        <v>660</v>
      </c>
      <c r="I166" s="13">
        <v>42701.358101851853</v>
      </c>
      <c r="J166" s="7">
        <v>0</v>
      </c>
      <c r="K166" s="109" t="str">
        <f t="shared" si="59"/>
        <v>4025/4026</v>
      </c>
      <c r="L166" s="22" t="str">
        <f>VLOOKUP(A166,'Trips&amp;Operators'!$C$1:$E$10000,3,FALSE)</f>
        <v>STARKS</v>
      </c>
      <c r="M166" s="6">
        <f t="shared" si="60"/>
        <v>1.0000000002037268E-2</v>
      </c>
      <c r="N166" s="7">
        <f t="shared" si="61"/>
        <v>14.400000002933666</v>
      </c>
      <c r="O166" s="7"/>
      <c r="P166" s="7"/>
      <c r="Q166" s="23"/>
      <c r="R166" s="23"/>
      <c r="S166" s="35">
        <f t="shared" si="62"/>
        <v>1</v>
      </c>
      <c r="T166" s="50" t="str">
        <f t="shared" si="63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07:00:24-700',mode:absolute,to:'2016-11-27 09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6" s="52" t="str">
        <f t="shared" si="65"/>
        <v>N</v>
      </c>
      <c r="X166" s="177">
        <f t="shared" si="74"/>
        <v>1</v>
      </c>
      <c r="Y166" s="67">
        <f t="shared" si="66"/>
        <v>0.1095</v>
      </c>
      <c r="Z166" s="67">
        <f t="shared" si="58"/>
        <v>5.8956</v>
      </c>
      <c r="AA166" s="67">
        <f t="shared" si="67"/>
        <v>5.7861000000000002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8"/>
        <v>1805-27</v>
      </c>
      <c r="AE166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66" s="88" t="str">
        <f t="shared" si="70"/>
        <v>"C:\Program Files (x86)\AstroGrep\AstroGrep.exe" /spath="%USERPROFILE%\AppData\Local\Temp\OnboardLogs" /stypes="app*4025*20161127*" /stext=" 15:.+((SYSTEM_STATE.+slice.+state.+changed )|(ment ac)|(multiple cpu faults)|(system.+state.+changed )|(\[timeout)|(PRM\|1\|D)|(kpr)|(kdp)|(\|lc)|(penalty))" /e /r /s</v>
      </c>
      <c r="AG166" s="1" t="str">
        <f t="shared" si="71"/>
        <v>NW</v>
      </c>
      <c r="AH166" s="92" t="str">
        <f t="shared" si="72"/>
        <v>"%USERPROFILE%\Documents\GitHub\eaglep3\Utilities\RefineRTDCRunTimes.py" --tripid 1805-27 --locoid 4025 --swversion DE.1.0.8.0 --startMP 204:1095 --initTime 2016-11-27T08:00:24 --startdatetime 2016-11-27T08:21:16 --delay 0 --endMP 300:58956 --enddatetime 2016-11-27T08:35:40 --enforcementcount 0 &gt;&gt;C:\Users\stu\Documents\GitHub\eaglep3-reporting\EC\2016-11-27-refined-times.txt</v>
      </c>
      <c r="AI166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{"issue":{"subject":"","project_id":79,"tracker_id":40,"status_id":1,"priority_id":2,"assigned_to_id":23,"start_date":"2016-11-27","description":"","custom_fields":[{"id":1,"name":"Subdivision","value":"NW"},{"id":4,"name":"Milepost","value":"5.8956"},{"id":17,"name":"Train ID","value":"1805-27"},{"id":16,"name":"Locomotive ID","value":"4025"},{"id":130,"name":"Impact","value":""},{"id":150,"name":"Time of Event (Mountain Time)","value":"08:35:40"},{"id":151,"name":"Denver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471</v>
      </c>
      <c r="B167" s="7">
        <v>4026</v>
      </c>
      <c r="C167" s="22" t="s">
        <v>215</v>
      </c>
      <c r="D167" s="22" t="s">
        <v>661</v>
      </c>
      <c r="E167" s="13">
        <v>42701.359027777777</v>
      </c>
      <c r="F167" s="13">
        <v>42701.360439814816</v>
      </c>
      <c r="G167" s="7">
        <v>1</v>
      </c>
      <c r="H167" s="22" t="s">
        <v>662</v>
      </c>
      <c r="I167" s="13">
        <v>42701.37158564815</v>
      </c>
      <c r="J167" s="7">
        <v>0</v>
      </c>
      <c r="K167" s="109" t="str">
        <f t="shared" si="59"/>
        <v>4025/4026</v>
      </c>
      <c r="L167" s="22" t="str">
        <f>VLOOKUP(A167,'Trips&amp;Operators'!$C$1:$E$10000,3,FALSE)</f>
        <v>STARKS</v>
      </c>
      <c r="M167" s="6">
        <f t="shared" si="60"/>
        <v>1.1145833334012423E-2</v>
      </c>
      <c r="N167" s="7">
        <f t="shared" si="61"/>
        <v>16.050000000977889</v>
      </c>
      <c r="O167" s="7"/>
      <c r="P167" s="7"/>
      <c r="Q167" s="23"/>
      <c r="R167" s="23"/>
      <c r="S167" s="35">
        <f t="shared" si="62"/>
        <v>1</v>
      </c>
      <c r="T167" s="50" t="str">
        <f t="shared" si="63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07:37:00-700',mode:absolute,to:'2016-11-27 09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7" s="52" t="str">
        <f t="shared" si="65"/>
        <v>N</v>
      </c>
      <c r="X167" s="177">
        <f t="shared" ref="X167:X198" si="75">VALUE(LEFT(AD167,4))-VALUE(LEFT(AD166,4))</f>
        <v>1</v>
      </c>
      <c r="Y167" s="67">
        <f t="shared" si="66"/>
        <v>5.8644999999999996</v>
      </c>
      <c r="Z167" s="67">
        <f t="shared" si="58"/>
        <v>7.9699999999999993E-2</v>
      </c>
      <c r="AA167" s="67">
        <f t="shared" si="67"/>
        <v>5.7847999999999997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8"/>
        <v>1806-27</v>
      </c>
      <c r="AE167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67" s="88" t="str">
        <f t="shared" si="70"/>
        <v>"C:\Program Files (x86)\AstroGrep\AstroGrep.exe" /spath="%USERPROFILE%\AppData\Local\Temp\OnboardLogs" /stypes="app*4026*20161127*" /stext=" 15:.+((SYSTEM_STATE.+slice.+state.+changed )|(ment ac)|(multiple cpu faults)|(system.+state.+changed )|(\[timeout)|(PRM\|1\|D)|(kpr)|(kdp)|(\|lc)|(penalty))" /e /r /s</v>
      </c>
      <c r="AG167" s="1" t="str">
        <f t="shared" si="71"/>
        <v>NW</v>
      </c>
      <c r="AH167" s="92" t="str">
        <f t="shared" si="72"/>
        <v>"%USERPROFILE%\Documents\GitHub\eaglep3\Utilities\RefineRTDCRunTimes.py" --tripid 1806-27 --locoid 4026 --swversion DE.1.0.8.0 --startMP 300:58645 --initTime 2016-11-27T08:37:00 --startdatetime 2016-11-27T08:39:02 --delay 1 --endMP 204:797 --enddatetime 2016-11-27T08:55:05 --enforcementcount 0 &gt;&gt;C:\Users\stu\Documents\GitHub\eaglep3-reporting\EC\2016-11-27-refined-times.txt</v>
      </c>
      <c r="AI167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{"issue":{"subject":"","project_id":79,"tracker_id":40,"status_id":1,"priority_id":2,"assigned_to_id":23,"start_date":"2016-11-27","description":"","custom_fields":[{"id":1,"name":"Subdivision","value":"NW"},{"id":4,"name":"Milepost","value":"0.0797"},{"id":17,"name":"Train ID","value":"1806-27"},{"id":16,"name":"Locomotive ID","value":"4026"},{"id":130,"name":"Impact","value":""},{"id":150,"name":"Time of Event (Mountain Time)","value":"08:55:05"},{"id":151,"name":"Denver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406</v>
      </c>
      <c r="B168" s="7">
        <v>4025</v>
      </c>
      <c r="C168" s="22" t="s">
        <v>215</v>
      </c>
      <c r="D168" s="22" t="s">
        <v>663</v>
      </c>
      <c r="E168" s="13">
        <v>42701.38863425926</v>
      </c>
      <c r="F168" s="13">
        <v>42701.389780092592</v>
      </c>
      <c r="G168" s="7">
        <v>1</v>
      </c>
      <c r="H168" s="22" t="s">
        <v>664</v>
      </c>
      <c r="I168" s="13">
        <v>42701.399652777778</v>
      </c>
      <c r="J168" s="7">
        <v>0</v>
      </c>
      <c r="K168" s="109" t="str">
        <f t="shared" si="59"/>
        <v>4025/4026</v>
      </c>
      <c r="L168" s="22" t="str">
        <f>VLOOKUP(A168,'Trips&amp;Operators'!$C$1:$E$10000,3,FALSE)</f>
        <v>STARKS</v>
      </c>
      <c r="M168" s="6">
        <f t="shared" si="60"/>
        <v>9.8726851865649223E-3</v>
      </c>
      <c r="N168" s="7">
        <f t="shared" si="61"/>
        <v>14.216666668653488</v>
      </c>
      <c r="O168" s="7"/>
      <c r="P168" s="7"/>
      <c r="Q168" s="23"/>
      <c r="R168" s="23"/>
      <c r="S168" s="35">
        <f t="shared" si="62"/>
        <v>1</v>
      </c>
      <c r="T168" s="50" t="str">
        <f t="shared" si="63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08:19:38-700',mode:absolute,to:'2016-11-27 10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2" t="str">
        <f t="shared" si="65"/>
        <v>N</v>
      </c>
      <c r="X168" s="177">
        <f t="shared" si="75"/>
        <v>1</v>
      </c>
      <c r="Y168" s="67">
        <f t="shared" si="66"/>
        <v>0.1084</v>
      </c>
      <c r="Z168" s="67">
        <f t="shared" si="58"/>
        <v>5.8963000000000001</v>
      </c>
      <c r="AA168" s="67">
        <f t="shared" si="67"/>
        <v>5.7879000000000005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8"/>
        <v>1807-27</v>
      </c>
      <c r="AE168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68" s="88" t="str">
        <f t="shared" si="70"/>
        <v>"C:\Program Files (x86)\AstroGrep\AstroGrep.exe" /spath="%USERPROFILE%\AppData\Local\Temp\OnboardLogs" /stypes="app*4025*20161127*" /stext=" 16:.+((SYSTEM_STATE.+slice.+state.+changed )|(ment ac)|(multiple cpu faults)|(system.+state.+changed )|(\[timeout)|(PRM\|1\|D)|(kpr)|(kdp)|(\|lc)|(penalty))" /e /r /s</v>
      </c>
      <c r="AG168" s="1" t="str">
        <f t="shared" si="71"/>
        <v>NW</v>
      </c>
      <c r="AH168" s="92" t="str">
        <f t="shared" si="72"/>
        <v>"%USERPROFILE%\Documents\GitHub\eaglep3\Utilities\RefineRTDCRunTimes.py" --tripid 1807-27 --locoid 4025 --swversion DE.1.0.8.0 --startMP 204:1084 --initTime 2016-11-27T09:19:38 --startdatetime 2016-11-27T09:21:17 --delay 1 --endMP 300:58963 --enddatetime 2016-11-27T09:35:30 --enforcementcount 0 &gt;&gt;C:\Users\stu\Documents\GitHub\eaglep3-reporting\EC\2016-11-27-refined-times.txt</v>
      </c>
      <c r="AI168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{"issue":{"subject":"","project_id":79,"tracker_id":40,"status_id":1,"priority_id":2,"assigned_to_id":23,"start_date":"2016-11-27","description":"","custom_fields":[{"id":1,"name":"Subdivision","value":"NW"},{"id":4,"name":"Milepost","value":"5.8963"},{"id":17,"name":"Train ID","value":"1807-27"},{"id":16,"name":"Locomotive ID","value":"4025"},{"id":130,"name":"Impact","value":""},{"id":150,"name":"Time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480</v>
      </c>
      <c r="B169" s="7">
        <v>4026</v>
      </c>
      <c r="C169" s="22" t="s">
        <v>215</v>
      </c>
      <c r="D169" s="22" t="s">
        <v>655</v>
      </c>
      <c r="E169" s="13">
        <v>42701.400983796295</v>
      </c>
      <c r="F169" s="13">
        <v>42701.402349537035</v>
      </c>
      <c r="G169" s="7">
        <v>1</v>
      </c>
      <c r="H169" s="22" t="s">
        <v>665</v>
      </c>
      <c r="I169" s="13">
        <v>42701.413391203707</v>
      </c>
      <c r="J169" s="7">
        <v>0</v>
      </c>
      <c r="K169" s="109" t="str">
        <f t="shared" si="59"/>
        <v>4025/4026</v>
      </c>
      <c r="L169" s="22" t="str">
        <f>VLOOKUP(A169,'Trips&amp;Operators'!$C$1:$E$10000,3,FALSE)</f>
        <v>STARKS</v>
      </c>
      <c r="M169" s="6">
        <f t="shared" si="60"/>
        <v>1.1041666672099382E-2</v>
      </c>
      <c r="N169" s="7">
        <f t="shared" si="61"/>
        <v>15.90000000782311</v>
      </c>
      <c r="O169" s="7"/>
      <c r="P169" s="7"/>
      <c r="Q169" s="23"/>
      <c r="R169" s="23"/>
      <c r="S169" s="35">
        <f t="shared" si="62"/>
        <v>1</v>
      </c>
      <c r="T169" s="50" t="str">
        <f t="shared" si="63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08:37:25-700',mode:absolute,to:'2016-11-27 10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2" t="str">
        <f t="shared" si="65"/>
        <v>N</v>
      </c>
      <c r="X169" s="177">
        <f t="shared" si="75"/>
        <v>1</v>
      </c>
      <c r="Y169" s="67">
        <f t="shared" si="66"/>
        <v>5.8632</v>
      </c>
      <c r="Z169" s="67">
        <v>7.0000000000000007E-2</v>
      </c>
      <c r="AA169" s="67">
        <f t="shared" si="67"/>
        <v>5.7931999999999997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8"/>
        <v>1808-27</v>
      </c>
      <c r="AE169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69" s="88" t="str">
        <f t="shared" si="70"/>
        <v>"C:\Program Files (x86)\AstroGrep\AstroGrep.exe" /spath="%USERPROFILE%\AppData\Local\Temp\OnboardLogs" /stypes="app*4026*20161127*" /stext=" 16:.+((SYSTEM_STATE.+slice.+state.+changed )|(ment ac)|(multiple cpu faults)|(system.+state.+changed )|(\[timeout)|(PRM\|1\|D)|(kpr)|(kdp)|(\|lc)|(penalty))" /e /r /s</v>
      </c>
      <c r="AG169" s="1" t="str">
        <f t="shared" si="71"/>
        <v>NW</v>
      </c>
      <c r="AH169" s="92" t="str">
        <f t="shared" si="72"/>
        <v>"%USERPROFILE%\Documents\GitHub\eaglep3\Utilities\RefineRTDCRunTimes.py" --tripid 1808-27 --locoid 4026 --swversion DE.1.0.8.0 --startMP 300:58632 --initTime 2016-11-27T09:37:25 --startdatetime 2016-11-27T09:39:23 --delay 1 --endMP 300:18483 --enddatetime 2016-11-27T09:55:17 --enforcementcount 0 &gt;&gt;C:\Users\stu\Documents\GitHub\eaglep3-reporting\EC\2016-11-27-refined-times.txt</v>
      </c>
      <c r="AI169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{"issue":{"subject":"","project_id":79,"tracker_id":40,"status_id":1,"priority_id":2,"assigned_to_id":23,"start_date":"2016-11-27","description":"","custom_fields":[{"id":1,"name":"Subdivision","value":"NW"},{"id":4,"name":"Milepost","value":"0.07"},{"id":17,"name":"Train ID","value":"1808-27"},{"id":16,"name":"Locomotive ID","value":"4026"},{"id":130,"name":"Impact","value":""},{"id":150,"name":"Time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411</v>
      </c>
      <c r="B170" s="7">
        <v>4025</v>
      </c>
      <c r="C170" s="22" t="s">
        <v>215</v>
      </c>
      <c r="D170" s="22" t="s">
        <v>666</v>
      </c>
      <c r="E170" s="13">
        <v>42701.416585648149</v>
      </c>
      <c r="F170" s="13">
        <v>42701.431435185186</v>
      </c>
      <c r="G170" s="7">
        <v>1</v>
      </c>
      <c r="H170" s="22" t="s">
        <v>667</v>
      </c>
      <c r="I170" s="13">
        <v>42701.443055555559</v>
      </c>
      <c r="J170" s="7">
        <v>0</v>
      </c>
      <c r="K170" s="109" t="str">
        <f t="shared" si="59"/>
        <v>4025/4026</v>
      </c>
      <c r="L170" s="22" t="str">
        <f>VLOOKUP(A170,'Trips&amp;Operators'!$C$1:$E$10000,3,FALSE)</f>
        <v>STARKS</v>
      </c>
      <c r="M170" s="6">
        <f t="shared" si="60"/>
        <v>1.1620370372838806E-2</v>
      </c>
      <c r="N170" s="7">
        <f t="shared" si="61"/>
        <v>16.733333336887881</v>
      </c>
      <c r="O170" s="7"/>
      <c r="P170" s="7"/>
      <c r="Q170" s="23"/>
      <c r="R170" s="23"/>
      <c r="S170" s="35">
        <f t="shared" si="62"/>
        <v>1</v>
      </c>
      <c r="T170" s="50" t="str">
        <f t="shared" si="63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08:59:53-700',mode:absolute,to:'2016-11-27 11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0" s="52" t="str">
        <f t="shared" si="65"/>
        <v>N</v>
      </c>
      <c r="X170" s="177">
        <f t="shared" si="75"/>
        <v>1</v>
      </c>
      <c r="Y170" s="67">
        <f t="shared" si="66"/>
        <v>0.10879999999999999</v>
      </c>
      <c r="Z170" s="67">
        <f>RIGHT(H170,LEN(H170)-4)/10000</f>
        <v>5.8949999999999996</v>
      </c>
      <c r="AA170" s="67">
        <f t="shared" si="67"/>
        <v>5.7862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8"/>
        <v>1809-27</v>
      </c>
      <c r="AE170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70" s="88" t="str">
        <f t="shared" si="70"/>
        <v>"C:\Program Files (x86)\AstroGrep\AstroGrep.exe" /spath="%USERPROFILE%\AppData\Local\Temp\OnboardLogs" /stypes="app*4025*20161127*" /stext=" 17:.+((SYSTEM_STATE.+slice.+state.+changed )|(ment ac)|(multiple cpu faults)|(system.+state.+changed )|(\[timeout)|(PRM\|1\|D)|(kpr)|(kdp)|(\|lc)|(penalty))" /e /r /s</v>
      </c>
      <c r="AG170" s="1" t="str">
        <f t="shared" si="71"/>
        <v>NW</v>
      </c>
      <c r="AH170" s="92" t="str">
        <f t="shared" si="72"/>
        <v>"%USERPROFILE%\Documents\GitHub\eaglep3\Utilities\RefineRTDCRunTimes.py" --tripid 1809-27 --locoid 4025 --swversion DE.1.0.8.0 --startMP 204:1088 --initTime 2016-11-27T09:59:53 --startdatetime 2016-11-27T10:21:16 --delay 1 --endMP 300:58950 --enddatetime 2016-11-27T10:38:00 --enforcementcount 0 &gt;&gt;C:\Users\stu\Documents\GitHub\eaglep3-reporting\EC\2016-11-27-refined-times.txt</v>
      </c>
      <c r="AI170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{"issue":{"subject":"","project_id":79,"tracker_id":40,"status_id":1,"priority_id":2,"assigned_to_id":23,"start_date":"2016-11-27","description":"","custom_fields":[{"id":1,"name":"Subdivision","value":"NW"},{"id":4,"name":"Milepost","value":"5.895"},{"id":17,"name":"Train ID","value":"1809-27"},{"id":16,"name":"Locomotive ID","value":"4025"},{"id":130,"name":"Impact","value":""},{"id":150,"name":"Time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490</v>
      </c>
      <c r="B171" s="7">
        <v>4026</v>
      </c>
      <c r="C171" s="22" t="s">
        <v>215</v>
      </c>
      <c r="D171" s="22" t="s">
        <v>669</v>
      </c>
      <c r="E171" s="13">
        <v>42701.444826388892</v>
      </c>
      <c r="F171" s="13">
        <v>42701.44630787037</v>
      </c>
      <c r="G171" s="7">
        <v>1</v>
      </c>
      <c r="H171" s="22" t="s">
        <v>670</v>
      </c>
      <c r="I171" s="13">
        <v>42701.455312500002</v>
      </c>
      <c r="J171" s="7">
        <v>0</v>
      </c>
      <c r="K171" s="109" t="str">
        <f t="shared" si="59"/>
        <v>4025/4026</v>
      </c>
      <c r="L171" s="22" t="str">
        <f>VLOOKUP(A171,'Trips&amp;Operators'!$C$1:$E$10000,3,FALSE)</f>
        <v>STARKS</v>
      </c>
      <c r="M171" s="6">
        <f t="shared" si="60"/>
        <v>9.0046296318178065E-3</v>
      </c>
      <c r="N171" s="7">
        <f t="shared" si="61"/>
        <v>12.966666669817641</v>
      </c>
      <c r="O171" s="7"/>
      <c r="P171" s="7"/>
      <c r="Q171" s="23"/>
      <c r="R171" s="23"/>
      <c r="S171" s="35">
        <f t="shared" si="62"/>
        <v>1</v>
      </c>
      <c r="T171" s="50" t="str">
        <f t="shared" si="63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09:40:33-700',mode:absolute,to:'2016-11-27 11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1" s="52" t="str">
        <f t="shared" si="65"/>
        <v>N</v>
      </c>
      <c r="X171" s="177">
        <f t="shared" si="75"/>
        <v>1</v>
      </c>
      <c r="Y171" s="67">
        <f t="shared" si="66"/>
        <v>5.8638000000000003</v>
      </c>
      <c r="Z171" s="67">
        <f>RIGHT(H171,LEN(H171)-4)/10000</f>
        <v>7.6399999999999996E-2</v>
      </c>
      <c r="AA171" s="67">
        <f t="shared" si="67"/>
        <v>5.7874000000000008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8"/>
        <v>1810-27</v>
      </c>
      <c r="AE171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71" s="88" t="str">
        <f t="shared" si="70"/>
        <v>"C:\Program Files (x86)\AstroGrep\AstroGrep.exe" /spath="%USERPROFILE%\AppData\Local\Temp\OnboardLogs" /stypes="app*4026*20161127*" /stext=" 17:.+((SYSTEM_STATE.+slice.+state.+changed )|(ment ac)|(multiple cpu faults)|(system.+state.+changed )|(\[timeout)|(PRM\|1\|D)|(kpr)|(kdp)|(\|lc)|(penalty))" /e /r /s</v>
      </c>
      <c r="AG171" s="1" t="str">
        <f t="shared" si="71"/>
        <v>NW</v>
      </c>
      <c r="AH171" s="92" t="str">
        <f t="shared" si="72"/>
        <v>"%USERPROFILE%\Documents\GitHub\eaglep3\Utilities\RefineRTDCRunTimes.py" --tripid 1810-27 --locoid 4026 --swversion DE.1.0.8.0 --startMP 300:58638 --initTime 2016-11-27T10:40:33 --startdatetime 2016-11-27T10:42:41 --delay 1 --endMP 204:764 --enddatetime 2016-11-27T10:55:39 --enforcementcount 0 &gt;&gt;C:\Users\stu\Documents\GitHub\eaglep3-reporting\EC\2016-11-27-refined-times.txt</v>
      </c>
      <c r="AI171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{"issue":{"subject":"","project_id":79,"tracker_id":40,"status_id":1,"priority_id":2,"assigned_to_id":23,"start_date":"2016-11-27","description":"","custom_fields":[{"id":1,"name":"Subdivision","value":"NW"},{"id":4,"name":"Milepost","value":"0.0764"},{"id":17,"name":"Train ID","value":"1810-27"},{"id":16,"name":"Locomotive ID","value":"4026"},{"id":130,"name":"Impact","value":""},{"id":150,"name":"Time of Event (Mountain Time)","value":"10:55:39"},{"id":151,"name":"Denver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s="21" customFormat="1" x14ac:dyDescent="0.25">
      <c r="A172" s="37" t="s">
        <v>489</v>
      </c>
      <c r="B172" s="7">
        <v>4025</v>
      </c>
      <c r="C172" s="22" t="s">
        <v>215</v>
      </c>
      <c r="D172" s="22" t="s">
        <v>671</v>
      </c>
      <c r="E172" s="13">
        <v>42701.470254629632</v>
      </c>
      <c r="F172" s="13">
        <v>42701.473090277781</v>
      </c>
      <c r="G172" s="7">
        <v>1</v>
      </c>
      <c r="H172" s="22" t="s">
        <v>672</v>
      </c>
      <c r="I172" s="13">
        <v>42701.482372685183</v>
      </c>
      <c r="J172" s="7">
        <v>0</v>
      </c>
      <c r="K172" s="109" t="str">
        <f t="shared" si="59"/>
        <v>4025/4026</v>
      </c>
      <c r="L172" s="22" t="str">
        <f>VLOOKUP(A172,'Trips&amp;Operators'!$C$1:$E$10000,3,FALSE)</f>
        <v>STARKS</v>
      </c>
      <c r="M172" s="6">
        <f t="shared" si="60"/>
        <v>9.2824074017698877E-3</v>
      </c>
      <c r="N172" s="7">
        <f t="shared" si="61"/>
        <v>13.366666658548638</v>
      </c>
      <c r="O172" s="7"/>
      <c r="P172" s="7"/>
      <c r="Q172" s="23"/>
      <c r="R172" s="23"/>
      <c r="S172" s="35">
        <f t="shared" si="62"/>
        <v>1</v>
      </c>
      <c r="T172" s="50" t="str">
        <f t="shared" si="63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10:17:10-700',mode:absolute,to:'2016-11-27 12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2" s="52" t="str">
        <f t="shared" si="65"/>
        <v>N</v>
      </c>
      <c r="X172" s="177">
        <f t="shared" si="75"/>
        <v>1</v>
      </c>
      <c r="Y172" s="67">
        <f t="shared" si="66"/>
        <v>0.10489999999999999</v>
      </c>
      <c r="Z172" s="67">
        <v>5.8</v>
      </c>
      <c r="AA172" s="67">
        <f t="shared" si="67"/>
        <v>5.6951000000000001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8"/>
        <v>1811-27</v>
      </c>
      <c r="AE172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72" s="88" t="str">
        <f t="shared" si="70"/>
        <v>"C:\Program Files (x86)\AstroGrep\AstroGrep.exe" /spath="%USERPROFILE%\AppData\Local\Temp\OnboardLogs" /stypes="app*4025*20161127*" /stext=" 18:.+((SYSTEM_STATE.+slice.+state.+changed )|(ment ac)|(multiple cpu faults)|(system.+state.+changed )|(\[timeout)|(PRM\|1\|D)|(kpr)|(kdp)|(\|lc)|(penalty))" /e /r /s</v>
      </c>
      <c r="AG172" s="1" t="str">
        <f t="shared" si="71"/>
        <v>NW</v>
      </c>
      <c r="AH172" s="92" t="str">
        <f t="shared" si="72"/>
        <v>"%USERPROFILE%\Documents\GitHub\eaglep3\Utilities\RefineRTDCRunTimes.py" --tripid 1811-27 --locoid 4025 --swversion DE.1.0.8.0 --startMP 204:1049 --initTime 2016-11-27T11:17:10 --startdatetime 2016-11-27T11:21:15 --delay 1 --endMP 300:49032 --enddatetime 2016-11-27T11:34:37 --enforcementcount 0 &gt;&gt;C:\Users\stu\Documents\GitHub\eaglep3-reporting\EC\2016-11-27-refined-times.txt</v>
      </c>
      <c r="AI172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{"issue":{"subject":"","project_id":79,"tracker_id":40,"status_id":1,"priority_id":2,"assigned_to_id":23,"start_date":"2016-11-27","description":"","custom_fields":[{"id":1,"name":"Subdivision","value":"NW"},{"id":4,"name":"Milepost","value":"5.8"},{"id":17,"name":"Train ID","value":"1811-27"},{"id":16,"name":"Locomotive ID","value":"4025"},{"id":130,"name":"Impact","value":""},{"id":150,"name":"Time of Event (Mountain Time)","value":"11:34:37"},{"id":151,"name":"Denver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412</v>
      </c>
      <c r="B173" s="7">
        <v>4026</v>
      </c>
      <c r="C173" s="22" t="s">
        <v>215</v>
      </c>
      <c r="D173" s="22" t="s">
        <v>661</v>
      </c>
      <c r="E173" s="13">
        <v>42701.483287037037</v>
      </c>
      <c r="F173" s="13">
        <v>42701.4846875</v>
      </c>
      <c r="G173" s="7">
        <v>1</v>
      </c>
      <c r="H173" s="22" t="s">
        <v>673</v>
      </c>
      <c r="I173" s="13">
        <v>42701.497210648151</v>
      </c>
      <c r="J173" s="7">
        <v>0</v>
      </c>
      <c r="K173" s="109" t="str">
        <f t="shared" si="59"/>
        <v>4025/4026</v>
      </c>
      <c r="L173" s="22" t="str">
        <f>VLOOKUP(A173,'Trips&amp;Operators'!$C$1:$E$10000,3,FALSE)</f>
        <v>STARKS</v>
      </c>
      <c r="M173" s="6">
        <f t="shared" si="60"/>
        <v>1.2523148150648922E-2</v>
      </c>
      <c r="N173" s="7">
        <f t="shared" ref="N173:N204" si="76">24*60*SUM($M173:$M173)</f>
        <v>18.033333336934447</v>
      </c>
      <c r="O173" s="7"/>
      <c r="P173" s="7"/>
      <c r="Q173" s="23"/>
      <c r="R173" s="23"/>
      <c r="S173" s="35">
        <f t="shared" ref="S173:S204" si="77">SUM(U173:U173)/IF(AG173="EC",12,1)</f>
        <v>1</v>
      </c>
      <c r="T173" s="50" t="str">
        <f t="shared" si="63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10:35:56-700',mode:absolute,to:'2016-11-27 12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3" s="52" t="str">
        <f t="shared" si="65"/>
        <v>N</v>
      </c>
      <c r="X173" s="177">
        <f t="shared" si="75"/>
        <v>1</v>
      </c>
      <c r="Y173" s="67">
        <f t="shared" si="66"/>
        <v>5.8644999999999996</v>
      </c>
      <c r="Z173" s="67">
        <f t="shared" ref="Z173:Z218" si="78">RIGHT(H173,LEN(H173)-4)/10000</f>
        <v>7.8700000000000006E-2</v>
      </c>
      <c r="AA173" s="67">
        <f t="shared" si="67"/>
        <v>5.7857999999999992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8"/>
        <v>1812-27</v>
      </c>
      <c r="AE173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73" s="88" t="str">
        <f t="shared" si="70"/>
        <v>"C:\Program Files (x86)\AstroGrep\AstroGrep.exe" /spath="%USERPROFILE%\AppData\Local\Temp\OnboardLogs" /stypes="app*4026*20161127*" /stext=" 18:.+((SYSTEM_STATE.+slice.+state.+changed )|(ment ac)|(multiple cpu faults)|(system.+state.+changed )|(\[timeout)|(PRM\|1\|D)|(kpr)|(kdp)|(\|lc)|(penalty))" /e /r /s</v>
      </c>
      <c r="AG173" s="1" t="str">
        <f t="shared" si="71"/>
        <v>NW</v>
      </c>
      <c r="AH173" s="92" t="str">
        <f t="shared" si="72"/>
        <v>"%USERPROFILE%\Documents\GitHub\eaglep3\Utilities\RefineRTDCRunTimes.py" --tripid 1812-27 --locoid 4026 --swversion DE.1.0.8.0 --startMP 300:58645 --initTime 2016-11-27T11:35:56 --startdatetime 2016-11-27T11:37:57 --delay 1 --endMP 204:787 --enddatetime 2016-11-27T11:55:59 --enforcementcount 0 &gt;&gt;C:\Users\stu\Documents\GitHub\eaglep3-reporting\EC\2016-11-27-refined-times.txt</v>
      </c>
      <c r="AI173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{"issue":{"subject":"","project_id":79,"tracker_id":40,"status_id":1,"priority_id":2,"assigned_to_id":23,"start_date":"2016-11-27","description":"","custom_fields":[{"id":1,"name":"Subdivision","value":"NW"},{"id":4,"name":"Milepost","value":"0.0787"},{"id":17,"name":"Train ID","value":"1812-27"},{"id":16,"name":"Locomotive ID","value":"4026"},{"id":130,"name":"Impact","value":""},{"id":150,"name":"Time of Event (Mountain Time)","value":"11:55:59"},{"id":151,"name":"Denver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501</v>
      </c>
      <c r="B174" s="7">
        <v>4025</v>
      </c>
      <c r="C174" s="22" t="s">
        <v>215</v>
      </c>
      <c r="D174" s="22" t="s">
        <v>674</v>
      </c>
      <c r="E174" s="13">
        <v>42701.512256944443</v>
      </c>
      <c r="F174" s="13">
        <v>42701.514733796299</v>
      </c>
      <c r="G174" s="7">
        <v>1</v>
      </c>
      <c r="H174" s="22" t="s">
        <v>675</v>
      </c>
      <c r="I174" s="13">
        <v>42701.524641203701</v>
      </c>
      <c r="J174" s="7">
        <v>0</v>
      </c>
      <c r="K174" s="109" t="str">
        <f t="shared" si="59"/>
        <v>4025/4026</v>
      </c>
      <c r="L174" s="22" t="str">
        <f>VLOOKUP(A174,'Trips&amp;Operators'!$C$1:$E$10000,3,FALSE)</f>
        <v>STARKS</v>
      </c>
      <c r="M174" s="6">
        <f t="shared" si="60"/>
        <v>9.9074074023519643E-3</v>
      </c>
      <c r="N174" s="7">
        <f t="shared" si="76"/>
        <v>14.266666659386829</v>
      </c>
      <c r="O174" s="7"/>
      <c r="P174" s="7"/>
      <c r="Q174" s="23"/>
      <c r="R174" s="23"/>
      <c r="S174" s="35">
        <f t="shared" si="77"/>
        <v>1</v>
      </c>
      <c r="T174" s="50" t="str">
        <f t="shared" si="63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11:17:39-700',mode:absolute,to:'2016-11-27 13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4" s="52" t="str">
        <f t="shared" si="65"/>
        <v>N</v>
      </c>
      <c r="X174" s="177">
        <f t="shared" si="75"/>
        <v>1</v>
      </c>
      <c r="Y174" s="67">
        <f t="shared" si="66"/>
        <v>0.1076</v>
      </c>
      <c r="Z174" s="67">
        <f t="shared" si="78"/>
        <v>5.8930999999999996</v>
      </c>
      <c r="AA174" s="67">
        <f t="shared" si="67"/>
        <v>5.7854999999999999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8"/>
        <v>1813-27</v>
      </c>
      <c r="AE174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74" s="88" t="str">
        <f t="shared" si="70"/>
        <v>"C:\Program Files (x86)\AstroGrep\AstroGrep.exe" /spath="%USERPROFILE%\AppData\Local\Temp\OnboardLogs" /stypes="app*4025*20161127*" /stext=" 19:.+((SYSTEM_STATE.+slice.+state.+changed )|(ment ac)|(multiple cpu faults)|(system.+state.+changed )|(\[timeout)|(PRM\|1\|D)|(kpr)|(kdp)|(\|lc)|(penalty))" /e /r /s</v>
      </c>
      <c r="AG174" s="1" t="str">
        <f t="shared" si="71"/>
        <v>NW</v>
      </c>
      <c r="AH174" s="92" t="str">
        <f t="shared" si="72"/>
        <v>"%USERPROFILE%\Documents\GitHub\eaglep3\Utilities\RefineRTDCRunTimes.py" --tripid 1813-27 --locoid 4025 --swversion DE.1.0.8.0 --startMP 204:1076 --initTime 2016-11-27T12:17:39 --startdatetime 2016-11-27T12:21:13 --delay 1 --endMP 300:58931 --enddatetime 2016-11-27T12:35:29 --enforcementcount 0 &gt;&gt;C:\Users\stu\Documents\GitHub\eaglep3-reporting\EC\2016-11-27-refined-times.txt</v>
      </c>
      <c r="AI174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{"issue":{"subject":"","project_id":79,"tracker_id":40,"status_id":1,"priority_id":2,"assigned_to_id":23,"start_date":"2016-11-27","description":"","custom_fields":[{"id":1,"name":"Subdivision","value":"NW"},{"id":4,"name":"Milepost","value":"5.8931"},{"id":17,"name":"Train ID","value":"1813-27"},{"id":16,"name":"Locomotive ID","value":"4025"},{"id":130,"name":"Impact","value":""},{"id":150,"name":"Time of Event (Mountain Time)","value":"12:35:29"},{"id":151,"name":"Denver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506</v>
      </c>
      <c r="B175" s="7">
        <v>4026</v>
      </c>
      <c r="C175" s="22" t="s">
        <v>215</v>
      </c>
      <c r="D175" s="22" t="s">
        <v>302</v>
      </c>
      <c r="E175" s="13">
        <v>42701.525497685187</v>
      </c>
      <c r="F175" s="13">
        <v>42701.52679398148</v>
      </c>
      <c r="G175" s="7">
        <v>1</v>
      </c>
      <c r="H175" s="22" t="s">
        <v>676</v>
      </c>
      <c r="I175" s="13">
        <v>42701.537962962961</v>
      </c>
      <c r="J175" s="7">
        <v>0</v>
      </c>
      <c r="K175" s="109" t="str">
        <f t="shared" si="59"/>
        <v>4025/4026</v>
      </c>
      <c r="L175" s="22" t="str">
        <f>VLOOKUP(A175,'Trips&amp;Operators'!$C$1:$E$10000,3,FALSE)</f>
        <v>STARKS</v>
      </c>
      <c r="M175" s="6">
        <f t="shared" si="60"/>
        <v>1.116898148029577E-2</v>
      </c>
      <c r="N175" s="7">
        <f t="shared" si="76"/>
        <v>16.083333331625909</v>
      </c>
      <c r="O175" s="7"/>
      <c r="P175" s="7"/>
      <c r="Q175" s="23"/>
      <c r="R175" s="23"/>
      <c r="S175" s="35">
        <f t="shared" si="77"/>
        <v>1</v>
      </c>
      <c r="T175" s="50" t="str">
        <f t="shared" si="63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11:36:43-700',mode:absolute,to:'2016-11-27 13:54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5" s="52" t="str">
        <f t="shared" si="65"/>
        <v>N</v>
      </c>
      <c r="X175" s="177">
        <f t="shared" si="75"/>
        <v>1</v>
      </c>
      <c r="Y175" s="67">
        <f t="shared" si="66"/>
        <v>5.8611000000000004</v>
      </c>
      <c r="Z175" s="67">
        <f t="shared" si="78"/>
        <v>7.7799999999999994E-2</v>
      </c>
      <c r="AA175" s="67">
        <f t="shared" si="67"/>
        <v>5.7833000000000006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8"/>
        <v>1814-27</v>
      </c>
      <c r="AE175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75" s="88" t="str">
        <f t="shared" si="70"/>
        <v>"C:\Program Files (x86)\AstroGrep\AstroGrep.exe" /spath="%USERPROFILE%\AppData\Local\Temp\OnboardLogs" /stypes="app*4026*20161127*" /stext=" 19:.+((SYSTEM_STATE.+slice.+state.+changed )|(ment ac)|(multiple cpu faults)|(system.+state.+changed )|(\[timeout)|(PRM\|1\|D)|(kpr)|(kdp)|(\|lc)|(penalty))" /e /r /s</v>
      </c>
      <c r="AG175" s="1" t="str">
        <f t="shared" si="71"/>
        <v>NW</v>
      </c>
      <c r="AH175" s="92" t="str">
        <f t="shared" si="72"/>
        <v>"%USERPROFILE%\Documents\GitHub\eaglep3\Utilities\RefineRTDCRunTimes.py" --tripid 1814-27 --locoid 4026 --swversion DE.1.0.8.0 --startMP 300:58611 --initTime 2016-11-27T12:36:43 --startdatetime 2016-11-27T12:38:35 --delay 1 --endMP 204:778 --enddatetime 2016-11-27T12:54:40 --enforcementcount 0 &gt;&gt;C:\Users\stu\Documents\GitHub\eaglep3-reporting\EC\2016-11-27-refined-times.txt</v>
      </c>
      <c r="AI175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{"issue":{"subject":"","project_id":79,"tracker_id":40,"status_id":1,"priority_id":2,"assigned_to_id":23,"start_date":"2016-11-27","description":"","custom_fields":[{"id":1,"name":"Subdivision","value":"NW"},{"id":4,"name":"Milepost","value":"0.0778"},{"id":17,"name":"Train ID","value":"1814-27"},{"id":16,"name":"Locomotive ID","value":"4026"},{"id":130,"name":"Impact","value":""},{"id":150,"name":"Time of Event (Mountain Time)","value":"12:54:40"},{"id":151,"name":"Denver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417</v>
      </c>
      <c r="B176" s="7">
        <v>4025</v>
      </c>
      <c r="C176" s="22" t="s">
        <v>215</v>
      </c>
      <c r="D176" s="22" t="s">
        <v>677</v>
      </c>
      <c r="E176" s="13">
        <v>42701.554652777777</v>
      </c>
      <c r="F176" s="13">
        <v>42701.556446759256</v>
      </c>
      <c r="G176" s="7">
        <v>1</v>
      </c>
      <c r="H176" s="22" t="s">
        <v>667</v>
      </c>
      <c r="I176" s="13">
        <v>42701.565555555557</v>
      </c>
      <c r="J176" s="7">
        <v>0</v>
      </c>
      <c r="K176" s="109" t="str">
        <f t="shared" si="59"/>
        <v>4025/4026</v>
      </c>
      <c r="L176" s="22" t="str">
        <f>VLOOKUP(A176,'Trips&amp;Operators'!$C$1:$E$10000,3,FALSE)</f>
        <v>STARKS</v>
      </c>
      <c r="M176" s="6">
        <f t="shared" si="60"/>
        <v>9.1087963010068052E-3</v>
      </c>
      <c r="N176" s="7">
        <f t="shared" si="76"/>
        <v>13.116666673449799</v>
      </c>
      <c r="O176" s="7"/>
      <c r="P176" s="7"/>
      <c r="Q176" s="23"/>
      <c r="R176" s="23"/>
      <c r="S176" s="35">
        <f t="shared" si="77"/>
        <v>1</v>
      </c>
      <c r="T176" s="50" t="str">
        <f t="shared" si="63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12:18:42-700',mode:absolute,to:'2016-11-27 14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6" s="52" t="str">
        <f t="shared" si="65"/>
        <v>N</v>
      </c>
      <c r="X176" s="177">
        <f t="shared" si="75"/>
        <v>1</v>
      </c>
      <c r="Y176" s="67">
        <f t="shared" si="66"/>
        <v>0.106</v>
      </c>
      <c r="Z176" s="67">
        <f t="shared" si="78"/>
        <v>5.8949999999999996</v>
      </c>
      <c r="AA176" s="67">
        <f t="shared" si="67"/>
        <v>5.7889999999999997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8"/>
        <v>1815-27</v>
      </c>
      <c r="AE176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76" s="88" t="str">
        <f t="shared" si="70"/>
        <v>"C:\Program Files (x86)\AstroGrep\AstroGrep.exe" /spath="%USERPROFILE%\AppData\Local\Temp\OnboardLogs" /stypes="app*4025*20161127*" /stext=" 20:.+((SYSTEM_STATE.+slice.+state.+changed )|(ment ac)|(multiple cpu faults)|(system.+state.+changed )|(\[timeout)|(PRM\|1\|D)|(kpr)|(kdp)|(\|lc)|(penalty))" /e /r /s</v>
      </c>
      <c r="AG176" s="1" t="str">
        <f t="shared" si="71"/>
        <v>NW</v>
      </c>
      <c r="AH176" s="92" t="str">
        <f t="shared" si="72"/>
        <v>"%USERPROFILE%\Documents\GitHub\eaglep3\Utilities\RefineRTDCRunTimes.py" --tripid 1815-27 --locoid 4025 --swversion DE.1.0.8.0 --startMP 204:1060 --initTime 2016-11-27T13:18:42 --startdatetime 2016-11-27T13:21:17 --delay 1 --endMP 300:58950 --enddatetime 2016-11-27T13:34:24 --enforcementcount 0 &gt;&gt;C:\Users\stu\Documents\GitHub\eaglep3-reporting\EC\2016-11-27-refined-times.txt</v>
      </c>
      <c r="AI176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{"issue":{"subject":"","project_id":79,"tracker_id":40,"status_id":1,"priority_id":2,"assigned_to_id":23,"start_date":"2016-11-27","description":"","custom_fields":[{"id":1,"name":"Subdivision","value":"NW"},{"id":4,"name":"Milepost","value":"5.895"},{"id":17,"name":"Train ID","value":"1815-27"},{"id":16,"name":"Locomotive ID","value":"4025"},{"id":130,"name":"Impact","value":""},{"id":150,"name":"Time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515</v>
      </c>
      <c r="B177" s="7">
        <v>4026</v>
      </c>
      <c r="C177" s="22" t="s">
        <v>215</v>
      </c>
      <c r="D177" s="22" t="s">
        <v>651</v>
      </c>
      <c r="E177" s="13">
        <v>42701.567719907405</v>
      </c>
      <c r="F177" s="13">
        <v>42701.568854166668</v>
      </c>
      <c r="G177" s="7">
        <v>1</v>
      </c>
      <c r="H177" s="22" t="s">
        <v>678</v>
      </c>
      <c r="I177" s="13">
        <v>42701.579976851855</v>
      </c>
      <c r="J177" s="7">
        <v>0</v>
      </c>
      <c r="K177" s="109" t="str">
        <f t="shared" si="59"/>
        <v>4025/4026</v>
      </c>
      <c r="L177" s="22" t="str">
        <f>VLOOKUP(A177,'Trips&amp;Operators'!$C$1:$E$10000,3,FALSE)</f>
        <v>STARKS</v>
      </c>
      <c r="M177" s="6">
        <f t="shared" si="60"/>
        <v>1.1122685187729076E-2</v>
      </c>
      <c r="N177" s="7">
        <f t="shared" si="76"/>
        <v>16.016666670329869</v>
      </c>
      <c r="O177" s="7"/>
      <c r="P177" s="7"/>
      <c r="Q177" s="23"/>
      <c r="R177" s="23"/>
      <c r="S177" s="35">
        <f t="shared" si="77"/>
        <v>1</v>
      </c>
      <c r="T177" s="50" t="str">
        <f t="shared" si="63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12:37:31-700',mode:absolute,to:'2016-11-27 14:55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7" s="52" t="str">
        <f t="shared" si="65"/>
        <v>N</v>
      </c>
      <c r="X177" s="177">
        <f t="shared" si="75"/>
        <v>1</v>
      </c>
      <c r="Y177" s="67">
        <f t="shared" si="66"/>
        <v>5.8643000000000001</v>
      </c>
      <c r="Z177" s="67">
        <f t="shared" si="78"/>
        <v>8.0299999999999996E-2</v>
      </c>
      <c r="AA177" s="67">
        <f t="shared" si="67"/>
        <v>5.7839999999999998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8"/>
        <v>1816-27</v>
      </c>
      <c r="AE177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77" s="88" t="str">
        <f t="shared" si="70"/>
        <v>"C:\Program Files (x86)\AstroGrep\AstroGrep.exe" /spath="%USERPROFILE%\AppData\Local\Temp\OnboardLogs" /stypes="app*4026*20161127*" /stext=" 20:.+((SYSTEM_STATE.+slice.+state.+changed )|(ment ac)|(multiple cpu faults)|(system.+state.+changed )|(\[timeout)|(PRM\|1\|D)|(kpr)|(kdp)|(\|lc)|(penalty))" /e /r /s</v>
      </c>
      <c r="AG177" s="1" t="str">
        <f t="shared" si="71"/>
        <v>NW</v>
      </c>
      <c r="AH177" s="92" t="str">
        <f t="shared" si="72"/>
        <v>"%USERPROFILE%\Documents\GitHub\eaglep3\Utilities\RefineRTDCRunTimes.py" --tripid 1816-27 --locoid 4026 --swversion DE.1.0.8.0 --startMP 300:58643 --initTime 2016-11-27T13:37:31 --startdatetime 2016-11-27T13:39:09 --delay 1 --endMP 204:803 --enddatetime 2016-11-27T13:55:10 --enforcementcount 0 &gt;&gt;C:\Users\stu\Documents\GitHub\eaglep3-reporting\EC\2016-11-27-refined-times.txt</v>
      </c>
      <c r="AI177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{"issue":{"subject":"","project_id":79,"tracker_id":40,"status_id":1,"priority_id":2,"assigned_to_id":23,"start_date":"2016-11-27","description":"","custom_fields":[{"id":1,"name":"Subdivision","value":"NW"},{"id":4,"name":"Milepost","value":"0.0803"},{"id":17,"name":"Train ID","value":"1816-27"},{"id":16,"name":"Locomotive ID","value":"4026"},{"id":130,"name":"Impact","value":""},{"id":150,"name":"Time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520</v>
      </c>
      <c r="B178" s="7">
        <v>4025</v>
      </c>
      <c r="C178" s="22" t="s">
        <v>215</v>
      </c>
      <c r="D178" s="22" t="s">
        <v>663</v>
      </c>
      <c r="E178" s="13">
        <v>42701.588159722225</v>
      </c>
      <c r="F178" s="13">
        <v>42701.598553240743</v>
      </c>
      <c r="G178" s="7">
        <v>2</v>
      </c>
      <c r="H178" s="22" t="s">
        <v>679</v>
      </c>
      <c r="I178" s="13">
        <v>42701.607453703706</v>
      </c>
      <c r="J178" s="7">
        <v>0</v>
      </c>
      <c r="K178" s="109" t="str">
        <f t="shared" si="59"/>
        <v>4025/4026</v>
      </c>
      <c r="L178" s="22" t="str">
        <f>VLOOKUP(A178,'Trips&amp;Operators'!$C$1:$E$10000,3,FALSE)</f>
        <v>ADANE</v>
      </c>
      <c r="M178" s="6">
        <f t="shared" si="60"/>
        <v>8.9004629626288079E-3</v>
      </c>
      <c r="N178" s="7">
        <f t="shared" si="76"/>
        <v>12.816666666185483</v>
      </c>
      <c r="O178" s="7"/>
      <c r="P178" s="7"/>
      <c r="Q178" s="23"/>
      <c r="R178" s="23"/>
      <c r="S178" s="35">
        <f t="shared" si="77"/>
        <v>1</v>
      </c>
      <c r="T178" s="50" t="str">
        <f t="shared" si="63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13:06:57-700',mode:absolute,to:'2016-11-27 15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8" s="52" t="str">
        <f t="shared" si="65"/>
        <v>N</v>
      </c>
      <c r="X178" s="177">
        <f t="shared" si="75"/>
        <v>1</v>
      </c>
      <c r="Y178" s="67">
        <f t="shared" si="66"/>
        <v>0.1084</v>
      </c>
      <c r="Z178" s="67">
        <f t="shared" si="78"/>
        <v>5.899</v>
      </c>
      <c r="AA178" s="67">
        <f t="shared" si="67"/>
        <v>5.7906000000000004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8"/>
        <v>1817-27</v>
      </c>
      <c r="AE178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78" s="88" t="str">
        <f t="shared" si="70"/>
        <v>"C:\Program Files (x86)\AstroGrep\AstroGrep.exe" /spath="%USERPROFILE%\AppData\Local\Temp\OnboardLogs" /stypes="app*4025*20161127*" /stext=" 21:.+((SYSTEM_STATE.+slice.+state.+changed )|(ment ac)|(multiple cpu faults)|(system.+state.+changed )|(\[timeout)|(PRM\|1\|D)|(kpr)|(kdp)|(\|lc)|(penalty))" /e /r /s</v>
      </c>
      <c r="AG178" s="1" t="str">
        <f t="shared" si="71"/>
        <v>NW</v>
      </c>
      <c r="AH178" s="92" t="str">
        <f t="shared" si="72"/>
        <v>"%USERPROFILE%\Documents\GitHub\eaglep3\Utilities\RefineRTDCRunTimes.py" --tripid 1817-27 --locoid 4025 --swversion DE.1.0.8.0 --startMP 204:1084 --initTime 2016-11-27T14:06:57 --startdatetime 2016-11-27T14:21:55 --delay 2 --endMP 300:58990 --enddatetime 2016-11-27T14:34:44 --enforcementcount 0 &gt;&gt;C:\Users\stu\Documents\GitHub\eaglep3-reporting\EC\2016-11-27-refined-times.txt</v>
      </c>
      <c r="AI178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{"issue":{"subject":"","project_id":79,"tracker_id":40,"status_id":1,"priority_id":2,"assigned_to_id":23,"start_date":"2016-11-27","description":"","custom_fields":[{"id":1,"name":"Subdivision","value":"NW"},{"id":4,"name":"Milepost","value":"5.899"},{"id":17,"name":"Train ID","value":"1817-27"},{"id":16,"name":"Locomotive ID","value":"4025"},{"id":130,"name":"Impact","value":""},{"id":150,"name":"Time of Event (Mountain Time)","value":"14:34:44"},{"id":151,"name":"Denver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525</v>
      </c>
      <c r="B179" s="7">
        <v>4026</v>
      </c>
      <c r="C179" s="22" t="s">
        <v>215</v>
      </c>
      <c r="D179" s="22" t="s">
        <v>386</v>
      </c>
      <c r="E179" s="13">
        <v>42701.608622685184</v>
      </c>
      <c r="F179" s="13">
        <v>42701.610613425924</v>
      </c>
      <c r="G179" s="7">
        <v>1</v>
      </c>
      <c r="H179" s="22" t="s">
        <v>680</v>
      </c>
      <c r="I179" s="13">
        <v>42701.621261574073</v>
      </c>
      <c r="J179" s="7">
        <v>0</v>
      </c>
      <c r="K179" s="109" t="str">
        <f t="shared" si="59"/>
        <v>4025/4026</v>
      </c>
      <c r="L179" s="22" t="str">
        <f>VLOOKUP(A179,'Trips&amp;Operators'!$C$1:$E$10000,3,FALSE)</f>
        <v>ADANE</v>
      </c>
      <c r="M179" s="6">
        <f t="shared" si="60"/>
        <v>1.0648148148902692E-2</v>
      </c>
      <c r="N179" s="7">
        <f t="shared" si="76"/>
        <v>15.333333334419876</v>
      </c>
      <c r="O179" s="7"/>
      <c r="P179" s="7"/>
      <c r="Q179" s="23"/>
      <c r="R179" s="23"/>
      <c r="S179" s="35">
        <f t="shared" si="77"/>
        <v>1</v>
      </c>
      <c r="T179" s="50" t="str">
        <f t="shared" si="63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13:36:25-700',mode:absolute,to:'2016-11-27 15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9" s="52" t="str">
        <f t="shared" si="65"/>
        <v>N</v>
      </c>
      <c r="X179" s="177">
        <f t="shared" si="75"/>
        <v>1</v>
      </c>
      <c r="Y179" s="67">
        <f t="shared" si="66"/>
        <v>5.8672000000000004</v>
      </c>
      <c r="Z179" s="67">
        <f t="shared" si="78"/>
        <v>7.0800000000000002E-2</v>
      </c>
      <c r="AA179" s="67">
        <f t="shared" si="67"/>
        <v>5.7964000000000002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8"/>
        <v>1818-27</v>
      </c>
      <c r="AE179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79" s="88" t="str">
        <f t="shared" si="70"/>
        <v>"C:\Program Files (x86)\AstroGrep\AstroGrep.exe" /spath="%USERPROFILE%\AppData\Local\Temp\OnboardLogs" /stypes="app*4026*20161127*" /stext=" 21:.+((SYSTEM_STATE.+slice.+state.+changed )|(ment ac)|(multiple cpu faults)|(system.+state.+changed )|(\[timeout)|(PRM\|1\|D)|(kpr)|(kdp)|(\|lc)|(penalty))" /e /r /s</v>
      </c>
      <c r="AG179" s="1" t="str">
        <f t="shared" si="71"/>
        <v>NW</v>
      </c>
      <c r="AH179" s="92" t="str">
        <f t="shared" si="72"/>
        <v>"%USERPROFILE%\Documents\GitHub\eaglep3\Utilities\RefineRTDCRunTimes.py" --tripid 1818-27 --locoid 4026 --swversion DE.1.0.8.0 --startMP 300:58672 --initTime 2016-11-27T14:36:25 --startdatetime 2016-11-27T14:39:17 --delay 1 --endMP 204:708 --enddatetime 2016-11-27T14:54:37 --enforcementcount 0 &gt;&gt;C:\Users\stu\Documents\GitHub\eaglep3-reporting\EC\2016-11-27-refined-times.txt</v>
      </c>
      <c r="AI179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{"issue":{"subject":"","project_id":79,"tracker_id":40,"status_id":1,"priority_id":2,"assigned_to_id":23,"start_date":"2016-11-27","description":"","custom_fields":[{"id":1,"name":"Subdivision","value":"NW"},{"id":4,"name":"Milepost","value":"0.0708"},{"id":17,"name":"Train ID","value":"1818-27"},{"id":16,"name":"Locomotive ID","value":"4026"},{"id":130,"name":"Impact","value":""},{"id":150,"name":"Time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530</v>
      </c>
      <c r="B180" s="7">
        <v>4025</v>
      </c>
      <c r="C180" s="22" t="s">
        <v>215</v>
      </c>
      <c r="D180" s="22" t="s">
        <v>681</v>
      </c>
      <c r="E180" s="13">
        <v>42701.622858796298</v>
      </c>
      <c r="F180" s="13">
        <v>42701.63989583333</v>
      </c>
      <c r="G180" s="7">
        <v>1</v>
      </c>
      <c r="H180" s="22" t="s">
        <v>682</v>
      </c>
      <c r="I180" s="13">
        <v>42701.648761574077</v>
      </c>
      <c r="J180" s="7">
        <v>0</v>
      </c>
      <c r="K180" s="109" t="str">
        <f t="shared" si="59"/>
        <v>4025/4026</v>
      </c>
      <c r="L180" s="22" t="str">
        <f>VLOOKUP(A180,'Trips&amp;Operators'!$C$1:$E$10000,3,FALSE)</f>
        <v>ADANE</v>
      </c>
      <c r="M180" s="6">
        <f t="shared" si="60"/>
        <v>8.8657407468417659E-3</v>
      </c>
      <c r="N180" s="7">
        <f t="shared" si="76"/>
        <v>12.766666675452143</v>
      </c>
      <c r="O180" s="7"/>
      <c r="P180" s="7"/>
      <c r="Q180" s="23"/>
      <c r="R180" s="23"/>
      <c r="S180" s="35">
        <f t="shared" si="77"/>
        <v>1</v>
      </c>
      <c r="T180" s="50" t="str">
        <f t="shared" si="63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13:56:55-700',mode:absolute,to:'2016-11-27 16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0" s="52" t="str">
        <f t="shared" si="65"/>
        <v>N</v>
      </c>
      <c r="X180" s="177">
        <f t="shared" si="75"/>
        <v>1</v>
      </c>
      <c r="Y180" s="67">
        <f t="shared" si="66"/>
        <v>0.1004</v>
      </c>
      <c r="Z180" s="67">
        <f t="shared" si="78"/>
        <v>5.8996000000000004</v>
      </c>
      <c r="AA180" s="67">
        <f t="shared" si="67"/>
        <v>5.7992000000000008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8"/>
        <v>1819-27</v>
      </c>
      <c r="AE180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80" s="88" t="str">
        <f t="shared" si="70"/>
        <v>"C:\Program Files (x86)\AstroGrep\AstroGrep.exe" /spath="%USERPROFILE%\AppData\Local\Temp\OnboardLogs" /stypes="app*4025*20161127*" /stext=" 22:.+((SYSTEM_STATE.+slice.+state.+changed )|(ment ac)|(multiple cpu faults)|(system.+state.+changed )|(\[timeout)|(PRM\|1\|D)|(kpr)|(kdp)|(\|lc)|(penalty))" /e /r /s</v>
      </c>
      <c r="AG180" s="1" t="str">
        <f t="shared" si="71"/>
        <v>NW</v>
      </c>
      <c r="AH180" s="92" t="str">
        <f t="shared" si="72"/>
        <v>"%USERPROFILE%\Documents\GitHub\eaglep3\Utilities\RefineRTDCRunTimes.py" --tripid 1819-27 --locoid 4025 --swversion DE.1.0.8.0 --startMP 204:1004 --initTime 2016-11-27T14:56:55 --startdatetime 2016-11-27T15:21:27 --delay 1 --endMP 300:58996 --enddatetime 2016-11-27T15:34:13 --enforcementcount 0 &gt;&gt;C:\Users\stu\Documents\GitHub\eaglep3-reporting\EC\2016-11-27-refined-times.txt</v>
      </c>
      <c r="AI180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{"issue":{"subject":"","project_id":79,"tracker_id":40,"status_id":1,"priority_id":2,"assigned_to_id":23,"start_date":"2016-11-27","description":"","custom_fields":[{"id":1,"name":"Subdivision","value":"NW"},{"id":4,"name":"Milepost","value":"5.8996"},{"id":17,"name":"Train ID","value":"1819-27"},{"id":16,"name":"Locomotive ID","value":"4025"},{"id":130,"name":"Impact","value":""},{"id":150,"name":"Time of Event (Mountain Time)","value":"15:34:13"},{"id":151,"name":"Denver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419</v>
      </c>
      <c r="B181" s="7">
        <v>4026</v>
      </c>
      <c r="C181" s="22" t="s">
        <v>215</v>
      </c>
      <c r="D181" s="22" t="s">
        <v>684</v>
      </c>
      <c r="E181" s="13">
        <v>42701.649942129632</v>
      </c>
      <c r="F181" s="13">
        <v>42701.651377314818</v>
      </c>
      <c r="G181" s="7">
        <v>1</v>
      </c>
      <c r="H181" s="22" t="s">
        <v>301</v>
      </c>
      <c r="I181" s="13">
        <v>42701.663506944446</v>
      </c>
      <c r="J181" s="7">
        <v>0</v>
      </c>
      <c r="K181" s="109" t="str">
        <f t="shared" si="59"/>
        <v>4025/4026</v>
      </c>
      <c r="L181" s="22" t="str">
        <f>VLOOKUP(A181,'Trips&amp;Operators'!$C$1:$E$10000,3,FALSE)</f>
        <v>ADANE</v>
      </c>
      <c r="M181" s="6">
        <f t="shared" si="60"/>
        <v>1.2129629627452232E-2</v>
      </c>
      <c r="N181" s="7">
        <f t="shared" si="76"/>
        <v>17.466666663531214</v>
      </c>
      <c r="O181" s="7"/>
      <c r="P181" s="7"/>
      <c r="Q181" s="23"/>
      <c r="R181" s="23"/>
      <c r="S181" s="35">
        <f t="shared" si="77"/>
        <v>1</v>
      </c>
      <c r="T181" s="50" t="str">
        <f t="shared" si="63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14:35:55-700',mode:absolute,to:'2016-11-27 16:55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1" s="52" t="str">
        <f t="shared" si="65"/>
        <v>N</v>
      </c>
      <c r="X181" s="177">
        <f t="shared" si="75"/>
        <v>1</v>
      </c>
      <c r="Y181" s="67">
        <f t="shared" si="66"/>
        <v>5.8685</v>
      </c>
      <c r="Z181" s="67">
        <f t="shared" si="78"/>
        <v>6.59E-2</v>
      </c>
      <c r="AA181" s="67">
        <f t="shared" si="67"/>
        <v>5.8026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8"/>
        <v>1820-27</v>
      </c>
      <c r="AE181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81" s="88" t="str">
        <f t="shared" si="70"/>
        <v>"C:\Program Files (x86)\AstroGrep\AstroGrep.exe" /spath="%USERPROFILE%\AppData\Local\Temp\OnboardLogs" /stypes="app*4026*20161127*" /stext=" 22:.+((SYSTEM_STATE.+slice.+state.+changed )|(ment ac)|(multiple cpu faults)|(system.+state.+changed )|(\[timeout)|(PRM\|1\|D)|(kpr)|(kdp)|(\|lc)|(penalty))" /e /r /s</v>
      </c>
      <c r="AG181" s="1" t="str">
        <f t="shared" si="71"/>
        <v>NW</v>
      </c>
      <c r="AH181" s="92" t="str">
        <f t="shared" si="72"/>
        <v>"%USERPROFILE%\Documents\GitHub\eaglep3\Utilities\RefineRTDCRunTimes.py" --tripid 1820-27 --locoid 4026 --swversion DE.1.0.8.0 --startMP 300:58685 --initTime 2016-11-27T15:35:55 --startdatetime 2016-11-27T15:37:59 --delay 1 --endMP 204:659 --enddatetime 2016-11-27T15:55:27 --enforcementcount 0 &gt;&gt;C:\Users\stu\Documents\GitHub\eaglep3-reporting\EC\2016-11-27-refined-times.txt</v>
      </c>
      <c r="AI181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{"issue":{"subject":"","project_id":79,"tracker_id":40,"status_id":1,"priority_id":2,"assigned_to_id":23,"start_date":"2016-11-27","description":"","custom_fields":[{"id":1,"name":"Subdivision","value":"NW"},{"id":4,"name":"Milepost","value":"0.0659"},{"id":17,"name":"Train ID","value":"1820-27"},{"id":16,"name":"Locomotive ID","value":"4026"},{"id":130,"name":"Impact","value":""},{"id":150,"name":"Time of Event (Mountain Time)","value":"15:55:27"},{"id":151,"name":"Denver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537</v>
      </c>
      <c r="B182" s="7">
        <v>4025</v>
      </c>
      <c r="C182" s="22" t="s">
        <v>215</v>
      </c>
      <c r="D182" s="22" t="s">
        <v>685</v>
      </c>
      <c r="E182" s="13">
        <v>42701.665659722225</v>
      </c>
      <c r="F182" s="13">
        <v>42701.681666666664</v>
      </c>
      <c r="G182" s="7">
        <v>2</v>
      </c>
      <c r="H182" s="22" t="s">
        <v>682</v>
      </c>
      <c r="I182" s="13">
        <v>42701.690613425926</v>
      </c>
      <c r="J182" s="7">
        <v>0</v>
      </c>
      <c r="K182" s="109" t="str">
        <f t="shared" si="59"/>
        <v>4025/4026</v>
      </c>
      <c r="L182" s="22" t="str">
        <f>VLOOKUP(A182,'Trips&amp;Operators'!$C$1:$E$10000,3,FALSE)</f>
        <v>ADANE</v>
      </c>
      <c r="M182" s="6">
        <f t="shared" si="60"/>
        <v>8.9467592624714598E-3</v>
      </c>
      <c r="N182" s="7">
        <f t="shared" si="76"/>
        <v>12.883333337958902</v>
      </c>
      <c r="O182" s="7"/>
      <c r="P182" s="7"/>
      <c r="Q182" s="23"/>
      <c r="R182" s="23"/>
      <c r="S182" s="35">
        <f t="shared" si="77"/>
        <v>1</v>
      </c>
      <c r="T182" s="50" t="str">
        <f t="shared" si="63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14:58:33-700',mode:absolute,to:'2016-11-27 17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2" s="52" t="str">
        <f t="shared" si="65"/>
        <v>N</v>
      </c>
      <c r="X182" s="177">
        <f t="shared" si="75"/>
        <v>1</v>
      </c>
      <c r="Y182" s="67">
        <f t="shared" si="66"/>
        <v>9.3399999999999997E-2</v>
      </c>
      <c r="Z182" s="67">
        <f t="shared" si="78"/>
        <v>5.8996000000000004</v>
      </c>
      <c r="AA182" s="67">
        <f t="shared" si="67"/>
        <v>5.8062000000000005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8"/>
        <v>1821-27</v>
      </c>
      <c r="AE182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82" s="88" t="str">
        <f t="shared" si="70"/>
        <v>"C:\Program Files (x86)\AstroGrep\AstroGrep.exe" /spath="%USERPROFILE%\AppData\Local\Temp\OnboardLogs" /stypes="app*4025*20161127*" /stext=" 23:.+((SYSTEM_STATE.+slice.+state.+changed )|(ment ac)|(multiple cpu faults)|(system.+state.+changed )|(\[timeout)|(PRM\|1\|D)|(kpr)|(kdp)|(\|lc)|(penalty))" /e /r /s</v>
      </c>
      <c r="AG182" s="1" t="str">
        <f t="shared" si="71"/>
        <v>NW</v>
      </c>
      <c r="AH182" s="92" t="str">
        <f t="shared" si="72"/>
        <v>"%USERPROFILE%\Documents\GitHub\eaglep3\Utilities\RefineRTDCRunTimes.py" --tripid 1821-27 --locoid 4025 --swversion DE.1.0.8.0 --startMP 204:934 --initTime 2016-11-27T15:58:33 --startdatetime 2016-11-27T16:21:36 --delay 2 --endMP 300:58996 --enddatetime 2016-11-27T16:34:29 --enforcementcount 0 &gt;&gt;C:\Users\stu\Documents\GitHub\eaglep3-reporting\EC\2016-11-27-refined-times.txt</v>
      </c>
      <c r="AI182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{"issue":{"subject":"","project_id":79,"tracker_id":40,"status_id":1,"priority_id":2,"assigned_to_id":23,"start_date":"2016-11-27","description":"","custom_fields":[{"id":1,"name":"Subdivision","value":"NW"},{"id":4,"name":"Milepost","value":"5.8996"},{"id":17,"name":"Train ID","value":"1821-27"},{"id":16,"name":"Locomotive ID","value":"4025"},{"id":130,"name":"Impact","value":""},{"id":150,"name":"Time of Event (Mountain Time)","value":"16:34:29"},{"id":151,"name":"Denver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420</v>
      </c>
      <c r="B183" s="7">
        <v>4026</v>
      </c>
      <c r="C183" s="22" t="s">
        <v>215</v>
      </c>
      <c r="D183" s="22" t="s">
        <v>686</v>
      </c>
      <c r="E183" s="13">
        <v>42701.691851851851</v>
      </c>
      <c r="F183" s="13">
        <v>42701.693460648145</v>
      </c>
      <c r="G183" s="7">
        <v>1</v>
      </c>
      <c r="H183" s="22" t="s">
        <v>687</v>
      </c>
      <c r="I183" s="13">
        <v>42701.705324074072</v>
      </c>
      <c r="J183" s="7">
        <v>0</v>
      </c>
      <c r="K183" s="109" t="str">
        <f t="shared" si="59"/>
        <v>4025/4026</v>
      </c>
      <c r="L183" s="22" t="str">
        <f>VLOOKUP(A183,'Trips&amp;Operators'!$C$1:$E$10000,3,FALSE)</f>
        <v>ADANE</v>
      </c>
      <c r="M183" s="6">
        <f t="shared" si="60"/>
        <v>1.1863425927003846E-2</v>
      </c>
      <c r="N183" s="7">
        <f t="shared" si="76"/>
        <v>17.083333334885538</v>
      </c>
      <c r="O183" s="7"/>
      <c r="P183" s="7"/>
      <c r="Q183" s="23"/>
      <c r="R183" s="23"/>
      <c r="S183" s="35">
        <f t="shared" si="77"/>
        <v>1</v>
      </c>
      <c r="T183" s="50" t="str">
        <f t="shared" si="63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15:36:16-700',mode:absolute,to:'2016-11-27 17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3" s="52" t="str">
        <f t="shared" si="65"/>
        <v>N</v>
      </c>
      <c r="X183" s="177">
        <f t="shared" si="75"/>
        <v>1</v>
      </c>
      <c r="Y183" s="67">
        <f t="shared" si="66"/>
        <v>5.8676000000000004</v>
      </c>
      <c r="Z183" s="67">
        <f t="shared" si="78"/>
        <v>6.9400000000000003E-2</v>
      </c>
      <c r="AA183" s="67">
        <f t="shared" si="67"/>
        <v>5.7982000000000005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8"/>
        <v>1822-27</v>
      </c>
      <c r="AE183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83" s="88" t="str">
        <f t="shared" si="70"/>
        <v>"C:\Program Files (x86)\AstroGrep\AstroGrep.exe" /spath="%USERPROFILE%\AppData\Local\Temp\OnboardLogs" /stypes="app*4026*20161127*" /stext=" 23:.+((SYSTEM_STATE.+slice.+state.+changed )|(ment ac)|(multiple cpu faults)|(system.+state.+changed )|(\[timeout)|(PRM\|1\|D)|(kpr)|(kdp)|(\|lc)|(penalty))" /e /r /s</v>
      </c>
      <c r="AG183" s="1" t="str">
        <f t="shared" si="71"/>
        <v>NW</v>
      </c>
      <c r="AH183" s="92" t="str">
        <f t="shared" si="72"/>
        <v>"%USERPROFILE%\Documents\GitHub\eaglep3\Utilities\RefineRTDCRunTimes.py" --tripid 1822-27 --locoid 4026 --swversion DE.1.0.8.0 --startMP 300:58676 --initTime 2016-11-27T16:36:16 --startdatetime 2016-11-27T16:38:35 --delay 1 --endMP 204:694 --enddatetime 2016-11-27T16:55:40 --enforcementcount 0 &gt;&gt;C:\Users\stu\Documents\GitHub\eaglep3-reporting\EC\2016-11-27-refined-times.txt</v>
      </c>
      <c r="AI183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{"issue":{"subject":"","project_id":79,"tracker_id":40,"status_id":1,"priority_id":2,"assigned_to_id":23,"start_date":"2016-11-27","description":"","custom_fields":[{"id":1,"name":"Subdivision","value":"NW"},{"id":4,"name":"Milepost","value":"0.0694"},{"id":17,"name":"Train ID","value":"1822-27"},{"id":16,"name":"Locomotive ID","value":"4026"},{"id":130,"name":"Impact","value":""},{"id":150,"name":"Time of Event (Mountain Time)","value":"16:55:40"},{"id":151,"name":"Denver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547</v>
      </c>
      <c r="B184" s="7">
        <v>4025</v>
      </c>
      <c r="C184" s="22" t="s">
        <v>215</v>
      </c>
      <c r="D184" s="22" t="s">
        <v>688</v>
      </c>
      <c r="E184" s="13">
        <v>42701.706932870373</v>
      </c>
      <c r="F184" s="13">
        <v>42701.723391203705</v>
      </c>
      <c r="G184" s="7">
        <v>1</v>
      </c>
      <c r="H184" s="22" t="s">
        <v>689</v>
      </c>
      <c r="I184" s="13">
        <v>42701.732465277775</v>
      </c>
      <c r="J184" s="7">
        <v>0</v>
      </c>
      <c r="K184" s="109" t="str">
        <f t="shared" si="59"/>
        <v>4025/4026</v>
      </c>
      <c r="L184" s="22" t="str">
        <f>VLOOKUP(A184,'Trips&amp;Operators'!$C$1:$E$10000,3,FALSE)</f>
        <v>ADANE</v>
      </c>
      <c r="M184" s="6">
        <f t="shared" si="60"/>
        <v>9.074074070667848E-3</v>
      </c>
      <c r="N184" s="7">
        <f t="shared" si="76"/>
        <v>13.066666661761701</v>
      </c>
      <c r="O184" s="7"/>
      <c r="P184" s="7"/>
      <c r="Q184" s="23"/>
      <c r="R184" s="23"/>
      <c r="S184" s="35">
        <f t="shared" si="77"/>
        <v>1</v>
      </c>
      <c r="T184" s="50" t="str">
        <f t="shared" si="63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15:57:59-700',mode:absolute,to:'2016-11-27 18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4" s="52" t="str">
        <f t="shared" si="65"/>
        <v>N</v>
      </c>
      <c r="X184" s="177">
        <f t="shared" si="75"/>
        <v>1</v>
      </c>
      <c r="Y184" s="67">
        <f t="shared" si="66"/>
        <v>9.8799999999999999E-2</v>
      </c>
      <c r="Z184" s="67">
        <f t="shared" si="78"/>
        <v>5.8997000000000002</v>
      </c>
      <c r="AA184" s="67">
        <f t="shared" si="67"/>
        <v>5.8009000000000004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8"/>
        <v>1823-27</v>
      </c>
      <c r="AE184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84" s="88" t="str">
        <f t="shared" si="70"/>
        <v>"C:\Program Files (x86)\AstroGrep\AstroGrep.exe" /spath="%USERPROFILE%\AppData\Local\Temp\OnboardLogs" /stypes="app*4025*20161128*" /stext=" 00:.+((SYSTEM_STATE.+slice.+state.+changed )|(ment ac)|(multiple cpu faults)|(system.+state.+changed )|(\[timeout)|(PRM\|1\|D)|(kpr)|(kdp)|(\|lc)|(penalty))" /e /r /s</v>
      </c>
      <c r="AG184" s="1" t="str">
        <f t="shared" si="71"/>
        <v>NW</v>
      </c>
      <c r="AH184" s="92" t="str">
        <f t="shared" si="72"/>
        <v>"%USERPROFILE%\Documents\GitHub\eaglep3\Utilities\RefineRTDCRunTimes.py" --tripid 1823-27 --locoid 4025 --swversion DE.1.0.8.0 --startMP 204:988 --initTime 2016-11-27T16:57:59 --startdatetime 2016-11-27T17:21:41 --delay 1 --endMP 300:58997 --enddatetime 2016-11-27T17:34:45 --enforcementcount 0 &gt;&gt;C:\Users\stu\Documents\GitHub\eaglep3-reporting\EC\2016-11-27-refined-times.txt</v>
      </c>
      <c r="AI184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{"issue":{"subject":"","project_id":79,"tracker_id":40,"status_id":1,"priority_id":2,"assigned_to_id":23,"start_date":"2016-11-27","description":"","custom_fields":[{"id":1,"name":"Subdivision","value":"NW"},{"id":4,"name":"Milepost","value":"5.8997"},{"id":17,"name":"Train ID","value":"1823-27"},{"id":16,"name":"Locomotive ID","value":"4025"},{"id":130,"name":"Impact","value":""},{"id":150,"name":"Time of Event (Mountain Time)","value":"17:34:45"},{"id":151,"name":"Denver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422</v>
      </c>
      <c r="B185" s="7">
        <v>4026</v>
      </c>
      <c r="C185" s="22" t="s">
        <v>215</v>
      </c>
      <c r="D185" s="22" t="s">
        <v>386</v>
      </c>
      <c r="E185" s="13">
        <v>42701.733969907407</v>
      </c>
      <c r="F185" s="13">
        <v>42701.735393518517</v>
      </c>
      <c r="G185" s="7">
        <v>1</v>
      </c>
      <c r="H185" s="22" t="s">
        <v>690</v>
      </c>
      <c r="I185" s="13">
        <v>42701.746631944443</v>
      </c>
      <c r="J185" s="7">
        <v>0</v>
      </c>
      <c r="K185" s="109" t="str">
        <f t="shared" si="59"/>
        <v>4025/4026</v>
      </c>
      <c r="L185" s="22" t="str">
        <f>VLOOKUP(A185,'Trips&amp;Operators'!$C$1:$E$10000,3,FALSE)</f>
        <v>ADANE</v>
      </c>
      <c r="M185" s="6">
        <f t="shared" si="60"/>
        <v>1.1238425926421769E-2</v>
      </c>
      <c r="N185" s="7">
        <f t="shared" si="76"/>
        <v>16.183333334047347</v>
      </c>
      <c r="O185" s="7"/>
      <c r="P185" s="7"/>
      <c r="Q185" s="23"/>
      <c r="R185" s="23"/>
      <c r="S185" s="35">
        <f t="shared" si="77"/>
        <v>1</v>
      </c>
      <c r="T185" s="50" t="str">
        <f t="shared" si="63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16:36:55-700',mode:absolute,to:'2016-11-27 18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5" s="52" t="str">
        <f t="shared" si="65"/>
        <v>N</v>
      </c>
      <c r="X185" s="177">
        <f t="shared" si="75"/>
        <v>1</v>
      </c>
      <c r="Y185" s="67">
        <f t="shared" si="66"/>
        <v>5.8672000000000004</v>
      </c>
      <c r="Z185" s="67">
        <f t="shared" si="78"/>
        <v>6.8400000000000002E-2</v>
      </c>
      <c r="AA185" s="67">
        <f t="shared" si="67"/>
        <v>5.7988000000000008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8"/>
        <v>1824-27</v>
      </c>
      <c r="AE185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85" s="88" t="str">
        <f t="shared" si="70"/>
        <v>"C:\Program Files (x86)\AstroGrep\AstroGrep.exe" /spath="%USERPROFILE%\AppData\Local\Temp\OnboardLogs" /stypes="app*4026*20161128*" /stext=" 00:.+((SYSTEM_STATE.+slice.+state.+changed )|(ment ac)|(multiple cpu faults)|(system.+state.+changed )|(\[timeout)|(PRM\|1\|D)|(kpr)|(kdp)|(\|lc)|(penalty))" /e /r /s</v>
      </c>
      <c r="AG185" s="1" t="str">
        <f t="shared" si="71"/>
        <v>NW</v>
      </c>
      <c r="AH185" s="92" t="str">
        <f t="shared" si="72"/>
        <v>"%USERPROFILE%\Documents\GitHub\eaglep3\Utilities\RefineRTDCRunTimes.py" --tripid 1824-27 --locoid 4026 --swversion DE.1.0.8.0 --startMP 300:58672 --initTime 2016-11-27T17:36:55 --startdatetime 2016-11-27T17:38:58 --delay 1 --endMP 204:684 --enddatetime 2016-11-27T17:55:09 --enforcementcount 0 &gt;&gt;C:\Users\stu\Documents\GitHub\eaglep3-reporting\EC\2016-11-27-refined-times.txt</v>
      </c>
      <c r="AI185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{"issue":{"subject":"","project_id":79,"tracker_id":40,"status_id":1,"priority_id":2,"assigned_to_id":23,"start_date":"2016-11-27","description":"","custom_fields":[{"id":1,"name":"Subdivision","value":"NW"},{"id":4,"name":"Milepost","value":"0.0684"},{"id":17,"name":"Train ID","value":"1824-27"},{"id":16,"name":"Locomotive ID","value":"4026"},{"id":130,"name":"Impact","value":""},{"id":150,"name":"Time of Event (Mountain Time)","value":"17:55:09"},{"id":151,"name":"Denver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559</v>
      </c>
      <c r="B186" s="7">
        <v>4025</v>
      </c>
      <c r="C186" s="22" t="s">
        <v>215</v>
      </c>
      <c r="D186" s="22" t="s">
        <v>383</v>
      </c>
      <c r="E186" s="13">
        <v>42701.748969907407</v>
      </c>
      <c r="F186" s="13">
        <v>42701.765011574076</v>
      </c>
      <c r="G186" s="7">
        <v>1</v>
      </c>
      <c r="H186" s="22" t="s">
        <v>691</v>
      </c>
      <c r="I186" s="13">
        <v>42701.774016203701</v>
      </c>
      <c r="J186" s="7">
        <v>0</v>
      </c>
      <c r="K186" s="109" t="str">
        <f t="shared" si="59"/>
        <v>4025/4026</v>
      </c>
      <c r="L186" s="22" t="str">
        <f>VLOOKUP(A186,'Trips&amp;Operators'!$C$1:$E$10000,3,FALSE)</f>
        <v>ADANE</v>
      </c>
      <c r="M186" s="6">
        <f t="shared" si="60"/>
        <v>9.0046296245418489E-3</v>
      </c>
      <c r="N186" s="7">
        <f t="shared" si="76"/>
        <v>12.966666659340262</v>
      </c>
      <c r="O186" s="7"/>
      <c r="P186" s="7"/>
      <c r="Q186" s="23"/>
      <c r="R186" s="23"/>
      <c r="S186" s="35">
        <f t="shared" si="77"/>
        <v>1</v>
      </c>
      <c r="T186" s="50" t="str">
        <f t="shared" si="63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16:58:31-700',mode:absolute,to:'2016-11-27 19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6" s="52" t="str">
        <f t="shared" si="65"/>
        <v>N</v>
      </c>
      <c r="X186" s="177">
        <f t="shared" si="75"/>
        <v>1</v>
      </c>
      <c r="Y186" s="67">
        <f t="shared" si="66"/>
        <v>9.7199999999999995E-2</v>
      </c>
      <c r="Z186" s="67">
        <f t="shared" si="78"/>
        <v>5.9013</v>
      </c>
      <c r="AA186" s="67">
        <f t="shared" si="67"/>
        <v>5.8041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8"/>
        <v>1825-27</v>
      </c>
      <c r="AE186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86" s="88" t="str">
        <f t="shared" si="70"/>
        <v>"C:\Program Files (x86)\AstroGrep\AstroGrep.exe" /spath="%USERPROFILE%\AppData\Local\Temp\OnboardLogs" /stypes="app*4025*20161128*" /stext=" 01:.+((SYSTEM_STATE.+slice.+state.+changed )|(ment ac)|(multiple cpu faults)|(system.+state.+changed )|(\[timeout)|(PRM\|1\|D)|(kpr)|(kdp)|(\|lc)|(penalty))" /e /r /s</v>
      </c>
      <c r="AG186" s="1" t="str">
        <f t="shared" si="71"/>
        <v>NW</v>
      </c>
      <c r="AH186" s="92" t="str">
        <f t="shared" si="72"/>
        <v>"%USERPROFILE%\Documents\GitHub\eaglep3\Utilities\RefineRTDCRunTimes.py" --tripid 1825-27 --locoid 4025 --swversion DE.1.0.8.0 --startMP 204:972 --initTime 2016-11-27T17:58:31 --startdatetime 2016-11-27T18:21:37 --delay 1 --endMP 300:59013 --enddatetime 2016-11-27T18:34:35 --enforcementcount 0 &gt;&gt;C:\Users\stu\Documents\GitHub\eaglep3-reporting\EC\2016-11-27-refined-times.txt</v>
      </c>
      <c r="AI186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{"issue":{"subject":"","project_id":79,"tracker_id":40,"status_id":1,"priority_id":2,"assigned_to_id":23,"start_date":"2016-11-27","description":"","custom_fields":[{"id":1,"name":"Subdivision","value":"NW"},{"id":4,"name":"Milepost","value":"5.9013"},{"id":17,"name":"Train ID","value":"1825-27"},{"id":16,"name":"Locomotive ID","value":"4025"},{"id":130,"name":"Impact","value":""},{"id":150,"name":"Time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425</v>
      </c>
      <c r="B187" s="7">
        <v>4026</v>
      </c>
      <c r="C187" s="22" t="s">
        <v>215</v>
      </c>
      <c r="D187" s="22" t="s">
        <v>692</v>
      </c>
      <c r="E187" s="13">
        <v>42701.775300925925</v>
      </c>
      <c r="F187" s="13">
        <v>42701.776736111111</v>
      </c>
      <c r="G187" s="7">
        <v>1</v>
      </c>
      <c r="H187" s="22" t="s">
        <v>693</v>
      </c>
      <c r="I187" s="13">
        <v>42701.787800925929</v>
      </c>
      <c r="J187" s="7">
        <v>0</v>
      </c>
      <c r="K187" s="109" t="str">
        <f t="shared" si="59"/>
        <v>4025/4026</v>
      </c>
      <c r="L187" s="22" t="str">
        <f>VLOOKUP(A187,'Trips&amp;Operators'!$C$1:$E$10000,3,FALSE)</f>
        <v>ADANE</v>
      </c>
      <c r="M187" s="6">
        <f t="shared" si="60"/>
        <v>1.1064814818382729E-2</v>
      </c>
      <c r="N187" s="7">
        <f t="shared" si="76"/>
        <v>15.93333333847113</v>
      </c>
      <c r="O187" s="7"/>
      <c r="P187" s="7"/>
      <c r="Q187" s="23"/>
      <c r="R187" s="23"/>
      <c r="S187" s="35">
        <f t="shared" si="77"/>
        <v>1</v>
      </c>
      <c r="T187" s="50" t="str">
        <f t="shared" si="63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17:36:26-700',mode:absolute,to:'2016-11-27 19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7" s="52" t="str">
        <f t="shared" si="65"/>
        <v>N</v>
      </c>
      <c r="X187" s="177">
        <f t="shared" si="75"/>
        <v>1</v>
      </c>
      <c r="Y187" s="67">
        <f t="shared" si="66"/>
        <v>5.8695000000000004</v>
      </c>
      <c r="Z187" s="67">
        <f t="shared" si="78"/>
        <v>6.7299999999999999E-2</v>
      </c>
      <c r="AA187" s="67">
        <f t="shared" si="67"/>
        <v>5.8022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8"/>
        <v>1826-27</v>
      </c>
      <c r="AE187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87" s="88" t="str">
        <f t="shared" si="70"/>
        <v>"C:\Program Files (x86)\AstroGrep\AstroGrep.exe" /spath="%USERPROFILE%\AppData\Local\Temp\OnboardLogs" /stypes="app*4026*20161128*" /stext=" 01:.+((SYSTEM_STATE.+slice.+state.+changed )|(ment ac)|(multiple cpu faults)|(system.+state.+changed )|(\[timeout)|(PRM\|1\|D)|(kpr)|(kdp)|(\|lc)|(penalty))" /e /r /s</v>
      </c>
      <c r="AG187" s="1" t="str">
        <f t="shared" si="71"/>
        <v>NW</v>
      </c>
      <c r="AH187" s="92" t="str">
        <f t="shared" si="72"/>
        <v>"%USERPROFILE%\Documents\GitHub\eaglep3\Utilities\RefineRTDCRunTimes.py" --tripid 1826-27 --locoid 4026 --swversion DE.1.0.8.0 --startMP 300:58695 --initTime 2016-11-27T18:36:26 --startdatetime 2016-11-27T18:38:30 --delay 1 --endMP 204:673 --enddatetime 2016-11-27T18:54:26 --enforcementcount 0 &gt;&gt;C:\Users\stu\Documents\GitHub\eaglep3-reporting\EC\2016-11-27-refined-times.txt</v>
      </c>
      <c r="AI187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{"issue":{"subject":"","project_id":79,"tracker_id":40,"status_id":1,"priority_id":2,"assigned_to_id":23,"start_date":"2016-11-27","description":"","custom_fields":[{"id":1,"name":"Subdivision","value":"NW"},{"id":4,"name":"Milepost","value":"0.0673"},{"id":17,"name":"Train ID","value":"1826-27"},{"id":16,"name":"Locomotive ID","value":"4026"},{"id":130,"name":"Impact","value":""},{"id":150,"name":"Time of Event (Mountain Time)","value":"18:54:26"},{"id":151,"name":"Denver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569</v>
      </c>
      <c r="B188" s="7">
        <v>4025</v>
      </c>
      <c r="C188" s="22" t="s">
        <v>215</v>
      </c>
      <c r="D188" s="22" t="s">
        <v>385</v>
      </c>
      <c r="E188" s="13">
        <v>42701.790196759262</v>
      </c>
      <c r="F188" s="13">
        <v>42701.806655092594</v>
      </c>
      <c r="G188" s="7">
        <v>2</v>
      </c>
      <c r="H188" s="22" t="s">
        <v>387</v>
      </c>
      <c r="I188" s="13">
        <v>42701.81591435185</v>
      </c>
      <c r="J188" s="7">
        <v>0</v>
      </c>
      <c r="K188" s="109" t="str">
        <f t="shared" si="59"/>
        <v>4025/4026</v>
      </c>
      <c r="L188" s="22" t="str">
        <f>VLOOKUP(A188,'Trips&amp;Operators'!$C$1:$E$10000,3,FALSE)</f>
        <v>ADANE</v>
      </c>
      <c r="M188" s="6">
        <f t="shared" si="60"/>
        <v>9.2592592554865405E-3</v>
      </c>
      <c r="N188" s="7">
        <f t="shared" si="76"/>
        <v>13.333333327900618</v>
      </c>
      <c r="O188" s="7"/>
      <c r="P188" s="7"/>
      <c r="Q188" s="23"/>
      <c r="R188" s="23"/>
      <c r="S188" s="35">
        <f t="shared" si="77"/>
        <v>1</v>
      </c>
      <c r="T188" s="50" t="str">
        <f t="shared" si="63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17:57:53-700',mode:absolute,to:'2016-11-27 20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8" s="52" t="str">
        <f t="shared" si="65"/>
        <v>N</v>
      </c>
      <c r="X188" s="177">
        <f t="shared" si="75"/>
        <v>1</v>
      </c>
      <c r="Y188" s="67">
        <f t="shared" si="66"/>
        <v>9.6199999999999994E-2</v>
      </c>
      <c r="Z188" s="67">
        <f t="shared" si="78"/>
        <v>5.8992000000000004</v>
      </c>
      <c r="AA188" s="67">
        <f t="shared" si="67"/>
        <v>5.8030000000000008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8"/>
        <v>1827-27</v>
      </c>
      <c r="AE188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88" s="88" t="str">
        <f t="shared" si="70"/>
        <v>"C:\Program Files (x86)\AstroGrep\AstroGrep.exe" /spath="%USERPROFILE%\AppData\Local\Temp\OnboardLogs" /stypes="app*4025*20161128*" /stext=" 02:.+((SYSTEM_STATE.+slice.+state.+changed )|(ment ac)|(multiple cpu faults)|(system.+state.+changed )|(\[timeout)|(PRM\|1\|D)|(kpr)|(kdp)|(\|lc)|(penalty))" /e /r /s</v>
      </c>
      <c r="AG188" s="1" t="str">
        <f t="shared" si="71"/>
        <v>NW</v>
      </c>
      <c r="AH188" s="92" t="str">
        <f t="shared" si="72"/>
        <v>"%USERPROFILE%\Documents\GitHub\eaglep3\Utilities\RefineRTDCRunTimes.py" --tripid 1827-27 --locoid 4025 --swversion DE.1.0.8.0 --startMP 204:962 --initTime 2016-11-27T18:57:53 --startdatetime 2016-11-27T19:21:35 --delay 2 --endMP 300:58992 --enddatetime 2016-11-27T19:34:55 --enforcementcount 0 &gt;&gt;C:\Users\stu\Documents\GitHub\eaglep3-reporting\EC\2016-11-27-refined-times.txt</v>
      </c>
      <c r="AI188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{"issue":{"subject":"","project_id":79,"tracker_id":40,"status_id":1,"priority_id":2,"assigned_to_id":23,"start_date":"2016-11-27","description":"","custom_fields":[{"id":1,"name":"Subdivision","value":"NW"},{"id":4,"name":"Milepost","value":"5.8992"},{"id":17,"name":"Train ID","value":"1827-27"},{"id":16,"name":"Locomotive ID","value":"4025"},{"id":130,"name":"Impact","value":""},{"id":150,"name":"Time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426</v>
      </c>
      <c r="B189" s="7">
        <v>4026</v>
      </c>
      <c r="C189" s="22" t="s">
        <v>215</v>
      </c>
      <c r="D189" s="22" t="s">
        <v>694</v>
      </c>
      <c r="E189" s="13">
        <v>42701.817106481481</v>
      </c>
      <c r="F189" s="13">
        <v>42701.819155092591</v>
      </c>
      <c r="G189" s="7">
        <v>1</v>
      </c>
      <c r="H189" s="22" t="s">
        <v>372</v>
      </c>
      <c r="I189" s="13">
        <v>42701.830497685187</v>
      </c>
      <c r="J189" s="7">
        <v>0</v>
      </c>
      <c r="K189" s="109" t="str">
        <f t="shared" si="59"/>
        <v>4025/4026</v>
      </c>
      <c r="L189" s="22" t="str">
        <f>VLOOKUP(A189,'Trips&amp;Operators'!$C$1:$E$10000,3,FALSE)</f>
        <v>ADANE</v>
      </c>
      <c r="M189" s="6">
        <f t="shared" si="60"/>
        <v>1.1342592595610768E-2</v>
      </c>
      <c r="N189" s="7">
        <f t="shared" si="76"/>
        <v>16.333333337679505</v>
      </c>
      <c r="O189" s="7"/>
      <c r="P189" s="7"/>
      <c r="Q189" s="23"/>
      <c r="R189" s="23"/>
      <c r="S189" s="35">
        <f t="shared" si="77"/>
        <v>1</v>
      </c>
      <c r="T189" s="50" t="str">
        <f t="shared" si="63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18:36:38-700',mode:absolute,to:'2016-11-27 20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9" s="52" t="str">
        <f t="shared" si="65"/>
        <v>N</v>
      </c>
      <c r="X189" s="177">
        <f t="shared" si="75"/>
        <v>1</v>
      </c>
      <c r="Y189" s="67">
        <f t="shared" si="66"/>
        <v>5.867</v>
      </c>
      <c r="Z189" s="67">
        <f t="shared" si="78"/>
        <v>7.17E-2</v>
      </c>
      <c r="AA189" s="67">
        <f t="shared" si="67"/>
        <v>5.7953000000000001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8"/>
        <v>1828-27</v>
      </c>
      <c r="AE189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89" s="88" t="str">
        <f t="shared" si="70"/>
        <v>"C:\Program Files (x86)\AstroGrep\AstroGrep.exe" /spath="%USERPROFILE%\AppData\Local\Temp\OnboardLogs" /stypes="app*4026*20161128*" /stext=" 02:.+((SYSTEM_STATE.+slice.+state.+changed )|(ment ac)|(multiple cpu faults)|(system.+state.+changed )|(\[timeout)|(PRM\|1\|D)|(kpr)|(kdp)|(\|lc)|(penalty))" /e /r /s</v>
      </c>
      <c r="AG189" s="1" t="str">
        <f t="shared" si="71"/>
        <v>NW</v>
      </c>
      <c r="AH189" s="92" t="str">
        <f t="shared" si="72"/>
        <v>"%USERPROFILE%\Documents\GitHub\eaglep3\Utilities\RefineRTDCRunTimes.py" --tripid 1828-27 --locoid 4026 --swversion DE.1.0.8.0 --startMP 300:58670 --initTime 2016-11-27T19:36:38 --startdatetime 2016-11-27T19:39:35 --delay 1 --endMP 204:717 --enddatetime 2016-11-27T19:55:55 --enforcementcount 0 &gt;&gt;C:\Users\stu\Documents\GitHub\eaglep3-reporting\EC\2016-11-27-refined-times.txt</v>
      </c>
      <c r="AI189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{"issue":{"subject":"","project_id":79,"tracker_id":40,"status_id":1,"priority_id":2,"assigned_to_id":23,"start_date":"2016-11-27","description":"","custom_fields":[{"id":1,"name":"Subdivision","value":"NW"},{"id":4,"name":"Milepost","value":"0.0717"},{"id":17,"name":"Train ID","value":"1828-27"},{"id":16,"name":"Locomotive ID","value":"4026"},{"id":130,"name":"Impact","value":""},{"id":150,"name":"Time of Event (Mountain Time)","value":"19:55:55"},{"id":151,"name":"Denver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574</v>
      </c>
      <c r="B190" s="7">
        <v>4025</v>
      </c>
      <c r="C190" s="22" t="s">
        <v>215</v>
      </c>
      <c r="D190" s="22" t="s">
        <v>688</v>
      </c>
      <c r="E190" s="13">
        <v>42701.832025462965</v>
      </c>
      <c r="F190" s="13">
        <v>42701.848287037035</v>
      </c>
      <c r="G190" s="7">
        <v>1</v>
      </c>
      <c r="H190" s="22" t="s">
        <v>691</v>
      </c>
      <c r="I190" s="13">
        <v>42701.85732638889</v>
      </c>
      <c r="J190" s="7">
        <v>0</v>
      </c>
      <c r="K190" s="109" t="str">
        <f t="shared" si="59"/>
        <v>4025/4026</v>
      </c>
      <c r="L190" s="22" t="str">
        <f>VLOOKUP(A190,'Trips&amp;Operators'!$C$1:$E$10000,3,FALSE)</f>
        <v>ADANE</v>
      </c>
      <c r="M190" s="6">
        <f t="shared" si="60"/>
        <v>9.0393518548808061E-3</v>
      </c>
      <c r="N190" s="7">
        <f t="shared" si="76"/>
        <v>13.016666671028361</v>
      </c>
      <c r="O190" s="7"/>
      <c r="P190" s="7"/>
      <c r="Q190" s="23"/>
      <c r="R190" s="23"/>
      <c r="S190" s="35">
        <f t="shared" si="77"/>
        <v>1</v>
      </c>
      <c r="T190" s="50" t="str">
        <f t="shared" si="63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18:58:07-700',mode:absolute,to:'2016-11-27 21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0" s="52" t="str">
        <f t="shared" si="65"/>
        <v>N</v>
      </c>
      <c r="X190" s="177">
        <f t="shared" si="75"/>
        <v>1</v>
      </c>
      <c r="Y190" s="67">
        <f t="shared" si="66"/>
        <v>9.8799999999999999E-2</v>
      </c>
      <c r="Z190" s="67">
        <f t="shared" si="78"/>
        <v>5.9013</v>
      </c>
      <c r="AA190" s="67">
        <f t="shared" si="67"/>
        <v>5.8025000000000002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8"/>
        <v>1829-27</v>
      </c>
      <c r="AE190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90" s="88" t="str">
        <f t="shared" si="70"/>
        <v>"C:\Program Files (x86)\AstroGrep\AstroGrep.exe" /spath="%USERPROFILE%\AppData\Local\Temp\OnboardLogs" /stypes="app*4025*20161128*" /stext=" 03:.+((SYSTEM_STATE.+slice.+state.+changed )|(ment ac)|(multiple cpu faults)|(system.+state.+changed )|(\[timeout)|(PRM\|1\|D)|(kpr)|(kdp)|(\|lc)|(penalty))" /e /r /s</v>
      </c>
      <c r="AG190" s="1" t="str">
        <f t="shared" si="71"/>
        <v>NW</v>
      </c>
      <c r="AH190" s="92" t="str">
        <f t="shared" si="72"/>
        <v>"%USERPROFILE%\Documents\GitHub\eaglep3\Utilities\RefineRTDCRunTimes.py" --tripid 1829-27 --locoid 4025 --swversion DE.1.0.8.0 --startMP 204:988 --initTime 2016-11-27T19:58:07 --startdatetime 2016-11-27T20:21:32 --delay 1 --endMP 300:59013 --enddatetime 2016-11-27T20:34:33 --enforcementcount 0 &gt;&gt;C:\Users\stu\Documents\GitHub\eaglep3-reporting\EC\2016-11-27-refined-times.txt</v>
      </c>
      <c r="AI190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{"issue":{"subject":"","project_id":79,"tracker_id":40,"status_id":1,"priority_id":2,"assigned_to_id":23,"start_date":"2016-11-27","description":"","custom_fields":[{"id":1,"name":"Subdivision","value":"NW"},{"id":4,"name":"Milepost","value":"5.9013"},{"id":17,"name":"Train ID","value":"1829-27"},{"id":16,"name":"Locomotive ID","value":"4025"},{"id":130,"name":"Impact","value":""},{"id":150,"name":"Time of Event (Mountain Time)","value":"20:34:33"},{"id":151,"name":"Denver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578</v>
      </c>
      <c r="B191" s="7">
        <v>4026</v>
      </c>
      <c r="C191" s="22" t="s">
        <v>215</v>
      </c>
      <c r="D191" s="22" t="s">
        <v>697</v>
      </c>
      <c r="E191" s="13">
        <v>42701.858287037037</v>
      </c>
      <c r="F191" s="13">
        <v>42701.860254629632</v>
      </c>
      <c r="G191" s="7">
        <v>2</v>
      </c>
      <c r="H191" s="22" t="s">
        <v>698</v>
      </c>
      <c r="I191" s="13">
        <v>42701.87127314815</v>
      </c>
      <c r="J191" s="7">
        <v>0</v>
      </c>
      <c r="K191" s="109" t="str">
        <f t="shared" si="59"/>
        <v>4025/4026</v>
      </c>
      <c r="L191" s="22" t="str">
        <f>VLOOKUP(A191,'Trips&amp;Operators'!$C$1:$E$10000,3,FALSE)</f>
        <v>ADANE</v>
      </c>
      <c r="M191" s="6">
        <f t="shared" si="60"/>
        <v>1.1018518518540077E-2</v>
      </c>
      <c r="N191" s="7">
        <f t="shared" si="76"/>
        <v>15.866666666697711</v>
      </c>
      <c r="O191" s="7"/>
      <c r="P191" s="7"/>
      <c r="Q191" s="23"/>
      <c r="R191" s="23"/>
      <c r="S191" s="35">
        <f t="shared" si="77"/>
        <v>1</v>
      </c>
      <c r="T191" s="50" t="str">
        <f t="shared" si="63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19:35:56-700',mode:absolute,to:'2016-11-27 21:54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1" s="52" t="str">
        <f t="shared" si="65"/>
        <v>N</v>
      </c>
      <c r="X191" s="177">
        <f t="shared" si="75"/>
        <v>1</v>
      </c>
      <c r="Y191" s="67">
        <f t="shared" si="66"/>
        <v>5.8691000000000004</v>
      </c>
      <c r="Z191" s="67">
        <f t="shared" si="78"/>
        <v>7.1900000000000006E-2</v>
      </c>
      <c r="AA191" s="67">
        <f t="shared" si="67"/>
        <v>5.7972000000000001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8"/>
        <v>1830-27</v>
      </c>
      <c r="AE191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91" s="88" t="str">
        <f t="shared" si="70"/>
        <v>"C:\Program Files (x86)\AstroGrep\AstroGrep.exe" /spath="%USERPROFILE%\AppData\Local\Temp\OnboardLogs" /stypes="app*4026*20161128*" /stext=" 03:.+((SYSTEM_STATE.+slice.+state.+changed )|(ment ac)|(multiple cpu faults)|(system.+state.+changed )|(\[timeout)|(PRM\|1\|D)|(kpr)|(kdp)|(\|lc)|(penalty))" /e /r /s</v>
      </c>
      <c r="AG191" s="1" t="str">
        <f t="shared" si="71"/>
        <v>NW</v>
      </c>
      <c r="AH191" s="92" t="str">
        <f t="shared" si="72"/>
        <v>"%USERPROFILE%\Documents\GitHub\eaglep3\Utilities\RefineRTDCRunTimes.py" --tripid 1830-27 --locoid 4026 --swversion DE.1.0.8.0 --startMP 300:58691 --initTime 2016-11-27T20:35:56 --startdatetime 2016-11-27T20:38:46 --delay 2 --endMP 204:719 --enddatetime 2016-11-27T20:54:38 --enforcementcount 0 &gt;&gt;C:\Users\stu\Documents\GitHub\eaglep3-reporting\EC\2016-11-27-refined-times.txt</v>
      </c>
      <c r="AI191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{"issue":{"subject":"","project_id":79,"tracker_id":40,"status_id":1,"priority_id":2,"assigned_to_id":23,"start_date":"2016-11-27","description":"","custom_fields":[{"id":1,"name":"Subdivision","value":"NW"},{"id":4,"name":"Milepost","value":"0.0719"},{"id":17,"name":"Train ID","value":"1830-27"},{"id":16,"name":"Locomotive ID","value":"4026"},{"id":130,"name":"Impact","value":""},{"id":150,"name":"Time of Event (Mountain Time)","value":"20:54:38"},{"id":151,"name":"Denver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580</v>
      </c>
      <c r="B192" s="7">
        <v>4025</v>
      </c>
      <c r="C192" s="22" t="s">
        <v>215</v>
      </c>
      <c r="D192" s="22" t="s">
        <v>699</v>
      </c>
      <c r="E192" s="13">
        <v>42701.873032407406</v>
      </c>
      <c r="F192" s="13">
        <v>42701.889930555553</v>
      </c>
      <c r="G192" s="7">
        <v>1</v>
      </c>
      <c r="H192" s="22" t="s">
        <v>700</v>
      </c>
      <c r="I192" s="13">
        <v>42701.898923611108</v>
      </c>
      <c r="J192" s="7">
        <v>0</v>
      </c>
      <c r="K192" s="109" t="str">
        <f t="shared" si="59"/>
        <v>4025/4026</v>
      </c>
      <c r="L192" s="22" t="str">
        <f>VLOOKUP(A192,'Trips&amp;Operators'!$C$1:$E$10000,3,FALSE)</f>
        <v>ADANE</v>
      </c>
      <c r="M192" s="6">
        <f t="shared" si="60"/>
        <v>8.9930555550381541E-3</v>
      </c>
      <c r="N192" s="7">
        <f t="shared" si="76"/>
        <v>12.949999999254942</v>
      </c>
      <c r="O192" s="7"/>
      <c r="P192" s="7"/>
      <c r="Q192" s="23"/>
      <c r="R192" s="23"/>
      <c r="S192" s="35">
        <f t="shared" si="77"/>
        <v>1</v>
      </c>
      <c r="T192" s="50" t="str">
        <f t="shared" si="63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19:57:10-700',mode:absolute,to:'2016-11-27 22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2" s="52" t="str">
        <f t="shared" si="65"/>
        <v>N</v>
      </c>
      <c r="X192" s="177">
        <f t="shared" si="75"/>
        <v>1</v>
      </c>
      <c r="Y192" s="67">
        <f t="shared" si="66"/>
        <v>0.1023</v>
      </c>
      <c r="Z192" s="67">
        <f t="shared" si="78"/>
        <v>5.8973000000000004</v>
      </c>
      <c r="AA192" s="67">
        <f t="shared" si="67"/>
        <v>5.7950000000000008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8"/>
        <v>1831-27</v>
      </c>
      <c r="AE192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92" s="88" t="str">
        <f t="shared" si="70"/>
        <v>"C:\Program Files (x86)\AstroGrep\AstroGrep.exe" /spath="%USERPROFILE%\AppData\Local\Temp\OnboardLogs" /stypes="app*4025*20161128*" /stext=" 04:.+((SYSTEM_STATE.+slice.+state.+changed )|(ment ac)|(multiple cpu faults)|(system.+state.+changed )|(\[timeout)|(PRM\|1\|D)|(kpr)|(kdp)|(\|lc)|(penalty))" /e /r /s</v>
      </c>
      <c r="AG192" s="1" t="str">
        <f t="shared" si="71"/>
        <v>NW</v>
      </c>
      <c r="AH192" s="92" t="str">
        <f t="shared" si="72"/>
        <v>"%USERPROFILE%\Documents\GitHub\eaglep3\Utilities\RefineRTDCRunTimes.py" --tripid 1831-27 --locoid 4025 --swversion DE.1.0.8.0 --startMP 204:1023 --initTime 2016-11-27T20:57:10 --startdatetime 2016-11-27T21:21:30 --delay 1 --endMP 300:58973 --enddatetime 2016-11-27T21:34:27 --enforcementcount 0 &gt;&gt;C:\Users\stu\Documents\GitHub\eaglep3-reporting\EC\2016-11-27-refined-times.txt</v>
      </c>
      <c r="AI192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{"issue":{"subject":"","project_id":79,"tracker_id":40,"status_id":1,"priority_id":2,"assigned_to_id":23,"start_date":"2016-11-27","description":"","custom_fields":[{"id":1,"name":"Subdivision","value":"NW"},{"id":4,"name":"Milepost","value":"5.8973"},{"id":17,"name":"Train ID","value":"1831-27"},{"id":16,"name":"Locomotive ID","value":"4025"},{"id":130,"name":"Impact","value":""},{"id":150,"name":"Time of Event (Mountain Time)","value":"21:34:27"},{"id":151,"name":"Denver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428</v>
      </c>
      <c r="B193" s="7">
        <v>4026</v>
      </c>
      <c r="C193" s="22" t="s">
        <v>215</v>
      </c>
      <c r="D193" s="22" t="s">
        <v>388</v>
      </c>
      <c r="E193" s="13">
        <v>42701.900370370371</v>
      </c>
      <c r="F193" s="13">
        <v>42701.902291666665</v>
      </c>
      <c r="G193" s="7">
        <v>1</v>
      </c>
      <c r="H193" s="22" t="s">
        <v>656</v>
      </c>
      <c r="I193" s="13">
        <v>42701.912881944445</v>
      </c>
      <c r="J193" s="7">
        <v>0</v>
      </c>
      <c r="K193" s="109" t="str">
        <f t="shared" si="59"/>
        <v>4025/4026</v>
      </c>
      <c r="L193" s="22" t="str">
        <f>VLOOKUP(A193,'Trips&amp;Operators'!$C$1:$E$10000,3,FALSE)</f>
        <v>ADANE</v>
      </c>
      <c r="M193" s="6">
        <f t="shared" si="60"/>
        <v>1.0590277779556345E-2</v>
      </c>
      <c r="N193" s="7">
        <f t="shared" si="76"/>
        <v>15.250000002561137</v>
      </c>
      <c r="O193" s="7"/>
      <c r="P193" s="7"/>
      <c r="Q193" s="23"/>
      <c r="R193" s="23"/>
      <c r="S193" s="35">
        <f t="shared" si="77"/>
        <v>1</v>
      </c>
      <c r="T193" s="50" t="str">
        <f t="shared" si="63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20:36:32-700',mode:absolute,to:'2016-11-27 22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3" s="52" t="str">
        <f t="shared" si="65"/>
        <v>N</v>
      </c>
      <c r="X193" s="177">
        <f t="shared" si="75"/>
        <v>1</v>
      </c>
      <c r="Y193" s="67">
        <f t="shared" si="66"/>
        <v>5.8653000000000004</v>
      </c>
      <c r="Z193" s="67">
        <f t="shared" si="78"/>
        <v>7.8899999999999998E-2</v>
      </c>
      <c r="AA193" s="67">
        <f t="shared" si="67"/>
        <v>5.7864000000000004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8"/>
        <v>1832-27</v>
      </c>
      <c r="AE193" s="91" t="str">
        <f t="shared" si="69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193" s="88" t="str">
        <f t="shared" si="70"/>
        <v>"C:\Program Files (x86)\AstroGrep\AstroGrep.exe" /spath="%USERPROFILE%\AppData\Local\Temp\OnboardLogs" /stypes="app*4026*20161128*" /stext=" 04:.+((SYSTEM_STATE.+slice.+state.+changed )|(ment ac)|(multiple cpu faults)|(system.+state.+changed )|(\[timeout)|(PRM\|1\|D)|(kpr)|(kdp)|(\|lc)|(penalty))" /e /r /s</v>
      </c>
      <c r="AG193" s="1" t="str">
        <f t="shared" si="71"/>
        <v>NW</v>
      </c>
      <c r="AH193" s="92" t="str">
        <f t="shared" si="72"/>
        <v>"%USERPROFILE%\Documents\GitHub\eaglep3\Utilities\RefineRTDCRunTimes.py" --tripid 1832-27 --locoid 4026 --swversion DE.1.0.8.0 --startMP 300:58653 --initTime 2016-11-27T21:36:32 --startdatetime 2016-11-27T21:39:18 --delay 1 --endMP 204:789 --enddatetime 2016-11-27T21:54:33 --enforcementcount 0 &gt;&gt;C:\Users\stu\Documents\GitHub\eaglep3-reporting\EC\2016-11-27-refined-times.txt</v>
      </c>
      <c r="AI193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{"issue":{"subject":"","project_id":79,"tracker_id":40,"status_id":1,"priority_id":2,"assigned_to_id":23,"start_date":"2016-11-27","description":"","custom_fields":[{"id":1,"name":"Subdivision","value":"NW"},{"id":4,"name":"Milepost","value":"0.0789"},{"id":17,"name":"Train ID","value":"1832-27"},{"id":16,"name":"Locomotive ID","value":"4026"},{"id":130,"name":"Impact","value":""},{"id":150,"name":"Time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585</v>
      </c>
      <c r="B194" s="7">
        <v>4025</v>
      </c>
      <c r="C194" s="22" t="s">
        <v>215</v>
      </c>
      <c r="D194" s="22" t="s">
        <v>701</v>
      </c>
      <c r="E194" s="13">
        <v>42701.91578703704</v>
      </c>
      <c r="F194" s="13">
        <v>42701.932002314818</v>
      </c>
      <c r="G194" s="7">
        <v>1</v>
      </c>
      <c r="H194" s="22" t="s">
        <v>389</v>
      </c>
      <c r="I194" s="13">
        <v>42701.943136574075</v>
      </c>
      <c r="J194" s="7">
        <v>0</v>
      </c>
      <c r="K194" s="109" t="str">
        <f t="shared" si="59"/>
        <v>4025/4026</v>
      </c>
      <c r="L194" s="22" t="str">
        <f>VLOOKUP(A194,'Trips&amp;Operators'!$C$1:$E$10000,3,FALSE)</f>
        <v>ADANE</v>
      </c>
      <c r="M194" s="6">
        <f t="shared" si="60"/>
        <v>1.113425925723277E-2</v>
      </c>
      <c r="N194" s="7">
        <f t="shared" si="76"/>
        <v>16.033333330415189</v>
      </c>
      <c r="O194" s="7"/>
      <c r="P194" s="7"/>
      <c r="Q194" s="23"/>
      <c r="R194" s="23"/>
      <c r="S194" s="35">
        <f t="shared" si="77"/>
        <v>1</v>
      </c>
      <c r="T194" s="50" t="str">
        <f t="shared" si="63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20:58:44-700',mode:absolute,to:'2016-11-27 23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4" s="52" t="str">
        <f t="shared" si="65"/>
        <v>N</v>
      </c>
      <c r="X194" s="177">
        <f t="shared" si="75"/>
        <v>1</v>
      </c>
      <c r="Y194" s="67">
        <f t="shared" si="66"/>
        <v>0.10630000000000001</v>
      </c>
      <c r="Z194" s="67">
        <f t="shared" si="78"/>
        <v>5.8986000000000001</v>
      </c>
      <c r="AA194" s="67">
        <f t="shared" si="67"/>
        <v>5.7923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8"/>
        <v>1833-27</v>
      </c>
      <c r="AE194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194" s="88" t="str">
        <f t="shared" si="70"/>
        <v>"C:\Program Files (x86)\AstroGrep\AstroGrep.exe" /spath="%USERPROFILE%\AppData\Local\Temp\OnboardLogs" /stypes="app*4025*20161128*" /stext=" 05:.+((SYSTEM_STATE.+slice.+state.+changed )|(ment ac)|(multiple cpu faults)|(system.+state.+changed )|(\[timeout)|(PRM\|1\|D)|(kpr)|(kdp)|(\|lc)|(penalty))" /e /r /s</v>
      </c>
      <c r="AG194" s="1" t="str">
        <f t="shared" si="71"/>
        <v>NW</v>
      </c>
      <c r="AH194" s="92" t="str">
        <f t="shared" si="72"/>
        <v>"%USERPROFILE%\Documents\GitHub\eaglep3\Utilities\RefineRTDCRunTimes.py" --tripid 1833-27 --locoid 4025 --swversion DE.1.0.8.0 --startMP 204:1063 --initTime 2016-11-27T21:58:44 --startdatetime 2016-11-27T22:22:05 --delay 1 --endMP 300:58986 --enddatetime 2016-11-27T22:38:07 --enforcementcount 0 &gt;&gt;C:\Users\stu\Documents\GitHub\eaglep3-reporting\EC\2016-11-27-refined-times.txt</v>
      </c>
      <c r="AI194" s="119" t="str">
        <f t="shared" si="73"/>
        <v>echo {"issue":{"subject":"","project_id":79,"tracker_id":40,"status_id":1,"priority_id":2,"assigned_to_id":23,"start_date":"2016-11-27","description":"","custom_fields":[{"id":1,"name":"Subdivision","value":"NW"},{"id":4,"name":"Milepost","value":"5.8986"},{"id":17,"name":"Train ID","value":"1833-27"},{"id":16,"name":"Locomotive ID","value":"4025"},{"id":130,"name":"Impact","value":""},{"id":150,"name":"Time of Event (Mountain Time)","value":"22:38:07"},{"id":151,"name":"Denver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398</v>
      </c>
      <c r="B195" s="7">
        <v>4021</v>
      </c>
      <c r="C195" s="22" t="s">
        <v>215</v>
      </c>
      <c r="D195" s="22" t="s">
        <v>740</v>
      </c>
      <c r="E195" s="13">
        <v>42701.116956018515</v>
      </c>
      <c r="F195" s="13">
        <v>42701.119618055556</v>
      </c>
      <c r="G195" s="7">
        <v>2</v>
      </c>
      <c r="H195" s="22" t="s">
        <v>741</v>
      </c>
      <c r="I195" s="13">
        <v>42701.121828703705</v>
      </c>
      <c r="J195" s="7">
        <v>0</v>
      </c>
      <c r="K195" s="109" t="str">
        <f t="shared" si="59"/>
        <v>4021/4022</v>
      </c>
      <c r="L195" s="22" t="str">
        <f>VLOOKUP(A195,'Trips&amp;Operators'!$C$1:$E$10000,3,FALSE)</f>
        <v>KILLION</v>
      </c>
      <c r="M195" s="6">
        <f t="shared" si="60"/>
        <v>2.2106481483206153E-3</v>
      </c>
      <c r="N195" s="7">
        <f t="shared" si="76"/>
        <v>3.183333333581686</v>
      </c>
      <c r="O195" s="7"/>
      <c r="P195" s="7"/>
      <c r="Q195" s="23"/>
      <c r="R195" s="23"/>
      <c r="S195" s="35">
        <f t="shared" si="77"/>
        <v>0</v>
      </c>
      <c r="T195" s="50" t="str">
        <f t="shared" si="63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01:48:25-700',mode:absolute,to:'2016-11-27 03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5" s="52" t="str">
        <f t="shared" si="65"/>
        <v>Y</v>
      </c>
      <c r="X195" s="177">
        <f t="shared" si="75"/>
        <v>-1531</v>
      </c>
      <c r="Y195" s="67">
        <f t="shared" si="66"/>
        <v>2.3349000000000002</v>
      </c>
      <c r="Z195" s="67">
        <f t="shared" si="78"/>
        <v>1.8495999999999999</v>
      </c>
      <c r="AA195" s="67">
        <f t="shared" si="67"/>
        <v>0.48530000000000029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8"/>
        <v>0302-27</v>
      </c>
      <c r="AE195" s="91" t="str">
        <f t="shared" si="69"/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AF195" s="88" t="str">
        <f t="shared" si="70"/>
        <v>"C:\Program Files (x86)\AstroGrep\AstroGrep.exe" /spath="%USERPROFILE%\AppData\Local\Temp\OnboardLogs" /stypes="app*4021*20161127*" /stext=" 09:.+((SYSTEM_STATE.+slice.+state.+changed )|(ment ac)|(multiple cpu faults)|(system.+state.+changed )|(\[timeout)|(PRM\|1\|D)|(kpr)|(kdp)|(\|lc)|(penalty))" /e /r /s</v>
      </c>
      <c r="AG195" s="1" t="str">
        <f t="shared" si="71"/>
        <v>Other</v>
      </c>
      <c r="AH195" s="92" t="str">
        <f t="shared" si="72"/>
        <v>"%USERPROFILE%\Documents\GitHub\eaglep3\Utilities\RefineRTDCRunTimes.py" --tripid 302-27 --locoid 4021 --swversion DE.1.0.8.0 --startMP 300:23349 --initTime 2016-11-27T02:48:25 --startdatetime 2016-11-27T02:52:15 --delay 2 --endMP 300:18496 --enddatetime 2016-11-27T02:55:26 --enforcementcount 0 &gt;&gt;C:\Users\stu\Documents\GitHub\eaglep3-reporting\EC\2016-11-27-refined-times.txt</v>
      </c>
      <c r="AI195" s="119" t="str">
        <f t="shared" si="73"/>
        <v>echo {"issue":{"subject":"","project_id":79,"tracker_id":40,"status_id":1,"priority_id":2,"assigned_to_id":23,"start_date":"2016-11-27","description":"","custom_fields":[{"id":1,"name":"Subdivision","value":"Other"},{"id":4,"name":"Milepost","value":"1.8496"},{"id":17,"name":"Train ID","value":"302-27"},{"id":16,"name":"Locomotive ID","value":"4021"},{"id":130,"name":"Impact","value":""},{"id":150,"name":"Time of Event (Mountain Time)","value":"02:55:26"},{"id":151,"name":"Denver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433</v>
      </c>
      <c r="B196" s="7">
        <v>4045</v>
      </c>
      <c r="C196" s="22" t="s">
        <v>215</v>
      </c>
      <c r="D196" s="22" t="s">
        <v>742</v>
      </c>
      <c r="E196" s="13">
        <v>42701.140856481485</v>
      </c>
      <c r="F196" s="13">
        <v>42701.142222222225</v>
      </c>
      <c r="G196" s="7">
        <v>1</v>
      </c>
      <c r="H196" s="22" t="s">
        <v>743</v>
      </c>
      <c r="I196" s="13">
        <v>42701.148298611108</v>
      </c>
      <c r="J196" s="7">
        <v>0</v>
      </c>
      <c r="K196" s="109" t="str">
        <f t="shared" si="59"/>
        <v>4045/4046</v>
      </c>
      <c r="L196" s="22" t="str">
        <f>VLOOKUP(A196,'Trips&amp;Operators'!$C$1:$E$10000,3,FALSE)</f>
        <v>ACKERMAN</v>
      </c>
      <c r="M196" s="6">
        <f t="shared" si="60"/>
        <v>6.0763888832298107E-3</v>
      </c>
      <c r="N196" s="7">
        <f t="shared" si="76"/>
        <v>8.7499999918509275</v>
      </c>
      <c r="O196" s="7"/>
      <c r="P196" s="7"/>
      <c r="Q196" s="23"/>
      <c r="R196" s="23"/>
      <c r="S196" s="35">
        <f t="shared" si="77"/>
        <v>1</v>
      </c>
      <c r="T196" s="50" t="str">
        <f t="shared" si="63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02:22:50-700',mode:absolute,to:'2016-11-27 04:33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6" s="52" t="str">
        <f t="shared" si="65"/>
        <v>Y</v>
      </c>
      <c r="X196" s="177">
        <f t="shared" si="75"/>
        <v>2</v>
      </c>
      <c r="Y196" s="67">
        <f t="shared" si="66"/>
        <v>2.2330999999999999</v>
      </c>
      <c r="Z196" s="67">
        <f t="shared" si="78"/>
        <v>8.9999999999999993E-3</v>
      </c>
      <c r="AA196" s="67">
        <f t="shared" si="67"/>
        <v>2.2241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8"/>
        <v>0304-27</v>
      </c>
      <c r="AE196" s="91" t="str">
        <f t="shared" si="69"/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AF196" s="88" t="str">
        <f t="shared" si="70"/>
        <v>"C:\Program Files (x86)\AstroGrep\AstroGrep.exe" /spath="%USERPROFILE%\AppData\Local\Temp\OnboardLogs" /stypes="app*4045*20161127*" /stext=" 10:.+((SYSTEM_STATE.+slice.+state.+changed )|(ment ac)|(multiple cpu faults)|(system.+state.+changed )|(\[timeout)|(PRM\|1\|D)|(kpr)|(kdp)|(\|lc)|(penalty))" /e /r /s</v>
      </c>
      <c r="AG196" s="1" t="str">
        <f t="shared" si="71"/>
        <v>Other</v>
      </c>
      <c r="AH196" s="92" t="str">
        <f t="shared" si="72"/>
        <v>"%USERPROFILE%\Documents\GitHub\eaglep3\Utilities\RefineRTDCRunTimes.py" --tripid 304-27 --locoid 4045 --swversion DE.1.0.8.0 --startMP 300:22331 --initTime 2016-11-27T03:22:50 --startdatetime 2016-11-27T03:24:48 --delay 1 --endMP 204:90 --enddatetime 2016-11-27T03:33:33 --enforcementcount 0 &gt;&gt;C:\Users\stu\Documents\GitHub\eaglep3-reporting\EC\2016-11-27-refined-times.txt</v>
      </c>
      <c r="AI196" s="119" t="str">
        <f t="shared" si="73"/>
        <v>echo {"issue":{"subject":"","project_id":79,"tracker_id":40,"status_id":1,"priority_id":2,"assigned_to_id":23,"start_date":"2016-11-27","description":"","custom_fields":[{"id":1,"name":"Subdivision","value":"Other"},{"id":4,"name":"Milepost","value":"0.009"},{"id":17,"name":"Train ID","value":"304-27"},{"id":16,"name":"Locomotive ID","value":"4045"},{"id":130,"name":"Impact","value":""},{"id":150,"name":"Time of Event (Mountain Time)","value":"03:33:33"},{"id":151,"name":"Denver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435</v>
      </c>
      <c r="B197" s="7">
        <v>4012</v>
      </c>
      <c r="C197" s="22" t="s">
        <v>215</v>
      </c>
      <c r="D197" s="22" t="s">
        <v>744</v>
      </c>
      <c r="E197" s="13">
        <v>42701.174490740741</v>
      </c>
      <c r="F197" s="13">
        <v>42701.175937499997</v>
      </c>
      <c r="G197" s="7">
        <v>1</v>
      </c>
      <c r="H197" s="22" t="s">
        <v>240</v>
      </c>
      <c r="I197" s="13">
        <v>42701.182002314818</v>
      </c>
      <c r="J197" s="7">
        <v>0</v>
      </c>
      <c r="K197" s="109" t="str">
        <f t="shared" si="59"/>
        <v>4011/4012</v>
      </c>
      <c r="L197" s="22" t="str">
        <f>VLOOKUP(A197,'Trips&amp;Operators'!$C$1:$E$10000,3,FALSE)</f>
        <v>DAVIS</v>
      </c>
      <c r="M197" s="6">
        <f t="shared" si="60"/>
        <v>6.0648148210020736E-3</v>
      </c>
      <c r="N197" s="7">
        <f t="shared" si="76"/>
        <v>8.733333342242986</v>
      </c>
      <c r="O197" s="7"/>
      <c r="P197" s="7"/>
      <c r="Q197" s="23"/>
      <c r="R197" s="23"/>
      <c r="S197" s="35">
        <f t="shared" si="77"/>
        <v>1</v>
      </c>
      <c r="T197" s="50" t="str">
        <f t="shared" si="63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03:11:16-700',mode:absolute,to:'2016-11-27 05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7" s="52" t="str">
        <f t="shared" si="65"/>
        <v>Y</v>
      </c>
      <c r="X197" s="177">
        <f t="shared" si="75"/>
        <v>4</v>
      </c>
      <c r="Y197" s="67">
        <f t="shared" si="66"/>
        <v>2.2136</v>
      </c>
      <c r="Z197" s="67">
        <f t="shared" si="78"/>
        <v>1.41E-2</v>
      </c>
      <c r="AA197" s="67">
        <f t="shared" si="67"/>
        <v>2.1995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8"/>
        <v>0308-27</v>
      </c>
      <c r="AE197" s="91" t="str">
        <f t="shared" si="69"/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AF197" s="88" t="str">
        <f t="shared" si="70"/>
        <v>"C:\Program Files (x86)\AstroGrep\AstroGrep.exe" /spath="%USERPROFILE%\AppData\Local\Temp\OnboardLogs" /stypes="app*4012*20161127*" /stext=" 11:.+((SYSTEM_STATE.+slice.+state.+changed )|(ment ac)|(multiple cpu faults)|(system.+state.+changed )|(\[timeout)|(PRM\|1\|D)|(kpr)|(kdp)|(\|lc)|(penalty))" /e /r /s</v>
      </c>
      <c r="AG197" s="1" t="str">
        <f t="shared" si="71"/>
        <v>Other</v>
      </c>
      <c r="AH197" s="92" t="str">
        <f t="shared" si="72"/>
        <v>"%USERPROFILE%\Documents\GitHub\eaglep3\Utilities\RefineRTDCRunTimes.py" --tripid 308-27 --locoid 4012 --swversion DE.1.0.8.0 --startMP 300:22136 --initTime 2016-11-27T04:11:16 --startdatetime 2016-11-27T04:13:21 --delay 1 --endMP 204:141 --enddatetime 2016-11-27T04:22:05 --enforcementcount 0 &gt;&gt;C:\Users\stu\Documents\GitHub\eaglep3-reporting\EC\2016-11-27-refined-times.txt</v>
      </c>
      <c r="AI197" s="119" t="str">
        <f t="shared" si="73"/>
        <v>echo {"issue":{"subject":"","project_id":79,"tracker_id":40,"status_id":1,"priority_id":2,"assigned_to_id":23,"start_date":"2016-11-27","description":"","custom_fields":[{"id":1,"name":"Subdivision","value":"Other"},{"id":4,"name":"Milepost","value":"0.0141"},{"id":17,"name":"Train ID","value":"308-27"},{"id":16,"name":"Locomotive ID","value":"4012"},{"id":130,"name":"Impact","value":""},{"id":150,"name":"Time of Event (Mountain Time)","value":"04:22:05"},{"id":151,"name":"Denver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596</v>
      </c>
      <c r="B198" s="7">
        <v>4002</v>
      </c>
      <c r="C198" s="22" t="s">
        <v>215</v>
      </c>
      <c r="D198" s="22" t="s">
        <v>720</v>
      </c>
      <c r="E198" s="13">
        <v>42702.029374999998</v>
      </c>
      <c r="F198" s="13">
        <v>25568.708333333332</v>
      </c>
      <c r="G198" s="7">
        <v>1</v>
      </c>
      <c r="H198" s="22" t="s">
        <v>745</v>
      </c>
      <c r="I198" s="13">
        <v>25568.708333333332</v>
      </c>
      <c r="J198" s="7">
        <v>0</v>
      </c>
      <c r="K198" s="109" t="str">
        <f t="shared" si="59"/>
        <v>4001/4002</v>
      </c>
      <c r="L198" s="22" t="str">
        <f>VLOOKUP(A198,'Trips&amp;Operators'!$C$1:$E$10000,3,FALSE)</f>
        <v>LEVERE</v>
      </c>
      <c r="M198" s="6">
        <f t="shared" si="60"/>
        <v>0</v>
      </c>
      <c r="N198" s="7">
        <f t="shared" si="76"/>
        <v>0</v>
      </c>
      <c r="O198" s="7"/>
      <c r="P198" s="7"/>
      <c r="Q198" s="23"/>
      <c r="R198" s="23"/>
      <c r="S198" s="35">
        <f t="shared" si="77"/>
        <v>1</v>
      </c>
      <c r="T198" s="50" t="str">
        <f t="shared" si="63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23:42:18-700',mode:absolute,to:'1969-12-31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8" s="52" t="str">
        <f t="shared" si="65"/>
        <v>Y</v>
      </c>
      <c r="X198" s="177">
        <f t="shared" si="75"/>
        <v>1</v>
      </c>
      <c r="Y198" s="67">
        <f t="shared" si="66"/>
        <v>7.8799999999999995E-2</v>
      </c>
      <c r="Z198" s="67">
        <f t="shared" si="78"/>
        <v>2.2408000000000001</v>
      </c>
      <c r="AA198" s="67">
        <f t="shared" si="67"/>
        <v>2.1619999999999999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8"/>
        <v>0309-27</v>
      </c>
      <c r="AE198" s="91" t="str">
        <f t="shared" si="6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198" s="88" t="str">
        <f t="shared" si="70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198" s="1" t="str">
        <f t="shared" si="71"/>
        <v>Other</v>
      </c>
      <c r="AH198" s="92" t="str">
        <f t="shared" si="72"/>
        <v>"%USERPROFILE%\Documents\GitHub\eaglep3\Utilities\RefineRTDCRunTimes.py" --tripid 309-27 --locoid 4002 --swversion DE.1.0.8.0 --startMP 204:788 --initTime 2016-11-28T00:42:18 --startdatetime 1969-12-31T17:00:00 --delay 1 --endMP 300:22408 --enddatetime 1969-12-31T17:00:00 --enforcementcount 0 &gt;&gt;C:\Users\stu\Documents\GitHub\eaglep3-reporting\EC\2016-11-27-refined-times.txt</v>
      </c>
      <c r="AI198" s="11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{"issue":{"subject":"","project_id":79,"tracker_id":40,"status_id":1,"priority_id":2,"assigned_to_id":23,"start_date":"1969-12-31","description":"","custom_fields":[{"id":1,"name":"Subdivision","value":"Other"},{"id":4,"name":"Milepost","value":"2.2408"},{"id":17,"name":"Train ID","value":"309-27"},{"id":16,"name":"Locomotive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436</v>
      </c>
      <c r="B199" s="7">
        <v>4037</v>
      </c>
      <c r="C199" s="22" t="s">
        <v>215</v>
      </c>
      <c r="D199" s="22" t="s">
        <v>746</v>
      </c>
      <c r="E199" s="13">
        <v>42701.179050925923</v>
      </c>
      <c r="F199" s="13">
        <v>42701.180081018516</v>
      </c>
      <c r="G199" s="7">
        <v>1</v>
      </c>
      <c r="H199" s="22" t="s">
        <v>240</v>
      </c>
      <c r="I199" s="13">
        <v>42701.18645833333</v>
      </c>
      <c r="J199" s="7">
        <v>0</v>
      </c>
      <c r="K199" s="109" t="str">
        <f t="shared" si="59"/>
        <v>4037/4038</v>
      </c>
      <c r="L199" s="22" t="str">
        <f>VLOOKUP(A199,'Trips&amp;Operators'!$C$1:$E$10000,3,FALSE)</f>
        <v>ROBINSON</v>
      </c>
      <c r="M199" s="6">
        <f t="shared" si="60"/>
        <v>6.3773148140171543E-3</v>
      </c>
      <c r="N199" s="7">
        <f t="shared" si="76"/>
        <v>9.1833333321847022</v>
      </c>
      <c r="O199" s="7"/>
      <c r="P199" s="7"/>
      <c r="Q199" s="23"/>
      <c r="R199" s="23"/>
      <c r="S199" s="35">
        <f t="shared" si="77"/>
        <v>1</v>
      </c>
      <c r="T199" s="50" t="str">
        <f t="shared" si="63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03:17:50-700',mode:absolute,to:'2016-11-27 05:28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9" s="52" t="str">
        <f t="shared" si="65"/>
        <v>Y</v>
      </c>
      <c r="X199" s="177">
        <f t="shared" ref="X199:X218" si="79">VALUE(LEFT(AD199,4))-VALUE(LEFT(AD198,4))</f>
        <v>1</v>
      </c>
      <c r="Y199" s="67">
        <f t="shared" si="66"/>
        <v>2.3321000000000001</v>
      </c>
      <c r="Z199" s="67">
        <f t="shared" si="78"/>
        <v>1.41E-2</v>
      </c>
      <c r="AA199" s="67">
        <f t="shared" si="67"/>
        <v>2.3180000000000001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8"/>
        <v>0310-27</v>
      </c>
      <c r="AE199" s="91" t="str">
        <f t="shared" si="69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199" s="88" t="str">
        <f t="shared" si="70"/>
        <v>"C:\Program Files (x86)\AstroGrep\AstroGrep.exe" /spath="%USERPROFILE%\AppData\Local\Temp\OnboardLogs" /stypes="app*4037*20161127*" /stext=" 11:.+((SYSTEM_STATE.+slice.+state.+changed )|(ment ac)|(multiple cpu faults)|(system.+state.+changed )|(\[timeout)|(PRM\|1\|D)|(kpr)|(kdp)|(\|lc)|(penalty))" /e /r /s</v>
      </c>
      <c r="AG199" s="1" t="str">
        <f t="shared" si="71"/>
        <v>Other</v>
      </c>
      <c r="AH199" s="92" t="str">
        <f t="shared" si="72"/>
        <v>"%USERPROFILE%\Documents\GitHub\eaglep3\Utilities\RefineRTDCRunTimes.py" --tripid 310-27 --locoid 4037 --swversion DE.1.0.8.0 --startMP 300:23321 --initTime 2016-11-27T04:17:50 --startdatetime 2016-11-27T04:19:19 --delay 1 --endMP 204:141 --enddatetime 2016-11-27T04:28:30 --enforcementcount 0 &gt;&gt;C:\Users\stu\Documents\GitHub\eaglep3-reporting\EC\2016-11-27-refined-times.txt</v>
      </c>
      <c r="AI199" s="119" t="str">
        <f t="shared" si="73"/>
        <v>echo {"issue":{"subject":"","project_id":79,"tracker_id":40,"status_id":1,"priority_id":2,"assigned_to_id":23,"start_date":"2016-11-27","description":"","custom_fields":[{"id":1,"name":"Subdivision","value":"Other"},{"id":4,"name":"Milepost","value":"0.0141"},{"id":17,"name":"Train ID","value":"310-27"},{"id":16,"name":"Locomotive ID","value":"4037"},{"id":130,"name":"Impact","value":""},{"id":150,"name":"Time of Event (Mountain Time)","value":"04:28:30"},{"id":151,"name":"Denver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597</v>
      </c>
      <c r="B200" s="7">
        <v>4016</v>
      </c>
      <c r="C200" s="22" t="s">
        <v>215</v>
      </c>
      <c r="D200" s="22" t="s">
        <v>747</v>
      </c>
      <c r="E200" s="13">
        <v>42702.050057870372</v>
      </c>
      <c r="F200" s="13">
        <v>25568.708333333332</v>
      </c>
      <c r="G200" s="7">
        <v>1</v>
      </c>
      <c r="H200" s="22" t="s">
        <v>748</v>
      </c>
      <c r="I200" s="13">
        <v>25568.708333333332</v>
      </c>
      <c r="J200" s="7">
        <v>0</v>
      </c>
      <c r="K200" s="109" t="str">
        <f t="shared" si="59"/>
        <v>4015/4016</v>
      </c>
      <c r="L200" s="22" t="str">
        <f>VLOOKUP(A200,'Trips&amp;Operators'!$C$1:$E$10000,3,FALSE)</f>
        <v>COOLAHAN</v>
      </c>
      <c r="M200" s="6">
        <f t="shared" si="60"/>
        <v>0</v>
      </c>
      <c r="N200" s="7">
        <f t="shared" si="76"/>
        <v>0</v>
      </c>
      <c r="O200" s="7"/>
      <c r="P200" s="7"/>
      <c r="Q200" s="23"/>
      <c r="R200" s="23"/>
      <c r="S200" s="35">
        <f t="shared" si="77"/>
        <v>1</v>
      </c>
      <c r="T200" s="50" t="str">
        <f t="shared" si="63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https://search-rtdc-monitor-bjffxe2xuh6vdkpspy63sjmuny.us-east-1.es.amazonaws.com/_plugin/kibana/#/discover/Steve-Slow-Train-Analysis-(2080s-and-2083s)?_g=(refreshInterval:(display:Off,section:0,value:0),time:(from:'2016-11-28 00:12:05-700',mode:absolute,to:'1969-12-31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0" s="52" t="str">
        <f t="shared" si="65"/>
        <v>Y</v>
      </c>
      <c r="X200" s="177">
        <f t="shared" si="79"/>
        <v>1</v>
      </c>
      <c r="Y200" s="67">
        <f t="shared" si="66"/>
        <v>7.2300000000000003E-2</v>
      </c>
      <c r="Z200" s="67">
        <f t="shared" si="78"/>
        <v>2.3311999999999999</v>
      </c>
      <c r="AA200" s="67">
        <f t="shared" si="67"/>
        <v>2.2589000000000001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8"/>
        <v>0311-27</v>
      </c>
      <c r="AE200" s="91" t="str">
        <f t="shared" si="6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0" s="88" t="str">
        <f t="shared" si="70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0" s="1" t="str">
        <f t="shared" si="71"/>
        <v>Other</v>
      </c>
      <c r="AH200" s="92" t="str">
        <f t="shared" si="72"/>
        <v>"%USERPROFILE%\Documents\GitHub\eaglep3\Utilities\RefineRTDCRunTimes.py" --tripid 311-27 --locoid 4016 --swversion DE.1.0.8.0 --startMP 204:723 --initTime 2016-11-28T01:12:05 --startdatetime 1969-12-31T17:00:00 --delay 1 --endMP 300:23312 --enddatetime 1969-12-31T17:00:00 --enforcementcount 0 &gt;&gt;C:\Users\stu\Documents\GitHub\eaglep3-reporting\EC\2016-11-27-refined-times.txt</v>
      </c>
      <c r="AI200" s="11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ID","value":"311-27"},{"id":16,"name":"Locomotive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599</v>
      </c>
      <c r="B201" s="7">
        <v>4022</v>
      </c>
      <c r="C201" s="22" t="s">
        <v>215</v>
      </c>
      <c r="D201" s="22" t="s">
        <v>749</v>
      </c>
      <c r="E201" s="13">
        <v>42702.092048611114</v>
      </c>
      <c r="F201" s="13">
        <v>42702.094525462962</v>
      </c>
      <c r="G201" s="7">
        <v>1</v>
      </c>
      <c r="H201" s="22" t="s">
        <v>750</v>
      </c>
      <c r="I201" s="13">
        <v>42702.100462962961</v>
      </c>
      <c r="J201" s="7">
        <v>0</v>
      </c>
      <c r="K201" s="109" t="str">
        <f t="shared" si="59"/>
        <v>4021/4022</v>
      </c>
      <c r="L201" s="22" t="str">
        <f>VLOOKUP(A201,'Trips&amp;Operators'!$C$1:$E$10000,3,FALSE)</f>
        <v>BADERTSCHER</v>
      </c>
      <c r="M201" s="6">
        <f t="shared" si="60"/>
        <v>5.9374999982537702E-3</v>
      </c>
      <c r="N201" s="7">
        <f t="shared" si="76"/>
        <v>8.549999997485429</v>
      </c>
      <c r="O201" s="7"/>
      <c r="P201" s="7"/>
      <c r="Q201" s="23"/>
      <c r="R201" s="23"/>
      <c r="S201" s="35">
        <f t="shared" si="77"/>
        <v>1</v>
      </c>
      <c r="T201" s="50" t="str">
        <f t="shared" si="63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https://search-rtdc-monitor-bjffxe2xuh6vdkpspy63sjmuny.us-east-1.es.amazonaws.com/_plugin/kibana/#/discover/Steve-Slow-Train-Analysis-(2080s-and-2083s)?_g=(refreshInterval:(display:Off,section:0,value:0),time:(from:'2016-11-28 01:12:33-700',mode:absolute,to:'2016-11-28 03:24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1" s="52" t="str">
        <f t="shared" si="65"/>
        <v>Y</v>
      </c>
      <c r="X201" s="177">
        <f t="shared" si="79"/>
        <v>2</v>
      </c>
      <c r="Y201" s="67">
        <f t="shared" si="66"/>
        <v>7.5499999999999998E-2</v>
      </c>
      <c r="Z201" s="67">
        <f t="shared" si="78"/>
        <v>2.3298999999999999</v>
      </c>
      <c r="AA201" s="67">
        <f t="shared" si="67"/>
        <v>2.2544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8"/>
        <v>0313-27</v>
      </c>
      <c r="AE201" s="91" t="str">
        <f t="shared" si="69"/>
        <v>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 &amp; 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</v>
      </c>
      <c r="AF201" s="88" t="str">
        <f t="shared" si="70"/>
        <v>"C:\Program Files (x86)\AstroGrep\AstroGrep.exe" /spath="%USERPROFILE%\AppData\Local\Temp\OnboardLogs" /stypes="app*4022*20161128*" /stext=" 09:.+((SYSTEM_STATE.+slice.+state.+changed )|(ment ac)|(multiple cpu faults)|(system.+state.+changed )|(\[timeout)|(PRM\|1\|D)|(kpr)|(kdp)|(\|lc)|(penalty))" /e /r /s</v>
      </c>
      <c r="AG201" s="1" t="str">
        <f t="shared" si="71"/>
        <v>Other</v>
      </c>
      <c r="AH201" s="92" t="str">
        <f t="shared" si="72"/>
        <v>"%USERPROFILE%\Documents\GitHub\eaglep3\Utilities\RefineRTDCRunTimes.py" --tripid 313-27 --locoid 4022 --swversion DE.1.0.8.0 --startMP 204:755 --initTime 2016-11-28T02:12:33 --startdatetime 2016-11-28T02:16:07 --delay 1 --endMP 300:23299 --enddatetime 2016-11-28T02:24:40 --enforcementcount 0 &gt;&gt;C:\Users\stu\Documents\GitHub\eaglep3-reporting\EC\2016-11-27-refined-times.txt</v>
      </c>
      <c r="AI201" s="119" t="str">
        <f t="shared" si="73"/>
        <v>echo {"issue":{"subject":"","project_id":79,"tracker_id":40,"status_id":1,"priority_id":2,"assigned_to_id":23,"start_date":"2016-11-28","description":"","custom_fields":[{"id":1,"name":"Subdivision","value":"Other"},{"id":4,"name":"Milepost","value":"2.3299"},{"id":17,"name":"Train ID","value":"313-27"},{"id":16,"name":"Locomotive ID","value":"4022"},{"id":130,"name":"Impact","value":""},{"id":150,"name":"Time of Event (Mountain Time)","value":"02:24:40"},{"id":151,"name":"Denver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368</v>
      </c>
      <c r="B202" s="7">
        <v>4029</v>
      </c>
      <c r="C202" s="22" t="s">
        <v>215</v>
      </c>
      <c r="D202" s="22" t="s">
        <v>197</v>
      </c>
      <c r="E202" s="13">
        <v>42701.108819444446</v>
      </c>
      <c r="F202" s="13">
        <v>25568.708333333332</v>
      </c>
      <c r="G202" s="7">
        <v>1</v>
      </c>
      <c r="H202" s="22" t="s">
        <v>396</v>
      </c>
      <c r="I202" s="13">
        <v>25568.708333333332</v>
      </c>
      <c r="J202" s="7">
        <v>0</v>
      </c>
      <c r="K202" s="109" t="str">
        <f t="shared" si="59"/>
        <v>4029/4030</v>
      </c>
      <c r="L202" s="22" t="str">
        <f>VLOOKUP(A202,'Trips&amp;Operators'!$C$1:$E$10000,3,FALSE)</f>
        <v>LEVIN</v>
      </c>
      <c r="M202" s="6">
        <f t="shared" si="60"/>
        <v>0</v>
      </c>
      <c r="N202" s="7">
        <f t="shared" si="76"/>
        <v>0</v>
      </c>
      <c r="O202" s="7"/>
      <c r="P202" s="7"/>
      <c r="Q202" s="23"/>
      <c r="R202" s="23"/>
      <c r="S202" s="35">
        <f t="shared" si="77"/>
        <v>1</v>
      </c>
      <c r="T202" s="50" t="str">
        <f t="shared" si="63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01:36:42-700',mode:absolute,to:'1969-12-31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2" s="52" t="str">
        <f t="shared" si="65"/>
        <v>Y</v>
      </c>
      <c r="X202" s="177">
        <f t="shared" si="79"/>
        <v>2</v>
      </c>
      <c r="Y202" s="67">
        <f t="shared" si="66"/>
        <v>4.53E-2</v>
      </c>
      <c r="Z202" s="67">
        <f t="shared" si="78"/>
        <v>2.3294999999999999</v>
      </c>
      <c r="AA202" s="67">
        <f t="shared" si="67"/>
        <v>2.2841999999999998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8"/>
        <v>0315-26</v>
      </c>
      <c r="AE202" s="91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2" s="88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2" s="1" t="str">
        <f t="shared" si="71"/>
        <v>Other</v>
      </c>
      <c r="AH202" s="92" t="str">
        <f t="shared" si="72"/>
        <v>"%USERPROFILE%\Documents\GitHub\eaglep3\Utilities\RefineRTDCRunTimes.py" --tripid 315-26 --locoid 4029 --swversion DE.1.0.8.0 --startMP 204:453 --initTime 2016-11-27T02:36:42 --startdatetime 1969-12-31T17:00:00 --delay 1 --endMP 300:23295 --enddatetime 1969-12-31T17:00:00 --enforcementcount 0 &gt;&gt;C:\Users\stu\Documents\GitHub\eaglep3-reporting\EC\2016-11-27-refined-times.txt</v>
      </c>
      <c r="AI202" s="11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ID","value":"315-26"},{"id":16,"name":"Locomotive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600</v>
      </c>
      <c r="B203" s="7">
        <v>4044</v>
      </c>
      <c r="C203" s="22" t="s">
        <v>215</v>
      </c>
      <c r="D203" s="22" t="s">
        <v>751</v>
      </c>
      <c r="E203" s="13">
        <v>42702.09233796296</v>
      </c>
      <c r="F203" s="13">
        <v>42702.093692129631</v>
      </c>
      <c r="G203" s="7">
        <v>1</v>
      </c>
      <c r="H203" s="22" t="s">
        <v>752</v>
      </c>
      <c r="I203" s="13">
        <v>42702.106574074074</v>
      </c>
      <c r="J203" s="7">
        <v>0</v>
      </c>
      <c r="K203" s="109" t="str">
        <f t="shared" si="59"/>
        <v>4043/4044</v>
      </c>
      <c r="L203" s="22" t="str">
        <f>VLOOKUP(A203,'Trips&amp;Operators'!$C$1:$E$10000,3,FALSE)</f>
        <v>CHANDLER</v>
      </c>
      <c r="M203" s="6">
        <f t="shared" si="60"/>
        <v>1.2881944443506654E-2</v>
      </c>
      <c r="N203" s="7">
        <f t="shared" si="76"/>
        <v>18.549999998649582</v>
      </c>
      <c r="O203" s="7"/>
      <c r="P203" s="7"/>
      <c r="Q203" s="23"/>
      <c r="R203" s="23"/>
      <c r="S203" s="35">
        <f t="shared" si="77"/>
        <v>1</v>
      </c>
      <c r="T203" s="50" t="str">
        <f t="shared" si="63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https://search-rtdc-monitor-bjffxe2xuh6vdkpspy63sjmuny.us-east-1.es.amazonaws.com/_plugin/kibana/#/discover/Steve-Slow-Train-Analysis-(2080s-and-2083s)?_g=(refreshInterval:(display:Off,section:0,value:0),time:(from:'2016-11-28 01:12:58-700',mode:absolute,to:'2016-11-28 03:33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3" s="52" t="str">
        <f t="shared" si="65"/>
        <v>Y</v>
      </c>
      <c r="X203" s="177">
        <f t="shared" si="79"/>
        <v>0</v>
      </c>
      <c r="Y203" s="67">
        <f t="shared" si="66"/>
        <v>6.83E-2</v>
      </c>
      <c r="Z203" s="67">
        <f t="shared" si="78"/>
        <v>2.2839</v>
      </c>
      <c r="AA203" s="67">
        <f t="shared" si="67"/>
        <v>2.2156000000000002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8"/>
        <v>0315-27</v>
      </c>
      <c r="AE203" s="91" t="str">
        <f t="shared" si="69"/>
        <v>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 &amp; 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</v>
      </c>
      <c r="AF203" s="88" t="str">
        <f t="shared" si="70"/>
        <v>"C:\Program Files (x86)\AstroGrep\AstroGrep.exe" /spath="%USERPROFILE%\AppData\Local\Temp\OnboardLogs" /stypes="app*4044*20161128*" /stext=" 09:.+((SYSTEM_STATE.+slice.+state.+changed )|(ment ac)|(multiple cpu faults)|(system.+state.+changed )|(\[timeout)|(PRM\|1\|D)|(kpr)|(kdp)|(\|lc)|(penalty))" /e /r /s</v>
      </c>
      <c r="AG203" s="1" t="str">
        <f t="shared" si="71"/>
        <v>Other</v>
      </c>
      <c r="AH203" s="92" t="str">
        <f t="shared" si="72"/>
        <v>"%USERPROFILE%\Documents\GitHub\eaglep3\Utilities\RefineRTDCRunTimes.py" --tripid 315-27 --locoid 4044 --swversion DE.1.0.8.0 --startMP 204:683 --initTime 2016-11-28T02:12:58 --startdatetime 2016-11-28T02:14:55 --delay 1 --endMP 300:22839 --enddatetime 2016-11-28T02:33:28 --enforcementcount 0 &gt;&gt;C:\Users\stu\Documents\GitHub\eaglep3-reporting\EC\2016-11-27-refined-times.txt</v>
      </c>
      <c r="AI203" s="119" t="str">
        <f t="shared" si="73"/>
        <v>echo {"issue":{"subject":"","project_id":79,"tracker_id":40,"status_id":1,"priority_id":2,"assigned_to_id":23,"start_date":"2016-11-28","description":"","custom_fields":[{"id":1,"name":"Subdivision","value":"Other"},{"id":4,"name":"Milepost","value":"2.2839"},{"id":17,"name":"Train ID","value":"315-27"},{"id":16,"name":"Locomotive ID","value":"4044"},{"id":130,"name":"Impact","value":""},{"id":150,"name":"Time of Event (Mountain Time)","value":"02:33:28"},{"id":151,"name":"Denver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401</v>
      </c>
      <c r="B204" s="7">
        <v>4025</v>
      </c>
      <c r="C204" s="22" t="s">
        <v>215</v>
      </c>
      <c r="D204" s="22" t="s">
        <v>702</v>
      </c>
      <c r="E204" s="13">
        <v>42701.219814814816</v>
      </c>
      <c r="F204" s="13">
        <v>42701.227164351854</v>
      </c>
      <c r="G204" s="7">
        <v>10</v>
      </c>
      <c r="H204" s="22" t="s">
        <v>703</v>
      </c>
      <c r="I204" s="13">
        <v>42701.228171296294</v>
      </c>
      <c r="J204" s="7">
        <v>0</v>
      </c>
      <c r="K204" s="109" t="str">
        <f t="shared" si="59"/>
        <v>4025/4026</v>
      </c>
      <c r="L204" s="22" t="str">
        <f>VLOOKUP(A204,'Trips&amp;Operators'!$C$1:$E$10000,3,FALSE)</f>
        <v>STARKS</v>
      </c>
      <c r="M204" s="6">
        <f t="shared" si="60"/>
        <v>1.0069444397231564E-3</v>
      </c>
      <c r="N204" s="7">
        <f t="shared" si="76"/>
        <v>1.4499999932013452</v>
      </c>
      <c r="O204" s="7"/>
      <c r="P204" s="7"/>
      <c r="Q204" s="23"/>
      <c r="R204" s="23"/>
      <c r="S204" s="35">
        <f t="shared" si="77"/>
        <v>0</v>
      </c>
      <c r="T204" s="50" t="str">
        <f t="shared" si="63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https://search-rtdc-monitor-bjffxe2xuh6vdkpspy63sjmuny.us-east-1.es.amazonaws.com/_plugin/kibana/#/discover/Steve-Slow-Train-Analysis-(2080s-and-2083s)?_g=(refreshInterval:(display:Off,section:0,value:0),time:(from:'2016-11-27 04:16:32-700',mode:absolute,to:'2016-11-27 06:28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65"/>
        <v>Y</v>
      </c>
      <c r="X204" s="177">
        <f t="shared" si="79"/>
        <v>1586</v>
      </c>
      <c r="Y204" s="67">
        <f t="shared" si="66"/>
        <v>2.9512999999999998</v>
      </c>
      <c r="Z204" s="67">
        <f t="shared" si="78"/>
        <v>3.3020999999999998</v>
      </c>
      <c r="AA204" s="67">
        <f t="shared" si="67"/>
        <v>0.3508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8"/>
        <v>1901-27</v>
      </c>
      <c r="AE204" s="91" t="str">
        <f t="shared" si="69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204" s="88" t="str">
        <f t="shared" si="70"/>
        <v>"C:\Program Files (x86)\AstroGrep\AstroGrep.exe" /spath="%USERPROFILE%\AppData\Local\Temp\OnboardLogs" /stypes="app*4025*20161127*" /stext=" 12:.+((SYSTEM_STATE.+slice.+state.+changed )|(ment ac)|(multiple cpu faults)|(system.+state.+changed )|(\[timeout)|(PRM\|1\|D)|(kpr)|(kdp)|(\|lc)|(penalty))" /e /r /s</v>
      </c>
      <c r="AG204" s="1" t="str">
        <f t="shared" si="71"/>
        <v>Other</v>
      </c>
      <c r="AH204" s="92" t="str">
        <f t="shared" si="72"/>
        <v>"%USERPROFILE%\Documents\GitHub\eaglep3\Utilities\RefineRTDCRunTimes.py" --tripid 1901-27 --locoid 4025 --swversion DE.1.0.8.0 --startMP 300:29513 --initTime 2016-11-27T05:16:32 --startdatetime 2016-11-27T05:27:07 --delay 10 --endMP 300:33021 --enddatetime 2016-11-27T05:28:34 --enforcementcount 0 &gt;&gt;C:\Users\stu\Documents\GitHub\eaglep3-reporting\EC\2016-11-27-refined-times.txt</v>
      </c>
      <c r="AI204" s="119" t="str">
        <f t="shared" si="73"/>
        <v>echo {"issue":{"subject":"","project_id":79,"tracker_id":40,"status_id":1,"priority_id":2,"assigned_to_id":23,"start_date":"2016-11-27","description":"","custom_fields":[{"id":1,"name":"Subdivision","value":"Other"},{"id":4,"name":"Milepost","value":"3.3021"},{"id":17,"name":"Train ID","value":"1901-27"},{"id":16,"name":"Locomotive ID","value":"4025"},{"id":130,"name":"Impact","value":""},{"id":150,"name":"Time of Event (Mountain Time)","value":"05:28:34"},{"id":151,"name":"Denver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429</v>
      </c>
      <c r="B205" s="7">
        <v>4026</v>
      </c>
      <c r="C205" s="22" t="s">
        <v>215</v>
      </c>
      <c r="D205" s="22" t="s">
        <v>753</v>
      </c>
      <c r="E205" s="13">
        <v>42701.994699074072</v>
      </c>
      <c r="F205" s="13">
        <v>25568.708333333332</v>
      </c>
      <c r="G205" s="7">
        <v>1</v>
      </c>
      <c r="H205" s="22" t="s">
        <v>754</v>
      </c>
      <c r="I205" s="13">
        <v>25568.708333333332</v>
      </c>
      <c r="J205" s="7">
        <v>0</v>
      </c>
      <c r="K205" s="109" t="str">
        <f t="shared" ref="K205:K218" si="80">IF(ISEVEN(B205),(B205-1)&amp;"/"&amp;B205,B205&amp;"/"&amp;(B205+1))</f>
        <v>4025/4026</v>
      </c>
      <c r="L205" s="22" t="str">
        <f>VLOOKUP(A205,'Trips&amp;Operators'!$C$1:$E$10000,3,FALSE)</f>
        <v>NELSON</v>
      </c>
      <c r="M205" s="6">
        <f t="shared" ref="M205:M218" si="81">I205-F205</f>
        <v>0</v>
      </c>
      <c r="N205" s="7">
        <f t="shared" ref="N205:N218" si="82">24*60*SUM($M205:$M205)</f>
        <v>0</v>
      </c>
      <c r="O205" s="7"/>
      <c r="P205" s="7"/>
      <c r="Q205" s="23"/>
      <c r="R205" s="23"/>
      <c r="S205" s="35">
        <f t="shared" ref="S205:S218" si="83">SUM(U205:U205)/IF(AG205="EC",12,1)</f>
        <v>0</v>
      </c>
      <c r="T205" s="50" t="e">
        <f t="shared" ref="T205:T218" si="84">IF(ISEVEN(LEFT(AD205,4)),"Southbound","NorthBound")</f>
        <v>#VALUE!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ref="V205:V218" si="85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https://search-rtdc-monitor-bjffxe2xuh6vdkpspy63sjmuny.us-east-1.es.amazonaws.com/_plugin/kibana/#/discover/Steve-Slow-Train-Analysis-(2080s-and-2083s)?_g=(refreshInterval:(display:Off,section:0,value:0),time:(from:'2016-11-27 22:52:22-700',mode:absolute,to:'1969-12-31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5" s="52" t="str">
        <f t="shared" ref="W205:W218" si="86">IF(AA205&lt;IF(AG205="EC",23,5.65),"Y","N")</f>
        <v>Y</v>
      </c>
      <c r="X205" s="177" t="e">
        <f t="shared" si="79"/>
        <v>#VALUE!</v>
      </c>
      <c r="Y205" s="67">
        <f t="shared" ref="Y205:Y218" si="87">RIGHT(D205,LEN(D205)-4)/10000</f>
        <v>5.8639999999999999</v>
      </c>
      <c r="Z205" s="67">
        <f t="shared" si="78"/>
        <v>2.8795000000000002</v>
      </c>
      <c r="AA205" s="67">
        <f t="shared" ref="AA205:AA268" si="88">ABS(Z205-Y205)</f>
        <v>2.9844999999999997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18" si="89">IF(LEN(A205)=6,"0"&amp;A205,A205)</f>
        <v>50-27</v>
      </c>
      <c r="AE205" s="91" t="str">
        <f t="shared" ref="AE205:AE218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05" s="88" t="str">
        <f t="shared" ref="AF205:AF218" si="9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/stypes="app*4026*19700101*" /stext=" 00:.+((SYSTEM_STATE.+slice.+state.+changed )|(ment ac)|(multiple cpu faults)|(system.+state.+changed )|(\[timeout)|(PRM\|1\|D)|(kpr)|(kdp)|(\|lc)|(penalty))" /e /r /s</v>
      </c>
      <c r="AG205" s="1" t="str">
        <f t="shared" ref="AG205:AG218" si="92">IFERROR(IF(VALUE(LEFT(AD205,2))&lt;=2,"EC",IF(OR(VALUE(LEFT(AD205,2))=8,VALUE(LEFT(AD205,2))=18),"NW","Other")),"Other")</f>
        <v>Other</v>
      </c>
      <c r="AH205" s="92" t="str">
        <f t="shared" ref="AH205:AH218" si="9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50-27 --locoid 4026 --swversion DE.1.0.8.0 --startMP 300:58640 --initTime 2016-11-27T23:52:22 --startdatetime 1969-12-31T17:00:00 --delay 1 --endMP 300:28795 --enddatetime 1969-12-31T17:00:00 --enforcementcount 0 &gt;&gt;C:\Users\stu\Documents\GitHub\eaglep3-reporting\EC\2016-11-27-refined-times.txt</v>
      </c>
      <c r="AI205" s="119" t="str">
        <f t="shared" ref="AI205:AI218" si="9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ID","value":"50-27"},{"id":16,"name":"Locomotive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429</v>
      </c>
      <c r="B206" s="7">
        <v>4026</v>
      </c>
      <c r="C206" s="22" t="s">
        <v>215</v>
      </c>
      <c r="D206" s="22" t="s">
        <v>755</v>
      </c>
      <c r="E206" s="13">
        <v>42701.945138888892</v>
      </c>
      <c r="F206" s="13">
        <v>42701.948831018519</v>
      </c>
      <c r="G206" s="7">
        <v>3</v>
      </c>
      <c r="H206" s="22" t="s">
        <v>756</v>
      </c>
      <c r="I206" s="13">
        <v>42701.95521990741</v>
      </c>
      <c r="J206" s="7">
        <v>0</v>
      </c>
      <c r="K206" s="109" t="str">
        <f t="shared" si="80"/>
        <v>4025/4026</v>
      </c>
      <c r="L206" s="22" t="str">
        <f>VLOOKUP(A206,'Trips&amp;Operators'!$C$1:$E$10000,3,FALSE)</f>
        <v>NELSON</v>
      </c>
      <c r="M206" s="6">
        <f t="shared" si="81"/>
        <v>6.3888888907968067E-3</v>
      </c>
      <c r="N206" s="7">
        <f t="shared" si="82"/>
        <v>9.2000000027474016</v>
      </c>
      <c r="O206" s="7"/>
      <c r="P206" s="7"/>
      <c r="Q206" s="23"/>
      <c r="R206" s="23"/>
      <c r="S206" s="35">
        <f t="shared" si="83"/>
        <v>0</v>
      </c>
      <c r="T206" s="50" t="e">
        <f t="shared" si="84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21:41:00-700',mode:absolute,to:'2016-11-27 23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6" s="52" t="str">
        <f t="shared" si="86"/>
        <v>Y</v>
      </c>
      <c r="X206" s="177" t="e">
        <f t="shared" si="79"/>
        <v>#VALUE!</v>
      </c>
      <c r="Y206" s="67">
        <f t="shared" si="87"/>
        <v>5.8666</v>
      </c>
      <c r="Z206" s="67">
        <f t="shared" si="78"/>
        <v>1.6451</v>
      </c>
      <c r="AA206" s="67">
        <f t="shared" si="88"/>
        <v>4.2214999999999998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9"/>
        <v>50-27</v>
      </c>
      <c r="AE206" s="91" t="str">
        <f t="shared" si="90"/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AF206" s="88" t="str">
        <f t="shared" si="91"/>
        <v>"C:\Program Files (x86)\AstroGrep\AstroGrep.exe" /spath="%USERPROFILE%\AppData\Local\Temp\OnboardLogs" /stypes="app*4026*20161128*" /stext=" 05:.+((SYSTEM_STATE.+slice.+state.+changed )|(ment ac)|(multiple cpu faults)|(system.+state.+changed )|(\[timeout)|(PRM\|1\|D)|(kpr)|(kdp)|(\|lc)|(penalty))" /e /r /s</v>
      </c>
      <c r="AG206" s="1" t="str">
        <f t="shared" si="92"/>
        <v>Other</v>
      </c>
      <c r="AH206" s="92" t="str">
        <f t="shared" si="93"/>
        <v>"%USERPROFILE%\Documents\GitHub\eaglep3\Utilities\RefineRTDCRunTimes.py" --tripid 50-27 --locoid 4026 --swversion DE.1.0.8.0 --startMP 300:58666 --initTime 2016-11-27T22:41:00 --startdatetime 2016-11-27T22:46:19 --delay 3 --endMP 300:16451 --enddatetime 2016-11-27T22:55:31 --enforcementcount 0 &gt;&gt;C:\Users\stu\Documents\GitHub\eaglep3-reporting\EC\2016-11-27-refined-times.txt</v>
      </c>
      <c r="AI206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{"issue":{"subject":"","project_id":79,"tracker_id":40,"status_id":1,"priority_id":2,"assigned_to_id":23,"start_date":"2016-11-27","description":"","custom_fields":[{"id":1,"name":"Subdivision","value":"Other"},{"id":4,"name":"Milepost","value":"1.6451"},{"id":17,"name":"Train ID","value":"50-27"},{"id":16,"name":"Locomotive ID","value":"4026"},{"id":130,"name":"Impact","value":""},{"id":150,"name":"Time of Event (Mountain Time)","value":"22:55:31"},{"id":151,"name":"Denver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590</v>
      </c>
      <c r="B207" s="7">
        <v>4025</v>
      </c>
      <c r="C207" s="22" t="s">
        <v>215</v>
      </c>
      <c r="D207" s="22" t="s">
        <v>343</v>
      </c>
      <c r="E207" s="13">
        <v>42701.978206018517</v>
      </c>
      <c r="F207" s="13">
        <v>42701.979895833334</v>
      </c>
      <c r="G207" s="7">
        <v>1</v>
      </c>
      <c r="H207" s="22" t="s">
        <v>757</v>
      </c>
      <c r="I207" s="13">
        <v>42701.992268518516</v>
      </c>
      <c r="J207" s="7">
        <v>0</v>
      </c>
      <c r="K207" s="109" t="str">
        <f t="shared" si="80"/>
        <v>4025/4026</v>
      </c>
      <c r="L207" s="22" t="str">
        <f>VLOOKUP(A207,'Trips&amp;Operators'!$C$1:$E$10000,3,FALSE)</f>
        <v>NELSON</v>
      </c>
      <c r="M207" s="6">
        <f t="shared" si="81"/>
        <v>1.2372685181617271E-2</v>
      </c>
      <c r="N207" s="7">
        <f t="shared" si="82"/>
        <v>17.81666666152887</v>
      </c>
      <c r="O207" s="7"/>
      <c r="P207" s="7"/>
      <c r="Q207" s="23"/>
      <c r="R207" s="23"/>
      <c r="S207" s="35">
        <f t="shared" si="83"/>
        <v>0</v>
      </c>
      <c r="T207" s="50" t="e">
        <f t="shared" si="84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22:28:37-700',mode:absolute,to:'2016-11-28 00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7" s="52" t="str">
        <f t="shared" si="86"/>
        <v>N</v>
      </c>
      <c r="X207" s="177" t="e">
        <f t="shared" si="79"/>
        <v>#VALUE!</v>
      </c>
      <c r="Y207" s="67">
        <f t="shared" si="87"/>
        <v>9.6500000000000002E-2</v>
      </c>
      <c r="Z207" s="67">
        <f t="shared" si="78"/>
        <v>5.8967000000000001</v>
      </c>
      <c r="AA207" s="67">
        <f t="shared" si="88"/>
        <v>5.8002000000000002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9"/>
        <v>51-27</v>
      </c>
      <c r="AE207" s="91" t="str">
        <f t="shared" si="90"/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AF207" s="88" t="str">
        <f t="shared" si="91"/>
        <v>"C:\Program Files (x86)\AstroGrep\AstroGrep.exe" /spath="%USERPROFILE%\AppData\Local\Temp\OnboardLogs" /stypes="app*4025*20161128*" /stext=" 06:.+((SYSTEM_STATE.+slice.+state.+changed )|(ment ac)|(multiple cpu faults)|(system.+state.+changed )|(\[timeout)|(PRM\|1\|D)|(kpr)|(kdp)|(\|lc)|(penalty))" /e /r /s</v>
      </c>
      <c r="AG207" s="1" t="str">
        <f t="shared" si="92"/>
        <v>Other</v>
      </c>
      <c r="AH207" s="92" t="str">
        <f t="shared" si="93"/>
        <v>"%USERPROFILE%\Documents\GitHub\eaglep3\Utilities\RefineRTDCRunTimes.py" --tripid 51-27 --locoid 4025 --swversion DE.1.0.8.0 --startMP 204:965 --initTime 2016-11-27T23:28:37 --startdatetime 2016-11-27T23:31:03 --delay 1 --endMP 300:58967 --enddatetime 2016-11-27T23:48:52 --enforcementcount 0 &gt;&gt;C:\Users\stu\Documents\GitHub\eaglep3-reporting\EC\2016-11-27-refined-times.txt</v>
      </c>
      <c r="AI207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{"issue":{"subject":"","project_id":79,"tracker_id":40,"status_id":1,"priority_id":2,"assigned_to_id":23,"start_date":"2016-11-27","description":"","custom_fields":[{"id":1,"name":"Subdivision","value":"Other"},{"id":4,"name":"Milepost","value":"5.8967"},{"id":17,"name":"Train ID","value":"51-27"},{"id":16,"name":"Locomotive ID","value":"4025"},{"id":130,"name":"Impact","value":""},{"id":150,"name":"Time of Event (Mountain Time)","value":"23:48:52"},{"id":151,"name":"Denver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541</v>
      </c>
      <c r="B208" s="7">
        <v>4043</v>
      </c>
      <c r="C208" s="22" t="s">
        <v>215</v>
      </c>
      <c r="D208" s="22" t="s">
        <v>758</v>
      </c>
      <c r="E208" s="13">
        <v>42701.681689814817</v>
      </c>
      <c r="F208" s="13">
        <v>25568.708333333332</v>
      </c>
      <c r="G208" s="7">
        <v>2</v>
      </c>
      <c r="H208" s="22" t="s">
        <v>758</v>
      </c>
      <c r="I208" s="13">
        <v>25568.708333333332</v>
      </c>
      <c r="J208" s="7">
        <v>0</v>
      </c>
      <c r="K208" s="109" t="str">
        <f t="shared" si="80"/>
        <v>4043/4044</v>
      </c>
      <c r="L208" s="22" t="str">
        <f>VLOOKUP(A208,'Trips&amp;Operators'!$C$1:$E$10000,3,FALSE)</f>
        <v>SMITH</v>
      </c>
      <c r="M208" s="6">
        <f t="shared" si="81"/>
        <v>0</v>
      </c>
      <c r="N208" s="7">
        <f t="shared" si="82"/>
        <v>0</v>
      </c>
      <c r="O208" s="7"/>
      <c r="P208" s="7"/>
      <c r="Q208" s="23"/>
      <c r="R208" s="23"/>
      <c r="S208" s="35">
        <f t="shared" si="83"/>
        <v>0</v>
      </c>
      <c r="T208" s="50" t="e">
        <f t="shared" si="84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15:21:38-700',mode:absolute,to:'1969-12-31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8" s="52" t="str">
        <f t="shared" si="86"/>
        <v>Y</v>
      </c>
      <c r="X208" s="177" t="e">
        <f t="shared" si="79"/>
        <v>#VALUE!</v>
      </c>
      <c r="Y208" s="67">
        <f t="shared" si="87"/>
        <v>2.1100000000000001E-2</v>
      </c>
      <c r="Z208" s="67">
        <f t="shared" si="78"/>
        <v>2.1100000000000001E-2</v>
      </c>
      <c r="AA208" s="67">
        <f t="shared" si="88"/>
        <v>0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9"/>
        <v>57-27</v>
      </c>
      <c r="AE208" s="91" t="str">
        <f t="shared" si="90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08" s="88" t="str">
        <f t="shared" si="91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08" s="1" t="str">
        <f t="shared" si="92"/>
        <v>Other</v>
      </c>
      <c r="AH208" s="92" t="str">
        <f t="shared" si="93"/>
        <v>"%USERPROFILE%\Documents\GitHub\eaglep3\Utilities\RefineRTDCRunTimes.py" --tripid 57-27 --locoid 4043 --swversion DE.1.0.8.0 --startMP 204:211 --initTime 2016-11-27T16:21:38 --startdatetime 1969-12-31T17:00:00 --delay 2 --endMP 204:211 --enddatetime 1969-12-31T17:00:00 --enforcementcount 0 &gt;&gt;C:\Users\stu\Documents\GitHub\eaglep3-reporting\EC\2016-11-27-refined-times.txt</v>
      </c>
      <c r="AI208" s="119" t="str">
        <f t="shared" si="94"/>
        <v>echo {"issue":{"subject":"","project_id":79,"tracker_id":40,"status_id":1,"priority_id":2,"assigned_to_id":23,"start_date":"1969-12-31","description":"","custom_fields":[{"id":1,"name":"Subdivision","value":"Other"},{"id":4,"name":"Milepost","value":"0.0211"},{"id":17,"name":"Train ID","value":"57-27"},{"id":16,"name":"Locomotive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541</v>
      </c>
      <c r="B209" s="7">
        <v>4044</v>
      </c>
      <c r="C209" s="22" t="s">
        <v>215</v>
      </c>
      <c r="D209" s="22" t="s">
        <v>759</v>
      </c>
      <c r="E209" s="13">
        <v>42701.679849537039</v>
      </c>
      <c r="F209" s="13">
        <v>25568.708333333332</v>
      </c>
      <c r="G209" s="7">
        <v>1</v>
      </c>
      <c r="H209" s="22" t="s">
        <v>760</v>
      </c>
      <c r="I209" s="13">
        <v>25568.708333333332</v>
      </c>
      <c r="J209" s="7">
        <v>0</v>
      </c>
      <c r="K209" s="109" t="str">
        <f t="shared" si="80"/>
        <v>4043/4044</v>
      </c>
      <c r="L209" s="22" t="str">
        <f>VLOOKUP(A209,'Trips&amp;Operators'!$C$1:$E$10000,3,FALSE)</f>
        <v>SMITH</v>
      </c>
      <c r="M209" s="6">
        <f t="shared" si="81"/>
        <v>0</v>
      </c>
      <c r="N209" s="7">
        <f t="shared" si="82"/>
        <v>0</v>
      </c>
      <c r="O209" s="7"/>
      <c r="P209" s="7"/>
      <c r="Q209" s="23"/>
      <c r="R209" s="23"/>
      <c r="S209" s="35">
        <f t="shared" si="83"/>
        <v>0</v>
      </c>
      <c r="T209" s="50" t="e">
        <f t="shared" si="84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15:18:59-700',mode:absolute,to:'1969-12-31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9" s="52" t="str">
        <f t="shared" si="86"/>
        <v>Y</v>
      </c>
      <c r="X209" s="177" t="e">
        <f t="shared" si="79"/>
        <v>#VALUE!</v>
      </c>
      <c r="Y209" s="67">
        <f t="shared" si="87"/>
        <v>4.2599999999999999E-2</v>
      </c>
      <c r="Z209" s="67">
        <f t="shared" si="78"/>
        <v>4.2799999999999998E-2</v>
      </c>
      <c r="AA209" s="67">
        <f t="shared" si="88"/>
        <v>1.9999999999999879E-4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9"/>
        <v>57-27</v>
      </c>
      <c r="AE209" s="91" t="str">
        <f t="shared" si="90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9" s="88" t="str">
        <f t="shared" si="91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9" s="1" t="str">
        <f t="shared" si="92"/>
        <v>Other</v>
      </c>
      <c r="AH209" s="92" t="str">
        <f t="shared" si="93"/>
        <v>"%USERPROFILE%\Documents\GitHub\eaglep3\Utilities\RefineRTDCRunTimes.py" --tripid 57-27 --locoid 4044 --swversion DE.1.0.8.0 --startMP 204:426 --initTime 2016-11-27T16:18:59 --startdatetime 1969-12-31T17:00:00 --delay 1 --endMP 204:428 --enddatetime 1969-12-31T17:00:00 --enforcementcount 0 &gt;&gt;C:\Users\stu\Documents\GitHub\eaglep3-reporting\EC\2016-11-27-refined-times.txt</v>
      </c>
      <c r="AI209" s="119" t="str">
        <f t="shared" si="94"/>
        <v>echo {"issue":{"subject":"","project_id":79,"tracker_id":40,"status_id":1,"priority_id":2,"assigned_to_id":23,"start_date":"1969-12-31","description":"","custom_fields":[{"id":1,"name":"Subdivision","value":"Other"},{"id":4,"name":"Milepost","value":"0.0428"},{"id":17,"name":"Train ID","value":"57-27"},{"id":16,"name":"Locomotive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423</v>
      </c>
      <c r="B210" s="7">
        <v>4030</v>
      </c>
      <c r="C210" s="22" t="s">
        <v>215</v>
      </c>
      <c r="D210" s="22" t="s">
        <v>761</v>
      </c>
      <c r="E210" s="13">
        <v>42701.752083333333</v>
      </c>
      <c r="F210" s="13">
        <v>42701.753530092596</v>
      </c>
      <c r="G210" s="7">
        <v>1</v>
      </c>
      <c r="H210" s="22" t="s">
        <v>762</v>
      </c>
      <c r="I210" s="13">
        <v>42701.759039351855</v>
      </c>
      <c r="J210" s="7">
        <v>0</v>
      </c>
      <c r="K210" s="109" t="str">
        <f t="shared" si="80"/>
        <v>4029/4030</v>
      </c>
      <c r="L210" s="22" t="str">
        <f>VLOOKUP(A210,'Trips&amp;Operators'!$C$1:$E$10000,3,FALSE)</f>
        <v>MACDONALD</v>
      </c>
      <c r="M210" s="6">
        <f t="shared" si="81"/>
        <v>5.5092592592700385E-3</v>
      </c>
      <c r="N210" s="7">
        <f t="shared" si="82"/>
        <v>7.9333333333488554</v>
      </c>
      <c r="O210" s="7"/>
      <c r="P210" s="7"/>
      <c r="Q210" s="23"/>
      <c r="R210" s="23"/>
      <c r="S210" s="35">
        <f t="shared" si="83"/>
        <v>0</v>
      </c>
      <c r="T210" s="50" t="e">
        <f t="shared" si="84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17:03:00-700',mode:absolute,to:'2016-11-27 19:13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0" s="52" t="str">
        <f t="shared" si="86"/>
        <v>Y</v>
      </c>
      <c r="X210" s="177" t="e">
        <f t="shared" si="79"/>
        <v>#VALUE!</v>
      </c>
      <c r="Y210" s="67">
        <f t="shared" si="87"/>
        <v>2.1743999999999999</v>
      </c>
      <c r="Z210" s="67">
        <f t="shared" si="78"/>
        <v>8.9899999999999994E-2</v>
      </c>
      <c r="AA210" s="67">
        <f t="shared" si="88"/>
        <v>2.0844999999999998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9"/>
        <v>64-27</v>
      </c>
      <c r="AE210" s="91" t="str">
        <f t="shared" si="90"/>
        <v>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 &amp; aws s3 cp s3://rtdc.mdm.uploadarchive.raw/RTDC4030/ "%USERPROFILE%\AppData\Local\Temp\OnboardLogs"\RTDC4030\2016-11-28 --exclude "*" --recursive --include "*20161128*" &amp; "%USERPROFILE%\Documents\GitHub\mrs-test-scripts\Headless Mode &amp; Sideloading\WalkAndUnGZ.bat" "%USERPROFILE%\AppData\Local\Temp\OnboardLogs"\RTDC4030\2016-11-28</v>
      </c>
      <c r="AF210" s="88" t="str">
        <f t="shared" si="91"/>
        <v>"C:\Program Files (x86)\AstroGrep\AstroGrep.exe" /spath="%USERPROFILE%\AppData\Local\Temp\OnboardLogs" /stypes="app*4030*20161128*" /stext=" 01:.+((SYSTEM_STATE.+slice.+state.+changed )|(ment ac)|(multiple cpu faults)|(system.+state.+changed )|(\[timeout)|(PRM\|1\|D)|(kpr)|(kdp)|(\|lc)|(penalty))" /e /r /s</v>
      </c>
      <c r="AG210" s="1" t="str">
        <f t="shared" si="92"/>
        <v>Other</v>
      </c>
      <c r="AH210" s="92" t="str">
        <f t="shared" si="93"/>
        <v>"%USERPROFILE%\Documents\GitHub\eaglep3\Utilities\RefineRTDCRunTimes.py" --tripid 64-27 --locoid 4030 --swversion DE.1.0.8.0 --startMP 300:21744 --initTime 2016-11-27T18:03:00 --startdatetime 2016-11-27T18:05:05 --delay 1 --endMP 204:899 --enddatetime 2016-11-27T18:13:01 --enforcementcount 0 &gt;&gt;C:\Users\stu\Documents\GitHub\eaglep3-reporting\EC\2016-11-27-refined-times.txt</v>
      </c>
      <c r="AI210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{"issue":{"subject":"","project_id":79,"tracker_id":40,"status_id":1,"priority_id":2,"assigned_to_id":23,"start_date":"2016-11-27","description":"","custom_fields":[{"id":1,"name":"Subdivision","value":"Other"},{"id":4,"name":"Milepost","value":"0.0899"},{"id":17,"name":"Train ID","value":"64-27"},{"id":16,"name":"Locomotive ID","value":"4030"},{"id":130,"name":"Impact","value":""},{"id":150,"name":"Time of Event (Mountain Time)","value":"18:13:01"},{"id":151,"name":"Denver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424</v>
      </c>
      <c r="B211" s="7">
        <v>4052</v>
      </c>
      <c r="C211" s="22" t="s">
        <v>215</v>
      </c>
      <c r="D211" s="22" t="s">
        <v>763</v>
      </c>
      <c r="E211" s="13">
        <v>42701.898576388892</v>
      </c>
      <c r="F211" s="13">
        <v>42701.90047453704</v>
      </c>
      <c r="G211" s="7">
        <v>2</v>
      </c>
      <c r="H211" s="22" t="s">
        <v>764</v>
      </c>
      <c r="I211" s="13">
        <v>42701.918368055558</v>
      </c>
      <c r="J211" s="7">
        <v>0</v>
      </c>
      <c r="K211" s="109" t="str">
        <f t="shared" si="80"/>
        <v>4051/4052</v>
      </c>
      <c r="L211" s="22" t="str">
        <f>VLOOKUP(A211,'Trips&amp;Operators'!$C$1:$E$10000,3,FALSE)</f>
        <v>MCREYNOLDS</v>
      </c>
      <c r="M211" s="6">
        <f t="shared" si="81"/>
        <v>1.7893518517666962E-2</v>
      </c>
      <c r="N211" s="7">
        <f t="shared" si="82"/>
        <v>25.766666665440425</v>
      </c>
      <c r="O211" s="7"/>
      <c r="P211" s="7"/>
      <c r="Q211" s="23"/>
      <c r="R211" s="23"/>
      <c r="S211" s="35">
        <f t="shared" si="83"/>
        <v>0</v>
      </c>
      <c r="T211" s="50" t="e">
        <f t="shared" si="84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20:33:57-700',mode:absolute,to:'2016-11-27 23:02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1" s="52" t="str">
        <f t="shared" si="86"/>
        <v>N</v>
      </c>
      <c r="X211" s="177" t="e">
        <f t="shared" si="79"/>
        <v>#VALUE!</v>
      </c>
      <c r="Y211" s="67">
        <f t="shared" si="87"/>
        <v>12.908300000000001</v>
      </c>
      <c r="Z211" s="67">
        <f t="shared" si="78"/>
        <v>1.0999999999999999E-2</v>
      </c>
      <c r="AA211" s="67">
        <f t="shared" si="88"/>
        <v>12.897300000000001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9"/>
        <v>ATLANTIC-27</v>
      </c>
      <c r="AE211" s="91" t="str">
        <f t="shared" si="90"/>
        <v>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 &amp; aws s3 cp s3://rtdc.mdm.uploadarchive.raw/RTDC4052/ "%USERPROFILE%\AppData\Local\Temp\OnboardLogs"\RTDC4052\2016-11-28 --exclude "*" --recursive --include "*20161128*" &amp; "%USERPROFILE%\Documents\GitHub\mrs-test-scripts\Headless Mode &amp; Sideloading\WalkAndUnGZ.bat" "%USERPROFILE%\AppData\Local\Temp\OnboardLogs"\RTDC4052\2016-11-28</v>
      </c>
      <c r="AF211" s="88" t="str">
        <f t="shared" si="91"/>
        <v>"C:\Program Files (x86)\AstroGrep\AstroGrep.exe" /spath="%USERPROFILE%\AppData\Local\Temp\OnboardLogs" /stypes="app*4052*20161128*" /stext=" 05:.+((SYSTEM_STATE.+slice.+state.+changed )|(ment ac)|(multiple cpu faults)|(system.+state.+changed )|(\[timeout)|(PRM\|1\|D)|(kpr)|(kdp)|(\|lc)|(penalty))" /e /r /s</v>
      </c>
      <c r="AG211" s="1" t="str">
        <f t="shared" si="92"/>
        <v>Other</v>
      </c>
      <c r="AH211" s="92" t="str">
        <f t="shared" si="93"/>
        <v>"%USERPROFILE%\Documents\GitHub\eaglep3\Utilities\RefineRTDCRunTimes.py" --tripid ATLANTIC-27 --locoid 4052 --swversion DE.1.0.8.0 --startMP 204:129083 --initTime 2016-11-27T21:33:57 --startdatetime 2016-11-27T21:36:41 --delay 2 --endMP 204:110 --enddatetime 2016-11-27T22:02:27 --enforcementcount 0 &gt;&gt;C:\Users\stu\Documents\GitHub\eaglep3-reporting\EC\2016-11-27-refined-times.txt</v>
      </c>
      <c r="AI211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{"issue":{"subject":"","project_id":79,"tracker_id":40,"status_id":1,"priority_id":2,"assigned_to_id":23,"start_date":"2016-11-27","description":"","custom_fields":[{"id":1,"name":"Subdivision","value":"Other"},{"id":4,"name":"Milepost","value":"0.011"},{"id":17,"name":"Train ID","value":"ATLANTIC-27"},{"id":16,"name":"Locomotive ID","value":"4052"},{"id":130,"name":"Impact","value":""},{"id":150,"name":"Time of Event (Mountain Time)","value":"22:02:27"},{"id":151,"name":"Denver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424</v>
      </c>
      <c r="B212" s="7">
        <v>4052</v>
      </c>
      <c r="C212" s="22" t="s">
        <v>215</v>
      </c>
      <c r="D212" s="22" t="s">
        <v>765</v>
      </c>
      <c r="E212" s="13">
        <v>42701.820543981485</v>
      </c>
      <c r="F212" s="13">
        <v>42701.861828703702</v>
      </c>
      <c r="G212" s="7">
        <v>1</v>
      </c>
      <c r="H212" s="22" t="s">
        <v>766</v>
      </c>
      <c r="I212" s="13">
        <v>42701.877523148149</v>
      </c>
      <c r="J212" s="7">
        <v>0</v>
      </c>
      <c r="K212" s="109" t="str">
        <f t="shared" si="80"/>
        <v>4051/4052</v>
      </c>
      <c r="L212" s="22" t="str">
        <f>VLOOKUP(A212,'Trips&amp;Operators'!$C$1:$E$10000,3,FALSE)</f>
        <v>MCREYNOLDS</v>
      </c>
      <c r="M212" s="6">
        <f t="shared" si="81"/>
        <v>1.5694444446125999E-2</v>
      </c>
      <c r="N212" s="7">
        <f t="shared" si="82"/>
        <v>22.600000002421439</v>
      </c>
      <c r="O212" s="7"/>
      <c r="P212" s="7"/>
      <c r="Q212" s="23"/>
      <c r="R212" s="23"/>
      <c r="S212" s="35">
        <f t="shared" si="83"/>
        <v>0</v>
      </c>
      <c r="T212" s="50" t="e">
        <f t="shared" si="84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18:41:35-700',mode:absolute,to:'2016-11-27 22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2" s="52" t="str">
        <f t="shared" si="86"/>
        <v>N</v>
      </c>
      <c r="X212" s="177" t="e">
        <f t="shared" si="79"/>
        <v>#VALUE!</v>
      </c>
      <c r="Y212" s="67">
        <f t="shared" si="87"/>
        <v>12.9244</v>
      </c>
      <c r="Z212" s="67">
        <f t="shared" si="78"/>
        <v>1.0150999999999999</v>
      </c>
      <c r="AA212" s="67">
        <f t="shared" si="88"/>
        <v>11.9093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9"/>
        <v>ATLANTIC-27</v>
      </c>
      <c r="AE212" s="91" t="str">
        <f t="shared" si="90"/>
        <v>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 &amp; aws s3 cp s3://rtdc.mdm.uploadarchive.raw/RTDC4052/ "%USERPROFILE%\AppData\Local\Temp\OnboardLogs"\RTDC4052\2016-11-28 --exclude "*" --recursive --include "*20161128*" &amp; "%USERPROFILE%\Documents\GitHub\mrs-test-scripts\Headless Mode &amp; Sideloading\WalkAndUnGZ.bat" "%USERPROFILE%\AppData\Local\Temp\OnboardLogs"\RTDC4052\2016-11-28</v>
      </c>
      <c r="AF212" s="88" t="str">
        <f t="shared" si="91"/>
        <v>"C:\Program Files (x86)\AstroGrep\AstroGrep.exe" /spath="%USERPROFILE%\AppData\Local\Temp\OnboardLogs" /stypes="app*4052*20161128*" /stext=" 04:.+((SYSTEM_STATE.+slice.+state.+changed )|(ment ac)|(multiple cpu faults)|(system.+state.+changed )|(\[timeout)|(PRM\|1\|D)|(kpr)|(kdp)|(\|lc)|(penalty))" /e /r /s</v>
      </c>
      <c r="AG212" s="1" t="str">
        <f t="shared" si="92"/>
        <v>Other</v>
      </c>
      <c r="AH212" s="92" t="str">
        <f t="shared" si="93"/>
        <v>"%USERPROFILE%\Documents\GitHub\eaglep3\Utilities\RefineRTDCRunTimes.py" --tripid ATLANTIC-27 --locoid 4052 --swversion DE.1.0.8.0 --startMP 204:129244 --initTime 2016-11-27T19:41:35 --startdatetime 2016-11-27T20:41:02 --delay 1 --endMP 204:10151 --enddatetime 2016-11-27T21:03:38 --enforcementcount 0 &gt;&gt;C:\Users\stu\Documents\GitHub\eaglep3-reporting\EC\2016-11-27-refined-times.txt</v>
      </c>
      <c r="AI212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{"issue":{"subject":"","project_id":79,"tracker_id":40,"status_id":1,"priority_id":2,"assigned_to_id":23,"start_date":"2016-11-27","description":"","custom_fields":[{"id":1,"name":"Subdivision","value":"Other"},{"id":4,"name":"Milepost","value":"1.0151"},{"id":17,"name":"Train ID","value":"ATLANTIC-27"},{"id":16,"name":"Locomotive ID","value":"4052"},{"id":130,"name":"Impact","value":""},{"id":150,"name":"Time of Event (Mountain Time)","value":"21:03:38"},{"id":151,"name":"Denver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424</v>
      </c>
      <c r="B213" s="7">
        <v>4052</v>
      </c>
      <c r="C213" s="22" t="s">
        <v>215</v>
      </c>
      <c r="D213" s="22" t="s">
        <v>767</v>
      </c>
      <c r="E213" s="13">
        <v>42701.86037037037</v>
      </c>
      <c r="F213" s="13">
        <v>42701.861828703702</v>
      </c>
      <c r="G213" s="7">
        <v>1</v>
      </c>
      <c r="H213" s="22" t="s">
        <v>768</v>
      </c>
      <c r="I213" s="13">
        <v>42701.877523148149</v>
      </c>
      <c r="J213" s="7">
        <v>0</v>
      </c>
      <c r="K213" s="109" t="str">
        <f t="shared" si="80"/>
        <v>4051/4052</v>
      </c>
      <c r="L213" s="22" t="str">
        <f>VLOOKUP(A213,'Trips&amp;Operators'!$C$1:$E$10000,3,FALSE)</f>
        <v>MCREYNOLDS</v>
      </c>
      <c r="M213" s="6">
        <f t="shared" si="81"/>
        <v>1.5694444446125999E-2</v>
      </c>
      <c r="N213" s="7">
        <f t="shared" si="82"/>
        <v>22.600000002421439</v>
      </c>
      <c r="O213" s="7"/>
      <c r="P213" s="7"/>
      <c r="Q213" s="23"/>
      <c r="R213" s="23"/>
      <c r="S213" s="35">
        <f t="shared" si="83"/>
        <v>0</v>
      </c>
      <c r="T213" s="50" t="e">
        <f t="shared" si="84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19:38:56-700',mode:absolute,to:'2016-11-27 22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3" s="52" t="str">
        <f t="shared" si="86"/>
        <v>N</v>
      </c>
      <c r="X213" s="177" t="e">
        <f t="shared" si="79"/>
        <v>#VALUE!</v>
      </c>
      <c r="Y213" s="67">
        <f t="shared" si="87"/>
        <v>12.931100000000001</v>
      </c>
      <c r="Z213" s="67">
        <f t="shared" si="78"/>
        <v>0.99560000000000004</v>
      </c>
      <c r="AA213" s="67">
        <f t="shared" si="88"/>
        <v>11.935500000000001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9"/>
        <v>ATLANTIC-27</v>
      </c>
      <c r="AE213" s="91" t="str">
        <f t="shared" si="90"/>
        <v>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 &amp; aws s3 cp s3://rtdc.mdm.uploadarchive.raw/RTDC4052/ "%USERPROFILE%\AppData\Local\Temp\OnboardLogs"\RTDC4052\2016-11-28 --exclude "*" --recursive --include "*20161128*" &amp; "%USERPROFILE%\Documents\GitHub\mrs-test-scripts\Headless Mode &amp; Sideloading\WalkAndUnGZ.bat" "%USERPROFILE%\AppData\Local\Temp\OnboardLogs"\RTDC4052\2016-11-28</v>
      </c>
      <c r="AF213" s="88" t="str">
        <f t="shared" si="91"/>
        <v>"C:\Program Files (x86)\AstroGrep\AstroGrep.exe" /spath="%USERPROFILE%\AppData\Local\Temp\OnboardLogs" /stypes="app*4052*20161128*" /stext=" 04:.+((SYSTEM_STATE.+slice.+state.+changed )|(ment ac)|(multiple cpu faults)|(system.+state.+changed )|(\[timeout)|(PRM\|1\|D)|(kpr)|(kdp)|(\|lc)|(penalty))" /e /r /s</v>
      </c>
      <c r="AG213" s="1" t="str">
        <f t="shared" si="92"/>
        <v>Other</v>
      </c>
      <c r="AH213" s="92" t="str">
        <f t="shared" si="93"/>
        <v>"%USERPROFILE%\Documents\GitHub\eaglep3\Utilities\RefineRTDCRunTimes.py" --tripid ATLANTIC-27 --locoid 4052 --swversion DE.1.0.8.0 --startMP 204:129311 --initTime 2016-11-27T20:38:56 --startdatetime 2016-11-27T20:41:02 --delay 1 --endMP 204:9956 --enddatetime 2016-11-27T21:03:38 --enforcementcount 0 &gt;&gt;C:\Users\stu\Documents\GitHub\eaglep3-reporting\EC\2016-11-27-refined-times.txt</v>
      </c>
      <c r="AI213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{"issue":{"subject":"","project_id":79,"tracker_id":40,"status_id":1,"priority_id":2,"assigned_to_id":23,"start_date":"2016-11-27","description":"","custom_fields":[{"id":1,"name":"Subdivision","value":"Other"},{"id":4,"name":"Milepost","value":"0.9956"},{"id":17,"name":"Train ID","value":"ATLANTIC-27"},{"id":16,"name":"Locomotive ID","value":"4052"},{"id":130,"name":"Impact","value":""},{"id":150,"name":"Time of Event (Mountain Time)","value":"21:03:38"},{"id":151,"name":"Denver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424</v>
      </c>
      <c r="B214" s="7">
        <v>4052</v>
      </c>
      <c r="C214" s="22" t="s">
        <v>215</v>
      </c>
      <c r="D214" s="22" t="s">
        <v>769</v>
      </c>
      <c r="E214" s="13">
        <v>42701.754120370373</v>
      </c>
      <c r="F214" s="13">
        <v>42701.755416666667</v>
      </c>
      <c r="G214" s="7">
        <v>1</v>
      </c>
      <c r="H214" s="22" t="s">
        <v>770</v>
      </c>
      <c r="I214" s="13">
        <v>42701.76289351852</v>
      </c>
      <c r="J214" s="7">
        <v>0</v>
      </c>
      <c r="K214" s="109" t="str">
        <f t="shared" si="80"/>
        <v>4051/4052</v>
      </c>
      <c r="L214" s="22" t="str">
        <f>VLOOKUP(A214,'Trips&amp;Operators'!$C$1:$E$10000,3,FALSE)</f>
        <v>MCREYNOLDS</v>
      </c>
      <c r="M214" s="6">
        <f t="shared" si="81"/>
        <v>7.4768518534256145E-3</v>
      </c>
      <c r="N214" s="7">
        <f t="shared" si="82"/>
        <v>10.766666668932885</v>
      </c>
      <c r="O214" s="7"/>
      <c r="P214" s="7"/>
      <c r="Q214" s="23"/>
      <c r="R214" s="23"/>
      <c r="S214" s="35">
        <f t="shared" si="83"/>
        <v>0</v>
      </c>
      <c r="T214" s="50" t="e">
        <f t="shared" si="84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17:05:56-700',mode:absolute,to:'2016-11-27 19:18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4" s="52" t="str">
        <f t="shared" si="86"/>
        <v>Y</v>
      </c>
      <c r="X214" s="177" t="e">
        <f t="shared" si="79"/>
        <v>#VALUE!</v>
      </c>
      <c r="Y214" s="67">
        <f t="shared" si="87"/>
        <v>3.0779000000000001</v>
      </c>
      <c r="Z214" s="67">
        <f t="shared" si="78"/>
        <v>8.6300000000000002E-2</v>
      </c>
      <c r="AA214" s="67">
        <f t="shared" si="88"/>
        <v>2.9916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9"/>
        <v>ATLANTIC-27</v>
      </c>
      <c r="AE214" s="91" t="str">
        <f t="shared" si="90"/>
        <v>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 &amp; aws s3 cp s3://rtdc.mdm.uploadarchive.raw/RTDC4052/ "%USERPROFILE%\AppData\Local\Temp\OnboardLogs"\RTDC4052\2016-11-28 --exclude "*" --recursive --include "*20161128*" &amp; "%USERPROFILE%\Documents\GitHub\mrs-test-scripts\Headless Mode &amp; Sideloading\WalkAndUnGZ.bat" "%USERPROFILE%\AppData\Local\Temp\OnboardLogs"\RTDC4052\2016-11-28</v>
      </c>
      <c r="AF214" s="88" t="str">
        <f t="shared" si="91"/>
        <v>"C:\Program Files (x86)\AstroGrep\AstroGrep.exe" /spath="%USERPROFILE%\AppData\Local\Temp\OnboardLogs" /stypes="app*4052*20161128*" /stext=" 01:.+((SYSTEM_STATE.+slice.+state.+changed )|(ment ac)|(multiple cpu faults)|(system.+state.+changed )|(\[timeout)|(PRM\|1\|D)|(kpr)|(kdp)|(\|lc)|(penalty))" /e /r /s</v>
      </c>
      <c r="AG214" s="1" t="str">
        <f t="shared" si="92"/>
        <v>Other</v>
      </c>
      <c r="AH214" s="92" t="str">
        <f t="shared" si="93"/>
        <v>"%USERPROFILE%\Documents\GitHub\eaglep3\Utilities\RefineRTDCRunTimes.py" --tripid ATLANTIC-27 --locoid 4052 --swversion DE.1.0.8.0 --startMP 300:30779 --initTime 2016-11-27T18:05:56 --startdatetime 2016-11-27T18:07:48 --delay 1 --endMP 204:863 --enddatetime 2016-11-27T18:18:34 --enforcementcount 0 &gt;&gt;C:\Users\stu\Documents\GitHub\eaglep3-reporting\EC\2016-11-27-refined-times.txt</v>
      </c>
      <c r="AI214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{"issue":{"subject":"","project_id":79,"tracker_id":40,"status_id":1,"priority_id":2,"assigned_to_id":23,"start_date":"2016-11-27","description":"","custom_fields":[{"id":1,"name":"Subdivision","value":"Other"},{"id":4,"name":"Milepost","value":"0.0863"},{"id":17,"name":"Train ID","value":"ATLANTIC-27"},{"id":16,"name":"Locomotive ID","value":"4052"},{"id":130,"name":"Impact","value":""},{"id":150,"name":"Time of Event (Mountain Time)","value":"18:18:34"},{"id":151,"name":"Denver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567</v>
      </c>
      <c r="B215" s="7">
        <v>4051</v>
      </c>
      <c r="C215" s="22" t="s">
        <v>215</v>
      </c>
      <c r="D215" s="22" t="s">
        <v>771</v>
      </c>
      <c r="E215" s="13">
        <v>42701.878958333335</v>
      </c>
      <c r="F215" s="13">
        <v>42701.881805555553</v>
      </c>
      <c r="G215" s="7">
        <v>2</v>
      </c>
      <c r="H215" s="22" t="s">
        <v>772</v>
      </c>
      <c r="I215" s="13">
        <v>42701.89702546296</v>
      </c>
      <c r="J215" s="7">
        <v>0</v>
      </c>
      <c r="K215" s="109" t="str">
        <f t="shared" si="80"/>
        <v>4051/4052</v>
      </c>
      <c r="L215" s="22" t="str">
        <f>VLOOKUP(A215,'Trips&amp;Operators'!$C$1:$E$10000,3,FALSE)</f>
        <v>MCREYNOLDS</v>
      </c>
      <c r="M215" s="6">
        <f t="shared" si="81"/>
        <v>1.5219907407299615E-2</v>
      </c>
      <c r="N215" s="7">
        <f t="shared" si="82"/>
        <v>21.916666666511446</v>
      </c>
      <c r="O215" s="7"/>
      <c r="P215" s="7"/>
      <c r="Q215" s="23"/>
      <c r="R215" s="23"/>
      <c r="S215" s="35">
        <f t="shared" si="83"/>
        <v>0</v>
      </c>
      <c r="T215" s="50" t="e">
        <f t="shared" si="84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20:05:42-700',mode:absolute,to:'2016-11-27 22:31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5" s="52" t="str">
        <f t="shared" si="86"/>
        <v>N</v>
      </c>
      <c r="X215" s="177" t="e">
        <f t="shared" si="79"/>
        <v>#VALUE!</v>
      </c>
      <c r="Y215" s="67">
        <f t="shared" si="87"/>
        <v>1.0185999999999999</v>
      </c>
      <c r="Z215" s="67">
        <f t="shared" si="78"/>
        <v>12.9459</v>
      </c>
      <c r="AA215" s="67">
        <f t="shared" si="88"/>
        <v>11.927300000000001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9"/>
        <v>PACIFIC-27</v>
      </c>
      <c r="AE215" s="91" t="str">
        <f t="shared" si="90"/>
        <v>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 &amp; aws s3 cp s3://rtdc.mdm.uploadarchive.raw/RTDC4051/ "%USERPROFILE%\AppData\Local\Temp\OnboardLogs"\RTDC4051\2016-11-28 --exclude "*" --recursive --include "*20161128*" &amp; "%USERPROFILE%\Documents\GitHub\mrs-test-scripts\Headless Mode &amp; Sideloading\WalkAndUnGZ.bat" "%USERPROFILE%\AppData\Local\Temp\OnboardLogs"\RTDC4051\2016-11-28</v>
      </c>
      <c r="AF215" s="88" t="str">
        <f t="shared" si="91"/>
        <v>"C:\Program Files (x86)\AstroGrep\AstroGrep.exe" /spath="%USERPROFILE%\AppData\Local\Temp\OnboardLogs" /stypes="app*4051*20161128*" /stext=" 04:.+((SYSTEM_STATE.+slice.+state.+changed )|(ment ac)|(multiple cpu faults)|(system.+state.+changed )|(\[timeout)|(PRM\|1\|D)|(kpr)|(kdp)|(\|lc)|(penalty))" /e /r /s</v>
      </c>
      <c r="AG215" s="1" t="str">
        <f t="shared" si="92"/>
        <v>Other</v>
      </c>
      <c r="AH215" s="92" t="str">
        <f t="shared" si="93"/>
        <v>"%USERPROFILE%\Documents\GitHub\eaglep3\Utilities\RefineRTDCRunTimes.py" --tripid PACIFIC-27 --locoid 4051 --swversion DE.1.0.8.0 --startMP 204:10186 --initTime 2016-11-27T21:05:42 --startdatetime 2016-11-27T21:09:48 --delay 2 --endMP 204:129459 --enddatetime 2016-11-27T21:31:43 --enforcementcount 0 &gt;&gt;C:\Users\stu\Documents\GitHub\eaglep3-reporting\EC\2016-11-27-refined-times.txt</v>
      </c>
      <c r="AI215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{"issue":{"subject":"","project_id":79,"tracker_id":40,"status_id":1,"priority_id":2,"assigned_to_id":23,"start_date":"2016-11-27","description":"","custom_fields":[{"id":1,"name":"Subdivision","value":"Other"},{"id":4,"name":"Milepost","value":"12.9459"},{"id":17,"name":"Train ID","value":"PACIFIC-27"},{"id":16,"name":"Locomotive ID","value":"4051"},{"id":130,"name":"Impact","value":""},{"id":150,"name":"Time of Event (Mountain Time)","value":"21:31:43"},{"id":151,"name":"Denver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567</v>
      </c>
      <c r="B216" s="7">
        <v>4051</v>
      </c>
      <c r="C216" s="22" t="s">
        <v>215</v>
      </c>
      <c r="D216" s="22" t="s">
        <v>773</v>
      </c>
      <c r="E216" s="13">
        <v>42701.841296296298</v>
      </c>
      <c r="F216" s="13">
        <v>42701.881805555553</v>
      </c>
      <c r="G216" s="7">
        <v>3</v>
      </c>
      <c r="H216" s="22" t="s">
        <v>774</v>
      </c>
      <c r="I216" s="13">
        <v>42701.89702546296</v>
      </c>
      <c r="J216" s="7">
        <v>0</v>
      </c>
      <c r="K216" s="109" t="str">
        <f t="shared" si="80"/>
        <v>4051/4052</v>
      </c>
      <c r="L216" s="22" t="str">
        <f>VLOOKUP(A216,'Trips&amp;Operators'!$C$1:$E$10000,3,FALSE)</f>
        <v>MCREYNOLDS</v>
      </c>
      <c r="M216" s="6">
        <f t="shared" si="81"/>
        <v>1.5219907407299615E-2</v>
      </c>
      <c r="N216" s="7">
        <f t="shared" si="82"/>
        <v>21.916666666511446</v>
      </c>
      <c r="O216" s="7"/>
      <c r="P216" s="7"/>
      <c r="Q216" s="23"/>
      <c r="R216" s="23"/>
      <c r="S216" s="35">
        <f t="shared" si="83"/>
        <v>0</v>
      </c>
      <c r="T216" s="50" t="e">
        <f t="shared" si="84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19:11:28-700',mode:absolute,to:'2016-11-27 22:31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6" s="52" t="str">
        <f t="shared" si="86"/>
        <v>N</v>
      </c>
      <c r="X216" s="177" t="e">
        <f t="shared" si="79"/>
        <v>#VALUE!</v>
      </c>
      <c r="Y216" s="67">
        <f t="shared" si="87"/>
        <v>1.0382</v>
      </c>
      <c r="Z216" s="67">
        <f t="shared" si="78"/>
        <v>12.9693</v>
      </c>
      <c r="AA216" s="67">
        <f t="shared" si="88"/>
        <v>11.931100000000001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9"/>
        <v>PACIFIC-27</v>
      </c>
      <c r="AE216" s="91" t="str">
        <f t="shared" si="90"/>
        <v>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 &amp; aws s3 cp s3://rtdc.mdm.uploadarchive.raw/RTDC4051/ "%USERPROFILE%\AppData\Local\Temp\OnboardLogs"\RTDC4051\2016-11-28 --exclude "*" --recursive --include "*20161128*" &amp; "%USERPROFILE%\Documents\GitHub\mrs-test-scripts\Headless Mode &amp; Sideloading\WalkAndUnGZ.bat" "%USERPROFILE%\AppData\Local\Temp\OnboardLogs"\RTDC4051\2016-11-28</v>
      </c>
      <c r="AF216" s="88" t="str">
        <f t="shared" si="91"/>
        <v>"C:\Program Files (x86)\AstroGrep\AstroGrep.exe" /spath="%USERPROFILE%\AppData\Local\Temp\OnboardLogs" /stypes="app*4051*20161128*" /stext=" 04:.+((SYSTEM_STATE.+slice.+state.+changed )|(ment ac)|(multiple cpu faults)|(system.+state.+changed )|(\[timeout)|(PRM\|1\|D)|(kpr)|(kdp)|(\|lc)|(penalty))" /e /r /s</v>
      </c>
      <c r="AG216" s="1" t="str">
        <f t="shared" si="92"/>
        <v>Other</v>
      </c>
      <c r="AH216" s="92" t="str">
        <f t="shared" si="93"/>
        <v>"%USERPROFILE%\Documents\GitHub\eaglep3\Utilities\RefineRTDCRunTimes.py" --tripid PACIFIC-27 --locoid 4051 --swversion DE.1.0.8.0 --startMP 204:10382 --initTime 2016-11-27T20:11:28 --startdatetime 2016-11-27T21:09:48 --delay 3 --endMP 204:129693 --enddatetime 2016-11-27T21:31:43 --enforcementcount 0 &gt;&gt;C:\Users\stu\Documents\GitHub\eaglep3-reporting\EC\2016-11-27-refined-times.txt</v>
      </c>
      <c r="AI216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{"issue":{"subject":"","project_id":79,"tracker_id":40,"status_id":1,"priority_id":2,"assigned_to_id":23,"start_date":"2016-11-27","description":"","custom_fields":[{"id":1,"name":"Subdivision","value":"Other"},{"id":4,"name":"Milepost","value":"12.9693"},{"id":17,"name":"Train ID","value":"PACIFIC-27"},{"id":16,"name":"Locomotive ID","value":"4051"},{"id":130,"name":"Impact","value":""},{"id":150,"name":"Time of Event (Mountain Time)","value":"21:31:43"},{"id":151,"name":"Denver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567</v>
      </c>
      <c r="B217" s="7">
        <v>4051</v>
      </c>
      <c r="C217" s="22" t="s">
        <v>215</v>
      </c>
      <c r="D217" s="22" t="s">
        <v>775</v>
      </c>
      <c r="E217" s="13">
        <v>42701.783368055556</v>
      </c>
      <c r="F217" s="13">
        <v>42701.799027777779</v>
      </c>
      <c r="G217" s="7">
        <v>5</v>
      </c>
      <c r="H217" s="22" t="s">
        <v>776</v>
      </c>
      <c r="I217" s="13">
        <v>42701.819212962961</v>
      </c>
      <c r="J217" s="7">
        <v>0</v>
      </c>
      <c r="K217" s="109" t="str">
        <f t="shared" si="80"/>
        <v>4051/4052</v>
      </c>
      <c r="L217" s="22" t="str">
        <f>VLOOKUP(A217,'Trips&amp;Operators'!$C$1:$E$10000,3,FALSE)</f>
        <v>MCREYNOLDS</v>
      </c>
      <c r="M217" s="6">
        <f t="shared" si="81"/>
        <v>2.0185185181617271E-2</v>
      </c>
      <c r="N217" s="7">
        <f t="shared" si="82"/>
        <v>29.06666666152887</v>
      </c>
      <c r="O217" s="7"/>
      <c r="P217" s="7"/>
      <c r="Q217" s="23"/>
      <c r="R217" s="23"/>
      <c r="S217" s="35">
        <f t="shared" si="83"/>
        <v>0</v>
      </c>
      <c r="T217" s="50" t="e">
        <f t="shared" si="84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17:48:03-700',mode:absolute,to:'2016-11-27 20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7" s="52" t="str">
        <f t="shared" si="86"/>
        <v>N</v>
      </c>
      <c r="X217" s="177" t="e">
        <f t="shared" si="79"/>
        <v>#VALUE!</v>
      </c>
      <c r="Y217" s="67">
        <f t="shared" si="87"/>
        <v>0.1179</v>
      </c>
      <c r="Z217" s="67">
        <f t="shared" si="78"/>
        <v>12.962199999999999</v>
      </c>
      <c r="AA217" s="67">
        <f t="shared" si="88"/>
        <v>12.844299999999999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9"/>
        <v>PACIFIC-27</v>
      </c>
      <c r="AE217" s="91" t="str">
        <f t="shared" si="90"/>
        <v>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 &amp; aws s3 cp s3://rtdc.mdm.uploadarchive.raw/RTDC4051/ "%USERPROFILE%\AppData\Local\Temp\OnboardLogs"\RTDC4051\2016-11-28 --exclude "*" --recursive --include "*20161128*" &amp; "%USERPROFILE%\Documents\GitHub\mrs-test-scripts\Headless Mode &amp; Sideloading\WalkAndUnGZ.bat" "%USERPROFILE%\AppData\Local\Temp\OnboardLogs"\RTDC4051\2016-11-28</v>
      </c>
      <c r="AF217" s="88" t="str">
        <f t="shared" si="91"/>
        <v>"C:\Program Files (x86)\AstroGrep\AstroGrep.exe" /spath="%USERPROFILE%\AppData\Local\Temp\OnboardLogs" /stypes="app*4051*20161128*" /stext=" 02:.+((SYSTEM_STATE.+slice.+state.+changed )|(ment ac)|(multiple cpu faults)|(system.+state.+changed )|(\[timeout)|(PRM\|1\|D)|(kpr)|(kdp)|(\|lc)|(penalty))" /e /r /s</v>
      </c>
      <c r="AG217" s="1" t="str">
        <f t="shared" si="92"/>
        <v>Other</v>
      </c>
      <c r="AH217" s="92" t="str">
        <f t="shared" si="93"/>
        <v>"%USERPROFILE%\Documents\GitHub\eaglep3\Utilities\RefineRTDCRunTimes.py" --tripid PACIFIC-27 --locoid 4051 --swversion DE.1.0.8.0 --startMP 204:1179 --initTime 2016-11-27T18:48:03 --startdatetime 2016-11-27T19:10:36 --delay 5 --endMP 204:129622 --enddatetime 2016-11-27T19:39:40 --enforcementcount 0 &gt;&gt;C:\Users\stu\Documents\GitHub\eaglep3-reporting\EC\2016-11-27-refined-times.txt</v>
      </c>
      <c r="AI217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{"issue":{"subject":"","project_id":79,"tracker_id":40,"status_id":1,"priority_id":2,"assigned_to_id":23,"start_date":"2016-11-27","description":"","custom_fields":[{"id":1,"name":"Subdivision","value":"Other"},{"id":4,"name":"Milepost","value":"12.9622"},{"id":17,"name":"Train ID","value":"PACIFIC-27"},{"id":16,"name":"Locomotive ID","value":"4051"},{"id":130,"name":"Impact","value":""},{"id":150,"name":"Time of Event (Mountain Time)","value":"19:39:40"},{"id":151,"name":"Denver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567</v>
      </c>
      <c r="B218" s="7">
        <v>4051</v>
      </c>
      <c r="C218" s="22" t="s">
        <v>215</v>
      </c>
      <c r="D218" s="22" t="s">
        <v>777</v>
      </c>
      <c r="E218" s="13">
        <v>42701.927986111114</v>
      </c>
      <c r="F218" s="13">
        <v>42701.931400462963</v>
      </c>
      <c r="G218" s="7">
        <v>4</v>
      </c>
      <c r="H218" s="22" t="s">
        <v>778</v>
      </c>
      <c r="I218" s="13">
        <v>42701.938576388886</v>
      </c>
      <c r="J218" s="7">
        <v>0</v>
      </c>
      <c r="K218" s="109" t="str">
        <f t="shared" si="80"/>
        <v>4051/4052</v>
      </c>
      <c r="L218" s="22" t="str">
        <f>VLOOKUP(A218,'Trips&amp;Operators'!$C$1:$E$10000,3,FALSE)</f>
        <v>MCREYNOLDS</v>
      </c>
      <c r="M218" s="6">
        <f t="shared" si="81"/>
        <v>7.175925922638271E-3</v>
      </c>
      <c r="N218" s="7">
        <f t="shared" si="82"/>
        <v>10.33333332859911</v>
      </c>
      <c r="O218" s="7"/>
      <c r="P218" s="7"/>
      <c r="Q218" s="23"/>
      <c r="R218" s="23"/>
      <c r="S218" s="35">
        <f t="shared" si="83"/>
        <v>0</v>
      </c>
      <c r="T218" s="50" t="e">
        <f t="shared" si="84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https://search-rtdc-monitor-bjffxe2xuh6vdkpspy63sjmuny.us-east-1.es.amazonaws.com/_plugin/kibana/#/discover/Steve-Slow-Train-Analysis-(2080s-and-2083s)?_g=(refreshInterval:(display:Off,section:0,value:0),time:(from:'2016-11-27 21:16:18-700',mode:absolute,to:'2016-11-27 23:31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2" t="str">
        <f t="shared" si="86"/>
        <v>Y</v>
      </c>
      <c r="X218" s="177" t="e">
        <f t="shared" si="79"/>
        <v>#VALUE!</v>
      </c>
      <c r="Y218" s="67">
        <f t="shared" si="87"/>
        <v>4.0399999999999998E-2</v>
      </c>
      <c r="Z218" s="67">
        <f t="shared" si="78"/>
        <v>3.1265000000000001</v>
      </c>
      <c r="AA218" s="67">
        <f t="shared" si="88"/>
        <v>3.0861000000000001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9"/>
        <v>PACIFIC-27</v>
      </c>
      <c r="AE218" s="91" t="str">
        <f t="shared" si="90"/>
        <v>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 &amp; aws s3 cp s3://rtdc.mdm.uploadarchive.raw/RTDC4051/ "%USERPROFILE%\AppData\Local\Temp\OnboardLogs"\RTDC4051\2016-11-28 --exclude "*" --recursive --include "*20161128*" &amp; "%USERPROFILE%\Documents\GitHub\mrs-test-scripts\Headless Mode &amp; Sideloading\WalkAndUnGZ.bat" "%USERPROFILE%\AppData\Local\Temp\OnboardLogs"\RTDC4051\2016-11-28</v>
      </c>
      <c r="AF218" s="88" t="str">
        <f t="shared" si="91"/>
        <v>"C:\Program Files (x86)\AstroGrep\AstroGrep.exe" /spath="%USERPROFILE%\AppData\Local\Temp\OnboardLogs" /stypes="app*4051*20161128*" /stext=" 05:.+((SYSTEM_STATE.+slice.+state.+changed )|(ment ac)|(multiple cpu faults)|(system.+state.+changed )|(\[timeout)|(PRM\|1\|D)|(kpr)|(kdp)|(\|lc)|(penalty))" /e /r /s</v>
      </c>
      <c r="AG218" s="1" t="str">
        <f t="shared" si="92"/>
        <v>Other</v>
      </c>
      <c r="AH218" s="92" t="str">
        <f t="shared" si="93"/>
        <v>"%USERPROFILE%\Documents\GitHub\eaglep3\Utilities\RefineRTDCRunTimes.py" --tripid PACIFIC-27 --locoid 4051 --swversion DE.1.0.8.0 --startMP 204:404 --initTime 2016-11-27T22:16:18 --startdatetime 2016-11-27T22:21:13 --delay 4 --endMP 300:31265 --enddatetime 2016-11-27T22:31:33 --enforcementcount 0 &gt;&gt;C:\Users\stu\Documents\GitHub\eaglep3-reporting\EC\2016-11-27-refined-times.txt</v>
      </c>
      <c r="AI218" s="119" t="str">
        <f t="shared" si="94"/>
        <v>echo {"issue":{"subject":"","project_id":79,"tracker_id":40,"status_id":1,"priority_id":2,"assigned_to_id":23,"start_date":"2016-11-27","description":"","custom_fields":[{"id":1,"name":"Subdivision","value":"Other"},{"id":4,"name":"Milepost","value":"3.1265"},{"id":17,"name":"Train ID","value":"PACIFIC-27"},{"id":16,"name":"Locomotive ID","value":"4051"},{"id":130,"name":"Impact","value":""},{"id":150,"name":"Time of Event (Mountain Time)","value":"22:31:33"},{"id":151,"name":"Denver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</sheetData>
  <autoFilter ref="A12:AG243"/>
  <sortState ref="A13:AH200">
    <sortCondition ref="AG13:AG200"/>
    <sortCondition ref="AD13:AD200"/>
  </sortState>
  <mergeCells count="1">
    <mergeCell ref="A11:P11"/>
  </mergeCells>
  <conditionalFormatting sqref="W11:W12 W253:X1048576 W13:X218">
    <cfRule type="cellIs" dxfId="10" priority="344" operator="equal">
      <formula>"Y"</formula>
    </cfRule>
  </conditionalFormatting>
  <conditionalFormatting sqref="X253:X1048576 X13:X218">
    <cfRule type="cellIs" dxfId="9" priority="327" operator="greaterThan">
      <formula>1</formula>
    </cfRule>
  </conditionalFormatting>
  <conditionalFormatting sqref="X253:X1048576 X12:X218">
    <cfRule type="cellIs" dxfId="8" priority="324" operator="equal">
      <formula>0</formula>
    </cfRule>
  </conditionalFormatting>
  <conditionalFormatting sqref="A13:S21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5" workbookViewId="0">
      <selection activeCell="P21" sqref="P2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- 2016-11-27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178</v>
      </c>
      <c r="AD6" s="130" t="s">
        <v>247</v>
      </c>
    </row>
    <row r="7" spans="1:30" s="1" customFormat="1" x14ac:dyDescent="0.25">
      <c r="A7" s="36">
        <v>42701.508680555555</v>
      </c>
      <c r="B7" s="31" t="s">
        <v>413</v>
      </c>
      <c r="C7" s="31" t="s">
        <v>414</v>
      </c>
      <c r="D7" s="31" t="s">
        <v>49</v>
      </c>
      <c r="E7" s="31" t="s">
        <v>201</v>
      </c>
      <c r="F7" s="47">
        <v>300</v>
      </c>
      <c r="G7" s="47">
        <v>479</v>
      </c>
      <c r="H7" s="47">
        <v>24441</v>
      </c>
      <c r="I7" s="47">
        <v>22751</v>
      </c>
      <c r="J7" s="31" t="s">
        <v>202</v>
      </c>
      <c r="K7" s="47">
        <v>21848</v>
      </c>
      <c r="L7" s="154" t="s">
        <v>51</v>
      </c>
      <c r="M7" s="155">
        <f t="shared" ref="M7:M40" si="0">CONVERT((I7-K7)/10000,"mi","ft")*IF(L7="Increasing Mileposts (1)",-1,1)</f>
        <v>476.78399999999999</v>
      </c>
      <c r="N7" s="156" t="str">
        <f>VLOOKUP(C7,'Trips&amp;Operators'!$C$1:$E$99999,3,FALSE)</f>
        <v>YORK</v>
      </c>
      <c r="O7" s="182" t="s">
        <v>200</v>
      </c>
      <c r="P7" s="157"/>
      <c r="Q7" s="31"/>
      <c r="R7" s="100" t="str">
        <f>VLOOKUP(C7,'Train Runs'!$A$13:$AE$9987,31,0)</f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S7" s="103" t="str">
        <f>VLOOKUP(C7,'Train Runs'!$A$13:$AE$9987,22,0)</f>
        <v>https://search-rtdc-monitor-bjffxe2xuh6vdkpspy63sjmuny.us-east-1.es.amazonaws.com/_plugin/kibana/#/discover/Steve-Slow-Train-Analysis-(2080s-and-2083s)?_g=(refreshInterval:(display:Off,section:0,value:0),time:(from:'2016-11-27 10:22:00-700',mode:absolute,to:'2016-11-27 13:18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" s="105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/stypes="*4015*201611271*" /stext=" 19:.+((SYSTEM_STATE.+slice.+state.+changed )|(ment ac)|(multiple cpu faults)|(system.+state.+changed )|(\[timeout)|(PRM\|1\|D)|(kpr)|(kdp)|(\|lc)|(penalty))" /e /r /s</v>
      </c>
      <c r="U7" s="9" t="str">
        <f t="shared" ref="U7:U40" si="2">MID(B7,13,4)</f>
        <v>4015</v>
      </c>
      <c r="V7" s="36">
        <f t="shared" ref="V7:V40" si="3">A7-utc_offset/24</f>
        <v>42701.800347222219</v>
      </c>
      <c r="W7" s="50" t="str">
        <f t="shared" ref="W7:W40" si="4">IF(VALUE(LEFT(IF(LEN(C7)=6,"0"&amp;C7,C7),2))&lt;=2,"EC",IF(OR(VALUE(LEFT(IF(LEN(C7)=6,"0"&amp;C7,C7),2))=8,VALUE(LEFT(IF(LEN(C7)=6,"0"&amp;C7,C7),2))=18),"NW","Other"))</f>
        <v>EC</v>
      </c>
      <c r="X7" s="50" t="str">
        <f t="shared" ref="X7:X40" si="5">IF(AND(E7="TRACK WARRANT AUTHORITY",G7&lt;10),"OMIT","KEEP")</f>
        <v>KEEP</v>
      </c>
      <c r="Y7" s="119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{"issue":{"subject":"","project_id":79,"tracker_id":40,"status_id":1,"priority_id":2,"assigned_to_id":23,"start_date":"2016-11-27","description":"","custom_fields":[{"id":1,"name":"Subdivision","value":"EC"},{"id":4,"name":"Milepost","value":"2.1848"},{"id":17,"name":"Train ID","value":"158-27"},{"id":16,"name":"Locomotive ID","value":"4015"},{"id":130,"name":"Impact","value":""},{"id":150,"name":"Time of Event (Mountain Time)","value":"12:12:30"},{"id":151,"name":"Denver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"%USERPROFILE%\AppData\Local\Temp\OnboardLogs"\RTDC4015\*4015*201611271*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"%USERPROFILE%\AppData\Local\Temp\OnboardLogs"\RTDC4015\*4015*201611271* &gt;&gt; 42701-slicedisagreementcheck.txt</v>
      </c>
    </row>
    <row r="8" spans="1:30" s="1" customFormat="1" x14ac:dyDescent="0.25">
      <c r="A8" s="36">
        <v>42701.297233796293</v>
      </c>
      <c r="B8" s="31" t="s">
        <v>223</v>
      </c>
      <c r="C8" s="31" t="s">
        <v>403</v>
      </c>
      <c r="D8" s="31" t="s">
        <v>49</v>
      </c>
      <c r="E8" s="31" t="s">
        <v>201</v>
      </c>
      <c r="F8" s="47">
        <v>400</v>
      </c>
      <c r="G8" s="47">
        <v>537</v>
      </c>
      <c r="H8" s="47">
        <v>115322</v>
      </c>
      <c r="I8" s="47">
        <v>117057</v>
      </c>
      <c r="J8" s="31" t="s">
        <v>202</v>
      </c>
      <c r="K8" s="47">
        <v>116838</v>
      </c>
      <c r="L8" s="154" t="s">
        <v>50</v>
      </c>
      <c r="M8" s="155">
        <f t="shared" si="0"/>
        <v>-115.63200000000001</v>
      </c>
      <c r="N8" s="156" t="str">
        <f>VLOOKUP(C8,'Trips&amp;Operators'!$C$1:$E$99999,3,FALSE)</f>
        <v>STRICKLAND</v>
      </c>
      <c r="O8" s="182" t="s">
        <v>200</v>
      </c>
      <c r="P8" s="157"/>
      <c r="Q8" s="31"/>
      <c r="R8" s="100" t="str">
        <f>VLOOKUP(C8,'Train Runs'!$A$13:$AE$9987,31,0)</f>
        <v>aws s3 cp s3://rtdc.mdm.uploadarchive.raw/RTDC4002/ "%USERPROFILE%\AppData\Local\Temp\OnboardLogs"\RTDC4002\2016-11-27 --exclude "*" --recursive --include "*20161127*" &amp; "%USERPROFILE%\Documents\GitHub\mrs-test-scripts\Headless Mode &amp; Sideloading\WalkAndUnGZ.bat" "%USERPROFILE%\AppData\Local\Temp\OnboardLogs"\RTDC4002\2016-11-27 &amp; 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</v>
      </c>
      <c r="S8" s="103" t="str">
        <f>VLOOKUP(C8,'Train Runs'!$A$13:$AE$9987,22,0)</f>
        <v>https://search-rtdc-monitor-bjffxe2xuh6vdkpspy63sjmuny.us-east-1.es.amazonaws.com/_plugin/kibana/#/discover/Steve-Slow-Train-Analysis-(2080s-and-2083s)?_g=(refreshInterval:(display:Off,section:0,value:0),time:(from:'2016-11-27 05:41:34-700',mode:absolute,to:'2016-11-27 08:24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8" s="105" t="str">
        <f t="shared" si="1"/>
        <v>"C:\Program Files (x86)\AstroGrep\AstroGrep.exe" /spath="%USERPROFILE%\AppData\Local\Temp\OnboardLogs" /stypes="*4002*201611271*" /stext=" 14:.+((SYSTEM_STATE.+slice.+state.+changed )|(ment ac)|(multiple cpu faults)|(system.+state.+changed )|(\[timeout)|(PRM\|1\|D)|(kpr)|(kdp)|(\|lc)|(penalty))" /e /r /s</v>
      </c>
      <c r="U8" s="9" t="str">
        <f t="shared" si="2"/>
        <v>4002</v>
      </c>
      <c r="V8" s="36">
        <f t="shared" si="3"/>
        <v>42701.588900462957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{"issue":{"subject":"","project_id":79,"tracker_id":40,"status_id":1,"priority_id":2,"assigned_to_id":23,"start_date":"2016-11-27","description":"","custom_fields":[{"id":1,"name":"Subdivision","value":"EC"},{"id":4,"name":"Milepost","value":"11.6838"},{"id":17,"name":"Train ID","value":"125-27"},{"id":16,"name":"Locomotive ID","value":"4002"},{"id":130,"name":"Impact","value":""},{"id":150,"name":"Time of Event (Mountain Time)","value":"07:08:01"},{"id":151,"name":"Denver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"%USERPROFILE%\AppData\Local\Temp\OnboardLogs"\RTDC4002\*4002*201611271*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"%USERPROFILE%\AppData\Local\Temp\OnboardLogs"\RTDC4002\*4002*201611271* &gt;&gt; 42701-slicedisagreementcheck.txt</v>
      </c>
    </row>
    <row r="9" spans="1:30" s="1" customFormat="1" x14ac:dyDescent="0.25">
      <c r="A9" s="36">
        <v>42701.877060185187</v>
      </c>
      <c r="B9" s="31" t="s">
        <v>258</v>
      </c>
      <c r="C9" s="31" t="s">
        <v>427</v>
      </c>
      <c r="D9" s="31" t="s">
        <v>49</v>
      </c>
      <c r="E9" s="31" t="s">
        <v>201</v>
      </c>
      <c r="F9" s="47">
        <v>600</v>
      </c>
      <c r="G9" s="47">
        <v>650</v>
      </c>
      <c r="H9" s="47">
        <v>192093</v>
      </c>
      <c r="I9" s="47">
        <v>189733</v>
      </c>
      <c r="J9" s="31" t="s">
        <v>202</v>
      </c>
      <c r="K9" s="47">
        <v>191104</v>
      </c>
      <c r="L9" s="154" t="s">
        <v>51</v>
      </c>
      <c r="M9" s="155">
        <f t="shared" si="0"/>
        <v>-723.88800000000003</v>
      </c>
      <c r="N9" s="156" t="str">
        <f>VLOOKUP(C9,'Trips&amp;Operators'!$C$1:$E$99999,3,FALSE)</f>
        <v>BADERTSCHER</v>
      </c>
      <c r="O9" s="182" t="s">
        <v>200</v>
      </c>
      <c r="P9" s="157"/>
      <c r="Q9" s="31"/>
      <c r="R9" s="100" t="str">
        <f>VLOOKUP(C9,'Train Runs'!$A$13:$AE$9987,31,0)</f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S9" s="103" t="str">
        <f>VLOOKUP(C9,'Train Runs'!$A$13:$AE$9987,22,0)</f>
        <v>https://search-rtdc-monitor-bjffxe2xuh6vdkpspy63sjmuny.us-east-1.es.amazonaws.com/_plugin/kibana/#/discover/Steve-Slow-Train-Analysis-(2080s-and-2083s)?_g=(refreshInterval:(display:Off,section:0,value:0),time:(from:'2016-11-27 19:52:10-700',mode:absolute,to:'2016-11-27 22:39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9" s="105" t="str">
        <f t="shared" si="1"/>
        <v>"C:\Program Files (x86)\AstroGrep\AstroGrep.exe" /spath="%USERPROFILE%\AppData\Local\Temp\OnboardLogs" /stypes="*4045*201611280*" /stext=" 04:.+((SYSTEM_STATE.+slice.+state.+changed )|(ment ac)|(multiple cpu faults)|(system.+state.+changed )|(\[timeout)|(PRM\|1\|D)|(kpr)|(kdp)|(\|lc)|(penalty))" /e /r /s</v>
      </c>
      <c r="U9" s="9" t="str">
        <f t="shared" si="2"/>
        <v>4045</v>
      </c>
      <c r="V9" s="36">
        <f t="shared" si="3"/>
        <v>42702.168726851851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{"issue":{"subject":"","project_id":79,"tracker_id":40,"status_id":1,"priority_id":2,"assigned_to_id":23,"start_date":"2016-11-27","description":"","custom_fields":[{"id":1,"name":"Subdivision","value":"EC"},{"id":4,"name":"Milepost","value":"19.1104"},{"id":17,"name":"Train ID","value":"226-27"},{"id":16,"name":"Locomotive ID","value":"4045"},{"id":130,"name":"Impact","value":""},{"id":150,"name":"Time of Event (Mountain Time)","value":"21:02:58"},{"id":151,"name":"Denver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"%USERPROFILE%\AppData\Local\Temp\OnboardLogs"\RTDC4045\*4045*201611280*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"%USERPROFILE%\AppData\Local\Temp\OnboardLogs"\RTDC4045\*4045*201611280* &gt;&gt; 42701-slicedisagreementcheck.txt</v>
      </c>
    </row>
    <row r="10" spans="1:30" s="1" customFormat="1" x14ac:dyDescent="0.25">
      <c r="A10" s="36">
        <v>42701.409143518518</v>
      </c>
      <c r="B10" s="31" t="s">
        <v>259</v>
      </c>
      <c r="C10" s="31" t="s">
        <v>408</v>
      </c>
      <c r="D10" s="31" t="s">
        <v>49</v>
      </c>
      <c r="E10" s="31" t="s">
        <v>201</v>
      </c>
      <c r="F10" s="47">
        <v>150</v>
      </c>
      <c r="G10" s="47">
        <v>341</v>
      </c>
      <c r="H10" s="47">
        <v>229013</v>
      </c>
      <c r="I10" s="47">
        <v>229760</v>
      </c>
      <c r="J10" s="31" t="s">
        <v>202</v>
      </c>
      <c r="K10" s="47">
        <v>230436</v>
      </c>
      <c r="L10" s="154" t="s">
        <v>50</v>
      </c>
      <c r="M10" s="155">
        <f t="shared" si="0"/>
        <v>356.92799999999994</v>
      </c>
      <c r="N10" s="156" t="str">
        <f>VLOOKUP(C10,'Trips&amp;Operators'!$C$1:$E$99999,3,FALSE)</f>
        <v>ACKERMAN</v>
      </c>
      <c r="O10" s="182" t="s">
        <v>200</v>
      </c>
      <c r="P10" s="157"/>
      <c r="Q10" s="31"/>
      <c r="R10" s="100" t="str">
        <f>VLOOKUP(C10,'Train Runs'!$A$13:$AE$9987,31,0)</f>
        <v>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 &amp; aws s3 cp s3://rtdc.mdm.uploadarchive.raw/RTDC4046/ "%USERPROFILE%\AppData\Local\Temp\OnboardLogs"\RTDC4046\2016-11-28 --exclude "*" --recursive --include "*20161128*" &amp; "%USERPROFILE%\Documents\GitHub\mrs-test-scripts\Headless Mode &amp; Sideloading\WalkAndUnGZ.bat" "%USERPROFILE%\AppData\Local\Temp\OnboardLogs"\RTDC4046\2016-11-28</v>
      </c>
      <c r="S10" s="103" t="str">
        <f>VLOOKUP(C10,'Train Runs'!$A$13:$AE$9987,22,0)</f>
        <v>https://search-rtdc-monitor-bjffxe2xuh6vdkpspy63sjmuny.us-east-1.es.amazonaws.com/_plugin/kibana/#/discover/Steve-Slow-Train-Analysis-(2080s-and-2083s)?_g=(refreshInterval:(display:Off,section:0,value:0),time:(from:'2016-11-27 08:08:02-700',mode:absolute,to:'2016-11-27 10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0" s="105" t="str">
        <f t="shared" si="1"/>
        <v>"C:\Program Files (x86)\AstroGrep\AstroGrep.exe" /spath="%USERPROFILE%\AppData\Local\Temp\OnboardLogs" /stypes="*4046*201611271*" /stext=" 16:.+((SYSTEM_STATE.+slice.+state.+changed )|(ment ac)|(multiple cpu faults)|(system.+state.+changed )|(\[timeout)|(PRM\|1\|D)|(kpr)|(kdp)|(\|lc)|(penalty))" /e /r /s</v>
      </c>
      <c r="U10" s="9" t="str">
        <f t="shared" si="2"/>
        <v>4046</v>
      </c>
      <c r="V10" s="36">
        <f t="shared" si="3"/>
        <v>42701.700810185182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{"issue":{"subject":"","project_id":79,"tracker_id":40,"status_id":1,"priority_id":2,"assigned_to_id":23,"start_date":"2016-11-27","description":"","custom_fields":[{"id":1,"name":"Subdivision","value":"EC"},{"id":4,"name":"Milepost","value":"23.0436"},{"id":17,"name":"Train ID","value":"145-27"},{"id":16,"name":"Locomotive ID","value":"4046"},{"id":130,"name":"Impact","value":""},{"id":150,"name":"Time of Event (Mountain Time)","value":"09:49:10"},{"id":151,"name":"Denver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"%USERPROFILE%\AppData\Local\Temp\OnboardLogs"\RTDC4046\*4046*201611271*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"%USERPROFILE%\AppData\Local\Temp\OnboardLogs"\RTDC4046\*4046*201611271* &gt;&gt; 42701-slicedisagreementcheck.txt</v>
      </c>
    </row>
    <row r="11" spans="1:30" s="1" customFormat="1" x14ac:dyDescent="0.25">
      <c r="A11" s="36">
        <v>42701.318865740737</v>
      </c>
      <c r="B11" s="31" t="s">
        <v>230</v>
      </c>
      <c r="C11" s="31" t="s">
        <v>404</v>
      </c>
      <c r="D11" s="31" t="s">
        <v>49</v>
      </c>
      <c r="E11" s="31" t="s">
        <v>203</v>
      </c>
      <c r="F11" s="47">
        <v>0</v>
      </c>
      <c r="G11" s="47">
        <v>452</v>
      </c>
      <c r="H11" s="47">
        <v>129912</v>
      </c>
      <c r="I11" s="47">
        <v>128535</v>
      </c>
      <c r="J11" s="31" t="s">
        <v>204</v>
      </c>
      <c r="K11" s="47">
        <v>127587</v>
      </c>
      <c r="L11" s="154" t="s">
        <v>51</v>
      </c>
      <c r="M11" s="155">
        <f t="shared" si="0"/>
        <v>500.54399999999998</v>
      </c>
      <c r="N11" s="156" t="str">
        <f>VLOOKUP(C11,'Trips&amp;Operators'!$C$1:$E$99999,3,FALSE)</f>
        <v>ROBINSON</v>
      </c>
      <c r="O11" s="182" t="s">
        <v>200</v>
      </c>
      <c r="P11" s="157" t="s">
        <v>806</v>
      </c>
      <c r="Q11" s="31"/>
      <c r="R11" s="100" t="str">
        <f>VLOOKUP(C11,'Train Runs'!$A$13:$AE$9987,31,0)</f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S11" s="103" t="str">
        <f>VLOOKUP(C11,'Train Runs'!$A$13:$AE$9987,22,0)</f>
        <v>https://search-rtdc-monitor-bjffxe2xuh6vdkpspy63sjmuny.us-east-1.es.amazonaws.com/_plugin/kibana/#/discover/Steve-Slow-Train-Analysis-(2080s-and-2083s)?_g=(refreshInterval:(display:Off,section:0,value:0),time:(from:'2016-11-27 06:13:23-700',mode:absolute,to:'2016-11-27 09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1" s="105" t="str">
        <f t="shared" si="1"/>
        <v>"C:\Program Files (x86)\AstroGrep\AstroGrep.exe" /spath="%USERPROFILE%\AppData\Local\Temp\OnboardLogs" /stypes="*4037*201611271*" /stext=" 14:.+((SYSTEM_STATE.+slice.+state.+changed )|(ment ac)|(multiple cpu faults)|(system.+state.+changed )|(\[timeout)|(PRM\|1\|D)|(kpr)|(kdp)|(\|lc)|(penalty))" /e /r /s</v>
      </c>
      <c r="U11" s="9" t="str">
        <f t="shared" si="2"/>
        <v>4037</v>
      </c>
      <c r="V11" s="36">
        <f t="shared" si="3"/>
        <v>42701.610532407401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{"issue":{"subject":"40th 4S STOP","project_id":79,"tracker_id":40,"status_id":1,"priority_id":2,"assigned_to_id":23,"start_date":"2016-11-27","description":"","custom_fields":[{"id":1,"name":"Subdivision","value":"EC"},{"id":4,"name":"Milepost","value":"12.7587"},{"id":17,"name":"Train ID","value":"124-27"},{"id":16,"name":"Locomotive ID","value":"4037"},{"id":130,"name":"Impact","value":""},{"id":150,"name":"Time of Event (Mountain Time)","value":"07:39:10"},{"id":151,"name":"Denver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"%USERPROFILE%\AppData\Local\Temp\OnboardLogs"\RTDC4037\*4037*201611271*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"%USERPROFILE%\AppData\Local\Temp\OnboardLogs"\RTDC4037\*4037*201611271* &gt;&gt; 42701-slicedisagreementcheck.txt</v>
      </c>
    </row>
    <row r="12" spans="1:30" s="1" customFormat="1" x14ac:dyDescent="0.25">
      <c r="A12" s="36">
        <v>42701.341041666667</v>
      </c>
      <c r="B12" s="31" t="s">
        <v>186</v>
      </c>
      <c r="C12" s="31" t="s">
        <v>405</v>
      </c>
      <c r="D12" s="31" t="s">
        <v>49</v>
      </c>
      <c r="E12" s="31" t="s">
        <v>203</v>
      </c>
      <c r="F12" s="47">
        <v>0</v>
      </c>
      <c r="G12" s="47">
        <v>500</v>
      </c>
      <c r="H12" s="47">
        <v>152499</v>
      </c>
      <c r="I12" s="47">
        <v>153715</v>
      </c>
      <c r="J12" s="31" t="s">
        <v>204</v>
      </c>
      <c r="K12" s="47">
        <v>155600</v>
      </c>
      <c r="L12" s="154" t="s">
        <v>50</v>
      </c>
      <c r="M12" s="155">
        <f t="shared" si="0"/>
        <v>995.28</v>
      </c>
      <c r="N12" s="156" t="str">
        <f>VLOOKUP(C12,'Trips&amp;Operators'!$C$1:$E$99999,3,FALSE)</f>
        <v>MAELZER</v>
      </c>
      <c r="O12" s="182" t="s">
        <v>200</v>
      </c>
      <c r="P12" s="157" t="s">
        <v>807</v>
      </c>
      <c r="Q12" s="31"/>
      <c r="R12" s="100" t="str">
        <f>VLOOKUP(C12,'Train Runs'!$A$13:$AE$9987,31,0)</f>
        <v>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 &amp; 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</v>
      </c>
      <c r="S12" s="103" t="str">
        <f>VLOOKUP(C12,'Train Runs'!$A$13:$AE$9987,22,0)</f>
        <v>https://search-rtdc-monitor-bjffxe2xuh6vdkpspy63sjmuny.us-east-1.es.amazonaws.com/_plugin/kibana/#/discover/Steve-Slow-Train-Analysis-(2080s-and-2083s)?_g=(refreshInterval:(display:Off,section:0,value:0),time:(from:'2016-11-27 06:39:59-700',mode:absolute,to:'2016-11-27 09:25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 t="shared" si="1"/>
        <v>"C:\Program Files (x86)\AstroGrep\AstroGrep.exe" /spath="%USERPROFILE%\AppData\Local\Temp\OnboardLogs" /stypes="*4044*201611271*" /stext=" 15:.+((SYSTEM_STATE.+slice.+state.+changed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6">
        <f t="shared" si="3"/>
        <v>42701.632708333331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{"issue":{"subject":"61st 2N STOP","project_id":79,"tracker_id":40,"status_id":1,"priority_id":2,"assigned_to_id":23,"start_date":"2016-11-27","description":"","custom_fields":[{"id":1,"name":"Subdivision","value":"EC"},{"id":4,"name":"Milepost","value":"15.56"},{"id":17,"name":"Train ID","value":"133-27"},{"id":16,"name":"Locomotive ID","value":"4044"},{"id":130,"name":"Impact","value":""},{"id":150,"name":"Time of Event (Mountain Time)","value":"08:11:06"},{"id":151,"name":"Denver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"%USERPROFILE%\AppData\Local\Temp\OnboardLogs"\RTDC4044\*4044*201611271*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"%USERPROFILE%\AppData\Local\Temp\OnboardLogs"\RTDC4044\*4044*201611271* &gt;&gt; 42701-slicedisagreementcheck.txt</v>
      </c>
    </row>
    <row r="13" spans="1:30" s="1" customFormat="1" x14ac:dyDescent="0.25">
      <c r="A13" s="36">
        <v>42701.659560185188</v>
      </c>
      <c r="B13" s="31" t="s">
        <v>397</v>
      </c>
      <c r="C13" s="31" t="s">
        <v>418</v>
      </c>
      <c r="D13" s="31" t="s">
        <v>49</v>
      </c>
      <c r="E13" s="31" t="s">
        <v>203</v>
      </c>
      <c r="F13" s="47">
        <v>0</v>
      </c>
      <c r="G13" s="47">
        <v>689</v>
      </c>
      <c r="H13" s="47">
        <v>176849</v>
      </c>
      <c r="I13" s="47">
        <v>173747</v>
      </c>
      <c r="J13" s="31" t="s">
        <v>204</v>
      </c>
      <c r="K13" s="47">
        <v>175398</v>
      </c>
      <c r="L13" s="154" t="s">
        <v>51</v>
      </c>
      <c r="M13" s="155">
        <f t="shared" si="0"/>
        <v>-871.72799999999995</v>
      </c>
      <c r="N13" s="156" t="str">
        <f>VLOOKUP(C13,'Trips&amp;Operators'!$C$1:$E$99999,3,FALSE)</f>
        <v>BARTLETT</v>
      </c>
      <c r="O13" s="182" t="s">
        <v>249</v>
      </c>
      <c r="P13" s="157" t="s">
        <v>809</v>
      </c>
      <c r="Q13" s="31"/>
      <c r="R13" s="100" t="str">
        <f>VLOOKUP(C13,'Train Runs'!$A$13:$AE$9987,31,0)</f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S13" s="103" t="str">
        <f>VLOOKUP(C13,'Train Runs'!$A$13:$AE$9987,22,0)</f>
        <v>https://search-rtdc-monitor-bjffxe2xuh6vdkpspy63sjmuny.us-east-1.es.amazonaws.com/_plugin/kibana/#/discover/Steve-Slow-Train-Analysis-(2080s-and-2083s)?_g=(refreshInterval:(display:Off,section:0,value:0),time:(from:'2016-11-27 14:25:21-700',mode:absolute,to:'2016-11-27 17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3" s="105" t="str">
        <f t="shared" si="1"/>
        <v>"C:\Program Files (x86)\AstroGrep\AstroGrep.exe" /spath="%USERPROFILE%\AppData\Local\Temp\OnboardLogs" /stypes="*4021*201611272*" /stext=" 22:.+((SYSTEM_STATE.+slice.+state.+changed )|(ment ac)|(multiple cpu faults)|(system.+state.+changed )|(\[timeout)|(PRM\|1\|D)|(kpr)|(kdp)|(\|lc)|(penalty))" /e /r /s</v>
      </c>
      <c r="U13" s="9" t="str">
        <f t="shared" si="2"/>
        <v>4021</v>
      </c>
      <c r="V13" s="36">
        <f t="shared" si="3"/>
        <v>42701.951226851852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{"issue":{"subject":"Wi-MAX data drop","project_id":79,"tracker_id":40,"status_id":1,"priority_id":2,"assigned_to_id":23,"start_date":"2016-11-27","description":"http://stevetu21.github.io/eaglep3/load_kml.html?kml=http://rtdc.gmaps-snips.s3.amazonaws.com/27646fa4-cf3c-4a5f-9d44-b00a8b60543b.kml","custom_fields":[{"id":1,"name":"Subdivision","value":"EC"},{"id":4,"name":"Milepost","value":"17.5398"},{"id":17,"name":"Train ID","value":"190-27"},{"id":16,"name":"Locomotive ID","value":"4021"},{"id":130,"name":"Impact","value":"Enforcement"},{"id":150,"name":"Time of Event (Mountain Time)","value":"15:49:46"},{"id":151,"name":"Denver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21" t="s">
        <v>808</v>
      </c>
      <c r="AA13" s="53" t="s">
        <v>125</v>
      </c>
      <c r="AB13" s="53" t="s">
        <v>138</v>
      </c>
      <c r="AC13" s="138" t="str">
        <f t="shared" si="7"/>
        <v>grep -hSE -A100 "Enforcement Action" "%USERPROFILE%\AppData\Local\Temp\OnboardLogs"\RTDC4021\*4021*201611272*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"%USERPROFILE%\AppData\Local\Temp\OnboardLogs"\RTDC4021\*4021*201611272* &gt;&gt; 42701-slicedisagreementcheck.txt</v>
      </c>
    </row>
    <row r="14" spans="1:30" s="1" customFormat="1" x14ac:dyDescent="0.25">
      <c r="A14" s="36">
        <v>42701.400081018517</v>
      </c>
      <c r="B14" s="31" t="s">
        <v>221</v>
      </c>
      <c r="C14" s="31" t="s">
        <v>407</v>
      </c>
      <c r="D14" s="31" t="s">
        <v>49</v>
      </c>
      <c r="E14" s="31" t="s">
        <v>205</v>
      </c>
      <c r="F14" s="47">
        <v>0</v>
      </c>
      <c r="G14" s="47">
        <v>74</v>
      </c>
      <c r="H14" s="47">
        <v>260</v>
      </c>
      <c r="I14" s="47">
        <v>185</v>
      </c>
      <c r="J14" s="31" t="s">
        <v>206</v>
      </c>
      <c r="K14" s="47">
        <v>1</v>
      </c>
      <c r="L14" s="154" t="s">
        <v>51</v>
      </c>
      <c r="M14" s="155">
        <f t="shared" si="0"/>
        <v>97.152000000000001</v>
      </c>
      <c r="N14" s="156" t="str">
        <f>VLOOKUP(C14,'Trips&amp;Operators'!$C$1:$E$99999,3,FALSE)</f>
        <v>DAVIS</v>
      </c>
      <c r="O14" s="182" t="s">
        <v>249</v>
      </c>
      <c r="P14" s="157" t="s">
        <v>899</v>
      </c>
      <c r="Q14" s="31"/>
      <c r="R14" s="100" t="str">
        <f>VLOOKUP(C14,'Train Runs'!$A$13:$AE$9987,31,0)</f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S14" s="103" t="str">
        <f>VLOOKUP(C14,'Train Runs'!$A$13:$AE$9987,22,0)</f>
        <v>https://search-rtdc-monitor-bjffxe2xuh6vdkpspy63sjmuny.us-east-1.es.amazonaws.com/_plugin/kibana/#/discover/Steve-Slow-Train-Analysis-(2080s-and-2083s)?_g=(refreshInterval:(display:Off,section:0,value:0),time:(from:'2016-11-27 07:49:54-700',mode:absolute,to:'2016-11-27 10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4" s="105" t="str">
        <f t="shared" si="1"/>
        <v>"C:\Program Files (x86)\AstroGrep\AstroGrep.exe" /spath="%USERPROFILE%\AppData\Local\Temp\OnboardLogs" /stypes="*4012*201611271*" /stext=" 16:.+((SYSTEM_STATE.+slice.+state.+changed )|(ment ac)|(multiple cpu faults)|(system.+state.+changed )|(\[timeout)|(PRM\|1\|D)|(kpr)|(kdp)|(\|lc)|(penalty))" /e /r /s</v>
      </c>
      <c r="U14" s="9" t="str">
        <f t="shared" si="2"/>
        <v>4012</v>
      </c>
      <c r="V14" s="36">
        <f t="shared" si="3"/>
        <v>42701.691747685181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{"issue":{"subject":"Banner without braking","project_id":79,"tracker_id":40,"status_id":1,"priority_id":2,"assigned_to_id":23,"start_date":"2016-11-27","description":"CPU1 commanded braking, others did not","custom_fields":[{"id":1,"name":"Subdivision","value":"EC"},{"id":4,"name":"Milepost","value":"0.0001"},{"id":17,"name":"Train ID","value":"136-27"},{"id":16,"name":"Locomotive ID","value":"4012"},{"id":130,"name":"Impact","value":"Others"},{"id":150,"name":"Time of Event (Mountain Time)","value":"09:36:07"},{"id":151,"name":"Denver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4" s="53" t="s">
        <v>900</v>
      </c>
      <c r="AA14" s="53" t="s">
        <v>137</v>
      </c>
      <c r="AB14" s="53" t="s">
        <v>176</v>
      </c>
      <c r="AC14" s="138" t="str">
        <f t="shared" si="7"/>
        <v>grep -hSE -A100 "Enforcement Action" "%USERPROFILE%\AppData\Local\Temp\OnboardLogs"\RTDC4012\*4012*201611271*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"%USERPROFILE%\AppData\Local\Temp\OnboardLogs"\RTDC4012\*4012*201611271* &gt;&gt; 42701-slicedisagreementcheck.txt</v>
      </c>
    </row>
    <row r="15" spans="1:30" s="1" customFormat="1" x14ac:dyDescent="0.25">
      <c r="A15" s="36">
        <v>42701.420324074075</v>
      </c>
      <c r="B15" s="31" t="s">
        <v>409</v>
      </c>
      <c r="C15" s="31" t="s">
        <v>410</v>
      </c>
      <c r="D15" s="31" t="s">
        <v>49</v>
      </c>
      <c r="E15" s="31" t="s">
        <v>205</v>
      </c>
      <c r="F15" s="47">
        <v>0</v>
      </c>
      <c r="G15" s="47">
        <v>93</v>
      </c>
      <c r="H15" s="47">
        <v>274</v>
      </c>
      <c r="I15" s="47">
        <v>178</v>
      </c>
      <c r="J15" s="31" t="s">
        <v>206</v>
      </c>
      <c r="K15" s="47">
        <v>1</v>
      </c>
      <c r="L15" s="154" t="s">
        <v>51</v>
      </c>
      <c r="M15" s="155">
        <f t="shared" si="0"/>
        <v>93.456000000000003</v>
      </c>
      <c r="N15" s="156" t="str">
        <f>VLOOKUP(C15,'Trips&amp;Operators'!$C$1:$E$99999,3,FALSE)</f>
        <v>STRICKLAND</v>
      </c>
      <c r="O15" s="182" t="s">
        <v>249</v>
      </c>
      <c r="P15" s="157" t="s">
        <v>899</v>
      </c>
      <c r="Q15" s="31"/>
      <c r="R15" s="100" t="str">
        <f>VLOOKUP(C15,'Train Runs'!$A$13:$AE$9987,31,0)</f>
        <v>aws s3 cp s3://rtdc.mdm.uploadarchive.raw/RTDC4001/ "%USERPROFILE%\AppData\Local\Temp\OnboardLogs"\RTDC4001\2016-11-27 --exclude "*" --recursive --include "*20161127*" &amp; "%USERPROFILE%\Documents\GitHub\mrs-test-scripts\Headless Mode &amp; Sideloading\WalkAndUnGZ.bat" "%USERPROFILE%\AppData\Local\Temp\OnboardLogs"\RTDC4001\2016-11-27 &amp; 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</v>
      </c>
      <c r="S15" s="103" t="str">
        <f>VLOOKUP(C15,'Train Runs'!$A$13:$AE$9987,22,0)</f>
        <v>https://search-rtdc-monitor-bjffxe2xuh6vdkpspy63sjmuny.us-east-1.es.amazonaws.com/_plugin/kibana/#/discover/Steve-Slow-Train-Analysis-(2080s-and-2083s)?_g=(refreshInterval:(display:Off,section:0,value:0),time:(from:'2016-11-27 08:09:15-700',mode:absolute,to:'2016-11-27 11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5" s="105" t="str">
        <f t="shared" si="1"/>
        <v>"C:\Program Files (x86)\AstroGrep\AstroGrep.exe" /spath="%USERPROFILE%\AppData\Local\Temp\OnboardLogs" /stypes="*4001*201611271*" /stext=" 17:.+((SYSTEM_STATE.+slice.+state.+changed )|(ment ac)|(multiple cpu faults)|(system.+state.+changed )|(\[timeout)|(PRM\|1\|D)|(kpr)|(kdp)|(\|lc)|(penalty))" /e /r /s</v>
      </c>
      <c r="U15" s="9" t="str">
        <f t="shared" si="2"/>
        <v>4001</v>
      </c>
      <c r="V15" s="36">
        <f t="shared" si="3"/>
        <v>42701.71199074074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{"issue":{"subject":"Banner without braking","project_id":79,"tracker_id":40,"status_id":1,"priority_id":2,"assigned_to_id":23,"start_date":"2016-11-27","description":"CPU1 commanded braking, others did not","custom_fields":[{"id":1,"name":"Subdivision","value":"EC"},{"id":4,"name":"Milepost","value":"0.0001"},{"id":17,"name":"Train ID","value":"140-27"},{"id":16,"name":"Locomotive ID","value":"4001"},{"id":130,"name":"Impact","value":"Others"},{"id":150,"name":"Time of Event (Mountain Time)","value":"10:05:16"},{"id":151,"name":"Denver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5" s="53" t="s">
        <v>900</v>
      </c>
      <c r="AA15" s="53" t="s">
        <v>137</v>
      </c>
      <c r="AB15" s="53" t="s">
        <v>176</v>
      </c>
      <c r="AC15" s="138" t="str">
        <f t="shared" si="7"/>
        <v>grep -hSE -A100 "Enforcement Action" "%USERPROFILE%\AppData\Local\Temp\OnboardLogs"\RTDC4001\*4001*201611271*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"%USERPROFILE%\AppData\Local\Temp\OnboardLogs"\RTDC4001\*4001*201611271* &gt;&gt; 42701-slicedisagreementcheck.txt</v>
      </c>
    </row>
    <row r="16" spans="1:30" s="1" customFormat="1" x14ac:dyDescent="0.25">
      <c r="A16" s="36">
        <v>42701.523553240739</v>
      </c>
      <c r="B16" s="31" t="s">
        <v>258</v>
      </c>
      <c r="C16" s="31" t="s">
        <v>415</v>
      </c>
      <c r="D16" s="31" t="s">
        <v>49</v>
      </c>
      <c r="E16" s="31" t="s">
        <v>205</v>
      </c>
      <c r="F16" s="47">
        <v>0</v>
      </c>
      <c r="G16" s="47">
        <v>146</v>
      </c>
      <c r="H16" s="47">
        <v>573</v>
      </c>
      <c r="I16" s="47">
        <v>243</v>
      </c>
      <c r="J16" s="31" t="s">
        <v>206</v>
      </c>
      <c r="K16" s="47">
        <v>1</v>
      </c>
      <c r="L16" s="154" t="s">
        <v>51</v>
      </c>
      <c r="M16" s="155">
        <f t="shared" si="0"/>
        <v>127.776</v>
      </c>
      <c r="N16" s="156" t="str">
        <f>VLOOKUP(C16,'Trips&amp;Operators'!$C$1:$E$99999,3,FALSE)</f>
        <v>STEWART</v>
      </c>
      <c r="O16" s="182" t="s">
        <v>200</v>
      </c>
      <c r="P16" s="157"/>
      <c r="Q16" s="31"/>
      <c r="R16" s="100" t="str">
        <f>VLOOKUP(C16,'Train Runs'!$A$13:$AE$9987,31,0)</f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S16" s="103" t="str">
        <f>VLOOKUP(C16,'Train Runs'!$A$13:$AE$9987,22,0)</f>
        <v>https://search-rtdc-monitor-bjffxe2xuh6vdkpspy63sjmuny.us-east-1.es.amazonaws.com/_plugin/kibana/#/discover/Steve-Slow-Train-Analysis-(2080s-and-2083s)?_g=(refreshInterval:(display:Off,section:0,value:0),time:(from:'2016-11-27 10:52:21-700',mode:absolute,to:'2016-11-27 13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6" s="105" t="str">
        <f t="shared" si="1"/>
        <v>"C:\Program Files (x86)\AstroGrep\AstroGrep.exe" /spath="%USERPROFILE%\AppData\Local\Temp\OnboardLogs" /stypes="*4045*201611271*" /stext=" 19:.+((SYSTEM_STATE.+slice.+state.+changed )|(ment ac)|(multiple cpu faults)|(system.+state.+changed )|(\[timeout)|(PRM\|1\|D)|(kpr)|(kdp)|(\|lc)|(penalty))" /e /r /s</v>
      </c>
      <c r="U16" s="9" t="str">
        <f t="shared" si="2"/>
        <v>4045</v>
      </c>
      <c r="V16" s="36">
        <f t="shared" si="3"/>
        <v>42701.815219907403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{"issue":{"subject":"","project_id":79,"tracker_id":40,"status_id":1,"priority_id":2,"assigned_to_id":23,"start_date":"2016-11-27","description":"","custom_fields":[{"id":1,"name":"Subdivision","value":"EC"},{"id":4,"name":"Milepost","value":"0.0001"},{"id":17,"name":"Train ID","value":"160-27"},{"id":16,"name":"Locomotive ID","value":"4045"},{"id":130,"name":"Impact","value":""},{"id":150,"name":"Time of Event (Mountain Time)","value":"12:33:55"},{"id":151,"name":"Denver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"%USERPROFILE%\AppData\Local\Temp\OnboardLogs"\RTDC4045\*4045*201611271*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"%USERPROFILE%\AppData\Local\Temp\OnboardLogs"\RTDC4045\*4045*201611271* &gt;&gt; 42701-slicedisagreementcheck.txt</v>
      </c>
    </row>
    <row r="17" spans="1:30" s="1" customFormat="1" x14ac:dyDescent="0.25">
      <c r="A17" s="36">
        <v>42701.523981481485</v>
      </c>
      <c r="B17" s="31" t="s">
        <v>258</v>
      </c>
      <c r="C17" s="31" t="s">
        <v>415</v>
      </c>
      <c r="D17" s="31" t="s">
        <v>49</v>
      </c>
      <c r="E17" s="31" t="s">
        <v>205</v>
      </c>
      <c r="F17" s="47">
        <v>0</v>
      </c>
      <c r="G17" s="47">
        <v>51</v>
      </c>
      <c r="H17" s="47">
        <v>147</v>
      </c>
      <c r="I17" s="47">
        <v>119</v>
      </c>
      <c r="J17" s="31" t="s">
        <v>206</v>
      </c>
      <c r="K17" s="47">
        <v>1</v>
      </c>
      <c r="L17" s="154" t="s">
        <v>51</v>
      </c>
      <c r="M17" s="155">
        <f t="shared" si="0"/>
        <v>62.304000000000002</v>
      </c>
      <c r="N17" s="156" t="str">
        <f>VLOOKUP(C17,'Trips&amp;Operators'!$C$1:$E$99999,3,FALSE)</f>
        <v>STEWART</v>
      </c>
      <c r="O17" s="182" t="s">
        <v>200</v>
      </c>
      <c r="P17" s="157"/>
      <c r="Q17" s="31"/>
      <c r="R17" s="100" t="str">
        <f>VLOOKUP(C17,'Train Runs'!$A$13:$AE$9987,31,0)</f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S17" s="103" t="str">
        <f>VLOOKUP(C17,'Train Runs'!$A$13:$AE$9987,22,0)</f>
        <v>https://search-rtdc-monitor-bjffxe2xuh6vdkpspy63sjmuny.us-east-1.es.amazonaws.com/_plugin/kibana/#/discover/Steve-Slow-Train-Analysis-(2080s-and-2083s)?_g=(refreshInterval:(display:Off,section:0,value:0),time:(from:'2016-11-27 10:52:21-700',mode:absolute,to:'2016-11-27 13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7" s="105" t="str">
        <f t="shared" si="1"/>
        <v>"C:\Program Files (x86)\AstroGrep\AstroGrep.exe" /spath="%USERPROFILE%\AppData\Local\Temp\OnboardLogs" /stypes="*4045*201611271*" /stext=" 19:.+((SYSTEM_STATE.+slice.+state.+changed )|(ment ac)|(multiple cpu faults)|(system.+state.+changed )|(\[timeout)|(PRM\|1\|D)|(kpr)|(kdp)|(\|lc)|(penalty))" /e /r /s</v>
      </c>
      <c r="U17" s="9" t="str">
        <f t="shared" si="2"/>
        <v>4045</v>
      </c>
      <c r="V17" s="36">
        <f t="shared" si="3"/>
        <v>42701.815648148149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{"issue":{"subject":"","project_id":79,"tracker_id":40,"status_id":1,"priority_id":2,"assigned_to_id":23,"start_date":"2016-11-27","description":"","custom_fields":[{"id":1,"name":"Subdivision","value":"EC"},{"id":4,"name":"Milepost","value":"0.0001"},{"id":17,"name":"Train ID","value":"160-27"},{"id":16,"name":"Locomotive ID","value":"4045"},{"id":130,"name":"Impact","value":""},{"id":150,"name":"Time of Event (Mountain Time)","value":"12:34:32"},{"id":151,"name":"Denver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"%USERPROFILE%\AppData\Local\Temp\OnboardLogs"\RTDC4045\*4045*201611271*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"%USERPROFILE%\AppData\Local\Temp\OnboardLogs"\RTDC4045\*4045*201611271* &gt;&gt; 42701-slicedisagreementcheck.txt</v>
      </c>
    </row>
    <row r="18" spans="1:30" s="1" customFormat="1" x14ac:dyDescent="0.25">
      <c r="A18" s="36">
        <v>42701.534282407411</v>
      </c>
      <c r="B18" s="31" t="s">
        <v>226</v>
      </c>
      <c r="C18" s="31" t="s">
        <v>416</v>
      </c>
      <c r="D18" s="31" t="s">
        <v>49</v>
      </c>
      <c r="E18" s="31" t="s">
        <v>205</v>
      </c>
      <c r="F18" s="47">
        <v>0</v>
      </c>
      <c r="G18" s="47">
        <v>46</v>
      </c>
      <c r="H18" s="47">
        <v>110</v>
      </c>
      <c r="I18" s="47">
        <v>73</v>
      </c>
      <c r="J18" s="31" t="s">
        <v>206</v>
      </c>
      <c r="K18" s="47">
        <v>1</v>
      </c>
      <c r="L18" s="154" t="s">
        <v>51</v>
      </c>
      <c r="M18" s="155">
        <f t="shared" si="0"/>
        <v>38.015999999999998</v>
      </c>
      <c r="N18" s="156" t="str">
        <f>VLOOKUP(C18,'Trips&amp;Operators'!$C$1:$E$99999,3,FALSE)</f>
        <v>BARTLETT</v>
      </c>
      <c r="O18" s="182" t="s">
        <v>200</v>
      </c>
      <c r="P18" s="157"/>
      <c r="Q18" s="31"/>
      <c r="R18" s="100" t="str">
        <f>VLOOKUP(C18,'Train Runs'!$A$13:$AE$9987,31,0)</f>
        <v>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 &amp; aws s3 cp s3://rtdc.mdm.uploadarchive.raw/RTDC4043/ "%USERPROFILE%\AppData\Local\Temp\OnboardLogs"\RTDC4043\2016-11-28 --exclude "*" --recursive --include "*20161128*" &amp; "%USERPROFILE%\Documents\GitHub\mrs-test-scripts\Headless Mode &amp; Sideloading\WalkAndUnGZ.bat" "%USERPROFILE%\AppData\Local\Temp\OnboardLogs"\RTDC4043\2016-11-28</v>
      </c>
      <c r="S18" s="103" t="str">
        <f>VLOOKUP(C18,'Train Runs'!$A$13:$AE$9987,22,0)</f>
        <v>https://search-rtdc-monitor-bjffxe2xuh6vdkpspy63sjmuny.us-east-1.es.amazonaws.com/_plugin/kibana/#/discover/Steve-Slow-Train-Analysis-(2080s-and-2083s)?_g=(refreshInterval:(display:Off,section:0,value:0),time:(from:'2016-11-27 11:04:54-700',mode:absolute,to:'2016-11-27 13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8" s="105" t="str">
        <f t="shared" si="1"/>
        <v>"C:\Program Files (x86)\AstroGrep\AstroGrep.exe" /spath="%USERPROFILE%\AppData\Local\Temp\OnboardLogs" /stypes="*4043*201611271*" /stext=" 19:.+((SYSTEM_STATE.+slice.+state.+changed )|(ment ac)|(multiple cpu faults)|(system.+state.+changed )|(\[timeout)|(PRM\|1\|D)|(kpr)|(kdp)|(\|lc)|(penalty))" /e /r /s</v>
      </c>
      <c r="U18" s="9" t="str">
        <f t="shared" si="2"/>
        <v>4043</v>
      </c>
      <c r="V18" s="36">
        <f t="shared" si="3"/>
        <v>42701.825949074075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{"issue":{"subject":"","project_id":79,"tracker_id":40,"status_id":1,"priority_id":2,"assigned_to_id":23,"start_date":"2016-11-27","description":"","custom_fields":[{"id":1,"name":"Subdivision","value":"EC"},{"id":4,"name":"Milepost","value":"0.0001"},{"id":17,"name":"Train ID","value":"162-27"},{"id":16,"name":"Locomotive ID","value":"4043"},{"id":130,"name":"Impact","value":""},{"id":150,"name":"Time of Event (Mountain Time)","value":"12:49:22"},{"id":151,"name":"Denver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"%USERPROFILE%\AppData\Local\Temp\OnboardLogs"\RTDC4043\*4043*201611271*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"%USERPROFILE%\AppData\Local\Temp\OnboardLogs"\RTDC4043\*4043*201611271* &gt;&gt; 42701-slicedisagreementcheck.txt</v>
      </c>
    </row>
    <row r="19" spans="1:30" s="1" customFormat="1" x14ac:dyDescent="0.25">
      <c r="A19" s="36">
        <v>42701.733159722222</v>
      </c>
      <c r="B19" s="31" t="s">
        <v>413</v>
      </c>
      <c r="C19" s="31" t="s">
        <v>421</v>
      </c>
      <c r="D19" s="31" t="s">
        <v>49</v>
      </c>
      <c r="E19" s="31" t="s">
        <v>205</v>
      </c>
      <c r="F19" s="47">
        <v>0</v>
      </c>
      <c r="G19" s="47">
        <v>50</v>
      </c>
      <c r="H19" s="47">
        <v>161</v>
      </c>
      <c r="I19" s="47">
        <v>118</v>
      </c>
      <c r="J19" s="31" t="s">
        <v>206</v>
      </c>
      <c r="K19" s="47">
        <v>1</v>
      </c>
      <c r="L19" s="154" t="s">
        <v>51</v>
      </c>
      <c r="M19" s="155">
        <f t="shared" si="0"/>
        <v>61.776000000000003</v>
      </c>
      <c r="N19" s="156" t="str">
        <f>VLOOKUP(C19,'Trips&amp;Operators'!$C$1:$E$99999,3,FALSE)</f>
        <v>DELGADO</v>
      </c>
      <c r="O19" s="182" t="s">
        <v>200</v>
      </c>
      <c r="P19" s="157"/>
      <c r="Q19" s="31"/>
      <c r="R19" s="100" t="str">
        <f>VLOOKUP(C19,'Train Runs'!$A$13:$AE$9987,31,0)</f>
        <v>aws s3 cp s3://rtdc.mdm.uploadarchive.raw/RTDC4015/ "%USERPROFILE%\AppData\Local\Temp\OnboardLogs"\RTDC4015\2016-11-27 --exclude "*" --recursive --include "*20161127*" &amp; "%USERPROFILE%\Documents\GitHub\mrs-test-scripts\Headless Mode &amp; Sideloading\WalkAndUnGZ.bat" "%USERPROFILE%\AppData\Local\Temp\OnboardLogs"\RTDC4015\2016-11-27 &amp; 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</v>
      </c>
      <c r="S19" s="103" t="str">
        <f>VLOOKUP(C19,'Train Runs'!$A$13:$AE$9987,22,0)</f>
        <v>https://search-rtdc-monitor-bjffxe2xuh6vdkpspy63sjmuny.us-east-1.es.amazonaws.com/_plugin/kibana/#/discover/Steve-Slow-Train-Analysis-(2080s-and-2083s)?_g=(refreshInterval:(display:Off,section:0,value:0),time:(from:'2016-11-27 15:45:13-700',mode:absolute,to:'2016-11-27 18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9" s="105" t="str">
        <f t="shared" si="1"/>
        <v>"C:\Program Files (x86)\AstroGrep\AstroGrep.exe" /spath="%USERPROFILE%\AppData\Local\Temp\OnboardLogs" /stypes="*4015*201611280*" /stext=" 00:.+((SYSTEM_STATE.+slice.+state.+changed )|(ment ac)|(multiple cpu faults)|(system.+state.+changed )|(\[timeout)|(PRM\|1\|D)|(kpr)|(kdp)|(\|lc)|(penalty))" /e /r /s</v>
      </c>
      <c r="U19" s="9" t="str">
        <f t="shared" si="2"/>
        <v>4015</v>
      </c>
      <c r="V19" s="36">
        <f t="shared" si="3"/>
        <v>42702.024826388886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{"issue":{"subject":"","project_id":79,"tracker_id":40,"status_id":1,"priority_id":2,"assigned_to_id":23,"start_date":"2016-11-27","description":"","custom_fields":[{"id":1,"name":"Subdivision","value":"EC"},{"id":4,"name":"Milepost","value":"0.0001"},{"id":17,"name":"Train ID","value":"200-27"},{"id":16,"name":"Locomotive ID","value":"4015"},{"id":130,"name":"Impact","value":""},{"id":150,"name":"Time of Event (Mountain Time)","value":"17:35:45"},{"id":151,"name":"Denver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"%USERPROFILE%\AppData\Local\Temp\OnboardLogs"\RTDC4015\*4015*201611280*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"%USERPROFILE%\AppData\Local\Temp\OnboardLogs"\RTDC4015\*4015*201611280* &gt;&gt; 42701-slicedisagreementcheck.txt</v>
      </c>
    </row>
    <row r="20" spans="1:30" s="1" customFormat="1" x14ac:dyDescent="0.25">
      <c r="A20" s="36">
        <v>42701.985347222224</v>
      </c>
      <c r="B20" s="31" t="s">
        <v>258</v>
      </c>
      <c r="C20" s="31" t="s">
        <v>430</v>
      </c>
      <c r="D20" s="31" t="s">
        <v>49</v>
      </c>
      <c r="E20" s="31" t="s">
        <v>205</v>
      </c>
      <c r="F20" s="47">
        <v>0</v>
      </c>
      <c r="G20" s="47">
        <v>48</v>
      </c>
      <c r="H20" s="47">
        <v>165</v>
      </c>
      <c r="I20" s="47">
        <v>127</v>
      </c>
      <c r="J20" s="31" t="s">
        <v>206</v>
      </c>
      <c r="K20" s="47">
        <v>1</v>
      </c>
      <c r="L20" s="154" t="s">
        <v>51</v>
      </c>
      <c r="M20" s="155">
        <f t="shared" si="0"/>
        <v>66.528000000000006</v>
      </c>
      <c r="N20" s="156" t="str">
        <f>VLOOKUP(C20,'Trips&amp;Operators'!$C$1:$E$99999,3,FALSE)</f>
        <v>BADERTSCHER</v>
      </c>
      <c r="O20" s="182" t="s">
        <v>200</v>
      </c>
      <c r="P20" s="157"/>
      <c r="Q20" s="31"/>
      <c r="R20" s="100" t="str">
        <f>VLOOKUP(C20,'Train Runs'!$A$13:$AE$9987,31,0)</f>
        <v>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 &amp; 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</v>
      </c>
      <c r="S20" s="103" t="str">
        <f>VLOOKUP(C20,'Train Runs'!$A$13:$AE$9987,22,0)</f>
        <v>https://search-rtdc-monitor-bjffxe2xuh6vdkpspy63sjmuny.us-east-1.es.amazonaws.com/_plugin/kibana/#/discover/Steve-Slow-Train-Analysis-(2080s-and-2083s)?_g=(refreshInterval:(display:Off,section:0,value:0),time:(from:'2016-11-27 21:47:35-700',mode:absolute,to:'2016-11-28 00:38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 t="shared" si="1"/>
        <v>"C:\Program Files (x86)\AstroGrep\AstroGrep.exe" /spath="%USERPROFILE%\AppData\Local\Temp\OnboardLogs" /stypes="*4045*201611280*" /stext=" 06:.+((SYSTEM_STATE.+slice.+state.+changed )|(ment ac)|(multiple cpu faults)|(system.+state.+changed )|(\[timeout)|(PRM\|1\|D)|(kpr)|(kdp)|(\|lc)|(penalty))" /e /r /s</v>
      </c>
      <c r="U20" s="9" t="str">
        <f t="shared" si="2"/>
        <v>4045</v>
      </c>
      <c r="V20" s="36">
        <f t="shared" si="3"/>
        <v>42702.277013888888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{"issue":{"subject":"","project_id":79,"tracker_id":40,"status_id":1,"priority_id":2,"assigned_to_id":23,"start_date":"2016-11-27","description":"","custom_fields":[{"id":1,"name":"Subdivision","value":"EC"},{"id":4,"name":"Milepost","value":"0.0001"},{"id":17,"name":"Train ID","value":"234-27"},{"id":16,"name":"Locomotive ID","value":"4045"},{"id":130,"name":"Impact","value":""},{"id":150,"name":"Time of Event (Mountain Time)","value":"23:38:54"},{"id":151,"name":"Denver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"%USERPROFILE%\AppData\Local\Temp\OnboardLogs"\RTDC4045\*4045*201611280*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"%USERPROFILE%\AppData\Local\Temp\OnboardLogs"\RTDC4045\*4045*201611280* &gt;&gt; 42701-slicedisagreementcheck.txt</v>
      </c>
    </row>
    <row r="21" spans="1:30" x14ac:dyDescent="0.25">
      <c r="A21" s="36">
        <v>42702.004780092589</v>
      </c>
      <c r="B21" s="31" t="s">
        <v>221</v>
      </c>
      <c r="C21" s="31" t="s">
        <v>431</v>
      </c>
      <c r="D21" s="31" t="s">
        <v>49</v>
      </c>
      <c r="E21" s="31" t="s">
        <v>205</v>
      </c>
      <c r="F21" s="47">
        <v>0</v>
      </c>
      <c r="G21" s="47">
        <v>49</v>
      </c>
      <c r="H21" s="47">
        <v>207</v>
      </c>
      <c r="I21" s="47">
        <v>165</v>
      </c>
      <c r="J21" s="31" t="s">
        <v>206</v>
      </c>
      <c r="K21" s="47">
        <v>1</v>
      </c>
      <c r="L21" s="154" t="s">
        <v>51</v>
      </c>
      <c r="M21" s="155">
        <f t="shared" si="0"/>
        <v>86.592000000000013</v>
      </c>
      <c r="N21" s="156" t="str">
        <f>VLOOKUP(C21,'Trips&amp;Operators'!$C$1:$E$99999,3,FALSE)</f>
        <v>CHANDLER</v>
      </c>
      <c r="O21" s="182" t="s">
        <v>200</v>
      </c>
      <c r="P21" s="157"/>
      <c r="Q21" s="31"/>
      <c r="R21" s="100" t="str">
        <f>VLOOKUP(C21,'Train Runs'!$A$13:$AE$9987,31,0)</f>
        <v>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 &amp; aws s3 cp s3://rtdc.mdm.uploadarchive.raw/RTDC4012/ "%USERPROFILE%\AppData\Local\Temp\OnboardLogs"\RTDC4012\2016-11-28 --exclude "*" --recursive --include "*20161128*" &amp; "%USERPROFILE%\Documents\GitHub\mrs-test-scripts\Headless Mode &amp; Sideloading\WalkAndUnGZ.bat" "%USERPROFILE%\AppData\Local\Temp\OnboardLogs"\RTDC4012\2016-11-28</v>
      </c>
      <c r="S21" s="103" t="str">
        <f>VLOOKUP(C21,'Train Runs'!$A$13:$AE$9987,22,0)</f>
        <v>https://search-rtdc-monitor-bjffxe2xuh6vdkpspy63sjmuny.us-east-1.es.amazonaws.com/_plugin/kibana/#/discover/Steve-Slow-Train-Analysis-(2080s-and-2083s)?_g=(refreshInterval:(display:Off,section:0,value:0),time:(from:'2016-11-27 22:24:08-700',mode:absolute,to:'2016-11-28 01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1" s="105" t="str">
        <f t="shared" si="1"/>
        <v>"C:\Program Files (x86)\AstroGrep\AstroGrep.exe" /spath="%USERPROFILE%\AppData\Local\Temp\OnboardLogs" /stypes="*4012*201611280*" /stext=" 07:.+((SYSTEM_STATE.+slice.+state.+changed )|(ment ac)|(multiple cpu faults)|(system.+state.+changed )|(\[timeout)|(PRM\|1\|D)|(kpr)|(kdp)|(\|lc)|(penalty))" /e /r /s</v>
      </c>
      <c r="U21" s="9" t="str">
        <f t="shared" si="2"/>
        <v>4012</v>
      </c>
      <c r="V21" s="36">
        <f t="shared" si="3"/>
        <v>42702.296446759254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{"issue":{"subject":"","project_id":79,"tracker_id":40,"status_id":1,"priority_id":2,"assigned_to_id":23,"start_date":"2016-11-28","description":"","custom_fields":[{"id":1,"name":"Subdivision","value":"EC"},{"id":4,"name":"Milepost","value":"0.0001"},{"id":17,"name":"Train ID","value":"236-27"},{"id":16,"name":"Locomotive ID","value":"4012"},{"id":130,"name":"Impact","value":""},{"id":150,"name":"Time of Event (Mountain Time)","value":"00:06:53"},{"id":151,"name":"Denver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"%USERPROFILE%\AppData\Local\Temp\OnboardLogs"\RTDC4012\*4012*201611280*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"%USERPROFILE%\AppData\Local\Temp\OnboardLogs"\RTDC4012\*4012*201611280* &gt;&gt; 42701-slicedisagreementcheck.txt</v>
      </c>
    </row>
    <row r="22" spans="1:30" x14ac:dyDescent="0.25">
      <c r="A22" s="36">
        <v>42701.181608796294</v>
      </c>
      <c r="B22" s="31" t="s">
        <v>399</v>
      </c>
      <c r="C22" s="31" t="s">
        <v>400</v>
      </c>
      <c r="D22" s="31" t="s">
        <v>49</v>
      </c>
      <c r="E22" s="31" t="s">
        <v>205</v>
      </c>
      <c r="F22" s="47">
        <v>0</v>
      </c>
      <c r="G22" s="47">
        <v>50</v>
      </c>
      <c r="H22" s="47">
        <v>233346</v>
      </c>
      <c r="I22" s="47">
        <v>233381</v>
      </c>
      <c r="J22" s="31" t="s">
        <v>206</v>
      </c>
      <c r="K22" s="47">
        <v>233491</v>
      </c>
      <c r="L22" s="154" t="s">
        <v>50</v>
      </c>
      <c r="M22" s="155">
        <f t="shared" si="0"/>
        <v>58.08</v>
      </c>
      <c r="N22" s="156" t="str">
        <f>VLOOKUP(C22,'Trips&amp;Operators'!$C$1:$E$99999,3,FALSE)</f>
        <v>ACKERMAN</v>
      </c>
      <c r="O22" s="182" t="s">
        <v>200</v>
      </c>
      <c r="P22" s="157"/>
      <c r="Q22" s="31"/>
      <c r="R22" s="100" t="str">
        <f>VLOOKUP(C22,'Train Runs'!$A$13:$AE$9987,31,0)</f>
        <v>aws s3 cp s3://rtdc.mdm.uploadarchive.raw/RTDC4016/ "%USERPROFILE%\AppData\Local\Temp\OnboardLogs"\RTDC4016\2016-11-27 --exclude "*" --recursive --include "*20161127*" &amp; "%USERPROFILE%\Documents\GitHub\mrs-test-scripts\Headless Mode &amp; Sideloading\WalkAndUnGZ.bat" "%USERPROFILE%\AppData\Local\Temp\OnboardLogs"\RTDC4016\2016-11-27 &amp; 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</v>
      </c>
      <c r="S22" s="103" t="str">
        <f>VLOOKUP(C22,'Train Runs'!$A$13:$AE$9987,22,0)</f>
        <v>https://search-rtdc-monitor-bjffxe2xuh6vdkpspy63sjmuny.us-east-1.es.amazonaws.com/_plugin/kibana/#/discover/Steve-Slow-Train-Analysis-(2080s-and-2083s)?_g=(refreshInterval:(display:Off,section:0,value:0),time:(from:'2016-11-27 02:38:15-700',mode:absolute,to:'2016-11-27 05:21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2" s="105" t="str">
        <f t="shared" si="1"/>
        <v>"C:\Program Files (x86)\AstroGrep\AstroGrep.exe" /spath="%USERPROFILE%\AppData\Local\Temp\OnboardLogs" /stypes="*4016*201611271*" /stext=" 11:.+((SYSTEM_STATE.+slice.+state.+changed )|(ment ac)|(multiple cpu faults)|(system.+state.+changed )|(\[timeout)|(PRM\|1\|D)|(kpr)|(kdp)|(\|lc)|(penalty))" /e /r /s</v>
      </c>
      <c r="U22" s="9" t="str">
        <f t="shared" si="2"/>
        <v>4016</v>
      </c>
      <c r="V22" s="36">
        <f t="shared" si="3"/>
        <v>42701.473275462959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{"issue":{"subject":"","project_id":79,"tracker_id":40,"status_id":1,"priority_id":2,"assigned_to_id":23,"start_date":"2016-11-27","description":"","custom_fields":[{"id":1,"name":"Subdivision","value":"EC"},{"id":4,"name":"Milepost","value":"23.3491"},{"id":17,"name":"Train ID","value":"103-27"},{"id":16,"name":"Locomotive ID","value":"4016"},{"id":130,"name":"Impact","value":""},{"id":150,"name":"Time of Event (Mountain Time)","value":"04:21:31"},{"id":151,"name":"Denver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"%USERPROFILE%\AppData\Local\Temp\OnboardLogs"\RTDC4016\*4016*201611271*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"%USERPROFILE%\AppData\Local\Temp\OnboardLogs"\RTDC4016\*4016*201611271* &gt;&gt; 42701-slicedisagreementcheck.txt</v>
      </c>
    </row>
    <row r="23" spans="1:30" x14ac:dyDescent="0.25">
      <c r="A23" s="36">
        <v>42701.701956018522</v>
      </c>
      <c r="B23" s="31" t="s">
        <v>344</v>
      </c>
      <c r="C23" s="31" t="s">
        <v>420</v>
      </c>
      <c r="D23" s="31" t="s">
        <v>49</v>
      </c>
      <c r="E23" s="31" t="s">
        <v>154</v>
      </c>
      <c r="F23" s="47">
        <v>90</v>
      </c>
      <c r="G23" s="47">
        <v>289</v>
      </c>
      <c r="H23" s="47">
        <v>12210</v>
      </c>
      <c r="I23" s="47">
        <v>11508</v>
      </c>
      <c r="J23" s="31" t="s">
        <v>153</v>
      </c>
      <c r="K23" s="47">
        <v>10988</v>
      </c>
      <c r="L23" s="154" t="s">
        <v>51</v>
      </c>
      <c r="M23" s="155">
        <f t="shared" si="0"/>
        <v>274.56</v>
      </c>
      <c r="N23" s="156" t="str">
        <f>VLOOKUP(C23,'Trips&amp;Operators'!$C$1:$E$99999,3,FALSE)</f>
        <v>ADANE</v>
      </c>
      <c r="O23" s="182" t="s">
        <v>200</v>
      </c>
      <c r="P23" s="157" t="s">
        <v>810</v>
      </c>
      <c r="Q23" s="31"/>
      <c r="R23" s="100" t="str">
        <f>VLOOKUP(C23,'Train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23" s="103" t="str">
        <f>VLOOKUP(C23,'Train Runs'!$A$13:$AE$9987,22,0)</f>
        <v>https://search-rtdc-monitor-bjffxe2xuh6vdkpspy63sjmuny.us-east-1.es.amazonaws.com/_plugin/kibana/#/discover/Steve-Slow-Train-Analysis-(2080s-and-2083s)?_g=(refreshInterval:(display:Off,section:0,value:0),time:(from:'2016-11-27 15:36:16-700',mode:absolute,to:'2016-11-27 17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3" s="105" t="str">
        <f t="shared" si="1"/>
        <v>"C:\Program Files (x86)\AstroGrep\AstroGrep.exe" /spath="%USERPROFILE%\AppData\Local\Temp\OnboardLogs" /stypes="*4026*201611272*" /stext=" 23:.+((SYSTEM_STATE.+slice.+state.+changed )|(ment ac)|(multiple cpu faults)|(system.+state.+changed )|(\[timeout)|(PRM\|1\|D)|(kpr)|(kdp)|(\|lc)|(penalty))" /e /r /s</v>
      </c>
      <c r="U23" s="9" t="str">
        <f t="shared" si="2"/>
        <v>4026</v>
      </c>
      <c r="V23" s="36">
        <f t="shared" si="3"/>
        <v>42701.993622685186</v>
      </c>
      <c r="W23" s="50" t="str">
        <f t="shared" si="4"/>
        <v>NW</v>
      </c>
      <c r="X23" s="50" t="str">
        <f t="shared" si="5"/>
        <v>KEEP</v>
      </c>
      <c r="Y23" s="119" t="str">
        <f t="shared" si="6"/>
        <v>echo {"issue":{"subject":"Early arrival","project_id":79,"tracker_id":40,"status_id":1,"priority_id":2,"assigned_to_id":23,"start_date":"2016-11-27","description":"","custom_fields":[{"id":1,"name":"Subdivision","value":"NW"},{"id":4,"name":"Milepost","value":"1.0988"},{"id":17,"name":"Train ID","value":"1822-27"},{"id":16,"name":"Locomotive ID","value":"4026"},{"id":130,"name":"Impact","value":""},{"id":150,"name":"Time of Event (Mountain Time)","value":"16:50:49"},{"id":151,"name":"Denver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"%USERPROFILE%\AppData\Local\Temp\OnboardLogs"\RTDC4026\*4026*201611272*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"%USERPROFILE%\AppData\Local\Temp\OnboardLogs"\RTDC4026\*4026*201611272* &gt;&gt; 42701-slicedisagreementcheck.txt</v>
      </c>
    </row>
    <row r="24" spans="1:30" ht="15" customHeight="1" x14ac:dyDescent="0.25">
      <c r="A24" s="36">
        <v>42701.285057870373</v>
      </c>
      <c r="B24" s="31" t="s">
        <v>344</v>
      </c>
      <c r="C24" s="31" t="s">
        <v>402</v>
      </c>
      <c r="D24" s="31" t="s">
        <v>98</v>
      </c>
      <c r="E24" s="31" t="s">
        <v>154</v>
      </c>
      <c r="F24" s="47">
        <v>0</v>
      </c>
      <c r="G24" s="47">
        <v>416</v>
      </c>
      <c r="H24" s="47">
        <v>15722</v>
      </c>
      <c r="I24" s="47">
        <v>14447</v>
      </c>
      <c r="J24" s="31" t="s">
        <v>153</v>
      </c>
      <c r="K24" s="47">
        <v>15777</v>
      </c>
      <c r="L24" s="154" t="s">
        <v>51</v>
      </c>
      <c r="M24" s="155">
        <f t="shared" si="0"/>
        <v>-702.24</v>
      </c>
      <c r="N24" s="156" t="str">
        <f>VLOOKUP(C24,'Trips&amp;Operators'!$C$1:$E$99999,3,FALSE)</f>
        <v>STARKS</v>
      </c>
      <c r="O24" s="182" t="s">
        <v>249</v>
      </c>
      <c r="P24" s="157" t="s">
        <v>811</v>
      </c>
      <c r="Q24" s="31"/>
      <c r="R24" s="100" t="str">
        <f>VLOOKUP(C24,'Train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24" s="103" t="str">
        <f>VLOOKUP(C24,'Train Runs'!$A$13:$AE$9987,22,0)</f>
        <v>https://search-rtdc-monitor-bjffxe2xuh6vdkpspy63sjmuny.us-east-1.es.amazonaws.com/_plugin/kibana/#/discover/Steve-Slow-Train-Analysis-(2080s-and-2083s)?_g=(refreshInterval:(display:Off,section:0,value:0),time:(from:'2016-11-27 05:36:55-700',mode:absolute,to:'2016-11-27 07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4" s="105" t="str">
        <f t="shared" si="1"/>
        <v>"C:\Program Files (x86)\AstroGrep\AstroGrep.exe" /spath="%USERPROFILE%\AppData\Local\Temp\OnboardLogs" /stypes="*4026*201611271*" /stext=" 13:.+((SYSTEM_STATE.+slice.+state.+changed )|(ment ac)|(multiple cpu faults)|(system.+state.+changed )|(\[timeout)|(PRM\|1\|D)|(kpr)|(kdp)|(\|lc)|(penalty))" /e /r /s</v>
      </c>
      <c r="U24" s="9" t="str">
        <f t="shared" si="2"/>
        <v>4026</v>
      </c>
      <c r="V24" s="36">
        <f t="shared" si="3"/>
        <v>42701.576724537037</v>
      </c>
      <c r="W24" s="50" t="str">
        <f t="shared" si="4"/>
        <v>NW</v>
      </c>
      <c r="X24" s="50" t="str">
        <f t="shared" si="5"/>
        <v>KEEP</v>
      </c>
      <c r="Y24" s="119" t="str">
        <f t="shared" si="6"/>
        <v>echo {"issue":{"subject":"Early arrival (41st)","project_id":79,"tracker_id":40,"status_id":1,"priority_id":2,"assigned_to_id":23,"start_date":"2016-11-27","description":"","custom_fields":[{"id":1,"name":"Subdivision","value":"NW"},{"id":4,"name":"Milepost","value":"1.5777"},{"id":17,"name":"Train ID","value":"1802-27"},{"id":16,"name":"Locomotive ID","value":"4026"},{"id":130,"name":"Impact","value":""},{"id":150,"name":"Time of Event (Mountain Time)","value":"06:50:29"},{"id":151,"name":"Denver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"%USERPROFILE%\AppData\Local\Temp\OnboardLogs"\RTDC4026\*4026*201611271*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"%USERPROFILE%\AppData\Local\Temp\OnboardLogs"\RTDC4026\*4026*201611271* &gt;&gt; 42701-slicedisagreementcheck.txt</v>
      </c>
    </row>
    <row r="25" spans="1:30" x14ac:dyDescent="0.25">
      <c r="A25" s="36">
        <v>42701.826377314814</v>
      </c>
      <c r="B25" s="31" t="s">
        <v>344</v>
      </c>
      <c r="C25" s="31" t="s">
        <v>426</v>
      </c>
      <c r="D25" s="31" t="s">
        <v>49</v>
      </c>
      <c r="E25" s="31" t="s">
        <v>154</v>
      </c>
      <c r="F25" s="47">
        <v>0</v>
      </c>
      <c r="G25" s="47">
        <v>241</v>
      </c>
      <c r="H25" s="47">
        <v>15901</v>
      </c>
      <c r="I25" s="47">
        <v>15410</v>
      </c>
      <c r="J25" s="31" t="s">
        <v>153</v>
      </c>
      <c r="K25" s="47">
        <v>15777</v>
      </c>
      <c r="L25" s="154" t="s">
        <v>51</v>
      </c>
      <c r="M25" s="155">
        <f t="shared" si="0"/>
        <v>-193.77600000000001</v>
      </c>
      <c r="N25" s="156" t="str">
        <f>VLOOKUP(C25,'Trips&amp;Operators'!$C$1:$E$99999,3,FALSE)</f>
        <v>ADANE</v>
      </c>
      <c r="O25" s="182" t="s">
        <v>249</v>
      </c>
      <c r="P25" s="157" t="s">
        <v>811</v>
      </c>
      <c r="Q25" s="31"/>
      <c r="R25" s="100" t="str">
        <f>VLOOKUP(C25,'Train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25" s="103" t="str">
        <f>VLOOKUP(C25,'Train Runs'!$A$13:$AE$9987,22,0)</f>
        <v>https://search-rtdc-monitor-bjffxe2xuh6vdkpspy63sjmuny.us-east-1.es.amazonaws.com/_plugin/kibana/#/discover/Steve-Slow-Train-Analysis-(2080s-and-2083s)?_g=(refreshInterval:(display:Off,section:0,value:0),time:(from:'2016-11-27 18:36:38-700',mode:absolute,to:'2016-11-27 20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5" s="105" t="str">
        <f t="shared" si="1"/>
        <v>"C:\Program Files (x86)\AstroGrep\AstroGrep.exe" /spath="%USERPROFILE%\AppData\Local\Temp\OnboardLogs" /stypes="*4026*201611280*" /stext=" 02:.+((SYSTEM_STATE.+slice.+state.+changed )|(ment ac)|(multiple cpu faults)|(system.+state.+changed )|(\[timeout)|(PRM\|1\|D)|(kpr)|(kdp)|(\|lc)|(penalty))" /e /r /s</v>
      </c>
      <c r="U25" s="9" t="str">
        <f t="shared" si="2"/>
        <v>4026</v>
      </c>
      <c r="V25" s="36">
        <f t="shared" si="3"/>
        <v>42702.118043981478</v>
      </c>
      <c r="W25" s="50" t="str">
        <f t="shared" si="4"/>
        <v>NW</v>
      </c>
      <c r="X25" s="50" t="str">
        <f t="shared" si="5"/>
        <v>KEEP</v>
      </c>
      <c r="Y25" s="119" t="str">
        <f t="shared" si="6"/>
        <v>echo {"issue":{"subject":"Early arrival (41st)","project_id":79,"tracker_id":40,"status_id":1,"priority_id":2,"assigned_to_id":23,"start_date":"2016-11-27","description":"","custom_fields":[{"id":1,"name":"Subdivision","value":"NW"},{"id":4,"name":"Milepost","value":"1.5777"},{"id":17,"name":"Train ID","value":"1828-27"},{"id":16,"name":"Locomotive ID","value":"4026"},{"id":130,"name":"Impact","value":""},{"id":150,"name":"Time of Event (Mountain Time)","value":"19:49:59"},{"id":151,"name":"Denver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"%USERPROFILE%\AppData\Local\Temp\OnboardLogs"\RTDC4026\*4026*201611280*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"%USERPROFILE%\AppData\Local\Temp\OnboardLogs"\RTDC4026\*4026*201611280* &gt;&gt; 42701-slicedisagreementcheck.txt</v>
      </c>
    </row>
    <row r="26" spans="1:30" x14ac:dyDescent="0.25">
      <c r="A26" s="36">
        <v>42701.661203703705</v>
      </c>
      <c r="B26" s="31" t="s">
        <v>344</v>
      </c>
      <c r="C26" s="31" t="s">
        <v>419</v>
      </c>
      <c r="D26" s="31" t="s">
        <v>49</v>
      </c>
      <c r="E26" s="31" t="s">
        <v>201</v>
      </c>
      <c r="F26" s="47">
        <v>200</v>
      </c>
      <c r="G26" s="47">
        <v>340</v>
      </c>
      <c r="H26" s="47">
        <v>7389</v>
      </c>
      <c r="I26" s="47">
        <v>6505</v>
      </c>
      <c r="J26" s="31" t="s">
        <v>202</v>
      </c>
      <c r="K26" s="47">
        <v>5782</v>
      </c>
      <c r="L26" s="154" t="s">
        <v>51</v>
      </c>
      <c r="M26" s="155">
        <f t="shared" si="0"/>
        <v>381.74400000000003</v>
      </c>
      <c r="N26" s="156" t="str">
        <f>VLOOKUP(C26,'Trips&amp;Operators'!$C$1:$E$99999,3,FALSE)</f>
        <v>ADANE</v>
      </c>
      <c r="O26" s="182" t="s">
        <v>200</v>
      </c>
      <c r="P26" s="157"/>
      <c r="Q26" s="31"/>
      <c r="R26" s="100" t="str">
        <f>VLOOKUP(C26,'Train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26" s="103" t="str">
        <f>VLOOKUP(C26,'Train Runs'!$A$13:$AE$9987,22,0)</f>
        <v>https://search-rtdc-monitor-bjffxe2xuh6vdkpspy63sjmuny.us-east-1.es.amazonaws.com/_plugin/kibana/#/discover/Steve-Slow-Train-Analysis-(2080s-and-2083s)?_g=(refreshInterval:(display:Off,section:0,value:0),time:(from:'2016-11-27 14:35:55-700',mode:absolute,to:'2016-11-27 16:55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6" s="105" t="str">
        <f t="shared" si="1"/>
        <v>"C:\Program Files (x86)\AstroGrep\AstroGrep.exe" /spath="%USERPROFILE%\AppData\Local\Temp\OnboardLogs" /stypes="*4026*201611272*" /stext=" 22:.+((SYSTEM_STATE.+slice.+state.+changed )|(ment ac)|(multiple cpu faults)|(system.+state.+changed )|(\[timeout)|(PRM\|1\|D)|(kpr)|(kdp)|(\|lc)|(penalty))" /e /r /s</v>
      </c>
      <c r="U26" s="9" t="str">
        <f t="shared" si="2"/>
        <v>4026</v>
      </c>
      <c r="V26" s="36">
        <f t="shared" si="3"/>
        <v>42701.952870370369</v>
      </c>
      <c r="W26" s="50" t="str">
        <f t="shared" si="4"/>
        <v>NW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{"issue":{"subject":"","project_id":79,"tracker_id":40,"status_id":1,"priority_id":2,"assigned_to_id":23,"start_date":"2016-11-27","description":"","custom_fields":[{"id":1,"name":"Subdivision","value":"NW"},{"id":4,"name":"Milepost","value":"0.5782"},{"id":17,"name":"Train ID","value":"1820-27"},{"id":16,"name":"Locomotive ID","value":"4026"},{"id":130,"name":"Impact","value":""},{"id":150,"name":"Time of Event (Mountain Time)","value":"15:52:08"},{"id":151,"name":"Denver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"%USERPROFILE%\AppData\Local\Temp\OnboardLogs"\RTDC4026\*4026*201611272*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"%USERPROFILE%\AppData\Local\Temp\OnboardLogs"\RTDC4026\*4026*201611272* &gt;&gt; 42701-slicedisagreementcheck.txt</v>
      </c>
    </row>
    <row r="27" spans="1:30" x14ac:dyDescent="0.25">
      <c r="A27" s="36">
        <v>42701.395624999997</v>
      </c>
      <c r="B27" s="31" t="s">
        <v>353</v>
      </c>
      <c r="C27" s="31" t="s">
        <v>406</v>
      </c>
      <c r="D27" s="31" t="s">
        <v>49</v>
      </c>
      <c r="E27" s="31" t="s">
        <v>201</v>
      </c>
      <c r="F27" s="47">
        <v>300</v>
      </c>
      <c r="G27" s="47">
        <v>363</v>
      </c>
      <c r="H27" s="47">
        <v>38995</v>
      </c>
      <c r="I27" s="47">
        <v>39895</v>
      </c>
      <c r="J27" s="31" t="s">
        <v>202</v>
      </c>
      <c r="K27" s="47">
        <v>39716</v>
      </c>
      <c r="L27" s="154" t="s">
        <v>50</v>
      </c>
      <c r="M27" s="155">
        <f t="shared" si="0"/>
        <v>-94.512</v>
      </c>
      <c r="N27" s="156" t="str">
        <f>VLOOKUP(C27,'Trips&amp;Operators'!$C$1:$E$99999,3,FALSE)</f>
        <v>STARKS</v>
      </c>
      <c r="O27" s="182" t="s">
        <v>200</v>
      </c>
      <c r="P27" s="157"/>
      <c r="Q27" s="31"/>
      <c r="R27" s="100" t="str">
        <f>VLOOKUP(C27,'Train Runs'!$A$13:$AE$9987,31,0)</f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S27" s="103" t="str">
        <f>VLOOKUP(C27,'Train Runs'!$A$13:$AE$9987,22,0)</f>
        <v>https://search-rtdc-monitor-bjffxe2xuh6vdkpspy63sjmuny.us-east-1.es.amazonaws.com/_plugin/kibana/#/discover/Steve-Slow-Train-Analysis-(2080s-and-2083s)?_g=(refreshInterval:(display:Off,section:0,value:0),time:(from:'2016-11-27 08:19:38-700',mode:absolute,to:'2016-11-27 10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7" s="105" t="str">
        <f t="shared" si="1"/>
        <v>"C:\Program Files (x86)\AstroGrep\AstroGrep.exe" /spath="%USERPROFILE%\AppData\Local\Temp\OnboardLogs" /stypes="*4025*201611271*" /stext=" 16:.+((SYSTEM_STATE.+slice.+state.+changed )|(ment ac)|(multiple cpu faults)|(system.+state.+changed )|(\[timeout)|(PRM\|1\|D)|(kpr)|(kdp)|(\|lc)|(penalty))" /e /r /s</v>
      </c>
      <c r="U27" s="9" t="str">
        <f t="shared" si="2"/>
        <v>4025</v>
      </c>
      <c r="V27" s="36">
        <f t="shared" si="3"/>
        <v>42701.687291666662</v>
      </c>
      <c r="W27" s="50" t="str">
        <f t="shared" si="4"/>
        <v>NW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{"issue":{"subject":"","project_id":79,"tracker_id":40,"status_id":1,"priority_id":2,"assigned_to_id":23,"start_date":"2016-11-27","description":"","custom_fields":[{"id":1,"name":"Subdivision","value":"NW"},{"id":4,"name":"Milepost","value":"3.9716"},{"id":17,"name":"Train ID","value":"1807-27"},{"id":16,"name":"Locomotive ID","value":"4025"},{"id":130,"name":"Impact","value":""},{"id":150,"name":"Time of Event (Mountain Time)","value":"09:29:42"},{"id":151,"name":"Denver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"%USERPROFILE%\AppData\Local\Temp\OnboardLogs"\RTDC4025\*4025*201611271*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"%USERPROFILE%\AppData\Local\Temp\OnboardLogs"\RTDC4025\*4025*201611271* &gt;&gt; 42701-slicedisagreementcheck.txt</v>
      </c>
    </row>
    <row r="28" spans="1:30" x14ac:dyDescent="0.25">
      <c r="A28" s="36">
        <v>42701.493194444447</v>
      </c>
      <c r="B28" s="31" t="s">
        <v>344</v>
      </c>
      <c r="C28" s="31" t="s">
        <v>412</v>
      </c>
      <c r="D28" s="31" t="s">
        <v>49</v>
      </c>
      <c r="E28" s="31" t="s">
        <v>203</v>
      </c>
      <c r="F28" s="47">
        <v>0</v>
      </c>
      <c r="G28" s="47">
        <v>147</v>
      </c>
      <c r="H28" s="47">
        <v>15029</v>
      </c>
      <c r="I28" s="47">
        <v>14785</v>
      </c>
      <c r="J28" s="31" t="s">
        <v>204</v>
      </c>
      <c r="K28" s="47">
        <v>14177</v>
      </c>
      <c r="L28" s="154" t="s">
        <v>51</v>
      </c>
      <c r="M28" s="155">
        <f t="shared" si="0"/>
        <v>321.024</v>
      </c>
      <c r="N28" s="156" t="str">
        <f>VLOOKUP(C28,'Trips&amp;Operators'!$C$1:$E$99999,3,FALSE)</f>
        <v>STARKS</v>
      </c>
      <c r="O28" s="182" t="s">
        <v>249</v>
      </c>
      <c r="P28" s="157" t="s">
        <v>809</v>
      </c>
      <c r="Q28" s="31"/>
      <c r="R28" s="100" t="str">
        <f>VLOOKUP(C28,'Train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28" s="103" t="str">
        <f>VLOOKUP(C28,'Train Runs'!$A$13:$AE$9987,22,0)</f>
        <v>https://search-rtdc-monitor-bjffxe2xuh6vdkpspy63sjmuny.us-east-1.es.amazonaws.com/_plugin/kibana/#/discover/Steve-Slow-Train-Analysis-(2080s-and-2083s)?_g=(refreshInterval:(display:Off,section:0,value:0),time:(from:'2016-11-27 10:35:56-700',mode:absolute,to:'2016-11-27 12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5" t="str">
        <f t="shared" si="1"/>
        <v>"C:\Program Files (x86)\AstroGrep\AstroGrep.exe" /spath="%USERPROFILE%\AppData\Local\Temp\OnboardLogs" /stypes="*4026*201611271*" /stext=" 18:.+((SYSTEM_STATE.+slice.+state.+changed )|(ment ac)|(multiple cpu faults)|(system.+state.+changed )|(\[timeout)|(PRM\|1\|D)|(kpr)|(kdp)|(\|lc)|(penalty))" /e /r /s</v>
      </c>
      <c r="U28" s="9" t="str">
        <f t="shared" si="2"/>
        <v>4026</v>
      </c>
      <c r="V28" s="36">
        <f t="shared" si="3"/>
        <v>42701.784861111111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{"issue":{"subject":"Wi-MAX data drop","project_id":79,"tracker_id":40,"status_id":1,"priority_id":2,"assigned_to_id":23,"start_date":"2016-11-27","description":"http://stevetu21.github.io/eaglep3/load_kml.html?kml=http://rtdc.gmaps-snips.s3.amazonaws.com/8b83f94f-d086-4601-b14a-3a74d6321daf.kml","custom_fields":[{"id":1,"name":"Subdivision","value":"NW"},{"id":4,"name":"Milepost","value":"1.4177"},{"id":17,"name":"Train ID","value":"1812-27"},{"id":16,"name":"Locomotive ID","value":"4026"},{"id":130,"name":"Impact","value":"Enforcement"},{"id":150,"name":"Time of Event (Mountain Time)","value":"11:50:12"},{"id":151,"name":"Denver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s="183" t="s">
        <v>812</v>
      </c>
      <c r="AA28" s="53" t="s">
        <v>125</v>
      </c>
      <c r="AB28" s="53" t="s">
        <v>138</v>
      </c>
      <c r="AC28" s="138" t="str">
        <f t="shared" si="7"/>
        <v>grep -hSE -A100 "Enforcement Action" "%USERPROFILE%\AppData\Local\Temp\OnboardLogs"\RTDC4026\*4026*201611271*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"%USERPROFILE%\AppData\Local\Temp\OnboardLogs"\RTDC4026\*4026*201611271* &gt;&gt; 42701-slicedisagreementcheck.txt</v>
      </c>
    </row>
    <row r="29" spans="1:30" x14ac:dyDescent="0.25">
      <c r="A29" s="36">
        <v>42701.436377314814</v>
      </c>
      <c r="B29" s="31" t="s">
        <v>353</v>
      </c>
      <c r="C29" s="31" t="s">
        <v>411</v>
      </c>
      <c r="D29" s="31" t="s">
        <v>49</v>
      </c>
      <c r="E29" s="31" t="s">
        <v>203</v>
      </c>
      <c r="F29" s="47">
        <v>0</v>
      </c>
      <c r="G29" s="47">
        <v>498</v>
      </c>
      <c r="H29" s="47">
        <v>25994</v>
      </c>
      <c r="I29" s="47">
        <v>27487</v>
      </c>
      <c r="J29" s="31" t="s">
        <v>204</v>
      </c>
      <c r="K29" s="47">
        <v>26941</v>
      </c>
      <c r="L29" s="154" t="s">
        <v>50</v>
      </c>
      <c r="M29" s="155">
        <f t="shared" si="0"/>
        <v>-288.28800000000001</v>
      </c>
      <c r="N29" s="156" t="str">
        <f>VLOOKUP(C29,'Trips&amp;Operators'!$C$1:$E$99999,3,FALSE)</f>
        <v>STARKS</v>
      </c>
      <c r="O29" s="182" t="s">
        <v>249</v>
      </c>
      <c r="P29" s="157" t="s">
        <v>809</v>
      </c>
      <c r="Q29" s="31"/>
      <c r="R29" s="100" t="str">
        <f>VLOOKUP(C29,'Train Runs'!$A$13:$AE$9987,31,0)</f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S29" s="103" t="str">
        <f>VLOOKUP(C29,'Train Runs'!$A$13:$AE$9987,22,0)</f>
        <v>https://search-rtdc-monitor-bjffxe2xuh6vdkpspy63sjmuny.us-east-1.es.amazonaws.com/_plugin/kibana/#/discover/Steve-Slow-Train-Analysis-(2080s-and-2083s)?_g=(refreshInterval:(display:Off,section:0,value:0),time:(from:'2016-11-27 08:59:53-700',mode:absolute,to:'2016-11-27 11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9" s="105" t="str">
        <f t="shared" si="1"/>
        <v>"C:\Program Files (x86)\AstroGrep\AstroGrep.exe" /spath="%USERPROFILE%\AppData\Local\Temp\OnboardLogs" /stypes="*4025*201611271*" /stext=" 17:.+((SYSTEM_STATE.+slice.+state.+changed )|(ment ac)|(multiple cpu faults)|(system.+state.+changed )|(\[timeout)|(PRM\|1\|D)|(kpr)|(kdp)|(\|lc)|(penalty))" /e /r /s</v>
      </c>
      <c r="U29" s="9" t="str">
        <f t="shared" si="2"/>
        <v>4025</v>
      </c>
      <c r="V29" s="36">
        <f t="shared" si="3"/>
        <v>42701.728043981479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{"issue":{"subject":"Wi-MAX data drop","project_id":79,"tracker_id":40,"status_id":1,"priority_id":2,"assigned_to_id":23,"start_date":"2016-11-27","description":"http://stevetu21.github.io/eaglep3/load_kml.html?kml=http://rtdc.gmaps-snips.s3.amazonaws.com/af9c5cae-d143-47e4-a830-2361268367fa.kml","custom_fields":[{"id":1,"name":"Subdivision","value":"NW"},{"id":4,"name":"Milepost","value":"2.6941"},{"id":17,"name":"Train ID","value":"1809-27"},{"id":16,"name":"Locomotive ID","value":"4025"},{"id":130,"name":"Impact","value":"Enforcement"},{"id":150,"name":"Time of Event (Mountain Time)","value":"10:28:23"},{"id":151,"name":"Denver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s="21" t="s">
        <v>813</v>
      </c>
      <c r="AA29" s="53" t="s">
        <v>125</v>
      </c>
      <c r="AB29" s="53" t="s">
        <v>138</v>
      </c>
      <c r="AC29" s="138" t="str">
        <f t="shared" si="7"/>
        <v>grep -hSE -A100 "Enforcement Action" "%USERPROFILE%\AppData\Local\Temp\OnboardLogs"\RTDC4025\*4025*201611271*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"%USERPROFILE%\AppData\Local\Temp\OnboardLogs"\RTDC4025\*4025*201611271* &gt;&gt; 42701-slicedisagreementcheck.txt</v>
      </c>
    </row>
    <row r="30" spans="1:30" ht="15" customHeight="1" x14ac:dyDescent="0.25">
      <c r="A30" s="36">
        <v>42701.746631944443</v>
      </c>
      <c r="B30" s="31" t="s">
        <v>344</v>
      </c>
      <c r="C30" s="31" t="s">
        <v>422</v>
      </c>
      <c r="D30" s="31" t="s">
        <v>49</v>
      </c>
      <c r="E30" s="31" t="s">
        <v>205</v>
      </c>
      <c r="F30" s="47">
        <v>0</v>
      </c>
      <c r="G30" s="47">
        <v>36</v>
      </c>
      <c r="H30" s="47">
        <v>678</v>
      </c>
      <c r="I30" s="47">
        <v>654</v>
      </c>
      <c r="J30" s="31" t="s">
        <v>206</v>
      </c>
      <c r="K30" s="47">
        <v>575</v>
      </c>
      <c r="L30" s="154" t="s">
        <v>51</v>
      </c>
      <c r="M30" s="155">
        <f t="shared" si="0"/>
        <v>41.712000000000003</v>
      </c>
      <c r="N30" s="156" t="str">
        <f>VLOOKUP(C30,'Trips&amp;Operators'!$C$1:$E$99999,3,FALSE)</f>
        <v>ADANE</v>
      </c>
      <c r="O30" s="182" t="s">
        <v>200</v>
      </c>
      <c r="P30" s="157"/>
      <c r="Q30" s="31"/>
      <c r="R30" s="100" t="str">
        <f>VLOOKUP(C30,'Train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30" s="103" t="str">
        <f>VLOOKUP(C30,'Train Runs'!$A$13:$AE$9987,22,0)</f>
        <v>https://search-rtdc-monitor-bjffxe2xuh6vdkpspy63sjmuny.us-east-1.es.amazonaws.com/_plugin/kibana/#/discover/Steve-Slow-Train-Analysis-(2080s-and-2083s)?_g=(refreshInterval:(display:Off,section:0,value:0),time:(from:'2016-11-27 16:36:55-700',mode:absolute,to:'2016-11-27 18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0" s="105" t="str">
        <f t="shared" si="1"/>
        <v>"C:\Program Files (x86)\AstroGrep\AstroGrep.exe" /spath="%USERPROFILE%\AppData\Local\Temp\OnboardLogs" /stypes="*4026*201611280*" /stext=" 00:.+((SYSTEM_STATE.+slice.+state.+changed )|(ment ac)|(multiple cpu faults)|(system.+state.+changed )|(\[timeout)|(PRM\|1\|D)|(kpr)|(kdp)|(\|lc)|(penalty))" /e /r /s</v>
      </c>
      <c r="U30" s="9" t="str">
        <f t="shared" si="2"/>
        <v>4026</v>
      </c>
      <c r="V30" s="36">
        <f t="shared" si="3"/>
        <v>42702.038298611107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{"issue":{"subject":"","project_id":79,"tracker_id":40,"status_id":1,"priority_id":2,"assigned_to_id":23,"start_date":"2016-11-27","description":"","custom_fields":[{"id":1,"name":"Subdivision","value":"NW"},{"id":4,"name":"Milepost","value":"0.0575"},{"id":17,"name":"Train ID","value":"1824-27"},{"id":16,"name":"Locomotive ID","value":"4026"},{"id":130,"name":"Impact","value":""},{"id":150,"name":"Time of Event (Mountain Time)","value":"17:55:09"},{"id":151,"name":"Denver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"%USERPROFILE%\AppData\Local\Temp\OnboardLogs"\RTDC4026\*4026*201611280*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"%USERPROFILE%\AppData\Local\Temp\OnboardLogs"\RTDC4026\*4026*201611280* &gt;&gt; 42701-slicedisagreementcheck.txt</v>
      </c>
    </row>
    <row r="31" spans="1:30" ht="15" customHeight="1" x14ac:dyDescent="0.25">
      <c r="A31" s="36">
        <v>42701.787800925929</v>
      </c>
      <c r="B31" s="31" t="s">
        <v>344</v>
      </c>
      <c r="C31" s="31" t="s">
        <v>425</v>
      </c>
      <c r="D31" s="31" t="s">
        <v>49</v>
      </c>
      <c r="E31" s="31" t="s">
        <v>205</v>
      </c>
      <c r="F31" s="47">
        <v>0</v>
      </c>
      <c r="G31" s="47">
        <v>50</v>
      </c>
      <c r="H31" s="47">
        <v>682</v>
      </c>
      <c r="I31" s="47">
        <v>643</v>
      </c>
      <c r="J31" s="31" t="s">
        <v>206</v>
      </c>
      <c r="K31" s="47">
        <v>575</v>
      </c>
      <c r="L31" s="154" t="s">
        <v>51</v>
      </c>
      <c r="M31" s="155">
        <f t="shared" si="0"/>
        <v>35.904000000000003</v>
      </c>
      <c r="N31" s="156" t="str">
        <f>VLOOKUP(C31,'Trips&amp;Operators'!$C$1:$E$99999,3,FALSE)</f>
        <v>ADANE</v>
      </c>
      <c r="O31" s="182" t="s">
        <v>200</v>
      </c>
      <c r="P31" s="157"/>
      <c r="Q31" s="31"/>
      <c r="R31" s="100" t="str">
        <f>VLOOKUP(C31,'Train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31" s="103" t="str">
        <f>VLOOKUP(C31,'Train Runs'!$A$13:$AE$9987,22,0)</f>
        <v>https://search-rtdc-monitor-bjffxe2xuh6vdkpspy63sjmuny.us-east-1.es.amazonaws.com/_plugin/kibana/#/discover/Steve-Slow-Train-Analysis-(2080s-and-2083s)?_g=(refreshInterval:(display:Off,section:0,value:0),time:(from:'2016-11-27 17:36:26-700',mode:absolute,to:'2016-11-27 19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1" s="105" t="str">
        <f t="shared" si="1"/>
        <v>"C:\Program Files (x86)\AstroGrep\AstroGrep.exe" /spath="%USERPROFILE%\AppData\Local\Temp\OnboardLogs" /stypes="*4026*201611280*" /stext=" 01:.+((SYSTEM_STATE.+slice.+state.+changed )|(ment ac)|(multiple cpu faults)|(system.+state.+changed )|(\[timeout)|(PRM\|1\|D)|(kpr)|(kdp)|(\|lc)|(penalty))" /e /r /s</v>
      </c>
      <c r="U31" s="9" t="str">
        <f t="shared" si="2"/>
        <v>4026</v>
      </c>
      <c r="V31" s="36">
        <f t="shared" si="3"/>
        <v>42702.079467592594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{"issue":{"subject":"","project_id":79,"tracker_id":40,"status_id":1,"priority_id":2,"assigned_to_id":23,"start_date":"2016-11-27","description":"","custom_fields":[{"id":1,"name":"Subdivision","value":"NW"},{"id":4,"name":"Milepost","value":"0.0575"},{"id":17,"name":"Train ID","value":"1826-27"},{"id":16,"name":"Locomotive ID","value":"4026"},{"id":130,"name":"Impact","value":""},{"id":150,"name":"Time of Event (Mountain Time)","value":"18:54:26"},{"id":151,"name":"Denver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"%USERPROFILE%\AppData\Local\Temp\OnboardLogs"\RTDC4026\*4026*201611280*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"%USERPROFILE%\AppData\Local\Temp\OnboardLogs"\RTDC4026\*4026*201611280* &gt;&gt; 42701-slicedisagreementcheck.txt</v>
      </c>
    </row>
    <row r="32" spans="1:30" x14ac:dyDescent="0.25">
      <c r="A32" s="36">
        <v>42701.912893518522</v>
      </c>
      <c r="B32" s="31" t="s">
        <v>344</v>
      </c>
      <c r="C32" s="31" t="s">
        <v>428</v>
      </c>
      <c r="D32" s="31" t="s">
        <v>49</v>
      </c>
      <c r="E32" s="31" t="s">
        <v>205</v>
      </c>
      <c r="F32" s="47">
        <v>0</v>
      </c>
      <c r="G32" s="47">
        <v>130</v>
      </c>
      <c r="H32" s="47">
        <v>1452</v>
      </c>
      <c r="I32" s="47">
        <v>1216</v>
      </c>
      <c r="J32" s="31" t="s">
        <v>206</v>
      </c>
      <c r="K32" s="47">
        <v>575</v>
      </c>
      <c r="L32" s="154" t="s">
        <v>51</v>
      </c>
      <c r="M32" s="155">
        <f t="shared" si="0"/>
        <v>338.44800000000004</v>
      </c>
      <c r="N32" s="156" t="str">
        <f>VLOOKUP(C32,'Trips&amp;Operators'!$C$1:$E$99999,3,FALSE)</f>
        <v>ADANE</v>
      </c>
      <c r="O32" s="182" t="s">
        <v>200</v>
      </c>
      <c r="P32" s="157"/>
      <c r="Q32" s="31"/>
      <c r="R32" s="100" t="str">
        <f>VLOOKUP(C32,'Train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32" s="103" t="str">
        <f>VLOOKUP(C32,'Train Runs'!$A$13:$AE$9987,22,0)</f>
        <v>https://search-rtdc-monitor-bjffxe2xuh6vdkpspy63sjmuny.us-east-1.es.amazonaws.com/_plugin/kibana/#/discover/Steve-Slow-Train-Analysis-(2080s-and-2083s)?_g=(refreshInterval:(display:Off,section:0,value:0),time:(from:'2016-11-27 20:36:32-700',mode:absolute,to:'2016-11-27 22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2" s="105" t="str">
        <f t="shared" si="1"/>
        <v>"C:\Program Files (x86)\AstroGrep\AstroGrep.exe" /spath="%USERPROFILE%\AppData\Local\Temp\OnboardLogs" /stypes="*4026*201611280*" /stext=" 04:.+((SYSTEM_STATE.+slice.+state.+changed )|(ment ac)|(multiple cpu faults)|(system.+state.+changed )|(\[timeout)|(PRM\|1\|D)|(kpr)|(kdp)|(\|lc)|(penalty))" /e /r /s</v>
      </c>
      <c r="U32" s="9" t="str">
        <f t="shared" si="2"/>
        <v>4026</v>
      </c>
      <c r="V32" s="36">
        <f t="shared" si="3"/>
        <v>42702.204560185186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{"issue":{"subject":"","project_id":79,"tracker_id":40,"status_id":1,"priority_id":2,"assigned_to_id":23,"start_date":"2016-11-27","description":"","custom_fields":[{"id":1,"name":"Subdivision","value":"NW"},{"id":4,"name":"Milepost","value":"0.0575"},{"id":17,"name":"Train ID","value":"1832-27"},{"id":16,"name":"Locomotive ID","value":"4026"},{"id":130,"name":"Impact","value":""},{"id":150,"name":"Time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"%USERPROFILE%\AppData\Local\Temp\OnboardLogs"\RTDC4026\*4026*201611280*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"%USERPROFILE%\AppData\Local\Temp\OnboardLogs"\RTDC4026\*4026*201611280* &gt;&gt; 42701-slicedisagreementcheck.txt</v>
      </c>
    </row>
    <row r="33" spans="1:30" x14ac:dyDescent="0.25">
      <c r="A33" s="36">
        <v>42701.913587962961</v>
      </c>
      <c r="B33" s="31" t="s">
        <v>344</v>
      </c>
      <c r="C33" s="31" t="s">
        <v>428</v>
      </c>
      <c r="D33" s="31" t="s">
        <v>49</v>
      </c>
      <c r="E33" s="31" t="s">
        <v>205</v>
      </c>
      <c r="F33" s="47">
        <v>0</v>
      </c>
      <c r="G33" s="47">
        <v>53</v>
      </c>
      <c r="H33" s="47">
        <v>790</v>
      </c>
      <c r="I33" s="47">
        <v>755</v>
      </c>
      <c r="J33" s="31" t="s">
        <v>206</v>
      </c>
      <c r="K33" s="47">
        <v>575</v>
      </c>
      <c r="L33" s="154" t="s">
        <v>51</v>
      </c>
      <c r="M33" s="155">
        <f t="shared" si="0"/>
        <v>95.04</v>
      </c>
      <c r="N33" s="156" t="str">
        <f>VLOOKUP(C33,'Trips&amp;Operators'!$C$1:$E$99999,3,FALSE)</f>
        <v>ADANE</v>
      </c>
      <c r="O33" s="182" t="s">
        <v>200</v>
      </c>
      <c r="P33" s="157"/>
      <c r="Q33" s="31"/>
      <c r="R33" s="100" t="str">
        <f>VLOOKUP(C33,'Train Runs'!$A$13:$AE$9987,31,0)</f>
        <v>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 &amp; 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</v>
      </c>
      <c r="S33" s="103" t="str">
        <f>VLOOKUP(C33,'Train Runs'!$A$13:$AE$9987,22,0)</f>
        <v>https://search-rtdc-monitor-bjffxe2xuh6vdkpspy63sjmuny.us-east-1.es.amazonaws.com/_plugin/kibana/#/discover/Steve-Slow-Train-Analysis-(2080s-and-2083s)?_g=(refreshInterval:(display:Off,section:0,value:0),time:(from:'2016-11-27 20:36:32-700',mode:absolute,to:'2016-11-27 22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3" s="105" t="str">
        <f t="shared" si="1"/>
        <v>"C:\Program Files (x86)\AstroGrep\AstroGrep.exe" /spath="%USERPROFILE%\AppData\Local\Temp\OnboardLogs" /stypes="*4026*201611280*" /stext=" 04:.+((SYSTEM_STATE.+slice.+state.+changed )|(ment ac)|(multiple cpu faults)|(system.+state.+changed )|(\[timeout)|(PRM\|1\|D)|(kpr)|(kdp)|(\|lc)|(penalty))" /e /r /s</v>
      </c>
      <c r="U33" s="9" t="str">
        <f t="shared" si="2"/>
        <v>4026</v>
      </c>
      <c r="V33" s="36">
        <f t="shared" si="3"/>
        <v>42702.205254629625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{"issue":{"subject":"","project_id":79,"tracker_id":40,"status_id":1,"priority_id":2,"assigned_to_id":23,"start_date":"2016-11-27","description":"","custom_fields":[{"id":1,"name":"Subdivision","value":"NW"},{"id":4,"name":"Milepost","value":"0.0575"},{"id":17,"name":"Train ID","value":"1832-27"},{"id":16,"name":"Locomotive ID","value":"4026"},{"id":130,"name":"Impact","value":""},{"id":150,"name":"Time of Event (Mountain Time)","value":"21:55:34"},{"id":151,"name":"Denver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"%USERPROFILE%\AppData\Local\Temp\OnboardLogs"\RTDC4026\*4026*201611280*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"%USERPROFILE%\AppData\Local\Temp\OnboardLogs"\RTDC4026\*4026*201611280* &gt;&gt; 42701-slicedisagreementcheck.txt</v>
      </c>
    </row>
    <row r="34" spans="1:30" x14ac:dyDescent="0.25">
      <c r="A34" s="36">
        <v>42701.565555555557</v>
      </c>
      <c r="B34" s="31" t="s">
        <v>353</v>
      </c>
      <c r="C34" s="31" t="s">
        <v>417</v>
      </c>
      <c r="D34" s="31" t="s">
        <v>49</v>
      </c>
      <c r="E34" s="31" t="s">
        <v>205</v>
      </c>
      <c r="F34" s="47">
        <v>0</v>
      </c>
      <c r="G34" s="47">
        <v>31</v>
      </c>
      <c r="H34" s="47">
        <v>58960</v>
      </c>
      <c r="I34" s="47">
        <v>58982</v>
      </c>
      <c r="J34" s="31" t="s">
        <v>206</v>
      </c>
      <c r="K34" s="47">
        <v>59048</v>
      </c>
      <c r="L34" s="154" t="s">
        <v>50</v>
      </c>
      <c r="M34" s="155">
        <f t="shared" si="0"/>
        <v>34.847999999999999</v>
      </c>
      <c r="N34" s="156" t="str">
        <f>VLOOKUP(C34,'Trips&amp;Operators'!$C$1:$E$99999,3,FALSE)</f>
        <v>STARKS</v>
      </c>
      <c r="O34" s="182" t="s">
        <v>200</v>
      </c>
      <c r="P34" s="157"/>
      <c r="Q34" s="31"/>
      <c r="R34" s="100" t="str">
        <f>VLOOKUP(C34,'Train Runs'!$A$13:$AE$9987,31,0)</f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S34" s="103" t="str">
        <f>VLOOKUP(C34,'Train Runs'!$A$13:$AE$9987,22,0)</f>
        <v>https://search-rtdc-monitor-bjffxe2xuh6vdkpspy63sjmuny.us-east-1.es.amazonaws.com/_plugin/kibana/#/discover/Steve-Slow-Train-Analysis-(2080s-and-2083s)?_g=(refreshInterval:(display:Off,section:0,value:0),time:(from:'2016-11-27 12:18:42-700',mode:absolute,to:'2016-11-27 14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4" s="105" t="str">
        <f t="shared" si="1"/>
        <v>"C:\Program Files (x86)\AstroGrep\AstroGrep.exe" /spath="%USERPROFILE%\AppData\Local\Temp\OnboardLogs" /stypes="*4025*201611272*" /stext=" 20:.+((SYSTEM_STATE.+slice.+state.+changed )|(ment ac)|(multiple cpu faults)|(system.+state.+changed )|(\[timeout)|(PRM\|1\|D)|(kpr)|(kdp)|(\|lc)|(penalty))" /e /r /s</v>
      </c>
      <c r="U34" s="9" t="str">
        <f t="shared" si="2"/>
        <v>4025</v>
      </c>
      <c r="V34" s="36">
        <f t="shared" si="3"/>
        <v>42701.857222222221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{"issue":{"subject":"","project_id":79,"tracker_id":40,"status_id":1,"priority_id":2,"assigned_to_id":23,"start_date":"2016-11-27","description":"","custom_fields":[{"id":1,"name":"Subdivision","value":"NW"},{"id":4,"name":"Milepost","value":"5.9048"},{"id":17,"name":"Train ID","value":"1815-27"},{"id":16,"name":"Locomotive ID","value":"4025"},{"id":130,"name":"Impact","value":""},{"id":150,"name":"Time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"%USERPROFILE%\AppData\Local\Temp\OnboardLogs"\RTDC4025\*4025*201611272*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"%USERPROFILE%\AppData\Local\Temp\OnboardLogs"\RTDC4025\*4025*201611272* &gt;&gt; 42701-slicedisagreementcheck.txt</v>
      </c>
    </row>
    <row r="35" spans="1:30" x14ac:dyDescent="0.25">
      <c r="A35" s="36">
        <v>42701.955231481479</v>
      </c>
      <c r="B35" s="31" t="s">
        <v>344</v>
      </c>
      <c r="C35" s="31" t="s">
        <v>429</v>
      </c>
      <c r="D35" s="31" t="s">
        <v>49</v>
      </c>
      <c r="E35" s="31" t="s">
        <v>203</v>
      </c>
      <c r="F35" s="47">
        <v>0</v>
      </c>
      <c r="G35" s="47">
        <v>432</v>
      </c>
      <c r="H35" s="47">
        <v>17818</v>
      </c>
      <c r="I35" s="47">
        <v>16419</v>
      </c>
      <c r="J35" s="31" t="s">
        <v>204</v>
      </c>
      <c r="K35" s="47">
        <v>16590</v>
      </c>
      <c r="L35" s="154" t="s">
        <v>51</v>
      </c>
      <c r="M35" s="155">
        <f t="shared" si="0"/>
        <v>-90.287999999999997</v>
      </c>
      <c r="N35" s="156" t="str">
        <f>VLOOKUP(C35,'Trips&amp;Operators'!$C$1:$E$99999,3,FALSE)</f>
        <v>NELSON</v>
      </c>
      <c r="O35" s="182" t="s">
        <v>200</v>
      </c>
      <c r="P35" s="157"/>
      <c r="Q35" s="31"/>
      <c r="R35" s="100" t="str">
        <f>VLOOKUP(C35,'Train Runs'!$A$13:$AE$9987,31,0)</f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S35" s="103" t="str">
        <f>VLOOKUP(C35,'Train Runs'!$A$13:$AE$9987,22,0)</f>
        <v>https://search-rtdc-monitor-bjffxe2xuh6vdkpspy63sjmuny.us-east-1.es.amazonaws.com/_plugin/kibana/#/discover/Steve-Slow-Train-Analysis-(2080s-and-2083s)?_g=(refreshInterval:(display:Off,section:0,value:0),time:(from:'2016-11-27 22:52:22-700',mode:absolute,to:'1969-12-31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5" s="105" t="str">
        <f t="shared" si="1"/>
        <v>"C:\Program Files (x86)\AstroGrep\AstroGrep.exe" /spath="%USERPROFILE%\AppData\Local\Temp\OnboardLogs" /stypes="*4026*201611280*" /stext=" 05:.+((SYSTEM_STATE.+slice.+state.+changed )|(ment ac)|(multiple cpu faults)|(system.+state.+changed )|(\[timeout)|(PRM\|1\|D)|(kpr)|(kdp)|(\|lc)|(penalty))" /e /r /s</v>
      </c>
      <c r="U35" s="9" t="str">
        <f t="shared" si="2"/>
        <v>4026</v>
      </c>
      <c r="V35" s="36">
        <f t="shared" si="3"/>
        <v>42702.246898148143</v>
      </c>
      <c r="W35" s="50" t="str">
        <f t="shared" si="4"/>
        <v>Other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{"issue":{"subject":"","project_id":79,"tracker_id":40,"status_id":1,"priority_id":2,"assigned_to_id":23,"start_date":"2016-11-27","description":"","custom_fields":[{"id":1,"name":"Subdivision","value":"Other"},{"id":4,"name":"Milepost","value":"1.659"},{"id":17,"name":"Train ID","value":"50-27"},{"id":16,"name":"Locomotive ID","value":"4026"},{"id":130,"name":"Impact","value":""},{"id":150,"name":"Time of Event (Mountain Time)","value":"22:55:32"},{"id":151,"name":"Denver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"%USERPROFILE%\AppData\Local\Temp\OnboardLogs"\RTDC4026\*4026*201611280*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"%USERPROFILE%\AppData\Local\Temp\OnboardLogs"\RTDC4026\*4026*201611280* &gt;&gt; 42701-slicedisagreementcheck.txt</v>
      </c>
    </row>
    <row r="36" spans="1:30" x14ac:dyDescent="0.25">
      <c r="A36" s="36">
        <v>42701.121180555558</v>
      </c>
      <c r="B36" s="31" t="s">
        <v>397</v>
      </c>
      <c r="C36" s="31" t="s">
        <v>398</v>
      </c>
      <c r="D36" s="31" t="s">
        <v>49</v>
      </c>
      <c r="E36" s="31" t="s">
        <v>203</v>
      </c>
      <c r="F36" s="47">
        <v>0</v>
      </c>
      <c r="G36" s="47">
        <v>39</v>
      </c>
      <c r="H36" s="47">
        <v>19090</v>
      </c>
      <c r="I36" s="47">
        <v>19049</v>
      </c>
      <c r="J36" s="31" t="s">
        <v>204</v>
      </c>
      <c r="K36" s="47">
        <v>19000</v>
      </c>
      <c r="L36" s="154" t="s">
        <v>51</v>
      </c>
      <c r="M36" s="155">
        <f t="shared" si="0"/>
        <v>25.872</v>
      </c>
      <c r="N36" s="156" t="str">
        <f>VLOOKUP(C36,'Trips&amp;Operators'!$C$1:$E$99999,3,FALSE)</f>
        <v>KILLION</v>
      </c>
      <c r="O36" s="182" t="s">
        <v>200</v>
      </c>
      <c r="P36" s="157"/>
      <c r="Q36" s="31"/>
      <c r="R36" s="100" t="str">
        <f>VLOOKUP(C36,'Train Runs'!$A$13:$AE$9987,31,0)</f>
        <v>aws s3 cp s3://rtdc.mdm.uploadarchive.raw/RTDC4021/ "%USERPROFILE%\AppData\Local\Temp\OnboardLogs"\RTDC4021\2016-11-27 --exclude "*" --recursive --include "*20161127*" &amp; "%USERPROFILE%\Documents\GitHub\mrs-test-scripts\Headless Mode &amp; Sideloading\WalkAndUnGZ.bat" "%USERPROFILE%\AppData\Local\Temp\OnboardLogs"\RTDC4021\2016-11-27 &amp; aws s3 cp s3://rtdc.mdm.uploadarchive.raw/RTDC4021/ "%USERPROFILE%\AppData\Local\Temp\OnboardLogs"\RTDC4021\2016-11-28 --exclude "*" --recursive --include "*20161128*" &amp; "%USERPROFILE%\Documents\GitHub\mrs-test-scripts\Headless Mode &amp; Sideloading\WalkAndUnGZ.bat" "%USERPROFILE%\AppData\Local\Temp\OnboardLogs"\RTDC4021\2016-11-28</v>
      </c>
      <c r="S36" s="103" t="str">
        <f>VLOOKUP(C36,'Train Runs'!$A$13:$AE$9987,22,0)</f>
        <v>https://search-rtdc-monitor-bjffxe2xuh6vdkpspy63sjmuny.us-east-1.es.amazonaws.com/_plugin/kibana/#/discover/Steve-Slow-Train-Analysis-(2080s-and-2083s)?_g=(refreshInterval:(display:Off,section:0,value:0),time:(from:'2016-11-27 01:48:25-700',mode:absolute,to:'2016-11-27 03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6" s="105" t="str">
        <f t="shared" si="1"/>
        <v>"C:\Program Files (x86)\AstroGrep\AstroGrep.exe" /spath="%USERPROFILE%\AppData\Local\Temp\OnboardLogs" /stypes="*4021*201611270*" /stext=" 09:.+((SYSTEM_STATE.+slice.+state.+changed )|(ment ac)|(multiple cpu faults)|(system.+state.+changed )|(\[timeout)|(PRM\|1\|D)|(kpr)|(kdp)|(\|lc)|(penalty))" /e /r /s</v>
      </c>
      <c r="U36" s="9" t="str">
        <f t="shared" si="2"/>
        <v>4021</v>
      </c>
      <c r="V36" s="36">
        <f t="shared" si="3"/>
        <v>42701.412847222222</v>
      </c>
      <c r="W36" s="50" t="str">
        <f t="shared" si="4"/>
        <v>Other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{"issue":{"subject":"","project_id":79,"tracker_id":40,"status_id":1,"priority_id":2,"assigned_to_id":23,"start_date":"2016-11-27","description":"","custom_fields":[{"id":1,"name":"Subdivision","value":"Other"},{"id":4,"name":"Milepost","value":"1.9"},{"id":17,"name":"Train ID","value":"302-27"},{"id":16,"name":"Locomotive ID","value":"4021"},{"id":130,"name":"Impact","value":""},{"id":150,"name":"Time of Event (Mountain Time)","value":"02:54:30"},{"id":151,"name":"Denver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"%USERPROFILE%\AppData\Local\Temp\OnboardLogs"\RTDC4021\*4021*201611270*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"%USERPROFILE%\AppData\Local\Temp\OnboardLogs"\RTDC4021\*4021*201611270* &gt;&gt; 42701-slicedisagreementcheck.txt</v>
      </c>
    </row>
    <row r="37" spans="1:30" x14ac:dyDescent="0.25">
      <c r="A37" s="36">
        <v>42701.228171296294</v>
      </c>
      <c r="B37" s="31" t="s">
        <v>353</v>
      </c>
      <c r="C37" s="31" t="s">
        <v>401</v>
      </c>
      <c r="D37" s="31" t="s">
        <v>49</v>
      </c>
      <c r="E37" s="31" t="s">
        <v>203</v>
      </c>
      <c r="F37" s="47">
        <v>0</v>
      </c>
      <c r="G37" s="47">
        <v>127</v>
      </c>
      <c r="H37" s="47">
        <v>32803</v>
      </c>
      <c r="I37" s="47">
        <v>32930</v>
      </c>
      <c r="J37" s="31" t="s">
        <v>204</v>
      </c>
      <c r="K37" s="47">
        <v>33252</v>
      </c>
      <c r="L37" s="154" t="s">
        <v>50</v>
      </c>
      <c r="M37" s="155">
        <f t="shared" si="0"/>
        <v>170.01599999999999</v>
      </c>
      <c r="N37" s="156" t="str">
        <f>VLOOKUP(C37,'Trips&amp;Operators'!$C$1:$E$99999,3,FALSE)</f>
        <v>STARKS</v>
      </c>
      <c r="O37" s="182" t="s">
        <v>200</v>
      </c>
      <c r="P37" s="157"/>
      <c r="Q37" s="31"/>
      <c r="R37" s="100" t="str">
        <f>VLOOKUP(C37,'Train Runs'!$A$13:$AE$9987,31,0)</f>
        <v>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 &amp; 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</v>
      </c>
      <c r="S37" s="103" t="str">
        <f>VLOOKUP(C37,'Train Runs'!$A$13:$AE$9987,22,0)</f>
        <v>https://search-rtdc-monitor-bjffxe2xuh6vdkpspy63sjmuny.us-east-1.es.amazonaws.com/_plugin/kibana/#/discover/Steve-Slow-Train-Analysis-(2080s-and-2083s)?_g=(refreshInterval:(display:Off,section:0,value:0),time:(from:'2016-11-27 04:16:32-700',mode:absolute,to:'2016-11-27 06:28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7" s="105" t="str">
        <f t="shared" si="1"/>
        <v>"C:\Program Files (x86)\AstroGrep\AstroGrep.exe" /spath="%USERPROFILE%\AppData\Local\Temp\OnboardLogs" /stypes="*4025*201611271*" /stext=" 12:.+((SYSTEM_STATE.+slice.+state.+changed )|(ment ac)|(multiple cpu faults)|(system.+state.+changed )|(\[timeout)|(PRM\|1\|D)|(kpr)|(kdp)|(\|lc)|(penalty))" /e /r /s</v>
      </c>
      <c r="U37" s="9" t="str">
        <f t="shared" si="2"/>
        <v>4025</v>
      </c>
      <c r="V37" s="36">
        <f t="shared" si="3"/>
        <v>42701.519837962958</v>
      </c>
      <c r="W37" s="50" t="str">
        <f t="shared" si="4"/>
        <v>Other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{"issue":{"subject":"","project_id":79,"tracker_id":40,"status_id":1,"priority_id":2,"assigned_to_id":23,"start_date":"2016-11-27","description":"","custom_fields":[{"id":1,"name":"Subdivision","value":"Other"},{"id":4,"name":"Milepost","value":"3.3252"},{"id":17,"name":"Train ID","value":"1901-27"},{"id":16,"name":"Locomotive ID","value":"4025"},{"id":130,"name":"Impact","value":""},{"id":150,"name":"Time of Event (Mountain Time)","value":"05:28:34"},{"id":151,"name":"Denver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"%USERPROFILE%\AppData\Local\Temp\OnboardLogs"\RTDC4025\*4025*201611271*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"%USERPROFILE%\AppData\Local\Temp\OnboardLogs"\RTDC4025\*4025*201611271* &gt;&gt; 42701-slicedisagreementcheck.txt</v>
      </c>
    </row>
    <row r="38" spans="1:30" x14ac:dyDescent="0.25">
      <c r="A38" s="36">
        <v>42701.760277777779</v>
      </c>
      <c r="B38" s="31" t="s">
        <v>211</v>
      </c>
      <c r="C38" s="31" t="s">
        <v>423</v>
      </c>
      <c r="D38" s="31" t="s">
        <v>49</v>
      </c>
      <c r="E38" s="31" t="s">
        <v>205</v>
      </c>
      <c r="F38" s="47">
        <v>0</v>
      </c>
      <c r="G38" s="47">
        <v>19</v>
      </c>
      <c r="H38" s="47">
        <v>877</v>
      </c>
      <c r="I38" s="47">
        <v>858</v>
      </c>
      <c r="J38" s="31" t="s">
        <v>206</v>
      </c>
      <c r="K38" s="47">
        <v>839</v>
      </c>
      <c r="L38" s="154" t="s">
        <v>51</v>
      </c>
      <c r="M38" s="155">
        <f t="shared" si="0"/>
        <v>10.032</v>
      </c>
      <c r="N38" s="156" t="str">
        <f>VLOOKUP(C38,'Trips&amp;Operators'!$C$1:$E$99999,3,FALSE)</f>
        <v>MACDONALD</v>
      </c>
      <c r="O38" s="182" t="s">
        <v>200</v>
      </c>
      <c r="P38" s="157"/>
      <c r="Q38" s="31"/>
      <c r="R38" s="100" t="str">
        <f>VLOOKUP(C38,'Train Runs'!$A$13:$AE$9987,31,0)</f>
        <v>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 &amp; aws s3 cp s3://rtdc.mdm.uploadarchive.raw/RTDC4030/ "%USERPROFILE%\AppData\Local\Temp\OnboardLogs"\RTDC4030\2016-11-28 --exclude "*" --recursive --include "*20161128*" &amp; "%USERPROFILE%\Documents\GitHub\mrs-test-scripts\Headless Mode &amp; Sideloading\WalkAndUnGZ.bat" "%USERPROFILE%\AppData\Local\Temp\OnboardLogs"\RTDC4030\2016-11-28</v>
      </c>
      <c r="S38" s="103" t="str">
        <f>VLOOKUP(C38,'Train Runs'!$A$13:$AE$9987,22,0)</f>
        <v>https://search-rtdc-monitor-bjffxe2xuh6vdkpspy63sjmuny.us-east-1.es.amazonaws.com/_plugin/kibana/#/discover/Steve-Slow-Train-Analysis-(2080s-and-2083s)?_g=(refreshInterval:(display:Off,section:0,value:0),time:(from:'2016-11-27 17:03:00-700',mode:absolute,to:'2016-11-27 19:13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8" s="105" t="str">
        <f t="shared" si="1"/>
        <v>"C:\Program Files (x86)\AstroGrep\AstroGrep.exe" /spath="%USERPROFILE%\AppData\Local\Temp\OnboardLogs" /stypes="*4030*201611280*" /stext=" 01:.+((SYSTEM_STATE.+slice.+state.+changed )|(ment ac)|(multiple cpu faults)|(system.+state.+changed )|(\[timeout)|(PRM\|1\|D)|(kpr)|(kdp)|(\|lc)|(penalty))" /e /r /s</v>
      </c>
      <c r="U38" s="9" t="str">
        <f t="shared" si="2"/>
        <v>4030</v>
      </c>
      <c r="V38" s="36">
        <f t="shared" si="3"/>
        <v>42702.051944444444</v>
      </c>
      <c r="W38" s="50" t="str">
        <f t="shared" si="4"/>
        <v>Other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{"issue":{"subject":"","project_id":79,"tracker_id":40,"status_id":1,"priority_id":2,"assigned_to_id":23,"start_date":"2016-11-27","description":"","custom_fields":[{"id":1,"name":"Subdivision","value":"Other"},{"id":4,"name":"Milepost","value":"0.0839"},{"id":17,"name":"Train ID","value":"64-27"},{"id":16,"name":"Locomotive ID","value":"4030"},{"id":130,"name":"Impact","value":""},{"id":150,"name":"Time of Event (Mountain Time)","value":"18:14:48"},{"id":151,"name":"Denver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"%USERPROFILE%\AppData\Local\Temp\OnboardLogs"\RTDC4030\*4030*201611280*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"%USERPROFILE%\AppData\Local\Temp\OnboardLogs"\RTDC4030\*4030*201611280* &gt;&gt; 42701-slicedisagreementcheck.txt</v>
      </c>
    </row>
    <row r="39" spans="1:30" x14ac:dyDescent="0.25">
      <c r="A39" s="36">
        <v>42701.830208333333</v>
      </c>
      <c r="B39" s="31" t="s">
        <v>157</v>
      </c>
      <c r="C39" s="31" t="s">
        <v>424</v>
      </c>
      <c r="D39" s="31" t="s">
        <v>98</v>
      </c>
      <c r="E39" s="31" t="s">
        <v>154</v>
      </c>
      <c r="F39" s="47">
        <v>160</v>
      </c>
      <c r="G39" s="47">
        <v>223</v>
      </c>
      <c r="H39" s="47">
        <v>63174</v>
      </c>
      <c r="I39" s="47">
        <v>62777</v>
      </c>
      <c r="J39" s="31" t="s">
        <v>153</v>
      </c>
      <c r="K39" s="47">
        <v>63309</v>
      </c>
      <c r="L39" s="154" t="s">
        <v>51</v>
      </c>
      <c r="M39" s="155">
        <f t="shared" si="0"/>
        <v>-280.89600000000002</v>
      </c>
      <c r="N39" s="156" t="str">
        <f>VLOOKUP(C39,'Trips&amp;Operators'!$C$1:$E$99999,3,FALSE)</f>
        <v>MCREYNOLDS</v>
      </c>
      <c r="O39" s="182" t="s">
        <v>200</v>
      </c>
      <c r="P39" s="157"/>
      <c r="Q39" s="31"/>
      <c r="R39" s="100" t="str">
        <f>VLOOKUP(C39,'Train Runs'!$A$13:$AE$9987,31,0)</f>
        <v>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 &amp; aws s3 cp s3://rtdc.mdm.uploadarchive.raw/RTDC4052/ "%USERPROFILE%\AppData\Local\Temp\OnboardLogs"\RTDC4052\2016-11-28 --exclude "*" --recursive --include "*20161128*" &amp; "%USERPROFILE%\Documents\GitHub\mrs-test-scripts\Headless Mode &amp; Sideloading\WalkAndUnGZ.bat" "%USERPROFILE%\AppData\Local\Temp\OnboardLogs"\RTDC4052\2016-11-28</v>
      </c>
      <c r="S39" s="103" t="str">
        <f>VLOOKUP(C39,'Train Runs'!$A$13:$AE$9987,22,0)</f>
        <v>https://search-rtdc-monitor-bjffxe2xuh6vdkpspy63sjmuny.us-east-1.es.amazonaws.com/_plugin/kibana/#/discover/Steve-Slow-Train-Analysis-(2080s-and-2083s)?_g=(refreshInterval:(display:Off,section:0,value:0),time:(from:'2016-11-27 20:33:57-700',mode:absolute,to:'2016-11-27 23:02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9" s="105" t="str">
        <f t="shared" si="1"/>
        <v>"C:\Program Files (x86)\AstroGrep\AstroGrep.exe" /spath="%USERPROFILE%\AppData\Local\Temp\OnboardLogs" /stypes="*4052*201611280*" /stext=" 02:.+((SYSTEM_STATE.+slice.+state.+changed )|(ment ac)|(multiple cpu faults)|(system.+state.+changed )|(\[timeout)|(PRM\|1\|D)|(kpr)|(kdp)|(\|lc)|(penalty))" /e /r /s</v>
      </c>
      <c r="U39" s="9" t="str">
        <f t="shared" si="2"/>
        <v>4052</v>
      </c>
      <c r="V39" s="36">
        <f t="shared" si="3"/>
        <v>42702.121874999997</v>
      </c>
      <c r="W39" s="50" t="e">
        <f t="shared" si="4"/>
        <v>#VALUE!</v>
      </c>
      <c r="X39" s="50" t="str">
        <f t="shared" si="5"/>
        <v>KEEP</v>
      </c>
      <c r="Y39" s="119" t="e">
        <f t="shared" si="6"/>
        <v>#VALUE!</v>
      </c>
      <c r="Z39" s="53"/>
      <c r="AA39" s="53"/>
      <c r="AB39" s="53"/>
      <c r="AC39" s="138" t="str">
        <f t="shared" si="7"/>
        <v>grep -hSE -A100 "Enforcement Action" "%USERPROFILE%\AppData\Local\Temp\OnboardLogs"\RTDC4052\*4052*201611280*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"%USERPROFILE%\AppData\Local\Temp\OnboardLogs"\RTDC4052\*4052*201611280* &gt;&gt; 42701-slicedisagreementcheck.txt</v>
      </c>
    </row>
    <row r="40" spans="1:30" x14ac:dyDescent="0.25">
      <c r="A40" s="36">
        <v>42701.763009259259</v>
      </c>
      <c r="B40" s="31" t="s">
        <v>157</v>
      </c>
      <c r="C40" s="31" t="s">
        <v>424</v>
      </c>
      <c r="D40" s="31" t="s">
        <v>49</v>
      </c>
      <c r="E40" s="31" t="s">
        <v>205</v>
      </c>
      <c r="F40" s="47">
        <v>0</v>
      </c>
      <c r="G40" s="47">
        <v>8</v>
      </c>
      <c r="H40" s="47">
        <v>843</v>
      </c>
      <c r="I40" s="47">
        <v>845</v>
      </c>
      <c r="J40" s="31" t="s">
        <v>206</v>
      </c>
      <c r="K40" s="47">
        <v>826</v>
      </c>
      <c r="L40" s="154" t="s">
        <v>51</v>
      </c>
      <c r="M40" s="155">
        <f t="shared" si="0"/>
        <v>10.032</v>
      </c>
      <c r="N40" s="156" t="str">
        <f>VLOOKUP(C40,'Trips&amp;Operators'!$C$1:$E$99999,3,FALSE)</f>
        <v>MCREYNOLDS</v>
      </c>
      <c r="O40" s="182" t="s">
        <v>200</v>
      </c>
      <c r="P40" s="157"/>
      <c r="Q40" s="31"/>
      <c r="R40" s="100" t="str">
        <f>VLOOKUP(C40,'Train Runs'!$A$13:$AE$9987,31,0)</f>
        <v>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 &amp; aws s3 cp s3://rtdc.mdm.uploadarchive.raw/RTDC4052/ "%USERPROFILE%\AppData\Local\Temp\OnboardLogs"\RTDC4052\2016-11-28 --exclude "*" --recursive --include "*20161128*" &amp; "%USERPROFILE%\Documents\GitHub\mrs-test-scripts\Headless Mode &amp; Sideloading\WalkAndUnGZ.bat" "%USERPROFILE%\AppData\Local\Temp\OnboardLogs"\RTDC4052\2016-11-28</v>
      </c>
      <c r="S40" s="103" t="str">
        <f>VLOOKUP(C40,'Train Runs'!$A$13:$AE$9987,22,0)</f>
        <v>https://search-rtdc-monitor-bjffxe2xuh6vdkpspy63sjmuny.us-east-1.es.amazonaws.com/_plugin/kibana/#/discover/Steve-Slow-Train-Analysis-(2080s-and-2083s)?_g=(refreshInterval:(display:Off,section:0,value:0),time:(from:'2016-11-27 20:33:57-700',mode:absolute,to:'2016-11-27 23:02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0" s="105" t="str">
        <f t="shared" si="1"/>
        <v>"C:\Program Files (x86)\AstroGrep\AstroGrep.exe" /spath="%USERPROFILE%\AppData\Local\Temp\OnboardLogs" /stypes="*4052*201611280*" /stext=" 01:.+((SYSTEM_STATE.+slice.+state.+changed )|(ment ac)|(multiple cpu faults)|(system.+state.+changed )|(\[timeout)|(PRM\|1\|D)|(kpr)|(kdp)|(\|lc)|(penalty))" /e /r /s</v>
      </c>
      <c r="U40" s="9" t="str">
        <f t="shared" si="2"/>
        <v>4052</v>
      </c>
      <c r="V40" s="36">
        <f t="shared" si="3"/>
        <v>42702.054675925923</v>
      </c>
      <c r="W40" s="50" t="e">
        <f t="shared" si="4"/>
        <v>#VALUE!</v>
      </c>
      <c r="X40" s="50" t="str">
        <f t="shared" si="5"/>
        <v>OMIT</v>
      </c>
      <c r="Y40" s="119" t="e">
        <f t="shared" si="6"/>
        <v>#VALUE!</v>
      </c>
      <c r="Z40" s="53"/>
      <c r="AA40" s="53"/>
      <c r="AB40" s="53"/>
      <c r="AC40" s="138" t="str">
        <f t="shared" si="7"/>
        <v>grep -hSE -A100 "Enforcement Action" "%USERPROFILE%\AppData\Local\Temp\OnboardLogs"\RTDC4052\*4052*201611280*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"%USERPROFILE%\AppData\Local\Temp\OnboardLogs"\RTDC4052\*4052*201611280* &gt;&gt; 42701-slicedisagreementcheck.txt</v>
      </c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40">
    <sortCondition ref="W7:W40"/>
    <sortCondition ref="E7:E40"/>
    <sortCondition ref="K7:K40"/>
    <sortCondition ref="C7:C40"/>
    <sortCondition ref="F7:F40"/>
  </sortState>
  <mergeCells count="1">
    <mergeCell ref="A5:O5"/>
  </mergeCells>
  <conditionalFormatting sqref="O6:P6 R6 O76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hyperlinks>
    <hyperlink ref="Z28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2016-11-27</v>
      </c>
      <c r="C1" s="185"/>
      <c r="D1" s="185"/>
      <c r="E1" s="185"/>
      <c r="F1" s="185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-27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3" s="31" t="e">
        <f>VLOOKUP(B3,'Train Runs'!$A$13:$A$99984,1,FALSE)</f>
        <v>#N/A</v>
      </c>
      <c r="K3" s="31" t="e">
        <f>IF(VLOOKUP(A3,$K$40:$K$63,1,FALSE),"Cancelled")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-27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4" s="31" t="e">
        <f>VLOOKUP(B4,'Train Runs'!$A$13:$A$99984,1,FALSE)</f>
        <v>#N/A</v>
      </c>
      <c r="K4" s="31" t="e">
        <f>IF(VLOOKUP(A4,$K$40:$K$63,1,FALSE),"Cancelled")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5" s="31" t="e">
        <f>VLOOKUP(B5,'Train Runs'!$A$13:$A$99984,1,FALSE)</f>
        <v>#N/A</v>
      </c>
      <c r="K5" s="31" t="e">
        <f>IF(VLOOKUP(A5,$K$40:$K$63,1,FALSE),"Cancelled")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6" s="31" t="e">
        <f>VLOOKUP(B6,'Train Runs'!$A$13:$A$99984,1,FALSE)</f>
        <v>#N/A</v>
      </c>
      <c r="K6" s="31" t="e">
        <f t="shared" ref="K6:K10" si="2">IF(VLOOKUP(A6,$K$40:$K$63,1,FALSE),"Cancelled")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-27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7" s="31" t="e">
        <f>VLOOKUP(B7,'Train Runs'!$A$13:$A$99984,1,FALSE)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-27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8" s="31" t="e">
        <f>VLOOKUP(B8,'Train Runs'!$A$13:$A$99984,1,FALSE)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-27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9" s="31" t="e">
        <f>VLOOKUP(B9,'Train Runs'!$A$13:$A$99984,1,FALSE)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-27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0" s="31" t="e">
        <f>VLOOKUP(B10,'Train Runs'!$A$13:$A$99984,1,FALSE)</f>
        <v>#N/A</v>
      </c>
      <c r="K1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179</v>
      </c>
      <c r="B1" s="21" t="s">
        <v>180</v>
      </c>
      <c r="C1" s="21" t="s">
        <v>0</v>
      </c>
      <c r="D1" s="21" t="s">
        <v>181</v>
      </c>
      <c r="E1" s="21" t="s">
        <v>182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42701.038287037038</v>
      </c>
      <c r="B2" s="21" t="s">
        <v>276</v>
      </c>
      <c r="C2" s="21" t="s">
        <v>363</v>
      </c>
      <c r="D2" s="21">
        <v>1300000</v>
      </c>
      <c r="E2" s="21" t="s">
        <v>113</v>
      </c>
      <c r="F2" s="21" t="str">
        <f t="shared" ref="F2:F65" si="0">B2</f>
        <v>rtdc.l.rtdc.4029:itc</v>
      </c>
      <c r="G2" s="8">
        <f t="shared" ref="G2:G65" si="1">A2</f>
        <v>42701.038287037038</v>
      </c>
    </row>
    <row r="3" spans="1:7" x14ac:dyDescent="0.25">
      <c r="A3" s="8">
        <v>42701.051562499997</v>
      </c>
      <c r="B3" s="21" t="s">
        <v>229</v>
      </c>
      <c r="C3" s="21" t="s">
        <v>364</v>
      </c>
      <c r="D3" s="21">
        <v>2450000</v>
      </c>
      <c r="E3" s="21" t="s">
        <v>356</v>
      </c>
      <c r="F3" s="21" t="str">
        <f t="shared" si="0"/>
        <v>rtdc.l.rtdc.4038:itc</v>
      </c>
      <c r="G3" s="8">
        <f t="shared" si="1"/>
        <v>42701.051562499997</v>
      </c>
    </row>
    <row r="4" spans="1:7" x14ac:dyDescent="0.25">
      <c r="A4" s="8">
        <v>42701.057245370372</v>
      </c>
      <c r="B4" s="21" t="s">
        <v>218</v>
      </c>
      <c r="C4" s="21" t="s">
        <v>365</v>
      </c>
      <c r="D4" s="21">
        <v>1800000</v>
      </c>
      <c r="E4" s="21" t="s">
        <v>307</v>
      </c>
      <c r="F4" s="21" t="str">
        <f t="shared" si="0"/>
        <v>rtdc.l.rtdc.4039:itc</v>
      </c>
      <c r="G4" s="8">
        <f t="shared" si="1"/>
        <v>42701.057245370372</v>
      </c>
    </row>
    <row r="5" spans="1:7" x14ac:dyDescent="0.25">
      <c r="A5" s="8">
        <v>42701.068472222221</v>
      </c>
      <c r="B5" s="21" t="s">
        <v>256</v>
      </c>
      <c r="C5" s="21" t="s">
        <v>366</v>
      </c>
      <c r="D5" s="21">
        <v>2420000</v>
      </c>
      <c r="E5" s="21" t="s">
        <v>228</v>
      </c>
      <c r="F5" s="21" t="str">
        <f t="shared" si="0"/>
        <v>rtdc.l.rtdc.4031:itc</v>
      </c>
      <c r="G5" s="8">
        <f t="shared" si="1"/>
        <v>42701.068472222221</v>
      </c>
    </row>
    <row r="6" spans="1:7" x14ac:dyDescent="0.25">
      <c r="A6" s="8">
        <v>42701.077199074076</v>
      </c>
      <c r="B6" s="21" t="s">
        <v>211</v>
      </c>
      <c r="C6" s="21" t="s">
        <v>367</v>
      </c>
      <c r="D6" s="21">
        <v>1300000</v>
      </c>
      <c r="E6" s="21" t="s">
        <v>113</v>
      </c>
      <c r="F6" s="21" t="str">
        <f t="shared" si="0"/>
        <v>rtdc.l.rtdc.4030:itc</v>
      </c>
      <c r="G6" s="8">
        <f t="shared" si="1"/>
        <v>42701.077199074076</v>
      </c>
    </row>
    <row r="7" spans="1:7" x14ac:dyDescent="0.25">
      <c r="A7" s="8">
        <v>42701.109178240738</v>
      </c>
      <c r="B7" s="21" t="s">
        <v>276</v>
      </c>
      <c r="C7" s="21" t="s">
        <v>368</v>
      </c>
      <c r="D7" s="21">
        <v>1300000</v>
      </c>
      <c r="E7" s="21" t="s">
        <v>113</v>
      </c>
      <c r="F7" s="21" t="str">
        <f t="shared" si="0"/>
        <v>rtdc.l.rtdc.4029:itc</v>
      </c>
      <c r="G7" s="8">
        <f t="shared" si="1"/>
        <v>42701.109178240738</v>
      </c>
    </row>
    <row r="8" spans="1:7" x14ac:dyDescent="0.25">
      <c r="A8" s="8">
        <v>42701.117731481485</v>
      </c>
      <c r="B8" s="21" t="s">
        <v>397</v>
      </c>
      <c r="C8" s="21" t="s">
        <v>398</v>
      </c>
      <c r="D8" s="21">
        <v>2030000</v>
      </c>
      <c r="E8" s="21" t="s">
        <v>348</v>
      </c>
      <c r="F8" s="21" t="str">
        <f t="shared" si="0"/>
        <v>rtdc.l.rtdc.4021:itc</v>
      </c>
      <c r="G8" s="8">
        <f t="shared" si="1"/>
        <v>42701.117731481485</v>
      </c>
    </row>
    <row r="9" spans="1:7" ht="15.75" thickBot="1" x14ac:dyDescent="0.3">
      <c r="A9" s="25">
        <v>42701.129293981481</v>
      </c>
      <c r="B9" s="21" t="s">
        <v>185</v>
      </c>
      <c r="C9" s="21" t="s">
        <v>432</v>
      </c>
      <c r="D9" s="21">
        <v>2030000</v>
      </c>
      <c r="E9" s="21" t="s">
        <v>348</v>
      </c>
      <c r="F9" s="21" t="str">
        <f t="shared" si="0"/>
        <v>rtdc.l.rtdc.4009:itc</v>
      </c>
      <c r="G9" s="8">
        <f t="shared" si="1"/>
        <v>42701.129293981481</v>
      </c>
    </row>
    <row r="10" spans="1:7" x14ac:dyDescent="0.25">
      <c r="A10" s="8">
        <v>42701.141400462962</v>
      </c>
      <c r="B10" s="21" t="s">
        <v>258</v>
      </c>
      <c r="C10" s="21" t="s">
        <v>433</v>
      </c>
      <c r="D10" s="21">
        <v>1260000</v>
      </c>
      <c r="E10" s="21" t="s">
        <v>347</v>
      </c>
      <c r="F10" s="21" t="str">
        <f t="shared" si="0"/>
        <v>rtdc.l.rtdc.4045:itc</v>
      </c>
      <c r="G10" s="8">
        <f t="shared" si="1"/>
        <v>42701.141400462962</v>
      </c>
    </row>
    <row r="11" spans="1:7" x14ac:dyDescent="0.25">
      <c r="A11" s="8">
        <v>42701.152511574073</v>
      </c>
      <c r="B11" s="21" t="s">
        <v>399</v>
      </c>
      <c r="C11" s="21" t="s">
        <v>400</v>
      </c>
      <c r="D11" s="21">
        <v>1260000</v>
      </c>
      <c r="E11" s="21" t="s">
        <v>347</v>
      </c>
      <c r="F11" s="21" t="str">
        <f t="shared" si="0"/>
        <v>rtdc.l.rtdc.4016:itc</v>
      </c>
      <c r="G11" s="8">
        <f t="shared" si="1"/>
        <v>42701.152511574073</v>
      </c>
    </row>
    <row r="12" spans="1:7" x14ac:dyDescent="0.25">
      <c r="A12" s="8">
        <v>42701.167812500003</v>
      </c>
      <c r="B12" s="21" t="s">
        <v>397</v>
      </c>
      <c r="C12" s="21" t="s">
        <v>434</v>
      </c>
      <c r="D12" s="21">
        <v>2030000</v>
      </c>
      <c r="E12" s="21" t="s">
        <v>348</v>
      </c>
      <c r="F12" s="21" t="str">
        <f t="shared" si="0"/>
        <v>rtdc.l.rtdc.4021:itc</v>
      </c>
      <c r="G12" s="8">
        <f t="shared" si="1"/>
        <v>42701.167812500003</v>
      </c>
    </row>
    <row r="13" spans="1:7" x14ac:dyDescent="0.25">
      <c r="A13" s="8">
        <v>42701.175034722219</v>
      </c>
      <c r="B13" s="21" t="s">
        <v>221</v>
      </c>
      <c r="C13" s="21" t="s">
        <v>435</v>
      </c>
      <c r="D13" s="21">
        <v>1990000</v>
      </c>
      <c r="E13" s="21" t="s">
        <v>260</v>
      </c>
      <c r="F13" s="21" t="str">
        <f t="shared" si="0"/>
        <v>rtdc.l.rtdc.4012:itc</v>
      </c>
      <c r="G13" s="8">
        <f t="shared" si="1"/>
        <v>42701.175034722219</v>
      </c>
    </row>
    <row r="14" spans="1:7" x14ac:dyDescent="0.25">
      <c r="A14" s="8">
        <v>42701.179513888892</v>
      </c>
      <c r="B14" s="21" t="s">
        <v>230</v>
      </c>
      <c r="C14" s="21" t="s">
        <v>436</v>
      </c>
      <c r="D14" s="21">
        <v>2140000</v>
      </c>
      <c r="E14" s="21" t="s">
        <v>288</v>
      </c>
      <c r="F14" s="21" t="str">
        <f t="shared" si="0"/>
        <v>rtdc.l.rtdc.4037:itc</v>
      </c>
      <c r="G14" s="8">
        <f t="shared" si="1"/>
        <v>42701.179513888892</v>
      </c>
    </row>
    <row r="15" spans="1:7" x14ac:dyDescent="0.25">
      <c r="A15" s="8">
        <v>42701.184328703705</v>
      </c>
      <c r="B15" s="21" t="s">
        <v>213</v>
      </c>
      <c r="C15" s="21" t="s">
        <v>437</v>
      </c>
      <c r="D15" s="21">
        <v>1990000</v>
      </c>
      <c r="E15" s="21" t="s">
        <v>260</v>
      </c>
      <c r="F15" s="21" t="str">
        <f t="shared" si="0"/>
        <v>rtdc.l.rtdc.4011:itc</v>
      </c>
      <c r="G15" s="8">
        <f t="shared" si="1"/>
        <v>42701.184328703705</v>
      </c>
    </row>
    <row r="16" spans="1:7" x14ac:dyDescent="0.25">
      <c r="A16" s="8">
        <v>42701.190370370372</v>
      </c>
      <c r="B16" s="21" t="s">
        <v>258</v>
      </c>
      <c r="C16" s="21" t="s">
        <v>438</v>
      </c>
      <c r="D16" s="21">
        <v>1260000</v>
      </c>
      <c r="E16" s="21" t="s">
        <v>347</v>
      </c>
      <c r="F16" s="21" t="str">
        <f t="shared" si="0"/>
        <v>rtdc.l.rtdc.4045:itc</v>
      </c>
      <c r="G16" s="8">
        <f t="shared" si="1"/>
        <v>42701.190370370372</v>
      </c>
    </row>
    <row r="17" spans="1:7" x14ac:dyDescent="0.25">
      <c r="A17" s="8">
        <v>42701.191562499997</v>
      </c>
      <c r="B17" s="21" t="s">
        <v>229</v>
      </c>
      <c r="C17" s="21" t="s">
        <v>439</v>
      </c>
      <c r="D17" s="21">
        <v>2140000</v>
      </c>
      <c r="E17" s="21" t="s">
        <v>288</v>
      </c>
      <c r="F17" s="21" t="str">
        <f t="shared" si="0"/>
        <v>rtdc.l.rtdc.4038:itc</v>
      </c>
      <c r="G17" s="8">
        <f t="shared" si="1"/>
        <v>42701.191562499997</v>
      </c>
    </row>
    <row r="18" spans="1:7" x14ac:dyDescent="0.25">
      <c r="A18" s="8">
        <v>42701.203761574077</v>
      </c>
      <c r="B18" s="21" t="s">
        <v>185</v>
      </c>
      <c r="C18" s="21" t="s">
        <v>440</v>
      </c>
      <c r="D18" s="21">
        <v>1760000</v>
      </c>
      <c r="E18" s="21" t="s">
        <v>289</v>
      </c>
      <c r="F18" s="21" t="str">
        <f t="shared" si="0"/>
        <v>rtdc.l.rtdc.4009:itc</v>
      </c>
      <c r="G18" s="8">
        <f t="shared" si="1"/>
        <v>42701.203761574077</v>
      </c>
    </row>
    <row r="19" spans="1:7" x14ac:dyDescent="0.25">
      <c r="A19" s="8">
        <v>42701.205057870371</v>
      </c>
      <c r="B19" s="21" t="s">
        <v>227</v>
      </c>
      <c r="C19" s="21" t="s">
        <v>441</v>
      </c>
      <c r="D19" s="21">
        <v>2030000</v>
      </c>
      <c r="E19" s="21" t="s">
        <v>348</v>
      </c>
      <c r="F19" s="21" t="str">
        <f t="shared" si="0"/>
        <v>rtdc.l.rtdc.4022:itc</v>
      </c>
      <c r="G19" s="8">
        <f t="shared" si="1"/>
        <v>42701.205057870371</v>
      </c>
    </row>
    <row r="20" spans="1:7" x14ac:dyDescent="0.25">
      <c r="A20" s="8">
        <v>42701.21435185185</v>
      </c>
      <c r="B20" s="21" t="s">
        <v>185</v>
      </c>
      <c r="C20" s="21" t="s">
        <v>440</v>
      </c>
      <c r="D20" s="21">
        <v>1760000</v>
      </c>
      <c r="E20" s="21" t="s">
        <v>289</v>
      </c>
      <c r="F20" s="21" t="str">
        <f t="shared" si="0"/>
        <v>rtdc.l.rtdc.4009:itc</v>
      </c>
      <c r="G20" s="8">
        <f t="shared" si="1"/>
        <v>42701.21435185185</v>
      </c>
    </row>
    <row r="21" spans="1:7" x14ac:dyDescent="0.25">
      <c r="A21" s="8">
        <v>42701.21947916667</v>
      </c>
      <c r="B21" s="21" t="s">
        <v>221</v>
      </c>
      <c r="C21" s="21" t="s">
        <v>442</v>
      </c>
      <c r="D21" s="21">
        <v>1990000</v>
      </c>
      <c r="E21" s="21" t="s">
        <v>260</v>
      </c>
      <c r="F21" s="21" t="str">
        <f t="shared" si="0"/>
        <v>rtdc.l.rtdc.4012:itc</v>
      </c>
      <c r="G21" s="8">
        <f t="shared" si="1"/>
        <v>42701.21947916667</v>
      </c>
    </row>
    <row r="22" spans="1:7" x14ac:dyDescent="0.25">
      <c r="A22" s="27">
        <v>42701.220555555556</v>
      </c>
      <c r="B22" s="21" t="s">
        <v>353</v>
      </c>
      <c r="C22" s="21" t="s">
        <v>401</v>
      </c>
      <c r="D22" s="21">
        <v>1110000</v>
      </c>
      <c r="E22" s="21" t="s">
        <v>443</v>
      </c>
      <c r="F22" s="21" t="str">
        <f t="shared" si="0"/>
        <v>rtdc.l.rtdc.4025:itc</v>
      </c>
      <c r="G22" s="8">
        <f t="shared" si="1"/>
        <v>42701.220555555556</v>
      </c>
    </row>
    <row r="23" spans="1:7" x14ac:dyDescent="0.25">
      <c r="A23" s="8">
        <v>42701.227592592593</v>
      </c>
      <c r="B23" s="21" t="s">
        <v>399</v>
      </c>
      <c r="C23" s="21" t="s">
        <v>444</v>
      </c>
      <c r="D23" s="21">
        <v>1830000</v>
      </c>
      <c r="E23" s="21" t="s">
        <v>445</v>
      </c>
      <c r="F23" s="21" t="str">
        <f t="shared" si="0"/>
        <v>rtdc.l.rtdc.4016:itc</v>
      </c>
      <c r="G23" s="8">
        <f t="shared" si="1"/>
        <v>42701.227592592593</v>
      </c>
    </row>
    <row r="24" spans="1:7" x14ac:dyDescent="0.25">
      <c r="A24" s="8">
        <v>42701.229108796295</v>
      </c>
      <c r="B24" s="21" t="s">
        <v>230</v>
      </c>
      <c r="C24" s="21" t="s">
        <v>446</v>
      </c>
      <c r="D24" s="21">
        <v>2140000</v>
      </c>
      <c r="E24" s="21" t="s">
        <v>288</v>
      </c>
      <c r="F24" s="21" t="str">
        <f t="shared" si="0"/>
        <v>rtdc.l.rtdc.4037:itc</v>
      </c>
      <c r="G24" s="8">
        <f t="shared" si="1"/>
        <v>42701.229108796295</v>
      </c>
    </row>
    <row r="25" spans="1:7" x14ac:dyDescent="0.25">
      <c r="A25" s="8">
        <v>42701.233275462961</v>
      </c>
      <c r="B25" s="21" t="s">
        <v>259</v>
      </c>
      <c r="C25" s="21" t="s">
        <v>447</v>
      </c>
      <c r="D25" s="21">
        <v>1260000</v>
      </c>
      <c r="E25" s="21" t="s">
        <v>347</v>
      </c>
      <c r="F25" s="21" t="str">
        <f t="shared" si="0"/>
        <v>rtdc.l.rtdc.4046:itc</v>
      </c>
      <c r="G25" s="8">
        <f t="shared" si="1"/>
        <v>42701.233275462961</v>
      </c>
    </row>
    <row r="26" spans="1:7" x14ac:dyDescent="0.25">
      <c r="A26" s="8">
        <v>42701.235671296294</v>
      </c>
      <c r="B26" s="21" t="s">
        <v>344</v>
      </c>
      <c r="C26" s="21" t="s">
        <v>448</v>
      </c>
      <c r="D26" s="21">
        <v>1110000</v>
      </c>
      <c r="E26" s="21" t="s">
        <v>443</v>
      </c>
      <c r="F26" s="21" t="str">
        <f t="shared" si="0"/>
        <v>rtdc.l.rtdc.4026:itc</v>
      </c>
      <c r="G26" s="8">
        <f t="shared" si="1"/>
        <v>42701.235671296294</v>
      </c>
    </row>
    <row r="27" spans="1:7" x14ac:dyDescent="0.25">
      <c r="A27" s="8">
        <v>42701.244710648149</v>
      </c>
      <c r="B27" s="21" t="s">
        <v>287</v>
      </c>
      <c r="C27" s="21" t="s">
        <v>449</v>
      </c>
      <c r="D27" s="21">
        <v>1760000</v>
      </c>
      <c r="E27" s="21" t="s">
        <v>289</v>
      </c>
      <c r="F27" s="21" t="str">
        <f t="shared" si="0"/>
        <v>rtdc.l.rtdc.4010:itc</v>
      </c>
      <c r="G27" s="8">
        <f t="shared" si="1"/>
        <v>42701.244710648149</v>
      </c>
    </row>
    <row r="28" spans="1:7" x14ac:dyDescent="0.25">
      <c r="A28" s="8">
        <v>42701.248692129629</v>
      </c>
      <c r="B28" s="21" t="s">
        <v>186</v>
      </c>
      <c r="C28" s="21" t="s">
        <v>450</v>
      </c>
      <c r="D28" s="21">
        <v>2010000</v>
      </c>
      <c r="E28" s="21" t="s">
        <v>282</v>
      </c>
      <c r="F28" s="21" t="str">
        <f t="shared" si="0"/>
        <v>rtdc.l.rtdc.4044:itc</v>
      </c>
      <c r="G28" s="8">
        <f t="shared" si="1"/>
        <v>42701.248692129629</v>
      </c>
    </row>
    <row r="29" spans="1:7" x14ac:dyDescent="0.25">
      <c r="A29" s="8">
        <v>42701.249409722222</v>
      </c>
      <c r="B29" s="21" t="s">
        <v>353</v>
      </c>
      <c r="C29" s="21" t="s">
        <v>451</v>
      </c>
      <c r="D29" s="21">
        <v>1110000</v>
      </c>
      <c r="E29" s="21" t="s">
        <v>443</v>
      </c>
      <c r="F29" s="21" t="str">
        <f t="shared" si="0"/>
        <v>rtdc.l.rtdc.4025:itc</v>
      </c>
      <c r="G29" s="8">
        <f t="shared" si="1"/>
        <v>42701.249409722222</v>
      </c>
    </row>
    <row r="30" spans="1:7" x14ac:dyDescent="0.25">
      <c r="A30" s="8">
        <v>42701.252372685187</v>
      </c>
      <c r="B30" s="21" t="s">
        <v>397</v>
      </c>
      <c r="C30" s="21" t="s">
        <v>452</v>
      </c>
      <c r="D30" s="21">
        <v>2030000</v>
      </c>
      <c r="E30" s="21" t="s">
        <v>348</v>
      </c>
      <c r="F30" s="21" t="str">
        <f t="shared" si="0"/>
        <v>rtdc.l.rtdc.4021:itc</v>
      </c>
      <c r="G30" s="8">
        <f t="shared" si="1"/>
        <v>42701.252372685187</v>
      </c>
    </row>
    <row r="31" spans="1:7" x14ac:dyDescent="0.25">
      <c r="A31" s="8">
        <v>42701.255219907405</v>
      </c>
      <c r="B31" s="21" t="s">
        <v>413</v>
      </c>
      <c r="C31" s="21" t="s">
        <v>453</v>
      </c>
      <c r="D31" s="21">
        <v>1830000</v>
      </c>
      <c r="E31" s="21" t="s">
        <v>445</v>
      </c>
      <c r="F31" s="21" t="str">
        <f t="shared" si="0"/>
        <v>rtdc.l.rtdc.4015:itc</v>
      </c>
      <c r="G31" s="8">
        <f t="shared" si="1"/>
        <v>42701.255219907405</v>
      </c>
    </row>
    <row r="32" spans="1:7" x14ac:dyDescent="0.25">
      <c r="A32" s="8">
        <v>42701.25582175926</v>
      </c>
      <c r="B32" s="21" t="s">
        <v>213</v>
      </c>
      <c r="C32" s="21" t="s">
        <v>454</v>
      </c>
      <c r="D32" s="21">
        <v>1990000</v>
      </c>
      <c r="E32" s="21" t="s">
        <v>260</v>
      </c>
      <c r="F32" s="21" t="str">
        <f t="shared" si="0"/>
        <v>rtdc.l.rtdc.4011:itc</v>
      </c>
      <c r="G32" s="8">
        <f t="shared" si="1"/>
        <v>42701.25582175926</v>
      </c>
    </row>
    <row r="33" spans="1:7" x14ac:dyDescent="0.25">
      <c r="A33" s="8">
        <v>42701.267418981479</v>
      </c>
      <c r="B33" s="21" t="s">
        <v>229</v>
      </c>
      <c r="C33" s="21" t="s">
        <v>455</v>
      </c>
      <c r="D33" s="21">
        <v>2140000</v>
      </c>
      <c r="E33" s="21" t="s">
        <v>288</v>
      </c>
      <c r="F33" s="21" t="str">
        <f t="shared" si="0"/>
        <v>rtdc.l.rtdc.4038:itc</v>
      </c>
      <c r="G33" s="8">
        <f t="shared" si="1"/>
        <v>42701.267418981479</v>
      </c>
    </row>
    <row r="34" spans="1:7" x14ac:dyDescent="0.25">
      <c r="A34" s="8">
        <v>42701.272592592592</v>
      </c>
      <c r="B34" s="21" t="s">
        <v>258</v>
      </c>
      <c r="C34" s="21" t="s">
        <v>456</v>
      </c>
      <c r="D34" s="21">
        <v>1260000</v>
      </c>
      <c r="E34" s="21" t="s">
        <v>347</v>
      </c>
      <c r="F34" s="21" t="str">
        <f t="shared" si="0"/>
        <v>rtdc.l.rtdc.4045:itc</v>
      </c>
      <c r="G34" s="8">
        <f t="shared" si="1"/>
        <v>42701.272592592592</v>
      </c>
    </row>
    <row r="35" spans="1:7" x14ac:dyDescent="0.25">
      <c r="A35" s="8">
        <v>42701.276030092595</v>
      </c>
      <c r="B35" s="21" t="s">
        <v>344</v>
      </c>
      <c r="C35" s="21" t="s">
        <v>402</v>
      </c>
      <c r="D35" s="21">
        <v>1110000</v>
      </c>
      <c r="E35" s="21" t="s">
        <v>443</v>
      </c>
      <c r="F35" s="21" t="str">
        <f t="shared" si="0"/>
        <v>rtdc.l.rtdc.4026:itc</v>
      </c>
      <c r="G35" s="8">
        <f t="shared" si="1"/>
        <v>42701.276030092595</v>
      </c>
    </row>
    <row r="36" spans="1:7" x14ac:dyDescent="0.25">
      <c r="A36" s="8">
        <v>42701.279537037037</v>
      </c>
      <c r="B36" s="21" t="s">
        <v>223</v>
      </c>
      <c r="C36" s="21" t="s">
        <v>403</v>
      </c>
      <c r="D36" s="21">
        <v>1760000</v>
      </c>
      <c r="E36" s="21" t="s">
        <v>289</v>
      </c>
      <c r="F36" s="21" t="str">
        <f t="shared" si="0"/>
        <v>rtdc.l.rtdc.4002:itc</v>
      </c>
      <c r="G36" s="8">
        <f t="shared" si="1"/>
        <v>42701.279537037037</v>
      </c>
    </row>
    <row r="37" spans="1:7" x14ac:dyDescent="0.25">
      <c r="A37" s="8">
        <v>42701.285914351851</v>
      </c>
      <c r="B37" s="21" t="s">
        <v>227</v>
      </c>
      <c r="C37" s="21" t="s">
        <v>457</v>
      </c>
      <c r="D37" s="21">
        <v>2030000</v>
      </c>
      <c r="E37" s="21" t="s">
        <v>348</v>
      </c>
      <c r="F37" s="21" t="str">
        <f t="shared" si="0"/>
        <v>rtdc.l.rtdc.4022:itc</v>
      </c>
      <c r="G37" s="8">
        <f t="shared" si="1"/>
        <v>42701.285914351851</v>
      </c>
    </row>
    <row r="38" spans="1:7" x14ac:dyDescent="0.25">
      <c r="A38" s="8">
        <v>42701.290682870371</v>
      </c>
      <c r="B38" s="21" t="s">
        <v>226</v>
      </c>
      <c r="C38" s="21" t="s">
        <v>458</v>
      </c>
      <c r="D38" s="21">
        <v>2010000</v>
      </c>
      <c r="E38" s="21" t="s">
        <v>282</v>
      </c>
      <c r="F38" s="21" t="str">
        <f t="shared" si="0"/>
        <v>rtdc.l.rtdc.4043:itc</v>
      </c>
      <c r="G38" s="8">
        <f t="shared" si="1"/>
        <v>42701.290682870371</v>
      </c>
    </row>
    <row r="39" spans="1:7" x14ac:dyDescent="0.25">
      <c r="A39" s="8">
        <v>42701.294270833336</v>
      </c>
      <c r="B39" s="21" t="s">
        <v>221</v>
      </c>
      <c r="C39" s="21" t="s">
        <v>459</v>
      </c>
      <c r="D39" s="21">
        <v>1990000</v>
      </c>
      <c r="E39" s="21" t="s">
        <v>260</v>
      </c>
      <c r="F39" s="21" t="str">
        <f t="shared" si="0"/>
        <v>rtdc.l.rtdc.4012:itc</v>
      </c>
      <c r="G39" s="8">
        <f t="shared" si="1"/>
        <v>42701.294270833336</v>
      </c>
    </row>
    <row r="40" spans="1:7" x14ac:dyDescent="0.25">
      <c r="A40" s="8">
        <v>42701.295578703706</v>
      </c>
      <c r="B40" s="26" t="s">
        <v>399</v>
      </c>
      <c r="C40" s="21" t="s">
        <v>460</v>
      </c>
      <c r="D40" s="21">
        <v>1830000</v>
      </c>
      <c r="E40" s="21" t="s">
        <v>445</v>
      </c>
      <c r="F40" s="21" t="str">
        <f t="shared" si="0"/>
        <v>rtdc.l.rtdc.4016:itc</v>
      </c>
      <c r="G40" s="8">
        <f t="shared" si="1"/>
        <v>42701.295578703706</v>
      </c>
    </row>
    <row r="41" spans="1:7" x14ac:dyDescent="0.25">
      <c r="A41" s="8">
        <v>42701.301296296297</v>
      </c>
      <c r="B41" s="21" t="s">
        <v>230</v>
      </c>
      <c r="C41" s="21" t="s">
        <v>404</v>
      </c>
      <c r="D41" s="21">
        <v>2140000</v>
      </c>
      <c r="E41" s="21" t="s">
        <v>288</v>
      </c>
      <c r="F41" s="21" t="str">
        <f t="shared" si="0"/>
        <v>rtdc.l.rtdc.4037:itc</v>
      </c>
      <c r="G41" s="8">
        <f t="shared" si="1"/>
        <v>42701.301296296297</v>
      </c>
    </row>
    <row r="42" spans="1:7" x14ac:dyDescent="0.25">
      <c r="A42" s="8">
        <v>42701.305474537039</v>
      </c>
      <c r="B42" s="21" t="s">
        <v>353</v>
      </c>
      <c r="C42" s="21" t="s">
        <v>461</v>
      </c>
      <c r="D42" s="21">
        <v>1110000</v>
      </c>
      <c r="E42" s="21" t="s">
        <v>443</v>
      </c>
      <c r="F42" s="21" t="str">
        <f t="shared" si="0"/>
        <v>rtdc.l.rtdc.4025:itc</v>
      </c>
      <c r="G42" s="8">
        <f t="shared" si="1"/>
        <v>42701.305474537039</v>
      </c>
    </row>
    <row r="43" spans="1:7" x14ac:dyDescent="0.25">
      <c r="A43" s="8">
        <v>42701.307071759256</v>
      </c>
      <c r="B43" s="21" t="s">
        <v>259</v>
      </c>
      <c r="C43" s="21" t="s">
        <v>462</v>
      </c>
      <c r="D43" s="21">
        <v>1260000</v>
      </c>
      <c r="E43" s="21" t="s">
        <v>347</v>
      </c>
      <c r="F43" s="21" t="str">
        <f t="shared" si="0"/>
        <v>rtdc.l.rtdc.4046:itc</v>
      </c>
      <c r="G43" s="8">
        <f t="shared" si="1"/>
        <v>42701.307071759256</v>
      </c>
    </row>
    <row r="44" spans="1:7" x14ac:dyDescent="0.25">
      <c r="A44" s="8">
        <v>42701.318009259259</v>
      </c>
      <c r="B44" s="21" t="s">
        <v>344</v>
      </c>
      <c r="C44" s="21" t="s">
        <v>463</v>
      </c>
      <c r="D44" s="21">
        <v>1110000</v>
      </c>
      <c r="E44" s="21" t="s">
        <v>443</v>
      </c>
      <c r="F44" s="21" t="str">
        <f t="shared" si="0"/>
        <v>rtdc.l.rtdc.4026:itc</v>
      </c>
      <c r="G44" s="8">
        <f t="shared" si="1"/>
        <v>42701.318009259259</v>
      </c>
    </row>
    <row r="45" spans="1:7" x14ac:dyDescent="0.25">
      <c r="A45" s="8">
        <v>42701.319965277777</v>
      </c>
      <c r="B45" s="21" t="s">
        <v>186</v>
      </c>
      <c r="C45" s="21" t="s">
        <v>405</v>
      </c>
      <c r="D45" s="21">
        <v>2010000</v>
      </c>
      <c r="E45" s="21" t="s">
        <v>282</v>
      </c>
      <c r="F45" s="21" t="str">
        <f t="shared" si="0"/>
        <v>rtdc.l.rtdc.4044:itc</v>
      </c>
      <c r="G45" s="8">
        <f t="shared" si="1"/>
        <v>42701.319965277777</v>
      </c>
    </row>
    <row r="46" spans="1:7" x14ac:dyDescent="0.25">
      <c r="A46" s="8">
        <v>42701.323425925926</v>
      </c>
      <c r="B46" s="21" t="s">
        <v>397</v>
      </c>
      <c r="C46" s="21" t="s">
        <v>464</v>
      </c>
      <c r="D46" s="21">
        <v>2030000</v>
      </c>
      <c r="E46" s="21" t="s">
        <v>348</v>
      </c>
      <c r="F46" s="21" t="str">
        <f t="shared" si="0"/>
        <v>rtdc.l.rtdc.4021:itc</v>
      </c>
      <c r="G46" s="8">
        <f t="shared" si="1"/>
        <v>42701.323425925926</v>
      </c>
    </row>
    <row r="47" spans="1:7" x14ac:dyDescent="0.25">
      <c r="A47" s="8">
        <v>42701.328668981485</v>
      </c>
      <c r="B47" s="21" t="s">
        <v>413</v>
      </c>
      <c r="C47" s="21" t="s">
        <v>465</v>
      </c>
      <c r="D47" s="21">
        <v>1830000</v>
      </c>
      <c r="E47" s="21" t="s">
        <v>445</v>
      </c>
      <c r="F47" s="21" t="str">
        <f t="shared" si="0"/>
        <v>rtdc.l.rtdc.4015:itc</v>
      </c>
      <c r="G47" s="8">
        <f t="shared" si="1"/>
        <v>42701.328668981485</v>
      </c>
    </row>
    <row r="48" spans="1:7" x14ac:dyDescent="0.25">
      <c r="A48" s="8">
        <v>42701.329606481479</v>
      </c>
      <c r="B48" s="21" t="s">
        <v>213</v>
      </c>
      <c r="C48" s="21" t="s">
        <v>466</v>
      </c>
      <c r="D48" s="21">
        <v>1990000</v>
      </c>
      <c r="E48" s="21" t="s">
        <v>260</v>
      </c>
      <c r="F48" s="21" t="str">
        <f t="shared" si="0"/>
        <v>rtdc.l.rtdc.4011:itc</v>
      </c>
      <c r="G48" s="8">
        <f t="shared" si="1"/>
        <v>42701.329606481479</v>
      </c>
    </row>
    <row r="49" spans="1:7" x14ac:dyDescent="0.25">
      <c r="A49" s="8">
        <v>42701.333958333336</v>
      </c>
      <c r="B49" s="21" t="s">
        <v>353</v>
      </c>
      <c r="C49" s="21" t="s">
        <v>467</v>
      </c>
      <c r="D49" s="21">
        <v>1110000</v>
      </c>
      <c r="E49" s="21" t="s">
        <v>443</v>
      </c>
      <c r="F49" s="21" t="str">
        <f t="shared" si="0"/>
        <v>rtdc.l.rtdc.4025:itc</v>
      </c>
      <c r="G49" s="8">
        <f t="shared" si="1"/>
        <v>42701.333958333336</v>
      </c>
    </row>
    <row r="50" spans="1:7" x14ac:dyDescent="0.25">
      <c r="A50" s="8">
        <v>42701.336840277778</v>
      </c>
      <c r="B50" s="21" t="s">
        <v>259</v>
      </c>
      <c r="C50" s="21" t="s">
        <v>462</v>
      </c>
      <c r="D50" s="21">
        <v>1260000</v>
      </c>
      <c r="E50" s="21" t="s">
        <v>347</v>
      </c>
      <c r="F50" s="21" t="str">
        <f t="shared" si="0"/>
        <v>rtdc.l.rtdc.4046:itc</v>
      </c>
      <c r="G50" s="8">
        <f t="shared" si="1"/>
        <v>42701.336840277778</v>
      </c>
    </row>
    <row r="51" spans="1:7" x14ac:dyDescent="0.25">
      <c r="A51" s="8">
        <v>42701.338888888888</v>
      </c>
      <c r="B51" s="21" t="s">
        <v>229</v>
      </c>
      <c r="C51" s="21" t="s">
        <v>468</v>
      </c>
      <c r="D51" s="21">
        <v>2140000</v>
      </c>
      <c r="E51" s="21" t="s">
        <v>288</v>
      </c>
      <c r="F51" s="21" t="str">
        <f t="shared" si="0"/>
        <v>rtdc.l.rtdc.4038:itc</v>
      </c>
      <c r="G51" s="8">
        <f t="shared" si="1"/>
        <v>42701.338888888888</v>
      </c>
    </row>
    <row r="52" spans="1:7" x14ac:dyDescent="0.25">
      <c r="A52" s="8">
        <v>42701.34715277778</v>
      </c>
      <c r="B52" s="21" t="s">
        <v>258</v>
      </c>
      <c r="C52" s="21" t="s">
        <v>469</v>
      </c>
      <c r="D52" s="21">
        <v>1260000</v>
      </c>
      <c r="E52" s="21" t="s">
        <v>347</v>
      </c>
      <c r="F52" s="21" t="str">
        <f t="shared" si="0"/>
        <v>rtdc.l.rtdc.4045:itc</v>
      </c>
      <c r="G52" s="8">
        <f t="shared" si="1"/>
        <v>42701.34715277778</v>
      </c>
    </row>
    <row r="53" spans="1:7" x14ac:dyDescent="0.25">
      <c r="A53" s="8">
        <v>42701.352858796294</v>
      </c>
      <c r="B53" s="21" t="s">
        <v>223</v>
      </c>
      <c r="C53" s="21" t="s">
        <v>470</v>
      </c>
      <c r="D53" s="21">
        <v>1760000</v>
      </c>
      <c r="E53" s="21" t="s">
        <v>289</v>
      </c>
      <c r="F53" s="21" t="str">
        <f t="shared" si="0"/>
        <v>rtdc.l.rtdc.4002:itc</v>
      </c>
      <c r="G53" s="8">
        <f t="shared" si="1"/>
        <v>42701.352858796294</v>
      </c>
    </row>
    <row r="54" spans="1:7" x14ac:dyDescent="0.25">
      <c r="A54" s="8">
        <v>42701.359386574077</v>
      </c>
      <c r="B54" s="21" t="s">
        <v>344</v>
      </c>
      <c r="C54" s="21" t="s">
        <v>471</v>
      </c>
      <c r="D54" s="21">
        <v>1110000</v>
      </c>
      <c r="E54" s="21" t="s">
        <v>443</v>
      </c>
      <c r="F54" s="21" t="str">
        <f t="shared" si="0"/>
        <v>rtdc.l.rtdc.4026:itc</v>
      </c>
      <c r="G54" s="8">
        <f t="shared" si="1"/>
        <v>42701.359386574077</v>
      </c>
    </row>
    <row r="55" spans="1:7" x14ac:dyDescent="0.25">
      <c r="A55" s="8">
        <v>42701.360844907409</v>
      </c>
      <c r="B55" s="21" t="s">
        <v>185</v>
      </c>
      <c r="C55" s="21" t="s">
        <v>472</v>
      </c>
      <c r="D55" s="21">
        <v>1780000</v>
      </c>
      <c r="E55" s="21" t="s">
        <v>473</v>
      </c>
      <c r="F55" s="21" t="str">
        <f t="shared" si="0"/>
        <v>rtdc.l.rtdc.4009:itc</v>
      </c>
      <c r="G55" s="8">
        <f t="shared" si="1"/>
        <v>42701.360844907409</v>
      </c>
    </row>
    <row r="56" spans="1:7" x14ac:dyDescent="0.25">
      <c r="A56" s="8">
        <v>42701.361701388887</v>
      </c>
      <c r="B56" s="21" t="s">
        <v>226</v>
      </c>
      <c r="C56" s="21" t="s">
        <v>474</v>
      </c>
      <c r="D56" s="21">
        <v>2010000</v>
      </c>
      <c r="E56" s="21" t="s">
        <v>282</v>
      </c>
      <c r="F56" s="21" t="str">
        <f t="shared" si="0"/>
        <v>rtdc.l.rtdc.4043:itc</v>
      </c>
      <c r="G56" s="8">
        <f t="shared" si="1"/>
        <v>42701.361701388887</v>
      </c>
    </row>
    <row r="57" spans="1:7" x14ac:dyDescent="0.25">
      <c r="A57" s="8">
        <v>42701.368321759262</v>
      </c>
      <c r="B57" s="21" t="s">
        <v>221</v>
      </c>
      <c r="C57" s="21" t="s">
        <v>407</v>
      </c>
      <c r="D57" s="21">
        <v>1990000</v>
      </c>
      <c r="E57" s="21" t="s">
        <v>260</v>
      </c>
      <c r="F57" s="21" t="str">
        <f t="shared" si="0"/>
        <v>rtdc.l.rtdc.4012:itc</v>
      </c>
      <c r="G57" s="8">
        <f t="shared" si="1"/>
        <v>42701.368321759262</v>
      </c>
    </row>
    <row r="58" spans="1:7" x14ac:dyDescent="0.25">
      <c r="A58" s="8">
        <v>42701.371516203704</v>
      </c>
      <c r="B58" s="21" t="s">
        <v>399</v>
      </c>
      <c r="C58" s="21" t="s">
        <v>475</v>
      </c>
      <c r="D58" s="21">
        <v>1830000</v>
      </c>
      <c r="E58" s="21" t="s">
        <v>445</v>
      </c>
      <c r="F58" s="21" t="str">
        <f t="shared" si="0"/>
        <v>rtdc.l.rtdc.4016:itc</v>
      </c>
      <c r="G58" s="8">
        <f t="shared" si="1"/>
        <v>42701.371516203704</v>
      </c>
    </row>
    <row r="59" spans="1:7" x14ac:dyDescent="0.25">
      <c r="A59" s="8">
        <v>42701.375428240739</v>
      </c>
      <c r="B59" s="21" t="s">
        <v>230</v>
      </c>
      <c r="C59" s="21" t="s">
        <v>476</v>
      </c>
      <c r="D59" s="21">
        <v>2140000</v>
      </c>
      <c r="E59" s="21" t="s">
        <v>288</v>
      </c>
      <c r="F59" s="21" t="str">
        <f t="shared" si="0"/>
        <v>rtdc.l.rtdc.4037:itc</v>
      </c>
      <c r="G59" s="8">
        <f t="shared" si="1"/>
        <v>42701.375428240739</v>
      </c>
    </row>
    <row r="60" spans="1:7" x14ac:dyDescent="0.25">
      <c r="A60" s="8">
        <v>42701.381249999999</v>
      </c>
      <c r="B60" s="21" t="s">
        <v>259</v>
      </c>
      <c r="C60" s="21" t="s">
        <v>408</v>
      </c>
      <c r="D60" s="21">
        <v>1260000</v>
      </c>
      <c r="E60" s="21" t="s">
        <v>347</v>
      </c>
      <c r="F60" s="21" t="str">
        <f t="shared" si="0"/>
        <v>rtdc.l.rtdc.4046:itc</v>
      </c>
      <c r="G60" s="8">
        <f t="shared" si="1"/>
        <v>42701.381249999999</v>
      </c>
    </row>
    <row r="61" spans="1:7" x14ac:dyDescent="0.25">
      <c r="A61" s="8">
        <v>42701.382199074076</v>
      </c>
      <c r="B61" s="21" t="s">
        <v>409</v>
      </c>
      <c r="C61" s="21" t="s">
        <v>410</v>
      </c>
      <c r="D61" s="21">
        <v>1760000</v>
      </c>
      <c r="E61" s="21" t="s">
        <v>289</v>
      </c>
      <c r="F61" s="21" t="str">
        <f t="shared" si="0"/>
        <v>rtdc.l.rtdc.4001:itc</v>
      </c>
      <c r="G61" s="8">
        <f t="shared" si="1"/>
        <v>42701.382199074076</v>
      </c>
    </row>
    <row r="62" spans="1:7" x14ac:dyDescent="0.25">
      <c r="A62" s="8">
        <v>42701.389050925929</v>
      </c>
      <c r="B62" s="21" t="s">
        <v>353</v>
      </c>
      <c r="C62" s="21" t="s">
        <v>406</v>
      </c>
      <c r="D62" s="21">
        <v>1110000</v>
      </c>
      <c r="E62" s="21" t="s">
        <v>443</v>
      </c>
      <c r="F62" s="21" t="str">
        <f t="shared" si="0"/>
        <v>rtdc.l.rtdc.4025:itc</v>
      </c>
      <c r="G62" s="8">
        <f t="shared" si="1"/>
        <v>42701.389050925929</v>
      </c>
    </row>
    <row r="63" spans="1:7" x14ac:dyDescent="0.25">
      <c r="A63" s="8">
        <v>42701.39634259259</v>
      </c>
      <c r="B63" s="21" t="s">
        <v>186</v>
      </c>
      <c r="C63" s="21" t="s">
        <v>477</v>
      </c>
      <c r="D63" s="21">
        <v>2010000</v>
      </c>
      <c r="E63" s="21" t="s">
        <v>282</v>
      </c>
      <c r="F63" s="21" t="str">
        <f t="shared" si="0"/>
        <v>rtdc.l.rtdc.4044:itc</v>
      </c>
      <c r="G63" s="8">
        <f t="shared" si="1"/>
        <v>42701.39634259259</v>
      </c>
    </row>
    <row r="64" spans="1:7" x14ac:dyDescent="0.25">
      <c r="A64" s="27">
        <v>42701.398935185185</v>
      </c>
      <c r="B64" s="21" t="s">
        <v>287</v>
      </c>
      <c r="C64" s="21" t="s">
        <v>478</v>
      </c>
      <c r="D64" s="21">
        <v>1780000</v>
      </c>
      <c r="E64" s="21" t="s">
        <v>473</v>
      </c>
      <c r="F64" s="21" t="str">
        <f t="shared" si="0"/>
        <v>rtdc.l.rtdc.4010:itc</v>
      </c>
      <c r="G64" s="8">
        <f t="shared" si="1"/>
        <v>42701.398935185185</v>
      </c>
    </row>
    <row r="65" spans="1:7" x14ac:dyDescent="0.25">
      <c r="A65" s="8">
        <v>42701.401076388887</v>
      </c>
      <c r="B65" s="21" t="s">
        <v>413</v>
      </c>
      <c r="C65" s="21" t="s">
        <v>479</v>
      </c>
      <c r="D65" s="21">
        <v>1830000</v>
      </c>
      <c r="E65" s="21" t="s">
        <v>445</v>
      </c>
      <c r="F65" s="21" t="str">
        <f t="shared" si="0"/>
        <v>rtdc.l.rtdc.4015:itc</v>
      </c>
      <c r="G65" s="8">
        <f t="shared" si="1"/>
        <v>42701.401076388887</v>
      </c>
    </row>
    <row r="66" spans="1:7" x14ac:dyDescent="0.25">
      <c r="A66" s="8">
        <v>42701.401446759257</v>
      </c>
      <c r="B66" s="21" t="s">
        <v>344</v>
      </c>
      <c r="C66" s="21" t="s">
        <v>480</v>
      </c>
      <c r="D66" s="21">
        <v>1110000</v>
      </c>
      <c r="E66" s="21" t="s">
        <v>443</v>
      </c>
      <c r="F66" s="21" t="str">
        <f t="shared" ref="F66:F129" si="2">B66</f>
        <v>rtdc.l.rtdc.4026:itc</v>
      </c>
      <c r="G66" s="8">
        <f t="shared" ref="G66:G129" si="3">A66</f>
        <v>42701.401446759257</v>
      </c>
    </row>
    <row r="67" spans="1:7" x14ac:dyDescent="0.25">
      <c r="A67" s="8">
        <v>42701.402233796296</v>
      </c>
      <c r="B67" s="21" t="s">
        <v>213</v>
      </c>
      <c r="C67" s="21" t="s">
        <v>481</v>
      </c>
      <c r="D67" s="21">
        <v>1990000</v>
      </c>
      <c r="E67" s="21" t="s">
        <v>260</v>
      </c>
      <c r="F67" s="21" t="str">
        <f t="shared" si="2"/>
        <v>rtdc.l.rtdc.4011:itc</v>
      </c>
      <c r="G67" s="8">
        <f t="shared" si="3"/>
        <v>42701.402233796296</v>
      </c>
    </row>
    <row r="68" spans="1:7" x14ac:dyDescent="0.25">
      <c r="A68" s="8">
        <v>42701.412233796298</v>
      </c>
      <c r="B68" s="21" t="s">
        <v>229</v>
      </c>
      <c r="C68" s="21" t="s">
        <v>482</v>
      </c>
      <c r="D68" s="21">
        <v>2140000</v>
      </c>
      <c r="E68" s="21" t="s">
        <v>288</v>
      </c>
      <c r="F68" s="21" t="str">
        <f t="shared" si="2"/>
        <v>rtdc.l.rtdc.4038:itc</v>
      </c>
      <c r="G68" s="8">
        <f t="shared" si="3"/>
        <v>42701.412233796298</v>
      </c>
    </row>
    <row r="69" spans="1:7" x14ac:dyDescent="0.25">
      <c r="A69" s="8">
        <v>42701.416967592595</v>
      </c>
      <c r="B69" s="21" t="s">
        <v>353</v>
      </c>
      <c r="C69" s="21" t="s">
        <v>411</v>
      </c>
      <c r="D69" s="21">
        <v>1110000</v>
      </c>
      <c r="E69" s="21" t="s">
        <v>443</v>
      </c>
      <c r="F69" s="21" t="str">
        <f t="shared" si="2"/>
        <v>rtdc.l.rtdc.4025:itc</v>
      </c>
      <c r="G69" s="8">
        <f t="shared" si="3"/>
        <v>42701.416967592595</v>
      </c>
    </row>
    <row r="70" spans="1:7" x14ac:dyDescent="0.25">
      <c r="A70" s="8">
        <v>42701.417291666665</v>
      </c>
      <c r="B70" s="21" t="s">
        <v>258</v>
      </c>
      <c r="C70" s="21" t="s">
        <v>483</v>
      </c>
      <c r="D70" s="21">
        <v>1260000</v>
      </c>
      <c r="E70" s="21" t="s">
        <v>347</v>
      </c>
      <c r="F70" s="21" t="str">
        <f t="shared" si="2"/>
        <v>rtdc.l.rtdc.4045:itc</v>
      </c>
      <c r="G70" s="8">
        <f t="shared" si="3"/>
        <v>42701.417291666665</v>
      </c>
    </row>
    <row r="71" spans="1:7" x14ac:dyDescent="0.25">
      <c r="A71" s="8">
        <v>42701.422731481478</v>
      </c>
      <c r="B71" s="21" t="s">
        <v>223</v>
      </c>
      <c r="C71" s="21" t="s">
        <v>484</v>
      </c>
      <c r="D71" s="21">
        <v>1760000</v>
      </c>
      <c r="E71" s="21" t="s">
        <v>289</v>
      </c>
      <c r="F71" s="21" t="str">
        <f t="shared" si="2"/>
        <v>rtdc.l.rtdc.4002:itc</v>
      </c>
      <c r="G71" s="8">
        <f t="shared" si="3"/>
        <v>42701.422731481478</v>
      </c>
    </row>
    <row r="72" spans="1:7" x14ac:dyDescent="0.25">
      <c r="A72" s="8">
        <v>42701.424583333333</v>
      </c>
      <c r="B72" s="21" t="s">
        <v>229</v>
      </c>
      <c r="C72" s="21" t="s">
        <v>482</v>
      </c>
      <c r="D72" s="21">
        <v>2140000</v>
      </c>
      <c r="E72" s="21" t="s">
        <v>288</v>
      </c>
      <c r="F72" s="21" t="str">
        <f t="shared" si="2"/>
        <v>rtdc.l.rtdc.4038:itc</v>
      </c>
      <c r="G72" s="8">
        <f t="shared" si="3"/>
        <v>42701.424583333333</v>
      </c>
    </row>
    <row r="73" spans="1:7" x14ac:dyDescent="0.25">
      <c r="A73" s="8">
        <v>42701.430856481478</v>
      </c>
      <c r="B73" s="21" t="s">
        <v>226</v>
      </c>
      <c r="C73" s="21" t="s">
        <v>485</v>
      </c>
      <c r="D73" s="21">
        <v>2010000</v>
      </c>
      <c r="E73" s="21" t="s">
        <v>282</v>
      </c>
      <c r="F73" s="21" t="str">
        <f t="shared" si="2"/>
        <v>rtdc.l.rtdc.4043:itc</v>
      </c>
      <c r="G73" s="8">
        <f t="shared" si="3"/>
        <v>42701.430856481478</v>
      </c>
    </row>
    <row r="74" spans="1:7" x14ac:dyDescent="0.25">
      <c r="A74" s="8">
        <v>42701.433530092596</v>
      </c>
      <c r="B74" s="21" t="s">
        <v>185</v>
      </c>
      <c r="C74" s="21" t="s">
        <v>486</v>
      </c>
      <c r="D74" s="21">
        <v>930000</v>
      </c>
      <c r="E74" s="21" t="s">
        <v>349</v>
      </c>
      <c r="F74" s="21" t="str">
        <f t="shared" si="2"/>
        <v>rtdc.l.rtdc.4009:itc</v>
      </c>
      <c r="G74" s="8">
        <f t="shared" si="3"/>
        <v>42701.433530092596</v>
      </c>
    </row>
    <row r="75" spans="1:7" x14ac:dyDescent="0.25">
      <c r="A75" s="8">
        <v>42701.440787037034</v>
      </c>
      <c r="B75" s="21" t="s">
        <v>221</v>
      </c>
      <c r="C75" s="21" t="s">
        <v>487</v>
      </c>
      <c r="D75" s="21">
        <v>1990000</v>
      </c>
      <c r="E75" s="21" t="s">
        <v>260</v>
      </c>
      <c r="F75" s="21" t="str">
        <f t="shared" si="2"/>
        <v>rtdc.l.rtdc.4012:itc</v>
      </c>
      <c r="G75" s="8">
        <f t="shared" si="3"/>
        <v>42701.440787037034</v>
      </c>
    </row>
    <row r="76" spans="1:7" x14ac:dyDescent="0.25">
      <c r="A76" s="8">
        <v>42701.44425925926</v>
      </c>
      <c r="B76" s="21" t="s">
        <v>230</v>
      </c>
      <c r="C76" s="21" t="s">
        <v>488</v>
      </c>
      <c r="D76" s="21">
        <v>2140000</v>
      </c>
      <c r="E76" s="21" t="s">
        <v>288</v>
      </c>
      <c r="F76" s="21" t="str">
        <f t="shared" si="2"/>
        <v>rtdc.l.rtdc.4037:itc</v>
      </c>
      <c r="G76" s="8">
        <f t="shared" si="3"/>
        <v>42701.44425925926</v>
      </c>
    </row>
    <row r="77" spans="1:7" x14ac:dyDescent="0.25">
      <c r="A77" s="8">
        <v>42701.44427083333</v>
      </c>
      <c r="B77" s="21" t="s">
        <v>344</v>
      </c>
      <c r="C77" s="21" t="s">
        <v>489</v>
      </c>
      <c r="D77" s="21">
        <v>1110000</v>
      </c>
      <c r="E77" s="21" t="s">
        <v>443</v>
      </c>
      <c r="F77" s="21" t="str">
        <f t="shared" si="2"/>
        <v>rtdc.l.rtdc.4026:itc</v>
      </c>
      <c r="G77" s="8">
        <f t="shared" si="3"/>
        <v>42701.44427083333</v>
      </c>
    </row>
    <row r="78" spans="1:7" x14ac:dyDescent="0.25">
      <c r="A78" s="8">
        <v>42701.4452662037</v>
      </c>
      <c r="B78" s="21" t="s">
        <v>344</v>
      </c>
      <c r="C78" s="21" t="s">
        <v>490</v>
      </c>
      <c r="D78" s="21">
        <v>1110000</v>
      </c>
      <c r="E78" s="21" t="s">
        <v>443</v>
      </c>
      <c r="F78" s="21" t="str">
        <f t="shared" si="2"/>
        <v>rtdc.l.rtdc.4026:itc</v>
      </c>
      <c r="G78" s="8">
        <f t="shared" si="3"/>
        <v>42701.4452662037</v>
      </c>
    </row>
    <row r="79" spans="1:7" x14ac:dyDescent="0.25">
      <c r="A79" s="8">
        <v>42701.446134259262</v>
      </c>
      <c r="B79" s="21" t="s">
        <v>399</v>
      </c>
      <c r="C79" s="21" t="s">
        <v>491</v>
      </c>
      <c r="D79" s="21">
        <v>1830000</v>
      </c>
      <c r="E79" s="21" t="s">
        <v>445</v>
      </c>
      <c r="F79" s="21" t="str">
        <f t="shared" si="2"/>
        <v>rtdc.l.rtdc.4016:itc</v>
      </c>
      <c r="G79" s="8">
        <f t="shared" si="3"/>
        <v>42701.446134259262</v>
      </c>
    </row>
    <row r="80" spans="1:7" x14ac:dyDescent="0.25">
      <c r="A80" s="8">
        <v>42701.454409722224</v>
      </c>
      <c r="B80" s="21" t="s">
        <v>259</v>
      </c>
      <c r="C80" s="21" t="s">
        <v>492</v>
      </c>
      <c r="D80" s="21">
        <v>880000</v>
      </c>
      <c r="E80" s="21" t="s">
        <v>350</v>
      </c>
      <c r="F80" s="21" t="str">
        <f t="shared" si="2"/>
        <v>rtdc.l.rtdc.4046:itc</v>
      </c>
      <c r="G80" s="8">
        <f t="shared" si="3"/>
        <v>42701.454409722224</v>
      </c>
    </row>
    <row r="81" spans="1:7" x14ac:dyDescent="0.25">
      <c r="A81" s="8">
        <v>42701.462766203702</v>
      </c>
      <c r="B81" s="21" t="s">
        <v>409</v>
      </c>
      <c r="C81" s="21" t="s">
        <v>493</v>
      </c>
      <c r="D81" s="21">
        <v>1760000</v>
      </c>
      <c r="E81" s="21" t="s">
        <v>289</v>
      </c>
      <c r="F81" s="21" t="str">
        <f t="shared" si="2"/>
        <v>rtdc.l.rtdc.4001:itc</v>
      </c>
      <c r="G81" s="8">
        <f t="shared" si="3"/>
        <v>42701.462766203702</v>
      </c>
    </row>
    <row r="82" spans="1:7" x14ac:dyDescent="0.25">
      <c r="A82" s="8">
        <v>42701.464907407404</v>
      </c>
      <c r="B82" s="21" t="s">
        <v>186</v>
      </c>
      <c r="C82" s="21" t="s">
        <v>494</v>
      </c>
      <c r="D82" s="21">
        <v>1280000</v>
      </c>
      <c r="E82" s="21" t="s">
        <v>351</v>
      </c>
      <c r="F82" s="21" t="str">
        <f t="shared" si="2"/>
        <v>rtdc.l.rtdc.4044:itc</v>
      </c>
      <c r="G82" s="8">
        <f t="shared" si="3"/>
        <v>42701.464907407404</v>
      </c>
    </row>
    <row r="83" spans="1:7" x14ac:dyDescent="0.25">
      <c r="A83" s="8">
        <v>42701.470868055556</v>
      </c>
      <c r="B83" s="21" t="s">
        <v>353</v>
      </c>
      <c r="C83" s="21" t="s">
        <v>489</v>
      </c>
      <c r="D83" s="21">
        <v>1110000</v>
      </c>
      <c r="E83" s="21" t="s">
        <v>443</v>
      </c>
      <c r="F83" s="21" t="str">
        <f t="shared" si="2"/>
        <v>rtdc.l.rtdc.4025:itc</v>
      </c>
      <c r="G83" s="8">
        <f t="shared" si="3"/>
        <v>42701.470868055556</v>
      </c>
    </row>
    <row r="84" spans="1:7" x14ac:dyDescent="0.25">
      <c r="A84" s="8">
        <v>42701.473668981482</v>
      </c>
      <c r="B84" s="21" t="s">
        <v>287</v>
      </c>
      <c r="C84" s="21" t="s">
        <v>495</v>
      </c>
      <c r="D84" s="21">
        <v>930000</v>
      </c>
      <c r="E84" s="21" t="s">
        <v>349</v>
      </c>
      <c r="F84" s="21" t="str">
        <f t="shared" si="2"/>
        <v>rtdc.l.rtdc.4010:itc</v>
      </c>
      <c r="G84" s="8">
        <f t="shared" si="3"/>
        <v>42701.473668981482</v>
      </c>
    </row>
    <row r="85" spans="1:7" x14ac:dyDescent="0.25">
      <c r="A85" s="8">
        <v>42701.474710648145</v>
      </c>
      <c r="B85" s="21" t="s">
        <v>413</v>
      </c>
      <c r="C85" s="21" t="s">
        <v>414</v>
      </c>
      <c r="D85" s="21">
        <v>1830000</v>
      </c>
      <c r="E85" s="21" t="s">
        <v>445</v>
      </c>
      <c r="F85" s="21" t="str">
        <f t="shared" si="2"/>
        <v>rtdc.l.rtdc.4015:itc</v>
      </c>
      <c r="G85" s="8">
        <f t="shared" si="3"/>
        <v>42701.474710648145</v>
      </c>
    </row>
    <row r="86" spans="1:7" x14ac:dyDescent="0.25">
      <c r="A86" s="8">
        <v>42701.477210648147</v>
      </c>
      <c r="B86" s="21" t="s">
        <v>213</v>
      </c>
      <c r="C86" s="21" t="s">
        <v>496</v>
      </c>
      <c r="D86" s="21">
        <v>1770000</v>
      </c>
      <c r="E86" s="21" t="s">
        <v>352</v>
      </c>
      <c r="F86" s="21" t="str">
        <f t="shared" si="2"/>
        <v>rtdc.l.rtdc.4011:itc</v>
      </c>
      <c r="G86" s="8">
        <f t="shared" si="3"/>
        <v>42701.477210648147</v>
      </c>
    </row>
    <row r="87" spans="1:7" x14ac:dyDescent="0.25">
      <c r="A87" s="8">
        <v>42701.483807870369</v>
      </c>
      <c r="B87" s="21" t="s">
        <v>344</v>
      </c>
      <c r="C87" s="21" t="s">
        <v>412</v>
      </c>
      <c r="D87" s="21">
        <v>1110000</v>
      </c>
      <c r="E87" s="21" t="s">
        <v>443</v>
      </c>
      <c r="F87" s="21" t="str">
        <f t="shared" si="2"/>
        <v>rtdc.l.rtdc.4026:itc</v>
      </c>
      <c r="G87" s="8">
        <f t="shared" si="3"/>
        <v>42701.483807870369</v>
      </c>
    </row>
    <row r="88" spans="1:7" x14ac:dyDescent="0.25">
      <c r="A88" s="8">
        <v>42701.48673611111</v>
      </c>
      <c r="B88" s="21" t="s">
        <v>229</v>
      </c>
      <c r="C88" s="21" t="s">
        <v>497</v>
      </c>
      <c r="D88" s="21">
        <v>2040000</v>
      </c>
      <c r="E88" s="21" t="s">
        <v>283</v>
      </c>
      <c r="F88" s="21" t="str">
        <f t="shared" si="2"/>
        <v>rtdc.l.rtdc.4038:itc</v>
      </c>
      <c r="G88" s="8">
        <f t="shared" si="3"/>
        <v>42701.48673611111</v>
      </c>
    </row>
    <row r="89" spans="1:7" x14ac:dyDescent="0.25">
      <c r="A89" s="8">
        <v>42701.495509259257</v>
      </c>
      <c r="B89" s="21" t="s">
        <v>258</v>
      </c>
      <c r="C89" s="21" t="s">
        <v>415</v>
      </c>
      <c r="D89" s="21">
        <v>880000</v>
      </c>
      <c r="E89" s="21" t="s">
        <v>350</v>
      </c>
      <c r="F89" s="21" t="str">
        <f t="shared" si="2"/>
        <v>rtdc.l.rtdc.4045:itc</v>
      </c>
      <c r="G89" s="8">
        <f t="shared" si="3"/>
        <v>42701.495509259257</v>
      </c>
    </row>
    <row r="90" spans="1:7" x14ac:dyDescent="0.25">
      <c r="A90" s="8">
        <v>42701.497939814813</v>
      </c>
      <c r="B90" s="21" t="s">
        <v>223</v>
      </c>
      <c r="C90" s="21" t="s">
        <v>498</v>
      </c>
      <c r="D90" s="21">
        <v>1140000</v>
      </c>
      <c r="E90" s="21" t="s">
        <v>499</v>
      </c>
      <c r="F90" s="21" t="str">
        <f t="shared" si="2"/>
        <v>rtdc.l.rtdc.4002:itc</v>
      </c>
      <c r="G90" s="8">
        <f t="shared" si="3"/>
        <v>42701.497939814813</v>
      </c>
    </row>
    <row r="91" spans="1:7" x14ac:dyDescent="0.25">
      <c r="A91" s="8">
        <v>42701.503888888888</v>
      </c>
      <c r="B91" s="21" t="s">
        <v>226</v>
      </c>
      <c r="C91" s="21" t="s">
        <v>416</v>
      </c>
      <c r="D91" s="21">
        <v>1280000</v>
      </c>
      <c r="E91" s="21" t="s">
        <v>351</v>
      </c>
      <c r="F91" s="21" t="str">
        <f t="shared" si="2"/>
        <v>rtdc.l.rtdc.4043:itc</v>
      </c>
      <c r="G91" s="8">
        <f t="shared" si="3"/>
        <v>42701.503888888888</v>
      </c>
    </row>
    <row r="92" spans="1:7" x14ac:dyDescent="0.25">
      <c r="A92" s="8">
        <v>42701.506458333337</v>
      </c>
      <c r="B92" s="21" t="s">
        <v>185</v>
      </c>
      <c r="C92" s="21" t="s">
        <v>500</v>
      </c>
      <c r="D92" s="21">
        <v>930000</v>
      </c>
      <c r="E92" s="21" t="s">
        <v>349</v>
      </c>
      <c r="F92" s="21" t="str">
        <f t="shared" si="2"/>
        <v>rtdc.l.rtdc.4009:itc</v>
      </c>
      <c r="G92" s="8">
        <f t="shared" si="3"/>
        <v>42701.506458333337</v>
      </c>
    </row>
    <row r="93" spans="1:7" x14ac:dyDescent="0.25">
      <c r="A93" s="8">
        <v>42701.512766203705</v>
      </c>
      <c r="B93" s="21" t="s">
        <v>353</v>
      </c>
      <c r="C93" s="21" t="s">
        <v>501</v>
      </c>
      <c r="D93" s="21">
        <v>1110000</v>
      </c>
      <c r="E93" s="21" t="s">
        <v>443</v>
      </c>
      <c r="F93" s="21" t="str">
        <f t="shared" si="2"/>
        <v>rtdc.l.rtdc.4025:itc</v>
      </c>
      <c r="G93" s="8">
        <f t="shared" si="3"/>
        <v>42701.512766203705</v>
      </c>
    </row>
    <row r="94" spans="1:7" x14ac:dyDescent="0.25">
      <c r="A94" s="8">
        <v>42701.514247685183</v>
      </c>
      <c r="B94" s="21" t="s">
        <v>221</v>
      </c>
      <c r="C94" s="21" t="s">
        <v>502</v>
      </c>
      <c r="D94" s="21">
        <v>1770000</v>
      </c>
      <c r="E94" s="21" t="s">
        <v>352</v>
      </c>
      <c r="F94" s="21" t="str">
        <f t="shared" si="2"/>
        <v>rtdc.l.rtdc.4012:itc</v>
      </c>
      <c r="G94" s="8">
        <f t="shared" si="3"/>
        <v>42701.514247685183</v>
      </c>
    </row>
    <row r="95" spans="1:7" x14ac:dyDescent="0.25">
      <c r="A95" s="8">
        <v>42701.518391203703</v>
      </c>
      <c r="B95" s="21" t="s">
        <v>399</v>
      </c>
      <c r="C95" s="21" t="s">
        <v>503</v>
      </c>
      <c r="D95" s="21">
        <v>2370000</v>
      </c>
      <c r="E95" s="21" t="s">
        <v>504</v>
      </c>
      <c r="F95" s="21" t="str">
        <f t="shared" si="2"/>
        <v>rtdc.l.rtdc.4016:itc</v>
      </c>
      <c r="G95" s="8">
        <f t="shared" si="3"/>
        <v>42701.518391203703</v>
      </c>
    </row>
    <row r="96" spans="1:7" x14ac:dyDescent="0.25">
      <c r="A96" s="8">
        <v>42701.525740740741</v>
      </c>
      <c r="B96" s="21" t="s">
        <v>230</v>
      </c>
      <c r="C96" s="21" t="s">
        <v>505</v>
      </c>
      <c r="D96" s="21">
        <v>2040000</v>
      </c>
      <c r="E96" s="21" t="s">
        <v>283</v>
      </c>
      <c r="F96" s="21" t="str">
        <f t="shared" si="2"/>
        <v>rtdc.l.rtdc.4037:itc</v>
      </c>
      <c r="G96" s="8">
        <f t="shared" si="3"/>
        <v>42701.525740740741</v>
      </c>
    </row>
    <row r="97" spans="1:7" x14ac:dyDescent="0.25">
      <c r="A97" s="8">
        <v>42701.525925925926</v>
      </c>
      <c r="B97" s="21" t="s">
        <v>344</v>
      </c>
      <c r="C97" s="21" t="s">
        <v>506</v>
      </c>
      <c r="D97" s="21">
        <v>1110000</v>
      </c>
      <c r="E97" s="21" t="s">
        <v>443</v>
      </c>
      <c r="F97" s="21" t="str">
        <f t="shared" si="2"/>
        <v>rtdc.l.rtdc.4026:itc</v>
      </c>
      <c r="G97" s="8">
        <f t="shared" si="3"/>
        <v>42701.525925925926</v>
      </c>
    </row>
    <row r="98" spans="1:7" x14ac:dyDescent="0.25">
      <c r="A98" s="8">
        <v>42701.526909722219</v>
      </c>
      <c r="B98" s="21" t="s">
        <v>259</v>
      </c>
      <c r="C98" s="21" t="s">
        <v>507</v>
      </c>
      <c r="D98" s="21">
        <v>880000</v>
      </c>
      <c r="E98" s="21" t="s">
        <v>350</v>
      </c>
      <c r="F98" s="21" t="str">
        <f t="shared" si="2"/>
        <v>rtdc.l.rtdc.4046:itc</v>
      </c>
      <c r="G98" s="8">
        <f t="shared" si="3"/>
        <v>42701.526909722219</v>
      </c>
    </row>
    <row r="99" spans="1:7" x14ac:dyDescent="0.25">
      <c r="A99" s="8">
        <v>42701.530081018522</v>
      </c>
      <c r="B99" s="21" t="s">
        <v>409</v>
      </c>
      <c r="C99" s="21" t="s">
        <v>508</v>
      </c>
      <c r="D99" s="21">
        <v>1140000</v>
      </c>
      <c r="E99" s="21" t="s">
        <v>499</v>
      </c>
      <c r="F99" s="21" t="str">
        <f t="shared" si="2"/>
        <v>rtdc.l.rtdc.4001:itc</v>
      </c>
      <c r="G99" s="8">
        <f t="shared" si="3"/>
        <v>42701.530081018522</v>
      </c>
    </row>
    <row r="100" spans="1:7" x14ac:dyDescent="0.25">
      <c r="A100" s="8">
        <v>42701.536087962966</v>
      </c>
      <c r="B100" s="21" t="s">
        <v>227</v>
      </c>
      <c r="C100" s="21" t="s">
        <v>509</v>
      </c>
      <c r="D100" s="21">
        <v>1280000</v>
      </c>
      <c r="E100" s="21" t="s">
        <v>351</v>
      </c>
      <c r="F100" s="21" t="str">
        <f t="shared" si="2"/>
        <v>rtdc.l.rtdc.4022:itc</v>
      </c>
      <c r="G100" s="8">
        <f t="shared" si="3"/>
        <v>42701.536087962966</v>
      </c>
    </row>
    <row r="101" spans="1:7" x14ac:dyDescent="0.25">
      <c r="A101" s="8">
        <v>42701.544374999998</v>
      </c>
      <c r="B101" s="21" t="s">
        <v>287</v>
      </c>
      <c r="C101" s="21" t="s">
        <v>510</v>
      </c>
      <c r="D101" s="21">
        <v>930000</v>
      </c>
      <c r="E101" s="21" t="s">
        <v>349</v>
      </c>
      <c r="F101" s="21" t="str">
        <f t="shared" si="2"/>
        <v>rtdc.l.rtdc.4010:itc</v>
      </c>
      <c r="G101" s="8">
        <f t="shared" si="3"/>
        <v>42701.544374999998</v>
      </c>
    </row>
    <row r="102" spans="1:7" x14ac:dyDescent="0.25">
      <c r="A102" s="8">
        <v>42701.5468287037</v>
      </c>
      <c r="B102" s="21" t="s">
        <v>213</v>
      </c>
      <c r="C102" s="21" t="s">
        <v>511</v>
      </c>
      <c r="D102" s="21">
        <v>1770000</v>
      </c>
      <c r="E102" s="21" t="s">
        <v>352</v>
      </c>
      <c r="F102" s="21" t="str">
        <f t="shared" si="2"/>
        <v>rtdc.l.rtdc.4011:itc</v>
      </c>
      <c r="G102" s="8">
        <f t="shared" si="3"/>
        <v>42701.5468287037</v>
      </c>
    </row>
    <row r="103" spans="1:7" x14ac:dyDescent="0.25">
      <c r="A103" s="8">
        <v>42701.55300925926</v>
      </c>
      <c r="B103" s="21" t="s">
        <v>413</v>
      </c>
      <c r="C103" s="21" t="s">
        <v>512</v>
      </c>
      <c r="D103" s="21">
        <v>2370000</v>
      </c>
      <c r="E103" s="21" t="s">
        <v>504</v>
      </c>
      <c r="F103" s="21" t="str">
        <f t="shared" si="2"/>
        <v>rtdc.l.rtdc.4015:itc</v>
      </c>
      <c r="G103" s="8">
        <f t="shared" si="3"/>
        <v>42701.55300925926</v>
      </c>
    </row>
    <row r="104" spans="1:7" x14ac:dyDescent="0.25">
      <c r="A104" s="8">
        <v>42701.554976851854</v>
      </c>
      <c r="B104" s="21" t="s">
        <v>353</v>
      </c>
      <c r="C104" s="21" t="s">
        <v>417</v>
      </c>
      <c r="D104" s="21">
        <v>1110000</v>
      </c>
      <c r="E104" s="21" t="s">
        <v>443</v>
      </c>
      <c r="F104" s="21" t="str">
        <f t="shared" si="2"/>
        <v>rtdc.l.rtdc.4025:itc</v>
      </c>
      <c r="G104" s="8">
        <f t="shared" si="3"/>
        <v>42701.554976851854</v>
      </c>
    </row>
    <row r="105" spans="1:7" x14ac:dyDescent="0.25">
      <c r="A105" s="8">
        <v>42701.558483796296</v>
      </c>
      <c r="B105" s="21" t="s">
        <v>229</v>
      </c>
      <c r="C105" s="21" t="s">
        <v>513</v>
      </c>
      <c r="D105" s="21">
        <v>2040000</v>
      </c>
      <c r="E105" s="21" t="s">
        <v>283</v>
      </c>
      <c r="F105" s="21" t="str">
        <f t="shared" si="2"/>
        <v>rtdc.l.rtdc.4038:itc</v>
      </c>
      <c r="G105" s="8">
        <f t="shared" si="3"/>
        <v>42701.558483796296</v>
      </c>
    </row>
    <row r="106" spans="1:7" x14ac:dyDescent="0.25">
      <c r="A106" s="8">
        <v>42701.567546296297</v>
      </c>
      <c r="B106" s="21" t="s">
        <v>258</v>
      </c>
      <c r="C106" s="21" t="s">
        <v>514</v>
      </c>
      <c r="D106" s="21">
        <v>880000</v>
      </c>
      <c r="E106" s="21" t="s">
        <v>350</v>
      </c>
      <c r="F106" s="21" t="str">
        <f t="shared" si="2"/>
        <v>rtdc.l.rtdc.4045:itc</v>
      </c>
      <c r="G106" s="8">
        <f t="shared" si="3"/>
        <v>42701.567546296297</v>
      </c>
    </row>
    <row r="107" spans="1:7" x14ac:dyDescent="0.25">
      <c r="A107" s="8">
        <v>42701.568032407406</v>
      </c>
      <c r="B107" s="21" t="s">
        <v>344</v>
      </c>
      <c r="C107" s="21" t="s">
        <v>515</v>
      </c>
      <c r="D107" s="21">
        <v>1110000</v>
      </c>
      <c r="E107" s="21" t="s">
        <v>443</v>
      </c>
      <c r="F107" s="21" t="str">
        <f t="shared" si="2"/>
        <v>rtdc.l.rtdc.4026:itc</v>
      </c>
      <c r="G107" s="8">
        <f t="shared" si="3"/>
        <v>42701.568032407406</v>
      </c>
    </row>
    <row r="108" spans="1:7" x14ac:dyDescent="0.25">
      <c r="A108" s="8">
        <v>42701.570231481484</v>
      </c>
      <c r="B108" s="21" t="s">
        <v>223</v>
      </c>
      <c r="C108" s="21" t="s">
        <v>516</v>
      </c>
      <c r="D108" s="21">
        <v>1140000</v>
      </c>
      <c r="E108" s="21" t="s">
        <v>499</v>
      </c>
      <c r="F108" s="21" t="str">
        <f t="shared" si="2"/>
        <v>rtdc.l.rtdc.4002:itc</v>
      </c>
      <c r="G108" s="8">
        <f t="shared" si="3"/>
        <v>42701.570231481484</v>
      </c>
    </row>
    <row r="109" spans="1:7" x14ac:dyDescent="0.25">
      <c r="A109" s="8">
        <v>42701.576944444445</v>
      </c>
      <c r="B109" s="21" t="s">
        <v>397</v>
      </c>
      <c r="C109" s="21" t="s">
        <v>517</v>
      </c>
      <c r="D109" s="21">
        <v>1280000</v>
      </c>
      <c r="E109" s="21" t="s">
        <v>351</v>
      </c>
      <c r="F109" s="21" t="str">
        <f t="shared" si="2"/>
        <v>rtdc.l.rtdc.4021:itc</v>
      </c>
      <c r="G109" s="8">
        <f t="shared" si="3"/>
        <v>42701.576944444445</v>
      </c>
    </row>
    <row r="110" spans="1:7" x14ac:dyDescent="0.25">
      <c r="A110" s="8">
        <v>42701.579375000001</v>
      </c>
      <c r="B110" s="21" t="s">
        <v>185</v>
      </c>
      <c r="C110" s="21" t="s">
        <v>518</v>
      </c>
      <c r="D110" s="21">
        <v>930000</v>
      </c>
      <c r="E110" s="21" t="s">
        <v>349</v>
      </c>
      <c r="F110" s="21" t="str">
        <f t="shared" si="2"/>
        <v>rtdc.l.rtdc.4009:itc</v>
      </c>
      <c r="G110" s="8">
        <f t="shared" si="3"/>
        <v>42701.579375000001</v>
      </c>
    </row>
    <row r="111" spans="1:7" x14ac:dyDescent="0.25">
      <c r="A111" s="8">
        <v>42701.585150462961</v>
      </c>
      <c r="B111" s="21" t="s">
        <v>221</v>
      </c>
      <c r="C111" s="21" t="s">
        <v>519</v>
      </c>
      <c r="D111" s="21">
        <v>1770000</v>
      </c>
      <c r="E111" s="21" t="s">
        <v>352</v>
      </c>
      <c r="F111" s="21" t="str">
        <f t="shared" si="2"/>
        <v>rtdc.l.rtdc.4012:itc</v>
      </c>
      <c r="G111" s="8">
        <f t="shared" si="3"/>
        <v>42701.585150462961</v>
      </c>
    </row>
    <row r="112" spans="1:7" x14ac:dyDescent="0.25">
      <c r="A112" s="8">
        <v>42701.589502314811</v>
      </c>
      <c r="B112" s="21" t="s">
        <v>353</v>
      </c>
      <c r="C112" s="21" t="s">
        <v>520</v>
      </c>
      <c r="D112" s="21">
        <v>1820000</v>
      </c>
      <c r="E112" s="21" t="s">
        <v>290</v>
      </c>
      <c r="F112" s="21" t="str">
        <f t="shared" si="2"/>
        <v>rtdc.l.rtdc.4025:itc</v>
      </c>
      <c r="G112" s="8">
        <f t="shared" si="3"/>
        <v>42701.589502314811</v>
      </c>
    </row>
    <row r="113" spans="1:7" x14ac:dyDescent="0.25">
      <c r="A113" s="8">
        <v>42701.59101851852</v>
      </c>
      <c r="B113" s="21" t="s">
        <v>399</v>
      </c>
      <c r="C113" s="21" t="s">
        <v>521</v>
      </c>
      <c r="D113" s="21">
        <v>2370000</v>
      </c>
      <c r="E113" s="21" t="s">
        <v>504</v>
      </c>
      <c r="F113" s="21" t="str">
        <f t="shared" si="2"/>
        <v>rtdc.l.rtdc.4016:itc</v>
      </c>
      <c r="G113" s="8">
        <f t="shared" si="3"/>
        <v>42701.59101851852</v>
      </c>
    </row>
    <row r="114" spans="1:7" x14ac:dyDescent="0.25">
      <c r="A114" s="8">
        <v>42701.599317129629</v>
      </c>
      <c r="B114" s="21" t="s">
        <v>259</v>
      </c>
      <c r="C114" s="21" t="s">
        <v>522</v>
      </c>
      <c r="D114" s="21">
        <v>880000</v>
      </c>
      <c r="E114" s="21" t="s">
        <v>350</v>
      </c>
      <c r="F114" s="21" t="str">
        <f t="shared" si="2"/>
        <v>rtdc.l.rtdc.4046:itc</v>
      </c>
      <c r="G114" s="8">
        <f t="shared" si="3"/>
        <v>42701.599317129629</v>
      </c>
    </row>
    <row r="115" spans="1:7" x14ac:dyDescent="0.25">
      <c r="A115" s="8">
        <v>42701.59957175926</v>
      </c>
      <c r="B115" s="21" t="s">
        <v>230</v>
      </c>
      <c r="C115" s="21" t="s">
        <v>523</v>
      </c>
      <c r="D115" s="21">
        <v>2040000</v>
      </c>
      <c r="E115" s="21" t="s">
        <v>283</v>
      </c>
      <c r="F115" s="21" t="str">
        <f t="shared" si="2"/>
        <v>rtdc.l.rtdc.4037:itc</v>
      </c>
      <c r="G115" s="8">
        <f t="shared" si="3"/>
        <v>42701.59957175926</v>
      </c>
    </row>
    <row r="116" spans="1:7" x14ac:dyDescent="0.25">
      <c r="A116" s="8">
        <v>42701.605694444443</v>
      </c>
      <c r="B116" s="21" t="s">
        <v>409</v>
      </c>
      <c r="C116" s="21" t="s">
        <v>524</v>
      </c>
      <c r="D116" s="21">
        <v>1140000</v>
      </c>
      <c r="E116" s="21" t="s">
        <v>499</v>
      </c>
      <c r="F116" s="21" t="str">
        <f t="shared" si="2"/>
        <v>rtdc.l.rtdc.4001:itc</v>
      </c>
      <c r="G116" s="8">
        <f t="shared" si="3"/>
        <v>42701.605694444443</v>
      </c>
    </row>
    <row r="117" spans="1:7" x14ac:dyDescent="0.25">
      <c r="A117" s="8">
        <v>42701.609201388892</v>
      </c>
      <c r="B117" s="21" t="s">
        <v>344</v>
      </c>
      <c r="C117" s="21" t="s">
        <v>525</v>
      </c>
      <c r="D117" s="21">
        <v>1820000</v>
      </c>
      <c r="E117" s="21" t="s">
        <v>290</v>
      </c>
      <c r="F117" s="21" t="str">
        <f t="shared" si="2"/>
        <v>rtdc.l.rtdc.4026:itc</v>
      </c>
      <c r="G117" s="8">
        <f t="shared" si="3"/>
        <v>42701.609201388892</v>
      </c>
    </row>
    <row r="118" spans="1:7" x14ac:dyDescent="0.25">
      <c r="A118" s="8">
        <v>42701.612187500003</v>
      </c>
      <c r="B118" s="21" t="s">
        <v>227</v>
      </c>
      <c r="C118" s="21" t="s">
        <v>526</v>
      </c>
      <c r="D118" s="21">
        <v>1280000</v>
      </c>
      <c r="E118" s="21" t="s">
        <v>351</v>
      </c>
      <c r="F118" s="21" t="str">
        <f t="shared" si="2"/>
        <v>rtdc.l.rtdc.4022:itc</v>
      </c>
      <c r="G118" s="8">
        <f t="shared" si="3"/>
        <v>42701.612187500003</v>
      </c>
    </row>
    <row r="119" spans="1:7" x14ac:dyDescent="0.25">
      <c r="A119" s="8">
        <v>42701.620081018518</v>
      </c>
      <c r="B119" s="21" t="s">
        <v>213</v>
      </c>
      <c r="C119" s="21" t="s">
        <v>527</v>
      </c>
      <c r="D119" s="21">
        <v>1770000</v>
      </c>
      <c r="E119" s="21" t="s">
        <v>352</v>
      </c>
      <c r="F119" s="21" t="str">
        <f t="shared" si="2"/>
        <v>rtdc.l.rtdc.4011:itc</v>
      </c>
      <c r="G119" s="8">
        <f t="shared" si="3"/>
        <v>42701.620081018518</v>
      </c>
    </row>
    <row r="120" spans="1:7" x14ac:dyDescent="0.25">
      <c r="A120" s="8">
        <v>42701.620358796295</v>
      </c>
      <c r="B120" s="21" t="s">
        <v>287</v>
      </c>
      <c r="C120" s="21" t="s">
        <v>528</v>
      </c>
      <c r="D120" s="21">
        <v>930000</v>
      </c>
      <c r="E120" s="21" t="s">
        <v>349</v>
      </c>
      <c r="F120" s="21" t="str">
        <f t="shared" si="2"/>
        <v>rtdc.l.rtdc.4010:itc</v>
      </c>
      <c r="G120" s="8">
        <f t="shared" si="3"/>
        <v>42701.620358796295</v>
      </c>
    </row>
    <row r="121" spans="1:7" x14ac:dyDescent="0.25">
      <c r="A121" s="8">
        <v>42701.622060185182</v>
      </c>
      <c r="B121" s="21" t="s">
        <v>413</v>
      </c>
      <c r="C121" s="21" t="s">
        <v>529</v>
      </c>
      <c r="D121" s="21">
        <v>2370000</v>
      </c>
      <c r="E121" s="21" t="s">
        <v>504</v>
      </c>
      <c r="F121" s="21" t="str">
        <f t="shared" si="2"/>
        <v>rtdc.l.rtdc.4015:itc</v>
      </c>
      <c r="G121" s="8">
        <f t="shared" si="3"/>
        <v>42701.622060185182</v>
      </c>
    </row>
    <row r="122" spans="1:7" x14ac:dyDescent="0.25">
      <c r="A122" s="8">
        <v>42701.623495370368</v>
      </c>
      <c r="B122" s="26" t="s">
        <v>353</v>
      </c>
      <c r="C122" s="21" t="s">
        <v>530</v>
      </c>
      <c r="D122" s="21">
        <v>1820000</v>
      </c>
      <c r="E122" s="21" t="s">
        <v>290</v>
      </c>
      <c r="F122" s="21" t="str">
        <f t="shared" si="2"/>
        <v>rtdc.l.rtdc.4025:itc</v>
      </c>
      <c r="G122" s="8">
        <f t="shared" si="3"/>
        <v>42701.623495370368</v>
      </c>
    </row>
    <row r="123" spans="1:7" x14ac:dyDescent="0.25">
      <c r="A123" s="8">
        <v>42701.632592592592</v>
      </c>
      <c r="B123" s="21" t="s">
        <v>229</v>
      </c>
      <c r="C123" s="21" t="s">
        <v>531</v>
      </c>
      <c r="D123" s="21">
        <v>2040000</v>
      </c>
      <c r="E123" s="21" t="s">
        <v>283</v>
      </c>
      <c r="F123" s="21" t="str">
        <f t="shared" si="2"/>
        <v>rtdc.l.rtdc.4038:itc</v>
      </c>
      <c r="G123" s="8">
        <f t="shared" si="3"/>
        <v>42701.632592592592</v>
      </c>
    </row>
    <row r="124" spans="1:7" x14ac:dyDescent="0.25">
      <c r="A124" s="8">
        <v>42701.640659722223</v>
      </c>
      <c r="B124" s="21" t="s">
        <v>258</v>
      </c>
      <c r="C124" s="21" t="s">
        <v>532</v>
      </c>
      <c r="D124" s="21">
        <v>880000</v>
      </c>
      <c r="E124" s="21" t="s">
        <v>350</v>
      </c>
      <c r="F124" s="21" t="str">
        <f t="shared" si="2"/>
        <v>rtdc.l.rtdc.4045:itc</v>
      </c>
      <c r="G124" s="8">
        <f t="shared" si="3"/>
        <v>42701.640659722223</v>
      </c>
    </row>
    <row r="125" spans="1:7" x14ac:dyDescent="0.25">
      <c r="A125" s="8">
        <v>42701.642025462963</v>
      </c>
      <c r="B125" s="21" t="s">
        <v>223</v>
      </c>
      <c r="C125" s="21" t="s">
        <v>533</v>
      </c>
      <c r="D125" s="21">
        <v>1140000</v>
      </c>
      <c r="E125" s="21" t="s">
        <v>499</v>
      </c>
      <c r="F125" s="21" t="str">
        <f t="shared" si="2"/>
        <v>rtdc.l.rtdc.4002:itc</v>
      </c>
      <c r="G125" s="8">
        <f t="shared" si="3"/>
        <v>42701.642025462963</v>
      </c>
    </row>
    <row r="126" spans="1:7" x14ac:dyDescent="0.25">
      <c r="A126" s="8">
        <v>42701.643206018518</v>
      </c>
      <c r="B126" s="21" t="s">
        <v>397</v>
      </c>
      <c r="C126" s="21" t="s">
        <v>418</v>
      </c>
      <c r="D126" s="21">
        <v>1280000</v>
      </c>
      <c r="E126" s="21" t="s">
        <v>351</v>
      </c>
      <c r="F126" s="21" t="str">
        <f t="shared" si="2"/>
        <v>rtdc.l.rtdc.4021:itc</v>
      </c>
      <c r="G126" s="8">
        <f t="shared" si="3"/>
        <v>42701.643206018518</v>
      </c>
    </row>
    <row r="127" spans="1:7" x14ac:dyDescent="0.25">
      <c r="A127" s="8">
        <v>42701.650358796294</v>
      </c>
      <c r="B127" s="21" t="s">
        <v>344</v>
      </c>
      <c r="C127" s="21" t="s">
        <v>419</v>
      </c>
      <c r="D127" s="21">
        <v>1820000</v>
      </c>
      <c r="E127" s="21" t="s">
        <v>290</v>
      </c>
      <c r="F127" s="21" t="str">
        <f t="shared" si="2"/>
        <v>rtdc.l.rtdc.4026:itc</v>
      </c>
      <c r="G127" s="8">
        <f t="shared" si="3"/>
        <v>42701.650358796294</v>
      </c>
    </row>
    <row r="128" spans="1:7" x14ac:dyDescent="0.25">
      <c r="A128" s="8">
        <v>42701.652858796297</v>
      </c>
      <c r="B128" s="21" t="s">
        <v>185</v>
      </c>
      <c r="C128" s="21" t="s">
        <v>534</v>
      </c>
      <c r="D128" s="21">
        <v>930000</v>
      </c>
      <c r="E128" s="21" t="s">
        <v>349</v>
      </c>
      <c r="F128" s="21" t="str">
        <f t="shared" si="2"/>
        <v>rtdc.l.rtdc.4009:itc</v>
      </c>
      <c r="G128" s="8">
        <f t="shared" si="3"/>
        <v>42701.652858796297</v>
      </c>
    </row>
    <row r="129" spans="1:7" x14ac:dyDescent="0.25">
      <c r="A129" s="8">
        <v>42701.65761574074</v>
      </c>
      <c r="B129" s="21" t="s">
        <v>221</v>
      </c>
      <c r="C129" s="21" t="s">
        <v>535</v>
      </c>
      <c r="D129" s="21">
        <v>1770000</v>
      </c>
      <c r="E129" s="21" t="s">
        <v>352</v>
      </c>
      <c r="F129" s="21" t="str">
        <f t="shared" si="2"/>
        <v>rtdc.l.rtdc.4012:itc</v>
      </c>
      <c r="G129" s="8">
        <f t="shared" si="3"/>
        <v>42701.65761574074</v>
      </c>
    </row>
    <row r="130" spans="1:7" x14ac:dyDescent="0.25">
      <c r="A130" s="8">
        <v>42701.663634259261</v>
      </c>
      <c r="B130" s="21" t="s">
        <v>399</v>
      </c>
      <c r="C130" s="21" t="s">
        <v>536</v>
      </c>
      <c r="D130" s="21">
        <v>2370000</v>
      </c>
      <c r="E130" s="21" t="s">
        <v>504</v>
      </c>
      <c r="F130" s="21" t="str">
        <f t="shared" ref="F130:F193" si="4">B130</f>
        <v>rtdc.l.rtdc.4016:itc</v>
      </c>
      <c r="G130" s="8">
        <f t="shared" ref="G130:G193" si="5">A130</f>
        <v>42701.663634259261</v>
      </c>
    </row>
    <row r="131" spans="1:7" x14ac:dyDescent="0.25">
      <c r="A131" s="8">
        <v>42701.66678240741</v>
      </c>
      <c r="B131" s="21" t="s">
        <v>353</v>
      </c>
      <c r="C131" s="21" t="s">
        <v>537</v>
      </c>
      <c r="D131" s="21">
        <v>1820000</v>
      </c>
      <c r="E131" s="21" t="s">
        <v>290</v>
      </c>
      <c r="F131" s="21" t="str">
        <f t="shared" si="4"/>
        <v>rtdc.l.rtdc.4025:itc</v>
      </c>
      <c r="G131" s="8">
        <f t="shared" si="5"/>
        <v>42701.66678240741</v>
      </c>
    </row>
    <row r="132" spans="1:7" x14ac:dyDescent="0.25">
      <c r="A132" s="8">
        <v>42701.672106481485</v>
      </c>
      <c r="B132" s="21" t="s">
        <v>230</v>
      </c>
      <c r="C132" s="21" t="s">
        <v>538</v>
      </c>
      <c r="D132" s="21">
        <v>2040000</v>
      </c>
      <c r="E132" s="21" t="s">
        <v>283</v>
      </c>
      <c r="F132" s="21" t="str">
        <f t="shared" si="4"/>
        <v>rtdc.l.rtdc.4037:itc</v>
      </c>
      <c r="G132" s="8">
        <f t="shared" si="5"/>
        <v>42701.672106481485</v>
      </c>
    </row>
    <row r="133" spans="1:7" x14ac:dyDescent="0.25">
      <c r="A133" s="8">
        <v>42701.672581018516</v>
      </c>
      <c r="B133" s="21" t="s">
        <v>259</v>
      </c>
      <c r="C133" s="21" t="s">
        <v>539</v>
      </c>
      <c r="D133" s="21">
        <v>880000</v>
      </c>
      <c r="E133" s="21" t="s">
        <v>350</v>
      </c>
      <c r="F133" s="21" t="str">
        <f t="shared" si="4"/>
        <v>rtdc.l.rtdc.4046:itc</v>
      </c>
      <c r="G133" s="8">
        <f t="shared" si="5"/>
        <v>42701.672581018516</v>
      </c>
    </row>
    <row r="134" spans="1:7" x14ac:dyDescent="0.25">
      <c r="A134" s="8">
        <v>42701.675115740742</v>
      </c>
      <c r="B134" s="21" t="s">
        <v>409</v>
      </c>
      <c r="C134" s="21" t="s">
        <v>540</v>
      </c>
      <c r="D134" s="21">
        <v>1140000</v>
      </c>
      <c r="E134" s="21" t="s">
        <v>499</v>
      </c>
      <c r="F134" s="21" t="str">
        <f t="shared" si="4"/>
        <v>rtdc.l.rtdc.4001:itc</v>
      </c>
      <c r="G134" s="8">
        <f t="shared" si="5"/>
        <v>42701.675115740742</v>
      </c>
    </row>
    <row r="135" spans="1:7" x14ac:dyDescent="0.25">
      <c r="A135" s="8">
        <v>42701.68037037037</v>
      </c>
      <c r="B135" s="21" t="s">
        <v>186</v>
      </c>
      <c r="C135" s="21" t="s">
        <v>541</v>
      </c>
      <c r="D135" s="21">
        <v>2230000</v>
      </c>
      <c r="E135" s="21" t="s">
        <v>542</v>
      </c>
      <c r="F135" s="21" t="str">
        <f t="shared" si="4"/>
        <v>rtdc.l.rtdc.4044:itc</v>
      </c>
      <c r="G135" s="8">
        <f t="shared" si="5"/>
        <v>42701.68037037037</v>
      </c>
    </row>
    <row r="136" spans="1:7" x14ac:dyDescent="0.25">
      <c r="A136" s="8">
        <v>42701.682141203702</v>
      </c>
      <c r="B136" s="21" t="s">
        <v>259</v>
      </c>
      <c r="C136" s="21" t="s">
        <v>539</v>
      </c>
      <c r="D136" s="21">
        <v>880000</v>
      </c>
      <c r="E136" s="21" t="s">
        <v>350</v>
      </c>
      <c r="F136" s="21" t="str">
        <f t="shared" si="4"/>
        <v>rtdc.l.rtdc.4046:itc</v>
      </c>
      <c r="G136" s="8">
        <f t="shared" si="5"/>
        <v>42701.682141203702</v>
      </c>
    </row>
    <row r="137" spans="1:7" x14ac:dyDescent="0.25">
      <c r="A137" s="8">
        <v>42701.682187500002</v>
      </c>
      <c r="B137" s="21" t="s">
        <v>226</v>
      </c>
      <c r="C137" s="21" t="s">
        <v>541</v>
      </c>
      <c r="D137" s="21">
        <v>2230000</v>
      </c>
      <c r="E137" s="21" t="s">
        <v>542</v>
      </c>
      <c r="F137" s="21" t="str">
        <f t="shared" si="4"/>
        <v>rtdc.l.rtdc.4043:itc</v>
      </c>
      <c r="G137" s="8">
        <f t="shared" si="5"/>
        <v>42701.682187500002</v>
      </c>
    </row>
    <row r="138" spans="1:7" x14ac:dyDescent="0.25">
      <c r="A138" s="8">
        <v>42701.68310185185</v>
      </c>
      <c r="B138" s="21" t="s">
        <v>227</v>
      </c>
      <c r="C138" s="21" t="s">
        <v>543</v>
      </c>
      <c r="D138" s="21">
        <v>1280000</v>
      </c>
      <c r="E138" s="21" t="s">
        <v>351</v>
      </c>
      <c r="F138" s="21" t="str">
        <f t="shared" si="4"/>
        <v>rtdc.l.rtdc.4022:itc</v>
      </c>
      <c r="G138" s="8">
        <f t="shared" si="5"/>
        <v>42701.68310185185</v>
      </c>
    </row>
    <row r="139" spans="1:7" x14ac:dyDescent="0.25">
      <c r="A139" s="8">
        <v>42701.690381944441</v>
      </c>
      <c r="B139" s="21" t="s">
        <v>287</v>
      </c>
      <c r="C139" s="21" t="s">
        <v>544</v>
      </c>
      <c r="D139" s="21">
        <v>930000</v>
      </c>
      <c r="E139" s="21" t="s">
        <v>349</v>
      </c>
      <c r="F139" s="21" t="str">
        <f t="shared" si="4"/>
        <v>rtdc.l.rtdc.4010:itc</v>
      </c>
      <c r="G139" s="8">
        <f t="shared" si="5"/>
        <v>42701.690381944441</v>
      </c>
    </row>
    <row r="140" spans="1:7" x14ac:dyDescent="0.25">
      <c r="A140" s="8">
        <v>42701.692164351851</v>
      </c>
      <c r="B140" s="21" t="s">
        <v>213</v>
      </c>
      <c r="C140" s="21" t="s">
        <v>545</v>
      </c>
      <c r="D140" s="21">
        <v>1770000</v>
      </c>
      <c r="E140" s="21" t="s">
        <v>352</v>
      </c>
      <c r="F140" s="21" t="str">
        <f t="shared" si="4"/>
        <v>rtdc.l.rtdc.4011:itc</v>
      </c>
      <c r="G140" s="8">
        <f t="shared" si="5"/>
        <v>42701.692164351851</v>
      </c>
    </row>
    <row r="141" spans="1:7" x14ac:dyDescent="0.25">
      <c r="A141" s="8">
        <v>42701.692511574074</v>
      </c>
      <c r="B141" s="21" t="s">
        <v>344</v>
      </c>
      <c r="C141" s="21" t="s">
        <v>420</v>
      </c>
      <c r="D141" s="21">
        <v>1820000</v>
      </c>
      <c r="E141" s="21" t="s">
        <v>290</v>
      </c>
      <c r="F141" s="21" t="str">
        <f t="shared" si="4"/>
        <v>rtdc.l.rtdc.4026:itc</v>
      </c>
      <c r="G141" s="8">
        <f t="shared" si="5"/>
        <v>42701.692511574074</v>
      </c>
    </row>
    <row r="142" spans="1:7" x14ac:dyDescent="0.25">
      <c r="A142" s="8">
        <v>42701.69866898148</v>
      </c>
      <c r="B142" s="21" t="s">
        <v>413</v>
      </c>
      <c r="C142" s="21" t="s">
        <v>421</v>
      </c>
      <c r="D142" s="21">
        <v>2370000</v>
      </c>
      <c r="E142" s="21" t="s">
        <v>504</v>
      </c>
      <c r="F142" s="21" t="str">
        <f t="shared" si="4"/>
        <v>rtdc.l.rtdc.4015:itc</v>
      </c>
      <c r="G142" s="8">
        <f t="shared" si="5"/>
        <v>42701.69866898148</v>
      </c>
    </row>
    <row r="143" spans="1:7" x14ac:dyDescent="0.25">
      <c r="A143" s="8">
        <v>42701.705497685187</v>
      </c>
      <c r="B143" s="21" t="s">
        <v>229</v>
      </c>
      <c r="C143" s="21" t="s">
        <v>546</v>
      </c>
      <c r="D143" s="21">
        <v>2040000</v>
      </c>
      <c r="E143" s="21" t="s">
        <v>283</v>
      </c>
      <c r="F143" s="21" t="str">
        <f t="shared" si="4"/>
        <v>rtdc.l.rtdc.4038:itc</v>
      </c>
      <c r="G143" s="8">
        <f t="shared" si="5"/>
        <v>42701.705497685187</v>
      </c>
    </row>
    <row r="144" spans="1:7" x14ac:dyDescent="0.25">
      <c r="A144" s="8">
        <v>42701.707592592589</v>
      </c>
      <c r="B144" s="21" t="s">
        <v>353</v>
      </c>
      <c r="C144" s="21" t="s">
        <v>547</v>
      </c>
      <c r="D144" s="21">
        <v>1820000</v>
      </c>
      <c r="E144" s="21" t="s">
        <v>290</v>
      </c>
      <c r="F144" s="21" t="str">
        <f t="shared" si="4"/>
        <v>rtdc.l.rtdc.4025:itc</v>
      </c>
      <c r="G144" s="8">
        <f t="shared" si="5"/>
        <v>42701.707592592589</v>
      </c>
    </row>
    <row r="145" spans="1:7" x14ac:dyDescent="0.25">
      <c r="A145" s="8">
        <v>42701.71435185185</v>
      </c>
      <c r="B145" s="21" t="s">
        <v>258</v>
      </c>
      <c r="C145" s="21" t="s">
        <v>548</v>
      </c>
      <c r="D145" s="21">
        <v>880000</v>
      </c>
      <c r="E145" s="21" t="s">
        <v>350</v>
      </c>
      <c r="F145" s="21" t="str">
        <f t="shared" si="4"/>
        <v>rtdc.l.rtdc.4045:itc</v>
      </c>
      <c r="G145" s="8">
        <f t="shared" si="5"/>
        <v>42701.71435185185</v>
      </c>
    </row>
    <row r="146" spans="1:7" x14ac:dyDescent="0.25">
      <c r="A146" s="8">
        <v>42701.715590277781</v>
      </c>
      <c r="B146" s="21" t="s">
        <v>397</v>
      </c>
      <c r="C146" s="21" t="s">
        <v>549</v>
      </c>
      <c r="D146" s="21">
        <v>1280000</v>
      </c>
      <c r="E146" s="21" t="s">
        <v>351</v>
      </c>
      <c r="F146" s="21" t="str">
        <f t="shared" si="4"/>
        <v>rtdc.l.rtdc.4021:itc</v>
      </c>
      <c r="G146" s="8">
        <f t="shared" si="5"/>
        <v>42701.715590277781</v>
      </c>
    </row>
    <row r="147" spans="1:7" x14ac:dyDescent="0.25">
      <c r="A147" s="8">
        <v>42701.716620370367</v>
      </c>
      <c r="B147" s="21" t="s">
        <v>223</v>
      </c>
      <c r="C147" s="21" t="s">
        <v>550</v>
      </c>
      <c r="D147" s="21">
        <v>1180000</v>
      </c>
      <c r="E147" s="21" t="s">
        <v>551</v>
      </c>
      <c r="F147" s="21" t="str">
        <f t="shared" si="4"/>
        <v>rtdc.l.rtdc.4002:itc</v>
      </c>
      <c r="G147" s="8">
        <f t="shared" si="5"/>
        <v>42701.716620370367</v>
      </c>
    </row>
    <row r="148" spans="1:7" x14ac:dyDescent="0.25">
      <c r="A148" s="8">
        <v>42701.727141203701</v>
      </c>
      <c r="B148" s="21" t="s">
        <v>216</v>
      </c>
      <c r="C148" s="21" t="s">
        <v>552</v>
      </c>
      <c r="D148" s="21">
        <v>2230000</v>
      </c>
      <c r="E148" s="21" t="s">
        <v>542</v>
      </c>
      <c r="F148" s="21" t="str">
        <f t="shared" si="4"/>
        <v>rtdc.l.rtdc.4040:itc</v>
      </c>
      <c r="G148" s="8">
        <f t="shared" si="5"/>
        <v>42701.727141203701</v>
      </c>
    </row>
    <row r="149" spans="1:7" x14ac:dyDescent="0.25">
      <c r="A149" s="8">
        <v>42701.72855324074</v>
      </c>
      <c r="B149" s="21" t="s">
        <v>185</v>
      </c>
      <c r="C149" s="21" t="s">
        <v>553</v>
      </c>
      <c r="D149" s="21">
        <v>1140000</v>
      </c>
      <c r="E149" s="21" t="s">
        <v>499</v>
      </c>
      <c r="F149" s="21" t="str">
        <f t="shared" si="4"/>
        <v>rtdc.l.rtdc.4009:itc</v>
      </c>
      <c r="G149" s="8">
        <f t="shared" si="5"/>
        <v>42701.72855324074</v>
      </c>
    </row>
    <row r="150" spans="1:7" x14ac:dyDescent="0.25">
      <c r="A150" s="8">
        <v>42701.730451388888</v>
      </c>
      <c r="B150" s="21" t="s">
        <v>221</v>
      </c>
      <c r="C150" s="21" t="s">
        <v>554</v>
      </c>
      <c r="D150" s="21">
        <v>1770000</v>
      </c>
      <c r="E150" s="21" t="s">
        <v>352</v>
      </c>
      <c r="F150" s="21" t="str">
        <f t="shared" si="4"/>
        <v>rtdc.l.rtdc.4012:itc</v>
      </c>
      <c r="G150" s="8">
        <f t="shared" si="5"/>
        <v>42701.730451388888</v>
      </c>
    </row>
    <row r="151" spans="1:7" x14ac:dyDescent="0.25">
      <c r="A151" s="8">
        <v>42701.734490740739</v>
      </c>
      <c r="B151" s="21" t="s">
        <v>344</v>
      </c>
      <c r="C151" s="21" t="s">
        <v>422</v>
      </c>
      <c r="D151" s="21">
        <v>1820000</v>
      </c>
      <c r="E151" s="21" t="s">
        <v>290</v>
      </c>
      <c r="F151" s="21" t="str">
        <f t="shared" si="4"/>
        <v>rtdc.l.rtdc.4026:itc</v>
      </c>
      <c r="G151" s="8">
        <f t="shared" si="5"/>
        <v>42701.734490740739</v>
      </c>
    </row>
    <row r="152" spans="1:7" x14ac:dyDescent="0.25">
      <c r="A152" s="8">
        <v>42701.737222222226</v>
      </c>
      <c r="B152" s="21" t="s">
        <v>399</v>
      </c>
      <c r="C152" s="21" t="s">
        <v>555</v>
      </c>
      <c r="D152" s="21">
        <v>1290000</v>
      </c>
      <c r="E152" s="21" t="s">
        <v>556</v>
      </c>
      <c r="F152" s="21" t="str">
        <f t="shared" si="4"/>
        <v>rtdc.l.rtdc.4016:itc</v>
      </c>
      <c r="G152" s="8">
        <f t="shared" si="5"/>
        <v>42701.737222222226</v>
      </c>
    </row>
    <row r="153" spans="1:7" x14ac:dyDescent="0.25">
      <c r="A153" s="8">
        <v>42701.741435185184</v>
      </c>
      <c r="B153" s="21" t="s">
        <v>230</v>
      </c>
      <c r="C153" s="21" t="s">
        <v>557</v>
      </c>
      <c r="D153" s="21">
        <v>2040000</v>
      </c>
      <c r="E153" s="21" t="s">
        <v>283</v>
      </c>
      <c r="F153" s="21" t="str">
        <f t="shared" si="4"/>
        <v>rtdc.l.rtdc.4037:itc</v>
      </c>
      <c r="G153" s="8">
        <f t="shared" si="5"/>
        <v>42701.741435185184</v>
      </c>
    </row>
    <row r="154" spans="1:7" x14ac:dyDescent="0.25">
      <c r="A154" s="8">
        <v>42701.745752314811</v>
      </c>
      <c r="B154" s="21" t="s">
        <v>259</v>
      </c>
      <c r="C154" s="21" t="s">
        <v>558</v>
      </c>
      <c r="D154" s="21">
        <v>2370000</v>
      </c>
      <c r="E154" s="21" t="s">
        <v>504</v>
      </c>
      <c r="F154" s="21" t="str">
        <f t="shared" si="4"/>
        <v>rtdc.l.rtdc.4046:itc</v>
      </c>
      <c r="G154" s="8">
        <f t="shared" si="5"/>
        <v>42701.745752314811</v>
      </c>
    </row>
    <row r="155" spans="1:7" x14ac:dyDescent="0.25">
      <c r="A155" s="8">
        <v>42701.749467592592</v>
      </c>
      <c r="B155" s="21" t="s">
        <v>353</v>
      </c>
      <c r="C155" s="21" t="s">
        <v>559</v>
      </c>
      <c r="D155" s="21">
        <v>1820000</v>
      </c>
      <c r="E155" s="21" t="s">
        <v>290</v>
      </c>
      <c r="F155" s="21" t="str">
        <f t="shared" si="4"/>
        <v>rtdc.l.rtdc.4025:itc</v>
      </c>
      <c r="G155" s="8">
        <f t="shared" si="5"/>
        <v>42701.749467592592</v>
      </c>
    </row>
    <row r="156" spans="1:7" x14ac:dyDescent="0.25">
      <c r="A156" s="8">
        <v>42701.75273148148</v>
      </c>
      <c r="B156" s="21" t="s">
        <v>211</v>
      </c>
      <c r="C156" s="21" t="s">
        <v>423</v>
      </c>
      <c r="D156" s="21">
        <v>2560000</v>
      </c>
      <c r="E156" s="21" t="s">
        <v>560</v>
      </c>
      <c r="F156" s="21" t="str">
        <f t="shared" si="4"/>
        <v>rtdc.l.rtdc.4030:itc</v>
      </c>
      <c r="G156" s="8">
        <f t="shared" si="5"/>
        <v>42701.75273148148</v>
      </c>
    </row>
    <row r="157" spans="1:7" x14ac:dyDescent="0.25">
      <c r="A157" s="8">
        <v>42701.752951388888</v>
      </c>
      <c r="B157" s="21" t="s">
        <v>409</v>
      </c>
      <c r="C157" s="21" t="s">
        <v>561</v>
      </c>
      <c r="D157" s="21">
        <v>1180000</v>
      </c>
      <c r="E157" s="21" t="s">
        <v>551</v>
      </c>
      <c r="F157" s="21" t="str">
        <f t="shared" si="4"/>
        <v>rtdc.l.rtdc.4001:itc</v>
      </c>
      <c r="G157" s="8">
        <f t="shared" si="5"/>
        <v>42701.752951388888</v>
      </c>
    </row>
    <row r="158" spans="1:7" x14ac:dyDescent="0.25">
      <c r="A158" s="8">
        <v>42701.754756944443</v>
      </c>
      <c r="B158" s="21" t="s">
        <v>157</v>
      </c>
      <c r="C158" s="21" t="s">
        <v>424</v>
      </c>
      <c r="D158" s="21">
        <v>2540000</v>
      </c>
      <c r="E158" s="21" t="s">
        <v>306</v>
      </c>
      <c r="F158" s="21" t="str">
        <f t="shared" si="4"/>
        <v>rtdc.l.rtdc.4052:itc</v>
      </c>
      <c r="G158" s="8">
        <f t="shared" si="5"/>
        <v>42701.754756944443</v>
      </c>
    </row>
    <row r="159" spans="1:7" x14ac:dyDescent="0.25">
      <c r="A159" s="8">
        <v>42701.759467592594</v>
      </c>
      <c r="B159" s="21" t="s">
        <v>227</v>
      </c>
      <c r="C159" s="21" t="s">
        <v>562</v>
      </c>
      <c r="D159" s="21">
        <v>2550000</v>
      </c>
      <c r="E159" s="21" t="s">
        <v>224</v>
      </c>
      <c r="F159" s="21" t="str">
        <f t="shared" si="4"/>
        <v>rtdc.l.rtdc.4022:itc</v>
      </c>
      <c r="G159" s="8">
        <f t="shared" si="5"/>
        <v>42701.759467592594</v>
      </c>
    </row>
    <row r="160" spans="1:7" x14ac:dyDescent="0.25">
      <c r="A160" s="8">
        <v>42701.759942129633</v>
      </c>
      <c r="B160" s="21" t="s">
        <v>287</v>
      </c>
      <c r="C160" s="21" t="s">
        <v>563</v>
      </c>
      <c r="D160" s="21">
        <v>1140000</v>
      </c>
      <c r="E160" s="21" t="s">
        <v>499</v>
      </c>
      <c r="F160" s="21" t="str">
        <f t="shared" si="4"/>
        <v>rtdc.l.rtdc.4010:itc</v>
      </c>
      <c r="G160" s="8">
        <f t="shared" si="5"/>
        <v>42701.759942129633</v>
      </c>
    </row>
    <row r="161" spans="1:7" x14ac:dyDescent="0.25">
      <c r="A161" s="8">
        <v>42701.768680555557</v>
      </c>
      <c r="B161" s="21" t="s">
        <v>213</v>
      </c>
      <c r="C161" s="21" t="s">
        <v>564</v>
      </c>
      <c r="D161" s="21">
        <v>1800000</v>
      </c>
      <c r="E161" s="21" t="s">
        <v>307</v>
      </c>
      <c r="F161" s="21" t="str">
        <f t="shared" si="4"/>
        <v>rtdc.l.rtdc.4011:itc</v>
      </c>
      <c r="G161" s="8">
        <f t="shared" si="5"/>
        <v>42701.768680555557</v>
      </c>
    </row>
    <row r="162" spans="1:7" x14ac:dyDescent="0.25">
      <c r="A162" s="8">
        <v>42701.771666666667</v>
      </c>
      <c r="B162" s="21" t="s">
        <v>413</v>
      </c>
      <c r="C162" s="21" t="s">
        <v>565</v>
      </c>
      <c r="D162" s="21">
        <v>1290000</v>
      </c>
      <c r="E162" s="21" t="s">
        <v>556</v>
      </c>
      <c r="F162" s="21" t="str">
        <f t="shared" si="4"/>
        <v>rtdc.l.rtdc.4015:itc</v>
      </c>
      <c r="G162" s="8">
        <f t="shared" si="5"/>
        <v>42701.771666666667</v>
      </c>
    </row>
    <row r="163" spans="1:7" x14ac:dyDescent="0.25">
      <c r="A163" s="8">
        <v>42701.775717592594</v>
      </c>
      <c r="B163" s="21" t="s">
        <v>344</v>
      </c>
      <c r="C163" s="21" t="s">
        <v>425</v>
      </c>
      <c r="D163" s="21">
        <v>1820000</v>
      </c>
      <c r="E163" s="21" t="s">
        <v>290</v>
      </c>
      <c r="F163" s="21" t="str">
        <f t="shared" si="4"/>
        <v>rtdc.l.rtdc.4026:itc</v>
      </c>
      <c r="G163" s="8">
        <f t="shared" si="5"/>
        <v>42701.775717592594</v>
      </c>
    </row>
    <row r="164" spans="1:7" x14ac:dyDescent="0.25">
      <c r="A164" s="8">
        <v>42701.78193287037</v>
      </c>
      <c r="B164" s="21" t="s">
        <v>258</v>
      </c>
      <c r="C164" s="21" t="s">
        <v>566</v>
      </c>
      <c r="D164" s="21">
        <v>2370000</v>
      </c>
      <c r="E164" s="21" t="s">
        <v>504</v>
      </c>
      <c r="F164" s="21" t="str">
        <f t="shared" si="4"/>
        <v>rtdc.l.rtdc.4045:itc</v>
      </c>
      <c r="G164" s="8">
        <f t="shared" si="5"/>
        <v>42701.78193287037</v>
      </c>
    </row>
    <row r="165" spans="1:7" x14ac:dyDescent="0.25">
      <c r="A165" s="8">
        <v>42701.784143518518</v>
      </c>
      <c r="B165" s="21" t="s">
        <v>156</v>
      </c>
      <c r="C165" s="21" t="s">
        <v>567</v>
      </c>
      <c r="D165" s="21">
        <v>2540000</v>
      </c>
      <c r="E165" s="21" t="s">
        <v>306</v>
      </c>
      <c r="F165" s="21" t="str">
        <f t="shared" si="4"/>
        <v>rtdc.l.rtdc.4051:itc</v>
      </c>
      <c r="G165" s="8">
        <f t="shared" si="5"/>
        <v>42701.784143518518</v>
      </c>
    </row>
    <row r="166" spans="1:7" x14ac:dyDescent="0.25">
      <c r="A166" s="8">
        <v>42701.79005787037</v>
      </c>
      <c r="B166" s="21" t="s">
        <v>223</v>
      </c>
      <c r="C166" s="21" t="s">
        <v>568</v>
      </c>
      <c r="D166" s="21">
        <v>1180000</v>
      </c>
      <c r="E166" s="21" t="s">
        <v>551</v>
      </c>
      <c r="F166" s="21" t="str">
        <f t="shared" si="4"/>
        <v>rtdc.l.rtdc.4002:itc</v>
      </c>
      <c r="G166" s="8">
        <f t="shared" si="5"/>
        <v>42701.79005787037</v>
      </c>
    </row>
    <row r="167" spans="1:7" x14ac:dyDescent="0.25">
      <c r="A167" s="8">
        <v>42701.790902777779</v>
      </c>
      <c r="B167" s="21" t="s">
        <v>353</v>
      </c>
      <c r="C167" s="21" t="s">
        <v>569</v>
      </c>
      <c r="D167" s="21">
        <v>1820000</v>
      </c>
      <c r="E167" s="21" t="s">
        <v>290</v>
      </c>
      <c r="F167" s="21" t="str">
        <f t="shared" si="4"/>
        <v>rtdc.l.rtdc.4025:itc</v>
      </c>
      <c r="G167" s="8">
        <f t="shared" si="5"/>
        <v>42701.790902777779</v>
      </c>
    </row>
    <row r="168" spans="1:7" x14ac:dyDescent="0.25">
      <c r="A168" s="8">
        <v>42701.791446759256</v>
      </c>
      <c r="B168" s="21" t="s">
        <v>397</v>
      </c>
      <c r="C168" s="21" t="s">
        <v>570</v>
      </c>
      <c r="D168" s="21">
        <v>2550000</v>
      </c>
      <c r="E168" s="21" t="s">
        <v>224</v>
      </c>
      <c r="F168" s="21" t="str">
        <f t="shared" si="4"/>
        <v>rtdc.l.rtdc.4021:itc</v>
      </c>
      <c r="G168" s="8">
        <f t="shared" si="5"/>
        <v>42701.791446759256</v>
      </c>
    </row>
    <row r="169" spans="1:7" x14ac:dyDescent="0.25">
      <c r="A169" s="8">
        <v>42701.80736111111</v>
      </c>
      <c r="B169" s="21" t="s">
        <v>221</v>
      </c>
      <c r="C169" s="21" t="s">
        <v>571</v>
      </c>
      <c r="D169" s="21">
        <v>1800000</v>
      </c>
      <c r="E169" s="21" t="s">
        <v>307</v>
      </c>
      <c r="F169" s="21" t="str">
        <f t="shared" si="4"/>
        <v>rtdc.l.rtdc.4012:itc</v>
      </c>
      <c r="G169" s="8">
        <f t="shared" si="5"/>
        <v>42701.80736111111</v>
      </c>
    </row>
    <row r="170" spans="1:7" x14ac:dyDescent="0.25">
      <c r="A170" s="8">
        <v>42701.809386574074</v>
      </c>
      <c r="B170" s="21" t="s">
        <v>399</v>
      </c>
      <c r="C170" s="21" t="s">
        <v>572</v>
      </c>
      <c r="D170" s="21">
        <v>1290000</v>
      </c>
      <c r="E170" s="21" t="s">
        <v>556</v>
      </c>
      <c r="F170" s="21" t="str">
        <f t="shared" si="4"/>
        <v>rtdc.l.rtdc.4016:itc</v>
      </c>
      <c r="G170" s="8">
        <f t="shared" si="5"/>
        <v>42701.809386574074</v>
      </c>
    </row>
    <row r="171" spans="1:7" x14ac:dyDescent="0.25">
      <c r="A171" s="8">
        <v>42701.817615740743</v>
      </c>
      <c r="B171" s="21" t="s">
        <v>344</v>
      </c>
      <c r="C171" s="21" t="s">
        <v>426</v>
      </c>
      <c r="D171" s="21">
        <v>1820000</v>
      </c>
      <c r="E171" s="21" t="s">
        <v>290</v>
      </c>
      <c r="F171" s="21" t="str">
        <f t="shared" si="4"/>
        <v>rtdc.l.rtdc.4026:itc</v>
      </c>
      <c r="G171" s="8">
        <f t="shared" si="5"/>
        <v>42701.817615740743</v>
      </c>
    </row>
    <row r="172" spans="1:7" x14ac:dyDescent="0.25">
      <c r="A172" s="8">
        <v>42701.820937500001</v>
      </c>
      <c r="B172" s="21" t="s">
        <v>157</v>
      </c>
      <c r="C172" s="21" t="s">
        <v>424</v>
      </c>
      <c r="D172" s="21">
        <v>2540000</v>
      </c>
      <c r="E172" s="21" t="s">
        <v>306</v>
      </c>
      <c r="F172" s="21" t="str">
        <f t="shared" si="4"/>
        <v>rtdc.l.rtdc.4052:itc</v>
      </c>
      <c r="G172" s="8">
        <f t="shared" si="5"/>
        <v>42701.820937500001</v>
      </c>
    </row>
    <row r="173" spans="1:7" x14ac:dyDescent="0.25">
      <c r="A173" s="8">
        <v>42701.824548611112</v>
      </c>
      <c r="B173" s="21" t="s">
        <v>230</v>
      </c>
      <c r="C173" s="21" t="s">
        <v>573</v>
      </c>
      <c r="D173" s="21">
        <v>1180000</v>
      </c>
      <c r="E173" s="21" t="s">
        <v>551</v>
      </c>
      <c r="F173" s="21" t="str">
        <f t="shared" si="4"/>
        <v>rtdc.l.rtdc.4037:itc</v>
      </c>
      <c r="G173" s="8">
        <f t="shared" si="5"/>
        <v>42701.824548611112</v>
      </c>
    </row>
    <row r="174" spans="1:7" x14ac:dyDescent="0.25">
      <c r="A174" s="8">
        <v>42701.825844907406</v>
      </c>
      <c r="B174" s="21" t="s">
        <v>230</v>
      </c>
      <c r="C174" s="21" t="s">
        <v>573</v>
      </c>
      <c r="D174" s="21">
        <v>1180000</v>
      </c>
      <c r="E174" s="21" t="s">
        <v>551</v>
      </c>
      <c r="F174" s="21" t="str">
        <f t="shared" si="4"/>
        <v>rtdc.l.rtdc.4037:itc</v>
      </c>
      <c r="G174" s="8">
        <f t="shared" si="5"/>
        <v>42701.825844907406</v>
      </c>
    </row>
    <row r="175" spans="1:7" x14ac:dyDescent="0.25">
      <c r="A175" s="8">
        <v>42701.832592592589</v>
      </c>
      <c r="B175" s="21" t="s">
        <v>353</v>
      </c>
      <c r="C175" s="21" t="s">
        <v>574</v>
      </c>
      <c r="D175" s="21">
        <v>1820000</v>
      </c>
      <c r="E175" s="21" t="s">
        <v>290</v>
      </c>
      <c r="F175" s="21" t="str">
        <f t="shared" si="4"/>
        <v>rtdc.l.rtdc.4025:itc</v>
      </c>
      <c r="G175" s="8">
        <f t="shared" si="5"/>
        <v>42701.832592592589</v>
      </c>
    </row>
    <row r="176" spans="1:7" x14ac:dyDescent="0.25">
      <c r="A176" s="8">
        <v>42701.834780092591</v>
      </c>
      <c r="B176" s="21" t="s">
        <v>227</v>
      </c>
      <c r="C176" s="21" t="s">
        <v>575</v>
      </c>
      <c r="D176" s="21">
        <v>2550000</v>
      </c>
      <c r="E176" s="21" t="s">
        <v>224</v>
      </c>
      <c r="F176" s="21" t="str">
        <f t="shared" si="4"/>
        <v>rtdc.l.rtdc.4022:itc</v>
      </c>
      <c r="G176" s="8">
        <f t="shared" si="5"/>
        <v>42701.834780092591</v>
      </c>
    </row>
    <row r="177" spans="1:7" x14ac:dyDescent="0.25">
      <c r="A177" s="8">
        <v>42701.842013888891</v>
      </c>
      <c r="B177" s="21" t="s">
        <v>156</v>
      </c>
      <c r="C177" s="21" t="s">
        <v>567</v>
      </c>
      <c r="D177" s="21">
        <v>2540000</v>
      </c>
      <c r="E177" s="21" t="s">
        <v>306</v>
      </c>
      <c r="F177" s="21" t="str">
        <f t="shared" si="4"/>
        <v>rtdc.l.rtdc.4051:itc</v>
      </c>
      <c r="G177" s="8">
        <f t="shared" si="5"/>
        <v>42701.842013888891</v>
      </c>
    </row>
    <row r="178" spans="1:7" x14ac:dyDescent="0.25">
      <c r="A178" s="8">
        <v>42701.846006944441</v>
      </c>
      <c r="B178" s="21" t="s">
        <v>287</v>
      </c>
      <c r="C178" s="21" t="s">
        <v>576</v>
      </c>
      <c r="D178" s="21">
        <v>1290000</v>
      </c>
      <c r="E178" s="21" t="s">
        <v>556</v>
      </c>
      <c r="F178" s="21" t="str">
        <f t="shared" si="4"/>
        <v>rtdc.l.rtdc.4010:itc</v>
      </c>
      <c r="G178" s="8">
        <f t="shared" si="5"/>
        <v>42701.846006944441</v>
      </c>
    </row>
    <row r="179" spans="1:7" x14ac:dyDescent="0.25">
      <c r="A179" s="8">
        <v>42701.849965277775</v>
      </c>
      <c r="B179" s="21" t="s">
        <v>186</v>
      </c>
      <c r="C179" s="21" t="s">
        <v>577</v>
      </c>
      <c r="D179" s="21">
        <v>1800000</v>
      </c>
      <c r="E179" s="21" t="s">
        <v>307</v>
      </c>
      <c r="F179" s="21" t="str">
        <f t="shared" si="4"/>
        <v>rtdc.l.rtdc.4044:itc</v>
      </c>
      <c r="G179" s="8">
        <f t="shared" si="5"/>
        <v>42701.849965277775</v>
      </c>
    </row>
    <row r="180" spans="1:7" x14ac:dyDescent="0.25">
      <c r="A180" s="8">
        <v>42701.858912037038</v>
      </c>
      <c r="B180" s="21" t="s">
        <v>344</v>
      </c>
      <c r="C180" s="21" t="s">
        <v>578</v>
      </c>
      <c r="D180" s="21">
        <v>1820000</v>
      </c>
      <c r="E180" s="21" t="s">
        <v>290</v>
      </c>
      <c r="F180" s="21" t="str">
        <f t="shared" si="4"/>
        <v>rtdc.l.rtdc.4026:itc</v>
      </c>
      <c r="G180" s="8">
        <f t="shared" si="5"/>
        <v>42701.858912037038</v>
      </c>
    </row>
    <row r="181" spans="1:7" x14ac:dyDescent="0.25">
      <c r="A181" s="8">
        <v>42701.860844907409</v>
      </c>
      <c r="B181" s="21" t="s">
        <v>157</v>
      </c>
      <c r="C181" s="21" t="s">
        <v>424</v>
      </c>
      <c r="D181" s="21">
        <v>2540000</v>
      </c>
      <c r="E181" s="21" t="s">
        <v>306</v>
      </c>
      <c r="F181" s="21" t="str">
        <f t="shared" si="4"/>
        <v>rtdc.l.rtdc.4052:itc</v>
      </c>
      <c r="G181" s="8">
        <f t="shared" si="5"/>
        <v>42701.860844907409</v>
      </c>
    </row>
    <row r="182" spans="1:7" x14ac:dyDescent="0.25">
      <c r="A182" s="8">
        <v>42701.868344907409</v>
      </c>
      <c r="B182" s="21" t="s">
        <v>223</v>
      </c>
      <c r="C182" s="21" t="s">
        <v>579</v>
      </c>
      <c r="D182" s="21">
        <v>1180000</v>
      </c>
      <c r="E182" s="21" t="s">
        <v>551</v>
      </c>
      <c r="F182" s="21" t="str">
        <f t="shared" si="4"/>
        <v>rtdc.l.rtdc.4002:itc</v>
      </c>
      <c r="G182" s="8">
        <f t="shared" si="5"/>
        <v>42701.868344907409</v>
      </c>
    </row>
    <row r="183" spans="1:7" x14ac:dyDescent="0.25">
      <c r="A183" s="8">
        <v>42701.870185185187</v>
      </c>
      <c r="B183" s="21" t="s">
        <v>258</v>
      </c>
      <c r="C183" s="21" t="s">
        <v>427</v>
      </c>
      <c r="D183" s="21">
        <v>2550000</v>
      </c>
      <c r="E183" s="21" t="s">
        <v>224</v>
      </c>
      <c r="F183" s="21" t="str">
        <f t="shared" si="4"/>
        <v>rtdc.l.rtdc.4045:itc</v>
      </c>
      <c r="G183" s="8">
        <f t="shared" si="5"/>
        <v>42701.870185185187</v>
      </c>
    </row>
    <row r="184" spans="1:7" x14ac:dyDescent="0.25">
      <c r="A184" s="8">
        <v>42701.873530092591</v>
      </c>
      <c r="B184" s="21" t="s">
        <v>353</v>
      </c>
      <c r="C184" s="21" t="s">
        <v>580</v>
      </c>
      <c r="D184" s="21">
        <v>1820000</v>
      </c>
      <c r="E184" s="21" t="s">
        <v>290</v>
      </c>
      <c r="F184" s="21" t="str">
        <f t="shared" si="4"/>
        <v>rtdc.l.rtdc.4025:itc</v>
      </c>
      <c r="G184" s="8">
        <f t="shared" si="5"/>
        <v>42701.873530092591</v>
      </c>
    </row>
    <row r="185" spans="1:7" x14ac:dyDescent="0.25">
      <c r="A185" s="8">
        <v>42701.875567129631</v>
      </c>
      <c r="B185" s="21" t="s">
        <v>287</v>
      </c>
      <c r="C185" s="21" t="s">
        <v>576</v>
      </c>
      <c r="D185" s="21">
        <v>1290000</v>
      </c>
      <c r="E185" s="21" t="s">
        <v>556</v>
      </c>
      <c r="F185" s="21" t="str">
        <f t="shared" si="4"/>
        <v>rtdc.l.rtdc.4010:itc</v>
      </c>
      <c r="G185" s="8">
        <f t="shared" si="5"/>
        <v>42701.875567129631</v>
      </c>
    </row>
    <row r="186" spans="1:7" x14ac:dyDescent="0.25">
      <c r="A186" s="8">
        <v>42701.879421296297</v>
      </c>
      <c r="B186" s="21" t="s">
        <v>156</v>
      </c>
      <c r="C186" s="21" t="s">
        <v>567</v>
      </c>
      <c r="D186" s="21">
        <v>2540000</v>
      </c>
      <c r="E186" s="21" t="s">
        <v>306</v>
      </c>
      <c r="F186" s="21" t="str">
        <f t="shared" si="4"/>
        <v>rtdc.l.rtdc.4051:itc</v>
      </c>
      <c r="G186" s="8">
        <f t="shared" si="5"/>
        <v>42701.879421296297</v>
      </c>
    </row>
    <row r="187" spans="1:7" x14ac:dyDescent="0.25">
      <c r="A187" s="8">
        <v>42701.890682870369</v>
      </c>
      <c r="B187" s="21" t="s">
        <v>221</v>
      </c>
      <c r="C187" s="21" t="s">
        <v>581</v>
      </c>
      <c r="D187" s="21">
        <v>1800000</v>
      </c>
      <c r="E187" s="21" t="s">
        <v>307</v>
      </c>
      <c r="F187" s="21" t="str">
        <f t="shared" si="4"/>
        <v>rtdc.l.rtdc.4012:itc</v>
      </c>
      <c r="G187" s="8">
        <f t="shared" si="5"/>
        <v>42701.890682870369</v>
      </c>
    </row>
    <row r="188" spans="1:7" x14ac:dyDescent="0.25">
      <c r="A188" s="8">
        <v>42701.892372685186</v>
      </c>
      <c r="B188" s="21" t="s">
        <v>399</v>
      </c>
      <c r="C188" s="21" t="s">
        <v>582</v>
      </c>
      <c r="D188" s="21">
        <v>1290000</v>
      </c>
      <c r="E188" s="21" t="s">
        <v>556</v>
      </c>
      <c r="F188" s="21" t="str">
        <f t="shared" si="4"/>
        <v>rtdc.l.rtdc.4016:itc</v>
      </c>
      <c r="G188" s="8">
        <f t="shared" si="5"/>
        <v>42701.892372685186</v>
      </c>
    </row>
    <row r="189" spans="1:7" x14ac:dyDescent="0.25">
      <c r="A189" s="8">
        <v>42701.899004629631</v>
      </c>
      <c r="B189" s="21" t="s">
        <v>157</v>
      </c>
      <c r="C189" s="21" t="s">
        <v>424</v>
      </c>
      <c r="D189" s="21">
        <v>2540000</v>
      </c>
      <c r="E189" s="21" t="s">
        <v>306</v>
      </c>
      <c r="F189" s="21" t="str">
        <f t="shared" si="4"/>
        <v>rtdc.l.rtdc.4052:itc</v>
      </c>
      <c r="G189" s="8">
        <f t="shared" si="5"/>
        <v>42701.899004629631</v>
      </c>
    </row>
    <row r="190" spans="1:7" x14ac:dyDescent="0.25">
      <c r="A190" s="8">
        <v>42701.901099537034</v>
      </c>
      <c r="B190" s="21" t="s">
        <v>344</v>
      </c>
      <c r="C190" s="21" t="s">
        <v>428</v>
      </c>
      <c r="D190" s="21">
        <v>1820000</v>
      </c>
      <c r="E190" s="21" t="s">
        <v>290</v>
      </c>
      <c r="F190" s="21" t="str">
        <f t="shared" si="4"/>
        <v>rtdc.l.rtdc.4026:itc</v>
      </c>
      <c r="G190" s="8">
        <f t="shared" si="5"/>
        <v>42701.901099537034</v>
      </c>
    </row>
    <row r="191" spans="1:7" x14ac:dyDescent="0.25">
      <c r="A191" s="8">
        <v>42701.906655092593</v>
      </c>
      <c r="B191" s="21" t="s">
        <v>230</v>
      </c>
      <c r="C191" s="21" t="s">
        <v>583</v>
      </c>
      <c r="D191" s="21">
        <v>1180000</v>
      </c>
      <c r="E191" s="21" t="s">
        <v>551</v>
      </c>
      <c r="F191" s="21" t="str">
        <f t="shared" si="4"/>
        <v>rtdc.l.rtdc.4037:itc</v>
      </c>
      <c r="G191" s="8">
        <f t="shared" si="5"/>
        <v>42701.906655092593</v>
      </c>
    </row>
    <row r="192" spans="1:7" x14ac:dyDescent="0.25">
      <c r="A192" s="8">
        <v>42701.909502314818</v>
      </c>
      <c r="B192" s="21" t="s">
        <v>227</v>
      </c>
      <c r="C192" s="21" t="s">
        <v>584</v>
      </c>
      <c r="D192" s="21">
        <v>2550000</v>
      </c>
      <c r="E192" s="21" t="s">
        <v>224</v>
      </c>
      <c r="F192" s="21" t="str">
        <f t="shared" si="4"/>
        <v>rtdc.l.rtdc.4022:itc</v>
      </c>
      <c r="G192" s="8">
        <f t="shared" si="5"/>
        <v>42701.909502314818</v>
      </c>
    </row>
    <row r="193" spans="1:7" x14ac:dyDescent="0.25">
      <c r="A193" s="8">
        <v>42701.916354166664</v>
      </c>
      <c r="B193" s="21" t="s">
        <v>353</v>
      </c>
      <c r="C193" s="21" t="s">
        <v>585</v>
      </c>
      <c r="D193" s="21">
        <v>1820000</v>
      </c>
      <c r="E193" s="21" t="s">
        <v>290</v>
      </c>
      <c r="F193" s="21" t="str">
        <f t="shared" si="4"/>
        <v>rtdc.l.rtdc.4025:itc</v>
      </c>
      <c r="G193" s="8">
        <f t="shared" si="5"/>
        <v>42701.916354166664</v>
      </c>
    </row>
    <row r="194" spans="1:7" x14ac:dyDescent="0.25">
      <c r="A194" s="8">
        <v>42701.929918981485</v>
      </c>
      <c r="B194" s="21" t="s">
        <v>156</v>
      </c>
      <c r="C194" s="21" t="s">
        <v>567</v>
      </c>
      <c r="D194" s="21">
        <v>2540000</v>
      </c>
      <c r="E194" s="21" t="s">
        <v>306</v>
      </c>
      <c r="F194" s="21" t="str">
        <f t="shared" ref="F194:F235" si="6">B194</f>
        <v>rtdc.l.rtdc.4051:itc</v>
      </c>
      <c r="G194" s="8">
        <f t="shared" ref="G194:G235" si="7">A194</f>
        <v>42701.929918981485</v>
      </c>
    </row>
    <row r="195" spans="1:7" x14ac:dyDescent="0.25">
      <c r="A195" s="8">
        <v>42701.931296296294</v>
      </c>
      <c r="B195" s="21" t="s">
        <v>287</v>
      </c>
      <c r="C195" s="21" t="s">
        <v>586</v>
      </c>
      <c r="D195" s="21">
        <v>1290000</v>
      </c>
      <c r="E195" s="21" t="s">
        <v>556</v>
      </c>
      <c r="F195" s="21" t="str">
        <f t="shared" si="6"/>
        <v>rtdc.l.rtdc.4010:itc</v>
      </c>
      <c r="G195" s="8">
        <f t="shared" si="7"/>
        <v>42701.931296296294</v>
      </c>
    </row>
    <row r="196" spans="1:7" x14ac:dyDescent="0.25">
      <c r="A196" s="8">
        <v>42701.936412037037</v>
      </c>
      <c r="B196" s="21" t="s">
        <v>186</v>
      </c>
      <c r="C196" s="21" t="s">
        <v>587</v>
      </c>
      <c r="D196" s="21">
        <v>1800000</v>
      </c>
      <c r="E196" s="21" t="s">
        <v>307</v>
      </c>
      <c r="F196" s="21" t="str">
        <f t="shared" si="6"/>
        <v>rtdc.l.rtdc.4044:itc</v>
      </c>
      <c r="G196" s="8">
        <f t="shared" si="7"/>
        <v>42701.936412037037</v>
      </c>
    </row>
    <row r="197" spans="1:7" x14ac:dyDescent="0.25">
      <c r="A197" s="8">
        <v>42701.946956018517</v>
      </c>
      <c r="B197" s="21" t="s">
        <v>344</v>
      </c>
      <c r="C197" s="21" t="s">
        <v>429</v>
      </c>
      <c r="D197" s="21">
        <v>2450000</v>
      </c>
      <c r="E197" s="21" t="s">
        <v>356</v>
      </c>
      <c r="F197" s="21" t="str">
        <f t="shared" si="6"/>
        <v>rtdc.l.rtdc.4026:itc</v>
      </c>
      <c r="G197" s="8">
        <f t="shared" si="7"/>
        <v>42701.946956018517</v>
      </c>
    </row>
    <row r="198" spans="1:7" x14ac:dyDescent="0.25">
      <c r="A198" s="8">
        <v>42701.95003472222</v>
      </c>
      <c r="B198" s="21" t="s">
        <v>258</v>
      </c>
      <c r="C198" s="21" t="s">
        <v>430</v>
      </c>
      <c r="D198" s="21">
        <v>2550000</v>
      </c>
      <c r="E198" s="21" t="s">
        <v>224</v>
      </c>
      <c r="F198" s="21" t="str">
        <f t="shared" si="6"/>
        <v>rtdc.l.rtdc.4045:itc</v>
      </c>
      <c r="G198" s="8">
        <f t="shared" si="7"/>
        <v>42701.95003472222</v>
      </c>
    </row>
    <row r="199" spans="1:7" x14ac:dyDescent="0.25">
      <c r="A199" s="8">
        <v>42701.952789351853</v>
      </c>
      <c r="B199" s="21" t="s">
        <v>223</v>
      </c>
      <c r="C199" s="21" t="s">
        <v>588</v>
      </c>
      <c r="D199" s="21">
        <v>1180000</v>
      </c>
      <c r="E199" s="21" t="s">
        <v>551</v>
      </c>
      <c r="F199" s="21" t="str">
        <f t="shared" si="6"/>
        <v>rtdc.l.rtdc.4002:itc</v>
      </c>
      <c r="G199" s="8">
        <f t="shared" si="7"/>
        <v>42701.952789351853</v>
      </c>
    </row>
    <row r="200" spans="1:7" x14ac:dyDescent="0.25">
      <c r="A200" s="8">
        <v>42701.975092592591</v>
      </c>
      <c r="B200" s="21" t="s">
        <v>399</v>
      </c>
      <c r="C200" s="21" t="s">
        <v>589</v>
      </c>
      <c r="D200" s="21">
        <v>1290000</v>
      </c>
      <c r="E200" s="21" t="s">
        <v>556</v>
      </c>
      <c r="F200" s="21" t="str">
        <f t="shared" si="6"/>
        <v>rtdc.l.rtdc.4016:itc</v>
      </c>
      <c r="G200" s="8">
        <f t="shared" si="7"/>
        <v>42701.975092592591</v>
      </c>
    </row>
    <row r="201" spans="1:7" x14ac:dyDescent="0.25">
      <c r="A201" s="8">
        <v>42701.975439814814</v>
      </c>
      <c r="B201" s="21" t="s">
        <v>221</v>
      </c>
      <c r="C201" s="21" t="s">
        <v>431</v>
      </c>
      <c r="D201" s="21">
        <v>1800000</v>
      </c>
      <c r="E201" s="21" t="s">
        <v>307</v>
      </c>
      <c r="F201" s="21" t="str">
        <f t="shared" si="6"/>
        <v>rtdc.l.rtdc.4012:itc</v>
      </c>
      <c r="G201" s="8">
        <f t="shared" si="7"/>
        <v>42701.975439814814</v>
      </c>
    </row>
    <row r="202" spans="1:7" x14ac:dyDescent="0.25">
      <c r="A202" s="27">
        <v>42701.978831018518</v>
      </c>
      <c r="B202" s="21" t="s">
        <v>353</v>
      </c>
      <c r="C202" s="21" t="s">
        <v>590</v>
      </c>
      <c r="D202" s="21">
        <v>2450000</v>
      </c>
      <c r="E202" s="21" t="s">
        <v>356</v>
      </c>
      <c r="F202" s="21" t="str">
        <f t="shared" si="6"/>
        <v>rtdc.l.rtdc.4025:itc</v>
      </c>
      <c r="G202" s="8">
        <f t="shared" si="7"/>
        <v>42701.978831018518</v>
      </c>
    </row>
    <row r="203" spans="1:7" x14ac:dyDescent="0.25">
      <c r="A203" s="8">
        <v>42701.988692129627</v>
      </c>
      <c r="B203" s="21" t="s">
        <v>227</v>
      </c>
      <c r="C203" s="21" t="s">
        <v>591</v>
      </c>
      <c r="D203" s="21">
        <v>2550000</v>
      </c>
      <c r="E203" s="21" t="s">
        <v>224</v>
      </c>
      <c r="F203" s="21" t="str">
        <f t="shared" si="6"/>
        <v>rtdc.l.rtdc.4022:itc</v>
      </c>
      <c r="G203" s="8">
        <f t="shared" si="7"/>
        <v>42701.988692129627</v>
      </c>
    </row>
    <row r="204" spans="1:7" x14ac:dyDescent="0.25">
      <c r="A204" s="8">
        <v>42701.992592592593</v>
      </c>
      <c r="B204" s="21" t="s">
        <v>230</v>
      </c>
      <c r="C204" s="21" t="s">
        <v>592</v>
      </c>
      <c r="D204" s="21">
        <v>1180000</v>
      </c>
      <c r="E204" s="21" t="s">
        <v>551</v>
      </c>
      <c r="F204" s="21" t="str">
        <f t="shared" si="6"/>
        <v>rtdc.l.rtdc.4037:itc</v>
      </c>
      <c r="G204" s="8">
        <f t="shared" si="7"/>
        <v>42701.992592592593</v>
      </c>
    </row>
    <row r="205" spans="1:7" x14ac:dyDescent="0.25">
      <c r="A205" s="8">
        <v>42701.995208333334</v>
      </c>
      <c r="B205" s="21" t="s">
        <v>344</v>
      </c>
      <c r="C205" s="21" t="s">
        <v>429</v>
      </c>
      <c r="D205" s="21">
        <v>2450000</v>
      </c>
      <c r="E205" s="21" t="s">
        <v>356</v>
      </c>
      <c r="F205" s="21" t="str">
        <f t="shared" si="6"/>
        <v>rtdc.l.rtdc.4026:itc</v>
      </c>
      <c r="G205" s="8">
        <f t="shared" si="7"/>
        <v>42701.995208333334</v>
      </c>
    </row>
    <row r="206" spans="1:7" x14ac:dyDescent="0.25">
      <c r="A206" s="8">
        <v>42701.995775462965</v>
      </c>
      <c r="B206" s="21" t="s">
        <v>227</v>
      </c>
      <c r="C206" s="21" t="s">
        <v>593</v>
      </c>
      <c r="D206" s="21">
        <v>2550000</v>
      </c>
      <c r="E206" s="21" t="s">
        <v>224</v>
      </c>
      <c r="F206" s="21" t="str">
        <f t="shared" si="6"/>
        <v>rtdc.l.rtdc.4022:itc</v>
      </c>
      <c r="G206" s="8">
        <f t="shared" si="7"/>
        <v>42701.995775462965</v>
      </c>
    </row>
    <row r="207" spans="1:7" x14ac:dyDescent="0.25">
      <c r="A207" s="8">
        <v>42701.996481481481</v>
      </c>
      <c r="B207" s="21" t="s">
        <v>227</v>
      </c>
      <c r="C207" s="21" t="s">
        <v>591</v>
      </c>
      <c r="D207" s="21">
        <v>2550000</v>
      </c>
      <c r="E207" s="21" t="s">
        <v>224</v>
      </c>
      <c r="F207" s="21" t="str">
        <f t="shared" si="6"/>
        <v>rtdc.l.rtdc.4022:itc</v>
      </c>
      <c r="G207" s="8">
        <f t="shared" si="7"/>
        <v>42701.996481481481</v>
      </c>
    </row>
    <row r="208" spans="1:7" x14ac:dyDescent="0.25">
      <c r="A208" s="8">
        <v>42702.014537037037</v>
      </c>
      <c r="B208" s="21" t="s">
        <v>287</v>
      </c>
      <c r="C208" s="21" t="s">
        <v>594</v>
      </c>
      <c r="D208" s="21">
        <v>1290000</v>
      </c>
      <c r="E208" s="21" t="s">
        <v>556</v>
      </c>
      <c r="F208" s="21" t="str">
        <f t="shared" si="6"/>
        <v>rtdc.l.rtdc.4010:itc</v>
      </c>
      <c r="G208" s="8">
        <f t="shared" si="7"/>
        <v>42702.014537037037</v>
      </c>
    </row>
    <row r="209" spans="1:7" x14ac:dyDescent="0.25">
      <c r="A209" s="8">
        <v>42702.017754629633</v>
      </c>
      <c r="B209" s="21" t="s">
        <v>186</v>
      </c>
      <c r="C209" s="21" t="s">
        <v>595</v>
      </c>
      <c r="D209" s="21">
        <v>1800000</v>
      </c>
      <c r="E209" s="21" t="s">
        <v>307</v>
      </c>
      <c r="F209" s="21" t="str">
        <f t="shared" si="6"/>
        <v>rtdc.l.rtdc.4044:itc</v>
      </c>
      <c r="G209" s="8">
        <f t="shared" si="7"/>
        <v>42702.017754629633</v>
      </c>
    </row>
    <row r="210" spans="1:7" x14ac:dyDescent="0.25">
      <c r="A210" s="8">
        <v>42702.029791666668</v>
      </c>
      <c r="B210" s="21" t="s">
        <v>223</v>
      </c>
      <c r="C210" s="21" t="s">
        <v>596</v>
      </c>
      <c r="D210" s="21">
        <v>1180000</v>
      </c>
      <c r="E210" s="21" t="s">
        <v>551</v>
      </c>
      <c r="F210" s="21" t="str">
        <f t="shared" si="6"/>
        <v>rtdc.l.rtdc.4002:itc</v>
      </c>
      <c r="G210" s="8">
        <f t="shared" si="7"/>
        <v>42702.029791666668</v>
      </c>
    </row>
    <row r="211" spans="1:7" x14ac:dyDescent="0.25">
      <c r="A211" s="8">
        <v>42702.031793981485</v>
      </c>
      <c r="B211" s="21" t="s">
        <v>258</v>
      </c>
      <c r="C211" s="21" t="s">
        <v>593</v>
      </c>
      <c r="D211" s="21">
        <v>2550000</v>
      </c>
      <c r="E211" s="21" t="s">
        <v>224</v>
      </c>
      <c r="F211" s="21" t="str">
        <f t="shared" si="6"/>
        <v>rtdc.l.rtdc.4045:itc</v>
      </c>
      <c r="G211" s="8">
        <f t="shared" si="7"/>
        <v>42702.031793981485</v>
      </c>
    </row>
    <row r="212" spans="1:7" x14ac:dyDescent="0.25">
      <c r="A212" s="8">
        <v>42702.050393518519</v>
      </c>
      <c r="B212" s="21" t="s">
        <v>399</v>
      </c>
      <c r="C212" s="21" t="s">
        <v>597</v>
      </c>
      <c r="D212" s="21">
        <v>1290000</v>
      </c>
      <c r="E212" s="21" t="s">
        <v>556</v>
      </c>
      <c r="F212" s="21" t="str">
        <f t="shared" si="6"/>
        <v>rtdc.l.rtdc.4016:itc</v>
      </c>
      <c r="G212" s="8">
        <f t="shared" si="7"/>
        <v>42702.050393518519</v>
      </c>
    </row>
    <row r="213" spans="1:7" x14ac:dyDescent="0.25">
      <c r="A213" s="8">
        <v>42702.051099537035</v>
      </c>
      <c r="B213" s="21" t="s">
        <v>221</v>
      </c>
      <c r="C213" s="21" t="s">
        <v>598</v>
      </c>
      <c r="D213" s="21">
        <v>1800000</v>
      </c>
      <c r="E213" s="21" t="s">
        <v>307</v>
      </c>
      <c r="F213" s="21" t="str">
        <f t="shared" si="6"/>
        <v>rtdc.l.rtdc.4012:itc</v>
      </c>
      <c r="G213" s="8">
        <f t="shared" si="7"/>
        <v>42702.051099537035</v>
      </c>
    </row>
    <row r="214" spans="1:7" x14ac:dyDescent="0.25">
      <c r="A214" s="8">
        <v>42702.092407407406</v>
      </c>
      <c r="B214" s="21" t="s">
        <v>227</v>
      </c>
      <c r="C214" s="21" t="s">
        <v>599</v>
      </c>
      <c r="D214" s="21">
        <v>2550000</v>
      </c>
      <c r="E214" s="21" t="s">
        <v>224</v>
      </c>
      <c r="F214" s="21" t="str">
        <f t="shared" si="6"/>
        <v>rtdc.l.rtdc.4022:itc</v>
      </c>
      <c r="G214" s="8">
        <f t="shared" si="7"/>
        <v>42702.092407407406</v>
      </c>
    </row>
    <row r="215" spans="1:7" x14ac:dyDescent="0.25">
      <c r="A215" s="8">
        <v>42702.092847222222</v>
      </c>
      <c r="B215" s="21" t="s">
        <v>186</v>
      </c>
      <c r="C215" s="21" t="s">
        <v>600</v>
      </c>
      <c r="D215" s="21">
        <v>1800000</v>
      </c>
      <c r="E215" s="21" t="s">
        <v>307</v>
      </c>
      <c r="F215" s="21" t="str">
        <f t="shared" si="6"/>
        <v>rtdc.l.rtdc.4044:itc</v>
      </c>
      <c r="G215" s="8">
        <f t="shared" si="7"/>
        <v>42702.092847222222</v>
      </c>
    </row>
    <row r="216" spans="1:7" x14ac:dyDescent="0.25">
      <c r="A216" s="8">
        <v>42700.954212962963</v>
      </c>
      <c r="B216" s="21" t="s">
        <v>276</v>
      </c>
      <c r="C216" s="21" t="s">
        <v>355</v>
      </c>
      <c r="D216" s="21">
        <v>1300000</v>
      </c>
      <c r="E216" s="21" t="s">
        <v>113</v>
      </c>
      <c r="F216" s="21" t="str">
        <f t="shared" si="6"/>
        <v>rtdc.l.rtdc.4029:itc</v>
      </c>
      <c r="G216" s="8">
        <f t="shared" si="7"/>
        <v>42700.954212962963</v>
      </c>
    </row>
    <row r="217" spans="1:7" x14ac:dyDescent="0.25">
      <c r="A217" s="8">
        <v>42700.954571759263</v>
      </c>
      <c r="B217" s="21" t="s">
        <v>156</v>
      </c>
      <c r="C217" s="21" t="s">
        <v>345</v>
      </c>
      <c r="D217" s="21">
        <v>2480000</v>
      </c>
      <c r="E217" s="21" t="s">
        <v>354</v>
      </c>
      <c r="F217" s="21" t="str">
        <f t="shared" si="6"/>
        <v>rtdc.l.rtdc.4051:itc</v>
      </c>
      <c r="G217" s="8">
        <f t="shared" si="7"/>
        <v>42700.954571759263</v>
      </c>
    </row>
    <row r="218" spans="1:7" x14ac:dyDescent="0.25">
      <c r="A218" s="8">
        <v>42700.970578703702</v>
      </c>
      <c r="B218" s="21" t="s">
        <v>229</v>
      </c>
      <c r="C218" s="21" t="s">
        <v>346</v>
      </c>
      <c r="D218" s="21">
        <v>2450000</v>
      </c>
      <c r="E218" s="21" t="s">
        <v>356</v>
      </c>
      <c r="F218" s="21" t="str">
        <f t="shared" si="6"/>
        <v>rtdc.l.rtdc.4038:itc</v>
      </c>
      <c r="G218" s="8">
        <f t="shared" si="7"/>
        <v>42700.970578703702</v>
      </c>
    </row>
    <row r="219" spans="1:7" x14ac:dyDescent="0.25">
      <c r="A219" s="8">
        <v>42700.976018518515</v>
      </c>
      <c r="B219" s="21" t="s">
        <v>281</v>
      </c>
      <c r="C219" s="21" t="s">
        <v>357</v>
      </c>
      <c r="D219" s="21">
        <v>1800000</v>
      </c>
      <c r="E219" s="21" t="s">
        <v>307</v>
      </c>
      <c r="F219" s="21" t="str">
        <f t="shared" si="6"/>
        <v>rtdc.l.rtdc.4004:itc</v>
      </c>
      <c r="G219" s="8">
        <f t="shared" si="7"/>
        <v>42700.976018518515</v>
      </c>
    </row>
    <row r="220" spans="1:7" x14ac:dyDescent="0.25">
      <c r="A220" s="8">
        <v>42700.989027777781</v>
      </c>
      <c r="B220" s="21" t="s">
        <v>256</v>
      </c>
      <c r="C220" s="21" t="s">
        <v>358</v>
      </c>
      <c r="D220" s="21">
        <v>2420000</v>
      </c>
      <c r="E220" s="21" t="s">
        <v>228</v>
      </c>
      <c r="F220" s="21" t="str">
        <f t="shared" si="6"/>
        <v>rtdc.l.rtdc.4031:itc</v>
      </c>
      <c r="G220" s="8">
        <f t="shared" si="7"/>
        <v>42700.989027777781</v>
      </c>
    </row>
    <row r="221" spans="1:7" x14ac:dyDescent="0.25">
      <c r="A221" s="8">
        <v>42700.99391203704</v>
      </c>
      <c r="B221" s="21" t="s">
        <v>211</v>
      </c>
      <c r="C221" s="21" t="s">
        <v>359</v>
      </c>
      <c r="D221" s="21">
        <v>1300000</v>
      </c>
      <c r="E221" s="21" t="s">
        <v>113</v>
      </c>
      <c r="F221" s="21" t="str">
        <f t="shared" si="6"/>
        <v>rtdc.l.rtdc.4030:itc</v>
      </c>
      <c r="G221" s="8">
        <f t="shared" si="7"/>
        <v>42700.99391203704</v>
      </c>
    </row>
    <row r="222" spans="1:7" x14ac:dyDescent="0.25">
      <c r="A222" s="8">
        <v>42701.016041666669</v>
      </c>
      <c r="B222" s="21" t="s">
        <v>230</v>
      </c>
      <c r="C222" s="21" t="s">
        <v>360</v>
      </c>
      <c r="D222" s="21">
        <v>2450000</v>
      </c>
      <c r="E222" s="21" t="s">
        <v>356</v>
      </c>
      <c r="F222" s="21" t="str">
        <f t="shared" si="6"/>
        <v>rtdc.l.rtdc.4037:itc</v>
      </c>
      <c r="G222" s="8">
        <f t="shared" si="7"/>
        <v>42701.016041666669</v>
      </c>
    </row>
    <row r="223" spans="1:7" x14ac:dyDescent="0.25">
      <c r="A223" s="8">
        <v>42701.021851851852</v>
      </c>
      <c r="B223" s="21" t="s">
        <v>216</v>
      </c>
      <c r="C223" s="21" t="s">
        <v>361</v>
      </c>
      <c r="D223" s="21">
        <v>1800000</v>
      </c>
      <c r="E223" s="21" t="s">
        <v>307</v>
      </c>
      <c r="F223" s="21" t="str">
        <f t="shared" si="6"/>
        <v>rtdc.l.rtdc.4040:itc</v>
      </c>
      <c r="G223" s="8">
        <f t="shared" si="7"/>
        <v>42701.021851851852</v>
      </c>
    </row>
    <row r="224" spans="1:7" x14ac:dyDescent="0.25">
      <c r="A224" s="8">
        <v>42701.02857638889</v>
      </c>
      <c r="B224" t="s">
        <v>304</v>
      </c>
      <c r="C224" t="s">
        <v>362</v>
      </c>
      <c r="D224">
        <v>2420000</v>
      </c>
      <c r="E224" t="s">
        <v>228</v>
      </c>
      <c r="F224" s="21" t="str">
        <f t="shared" si="6"/>
        <v>rtdc.l.rtdc.4032:itc</v>
      </c>
      <c r="G224" s="8">
        <f t="shared" si="7"/>
        <v>42701.02857638889</v>
      </c>
    </row>
    <row r="225" spans="1:7" x14ac:dyDescent="0.25">
      <c r="A225" s="8">
        <v>42701.038287037038</v>
      </c>
      <c r="B225" t="s">
        <v>276</v>
      </c>
      <c r="C225" t="s">
        <v>363</v>
      </c>
      <c r="D225">
        <v>1300000</v>
      </c>
      <c r="E225" t="s">
        <v>113</v>
      </c>
      <c r="F225" s="21" t="str">
        <f t="shared" si="6"/>
        <v>rtdc.l.rtdc.4029:itc</v>
      </c>
      <c r="G225" s="8">
        <f t="shared" si="7"/>
        <v>42701.038287037038</v>
      </c>
    </row>
    <row r="226" spans="1:7" x14ac:dyDescent="0.25">
      <c r="A226" s="8">
        <v>42701.051562499997</v>
      </c>
      <c r="B226" t="s">
        <v>229</v>
      </c>
      <c r="C226" t="s">
        <v>364</v>
      </c>
      <c r="D226">
        <v>2450000</v>
      </c>
      <c r="E226" t="s">
        <v>356</v>
      </c>
      <c r="F226" s="21" t="str">
        <f t="shared" si="6"/>
        <v>rtdc.l.rtdc.4038:itc</v>
      </c>
      <c r="G226" s="8">
        <f t="shared" si="7"/>
        <v>42701.051562499997</v>
      </c>
    </row>
    <row r="227" spans="1:7" x14ac:dyDescent="0.25">
      <c r="A227" s="8">
        <v>42701.057245370372</v>
      </c>
      <c r="B227" t="s">
        <v>218</v>
      </c>
      <c r="C227" t="s">
        <v>365</v>
      </c>
      <c r="D227">
        <v>1800000</v>
      </c>
      <c r="E227" t="s">
        <v>307</v>
      </c>
      <c r="F227" s="21" t="str">
        <f t="shared" si="6"/>
        <v>rtdc.l.rtdc.4039:itc</v>
      </c>
      <c r="G227" s="8">
        <f t="shared" si="7"/>
        <v>42701.057245370372</v>
      </c>
    </row>
    <row r="228" spans="1:7" x14ac:dyDescent="0.25">
      <c r="A228" s="8">
        <v>42701.068472222221</v>
      </c>
      <c r="B228" t="s">
        <v>256</v>
      </c>
      <c r="C228" t="s">
        <v>366</v>
      </c>
      <c r="D228">
        <v>2420000</v>
      </c>
      <c r="E228" t="s">
        <v>228</v>
      </c>
      <c r="F228" s="21" t="str">
        <f t="shared" si="6"/>
        <v>rtdc.l.rtdc.4031:itc</v>
      </c>
      <c r="G228" s="8">
        <f t="shared" si="7"/>
        <v>42701.068472222221</v>
      </c>
    </row>
    <row r="229" spans="1:7" x14ac:dyDescent="0.25">
      <c r="A229" s="8">
        <v>42701.077199074076</v>
      </c>
      <c r="B229" t="s">
        <v>211</v>
      </c>
      <c r="C229" t="s">
        <v>367</v>
      </c>
      <c r="D229">
        <v>1300000</v>
      </c>
      <c r="E229" t="s">
        <v>113</v>
      </c>
      <c r="F229" s="21" t="str">
        <f t="shared" si="6"/>
        <v>rtdc.l.rtdc.4030:itc</v>
      </c>
      <c r="G229" s="8">
        <f t="shared" si="7"/>
        <v>42701.077199074076</v>
      </c>
    </row>
    <row r="230" spans="1:7" x14ac:dyDescent="0.25">
      <c r="A230" s="8">
        <v>42701.109178240738</v>
      </c>
      <c r="B230" t="s">
        <v>276</v>
      </c>
      <c r="C230" t="s">
        <v>368</v>
      </c>
      <c r="D230">
        <v>1300000</v>
      </c>
      <c r="E230" t="s">
        <v>113</v>
      </c>
      <c r="F230" s="21" t="str">
        <f t="shared" si="6"/>
        <v>rtdc.l.rtdc.4029:itc</v>
      </c>
      <c r="G230" s="8">
        <f t="shared" si="7"/>
        <v>42701.109178240738</v>
      </c>
    </row>
    <row r="231" spans="1:7" x14ac:dyDescent="0.25">
      <c r="A231" s="8">
        <v>42699.910057870373</v>
      </c>
      <c r="B231" t="s">
        <v>218</v>
      </c>
      <c r="C231" t="s">
        <v>311</v>
      </c>
      <c r="D231">
        <v>2600000</v>
      </c>
      <c r="E231" t="s">
        <v>272</v>
      </c>
      <c r="F231" s="21" t="str">
        <f t="shared" si="6"/>
        <v>rtdc.l.rtdc.4039:itc</v>
      </c>
      <c r="G231" s="8">
        <f t="shared" si="7"/>
        <v>42699.910057870373</v>
      </c>
    </row>
    <row r="232" spans="1:7" x14ac:dyDescent="0.25">
      <c r="A232" s="8">
        <v>42699.910868055558</v>
      </c>
      <c r="B232" t="s">
        <v>156</v>
      </c>
      <c r="C232" t="s">
        <v>309</v>
      </c>
      <c r="D232">
        <v>2530000</v>
      </c>
      <c r="E232" t="s">
        <v>308</v>
      </c>
      <c r="F232" s="21" t="str">
        <f t="shared" si="6"/>
        <v>rtdc.l.rtdc.4051:itc</v>
      </c>
      <c r="G232" s="8">
        <f t="shared" si="7"/>
        <v>42699.910868055558</v>
      </c>
    </row>
    <row r="233" spans="1:7" x14ac:dyDescent="0.25">
      <c r="A233" s="8">
        <v>42699.916064814817</v>
      </c>
      <c r="B233" t="s">
        <v>242</v>
      </c>
      <c r="C233" t="s">
        <v>312</v>
      </c>
      <c r="D233">
        <v>1800000</v>
      </c>
      <c r="E233" t="s">
        <v>307</v>
      </c>
      <c r="F233" s="21" t="str">
        <f t="shared" si="6"/>
        <v>rtdc.l.rtdc.4014:itc</v>
      </c>
      <c r="G233" s="8">
        <f t="shared" si="7"/>
        <v>42699.916064814817</v>
      </c>
    </row>
    <row r="234" spans="1:7" x14ac:dyDescent="0.25">
      <c r="A234" s="8">
        <v>42699.918020833335</v>
      </c>
      <c r="B234" t="s">
        <v>280</v>
      </c>
      <c r="C234" t="s">
        <v>313</v>
      </c>
      <c r="D234">
        <v>2610000</v>
      </c>
      <c r="E234" t="s">
        <v>225</v>
      </c>
      <c r="F234" s="21" t="str">
        <f t="shared" si="6"/>
        <v>rtdc.l.rtdc.4003:itc</v>
      </c>
      <c r="G234" s="8">
        <f t="shared" si="7"/>
        <v>42699.918020833335</v>
      </c>
    </row>
    <row r="235" spans="1:7" x14ac:dyDescent="0.25">
      <c r="A235" s="8">
        <v>42699.922662037039</v>
      </c>
      <c r="B235" t="s">
        <v>258</v>
      </c>
      <c r="C235" t="s">
        <v>314</v>
      </c>
      <c r="D235">
        <v>2630000</v>
      </c>
      <c r="E235" t="s">
        <v>273</v>
      </c>
      <c r="F235" s="21" t="str">
        <f t="shared" si="6"/>
        <v>rtdc.l.rtdc.4045:itc</v>
      </c>
      <c r="G235" s="8">
        <f t="shared" si="7"/>
        <v>42699.922662037039</v>
      </c>
    </row>
    <row r="236" spans="1:7" x14ac:dyDescent="0.25">
      <c r="A236" s="8">
        <v>42699.926388888889</v>
      </c>
      <c r="B236" t="s">
        <v>270</v>
      </c>
      <c r="C236" t="s">
        <v>315</v>
      </c>
      <c r="D236">
        <v>2000000</v>
      </c>
      <c r="E236" t="s">
        <v>220</v>
      </c>
      <c r="F236" s="21" t="str">
        <f t="shared" ref="F236:F265" si="8">B236</f>
        <v>rtdc.l.rtdc.4042:itc</v>
      </c>
      <c r="G236" s="8">
        <f t="shared" ref="G236:G265" si="9">A236</f>
        <v>42699.926388888889</v>
      </c>
    </row>
    <row r="237" spans="1:7" x14ac:dyDescent="0.25">
      <c r="A237" s="8">
        <v>42699.932384259257</v>
      </c>
      <c r="B237" t="s">
        <v>157</v>
      </c>
      <c r="C237" t="s">
        <v>310</v>
      </c>
      <c r="D237">
        <v>2530000</v>
      </c>
      <c r="E237" t="s">
        <v>308</v>
      </c>
      <c r="F237" s="21" t="str">
        <f t="shared" si="8"/>
        <v>rtdc.l.rtdc.4052:itc</v>
      </c>
      <c r="G237" s="8">
        <f t="shared" si="9"/>
        <v>42699.932384259257</v>
      </c>
    </row>
    <row r="238" spans="1:7" x14ac:dyDescent="0.25">
      <c r="A238" s="8">
        <v>42699.942499999997</v>
      </c>
      <c r="B238" t="s">
        <v>281</v>
      </c>
      <c r="C238" t="s">
        <v>316</v>
      </c>
      <c r="D238">
        <v>2610000</v>
      </c>
      <c r="E238" t="s">
        <v>225</v>
      </c>
      <c r="F238" s="21" t="str">
        <f t="shared" si="8"/>
        <v>rtdc.l.rtdc.4004:itc</v>
      </c>
      <c r="G238" s="8">
        <f t="shared" si="9"/>
        <v>42699.942499999997</v>
      </c>
    </row>
    <row r="239" spans="1:7" x14ac:dyDescent="0.25">
      <c r="A239" s="8">
        <v>42699.951481481483</v>
      </c>
      <c r="B239" t="s">
        <v>243</v>
      </c>
      <c r="C239" t="s">
        <v>317</v>
      </c>
      <c r="D239">
        <v>1800000</v>
      </c>
      <c r="E239" t="s">
        <v>307</v>
      </c>
      <c r="F239" s="21" t="str">
        <f t="shared" si="8"/>
        <v>rtdc.l.rtdc.4013:itc</v>
      </c>
      <c r="G239" s="8">
        <f t="shared" si="9"/>
        <v>42699.951481481483</v>
      </c>
    </row>
    <row r="240" spans="1:7" x14ac:dyDescent="0.25">
      <c r="A240" s="8">
        <v>42699.9528125</v>
      </c>
      <c r="B240" t="s">
        <v>216</v>
      </c>
      <c r="C240" t="s">
        <v>318</v>
      </c>
      <c r="D240">
        <v>2600000</v>
      </c>
      <c r="E240" t="s">
        <v>272</v>
      </c>
      <c r="F240" s="21" t="str">
        <f t="shared" si="8"/>
        <v>rtdc.l.rtdc.4040:itc</v>
      </c>
      <c r="G240" s="8">
        <f t="shared" si="9"/>
        <v>42699.9528125</v>
      </c>
    </row>
    <row r="241" spans="1:7" x14ac:dyDescent="0.25">
      <c r="A241" s="8">
        <v>42699.954050925924</v>
      </c>
      <c r="B241" t="s">
        <v>156</v>
      </c>
      <c r="C241" t="s">
        <v>309</v>
      </c>
      <c r="D241">
        <v>2530000</v>
      </c>
      <c r="E241" t="s">
        <v>308</v>
      </c>
      <c r="F241" s="21" t="str">
        <f t="shared" si="8"/>
        <v>rtdc.l.rtdc.4051:itc</v>
      </c>
      <c r="G241" s="8">
        <f t="shared" si="9"/>
        <v>42699.954050925924</v>
      </c>
    </row>
    <row r="242" spans="1:7" x14ac:dyDescent="0.25">
      <c r="A242" s="8">
        <v>42699.963761574072</v>
      </c>
      <c r="B242" t="s">
        <v>259</v>
      </c>
      <c r="C242" t="s">
        <v>319</v>
      </c>
      <c r="D242">
        <v>2630000</v>
      </c>
      <c r="E242" t="s">
        <v>273</v>
      </c>
      <c r="F242" s="21" t="str">
        <f t="shared" si="8"/>
        <v>rtdc.l.rtdc.4046:itc</v>
      </c>
      <c r="G242" s="8">
        <f t="shared" si="9"/>
        <v>42699.963761574072</v>
      </c>
    </row>
    <row r="243" spans="1:7" x14ac:dyDescent="0.25">
      <c r="A243" s="8">
        <v>42699.971608796295</v>
      </c>
      <c r="B243" t="s">
        <v>271</v>
      </c>
      <c r="C243" t="s">
        <v>320</v>
      </c>
      <c r="D243">
        <v>2000000</v>
      </c>
      <c r="E243" t="s">
        <v>220</v>
      </c>
      <c r="F243" s="21" t="str">
        <f t="shared" si="8"/>
        <v>rtdc.l.rtdc.4041:itc</v>
      </c>
      <c r="G243" s="8">
        <f t="shared" si="9"/>
        <v>42699.971608796295</v>
      </c>
    </row>
    <row r="244" spans="1:7" x14ac:dyDescent="0.25">
      <c r="A244" s="8">
        <v>42699.974247685182</v>
      </c>
      <c r="B244" t="s">
        <v>157</v>
      </c>
      <c r="C244" t="s">
        <v>310</v>
      </c>
      <c r="D244">
        <v>2530000</v>
      </c>
      <c r="E244" t="s">
        <v>308</v>
      </c>
      <c r="F244" s="21" t="str">
        <f t="shared" si="8"/>
        <v>rtdc.l.rtdc.4052:itc</v>
      </c>
      <c r="G244" s="8">
        <f t="shared" si="9"/>
        <v>42699.974247685182</v>
      </c>
    </row>
    <row r="245" spans="1:7" x14ac:dyDescent="0.25">
      <c r="A245" s="8">
        <v>42699.978321759256</v>
      </c>
      <c r="B245" t="s">
        <v>259</v>
      </c>
      <c r="C245" t="s">
        <v>319</v>
      </c>
      <c r="D245">
        <v>2630000</v>
      </c>
      <c r="E245" t="s">
        <v>273</v>
      </c>
      <c r="F245" s="21" t="str">
        <f t="shared" si="8"/>
        <v>rtdc.l.rtdc.4046:itc</v>
      </c>
      <c r="G245" s="8">
        <f t="shared" si="9"/>
        <v>42699.978321759256</v>
      </c>
    </row>
    <row r="246" spans="1:7" x14ac:dyDescent="0.25">
      <c r="A246" s="8">
        <v>42699.992013888892</v>
      </c>
      <c r="B246" t="s">
        <v>242</v>
      </c>
      <c r="C246" t="s">
        <v>321</v>
      </c>
      <c r="D246">
        <v>1800000</v>
      </c>
      <c r="E246" t="s">
        <v>307</v>
      </c>
      <c r="F246" s="21" t="str">
        <f t="shared" si="8"/>
        <v>rtdc.l.rtdc.4014:itc</v>
      </c>
      <c r="G246" s="8">
        <f t="shared" si="9"/>
        <v>42699.992013888892</v>
      </c>
    </row>
    <row r="247" spans="1:7" x14ac:dyDescent="0.25">
      <c r="A247" s="8">
        <v>42699.99428240741</v>
      </c>
      <c r="B247" t="s">
        <v>218</v>
      </c>
      <c r="C247" t="s">
        <v>322</v>
      </c>
      <c r="D247">
        <v>2600000</v>
      </c>
      <c r="E247" t="s">
        <v>272</v>
      </c>
      <c r="F247" s="21" t="str">
        <f t="shared" si="8"/>
        <v>rtdc.l.rtdc.4039:itc</v>
      </c>
      <c r="G247" s="8">
        <f t="shared" si="9"/>
        <v>42699.99428240741</v>
      </c>
    </row>
    <row r="248" spans="1:7" x14ac:dyDescent="0.25">
      <c r="A248" s="8">
        <v>42700.005150462966</v>
      </c>
      <c r="B248" t="s">
        <v>270</v>
      </c>
      <c r="C248" t="s">
        <v>323</v>
      </c>
      <c r="D248">
        <v>2000000</v>
      </c>
      <c r="E248" t="s">
        <v>220</v>
      </c>
      <c r="F248" s="21" t="str">
        <f t="shared" si="8"/>
        <v>rtdc.l.rtdc.4042:itc</v>
      </c>
      <c r="G248" s="8">
        <f t="shared" si="9"/>
        <v>42700.005150462966</v>
      </c>
    </row>
    <row r="249" spans="1:7" x14ac:dyDescent="0.25">
      <c r="A249" s="8">
        <v>42700.015486111108</v>
      </c>
      <c r="B249" t="s">
        <v>258</v>
      </c>
      <c r="C249" t="s">
        <v>324</v>
      </c>
      <c r="D249">
        <v>2630000</v>
      </c>
      <c r="E249" t="s">
        <v>273</v>
      </c>
      <c r="F249" s="21" t="str">
        <f t="shared" si="8"/>
        <v>rtdc.l.rtdc.4045:itc</v>
      </c>
      <c r="G249" s="8">
        <f t="shared" si="9"/>
        <v>42700.015486111108</v>
      </c>
    </row>
    <row r="250" spans="1:7" x14ac:dyDescent="0.25">
      <c r="A250" s="8">
        <v>42700.022650462961</v>
      </c>
      <c r="B250" t="s">
        <v>156</v>
      </c>
      <c r="C250" t="s">
        <v>309</v>
      </c>
      <c r="D250">
        <v>2530000</v>
      </c>
      <c r="E250" t="s">
        <v>308</v>
      </c>
      <c r="F250" s="21" t="str">
        <f t="shared" si="8"/>
        <v>rtdc.l.rtdc.4051:itc</v>
      </c>
      <c r="G250" s="8">
        <f t="shared" si="9"/>
        <v>42700.022650462961</v>
      </c>
    </row>
    <row r="251" spans="1:7" x14ac:dyDescent="0.25">
      <c r="A251" s="8">
        <v>42700.032500000001</v>
      </c>
      <c r="B251" t="s">
        <v>243</v>
      </c>
      <c r="C251" t="s">
        <v>305</v>
      </c>
      <c r="D251">
        <v>1800000</v>
      </c>
      <c r="E251" t="s">
        <v>307</v>
      </c>
      <c r="F251" s="21" t="str">
        <f t="shared" si="8"/>
        <v>rtdc.l.rtdc.4013:itc</v>
      </c>
      <c r="G251" s="8">
        <f t="shared" si="9"/>
        <v>42700.032500000001</v>
      </c>
    </row>
    <row r="252" spans="1:7" x14ac:dyDescent="0.25">
      <c r="A252" s="8">
        <v>42700.037488425929</v>
      </c>
      <c r="B252" t="s">
        <v>216</v>
      </c>
      <c r="C252" t="s">
        <v>325</v>
      </c>
      <c r="D252">
        <v>2600000</v>
      </c>
      <c r="E252" t="s">
        <v>272</v>
      </c>
      <c r="F252" s="21" t="str">
        <f t="shared" si="8"/>
        <v>rtdc.l.rtdc.4040:itc</v>
      </c>
      <c r="G252" s="8">
        <f t="shared" si="9"/>
        <v>42700.037488425929</v>
      </c>
    </row>
    <row r="253" spans="1:7" x14ac:dyDescent="0.25">
      <c r="A253" s="8">
        <v>42700.045208333337</v>
      </c>
      <c r="B253" t="s">
        <v>157</v>
      </c>
      <c r="C253" t="s">
        <v>310</v>
      </c>
      <c r="D253">
        <v>2530000</v>
      </c>
      <c r="E253" t="s">
        <v>308</v>
      </c>
      <c r="F253" s="21" t="str">
        <f t="shared" si="8"/>
        <v>rtdc.l.rtdc.4052:itc</v>
      </c>
      <c r="G253" s="8">
        <f t="shared" si="9"/>
        <v>42700.045208333337</v>
      </c>
    </row>
    <row r="254" spans="1:7" x14ac:dyDescent="0.25">
      <c r="A254" s="8">
        <v>42700.045347222222</v>
      </c>
      <c r="B254" t="s">
        <v>259</v>
      </c>
      <c r="C254" t="s">
        <v>326</v>
      </c>
      <c r="D254">
        <v>2630000</v>
      </c>
      <c r="E254" t="s">
        <v>273</v>
      </c>
      <c r="F254" s="21" t="str">
        <f t="shared" si="8"/>
        <v>rtdc.l.rtdc.4046:itc</v>
      </c>
      <c r="G254" s="8">
        <f t="shared" si="9"/>
        <v>42700.045347222222</v>
      </c>
    </row>
    <row r="255" spans="1:7" x14ac:dyDescent="0.25">
      <c r="A255" s="8">
        <v>42700.053495370368</v>
      </c>
      <c r="B255" t="s">
        <v>271</v>
      </c>
      <c r="C255" t="s">
        <v>327</v>
      </c>
      <c r="D255">
        <v>2000000</v>
      </c>
      <c r="E255" t="s">
        <v>220</v>
      </c>
      <c r="F255" s="21" t="str">
        <f t="shared" si="8"/>
        <v>rtdc.l.rtdc.4041:itc</v>
      </c>
      <c r="G255" s="8">
        <f t="shared" si="9"/>
        <v>42700.053495370368</v>
      </c>
    </row>
    <row r="256" spans="1:7" x14ac:dyDescent="0.25">
      <c r="A256" s="8">
        <v>42700.064895833333</v>
      </c>
      <c r="B256" t="s">
        <v>156</v>
      </c>
      <c r="C256" t="s">
        <v>309</v>
      </c>
      <c r="D256">
        <v>2530000</v>
      </c>
      <c r="E256" t="s">
        <v>308</v>
      </c>
      <c r="F256" s="21" t="str">
        <f t="shared" si="8"/>
        <v>rtdc.l.rtdc.4051:itc</v>
      </c>
      <c r="G256" s="8">
        <f t="shared" si="9"/>
        <v>42700.064895833333</v>
      </c>
    </row>
    <row r="257" spans="1:7" x14ac:dyDescent="0.25">
      <c r="A257" s="8">
        <v>42700.072881944441</v>
      </c>
      <c r="B257" t="s">
        <v>242</v>
      </c>
      <c r="C257" t="s">
        <v>328</v>
      </c>
      <c r="D257">
        <v>1800000</v>
      </c>
      <c r="E257" t="s">
        <v>307</v>
      </c>
      <c r="F257" s="21" t="str">
        <f t="shared" si="8"/>
        <v>rtdc.l.rtdc.4014:itc</v>
      </c>
      <c r="G257" s="8">
        <f t="shared" si="9"/>
        <v>42700.072881944441</v>
      </c>
    </row>
    <row r="258" spans="1:7" x14ac:dyDescent="0.25">
      <c r="A258" s="8">
        <v>42700.07576388889</v>
      </c>
      <c r="B258" t="s">
        <v>218</v>
      </c>
      <c r="C258" t="s">
        <v>329</v>
      </c>
      <c r="D258">
        <v>2600000</v>
      </c>
      <c r="E258" t="s">
        <v>272</v>
      </c>
      <c r="F258" s="21" t="str">
        <f t="shared" si="8"/>
        <v>rtdc.l.rtdc.4039:itc</v>
      </c>
      <c r="G258" s="8">
        <f t="shared" si="9"/>
        <v>42700.07576388889</v>
      </c>
    </row>
    <row r="259" spans="1:7" x14ac:dyDescent="0.25">
      <c r="A259" s="8">
        <v>42700.083275462966</v>
      </c>
      <c r="B259" t="s">
        <v>157</v>
      </c>
      <c r="C259" t="s">
        <v>310</v>
      </c>
      <c r="D259">
        <v>2530000</v>
      </c>
      <c r="E259" t="s">
        <v>308</v>
      </c>
      <c r="F259" s="21" t="str">
        <f t="shared" si="8"/>
        <v>rtdc.l.rtdc.4052:itc</v>
      </c>
      <c r="G259" s="8">
        <f t="shared" si="9"/>
        <v>42700.083275462966</v>
      </c>
    </row>
    <row r="260" spans="1:7" x14ac:dyDescent="0.25">
      <c r="A260" s="8">
        <v>42700.08734953704</v>
      </c>
      <c r="B260" t="s">
        <v>270</v>
      </c>
      <c r="C260" t="s">
        <v>330</v>
      </c>
      <c r="D260">
        <v>2000000</v>
      </c>
      <c r="E260" t="s">
        <v>220</v>
      </c>
      <c r="F260" s="21" t="str">
        <f t="shared" si="8"/>
        <v>rtdc.l.rtdc.4042:itc</v>
      </c>
      <c r="G260" s="8">
        <f t="shared" si="9"/>
        <v>42700.08734953704</v>
      </c>
    </row>
    <row r="261" spans="1:7" x14ac:dyDescent="0.25">
      <c r="A261" s="8">
        <v>42700.106736111113</v>
      </c>
      <c r="B261" t="s">
        <v>156</v>
      </c>
      <c r="C261" t="s">
        <v>309</v>
      </c>
      <c r="D261">
        <v>2530000</v>
      </c>
      <c r="E261" t="s">
        <v>308</v>
      </c>
      <c r="F261" s="21" t="str">
        <f t="shared" si="8"/>
        <v>rtdc.l.rtdc.4051:itc</v>
      </c>
      <c r="G261" s="8">
        <f t="shared" si="9"/>
        <v>42700.106736111113</v>
      </c>
    </row>
    <row r="262" spans="1:7" x14ac:dyDescent="0.25">
      <c r="A262" s="8">
        <v>42700.111076388886</v>
      </c>
      <c r="B262" t="s">
        <v>216</v>
      </c>
      <c r="C262" t="s">
        <v>331</v>
      </c>
      <c r="D262">
        <v>2600000</v>
      </c>
      <c r="E262" t="s">
        <v>272</v>
      </c>
      <c r="F262" s="21" t="str">
        <f t="shared" si="8"/>
        <v>rtdc.l.rtdc.4040:itc</v>
      </c>
      <c r="G262" s="8">
        <f t="shared" si="9"/>
        <v>42700.111076388886</v>
      </c>
    </row>
    <row r="263" spans="1:7" x14ac:dyDescent="0.25">
      <c r="A263" s="8">
        <v>42685.016226851854</v>
      </c>
      <c r="B263" t="s">
        <v>213</v>
      </c>
      <c r="C263" t="s">
        <v>231</v>
      </c>
      <c r="D263">
        <v>2000000</v>
      </c>
      <c r="E263" t="s">
        <v>220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227</v>
      </c>
      <c r="C264" t="s">
        <v>232</v>
      </c>
      <c r="D264">
        <v>2550000</v>
      </c>
      <c r="E264" t="s">
        <v>224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230</v>
      </c>
      <c r="C265" t="s">
        <v>233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223</v>
      </c>
      <c r="C266" t="s">
        <v>234</v>
      </c>
      <c r="D266">
        <v>2420000</v>
      </c>
      <c r="E266" t="s">
        <v>228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221</v>
      </c>
      <c r="C267" t="s">
        <v>235</v>
      </c>
      <c r="D267">
        <v>2000000</v>
      </c>
      <c r="E267" t="s">
        <v>220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229</v>
      </c>
      <c r="C268" t="s">
        <v>236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187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185</v>
      </c>
      <c r="C270" t="s">
        <v>188</v>
      </c>
      <c r="D270">
        <v>1480000</v>
      </c>
      <c r="E270" t="s">
        <v>183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187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187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187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O2" sqref="O2:O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175</v>
      </c>
      <c r="E1" s="164" t="s">
        <v>164</v>
      </c>
      <c r="F1" s="164" t="s">
        <v>162</v>
      </c>
      <c r="G1" s="164" t="s">
        <v>160</v>
      </c>
      <c r="H1" s="164" t="s">
        <v>601</v>
      </c>
      <c r="I1" s="164" t="s">
        <v>173</v>
      </c>
      <c r="J1" s="164" t="s">
        <v>174</v>
      </c>
      <c r="K1" s="164" t="s">
        <v>602</v>
      </c>
      <c r="L1" s="164" t="s">
        <v>168</v>
      </c>
      <c r="M1" s="164" t="s">
        <v>166</v>
      </c>
      <c r="N1" s="164" t="s">
        <v>161</v>
      </c>
      <c r="O1" s="164" t="s">
        <v>171</v>
      </c>
      <c r="P1" s="164" t="s">
        <v>165</v>
      </c>
      <c r="Q1" s="164" t="s">
        <v>172</v>
      </c>
      <c r="R1" s="164" t="s">
        <v>169</v>
      </c>
    </row>
    <row r="2" spans="1:18" x14ac:dyDescent="0.25">
      <c r="A2" s="165">
        <v>39.46</v>
      </c>
      <c r="B2" s="165">
        <v>0.91</v>
      </c>
      <c r="C2" s="165">
        <v>9.85</v>
      </c>
      <c r="D2" s="8">
        <v>42701</v>
      </c>
      <c r="E2" s="165">
        <v>0.28999999999999998</v>
      </c>
      <c r="F2" s="165" t="s">
        <v>369</v>
      </c>
      <c r="G2" s="165">
        <v>250.26</v>
      </c>
      <c r="H2" s="165"/>
      <c r="I2" s="165">
        <v>0</v>
      </c>
      <c r="J2" s="165">
        <v>0</v>
      </c>
      <c r="K2" s="165"/>
      <c r="L2" s="165">
        <v>1007.18</v>
      </c>
      <c r="M2" s="165" t="s">
        <v>371</v>
      </c>
      <c r="N2" s="165">
        <v>39.46</v>
      </c>
      <c r="O2" s="165">
        <v>1480230000</v>
      </c>
      <c r="P2" s="165">
        <v>7.13</v>
      </c>
      <c r="Q2" s="165">
        <v>268</v>
      </c>
      <c r="R2" s="165">
        <v>1.57</v>
      </c>
    </row>
    <row r="3" spans="1:18" x14ac:dyDescent="0.25">
      <c r="A3" s="165">
        <v>38.630000000000003</v>
      </c>
      <c r="B3" s="165">
        <v>0.91</v>
      </c>
      <c r="C3" s="165">
        <v>10.39</v>
      </c>
      <c r="D3" s="8">
        <v>42701.041666666664</v>
      </c>
      <c r="E3" s="165">
        <v>0.31</v>
      </c>
      <c r="F3" s="165" t="s">
        <v>369</v>
      </c>
      <c r="G3" s="165">
        <v>250.2</v>
      </c>
      <c r="H3" s="165"/>
      <c r="I3" s="165">
        <v>0</v>
      </c>
      <c r="J3" s="165">
        <v>0</v>
      </c>
      <c r="K3" s="165"/>
      <c r="L3" s="165">
        <v>1005.89</v>
      </c>
      <c r="M3" s="165" t="s">
        <v>371</v>
      </c>
      <c r="N3" s="165">
        <v>38.630000000000003</v>
      </c>
      <c r="O3" s="165">
        <v>1480233600</v>
      </c>
      <c r="P3" s="165">
        <v>6.73</v>
      </c>
      <c r="Q3" s="165">
        <v>249</v>
      </c>
      <c r="R3" s="165">
        <v>2.29</v>
      </c>
    </row>
    <row r="4" spans="1:18" x14ac:dyDescent="0.25">
      <c r="A4" s="165">
        <v>38.200000000000003</v>
      </c>
      <c r="B4" s="165">
        <v>0.86</v>
      </c>
      <c r="C4" s="165">
        <v>10.07</v>
      </c>
      <c r="D4" s="8">
        <v>42701.083333333336</v>
      </c>
      <c r="E4" s="165">
        <v>0.31</v>
      </c>
      <c r="F4" s="165" t="s">
        <v>369</v>
      </c>
      <c r="G4" s="165">
        <v>250.13</v>
      </c>
      <c r="H4" s="165"/>
      <c r="I4" s="165">
        <v>0</v>
      </c>
      <c r="J4" s="165">
        <v>0</v>
      </c>
      <c r="K4" s="165"/>
      <c r="L4" s="165">
        <v>1004.87</v>
      </c>
      <c r="M4" s="165" t="s">
        <v>371</v>
      </c>
      <c r="N4" s="165">
        <v>38.200000000000003</v>
      </c>
      <c r="O4" s="165">
        <v>1480237200</v>
      </c>
      <c r="P4" s="165">
        <v>5.33</v>
      </c>
      <c r="Q4" s="165">
        <v>325</v>
      </c>
      <c r="R4" s="165">
        <v>2.0299999999999998</v>
      </c>
    </row>
    <row r="5" spans="1:18" x14ac:dyDescent="0.25">
      <c r="A5" s="165">
        <v>36.89</v>
      </c>
      <c r="B5" s="165">
        <v>0.86</v>
      </c>
      <c r="C5" s="165">
        <v>10.02</v>
      </c>
      <c r="D5" s="8">
        <v>42701.125</v>
      </c>
      <c r="E5" s="165">
        <v>0.32</v>
      </c>
      <c r="F5" s="165" t="s">
        <v>369</v>
      </c>
      <c r="G5" s="165">
        <v>255.75</v>
      </c>
      <c r="H5" s="165"/>
      <c r="I5" s="165">
        <v>0</v>
      </c>
      <c r="J5" s="165">
        <v>0</v>
      </c>
      <c r="K5" s="165"/>
      <c r="L5" s="165">
        <v>1003</v>
      </c>
      <c r="M5" s="165" t="s">
        <v>371</v>
      </c>
      <c r="N5" s="165">
        <v>36.89</v>
      </c>
      <c r="O5" s="165">
        <v>1480240800</v>
      </c>
      <c r="P5" s="165">
        <v>4.68</v>
      </c>
      <c r="Q5" s="165">
        <v>288</v>
      </c>
      <c r="R5" s="165">
        <v>1.29</v>
      </c>
    </row>
    <row r="6" spans="1:18" x14ac:dyDescent="0.25">
      <c r="A6" s="165">
        <v>35.520000000000003</v>
      </c>
      <c r="B6" s="165">
        <v>0.86</v>
      </c>
      <c r="C6" s="165">
        <v>11.4</v>
      </c>
      <c r="D6" s="8">
        <v>42701.166666666664</v>
      </c>
      <c r="E6" s="165">
        <v>0.36</v>
      </c>
      <c r="F6" s="165" t="s">
        <v>369</v>
      </c>
      <c r="G6" s="165">
        <v>263.75</v>
      </c>
      <c r="H6" s="165"/>
      <c r="I6" s="165">
        <v>0</v>
      </c>
      <c r="J6" s="165">
        <v>0</v>
      </c>
      <c r="K6" s="165"/>
      <c r="L6" s="165">
        <v>1000.79</v>
      </c>
      <c r="M6" s="165" t="s">
        <v>371</v>
      </c>
      <c r="N6" s="165">
        <v>35.520000000000003</v>
      </c>
      <c r="O6" s="165">
        <v>1480244400</v>
      </c>
      <c r="P6" s="165">
        <v>4.9000000000000004</v>
      </c>
      <c r="Q6" s="165">
        <v>276</v>
      </c>
      <c r="R6" s="165">
        <v>0.91</v>
      </c>
    </row>
    <row r="7" spans="1:18" x14ac:dyDescent="0.25">
      <c r="A7" s="165">
        <v>34.86</v>
      </c>
      <c r="B7" s="165">
        <v>0.81</v>
      </c>
      <c r="C7" s="165">
        <v>11.64</v>
      </c>
      <c r="D7" s="8">
        <v>42701.208333333336</v>
      </c>
      <c r="E7" s="165">
        <v>0.38</v>
      </c>
      <c r="F7" s="165" t="s">
        <v>369</v>
      </c>
      <c r="G7" s="165">
        <v>271.33</v>
      </c>
      <c r="H7" s="165"/>
      <c r="I7" s="165">
        <v>0</v>
      </c>
      <c r="J7" s="165">
        <v>0</v>
      </c>
      <c r="K7" s="165"/>
      <c r="L7" s="165">
        <v>998.97</v>
      </c>
      <c r="M7" s="165" t="s">
        <v>371</v>
      </c>
      <c r="N7" s="165">
        <v>34.86</v>
      </c>
      <c r="O7" s="165">
        <v>1480248000</v>
      </c>
      <c r="P7" s="165">
        <v>6.87</v>
      </c>
      <c r="Q7" s="165">
        <v>318</v>
      </c>
      <c r="R7" s="165">
        <v>1.39</v>
      </c>
    </row>
    <row r="8" spans="1:18" x14ac:dyDescent="0.25">
      <c r="A8" s="165">
        <v>33.92</v>
      </c>
      <c r="B8" s="165">
        <v>0.8</v>
      </c>
      <c r="C8" s="165">
        <v>12.6</v>
      </c>
      <c r="D8" s="8">
        <v>42701.25</v>
      </c>
      <c r="E8" s="165">
        <v>0.41</v>
      </c>
      <c r="F8" s="165" t="s">
        <v>369</v>
      </c>
      <c r="G8" s="165">
        <v>277.63</v>
      </c>
      <c r="H8" s="165">
        <v>6.0000000000000001E-3</v>
      </c>
      <c r="I8" s="165">
        <v>8.0000000000000004E-4</v>
      </c>
      <c r="J8" s="165">
        <v>0.01</v>
      </c>
      <c r="K8" s="165" t="s">
        <v>603</v>
      </c>
      <c r="L8" s="165">
        <v>997.99</v>
      </c>
      <c r="M8" s="165" t="s">
        <v>371</v>
      </c>
      <c r="N8" s="165">
        <v>33.92</v>
      </c>
      <c r="O8" s="165">
        <v>1480251600</v>
      </c>
      <c r="P8" s="165">
        <v>4.9000000000000004</v>
      </c>
      <c r="Q8" s="165">
        <v>286</v>
      </c>
      <c r="R8" s="165">
        <v>1.53</v>
      </c>
    </row>
    <row r="9" spans="1:18" x14ac:dyDescent="0.25">
      <c r="A9" s="165">
        <v>34.270000000000003</v>
      </c>
      <c r="B9" s="165">
        <v>0.83</v>
      </c>
      <c r="C9" s="165">
        <v>14.7</v>
      </c>
      <c r="D9" s="8">
        <v>42701.291666666664</v>
      </c>
      <c r="E9" s="165">
        <v>0.44</v>
      </c>
      <c r="F9" s="165" t="s">
        <v>369</v>
      </c>
      <c r="G9" s="165">
        <v>283.51</v>
      </c>
      <c r="H9" s="165">
        <v>1.2E-2</v>
      </c>
      <c r="I9" s="165">
        <v>1.6000000000000001E-3</v>
      </c>
      <c r="J9" s="165">
        <v>0.04</v>
      </c>
      <c r="K9" s="165" t="s">
        <v>603</v>
      </c>
      <c r="L9" s="165">
        <v>997.44</v>
      </c>
      <c r="M9" s="165" t="s">
        <v>371</v>
      </c>
      <c r="N9" s="165">
        <v>34.270000000000003</v>
      </c>
      <c r="O9" s="165">
        <v>1480255200</v>
      </c>
      <c r="P9" s="165">
        <v>4.09</v>
      </c>
      <c r="Q9" s="165">
        <v>290</v>
      </c>
      <c r="R9" s="165">
        <v>2.38</v>
      </c>
    </row>
    <row r="10" spans="1:18" x14ac:dyDescent="0.25">
      <c r="A10" s="165">
        <v>37.479999999999997</v>
      </c>
      <c r="B10" s="165">
        <v>0.8</v>
      </c>
      <c r="C10" s="165">
        <v>18.68</v>
      </c>
      <c r="D10" s="8">
        <v>42701.333333333336</v>
      </c>
      <c r="E10" s="165">
        <v>0.46</v>
      </c>
      <c r="F10" s="165" t="s">
        <v>370</v>
      </c>
      <c r="G10" s="165">
        <v>288.77999999999997</v>
      </c>
      <c r="H10" s="165"/>
      <c r="I10" s="165">
        <v>2.7000000000000001E-3</v>
      </c>
      <c r="J10" s="165">
        <v>0.09</v>
      </c>
      <c r="K10" s="165" t="s">
        <v>604</v>
      </c>
      <c r="L10" s="165">
        <v>996.74</v>
      </c>
      <c r="M10" s="165" t="s">
        <v>371</v>
      </c>
      <c r="N10" s="165">
        <v>37.479999999999997</v>
      </c>
      <c r="O10" s="165">
        <v>1480258800</v>
      </c>
      <c r="P10" s="165">
        <v>3.75</v>
      </c>
      <c r="Q10" s="165">
        <v>319</v>
      </c>
      <c r="R10" s="165">
        <v>2.89</v>
      </c>
    </row>
    <row r="11" spans="1:18" x14ac:dyDescent="0.25">
      <c r="A11" s="165">
        <v>36.89</v>
      </c>
      <c r="B11" s="165">
        <v>0.68</v>
      </c>
      <c r="C11" s="165">
        <v>22.8</v>
      </c>
      <c r="D11" s="8">
        <v>42701.375</v>
      </c>
      <c r="E11" s="165">
        <v>0.52</v>
      </c>
      <c r="F11" s="165" t="s">
        <v>370</v>
      </c>
      <c r="G11" s="165">
        <v>293.52999999999997</v>
      </c>
      <c r="H11" s="165"/>
      <c r="I11" s="165">
        <v>3.3E-3</v>
      </c>
      <c r="J11" s="165">
        <v>0.12</v>
      </c>
      <c r="K11" s="165" t="s">
        <v>604</v>
      </c>
      <c r="L11" s="165">
        <v>995.45</v>
      </c>
      <c r="M11" s="165" t="s">
        <v>371</v>
      </c>
      <c r="N11" s="165">
        <v>39.1</v>
      </c>
      <c r="O11" s="165">
        <v>1480262400</v>
      </c>
      <c r="P11" s="165">
        <v>3.86</v>
      </c>
      <c r="Q11" s="165">
        <v>306</v>
      </c>
      <c r="R11" s="165">
        <v>3.4</v>
      </c>
    </row>
    <row r="12" spans="1:18" x14ac:dyDescent="0.25">
      <c r="A12" s="165">
        <v>40.799999999999997</v>
      </c>
      <c r="B12" s="165">
        <v>0.66</v>
      </c>
      <c r="C12" s="165">
        <v>27.16</v>
      </c>
      <c r="D12" s="8">
        <v>42701.416666666664</v>
      </c>
      <c r="E12" s="165">
        <v>0.55000000000000004</v>
      </c>
      <c r="F12" s="165" t="s">
        <v>370</v>
      </c>
      <c r="G12" s="165">
        <v>297.66000000000003</v>
      </c>
      <c r="H12" s="165"/>
      <c r="I12" s="165">
        <v>1.1000000000000001E-3</v>
      </c>
      <c r="J12" s="165">
        <v>0.02</v>
      </c>
      <c r="K12" s="165" t="s">
        <v>604</v>
      </c>
      <c r="L12" s="165">
        <v>994.07</v>
      </c>
      <c r="M12" s="165" t="s">
        <v>371</v>
      </c>
      <c r="N12" s="165">
        <v>42.37</v>
      </c>
      <c r="O12" s="165">
        <v>1480266000</v>
      </c>
      <c r="P12" s="165">
        <v>3.56</v>
      </c>
      <c r="Q12" s="165">
        <v>326</v>
      </c>
      <c r="R12" s="165">
        <v>3.23</v>
      </c>
    </row>
    <row r="13" spans="1:18" x14ac:dyDescent="0.25">
      <c r="A13" s="165">
        <v>44.91</v>
      </c>
      <c r="B13" s="165">
        <v>0.64</v>
      </c>
      <c r="C13" s="165">
        <v>27.62</v>
      </c>
      <c r="D13" s="8">
        <v>42701.458333333336</v>
      </c>
      <c r="E13" s="165">
        <v>0.5</v>
      </c>
      <c r="F13" s="165" t="s">
        <v>370</v>
      </c>
      <c r="G13" s="165">
        <v>300.74</v>
      </c>
      <c r="H13" s="165"/>
      <c r="I13" s="165">
        <v>8.9999999999999998E-4</v>
      </c>
      <c r="J13" s="165">
        <v>0.01</v>
      </c>
      <c r="K13" s="165" t="s">
        <v>604</v>
      </c>
      <c r="L13" s="165">
        <v>993.16</v>
      </c>
      <c r="M13" s="165" t="s">
        <v>371</v>
      </c>
      <c r="N13" s="165">
        <v>44.91</v>
      </c>
      <c r="O13" s="165">
        <v>1480269600</v>
      </c>
      <c r="P13" s="165">
        <v>3.56</v>
      </c>
      <c r="Q13" s="165">
        <v>276</v>
      </c>
      <c r="R13" s="165">
        <v>1.94</v>
      </c>
    </row>
    <row r="14" spans="1:18" x14ac:dyDescent="0.25">
      <c r="A14" s="165">
        <v>47.13</v>
      </c>
      <c r="B14" s="165">
        <v>0.68</v>
      </c>
      <c r="C14" s="165">
        <v>24.3</v>
      </c>
      <c r="D14" s="8">
        <v>42701.5</v>
      </c>
      <c r="E14" s="165">
        <v>0.37</v>
      </c>
      <c r="F14" s="165" t="s">
        <v>370</v>
      </c>
      <c r="G14" s="165">
        <v>302.36</v>
      </c>
      <c r="H14" s="165"/>
      <c r="I14" s="165">
        <v>0</v>
      </c>
      <c r="J14" s="165">
        <v>0</v>
      </c>
      <c r="K14" s="165"/>
      <c r="L14" s="165">
        <v>992.86</v>
      </c>
      <c r="M14" s="165" t="s">
        <v>371</v>
      </c>
      <c r="N14" s="165">
        <v>49.56</v>
      </c>
      <c r="O14" s="165">
        <v>1480273200</v>
      </c>
      <c r="P14" s="165">
        <v>3.56</v>
      </c>
      <c r="Q14" s="165">
        <v>278</v>
      </c>
      <c r="R14" s="165">
        <v>6.03</v>
      </c>
    </row>
    <row r="15" spans="1:18" x14ac:dyDescent="0.25">
      <c r="A15" s="165">
        <v>50.05</v>
      </c>
      <c r="B15" s="165">
        <v>0.77</v>
      </c>
      <c r="C15" s="165">
        <v>18.75</v>
      </c>
      <c r="D15" s="8">
        <v>42701.541666666664</v>
      </c>
      <c r="E15" s="165">
        <v>0.28999999999999998</v>
      </c>
      <c r="F15" s="165" t="s">
        <v>370</v>
      </c>
      <c r="G15" s="165">
        <v>302.92</v>
      </c>
      <c r="H15" s="165"/>
      <c r="I15" s="165">
        <v>0</v>
      </c>
      <c r="J15" s="165">
        <v>0</v>
      </c>
      <c r="K15" s="165"/>
      <c r="L15" s="165">
        <v>992.93</v>
      </c>
      <c r="M15" s="165" t="s">
        <v>371</v>
      </c>
      <c r="N15" s="165">
        <v>50.05</v>
      </c>
      <c r="O15" s="165">
        <v>1480276800</v>
      </c>
      <c r="P15" s="165">
        <v>3.63</v>
      </c>
      <c r="Q15" s="165">
        <v>301</v>
      </c>
      <c r="R15" s="165">
        <v>8.2100000000000009</v>
      </c>
    </row>
    <row r="16" spans="1:18" x14ac:dyDescent="0.25">
      <c r="A16" s="165">
        <v>45.36</v>
      </c>
      <c r="B16" s="165">
        <v>0.65</v>
      </c>
      <c r="C16" s="165">
        <v>15.31</v>
      </c>
      <c r="D16" s="8">
        <v>42701.583333333336</v>
      </c>
      <c r="E16" s="165">
        <v>0.25</v>
      </c>
      <c r="F16" s="165" t="s">
        <v>370</v>
      </c>
      <c r="G16" s="165">
        <v>303.19</v>
      </c>
      <c r="H16" s="165"/>
      <c r="I16" s="165">
        <v>0</v>
      </c>
      <c r="J16" s="165">
        <v>0</v>
      </c>
      <c r="K16" s="165"/>
      <c r="L16" s="165">
        <v>993.2</v>
      </c>
      <c r="M16" s="165" t="s">
        <v>371</v>
      </c>
      <c r="N16" s="165">
        <v>49.31</v>
      </c>
      <c r="O16" s="165">
        <v>1480280400</v>
      </c>
      <c r="P16" s="165">
        <v>4.7699999999999996</v>
      </c>
      <c r="Q16" s="165">
        <v>300</v>
      </c>
      <c r="R16" s="165">
        <v>9.5</v>
      </c>
    </row>
    <row r="17" spans="1:18" x14ac:dyDescent="0.25">
      <c r="A17" s="165">
        <v>44.87</v>
      </c>
      <c r="B17" s="165">
        <v>0.7</v>
      </c>
      <c r="C17" s="165">
        <v>16.32</v>
      </c>
      <c r="D17" s="8">
        <v>42701.625</v>
      </c>
      <c r="E17" s="165">
        <v>0.27</v>
      </c>
      <c r="F17" s="165" t="s">
        <v>370</v>
      </c>
      <c r="G17" s="165">
        <v>303.23</v>
      </c>
      <c r="H17" s="165"/>
      <c r="I17" s="165">
        <v>0</v>
      </c>
      <c r="J17" s="165">
        <v>0</v>
      </c>
      <c r="K17" s="165"/>
      <c r="L17" s="165">
        <v>993.66</v>
      </c>
      <c r="M17" s="165" t="s">
        <v>371</v>
      </c>
      <c r="N17" s="165">
        <v>48.86</v>
      </c>
      <c r="O17" s="165">
        <v>1480284000</v>
      </c>
      <c r="P17" s="165">
        <v>4.9400000000000004</v>
      </c>
      <c r="Q17" s="165">
        <v>292</v>
      </c>
      <c r="R17" s="165">
        <v>9.33</v>
      </c>
    </row>
    <row r="18" spans="1:18" x14ac:dyDescent="0.25">
      <c r="A18" s="165">
        <v>42.57</v>
      </c>
      <c r="B18" s="165">
        <v>0.75</v>
      </c>
      <c r="C18" s="165">
        <v>17.03</v>
      </c>
      <c r="D18" s="8">
        <v>42701.666666666664</v>
      </c>
      <c r="E18" s="165">
        <v>0.3</v>
      </c>
      <c r="F18" s="165" t="s">
        <v>370</v>
      </c>
      <c r="G18" s="165">
        <v>302.98</v>
      </c>
      <c r="H18" s="165"/>
      <c r="I18" s="165">
        <v>0</v>
      </c>
      <c r="J18" s="165">
        <v>0</v>
      </c>
      <c r="K18" s="165"/>
      <c r="L18" s="165">
        <v>994.3</v>
      </c>
      <c r="M18" s="165" t="s">
        <v>371</v>
      </c>
      <c r="N18" s="165">
        <v>46.69</v>
      </c>
      <c r="O18" s="165">
        <v>1480287600</v>
      </c>
      <c r="P18" s="165">
        <v>5.0599999999999996</v>
      </c>
      <c r="Q18" s="165">
        <v>300</v>
      </c>
      <c r="R18" s="165">
        <v>8.3699999999999992</v>
      </c>
    </row>
    <row r="19" spans="1:18" x14ac:dyDescent="0.25">
      <c r="A19" s="165">
        <v>41.02</v>
      </c>
      <c r="B19" s="165">
        <v>0.87</v>
      </c>
      <c r="C19" s="165">
        <v>15.66</v>
      </c>
      <c r="D19" s="8">
        <v>42701.708333333336</v>
      </c>
      <c r="E19" s="165">
        <v>0.31</v>
      </c>
      <c r="F19" s="165" t="s">
        <v>369</v>
      </c>
      <c r="G19" s="165">
        <v>303.05</v>
      </c>
      <c r="H19" s="165"/>
      <c r="I19" s="165">
        <v>0</v>
      </c>
      <c r="J19" s="165">
        <v>0</v>
      </c>
      <c r="K19" s="165"/>
      <c r="L19" s="165">
        <v>994.96</v>
      </c>
      <c r="M19" s="165" t="s">
        <v>371</v>
      </c>
      <c r="N19" s="165">
        <v>44.63</v>
      </c>
      <c r="O19" s="165">
        <v>1480291200</v>
      </c>
      <c r="P19" s="165">
        <v>5.45</v>
      </c>
      <c r="Q19" s="165">
        <v>292</v>
      </c>
      <c r="R19" s="165">
        <v>6.43</v>
      </c>
    </row>
    <row r="20" spans="1:18" x14ac:dyDescent="0.25">
      <c r="A20" s="165">
        <v>39.619999999999997</v>
      </c>
      <c r="B20" s="165">
        <v>0.8</v>
      </c>
      <c r="C20" s="165">
        <v>15.75</v>
      </c>
      <c r="D20" s="8">
        <v>42701.75</v>
      </c>
      <c r="E20" s="165">
        <v>0.32</v>
      </c>
      <c r="F20" s="165" t="s">
        <v>369</v>
      </c>
      <c r="G20" s="165">
        <v>303.83</v>
      </c>
      <c r="H20" s="165"/>
      <c r="I20" s="165">
        <v>0</v>
      </c>
      <c r="J20" s="165">
        <v>0</v>
      </c>
      <c r="K20" s="165"/>
      <c r="L20" s="165">
        <v>995.11</v>
      </c>
      <c r="M20" s="165" t="s">
        <v>371</v>
      </c>
      <c r="N20" s="165">
        <v>43.43</v>
      </c>
      <c r="O20" s="165">
        <v>1480294800</v>
      </c>
      <c r="P20" s="165">
        <v>6.17</v>
      </c>
      <c r="Q20" s="165">
        <v>288</v>
      </c>
      <c r="R20" s="165">
        <v>6.37</v>
      </c>
    </row>
    <row r="21" spans="1:18" x14ac:dyDescent="0.25">
      <c r="A21" s="165">
        <v>38.86</v>
      </c>
      <c r="B21" s="165">
        <v>0.69</v>
      </c>
      <c r="C21" s="165">
        <v>17.22</v>
      </c>
      <c r="D21" s="8">
        <v>42701.791666666664</v>
      </c>
      <c r="E21" s="165">
        <v>0.36</v>
      </c>
      <c r="F21" s="165" t="s">
        <v>369</v>
      </c>
      <c r="G21" s="165">
        <v>304.94</v>
      </c>
      <c r="H21" s="165"/>
      <c r="I21" s="165">
        <v>0</v>
      </c>
      <c r="J21" s="165">
        <v>0</v>
      </c>
      <c r="K21" s="165"/>
      <c r="L21" s="165">
        <v>995.48</v>
      </c>
      <c r="M21" s="165" t="s">
        <v>371</v>
      </c>
      <c r="N21" s="165">
        <v>42.4</v>
      </c>
      <c r="O21" s="165">
        <v>1480298400</v>
      </c>
      <c r="P21" s="165">
        <v>7.31</v>
      </c>
      <c r="Q21" s="165">
        <v>280</v>
      </c>
      <c r="R21" s="165">
        <v>5.62</v>
      </c>
    </row>
    <row r="22" spans="1:18" x14ac:dyDescent="0.25">
      <c r="A22" s="165">
        <v>38.54</v>
      </c>
      <c r="B22" s="165">
        <v>0.63</v>
      </c>
      <c r="C22" s="165">
        <v>16.45</v>
      </c>
      <c r="D22" s="8">
        <v>42701.833333333336</v>
      </c>
      <c r="E22" s="165">
        <v>0.36</v>
      </c>
      <c r="F22" s="165" t="s">
        <v>369</v>
      </c>
      <c r="G22" s="165">
        <v>305.83</v>
      </c>
      <c r="H22" s="165"/>
      <c r="I22" s="165">
        <v>0</v>
      </c>
      <c r="J22" s="165">
        <v>0</v>
      </c>
      <c r="K22" s="165"/>
      <c r="L22" s="165">
        <v>995.8</v>
      </c>
      <c r="M22" s="165" t="s">
        <v>371</v>
      </c>
      <c r="N22" s="165">
        <v>41.69</v>
      </c>
      <c r="O22" s="165">
        <v>1480302000</v>
      </c>
      <c r="P22" s="165">
        <v>6.87</v>
      </c>
      <c r="Q22" s="165">
        <v>269</v>
      </c>
      <c r="R22" s="165">
        <v>4.8899999999999997</v>
      </c>
    </row>
    <row r="23" spans="1:18" x14ac:dyDescent="0.25">
      <c r="A23" s="165">
        <v>38.130000000000003</v>
      </c>
      <c r="B23" s="165">
        <v>0.74</v>
      </c>
      <c r="C23" s="165">
        <v>14.99</v>
      </c>
      <c r="D23" s="8">
        <v>42701.875</v>
      </c>
      <c r="E23" s="165">
        <v>0.34</v>
      </c>
      <c r="F23" s="165" t="s">
        <v>369</v>
      </c>
      <c r="G23" s="165">
        <v>306.25</v>
      </c>
      <c r="H23" s="165"/>
      <c r="I23" s="165">
        <v>0</v>
      </c>
      <c r="J23" s="165">
        <v>0</v>
      </c>
      <c r="K23" s="165"/>
      <c r="L23" s="165">
        <v>995.88</v>
      </c>
      <c r="M23" s="165" t="s">
        <v>371</v>
      </c>
      <c r="N23" s="165">
        <v>41.06</v>
      </c>
      <c r="O23" s="165">
        <v>1480305600</v>
      </c>
      <c r="P23" s="165">
        <v>5.9</v>
      </c>
      <c r="Q23" s="165">
        <v>281</v>
      </c>
      <c r="R23" s="165">
        <v>4.4800000000000004</v>
      </c>
    </row>
    <row r="24" spans="1:18" x14ac:dyDescent="0.25">
      <c r="A24" s="165">
        <v>37.31</v>
      </c>
      <c r="B24" s="165">
        <v>0.83</v>
      </c>
      <c r="C24" s="165">
        <v>14</v>
      </c>
      <c r="D24" s="8">
        <v>42701.916666666664</v>
      </c>
      <c r="E24" s="165">
        <v>0.33</v>
      </c>
      <c r="F24" s="165" t="s">
        <v>369</v>
      </c>
      <c r="G24" s="165">
        <v>306.45</v>
      </c>
      <c r="H24" s="165"/>
      <c r="I24" s="165">
        <v>0</v>
      </c>
      <c r="J24" s="165">
        <v>0</v>
      </c>
      <c r="K24" s="165"/>
      <c r="L24" s="165">
        <v>995.84</v>
      </c>
      <c r="M24" s="165" t="s">
        <v>371</v>
      </c>
      <c r="N24" s="165">
        <v>40.6</v>
      </c>
      <c r="O24" s="165">
        <v>1480309200</v>
      </c>
      <c r="P24" s="165">
        <v>10</v>
      </c>
      <c r="Q24" s="165">
        <v>293</v>
      </c>
      <c r="R24" s="165">
        <v>4.83</v>
      </c>
    </row>
    <row r="25" spans="1:18" x14ac:dyDescent="0.25">
      <c r="A25" s="165">
        <v>33.6</v>
      </c>
      <c r="B25" s="165">
        <v>0.84</v>
      </c>
      <c r="C25" s="165">
        <v>12.55</v>
      </c>
      <c r="D25" s="8">
        <v>42701.958333333336</v>
      </c>
      <c r="E25" s="165">
        <v>0.33</v>
      </c>
      <c r="F25" s="165" t="s">
        <v>369</v>
      </c>
      <c r="G25" s="165">
        <v>306.67</v>
      </c>
      <c r="H25" s="165"/>
      <c r="I25" s="165">
        <v>0</v>
      </c>
      <c r="J25" s="165">
        <v>0</v>
      </c>
      <c r="K25" s="165"/>
      <c r="L25" s="165">
        <v>995.88</v>
      </c>
      <c r="M25" s="165" t="s">
        <v>371</v>
      </c>
      <c r="N25" s="165">
        <v>39.53</v>
      </c>
      <c r="O25" s="165">
        <v>1480312800</v>
      </c>
      <c r="P25" s="165">
        <v>6.68</v>
      </c>
      <c r="Q25" s="165">
        <v>301</v>
      </c>
      <c r="R25" s="165">
        <v>8.82</v>
      </c>
    </row>
    <row r="26" spans="1:18" x14ac:dyDescent="0.25">
      <c r="A26" s="165">
        <v>34.42</v>
      </c>
      <c r="B26" s="165">
        <v>0.83</v>
      </c>
      <c r="C26" s="165">
        <v>12.36</v>
      </c>
      <c r="D26" s="8">
        <v>42702</v>
      </c>
      <c r="E26" s="165">
        <v>0.33</v>
      </c>
      <c r="F26" s="165" t="s">
        <v>369</v>
      </c>
      <c r="G26" s="165">
        <v>307.01</v>
      </c>
      <c r="H26" s="165"/>
      <c r="I26" s="165">
        <v>0</v>
      </c>
      <c r="J26" s="165">
        <v>0</v>
      </c>
      <c r="K26" s="165"/>
      <c r="L26" s="165">
        <v>996.56</v>
      </c>
      <c r="M26" s="165" t="s">
        <v>371</v>
      </c>
      <c r="N26" s="165">
        <v>38.86</v>
      </c>
      <c r="O26" s="165">
        <v>1480316400</v>
      </c>
      <c r="P26" s="165">
        <v>6.96</v>
      </c>
      <c r="Q26" s="165">
        <v>320</v>
      </c>
      <c r="R26" s="165">
        <v>5.97</v>
      </c>
    </row>
    <row r="27" spans="1:18" x14ac:dyDescent="0.25">
      <c r="A27" s="165">
        <v>34.24</v>
      </c>
      <c r="B27" s="165">
        <v>0.89</v>
      </c>
      <c r="C27" s="165">
        <v>11.08</v>
      </c>
      <c r="D27" s="8">
        <v>42702.041666666664</v>
      </c>
      <c r="E27" s="165">
        <v>0.31</v>
      </c>
      <c r="F27" s="165" t="s">
        <v>369</v>
      </c>
      <c r="G27" s="165">
        <v>307.33999999999997</v>
      </c>
      <c r="H27" s="165"/>
      <c r="I27" s="165">
        <v>0</v>
      </c>
      <c r="J27" s="165">
        <v>0</v>
      </c>
      <c r="K27" s="165"/>
      <c r="L27" s="165">
        <v>997.07</v>
      </c>
      <c r="M27" s="165" t="s">
        <v>371</v>
      </c>
      <c r="N27" s="165">
        <v>38.96</v>
      </c>
      <c r="O27" s="165">
        <v>1480320000</v>
      </c>
      <c r="P27" s="165">
        <v>6.64</v>
      </c>
      <c r="Q27" s="165">
        <v>322</v>
      </c>
      <c r="R27" s="165">
        <v>6.42</v>
      </c>
    </row>
    <row r="28" spans="1:18" x14ac:dyDescent="0.25">
      <c r="A28" s="165">
        <v>35.49</v>
      </c>
      <c r="B28" s="165">
        <v>0.92</v>
      </c>
      <c r="C28" s="165">
        <v>11.29</v>
      </c>
      <c r="D28" s="8">
        <v>42702.083333333336</v>
      </c>
      <c r="E28" s="165">
        <v>0.31</v>
      </c>
      <c r="F28" s="165" t="s">
        <v>369</v>
      </c>
      <c r="G28" s="165">
        <v>307.67</v>
      </c>
      <c r="H28" s="165"/>
      <c r="I28" s="165">
        <v>0</v>
      </c>
      <c r="J28" s="165">
        <v>0</v>
      </c>
      <c r="K28" s="165"/>
      <c r="L28" s="165">
        <v>997.48</v>
      </c>
      <c r="M28" s="165" t="s">
        <v>371</v>
      </c>
      <c r="N28" s="165">
        <v>39.229999999999997</v>
      </c>
      <c r="O28" s="165">
        <v>1480323600</v>
      </c>
      <c r="P28" s="165">
        <v>4.47</v>
      </c>
      <c r="Q28" s="165">
        <v>318</v>
      </c>
      <c r="R28" s="165">
        <v>5.0999999999999996</v>
      </c>
    </row>
    <row r="29" spans="1:18" x14ac:dyDescent="0.25">
      <c r="A29" s="165">
        <v>29.8</v>
      </c>
      <c r="B29" s="165">
        <v>0.92</v>
      </c>
      <c r="C29" s="165">
        <v>9.66</v>
      </c>
      <c r="D29" s="8">
        <v>42702.125</v>
      </c>
      <c r="E29" s="165">
        <v>0.35</v>
      </c>
      <c r="F29" s="165" t="s">
        <v>369</v>
      </c>
      <c r="G29" s="165">
        <v>307.52999999999997</v>
      </c>
      <c r="H29" s="165"/>
      <c r="I29" s="165">
        <v>0</v>
      </c>
      <c r="J29" s="165">
        <v>0</v>
      </c>
      <c r="K29" s="165"/>
      <c r="L29" s="165">
        <v>998</v>
      </c>
      <c r="M29" s="165" t="s">
        <v>371</v>
      </c>
      <c r="N29" s="165">
        <v>34.590000000000003</v>
      </c>
      <c r="O29" s="165">
        <v>1480327200</v>
      </c>
      <c r="P29" s="165">
        <v>6.82</v>
      </c>
      <c r="Q29" s="165">
        <v>316</v>
      </c>
      <c r="R29" s="165">
        <v>5.37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207</v>
      </c>
    </row>
    <row r="33" spans="1:1" x14ac:dyDescent="0.25">
      <c r="A33" s="133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60"/>
  <sheetViews>
    <sheetView topLeftCell="A2"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209</v>
      </c>
      <c r="J17" s="33"/>
      <c r="K17" s="34"/>
      <c r="L17" s="34"/>
    </row>
    <row r="18" spans="3:13" x14ac:dyDescent="0.25">
      <c r="C18" t="s">
        <v>779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779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780</v>
      </c>
      <c r="J20" t="s">
        <v>87</v>
      </c>
      <c r="M20" s="68" t="s">
        <v>796</v>
      </c>
    </row>
    <row r="21" spans="3:13" x14ac:dyDescent="0.25">
      <c r="C21" t="s">
        <v>781</v>
      </c>
      <c r="J21" s="21" t="s">
        <v>90</v>
      </c>
      <c r="K21" s="21" t="s">
        <v>91</v>
      </c>
      <c r="M21" s="68" t="s">
        <v>184</v>
      </c>
    </row>
    <row r="22" spans="3:13" x14ac:dyDescent="0.25">
      <c r="C22" t="s">
        <v>781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782</v>
      </c>
      <c r="J23" s="29" t="s">
        <v>95</v>
      </c>
      <c r="K23" s="21"/>
      <c r="M23" s="69">
        <v>-7</v>
      </c>
    </row>
    <row r="24" spans="3:13" x14ac:dyDescent="0.25">
      <c r="C24" t="s">
        <v>782</v>
      </c>
      <c r="J24" s="21" t="s">
        <v>108</v>
      </c>
      <c r="K24" s="21"/>
      <c r="M24" s="68" t="s">
        <v>110</v>
      </c>
    </row>
    <row r="25" spans="3:13" x14ac:dyDescent="0.25">
      <c r="C25" t="s">
        <v>783</v>
      </c>
      <c r="J25" t="s">
        <v>151</v>
      </c>
      <c r="M25" s="68" t="b">
        <v>1</v>
      </c>
    </row>
    <row r="26" spans="3:13" x14ac:dyDescent="0.25">
      <c r="C26" t="s">
        <v>781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C:\Users\stu\Documents\GitHub\eaglep3-reporting\EC\2016-11-27-refined-times.txt</v>
      </c>
    </row>
    <row r="27" spans="3:13" x14ac:dyDescent="0.25">
      <c r="C27" t="s">
        <v>781</v>
      </c>
      <c r="J27" t="s">
        <v>190</v>
      </c>
      <c r="M27" s="68" t="str">
        <f>"C:\Users\stu\Documents\GitHub\eaglep3-reporting\EC\"&amp;TEXT(A2,"YYYY-MM-DD")&amp;"-Enforcements.txt"</f>
        <v>C:\Users\stu\Documents\GitHub\eaglep3-reporting\EC\2016-11-27-Enforcements.txt</v>
      </c>
    </row>
    <row r="28" spans="3:13" x14ac:dyDescent="0.25">
      <c r="C28" t="s">
        <v>784</v>
      </c>
      <c r="J28" t="s">
        <v>191</v>
      </c>
      <c r="M28" s="106" t="str">
        <f>"C:\Users\stu\Documents\GitHub\eaglep3-reporting\EC\"&amp;TEXT(A2,"YYYY-MM-DD")&amp;"-Runs.txt"</f>
        <v>C:\Users\stu\Documents\GitHub\eaglep3-reporting\EC\2016-11-27-Runs.txt</v>
      </c>
    </row>
    <row r="29" spans="3:13" x14ac:dyDescent="0.25">
      <c r="C29" t="s">
        <v>784</v>
      </c>
      <c r="J29" t="s">
        <v>192</v>
      </c>
      <c r="M29" s="106" t="str">
        <f>"C:\Users\stu\Documents\GitHub\eaglep3-reporting\EC\"&amp;TEXT(A2,"YYYY-MM-DD")&amp;"-Trips.txt"</f>
        <v>C:\Users\stu\Documents\GitHub\eaglep3-reporting\EC\2016-11-27-Trips.txt</v>
      </c>
    </row>
    <row r="30" spans="3:13" x14ac:dyDescent="0.25">
      <c r="C30" t="s">
        <v>795</v>
      </c>
      <c r="J30" t="s">
        <v>193</v>
      </c>
      <c r="M30" s="106" t="str">
        <f>"C:\Users\stu\Documents\GitHub\eaglep3-reporting\EC\"&amp;TEXT(A2,"YYYY-MM-DD")&amp;"-Weather.txt"</f>
        <v>C:\Users\stu\Documents\GitHub\eaglep3-reporting\EC\2016-11-27-Weather.txt</v>
      </c>
    </row>
    <row r="31" spans="3:13" x14ac:dyDescent="0.25">
      <c r="C31" t="s">
        <v>785</v>
      </c>
    </row>
    <row r="32" spans="3:13" x14ac:dyDescent="0.25">
      <c r="C32" t="s">
        <v>786</v>
      </c>
    </row>
    <row r="33" spans="3:3" x14ac:dyDescent="0.25">
      <c r="C33" t="s">
        <v>787</v>
      </c>
    </row>
    <row r="34" spans="3:3" x14ac:dyDescent="0.25">
      <c r="C34" t="s">
        <v>788</v>
      </c>
    </row>
    <row r="35" spans="3:3" x14ac:dyDescent="0.25">
      <c r="C35" t="s">
        <v>789</v>
      </c>
    </row>
    <row r="36" spans="3:3" x14ac:dyDescent="0.25">
      <c r="C36" t="s">
        <v>781</v>
      </c>
    </row>
    <row r="37" spans="3:3" x14ac:dyDescent="0.25">
      <c r="C37" t="s">
        <v>783</v>
      </c>
    </row>
    <row r="38" spans="3:3" x14ac:dyDescent="0.25">
      <c r="C38" t="s">
        <v>790</v>
      </c>
    </row>
    <row r="39" spans="3:3" x14ac:dyDescent="0.25">
      <c r="C39" t="s">
        <v>791</v>
      </c>
    </row>
    <row r="40" spans="3:3" x14ac:dyDescent="0.25">
      <c r="C40" t="s">
        <v>792</v>
      </c>
    </row>
    <row r="41" spans="3:3" x14ac:dyDescent="0.25">
      <c r="C41" t="s">
        <v>793</v>
      </c>
    </row>
    <row r="42" spans="3:3" x14ac:dyDescent="0.25">
      <c r="C42" t="s">
        <v>789</v>
      </c>
    </row>
    <row r="43" spans="3:3" x14ac:dyDescent="0.25">
      <c r="C43" t="s">
        <v>789</v>
      </c>
    </row>
    <row r="44" spans="3:3" x14ac:dyDescent="0.25">
      <c r="C44" t="s">
        <v>780</v>
      </c>
    </row>
    <row r="45" spans="3:3" x14ac:dyDescent="0.25">
      <c r="C45" t="s">
        <v>787</v>
      </c>
    </row>
    <row r="46" spans="3:3" x14ac:dyDescent="0.25">
      <c r="C46" t="s">
        <v>789</v>
      </c>
    </row>
    <row r="47" spans="3:3" x14ac:dyDescent="0.25">
      <c r="C47" t="s">
        <v>792</v>
      </c>
    </row>
    <row r="48" spans="3:3" x14ac:dyDescent="0.25">
      <c r="C48" t="s">
        <v>794</v>
      </c>
    </row>
    <row r="49" spans="3:3" x14ac:dyDescent="0.25">
      <c r="C49" t="s">
        <v>785</v>
      </c>
    </row>
    <row r="50" spans="3:3" x14ac:dyDescent="0.25">
      <c r="C50" t="s">
        <v>785</v>
      </c>
    </row>
    <row r="51" spans="3:3" x14ac:dyDescent="0.25">
      <c r="C51" t="s">
        <v>785</v>
      </c>
    </row>
    <row r="52" spans="3:3" x14ac:dyDescent="0.25">
      <c r="C52" t="s">
        <v>785</v>
      </c>
    </row>
    <row r="53" spans="3:3" x14ac:dyDescent="0.25">
      <c r="C53" t="s">
        <v>786</v>
      </c>
    </row>
    <row r="54" spans="3:3" x14ac:dyDescent="0.25">
      <c r="C54" t="s">
        <v>785</v>
      </c>
    </row>
    <row r="55" spans="3:3" x14ac:dyDescent="0.25">
      <c r="C55" t="s">
        <v>786</v>
      </c>
    </row>
    <row r="56" spans="3:3" x14ac:dyDescent="0.25">
      <c r="C56" t="s">
        <v>785</v>
      </c>
    </row>
    <row r="57" spans="3:3" x14ac:dyDescent="0.25">
      <c r="C57" t="s">
        <v>785</v>
      </c>
    </row>
    <row r="58" spans="3:3" x14ac:dyDescent="0.25">
      <c r="C58" t="s">
        <v>785</v>
      </c>
    </row>
    <row r="59" spans="3:3" x14ac:dyDescent="0.25">
      <c r="C59" t="s">
        <v>785</v>
      </c>
    </row>
    <row r="60" spans="3:3" x14ac:dyDescent="0.25">
      <c r="C60" t="s">
        <v>786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176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177</v>
      </c>
    </row>
    <row r="15" spans="1:11" x14ac:dyDescent="0.25">
      <c r="C15" s="116" t="s">
        <v>219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>
      <selection activeCell="E75" sqref="E75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818</v>
      </c>
      <c r="B1" t="str">
        <f t="shared" ref="B1:B64" si="0">MID(A1,6,23)</f>
        <v>2016/11/27 11:21:25.663</v>
      </c>
      <c r="C1" t="e">
        <f>ABS(B1-#REF!)</f>
        <v>#REF!</v>
      </c>
    </row>
    <row r="2" spans="1:3" x14ac:dyDescent="0.25">
      <c r="A2" t="s">
        <v>819</v>
      </c>
      <c r="B2" s="21" t="str">
        <f t="shared" si="0"/>
        <v>2016/11/27 11:21:25.700</v>
      </c>
      <c r="C2">
        <f>ABS(B2-B1)</f>
        <v>4.282410372979939E-7</v>
      </c>
    </row>
    <row r="3" spans="1:3" x14ac:dyDescent="0.25">
      <c r="A3" t="s">
        <v>820</v>
      </c>
      <c r="B3" s="21" t="str">
        <f t="shared" si="0"/>
        <v>2016/11/27 12:21:07.964</v>
      </c>
      <c r="C3" s="21">
        <f t="shared" ref="C3:C66" si="1">ABS(B3-B2)</f>
        <v>4.1461388886091299E-2</v>
      </c>
    </row>
    <row r="4" spans="1:3" x14ac:dyDescent="0.25">
      <c r="A4" t="s">
        <v>821</v>
      </c>
      <c r="B4" s="21" t="str">
        <f t="shared" si="0"/>
        <v>2016/11/27 12:28:24.566</v>
      </c>
      <c r="C4" s="21">
        <f t="shared" si="1"/>
        <v>5.0532638924778439E-3</v>
      </c>
    </row>
    <row r="5" spans="1:3" x14ac:dyDescent="0.25">
      <c r="A5" t="s">
        <v>822</v>
      </c>
      <c r="B5" s="21" t="str">
        <f t="shared" si="0"/>
        <v>2016/11/27 12:28:25.972</v>
      </c>
      <c r="C5" s="21">
        <f t="shared" si="1"/>
        <v>1.627314486540854E-5</v>
      </c>
    </row>
    <row r="6" spans="1:3" x14ac:dyDescent="0.25">
      <c r="A6" t="s">
        <v>823</v>
      </c>
      <c r="B6" s="21" t="str">
        <f t="shared" si="0"/>
        <v>2016/11/27 12:28:26.489</v>
      </c>
      <c r="C6" s="21">
        <f t="shared" si="1"/>
        <v>5.9837984736077487E-6</v>
      </c>
    </row>
    <row r="7" spans="1:3" x14ac:dyDescent="0.25">
      <c r="A7" t="s">
        <v>824</v>
      </c>
      <c r="B7" s="21" t="str">
        <f t="shared" si="0"/>
        <v>2016/11/27 13:50:08.871</v>
      </c>
      <c r="C7" s="21">
        <f t="shared" si="1"/>
        <v>5.6740532403637189E-2</v>
      </c>
    </row>
    <row r="8" spans="1:3" x14ac:dyDescent="0.25">
      <c r="A8" t="s">
        <v>825</v>
      </c>
      <c r="B8" s="21" t="str">
        <f t="shared" si="0"/>
        <v>2016/11/27 13:50:09.120</v>
      </c>
      <c r="C8" s="21">
        <f t="shared" si="1"/>
        <v>2.8819486033171415E-6</v>
      </c>
    </row>
    <row r="9" spans="1:3" x14ac:dyDescent="0.25">
      <c r="A9" t="s">
        <v>826</v>
      </c>
      <c r="B9" s="21" t="str">
        <f t="shared" si="0"/>
        <v>2016/11/27 13:50:10.147</v>
      </c>
      <c r="C9" s="21">
        <f t="shared" si="1"/>
        <v>1.1886571883223951E-5</v>
      </c>
    </row>
    <row r="10" spans="1:3" x14ac:dyDescent="0.25">
      <c r="A10" t="s">
        <v>827</v>
      </c>
      <c r="B10" s="21" t="str">
        <f t="shared" si="0"/>
        <v>2016/11/27 14:07:40.433</v>
      </c>
      <c r="C10" s="21">
        <f t="shared" si="1"/>
        <v>1.2156087963376194E-2</v>
      </c>
    </row>
    <row r="11" spans="1:3" x14ac:dyDescent="0.25">
      <c r="A11" t="s">
        <v>828</v>
      </c>
      <c r="B11" s="21" t="str">
        <f t="shared" si="0"/>
        <v>2016/11/27 14:07:40.689</v>
      </c>
      <c r="C11" s="21">
        <f t="shared" si="1"/>
        <v>2.962966391351074E-6</v>
      </c>
    </row>
    <row r="12" spans="1:3" x14ac:dyDescent="0.25">
      <c r="A12" t="s">
        <v>829</v>
      </c>
      <c r="B12" s="21" t="str">
        <f t="shared" si="0"/>
        <v>2016/11/27 14:07:40.808</v>
      </c>
      <c r="C12" s="21">
        <f t="shared" si="1"/>
        <v>1.3773096725344658E-6</v>
      </c>
    </row>
    <row r="13" spans="1:3" x14ac:dyDescent="0.25">
      <c r="A13" t="s">
        <v>830</v>
      </c>
      <c r="B13" s="21" t="str">
        <f t="shared" si="0"/>
        <v>2016/11/27 14:38:50.338</v>
      </c>
      <c r="C13" s="21">
        <f t="shared" si="1"/>
        <v>2.1638078709656838E-2</v>
      </c>
    </row>
    <row r="14" spans="1:3" x14ac:dyDescent="0.25">
      <c r="A14" t="s">
        <v>831</v>
      </c>
      <c r="B14" s="21" t="str">
        <f t="shared" si="0"/>
        <v>2016/11/27 14:38:51.022</v>
      </c>
      <c r="C14" s="21">
        <f t="shared" si="1"/>
        <v>7.91666388977319E-6</v>
      </c>
    </row>
    <row r="15" spans="1:3" x14ac:dyDescent="0.25">
      <c r="A15" t="s">
        <v>832</v>
      </c>
      <c r="B15" s="21" t="str">
        <f t="shared" si="0"/>
        <v>2016/11/27 14:38:51.215</v>
      </c>
      <c r="C15" s="21">
        <f t="shared" si="1"/>
        <v>2.2337990230880678E-6</v>
      </c>
    </row>
    <row r="16" spans="1:3" x14ac:dyDescent="0.25">
      <c r="A16" t="s">
        <v>833</v>
      </c>
      <c r="B16" s="21" t="str">
        <f t="shared" si="0"/>
        <v>2016/11/27 15:10:48.476</v>
      </c>
      <c r="C16" s="21">
        <f t="shared" si="1"/>
        <v>2.2190520830918103E-2</v>
      </c>
    </row>
    <row r="17" spans="1:3" x14ac:dyDescent="0.25">
      <c r="A17" t="s">
        <v>834</v>
      </c>
      <c r="B17" s="21" t="str">
        <f t="shared" si="0"/>
        <v>2016/11/27 15:10:50.462</v>
      </c>
      <c r="C17" s="21">
        <f t="shared" si="1"/>
        <v>2.2986110707279295E-5</v>
      </c>
    </row>
    <row r="18" spans="1:3" x14ac:dyDescent="0.25">
      <c r="A18" t="s">
        <v>835</v>
      </c>
      <c r="B18" s="21" t="str">
        <f t="shared" si="0"/>
        <v>2016/11/27 16:29:25.512</v>
      </c>
      <c r="C18" s="21">
        <f t="shared" si="1"/>
        <v>5.4572337961872108E-2</v>
      </c>
    </row>
    <row r="19" spans="1:3" x14ac:dyDescent="0.25">
      <c r="A19" t="s">
        <v>836</v>
      </c>
      <c r="B19" s="21" t="str">
        <f t="shared" si="0"/>
        <v>2016/11/27 16:29:25.580</v>
      </c>
      <c r="C19" s="21">
        <f t="shared" si="1"/>
        <v>7.8704033512622118E-7</v>
      </c>
    </row>
    <row r="20" spans="1:3" x14ac:dyDescent="0.25">
      <c r="A20" t="s">
        <v>837</v>
      </c>
      <c r="B20" s="21" t="str">
        <f t="shared" si="0"/>
        <v>2016/11/27 16:29:25.984</v>
      </c>
      <c r="C20" s="21">
        <f t="shared" si="1"/>
        <v>4.6759232645854354E-6</v>
      </c>
    </row>
    <row r="21" spans="1:3" x14ac:dyDescent="0.25">
      <c r="A21" t="s">
        <v>838</v>
      </c>
      <c r="B21" s="21" t="str">
        <f t="shared" si="0"/>
        <v>2016/11/27 16:36:00.737</v>
      </c>
      <c r="C21" s="21">
        <f t="shared" si="1"/>
        <v>4.5689004618907347E-3</v>
      </c>
    </row>
    <row r="22" spans="1:3" x14ac:dyDescent="0.25">
      <c r="A22" t="s">
        <v>839</v>
      </c>
      <c r="B22" s="21" t="str">
        <f t="shared" si="0"/>
        <v>2016/11/27 16:48:54.807</v>
      </c>
      <c r="C22" s="21">
        <f t="shared" si="1"/>
        <v>8.9591435171314515E-3</v>
      </c>
    </row>
    <row r="23" spans="1:3" x14ac:dyDescent="0.25">
      <c r="A23" t="s">
        <v>840</v>
      </c>
      <c r="B23" s="21" t="str">
        <f t="shared" si="0"/>
        <v>2016/11/27 16:48:54.849</v>
      </c>
      <c r="C23" s="21">
        <f t="shared" si="1"/>
        <v>4.8611400416120887E-7</v>
      </c>
    </row>
    <row r="24" spans="1:3" x14ac:dyDescent="0.25">
      <c r="A24" t="s">
        <v>841</v>
      </c>
      <c r="B24" s="21" t="str">
        <f t="shared" si="0"/>
        <v>2016/11/27 16:48:54.910</v>
      </c>
      <c r="C24" s="21">
        <f t="shared" si="1"/>
        <v>7.0601527113467455E-7</v>
      </c>
    </row>
    <row r="25" spans="1:3" x14ac:dyDescent="0.25">
      <c r="A25" t="s">
        <v>842</v>
      </c>
      <c r="B25" s="21" t="str">
        <f t="shared" si="0"/>
        <v>2016/11/27 17:00:40.488</v>
      </c>
      <c r="C25" s="21">
        <f t="shared" si="1"/>
        <v>8.1664120370987803E-3</v>
      </c>
    </row>
    <row r="26" spans="1:3" x14ac:dyDescent="0.25">
      <c r="A26" t="s">
        <v>843</v>
      </c>
      <c r="B26" s="21" t="str">
        <f t="shared" si="0"/>
        <v>2016/11/27 17:05:07.978</v>
      </c>
      <c r="C26" s="21">
        <f t="shared" si="1"/>
        <v>3.0959490759414621E-3</v>
      </c>
    </row>
    <row r="27" spans="1:3" x14ac:dyDescent="0.25">
      <c r="A27" t="s">
        <v>844</v>
      </c>
      <c r="B27" s="21" t="str">
        <f t="shared" si="0"/>
        <v>2016/11/27 17:28:00.361</v>
      </c>
      <c r="C27" s="21">
        <f t="shared" si="1"/>
        <v>1.5884062500845175E-2</v>
      </c>
    </row>
    <row r="28" spans="1:3" x14ac:dyDescent="0.25">
      <c r="A28" t="s">
        <v>845</v>
      </c>
      <c r="B28" s="21" t="str">
        <f t="shared" si="0"/>
        <v>2016/11/27 17:28:01.589</v>
      </c>
      <c r="C28" s="21">
        <f t="shared" si="1"/>
        <v>1.4212964742910117E-5</v>
      </c>
    </row>
    <row r="29" spans="1:3" x14ac:dyDescent="0.25">
      <c r="A29" t="s">
        <v>846</v>
      </c>
      <c r="B29" s="21" t="str">
        <f t="shared" si="0"/>
        <v>2016/11/27 17:28:01.985</v>
      </c>
      <c r="C29" s="21">
        <f t="shared" si="1"/>
        <v>4.5833294279873371E-6</v>
      </c>
    </row>
    <row r="30" spans="1:3" x14ac:dyDescent="0.25">
      <c r="A30" t="s">
        <v>847</v>
      </c>
      <c r="B30" s="21" t="str">
        <f t="shared" si="0"/>
        <v>2016/11/27 18:50:01.456</v>
      </c>
      <c r="C30" s="21">
        <f t="shared" si="1"/>
        <v>5.6938321758934762E-2</v>
      </c>
    </row>
    <row r="31" spans="1:3" x14ac:dyDescent="0.25">
      <c r="A31" t="s">
        <v>848</v>
      </c>
      <c r="B31" s="21" t="str">
        <f t="shared" si="0"/>
        <v>2016/11/27 18:50:01.900</v>
      </c>
      <c r="C31" s="21">
        <f t="shared" si="1"/>
        <v>5.1388924475759268E-6</v>
      </c>
    </row>
    <row r="32" spans="1:3" x14ac:dyDescent="0.25">
      <c r="A32" t="s">
        <v>849</v>
      </c>
      <c r="B32" s="21" t="str">
        <f t="shared" si="0"/>
        <v>2016/11/27 18:50:02.125</v>
      </c>
      <c r="C32" s="21">
        <f t="shared" si="1"/>
        <v>2.6041670935228467E-6</v>
      </c>
    </row>
    <row r="33" spans="1:3" x14ac:dyDescent="0.25">
      <c r="A33" t="s">
        <v>850</v>
      </c>
      <c r="B33" s="21" t="str">
        <f t="shared" si="0"/>
        <v>2016/11/27 19:12:07.776</v>
      </c>
      <c r="C33" s="21">
        <f t="shared" si="1"/>
        <v>1.5343182865763083E-2</v>
      </c>
    </row>
    <row r="34" spans="1:3" x14ac:dyDescent="0.25">
      <c r="A34" t="s">
        <v>851</v>
      </c>
      <c r="B34" s="21" t="str">
        <f t="shared" si="0"/>
        <v>2016/11/27 19:12:07.918</v>
      </c>
      <c r="C34" s="21">
        <f t="shared" si="1"/>
        <v>1.643522409722209E-6</v>
      </c>
    </row>
    <row r="35" spans="1:3" x14ac:dyDescent="0.25">
      <c r="A35" t="s">
        <v>852</v>
      </c>
      <c r="B35" s="21" t="str">
        <f t="shared" si="0"/>
        <v>2016/11/27 19:12:08.637</v>
      </c>
      <c r="C35" s="21">
        <f t="shared" si="1"/>
        <v>8.3217601059004664E-6</v>
      </c>
    </row>
    <row r="36" spans="1:3" x14ac:dyDescent="0.25">
      <c r="A36" t="s">
        <v>853</v>
      </c>
      <c r="B36" s="21" t="str">
        <f t="shared" si="0"/>
        <v>2016/11/27 19:33:41.676</v>
      </c>
      <c r="C36" s="21">
        <f t="shared" si="1"/>
        <v>1.4965729162213393E-2</v>
      </c>
    </row>
    <row r="37" spans="1:3" x14ac:dyDescent="0.25">
      <c r="A37" t="s">
        <v>854</v>
      </c>
      <c r="B37" s="21" t="str">
        <f t="shared" si="0"/>
        <v>2016/11/27 19:33:46.934</v>
      </c>
      <c r="C37" s="21">
        <f t="shared" si="1"/>
        <v>6.0856480558868498E-5</v>
      </c>
    </row>
    <row r="38" spans="1:3" x14ac:dyDescent="0.25">
      <c r="A38" t="s">
        <v>855</v>
      </c>
      <c r="B38" s="21" t="str">
        <f t="shared" si="0"/>
        <v>2016/11/27 19:33:46.991</v>
      </c>
      <c r="C38" s="21">
        <f t="shared" si="1"/>
        <v>6.5972562879323959E-7</v>
      </c>
    </row>
    <row r="39" spans="1:3" x14ac:dyDescent="0.25">
      <c r="A39" t="s">
        <v>856</v>
      </c>
      <c r="B39" s="21" t="str">
        <f t="shared" si="0"/>
        <v>2016/11/27 19:34:26.931</v>
      </c>
      <c r="C39" s="21">
        <f t="shared" si="1"/>
        <v>4.6226851554820314E-4</v>
      </c>
    </row>
    <row r="40" spans="1:3" x14ac:dyDescent="0.25">
      <c r="A40" t="s">
        <v>857</v>
      </c>
      <c r="B40" s="21" t="str">
        <f t="shared" si="0"/>
        <v>2016/11/27 19:34:26.988</v>
      </c>
      <c r="C40" s="21">
        <f t="shared" si="1"/>
        <v>6.5972562879323959E-7</v>
      </c>
    </row>
    <row r="41" spans="1:3" x14ac:dyDescent="0.25">
      <c r="A41" t="s">
        <v>858</v>
      </c>
      <c r="B41" s="21" t="str">
        <f t="shared" si="0"/>
        <v>2016/11/27 19:34:27.676</v>
      </c>
      <c r="C41" s="21">
        <f t="shared" si="1"/>
        <v>7.9629608080722392E-6</v>
      </c>
    </row>
    <row r="42" spans="1:3" x14ac:dyDescent="0.25">
      <c r="A42" t="s">
        <v>859</v>
      </c>
      <c r="B42" s="21" t="str">
        <f t="shared" si="0"/>
        <v>2016/11/27 20:34:18.487</v>
      </c>
      <c r="C42" s="21">
        <f t="shared" si="1"/>
        <v>4.1560312500223517E-2</v>
      </c>
    </row>
    <row r="43" spans="1:3" x14ac:dyDescent="0.25">
      <c r="A43" t="s">
        <v>860</v>
      </c>
      <c r="B43" s="21" t="str">
        <f t="shared" si="0"/>
        <v>2016/11/27 20:34:18.527</v>
      </c>
      <c r="C43" s="21">
        <f t="shared" si="1"/>
        <v>4.6296190703287721E-7</v>
      </c>
    </row>
    <row r="44" spans="1:3" x14ac:dyDescent="0.25">
      <c r="A44" t="s">
        <v>861</v>
      </c>
      <c r="B44" s="21" t="str">
        <f t="shared" si="0"/>
        <v>2016/11/27 20:34:19.970</v>
      </c>
      <c r="C44" s="21">
        <f t="shared" si="1"/>
        <v>1.6701393178664148E-5</v>
      </c>
    </row>
    <row r="45" spans="1:3" x14ac:dyDescent="0.25">
      <c r="A45" t="s">
        <v>862</v>
      </c>
      <c r="B45" s="21" t="str">
        <f t="shared" si="0"/>
        <v>2016/11/27 21:30:16.400</v>
      </c>
      <c r="C45" s="21">
        <f t="shared" si="1"/>
        <v>3.8847569441713858E-2</v>
      </c>
    </row>
    <row r="46" spans="1:3" x14ac:dyDescent="0.25">
      <c r="A46" t="s">
        <v>863</v>
      </c>
      <c r="B46" s="21" t="str">
        <f t="shared" si="0"/>
        <v>2016/11/27 22:49:17.539</v>
      </c>
      <c r="C46" s="21">
        <f t="shared" si="1"/>
        <v>5.4874293979082722E-2</v>
      </c>
    </row>
    <row r="47" spans="1:3" x14ac:dyDescent="0.25">
      <c r="A47" t="s">
        <v>864</v>
      </c>
      <c r="B47" s="21" t="str">
        <f t="shared" si="0"/>
        <v>2016/11/27 22:49:17.599</v>
      </c>
      <c r="C47" s="21">
        <f t="shared" si="1"/>
        <v>6.944464985281229E-7</v>
      </c>
    </row>
    <row r="48" spans="1:3" x14ac:dyDescent="0.25">
      <c r="A48" t="s">
        <v>865</v>
      </c>
      <c r="B48" s="21" t="str">
        <f t="shared" si="0"/>
        <v>2016/11/27 22:49:18.487</v>
      </c>
      <c r="C48" s="21">
        <f t="shared" si="1"/>
        <v>1.0277777619194239E-5</v>
      </c>
    </row>
    <row r="49" spans="1:3" x14ac:dyDescent="0.25">
      <c r="A49" t="s">
        <v>866</v>
      </c>
      <c r="B49" s="21" t="str">
        <f t="shared" si="0"/>
        <v>2016/11/27 22:51:49.113</v>
      </c>
      <c r="C49" s="21">
        <f t="shared" si="1"/>
        <v>1.7433564862585627E-3</v>
      </c>
    </row>
    <row r="50" spans="1:3" x14ac:dyDescent="0.25">
      <c r="A50" t="s">
        <v>867</v>
      </c>
      <c r="B50" s="21" t="str">
        <f t="shared" si="0"/>
        <v>2016/11/27 22:51:49.335</v>
      </c>
      <c r="C50" s="21">
        <f t="shared" si="1"/>
        <v>2.5694389478303492E-6</v>
      </c>
    </row>
    <row r="51" spans="1:3" x14ac:dyDescent="0.25">
      <c r="A51" t="s">
        <v>868</v>
      </c>
      <c r="B51" s="21" t="str">
        <f t="shared" si="0"/>
        <v>2016/11/27 22:51:49.463</v>
      </c>
      <c r="C51" s="21">
        <f t="shared" si="1"/>
        <v>1.4814868336543441E-6</v>
      </c>
    </row>
    <row r="52" spans="1:3" x14ac:dyDescent="0.25">
      <c r="A52" t="s">
        <v>869</v>
      </c>
      <c r="B52" s="21" t="str">
        <f t="shared" si="0"/>
        <v>2016/11/27 23:50:32.107</v>
      </c>
      <c r="C52" s="21">
        <f t="shared" si="1"/>
        <v>4.0771342588413972E-2</v>
      </c>
    </row>
    <row r="53" spans="1:3" x14ac:dyDescent="0.25">
      <c r="A53" t="s">
        <v>870</v>
      </c>
      <c r="B53" s="21" t="str">
        <f t="shared" si="0"/>
        <v>2016/11/27 23:50:32.328</v>
      </c>
      <c r="C53" s="21">
        <f t="shared" si="1"/>
        <v>2.5578701752237976E-6</v>
      </c>
    </row>
    <row r="54" spans="1:3" x14ac:dyDescent="0.25">
      <c r="A54" t="s">
        <v>871</v>
      </c>
      <c r="B54" s="21" t="str">
        <f t="shared" si="0"/>
        <v>2016/11/27 23:50:32.339</v>
      </c>
      <c r="C54" s="21">
        <f t="shared" si="1"/>
        <v>1.2731470633298159E-7</v>
      </c>
    </row>
    <row r="55" spans="1:3" x14ac:dyDescent="0.25">
      <c r="A55" t="s">
        <v>872</v>
      </c>
      <c r="B55" s="21" t="str">
        <f t="shared" si="0"/>
        <v>2016/11/27 23:50:32.432</v>
      </c>
      <c r="C55" s="21">
        <f t="shared" si="1"/>
        <v>1.0763906175270677E-6</v>
      </c>
    </row>
    <row r="56" spans="1:3" x14ac:dyDescent="0.25">
      <c r="A56" t="s">
        <v>873</v>
      </c>
      <c r="B56" s="21" t="str">
        <f t="shared" si="0"/>
        <v>2016/11/28 00:35:39.625</v>
      </c>
      <c r="C56" s="21">
        <f t="shared" si="1"/>
        <v>3.1333252314652782E-2</v>
      </c>
    </row>
    <row r="57" spans="1:3" x14ac:dyDescent="0.25">
      <c r="A57" t="s">
        <v>874</v>
      </c>
      <c r="B57" s="21" t="str">
        <f t="shared" si="0"/>
        <v>2016/11/28 00:35:39.764</v>
      </c>
      <c r="C57" s="21">
        <f t="shared" si="1"/>
        <v>1.6087942640297115E-6</v>
      </c>
    </row>
    <row r="58" spans="1:3" x14ac:dyDescent="0.25">
      <c r="A58" t="s">
        <v>875</v>
      </c>
      <c r="B58" s="21" t="str">
        <f t="shared" si="0"/>
        <v>2016/11/28 00:35:39.905</v>
      </c>
      <c r="C58" s="21">
        <f t="shared" si="1"/>
        <v>1.6319463611580431E-6</v>
      </c>
    </row>
    <row r="59" spans="1:3" x14ac:dyDescent="0.25">
      <c r="A59" t="s">
        <v>876</v>
      </c>
      <c r="B59" s="21" t="str">
        <f t="shared" si="0"/>
        <v>2016/11/28 00:55:04.105</v>
      </c>
      <c r="C59" s="21">
        <f t="shared" si="1"/>
        <v>1.3474537037836853E-2</v>
      </c>
    </row>
    <row r="60" spans="1:3" x14ac:dyDescent="0.25">
      <c r="A60" t="s">
        <v>877</v>
      </c>
      <c r="B60" s="21" t="str">
        <f t="shared" si="0"/>
        <v>2016/11/28 00:55:04.313</v>
      </c>
      <c r="C60" s="21">
        <f t="shared" si="1"/>
        <v>2.4074033717624843E-6</v>
      </c>
    </row>
    <row r="61" spans="1:3" x14ac:dyDescent="0.25">
      <c r="A61" t="s">
        <v>878</v>
      </c>
      <c r="B61" s="21" t="str">
        <f t="shared" si="0"/>
        <v>2016/11/28 00:55:04.419</v>
      </c>
      <c r="C61" s="21">
        <f t="shared" si="1"/>
        <v>1.2268574209883809E-6</v>
      </c>
    </row>
    <row r="62" spans="1:3" x14ac:dyDescent="0.25">
      <c r="A62" t="s">
        <v>879</v>
      </c>
      <c r="B62" s="21" t="str">
        <f t="shared" si="0"/>
        <v>2016/11/28 01:54:16.318</v>
      </c>
      <c r="C62" s="21">
        <f t="shared" si="1"/>
        <v>4.1109942125331145E-2</v>
      </c>
    </row>
    <row r="63" spans="1:3" x14ac:dyDescent="0.25">
      <c r="A63" t="s">
        <v>880</v>
      </c>
      <c r="B63" s="21" t="str">
        <f t="shared" si="0"/>
        <v>2016/11/28 01:54:20.095</v>
      </c>
      <c r="C63" s="21">
        <f t="shared" si="1"/>
        <v>4.3715277570299804E-5</v>
      </c>
    </row>
    <row r="64" spans="1:3" x14ac:dyDescent="0.25">
      <c r="A64" t="s">
        <v>881</v>
      </c>
      <c r="B64" s="21" t="str">
        <f t="shared" si="0"/>
        <v>2016/11/28 01:54:20.420</v>
      </c>
      <c r="C64" s="21">
        <f t="shared" si="1"/>
        <v>3.7615754990838468E-6</v>
      </c>
    </row>
    <row r="65" spans="1:3" x14ac:dyDescent="0.25">
      <c r="A65" t="s">
        <v>882</v>
      </c>
      <c r="B65" s="21" t="str">
        <f t="shared" ref="B65:B75" si="2">MID(A65,6,23)</f>
        <v>2016/11/28 02:49:45.108</v>
      </c>
      <c r="C65" s="21">
        <f t="shared" si="1"/>
        <v>3.8480185183288995E-2</v>
      </c>
    </row>
    <row r="66" spans="1:3" x14ac:dyDescent="0.25">
      <c r="A66" t="s">
        <v>883</v>
      </c>
      <c r="B66" s="21" t="str">
        <f t="shared" si="2"/>
        <v>2016/11/28 02:49:45.325</v>
      </c>
      <c r="C66" s="21">
        <f t="shared" si="1"/>
        <v>2.5115732569247484E-6</v>
      </c>
    </row>
    <row r="67" spans="1:3" x14ac:dyDescent="0.25">
      <c r="A67" t="s">
        <v>884</v>
      </c>
      <c r="B67" s="21" t="str">
        <f t="shared" si="2"/>
        <v>2016/11/28 02:49:45.433</v>
      </c>
      <c r="C67" s="21">
        <f t="shared" ref="C67:C75" si="3">ABS(B67-B66)</f>
        <v>1.2500022421590984E-6</v>
      </c>
    </row>
    <row r="68" spans="1:3" x14ac:dyDescent="0.25">
      <c r="A68" t="s">
        <v>885</v>
      </c>
      <c r="B68" s="21" t="str">
        <f t="shared" si="2"/>
        <v>2016/11/28 04:02:30.948</v>
      </c>
      <c r="C68" s="21">
        <f t="shared" si="3"/>
        <v>5.052679398067994E-2</v>
      </c>
    </row>
    <row r="69" spans="1:3" x14ac:dyDescent="0.25">
      <c r="A69" t="s">
        <v>886</v>
      </c>
      <c r="B69" s="21" t="str">
        <f t="shared" si="2"/>
        <v>2016/11/28 04:02:31.008</v>
      </c>
      <c r="C69" s="21">
        <f t="shared" si="3"/>
        <v>6.944464985281229E-7</v>
      </c>
    </row>
    <row r="70" spans="1:3" x14ac:dyDescent="0.25">
      <c r="A70" t="s">
        <v>887</v>
      </c>
      <c r="B70" s="21" t="str">
        <f t="shared" si="2"/>
        <v>2016/11/28 04:02:31.700</v>
      </c>
      <c r="C70" s="21">
        <f t="shared" si="3"/>
        <v>8.0092577263712883E-6</v>
      </c>
    </row>
    <row r="71" spans="1:3" x14ac:dyDescent="0.25">
      <c r="A71" t="s">
        <v>888</v>
      </c>
      <c r="B71" s="21" t="str">
        <f t="shared" si="2"/>
        <v>2016/11/28 04:54:23.102</v>
      </c>
      <c r="C71" s="21">
        <f t="shared" si="3"/>
        <v>3.6011597221659031E-2</v>
      </c>
    </row>
    <row r="72" spans="1:3" x14ac:dyDescent="0.25">
      <c r="A72" t="s">
        <v>889</v>
      </c>
      <c r="B72" s="21" t="str">
        <f t="shared" si="2"/>
        <v>2016/11/28 04:54:23.325</v>
      </c>
      <c r="C72" s="21">
        <f t="shared" si="3"/>
        <v>2.5810222723521292E-6</v>
      </c>
    </row>
    <row r="73" spans="1:3" x14ac:dyDescent="0.25">
      <c r="A73" t="s">
        <v>890</v>
      </c>
      <c r="B73" s="21" t="str">
        <f t="shared" si="2"/>
        <v>2016/11/28 04:54:23.432</v>
      </c>
      <c r="C73" s="21">
        <f t="shared" si="3"/>
        <v>1.2384261935949326E-6</v>
      </c>
    </row>
    <row r="74" spans="1:3" x14ac:dyDescent="0.25">
      <c r="A74" t="s">
        <v>891</v>
      </c>
      <c r="B74" s="21" t="str">
        <f t="shared" si="2"/>
        <v>2016/11/28 04:55:27.096</v>
      </c>
      <c r="C74" s="21">
        <f t="shared" si="3"/>
        <v>7.3685184906935319E-4</v>
      </c>
    </row>
    <row r="75" spans="1:3" x14ac:dyDescent="0.25">
      <c r="A75" t="s">
        <v>892</v>
      </c>
      <c r="B75" s="21" t="str">
        <f t="shared" si="2"/>
        <v>2016/11/28 04:55:27.319</v>
      </c>
      <c r="C75" s="21">
        <f t="shared" si="3"/>
        <v>2.5810222723521292E-6</v>
      </c>
    </row>
    <row r="76" spans="1:3" x14ac:dyDescent="0.25">
      <c r="A76" t="s">
        <v>893</v>
      </c>
      <c r="B76" s="21" t="str">
        <f t="shared" ref="B76:B81" si="4">MID(A76,6,23)</f>
        <v>2016/11/28 04:55:27.420</v>
      </c>
      <c r="C76" s="21">
        <f t="shared" ref="C76:C81" si="5">ABS(B76-B75)</f>
        <v>1.1689771781675518E-6</v>
      </c>
    </row>
    <row r="77" spans="1:3" x14ac:dyDescent="0.25">
      <c r="A77" t="s">
        <v>894</v>
      </c>
      <c r="B77" s="21" t="str">
        <f t="shared" si="4"/>
        <v>2016/11/28 05:55:05.456</v>
      </c>
      <c r="C77" s="21">
        <f t="shared" si="5"/>
        <v>4.1412453705561347E-2</v>
      </c>
    </row>
    <row r="78" spans="1:3" x14ac:dyDescent="0.25">
      <c r="A78" t="s">
        <v>895</v>
      </c>
      <c r="B78" s="21" t="str">
        <f t="shared" si="4"/>
        <v>2016/11/28 05:55:07.121</v>
      </c>
      <c r="C78" s="21">
        <f t="shared" si="5"/>
        <v>1.9270832126494497E-5</v>
      </c>
    </row>
    <row r="79" spans="1:3" x14ac:dyDescent="0.25">
      <c r="A79" t="s">
        <v>896</v>
      </c>
      <c r="B79" s="21" t="str">
        <f t="shared" si="4"/>
        <v>2016/11/28 05:55:07.326</v>
      </c>
      <c r="C79" s="21">
        <f t="shared" si="5"/>
        <v>2.372682502027601E-6</v>
      </c>
    </row>
    <row r="80" spans="1:3" x14ac:dyDescent="0.25">
      <c r="A80" t="s">
        <v>897</v>
      </c>
      <c r="B80" s="21" t="str">
        <f t="shared" si="4"/>
        <v>2016/11/28 07:06:47.736</v>
      </c>
      <c r="C80" s="21">
        <f t="shared" si="5"/>
        <v>4.9773263890529051E-2</v>
      </c>
    </row>
    <row r="81" spans="1:3" x14ac:dyDescent="0.25">
      <c r="A81" t="s">
        <v>898</v>
      </c>
      <c r="B81" s="21" t="str">
        <f t="shared" si="4"/>
        <v>2016/11/28 07:06:47.792</v>
      </c>
      <c r="C81" s="21">
        <f t="shared" si="5"/>
        <v>6.4814958022907376E-7</v>
      </c>
    </row>
    <row r="82" spans="1:3" x14ac:dyDescent="0.25">
      <c r="B82" s="21"/>
      <c r="C82" s="21"/>
    </row>
    <row r="83" spans="1:3" x14ac:dyDescent="0.25">
      <c r="B83" s="21"/>
      <c r="C83" s="21"/>
    </row>
    <row r="84" spans="1:3" x14ac:dyDescent="0.25">
      <c r="B84" s="21"/>
      <c r="C84" s="21"/>
    </row>
    <row r="85" spans="1:3" x14ac:dyDescent="0.25">
      <c r="B85" s="21"/>
      <c r="C85" s="21"/>
    </row>
    <row r="86" spans="1:3" x14ac:dyDescent="0.25">
      <c r="B86" s="21"/>
      <c r="C86" s="21"/>
    </row>
    <row r="87" spans="1:3" x14ac:dyDescent="0.25">
      <c r="B87" s="21"/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2016-11-29T16:41:23Z</dcterms:modified>
</cp:coreProperties>
</file>