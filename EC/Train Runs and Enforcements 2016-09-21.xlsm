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Runs'!$A$12:$AG$248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1" i="1" l="1"/>
  <c r="X192" i="1"/>
  <c r="P190" i="1"/>
  <c r="K190" i="1"/>
  <c r="L190" i="1"/>
  <c r="M190" i="1"/>
  <c r="V190" i="1"/>
  <c r="AA190" i="1"/>
  <c r="AB190" i="1"/>
  <c r="AC190" i="1"/>
  <c r="AD190" i="1"/>
  <c r="T190" i="1" s="1"/>
  <c r="AE190" i="1"/>
  <c r="AF190" i="1"/>
  <c r="AH190" i="1"/>
  <c r="X151" i="1"/>
  <c r="X152" i="1"/>
  <c r="X153" i="1"/>
  <c r="X154" i="1"/>
  <c r="X15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P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P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K75" i="1"/>
  <c r="L75" i="1"/>
  <c r="M75" i="1"/>
  <c r="N75" i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/>
  <c r="V211" i="1"/>
  <c r="Y211" i="1"/>
  <c r="AA211" i="1" s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M43" i="3"/>
  <c r="N43" i="3"/>
  <c r="U43" i="3"/>
  <c r="T43" i="3" s="1"/>
  <c r="V43" i="3"/>
  <c r="W43" i="3"/>
  <c r="X43" i="3"/>
  <c r="M35" i="3"/>
  <c r="N35" i="3"/>
  <c r="U35" i="3"/>
  <c r="T35" i="3" s="1"/>
  <c r="V35" i="3"/>
  <c r="W35" i="3"/>
  <c r="X35" i="3"/>
  <c r="M51" i="3"/>
  <c r="N51" i="3"/>
  <c r="U51" i="3"/>
  <c r="V51" i="3"/>
  <c r="W51" i="3"/>
  <c r="X51" i="3"/>
  <c r="M36" i="3"/>
  <c r="N36" i="3"/>
  <c r="U36" i="3"/>
  <c r="T36" i="3" s="1"/>
  <c r="V36" i="3"/>
  <c r="W36" i="3"/>
  <c r="X36" i="3"/>
  <c r="M7" i="3"/>
  <c r="N7" i="3"/>
  <c r="U7" i="3"/>
  <c r="T7" i="3" s="1"/>
  <c r="V7" i="3"/>
  <c r="W7" i="3"/>
  <c r="X7" i="3"/>
  <c r="M19" i="3"/>
  <c r="N19" i="3"/>
  <c r="U19" i="3"/>
  <c r="T19" i="3" s="1"/>
  <c r="V19" i="3"/>
  <c r="W19" i="3"/>
  <c r="X19" i="3"/>
  <c r="M23" i="3"/>
  <c r="N23" i="3"/>
  <c r="U23" i="3"/>
  <c r="T23" i="3" s="1"/>
  <c r="V23" i="3"/>
  <c r="W23" i="3"/>
  <c r="X23" i="3"/>
  <c r="M44" i="3"/>
  <c r="N44" i="3"/>
  <c r="U44" i="3"/>
  <c r="T44" i="3" s="1"/>
  <c r="V44" i="3"/>
  <c r="W44" i="3"/>
  <c r="X44" i="3"/>
  <c r="M37" i="3"/>
  <c r="N37" i="3"/>
  <c r="U37" i="3"/>
  <c r="T37" i="3" s="1"/>
  <c r="V37" i="3"/>
  <c r="W37" i="3"/>
  <c r="X37" i="3"/>
  <c r="M17" i="3"/>
  <c r="N17" i="3"/>
  <c r="U17" i="3"/>
  <c r="T17" i="3" s="1"/>
  <c r="V17" i="3"/>
  <c r="W17" i="3"/>
  <c r="X17" i="3"/>
  <c r="M49" i="3"/>
  <c r="N49" i="3"/>
  <c r="U49" i="3"/>
  <c r="AC49" i="3" s="1"/>
  <c r="V49" i="3"/>
  <c r="W49" i="3"/>
  <c r="X49" i="3"/>
  <c r="M54" i="3"/>
  <c r="N54" i="3"/>
  <c r="U54" i="3"/>
  <c r="T54" i="3" s="1"/>
  <c r="V54" i="3"/>
  <c r="W54" i="3"/>
  <c r="X54" i="3"/>
  <c r="M50" i="3"/>
  <c r="N50" i="3"/>
  <c r="U50" i="3"/>
  <c r="T50" i="3" s="1"/>
  <c r="V50" i="3"/>
  <c r="W50" i="3"/>
  <c r="X50" i="3"/>
  <c r="M21" i="3"/>
  <c r="N21" i="3"/>
  <c r="U21" i="3"/>
  <c r="T21" i="3" s="1"/>
  <c r="V21" i="3"/>
  <c r="W21" i="3"/>
  <c r="X21" i="3"/>
  <c r="M52" i="3"/>
  <c r="N52" i="3"/>
  <c r="U52" i="3"/>
  <c r="T52" i="3" s="1"/>
  <c r="V52" i="3"/>
  <c r="W52" i="3"/>
  <c r="X52" i="3"/>
  <c r="M28" i="3"/>
  <c r="N28" i="3"/>
  <c r="U28" i="3"/>
  <c r="T28" i="3" s="1"/>
  <c r="V28" i="3"/>
  <c r="W28" i="3"/>
  <c r="X28" i="3"/>
  <c r="M55" i="3"/>
  <c r="N55" i="3"/>
  <c r="U55" i="3"/>
  <c r="T55" i="3" s="1"/>
  <c r="V55" i="3"/>
  <c r="W55" i="3"/>
  <c r="X55" i="3"/>
  <c r="M38" i="3"/>
  <c r="N38" i="3"/>
  <c r="U38" i="3"/>
  <c r="T38" i="3" s="1"/>
  <c r="V38" i="3"/>
  <c r="W38" i="3"/>
  <c r="X38" i="3"/>
  <c r="M20" i="3"/>
  <c r="N20" i="3"/>
  <c r="U20" i="3"/>
  <c r="AC20" i="3" s="1"/>
  <c r="V20" i="3"/>
  <c r="W20" i="3"/>
  <c r="X20" i="3"/>
  <c r="M46" i="3"/>
  <c r="N46" i="3"/>
  <c r="U46" i="3"/>
  <c r="T46" i="3" s="1"/>
  <c r="V46" i="3"/>
  <c r="W46" i="3"/>
  <c r="X46" i="3"/>
  <c r="M15" i="3"/>
  <c r="N15" i="3"/>
  <c r="U15" i="3"/>
  <c r="T15" i="3" s="1"/>
  <c r="V15" i="3"/>
  <c r="W15" i="3"/>
  <c r="X15" i="3"/>
  <c r="M25" i="3"/>
  <c r="N25" i="3"/>
  <c r="U25" i="3"/>
  <c r="T25" i="3" s="1"/>
  <c r="V25" i="3"/>
  <c r="W25" i="3"/>
  <c r="X25" i="3"/>
  <c r="M56" i="3"/>
  <c r="N56" i="3"/>
  <c r="U56" i="3"/>
  <c r="T56" i="3" s="1"/>
  <c r="V56" i="3"/>
  <c r="W56" i="3"/>
  <c r="X56" i="3"/>
  <c r="M27" i="3"/>
  <c r="N27" i="3"/>
  <c r="U27" i="3"/>
  <c r="T27" i="3" s="1"/>
  <c r="V27" i="3"/>
  <c r="W27" i="3"/>
  <c r="X27" i="3"/>
  <c r="M53" i="3"/>
  <c r="N53" i="3"/>
  <c r="U53" i="3"/>
  <c r="T53" i="3" s="1"/>
  <c r="V53" i="3"/>
  <c r="W53" i="3"/>
  <c r="X53" i="3"/>
  <c r="M30" i="3"/>
  <c r="N30" i="3"/>
  <c r="U30" i="3"/>
  <c r="T30" i="3" s="1"/>
  <c r="V30" i="3"/>
  <c r="W30" i="3"/>
  <c r="X30" i="3"/>
  <c r="M67" i="3"/>
  <c r="N67" i="3"/>
  <c r="U67" i="3"/>
  <c r="T67" i="3" s="1"/>
  <c r="V67" i="3"/>
  <c r="W67" i="3"/>
  <c r="X67" i="3"/>
  <c r="M68" i="3"/>
  <c r="N68" i="3"/>
  <c r="U68" i="3"/>
  <c r="T68" i="3" s="1"/>
  <c r="V68" i="3"/>
  <c r="W68" i="3"/>
  <c r="X68" i="3"/>
  <c r="M64" i="3"/>
  <c r="N64" i="3"/>
  <c r="U64" i="3"/>
  <c r="T64" i="3" s="1"/>
  <c r="V64" i="3"/>
  <c r="W64" i="3"/>
  <c r="X64" i="3"/>
  <c r="M63" i="3"/>
  <c r="N63" i="3"/>
  <c r="U63" i="3"/>
  <c r="T63" i="3" s="1"/>
  <c r="V63" i="3"/>
  <c r="W63" i="3"/>
  <c r="X63" i="3"/>
  <c r="M24" i="3"/>
  <c r="N24" i="3"/>
  <c r="U24" i="3"/>
  <c r="AC24" i="3" s="1"/>
  <c r="V24" i="3"/>
  <c r="W24" i="3"/>
  <c r="X24" i="3"/>
  <c r="M14" i="3"/>
  <c r="N14" i="3"/>
  <c r="U14" i="3"/>
  <c r="T14" i="3" s="1"/>
  <c r="V14" i="3"/>
  <c r="W14" i="3"/>
  <c r="X14" i="3"/>
  <c r="M45" i="3"/>
  <c r="N45" i="3"/>
  <c r="U45" i="3"/>
  <c r="T45" i="3" s="1"/>
  <c r="V45" i="3"/>
  <c r="W45" i="3"/>
  <c r="X45" i="3"/>
  <c r="M26" i="3"/>
  <c r="N26" i="3"/>
  <c r="U26" i="3"/>
  <c r="T26" i="3" s="1"/>
  <c r="V26" i="3"/>
  <c r="W26" i="3"/>
  <c r="X26" i="3"/>
  <c r="M8" i="3"/>
  <c r="N8" i="3"/>
  <c r="U8" i="3"/>
  <c r="T8" i="3" s="1"/>
  <c r="V8" i="3"/>
  <c r="W8" i="3"/>
  <c r="X8" i="3"/>
  <c r="M57" i="3"/>
  <c r="N57" i="3"/>
  <c r="U57" i="3"/>
  <c r="T57" i="3" s="1"/>
  <c r="V57" i="3"/>
  <c r="W57" i="3"/>
  <c r="X57" i="3"/>
  <c r="M65" i="3"/>
  <c r="N65" i="3"/>
  <c r="U65" i="3"/>
  <c r="T65" i="3" s="1"/>
  <c r="V65" i="3"/>
  <c r="W65" i="3"/>
  <c r="X65" i="3"/>
  <c r="M10" i="3"/>
  <c r="N10" i="3"/>
  <c r="U10" i="3"/>
  <c r="T10" i="3" s="1"/>
  <c r="V10" i="3"/>
  <c r="W10" i="3"/>
  <c r="X10" i="3"/>
  <c r="M39" i="3"/>
  <c r="N39" i="3"/>
  <c r="U39" i="3"/>
  <c r="T39" i="3" s="1"/>
  <c r="V39" i="3"/>
  <c r="W39" i="3"/>
  <c r="X39" i="3"/>
  <c r="M13" i="3"/>
  <c r="N13" i="3"/>
  <c r="U13" i="3"/>
  <c r="T13" i="3" s="1"/>
  <c r="V13" i="3"/>
  <c r="W13" i="3"/>
  <c r="X13" i="3"/>
  <c r="M29" i="3"/>
  <c r="N29" i="3"/>
  <c r="U29" i="3"/>
  <c r="T29" i="3" s="1"/>
  <c r="V29" i="3"/>
  <c r="W29" i="3"/>
  <c r="X29" i="3"/>
  <c r="M58" i="3"/>
  <c r="N58" i="3"/>
  <c r="U58" i="3"/>
  <c r="T58" i="3" s="1"/>
  <c r="V58" i="3"/>
  <c r="W58" i="3"/>
  <c r="X58" i="3"/>
  <c r="M59" i="3"/>
  <c r="N59" i="3"/>
  <c r="U59" i="3"/>
  <c r="T59" i="3" s="1"/>
  <c r="V59" i="3"/>
  <c r="W59" i="3"/>
  <c r="X59" i="3"/>
  <c r="M60" i="3"/>
  <c r="N60" i="3"/>
  <c r="U60" i="3"/>
  <c r="T60" i="3" s="1"/>
  <c r="V60" i="3"/>
  <c r="W60" i="3"/>
  <c r="X60" i="3"/>
  <c r="M48" i="3"/>
  <c r="N48" i="3"/>
  <c r="U48" i="3"/>
  <c r="T48" i="3" s="1"/>
  <c r="V48" i="3"/>
  <c r="W48" i="3"/>
  <c r="X48" i="3"/>
  <c r="M32" i="3"/>
  <c r="N32" i="3"/>
  <c r="U32" i="3"/>
  <c r="T32" i="3" s="1"/>
  <c r="V32" i="3"/>
  <c r="W32" i="3"/>
  <c r="X32" i="3"/>
  <c r="M66" i="3"/>
  <c r="N66" i="3"/>
  <c r="U66" i="3"/>
  <c r="AC66" i="3" s="1"/>
  <c r="V66" i="3"/>
  <c r="W66" i="3"/>
  <c r="X66" i="3"/>
  <c r="M11" i="3"/>
  <c r="N11" i="3"/>
  <c r="U11" i="3"/>
  <c r="T11" i="3" s="1"/>
  <c r="V11" i="3"/>
  <c r="W11" i="3"/>
  <c r="X11" i="3"/>
  <c r="M34" i="3"/>
  <c r="N34" i="3"/>
  <c r="U34" i="3"/>
  <c r="T34" i="3" s="1"/>
  <c r="V34" i="3"/>
  <c r="W34" i="3"/>
  <c r="X34" i="3"/>
  <c r="M18" i="3"/>
  <c r="N18" i="3"/>
  <c r="U18" i="3"/>
  <c r="T18" i="3" s="1"/>
  <c r="V18" i="3"/>
  <c r="W18" i="3"/>
  <c r="X18" i="3"/>
  <c r="M33" i="3"/>
  <c r="N33" i="3"/>
  <c r="U33" i="3"/>
  <c r="AC33" i="3" s="1"/>
  <c r="V33" i="3"/>
  <c r="W33" i="3"/>
  <c r="X33" i="3"/>
  <c r="M12" i="3"/>
  <c r="N12" i="3"/>
  <c r="U12" i="3"/>
  <c r="T12" i="3" s="1"/>
  <c r="V12" i="3"/>
  <c r="W12" i="3"/>
  <c r="X12" i="3"/>
  <c r="M9" i="3"/>
  <c r="N9" i="3"/>
  <c r="U9" i="3"/>
  <c r="T9" i="3" s="1"/>
  <c r="V9" i="3"/>
  <c r="W9" i="3"/>
  <c r="X9" i="3"/>
  <c r="M31" i="3"/>
  <c r="N31" i="3"/>
  <c r="U31" i="3"/>
  <c r="T31" i="3" s="1"/>
  <c r="V31" i="3"/>
  <c r="W31" i="3"/>
  <c r="Y31" i="3" s="1"/>
  <c r="X31" i="3"/>
  <c r="M47" i="3"/>
  <c r="N47" i="3"/>
  <c r="U47" i="3"/>
  <c r="T47" i="3" s="1"/>
  <c r="V47" i="3"/>
  <c r="W47" i="3"/>
  <c r="X47" i="3"/>
  <c r="M40" i="3"/>
  <c r="N40" i="3"/>
  <c r="U40" i="3"/>
  <c r="T40" i="3" s="1"/>
  <c r="V40" i="3"/>
  <c r="W40" i="3"/>
  <c r="X40" i="3"/>
  <c r="M61" i="3"/>
  <c r="N61" i="3"/>
  <c r="U61" i="3"/>
  <c r="T61" i="3" s="1"/>
  <c r="V61" i="3"/>
  <c r="W61" i="3"/>
  <c r="X61" i="3"/>
  <c r="M41" i="3"/>
  <c r="N41" i="3"/>
  <c r="U41" i="3"/>
  <c r="T41" i="3" s="1"/>
  <c r="V41" i="3"/>
  <c r="W41" i="3"/>
  <c r="Y41" i="3" s="1"/>
  <c r="X41" i="3"/>
  <c r="M62" i="3"/>
  <c r="N62" i="3"/>
  <c r="U62" i="3"/>
  <c r="T62" i="3" s="1"/>
  <c r="V62" i="3"/>
  <c r="W62" i="3"/>
  <c r="X62" i="3"/>
  <c r="M16" i="3"/>
  <c r="N16" i="3"/>
  <c r="U16" i="3"/>
  <c r="T16" i="3" s="1"/>
  <c r="V16" i="3"/>
  <c r="W16" i="3"/>
  <c r="X16" i="3"/>
  <c r="M42" i="3"/>
  <c r="N42" i="3"/>
  <c r="U42" i="3"/>
  <c r="T42" i="3" s="1"/>
  <c r="V42" i="3"/>
  <c r="W42" i="3"/>
  <c r="X42" i="3"/>
  <c r="AG190" i="1" l="1"/>
  <c r="X190" i="1"/>
  <c r="Y67" i="3"/>
  <c r="Y53" i="3"/>
  <c r="Y15" i="3"/>
  <c r="Y55" i="3"/>
  <c r="Y52" i="3"/>
  <c r="Y50" i="3"/>
  <c r="Y49" i="3"/>
  <c r="Y43" i="3"/>
  <c r="X73" i="1"/>
  <c r="T215" i="1"/>
  <c r="AA154" i="1"/>
  <c r="W154" i="1" s="1"/>
  <c r="X69" i="1"/>
  <c r="AG14" i="1"/>
  <c r="X76" i="1"/>
  <c r="X72" i="1"/>
  <c r="X75" i="1"/>
  <c r="X71" i="1"/>
  <c r="AG178" i="1"/>
  <c r="U178" i="1" s="1"/>
  <c r="S178" i="1" s="1"/>
  <c r="X171" i="1"/>
  <c r="AA14" i="1"/>
  <c r="AG170" i="1"/>
  <c r="X167" i="1"/>
  <c r="AA143" i="1"/>
  <c r="AI68" i="1"/>
  <c r="T33" i="3"/>
  <c r="T49" i="3"/>
  <c r="AG162" i="1"/>
  <c r="X159" i="1"/>
  <c r="T130" i="1"/>
  <c r="T122" i="1"/>
  <c r="AI75" i="1"/>
  <c r="X50" i="1"/>
  <c r="AG47" i="1"/>
  <c r="AI47" i="1" s="1"/>
  <c r="AA45" i="1"/>
  <c r="W45" i="1" s="1"/>
  <c r="Y42" i="3"/>
  <c r="T24" i="3"/>
  <c r="AG158" i="1"/>
  <c r="AA219" i="1"/>
  <c r="AG208" i="1"/>
  <c r="AA155" i="1"/>
  <c r="AI154" i="1"/>
  <c r="X146" i="1"/>
  <c r="X138" i="1"/>
  <c r="AG113" i="1"/>
  <c r="AI111" i="1"/>
  <c r="AG79" i="1"/>
  <c r="U79" i="1" s="1"/>
  <c r="S79" i="1" s="1"/>
  <c r="AA51" i="1"/>
  <c r="Y59" i="3"/>
  <c r="Y29" i="3"/>
  <c r="Y39" i="3"/>
  <c r="Y65" i="3"/>
  <c r="Y8" i="3"/>
  <c r="Y45" i="3"/>
  <c r="Y24" i="3"/>
  <c r="Y17" i="3"/>
  <c r="Y44" i="3"/>
  <c r="Y19" i="3"/>
  <c r="Y36" i="3"/>
  <c r="Y51" i="3"/>
  <c r="Y35" i="3"/>
  <c r="AA202" i="1"/>
  <c r="AA198" i="1"/>
  <c r="AA193" i="1"/>
  <c r="AA168" i="1"/>
  <c r="AA162" i="1"/>
  <c r="W162" i="1" s="1"/>
  <c r="X52" i="1"/>
  <c r="X54" i="1"/>
  <c r="AA127" i="1"/>
  <c r="W127" i="1" s="1"/>
  <c r="AA84" i="1"/>
  <c r="AA56" i="1"/>
  <c r="X51" i="1"/>
  <c r="X53" i="1"/>
  <c r="AC62" i="3"/>
  <c r="AC52" i="3"/>
  <c r="AC44" i="3"/>
  <c r="AC32" i="3"/>
  <c r="AC12" i="3"/>
  <c r="AC60" i="3"/>
  <c r="AC50" i="3"/>
  <c r="AC42" i="3"/>
  <c r="AC30" i="3"/>
  <c r="AC18" i="3"/>
  <c r="AC8" i="3"/>
  <c r="Y18" i="3"/>
  <c r="Y11" i="3"/>
  <c r="Y32" i="3"/>
  <c r="Y60" i="3"/>
  <c r="Y13" i="3"/>
  <c r="Y57" i="3"/>
  <c r="Y37" i="3"/>
  <c r="Y23" i="3"/>
  <c r="AC56" i="3"/>
  <c r="AC48" i="3"/>
  <c r="AC40" i="3"/>
  <c r="AC26" i="3"/>
  <c r="AC16" i="3"/>
  <c r="Y62" i="3"/>
  <c r="Y61" i="3"/>
  <c r="Y47" i="3"/>
  <c r="Y9" i="3"/>
  <c r="Y33" i="3"/>
  <c r="Y63" i="3"/>
  <c r="Y68" i="3"/>
  <c r="Y30" i="3"/>
  <c r="Y27" i="3"/>
  <c r="Y25" i="3"/>
  <c r="Y46" i="3"/>
  <c r="Y20" i="3"/>
  <c r="Y21" i="3"/>
  <c r="AC68" i="3"/>
  <c r="AC54" i="3"/>
  <c r="AC46" i="3"/>
  <c r="AC36" i="3"/>
  <c r="AC14" i="3"/>
  <c r="T66" i="3"/>
  <c r="Y66" i="3"/>
  <c r="Y58" i="3"/>
  <c r="Y40" i="3"/>
  <c r="Y34" i="3"/>
  <c r="Y16" i="3"/>
  <c r="Y10" i="3"/>
  <c r="T20" i="3"/>
  <c r="AC67" i="3"/>
  <c r="AC65" i="3"/>
  <c r="AC63" i="3"/>
  <c r="AC61" i="3"/>
  <c r="AC59" i="3"/>
  <c r="AC57" i="3"/>
  <c r="AC55" i="3"/>
  <c r="AC53" i="3"/>
  <c r="AC51" i="3"/>
  <c r="AC47" i="3"/>
  <c r="AC45" i="3"/>
  <c r="AC43" i="3"/>
  <c r="AC41" i="3"/>
  <c r="AC39" i="3"/>
  <c r="AC37" i="3"/>
  <c r="AC35" i="3"/>
  <c r="AC31" i="3"/>
  <c r="AC29" i="3"/>
  <c r="AC27" i="3"/>
  <c r="AC25" i="3"/>
  <c r="AC23" i="3"/>
  <c r="AC21" i="3"/>
  <c r="AC19" i="3"/>
  <c r="AC17" i="3"/>
  <c r="AC15" i="3"/>
  <c r="AC13" i="3"/>
  <c r="AC11" i="3"/>
  <c r="AC9" i="3"/>
  <c r="AC64" i="3"/>
  <c r="AC58" i="3"/>
  <c r="AC38" i="3"/>
  <c r="AC34" i="3"/>
  <c r="AC28" i="3"/>
  <c r="AC10" i="3"/>
  <c r="T51" i="3"/>
  <c r="Y64" i="3"/>
  <c r="Y56" i="3"/>
  <c r="Y54" i="3"/>
  <c r="Y48" i="3"/>
  <c r="Y38" i="3"/>
  <c r="Y28" i="3"/>
  <c r="Y26" i="3"/>
  <c r="Y14" i="3"/>
  <c r="Y12" i="3"/>
  <c r="AA188" i="1"/>
  <c r="W188" i="1" s="1"/>
  <c r="X183" i="1"/>
  <c r="AA177" i="1"/>
  <c r="AA176" i="1"/>
  <c r="W176" i="1" s="1"/>
  <c r="T138" i="1"/>
  <c r="AA135" i="1"/>
  <c r="W135" i="1" s="1"/>
  <c r="AG114" i="1"/>
  <c r="AI114" i="1" s="1"/>
  <c r="X114" i="1"/>
  <c r="T111" i="1"/>
  <c r="U111" i="1" s="1"/>
  <c r="S111" i="1" s="1"/>
  <c r="AA68" i="1"/>
  <c r="W68" i="1" s="1"/>
  <c r="AI64" i="1"/>
  <c r="AA64" i="1"/>
  <c r="AA60" i="1"/>
  <c r="AI48" i="1"/>
  <c r="AI45" i="1"/>
  <c r="AA30" i="1"/>
  <c r="AA197" i="1"/>
  <c r="W197" i="1" s="1"/>
  <c r="AA180" i="1"/>
  <c r="W180" i="1" s="1"/>
  <c r="AA171" i="1"/>
  <c r="AA161" i="1"/>
  <c r="AA151" i="1"/>
  <c r="W151" i="1" s="1"/>
  <c r="X142" i="1"/>
  <c r="AA112" i="1"/>
  <c r="AA97" i="1"/>
  <c r="AA96" i="1"/>
  <c r="AI35" i="1"/>
  <c r="T159" i="1"/>
  <c r="T146" i="1"/>
  <c r="U146" i="1" s="1"/>
  <c r="S146" i="1" s="1"/>
  <c r="AA47" i="1"/>
  <c r="W47" i="1" s="1"/>
  <c r="AI36" i="1"/>
  <c r="AA33" i="1"/>
  <c r="AG26" i="1"/>
  <c r="U26" i="1" s="1"/>
  <c r="S26" i="1" s="1"/>
  <c r="AA24" i="1"/>
  <c r="W24" i="1" s="1"/>
  <c r="X23" i="1"/>
  <c r="AA20" i="1"/>
  <c r="W20" i="1" s="1"/>
  <c r="X19" i="1"/>
  <c r="AA205" i="1"/>
  <c r="W205" i="1" s="1"/>
  <c r="AA119" i="1"/>
  <c r="AI108" i="1"/>
  <c r="AA100" i="1"/>
  <c r="AA92" i="1"/>
  <c r="AA76" i="1"/>
  <c r="AA71" i="1"/>
  <c r="AA36" i="1"/>
  <c r="W36" i="1" s="1"/>
  <c r="AA28" i="1"/>
  <c r="W28" i="1" s="1"/>
  <c r="T19" i="1"/>
  <c r="AA200" i="1"/>
  <c r="W200" i="1" s="1"/>
  <c r="W64" i="1"/>
  <c r="AG192" i="1"/>
  <c r="X175" i="1"/>
  <c r="T118" i="1"/>
  <c r="U118" i="1" s="1"/>
  <c r="S118" i="1" s="1"/>
  <c r="AG107" i="1"/>
  <c r="U107" i="1" s="1"/>
  <c r="S107" i="1" s="1"/>
  <c r="AA89" i="1"/>
  <c r="AA80" i="1"/>
  <c r="AG63" i="1"/>
  <c r="AI63" i="1" s="1"/>
  <c r="X59" i="1"/>
  <c r="T44" i="1"/>
  <c r="U44" i="1" s="1"/>
  <c r="S44" i="1" s="1"/>
  <c r="AG43" i="1"/>
  <c r="U43" i="1" s="1"/>
  <c r="S43" i="1" s="1"/>
  <c r="AA40" i="1"/>
  <c r="W40" i="1" s="1"/>
  <c r="AA39" i="1"/>
  <c r="AA34" i="1"/>
  <c r="AG31" i="1"/>
  <c r="AI31" i="1" s="1"/>
  <c r="X31" i="1"/>
  <c r="T183" i="1"/>
  <c r="AA178" i="1"/>
  <c r="AA170" i="1"/>
  <c r="T167" i="1"/>
  <c r="AG215" i="1"/>
  <c r="U215" i="1" s="1"/>
  <c r="S215" i="1" s="1"/>
  <c r="AA153" i="1"/>
  <c r="AG146" i="1"/>
  <c r="AI146" i="1" s="1"/>
  <c r="AG138" i="1"/>
  <c r="AI138" i="1" s="1"/>
  <c r="AG130" i="1"/>
  <c r="U130" i="1" s="1"/>
  <c r="S130" i="1" s="1"/>
  <c r="AG122" i="1"/>
  <c r="AA115" i="1"/>
  <c r="AA114" i="1"/>
  <c r="W114" i="1" s="1"/>
  <c r="AA113" i="1"/>
  <c r="W113" i="1" s="1"/>
  <c r="AA90" i="1"/>
  <c r="AA74" i="1"/>
  <c r="AA67" i="1"/>
  <c r="AA57" i="1"/>
  <c r="AG52" i="1"/>
  <c r="AI44" i="1"/>
  <c r="AG38" i="1"/>
  <c r="U38" i="1" s="1"/>
  <c r="S38" i="1" s="1"/>
  <c r="AG30" i="1"/>
  <c r="U30" i="1" s="1"/>
  <c r="S30" i="1" s="1"/>
  <c r="T23" i="1"/>
  <c r="AA16" i="1"/>
  <c r="W16" i="1" s="1"/>
  <c r="AA210" i="1"/>
  <c r="W210" i="1" s="1"/>
  <c r="AA199" i="1"/>
  <c r="AA187" i="1"/>
  <c r="AA186" i="1"/>
  <c r="AA185" i="1"/>
  <c r="AA184" i="1"/>
  <c r="W184" i="1" s="1"/>
  <c r="T175" i="1"/>
  <c r="AA172" i="1"/>
  <c r="W172" i="1" s="1"/>
  <c r="AG167" i="1"/>
  <c r="AI167" i="1" s="1"/>
  <c r="AA160" i="1"/>
  <c r="W160" i="1" s="1"/>
  <c r="AG159" i="1"/>
  <c r="X219" i="1"/>
  <c r="AA218" i="1"/>
  <c r="AA216" i="1"/>
  <c r="AA150" i="1"/>
  <c r="AA149" i="1"/>
  <c r="AA148" i="1"/>
  <c r="AA147" i="1"/>
  <c r="W147" i="1" s="1"/>
  <c r="AG141" i="1"/>
  <c r="AI141" i="1" s="1"/>
  <c r="AA134" i="1"/>
  <c r="AA133" i="1"/>
  <c r="AA132" i="1"/>
  <c r="AA131" i="1"/>
  <c r="W131" i="1" s="1"/>
  <c r="AG125" i="1"/>
  <c r="AI125" i="1" s="1"/>
  <c r="AA108" i="1"/>
  <c r="W108" i="1" s="1"/>
  <c r="AA88" i="1"/>
  <c r="W88" i="1" s="1"/>
  <c r="AG87" i="1"/>
  <c r="U87" i="1" s="1"/>
  <c r="S87" i="1" s="1"/>
  <c r="T35" i="1"/>
  <c r="U35" i="1" s="1"/>
  <c r="S35" i="1" s="1"/>
  <c r="W115" i="1"/>
  <c r="X108" i="1"/>
  <c r="AA101" i="1"/>
  <c r="AA93" i="1"/>
  <c r="AA91" i="1"/>
  <c r="W91" i="1" s="1"/>
  <c r="AG82" i="1"/>
  <c r="AI82" i="1" s="1"/>
  <c r="AA72" i="1"/>
  <c r="W72" i="1" s="1"/>
  <c r="X68" i="1"/>
  <c r="AG66" i="1"/>
  <c r="U66" i="1" s="1"/>
  <c r="S66" i="1" s="1"/>
  <c r="AA62" i="1"/>
  <c r="AA61" i="1"/>
  <c r="AG55" i="1"/>
  <c r="AI55" i="1" s="1"/>
  <c r="X55" i="1"/>
  <c r="AA54" i="1"/>
  <c r="AA53" i="1"/>
  <c r="AA42" i="1"/>
  <c r="AA41" i="1"/>
  <c r="AA31" i="1"/>
  <c r="AA27" i="1"/>
  <c r="AG186" i="1"/>
  <c r="U186" i="1" s="1"/>
  <c r="S186" i="1" s="1"/>
  <c r="AA179" i="1"/>
  <c r="AG175" i="1"/>
  <c r="AI175" i="1" s="1"/>
  <c r="AA164" i="1"/>
  <c r="W164" i="1" s="1"/>
  <c r="AG218" i="1"/>
  <c r="U218" i="1" s="1"/>
  <c r="S218" i="1" s="1"/>
  <c r="AA207" i="1"/>
  <c r="AG204" i="1"/>
  <c r="AI204" i="1" s="1"/>
  <c r="AG149" i="1"/>
  <c r="AA142" i="1"/>
  <c r="AA141" i="1"/>
  <c r="AA140" i="1"/>
  <c r="AA139" i="1"/>
  <c r="AG133" i="1"/>
  <c r="U133" i="1" s="1"/>
  <c r="S133" i="1" s="1"/>
  <c r="X126" i="1"/>
  <c r="AA126" i="1"/>
  <c r="AA125" i="1"/>
  <c r="AA124" i="1"/>
  <c r="AA123" i="1"/>
  <c r="W123" i="1" s="1"/>
  <c r="X115" i="1"/>
  <c r="AA105" i="1"/>
  <c r="X88" i="1"/>
  <c r="T59" i="1"/>
  <c r="U52" i="1"/>
  <c r="S52" i="1" s="1"/>
  <c r="AG221" i="1"/>
  <c r="AI221" i="1" s="1"/>
  <c r="AG209" i="1"/>
  <c r="AI209" i="1" s="1"/>
  <c r="AA201" i="1"/>
  <c r="W201" i="1" s="1"/>
  <c r="AA195" i="1"/>
  <c r="AG183" i="1"/>
  <c r="AA163" i="1"/>
  <c r="AI158" i="1"/>
  <c r="AA220" i="1"/>
  <c r="W220" i="1" s="1"/>
  <c r="U208" i="1"/>
  <c r="S208" i="1" s="1"/>
  <c r="AA82" i="1"/>
  <c r="AA78" i="1"/>
  <c r="AA75" i="1"/>
  <c r="W75" i="1" s="1"/>
  <c r="AG67" i="1"/>
  <c r="U67" i="1" s="1"/>
  <c r="S67" i="1" s="1"/>
  <c r="X67" i="1"/>
  <c r="AA66" i="1"/>
  <c r="X56" i="1"/>
  <c r="AG54" i="1"/>
  <c r="AA19" i="1"/>
  <c r="AA221" i="1"/>
  <c r="AA209" i="1"/>
  <c r="T200" i="1"/>
  <c r="U200" i="1" s="1"/>
  <c r="S200" i="1" s="1"/>
  <c r="X197" i="1"/>
  <c r="AG196" i="1"/>
  <c r="U196" i="1" s="1"/>
  <c r="S196" i="1" s="1"/>
  <c r="AA194" i="1"/>
  <c r="X193" i="1"/>
  <c r="U192" i="1"/>
  <c r="S192" i="1" s="1"/>
  <c r="X184" i="1"/>
  <c r="AA212" i="1"/>
  <c r="W212" i="1" s="1"/>
  <c r="T210" i="1"/>
  <c r="U210" i="1" s="1"/>
  <c r="S210" i="1" s="1"/>
  <c r="AA203" i="1"/>
  <c r="T201" i="1"/>
  <c r="U201" i="1" s="1"/>
  <c r="S201" i="1" s="1"/>
  <c r="AA191" i="1"/>
  <c r="AA189" i="1"/>
  <c r="X188" i="1"/>
  <c r="AG187" i="1"/>
  <c r="U187" i="1" s="1"/>
  <c r="S187" i="1" s="1"/>
  <c r="X187" i="1"/>
  <c r="T197" i="1"/>
  <c r="T193" i="1"/>
  <c r="U193" i="1" s="1"/>
  <c r="S193" i="1" s="1"/>
  <c r="T184" i="1"/>
  <c r="U184" i="1" s="1"/>
  <c r="S184" i="1" s="1"/>
  <c r="T203" i="1"/>
  <c r="X204" i="1"/>
  <c r="X210" i="1"/>
  <c r="X201" i="1"/>
  <c r="AA196" i="1"/>
  <c r="AA192" i="1"/>
  <c r="AG191" i="1"/>
  <c r="U191" i="1" s="1"/>
  <c r="S191" i="1" s="1"/>
  <c r="T188" i="1"/>
  <c r="U188" i="1" s="1"/>
  <c r="S188" i="1" s="1"/>
  <c r="T176" i="1"/>
  <c r="W170" i="1"/>
  <c r="AA169" i="1"/>
  <c r="X168" i="1"/>
  <c r="T160" i="1"/>
  <c r="U160" i="1" s="1"/>
  <c r="S160" i="1" s="1"/>
  <c r="AA217" i="1"/>
  <c r="X216" i="1"/>
  <c r="X205" i="1"/>
  <c r="T147" i="1"/>
  <c r="X139" i="1"/>
  <c r="T131" i="1"/>
  <c r="U131" i="1" s="1"/>
  <c r="S131" i="1" s="1"/>
  <c r="X123" i="1"/>
  <c r="X119" i="1"/>
  <c r="T117" i="1"/>
  <c r="AG117" i="1"/>
  <c r="AI117" i="1" s="1"/>
  <c r="T91" i="1"/>
  <c r="U91" i="1" s="1"/>
  <c r="S91" i="1" s="1"/>
  <c r="T88" i="1"/>
  <c r="AA182" i="1"/>
  <c r="AA181" i="1"/>
  <c r="X180" i="1"/>
  <c r="AG179" i="1"/>
  <c r="U179" i="1" s="1"/>
  <c r="S179" i="1" s="1"/>
  <c r="X179" i="1"/>
  <c r="AA175" i="1"/>
  <c r="AG174" i="1"/>
  <c r="U174" i="1" s="1"/>
  <c r="S174" i="1" s="1"/>
  <c r="T172" i="1"/>
  <c r="U172" i="1" s="1"/>
  <c r="S172" i="1" s="1"/>
  <c r="T171" i="1"/>
  <c r="AA166" i="1"/>
  <c r="AA165" i="1"/>
  <c r="X164" i="1"/>
  <c r="AG163" i="1"/>
  <c r="U163" i="1" s="1"/>
  <c r="S163" i="1" s="1"/>
  <c r="X163" i="1"/>
  <c r="AA159" i="1"/>
  <c r="W159" i="1" s="1"/>
  <c r="T220" i="1"/>
  <c r="T219" i="1"/>
  <c r="AA214" i="1"/>
  <c r="AA213" i="1"/>
  <c r="AA208" i="1"/>
  <c r="AA156" i="1"/>
  <c r="T154" i="1"/>
  <c r="U154" i="1" s="1"/>
  <c r="S154" i="1" s="1"/>
  <c r="T153" i="1"/>
  <c r="AA152" i="1"/>
  <c r="AG150" i="1"/>
  <c r="U150" i="1" s="1"/>
  <c r="S150" i="1" s="1"/>
  <c r="X150" i="1"/>
  <c r="AA146" i="1"/>
  <c r="AG145" i="1"/>
  <c r="U145" i="1" s="1"/>
  <c r="S145" i="1" s="1"/>
  <c r="T143" i="1"/>
  <c r="U143" i="1" s="1"/>
  <c r="S143" i="1" s="1"/>
  <c r="T142" i="1"/>
  <c r="AA137" i="1"/>
  <c r="AA136" i="1"/>
  <c r="X135" i="1"/>
  <c r="AG134" i="1"/>
  <c r="U134" i="1" s="1"/>
  <c r="S134" i="1" s="1"/>
  <c r="X134" i="1"/>
  <c r="AA130" i="1"/>
  <c r="AG129" i="1"/>
  <c r="AI129" i="1" s="1"/>
  <c r="T127" i="1"/>
  <c r="U127" i="1" s="1"/>
  <c r="S127" i="1" s="1"/>
  <c r="T126" i="1"/>
  <c r="AA121" i="1"/>
  <c r="AA120" i="1"/>
  <c r="AA111" i="1"/>
  <c r="W111" i="1" s="1"/>
  <c r="AA106" i="1"/>
  <c r="X104" i="1"/>
  <c r="AG103" i="1"/>
  <c r="AI103" i="1" s="1"/>
  <c r="AA99" i="1"/>
  <c r="AA98" i="1"/>
  <c r="AG96" i="1"/>
  <c r="W96" i="1" s="1"/>
  <c r="X96" i="1"/>
  <c r="AG95" i="1"/>
  <c r="U95" i="1" s="1"/>
  <c r="X83" i="1"/>
  <c r="AG83" i="1"/>
  <c r="U83" i="1" s="1"/>
  <c r="S83" i="1" s="1"/>
  <c r="AA83" i="1"/>
  <c r="AG74" i="1"/>
  <c r="AI74" i="1" s="1"/>
  <c r="T70" i="1"/>
  <c r="AG70" i="1"/>
  <c r="AI70" i="1" s="1"/>
  <c r="AI40" i="1"/>
  <c r="AA32" i="1"/>
  <c r="W32" i="1" s="1"/>
  <c r="T22" i="1"/>
  <c r="AG22" i="1"/>
  <c r="AI22" i="1" s="1"/>
  <c r="T18" i="1"/>
  <c r="AG18" i="1"/>
  <c r="AI18" i="1" s="1"/>
  <c r="X176" i="1"/>
  <c r="T168" i="1"/>
  <c r="U168" i="1" s="1"/>
  <c r="S168" i="1" s="1"/>
  <c r="X160" i="1"/>
  <c r="T216" i="1"/>
  <c r="U216" i="1" s="1"/>
  <c r="S216" i="1" s="1"/>
  <c r="T205" i="1"/>
  <c r="U205" i="1" s="1"/>
  <c r="S205" i="1" s="1"/>
  <c r="X147" i="1"/>
  <c r="T139" i="1"/>
  <c r="U139" i="1" s="1"/>
  <c r="S139" i="1" s="1"/>
  <c r="X131" i="1"/>
  <c r="T123" i="1"/>
  <c r="U123" i="1" s="1"/>
  <c r="S123" i="1" s="1"/>
  <c r="T119" i="1"/>
  <c r="U119" i="1" s="1"/>
  <c r="S119" i="1" s="1"/>
  <c r="AG84" i="1"/>
  <c r="X84" i="1"/>
  <c r="AA77" i="1"/>
  <c r="AG71" i="1"/>
  <c r="AI71" i="1" s="1"/>
  <c r="T58" i="1"/>
  <c r="AG58" i="1"/>
  <c r="AI58" i="1" s="1"/>
  <c r="T39" i="1"/>
  <c r="X39" i="1"/>
  <c r="AG39" i="1"/>
  <c r="AI39" i="1" s="1"/>
  <c r="T15" i="1"/>
  <c r="X15" i="1"/>
  <c r="AG15" i="1"/>
  <c r="AI15" i="1" s="1"/>
  <c r="AA183" i="1"/>
  <c r="AG182" i="1"/>
  <c r="T180" i="1"/>
  <c r="U180" i="1" s="1"/>
  <c r="S180" i="1" s="1"/>
  <c r="AA174" i="1"/>
  <c r="AA173" i="1"/>
  <c r="X172" i="1"/>
  <c r="AG171" i="1"/>
  <c r="AA167" i="1"/>
  <c r="AG166" i="1"/>
  <c r="U166" i="1" s="1"/>
  <c r="S166" i="1" s="1"/>
  <c r="T164" i="1"/>
  <c r="U164" i="1" s="1"/>
  <c r="S164" i="1" s="1"/>
  <c r="AA158" i="1"/>
  <c r="W158" i="1" s="1"/>
  <c r="AA157" i="1"/>
  <c r="X220" i="1"/>
  <c r="AG219" i="1"/>
  <c r="AA215" i="1"/>
  <c r="AG214" i="1"/>
  <c r="U214" i="1" s="1"/>
  <c r="S214" i="1" s="1"/>
  <c r="AA206" i="1"/>
  <c r="AA204" i="1"/>
  <c r="AG156" i="1"/>
  <c r="U156" i="1" s="1"/>
  <c r="S156" i="1" s="1"/>
  <c r="AG153" i="1"/>
  <c r="AI153" i="1" s="1"/>
  <c r="T151" i="1"/>
  <c r="U151" i="1" s="1"/>
  <c r="S151" i="1" s="1"/>
  <c r="AA145" i="1"/>
  <c r="AA144" i="1"/>
  <c r="X143" i="1"/>
  <c r="AG142" i="1"/>
  <c r="AI142" i="1" s="1"/>
  <c r="AA138" i="1"/>
  <c r="AG137" i="1"/>
  <c r="AI137" i="1" s="1"/>
  <c r="T135" i="1"/>
  <c r="U135" i="1" s="1"/>
  <c r="S135" i="1" s="1"/>
  <c r="AA129" i="1"/>
  <c r="AA128" i="1"/>
  <c r="X127" i="1"/>
  <c r="AG126" i="1"/>
  <c r="AI126" i="1" s="1"/>
  <c r="AA122" i="1"/>
  <c r="AG121" i="1"/>
  <c r="U121" i="1" s="1"/>
  <c r="S121" i="1" s="1"/>
  <c r="X118" i="1"/>
  <c r="AA117" i="1"/>
  <c r="AA116" i="1"/>
  <c r="AA109" i="1"/>
  <c r="AA104" i="1"/>
  <c r="W104" i="1" s="1"/>
  <c r="T104" i="1"/>
  <c r="U104" i="1" s="1"/>
  <c r="S104" i="1" s="1"/>
  <c r="AA102" i="1"/>
  <c r="AG100" i="1"/>
  <c r="U100" i="1" s="1"/>
  <c r="S100" i="1" s="1"/>
  <c r="X100" i="1"/>
  <c r="AG99" i="1"/>
  <c r="U99" i="1" s="1"/>
  <c r="S99" i="1" s="1"/>
  <c r="AA95" i="1"/>
  <c r="AA94" i="1"/>
  <c r="AG92" i="1"/>
  <c r="U92" i="1" s="1"/>
  <c r="S92" i="1" s="1"/>
  <c r="X92" i="1"/>
  <c r="AG80" i="1"/>
  <c r="W80" i="1" s="1"/>
  <c r="X80" i="1"/>
  <c r="T78" i="1"/>
  <c r="X79" i="1"/>
  <c r="AG78" i="1"/>
  <c r="AG60" i="1"/>
  <c r="X60" i="1"/>
  <c r="T27" i="1"/>
  <c r="X27" i="1"/>
  <c r="AG27" i="1"/>
  <c r="AI27" i="1" s="1"/>
  <c r="AA73" i="1"/>
  <c r="T73" i="1"/>
  <c r="T64" i="1"/>
  <c r="U64" i="1" s="1"/>
  <c r="S64" i="1" s="1"/>
  <c r="AA59" i="1"/>
  <c r="AA49" i="1"/>
  <c r="W49" i="1" s="1"/>
  <c r="AA23" i="1"/>
  <c r="AA118" i="1"/>
  <c r="W118" i="1" s="1"/>
  <c r="T115" i="1"/>
  <c r="AA110" i="1"/>
  <c r="T108" i="1"/>
  <c r="U108" i="1" s="1"/>
  <c r="S108" i="1" s="1"/>
  <c r="AA87" i="1"/>
  <c r="AA86" i="1"/>
  <c r="AA85" i="1"/>
  <c r="AA79" i="1"/>
  <c r="AG73" i="1"/>
  <c r="T68" i="1"/>
  <c r="U68" i="1" s="1"/>
  <c r="S68" i="1" s="1"/>
  <c r="AA65" i="1"/>
  <c r="AA63" i="1"/>
  <c r="AG62" i="1"/>
  <c r="U62" i="1" s="1"/>
  <c r="S62" i="1" s="1"/>
  <c r="AG59" i="1"/>
  <c r="AI59" i="1" s="1"/>
  <c r="T56" i="1"/>
  <c r="U56" i="1" s="1"/>
  <c r="S56" i="1" s="1"/>
  <c r="AA55" i="1"/>
  <c r="AA52" i="1"/>
  <c r="W52" i="1" s="1"/>
  <c r="AA48" i="1"/>
  <c r="W48" i="1" s="1"/>
  <c r="AG46" i="1"/>
  <c r="AI46" i="1" s="1"/>
  <c r="X46" i="1"/>
  <c r="AA44" i="1"/>
  <c r="W44" i="1" s="1"/>
  <c r="AA43" i="1"/>
  <c r="AG42" i="1"/>
  <c r="U42" i="1" s="1"/>
  <c r="S42" i="1" s="1"/>
  <c r="AA38" i="1"/>
  <c r="AA35" i="1"/>
  <c r="W35" i="1" s="1"/>
  <c r="AG34" i="1"/>
  <c r="AI34" i="1" s="1"/>
  <c r="AA29" i="1"/>
  <c r="AA26" i="1"/>
  <c r="AG23" i="1"/>
  <c r="AI23" i="1" s="1"/>
  <c r="AG19" i="1"/>
  <c r="AI19" i="1" s="1"/>
  <c r="W14" i="1"/>
  <c r="AA81" i="1"/>
  <c r="AA69" i="1"/>
  <c r="X64" i="1"/>
  <c r="X63" i="1"/>
  <c r="U47" i="1"/>
  <c r="S47" i="1" s="1"/>
  <c r="X43" i="1"/>
  <c r="AA37" i="1"/>
  <c r="X35" i="1"/>
  <c r="AA25" i="1"/>
  <c r="AA22" i="1"/>
  <c r="AA21" i="1"/>
  <c r="AA18" i="1"/>
  <c r="AA17" i="1"/>
  <c r="AA15" i="1"/>
  <c r="AI214" i="1"/>
  <c r="W193" i="1"/>
  <c r="AI220" i="1"/>
  <c r="U197" i="1"/>
  <c r="S197" i="1" s="1"/>
  <c r="AI210" i="1"/>
  <c r="U176" i="1"/>
  <c r="S176" i="1" s="1"/>
  <c r="W168" i="1"/>
  <c r="U220" i="1"/>
  <c r="S220" i="1" s="1"/>
  <c r="W216" i="1"/>
  <c r="X209" i="1"/>
  <c r="AG203" i="1"/>
  <c r="X200" i="1"/>
  <c r="AG199" i="1"/>
  <c r="X196" i="1"/>
  <c r="AG195" i="1"/>
  <c r="U170" i="1"/>
  <c r="S170" i="1" s="1"/>
  <c r="U162" i="1"/>
  <c r="S162" i="1" s="1"/>
  <c r="U158" i="1"/>
  <c r="S158" i="1" s="1"/>
  <c r="T206" i="1"/>
  <c r="X206" i="1"/>
  <c r="AG206" i="1"/>
  <c r="AI206" i="1" s="1"/>
  <c r="AI139" i="1"/>
  <c r="AI123" i="1"/>
  <c r="W119" i="1"/>
  <c r="X212" i="1"/>
  <c r="T212" i="1"/>
  <c r="U212" i="1" s="1"/>
  <c r="S212" i="1" s="1"/>
  <c r="AG211" i="1"/>
  <c r="W211" i="1" s="1"/>
  <c r="X203" i="1"/>
  <c r="AG202" i="1"/>
  <c r="X199" i="1"/>
  <c r="AG198" i="1"/>
  <c r="X195" i="1"/>
  <c r="AG194" i="1"/>
  <c r="AI194" i="1" s="1"/>
  <c r="AI205" i="1"/>
  <c r="AG189" i="1"/>
  <c r="AI201" i="1"/>
  <c r="X186" i="1"/>
  <c r="AG185" i="1"/>
  <c r="AI197" i="1"/>
  <c r="X182" i="1"/>
  <c r="AG181" i="1"/>
  <c r="AI193" i="1"/>
  <c r="X178" i="1"/>
  <c r="AG177" i="1"/>
  <c r="AI188" i="1"/>
  <c r="X174" i="1"/>
  <c r="AG173" i="1"/>
  <c r="AI184" i="1"/>
  <c r="X170" i="1"/>
  <c r="AG169" i="1"/>
  <c r="AI169" i="1" s="1"/>
  <c r="AI180" i="1"/>
  <c r="X166" i="1"/>
  <c r="AG165" i="1"/>
  <c r="AI165" i="1" s="1"/>
  <c r="AI176" i="1"/>
  <c r="X162" i="1"/>
  <c r="AG161" i="1"/>
  <c r="AI172" i="1"/>
  <c r="X158" i="1"/>
  <c r="AG157" i="1"/>
  <c r="AI168" i="1"/>
  <c r="X218" i="1"/>
  <c r="AG217" i="1"/>
  <c r="W217" i="1" s="1"/>
  <c r="AI164" i="1"/>
  <c r="X214" i="1"/>
  <c r="AG213" i="1"/>
  <c r="T207" i="1"/>
  <c r="X207" i="1"/>
  <c r="AI151" i="1"/>
  <c r="AI135" i="1"/>
  <c r="AI119" i="1"/>
  <c r="X221" i="1"/>
  <c r="X211" i="1"/>
  <c r="X202" i="1"/>
  <c r="X198" i="1"/>
  <c r="X194" i="1"/>
  <c r="X189" i="1"/>
  <c r="AI200" i="1"/>
  <c r="X185" i="1"/>
  <c r="X181" i="1"/>
  <c r="AI192" i="1"/>
  <c r="X177" i="1"/>
  <c r="X173" i="1"/>
  <c r="X169" i="1"/>
  <c r="AI179" i="1"/>
  <c r="X165" i="1"/>
  <c r="X161" i="1"/>
  <c r="X157" i="1"/>
  <c r="X217" i="1"/>
  <c r="X213" i="1"/>
  <c r="X208" i="1"/>
  <c r="AG207" i="1"/>
  <c r="U147" i="1"/>
  <c r="S147" i="1" s="1"/>
  <c r="AI147" i="1"/>
  <c r="W143" i="1"/>
  <c r="AI131" i="1"/>
  <c r="U115" i="1"/>
  <c r="S115" i="1" s="1"/>
  <c r="AI115" i="1"/>
  <c r="T155" i="1"/>
  <c r="AG155" i="1"/>
  <c r="AI143" i="1"/>
  <c r="W139" i="1"/>
  <c r="AI127" i="1"/>
  <c r="AA107" i="1"/>
  <c r="T106" i="1"/>
  <c r="X106" i="1"/>
  <c r="AG106" i="1"/>
  <c r="AI100" i="1"/>
  <c r="AI96" i="1"/>
  <c r="AI92" i="1"/>
  <c r="U149" i="1"/>
  <c r="S149" i="1" s="1"/>
  <c r="U125" i="1"/>
  <c r="S125" i="1" s="1"/>
  <c r="U113" i="1"/>
  <c r="S113" i="1" s="1"/>
  <c r="T109" i="1"/>
  <c r="X109" i="1"/>
  <c r="AG109" i="1"/>
  <c r="U88" i="1"/>
  <c r="S88" i="1" s="1"/>
  <c r="AI88" i="1"/>
  <c r="X156" i="1"/>
  <c r="AG152" i="1"/>
  <c r="W152" i="1" s="1"/>
  <c r="X149" i="1"/>
  <c r="AG148" i="1"/>
  <c r="X145" i="1"/>
  <c r="AG144" i="1"/>
  <c r="X141" i="1"/>
  <c r="AG140" i="1"/>
  <c r="X137" i="1"/>
  <c r="AG136" i="1"/>
  <c r="X133" i="1"/>
  <c r="AG132" i="1"/>
  <c r="X129" i="1"/>
  <c r="AG128" i="1"/>
  <c r="X125" i="1"/>
  <c r="AG124" i="1"/>
  <c r="X121" i="1"/>
  <c r="AG120" i="1"/>
  <c r="AI118" i="1"/>
  <c r="X117" i="1"/>
  <c r="AG116" i="1"/>
  <c r="X113" i="1"/>
  <c r="AG112" i="1"/>
  <c r="T110" i="1"/>
  <c r="X110" i="1"/>
  <c r="X107" i="1"/>
  <c r="AI104" i="1"/>
  <c r="AA103" i="1"/>
  <c r="X148" i="1"/>
  <c r="X144" i="1"/>
  <c r="X140" i="1"/>
  <c r="X136" i="1"/>
  <c r="X132" i="1"/>
  <c r="X128" i="1"/>
  <c r="X124" i="1"/>
  <c r="X120" i="1"/>
  <c r="X116" i="1"/>
  <c r="AI113" i="1"/>
  <c r="X112" i="1"/>
  <c r="X111" i="1"/>
  <c r="AG110" i="1"/>
  <c r="X103" i="1"/>
  <c r="AG102" i="1"/>
  <c r="X99" i="1"/>
  <c r="AG98" i="1"/>
  <c r="X95" i="1"/>
  <c r="AG94" i="1"/>
  <c r="X91" i="1"/>
  <c r="AG90" i="1"/>
  <c r="X87" i="1"/>
  <c r="AG86" i="1"/>
  <c r="T75" i="1"/>
  <c r="U75" i="1" s="1"/>
  <c r="S75" i="1" s="1"/>
  <c r="AA70" i="1"/>
  <c r="T61" i="1"/>
  <c r="X61" i="1"/>
  <c r="AG61" i="1"/>
  <c r="AG105" i="1"/>
  <c r="X102" i="1"/>
  <c r="AG101" i="1"/>
  <c r="X98" i="1"/>
  <c r="AG97" i="1"/>
  <c r="AI95" i="1"/>
  <c r="S95" i="1"/>
  <c r="X94" i="1"/>
  <c r="AG93" i="1"/>
  <c r="AI91" i="1"/>
  <c r="X90" i="1"/>
  <c r="AG89" i="1"/>
  <c r="AI87" i="1"/>
  <c r="X86" i="1"/>
  <c r="AG85" i="1"/>
  <c r="X82" i="1"/>
  <c r="AG81" i="1"/>
  <c r="AI79" i="1"/>
  <c r="X78" i="1"/>
  <c r="AG77" i="1"/>
  <c r="T57" i="1"/>
  <c r="X57" i="1"/>
  <c r="AG57" i="1"/>
  <c r="W56" i="1"/>
  <c r="X105" i="1"/>
  <c r="X101" i="1"/>
  <c r="X97" i="1"/>
  <c r="X93" i="1"/>
  <c r="X89" i="1"/>
  <c r="X85" i="1"/>
  <c r="X81" i="1"/>
  <c r="X77" i="1"/>
  <c r="AG76" i="1"/>
  <c r="T72" i="1"/>
  <c r="U72" i="1" s="1"/>
  <c r="S72" i="1" s="1"/>
  <c r="T69" i="1"/>
  <c r="AG69" i="1"/>
  <c r="AI56" i="1"/>
  <c r="T74" i="1"/>
  <c r="AI72" i="1"/>
  <c r="T65" i="1"/>
  <c r="X65" i="1"/>
  <c r="AG65" i="1"/>
  <c r="AA58" i="1"/>
  <c r="U54" i="1"/>
  <c r="S54" i="1" s="1"/>
  <c r="T50" i="1"/>
  <c r="AI28" i="1"/>
  <c r="AI67" i="1"/>
  <c r="X66" i="1"/>
  <c r="X62" i="1"/>
  <c r="X58" i="1"/>
  <c r="AG53" i="1"/>
  <c r="W53" i="1" s="1"/>
  <c r="AI52" i="1"/>
  <c r="AG51" i="1"/>
  <c r="AG50" i="1"/>
  <c r="AI49" i="1"/>
  <c r="T48" i="1"/>
  <c r="U48" i="1" s="1"/>
  <c r="S48" i="1" s="1"/>
  <c r="T45" i="1"/>
  <c r="U45" i="1" s="1"/>
  <c r="S45" i="1" s="1"/>
  <c r="X45" i="1"/>
  <c r="X44" i="1"/>
  <c r="AI24" i="1"/>
  <c r="AI20" i="1"/>
  <c r="AI16" i="1"/>
  <c r="AI54" i="1"/>
  <c r="T49" i="1"/>
  <c r="U49" i="1" s="1"/>
  <c r="S49" i="1" s="1"/>
  <c r="X49" i="1"/>
  <c r="X48" i="1"/>
  <c r="X47" i="1"/>
  <c r="AA46" i="1"/>
  <c r="T37" i="1"/>
  <c r="X37" i="1"/>
  <c r="AG37" i="1"/>
  <c r="AA50" i="1"/>
  <c r="AI43" i="1"/>
  <c r="AI42" i="1"/>
  <c r="T41" i="1"/>
  <c r="X41" i="1"/>
  <c r="AG41" i="1"/>
  <c r="AI32" i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U31" i="1"/>
  <c r="S31" i="1" s="1"/>
  <c r="X28" i="1"/>
  <c r="T28" i="1"/>
  <c r="U28" i="1" s="1"/>
  <c r="S28" i="1" s="1"/>
  <c r="X24" i="1"/>
  <c r="T24" i="1"/>
  <c r="U24" i="1" s="1"/>
  <c r="S24" i="1" s="1"/>
  <c r="U23" i="1"/>
  <c r="S23" i="1" s="1"/>
  <c r="X20" i="1"/>
  <c r="T20" i="1"/>
  <c r="U20" i="1" s="1"/>
  <c r="S20" i="1" s="1"/>
  <c r="X16" i="1"/>
  <c r="T16" i="1"/>
  <c r="U16" i="1" s="1"/>
  <c r="S16" i="1" s="1"/>
  <c r="U14" i="1"/>
  <c r="S14" i="1" s="1"/>
  <c r="X42" i="1"/>
  <c r="X38" i="1"/>
  <c r="X34" i="1"/>
  <c r="AG33" i="1"/>
  <c r="X30" i="1"/>
  <c r="AG29" i="1"/>
  <c r="X26" i="1"/>
  <c r="AG25" i="1"/>
  <c r="X22" i="1"/>
  <c r="AG21" i="1"/>
  <c r="W21" i="1" s="1"/>
  <c r="X18" i="1"/>
  <c r="AG17" i="1"/>
  <c r="X33" i="1"/>
  <c r="X29" i="1"/>
  <c r="X25" i="1"/>
  <c r="X21" i="1"/>
  <c r="X17" i="1"/>
  <c r="AI14" i="1"/>
  <c r="S43" i="3"/>
  <c r="R43" i="3"/>
  <c r="S7" i="3"/>
  <c r="R7" i="3"/>
  <c r="S37" i="3"/>
  <c r="R37" i="3"/>
  <c r="S19" i="3"/>
  <c r="R19" i="3"/>
  <c r="S44" i="3"/>
  <c r="R44" i="3"/>
  <c r="S38" i="3"/>
  <c r="R38" i="3"/>
  <c r="S21" i="3"/>
  <c r="R21" i="3"/>
  <c r="S20" i="3"/>
  <c r="R20" i="3"/>
  <c r="S15" i="3"/>
  <c r="R15" i="3"/>
  <c r="S28" i="3"/>
  <c r="R28" i="3"/>
  <c r="S25" i="3"/>
  <c r="R25" i="3"/>
  <c r="S27" i="3"/>
  <c r="R27" i="3"/>
  <c r="S30" i="3"/>
  <c r="R30" i="3"/>
  <c r="S24" i="3"/>
  <c r="R24" i="3"/>
  <c r="S14" i="3"/>
  <c r="R14" i="3"/>
  <c r="S45" i="3"/>
  <c r="R45" i="3"/>
  <c r="S8" i="3"/>
  <c r="R8" i="3"/>
  <c r="S26" i="3"/>
  <c r="R26" i="3"/>
  <c r="S39" i="3"/>
  <c r="R39" i="3"/>
  <c r="S13" i="3"/>
  <c r="R13" i="3"/>
  <c r="S10" i="3"/>
  <c r="R10" i="3"/>
  <c r="S29" i="3"/>
  <c r="R29" i="3"/>
  <c r="S40" i="3"/>
  <c r="R40" i="3"/>
  <c r="S33" i="3"/>
  <c r="R33" i="3"/>
  <c r="S41" i="3"/>
  <c r="R41" i="3"/>
  <c r="S16" i="3"/>
  <c r="R16" i="3"/>
  <c r="S42" i="3"/>
  <c r="R42" i="3"/>
  <c r="S48" i="3"/>
  <c r="R48" i="3"/>
  <c r="S47" i="3"/>
  <c r="R47" i="3"/>
  <c r="S62" i="3"/>
  <c r="R62" i="3"/>
  <c r="S65" i="3"/>
  <c r="R65" i="3"/>
  <c r="S66" i="3"/>
  <c r="R66" i="3"/>
  <c r="S64" i="3"/>
  <c r="R64" i="3"/>
  <c r="S63" i="3"/>
  <c r="R63" i="3"/>
  <c r="S51" i="3"/>
  <c r="R51" i="3"/>
  <c r="S49" i="3"/>
  <c r="R49" i="3"/>
  <c r="S54" i="3"/>
  <c r="R54" i="3"/>
  <c r="S55" i="3"/>
  <c r="R55" i="3"/>
  <c r="S46" i="3"/>
  <c r="R46" i="3"/>
  <c r="S56" i="3"/>
  <c r="R56" i="3"/>
  <c r="S53" i="3"/>
  <c r="R53" i="3"/>
  <c r="S57" i="3"/>
  <c r="R57" i="3"/>
  <c r="S61" i="3"/>
  <c r="R61" i="3"/>
  <c r="M22" i="3"/>
  <c r="N22" i="3"/>
  <c r="U22" i="3"/>
  <c r="V22" i="3"/>
  <c r="W22" i="3"/>
  <c r="X22" i="3"/>
  <c r="AI190" i="1" l="1"/>
  <c r="U190" i="1"/>
  <c r="S190" i="1" s="1"/>
  <c r="W190" i="1"/>
  <c r="W97" i="1"/>
  <c r="U78" i="1"/>
  <c r="S78" i="1" s="1"/>
  <c r="W129" i="1"/>
  <c r="U15" i="1"/>
  <c r="S15" i="1" s="1"/>
  <c r="U183" i="1"/>
  <c r="S183" i="1" s="1"/>
  <c r="W178" i="1"/>
  <c r="U82" i="1"/>
  <c r="S82" i="1" s="1"/>
  <c r="U126" i="1"/>
  <c r="S126" i="1" s="1"/>
  <c r="W82" i="1"/>
  <c r="U129" i="1"/>
  <c r="S129" i="1" s="1"/>
  <c r="U96" i="1"/>
  <c r="S96" i="1" s="1"/>
  <c r="W181" i="1"/>
  <c r="W198" i="1"/>
  <c r="U63" i="1"/>
  <c r="S63" i="1" s="1"/>
  <c r="W63" i="1"/>
  <c r="W79" i="1"/>
  <c r="W117" i="1"/>
  <c r="W208" i="1"/>
  <c r="W149" i="1"/>
  <c r="U122" i="1"/>
  <c r="S122" i="1" s="1"/>
  <c r="AI80" i="1"/>
  <c r="W84" i="1"/>
  <c r="U18" i="1"/>
  <c r="S18" i="1" s="1"/>
  <c r="W202" i="1"/>
  <c r="W138" i="1"/>
  <c r="W145" i="1"/>
  <c r="W31" i="1"/>
  <c r="U221" i="1"/>
  <c r="S221" i="1" s="1"/>
  <c r="W92" i="1"/>
  <c r="W42" i="1"/>
  <c r="W89" i="1"/>
  <c r="AI133" i="1"/>
  <c r="W30" i="1"/>
  <c r="AI26" i="1"/>
  <c r="W120" i="1"/>
  <c r="AI150" i="1"/>
  <c r="U153" i="1"/>
  <c r="S153" i="1" s="1"/>
  <c r="W185" i="1"/>
  <c r="W189" i="1"/>
  <c r="U142" i="1"/>
  <c r="S142" i="1" s="1"/>
  <c r="AI30" i="1"/>
  <c r="W29" i="1"/>
  <c r="W58" i="1"/>
  <c r="W70" i="1"/>
  <c r="U46" i="1"/>
  <c r="S46" i="1" s="1"/>
  <c r="W61" i="1"/>
  <c r="AI149" i="1"/>
  <c r="AI130" i="1"/>
  <c r="AI84" i="1"/>
  <c r="U71" i="1"/>
  <c r="S71" i="1" s="1"/>
  <c r="AI83" i="1"/>
  <c r="W86" i="1"/>
  <c r="AI145" i="1"/>
  <c r="AI107" i="1"/>
  <c r="U84" i="1"/>
  <c r="S84" i="1" s="1"/>
  <c r="U138" i="1"/>
  <c r="S138" i="1" s="1"/>
  <c r="U204" i="1"/>
  <c r="S204" i="1" s="1"/>
  <c r="AI187" i="1"/>
  <c r="W26" i="1"/>
  <c r="W38" i="1"/>
  <c r="W55" i="1"/>
  <c r="W87" i="1"/>
  <c r="W142" i="1"/>
  <c r="U55" i="1"/>
  <c r="S55" i="1" s="1"/>
  <c r="W150" i="1"/>
  <c r="AI78" i="1"/>
  <c r="AI62" i="1"/>
  <c r="AI121" i="1"/>
  <c r="U141" i="1"/>
  <c r="S141" i="1" s="1"/>
  <c r="W107" i="1"/>
  <c r="AI218" i="1"/>
  <c r="Y22" i="3"/>
  <c r="U27" i="1"/>
  <c r="S27" i="1" s="1"/>
  <c r="W46" i="1"/>
  <c r="W65" i="1"/>
  <c r="AI99" i="1"/>
  <c r="AI183" i="1"/>
  <c r="W173" i="1"/>
  <c r="W22" i="1"/>
  <c r="W43" i="1"/>
  <c r="W60" i="1"/>
  <c r="W174" i="1"/>
  <c r="W146" i="1"/>
  <c r="W141" i="1"/>
  <c r="W125" i="1"/>
  <c r="W67" i="1"/>
  <c r="U159" i="1"/>
  <c r="S159" i="1" s="1"/>
  <c r="T22" i="3"/>
  <c r="AC22" i="3"/>
  <c r="U34" i="1"/>
  <c r="S34" i="1" s="1"/>
  <c r="U19" i="1"/>
  <c r="S19" i="1" s="1"/>
  <c r="AI66" i="1"/>
  <c r="W112" i="1"/>
  <c r="AI134" i="1"/>
  <c r="U103" i="1"/>
  <c r="S103" i="1" s="1"/>
  <c r="U137" i="1"/>
  <c r="S137" i="1" s="1"/>
  <c r="U114" i="1"/>
  <c r="S114" i="1" s="1"/>
  <c r="W15" i="1"/>
  <c r="W83" i="1"/>
  <c r="W221" i="1"/>
  <c r="W66" i="1"/>
  <c r="U175" i="1"/>
  <c r="S175" i="1" s="1"/>
  <c r="W133" i="1"/>
  <c r="W218" i="1"/>
  <c r="U167" i="1"/>
  <c r="S167" i="1" s="1"/>
  <c r="W85" i="1"/>
  <c r="W100" i="1"/>
  <c r="W157" i="1"/>
  <c r="W177" i="1"/>
  <c r="W18" i="1"/>
  <c r="W78" i="1"/>
  <c r="W215" i="1"/>
  <c r="W171" i="1"/>
  <c r="U39" i="1"/>
  <c r="S39" i="1" s="1"/>
  <c r="W25" i="1"/>
  <c r="W41" i="1"/>
  <c r="W69" i="1"/>
  <c r="W110" i="1"/>
  <c r="W103" i="1"/>
  <c r="W144" i="1"/>
  <c r="W213" i="1"/>
  <c r="W98" i="1"/>
  <c r="W130" i="1"/>
  <c r="U117" i="1"/>
  <c r="S117" i="1" s="1"/>
  <c r="U22" i="1"/>
  <c r="S22" i="1" s="1"/>
  <c r="AI38" i="1"/>
  <c r="U74" i="1"/>
  <c r="S74" i="1" s="1"/>
  <c r="AI122" i="1"/>
  <c r="W128" i="1"/>
  <c r="W106" i="1"/>
  <c r="W203" i="1"/>
  <c r="W122" i="1"/>
  <c r="W204" i="1"/>
  <c r="U219" i="1"/>
  <c r="S219" i="1" s="1"/>
  <c r="W140" i="1"/>
  <c r="U80" i="1"/>
  <c r="S80" i="1" s="1"/>
  <c r="AI156" i="1"/>
  <c r="AI163" i="1"/>
  <c r="AI171" i="1"/>
  <c r="AI196" i="1"/>
  <c r="AI213" i="1"/>
  <c r="U209" i="1"/>
  <c r="S209" i="1" s="1"/>
  <c r="W34" i="1"/>
  <c r="U59" i="1"/>
  <c r="S59" i="1" s="1"/>
  <c r="W126" i="1"/>
  <c r="W153" i="1"/>
  <c r="W183" i="1"/>
  <c r="W39" i="1"/>
  <c r="W134" i="1"/>
  <c r="AI157" i="1"/>
  <c r="W167" i="1"/>
  <c r="W175" i="1"/>
  <c r="W192" i="1"/>
  <c r="W209" i="1"/>
  <c r="AI202" i="1"/>
  <c r="W59" i="1"/>
  <c r="U58" i="1"/>
  <c r="S58" i="1" s="1"/>
  <c r="W186" i="1"/>
  <c r="AI185" i="1"/>
  <c r="AI189" i="1"/>
  <c r="W156" i="1"/>
  <c r="W19" i="1"/>
  <c r="U70" i="1"/>
  <c r="S70" i="1" s="1"/>
  <c r="W54" i="1"/>
  <c r="AI181" i="1"/>
  <c r="W62" i="1"/>
  <c r="W163" i="1"/>
  <c r="AI217" i="1"/>
  <c r="U182" i="1"/>
  <c r="S182" i="1" s="1"/>
  <c r="AI173" i="1"/>
  <c r="W27" i="1"/>
  <c r="W95" i="1"/>
  <c r="U171" i="1"/>
  <c r="S171" i="1" s="1"/>
  <c r="W219" i="1"/>
  <c r="W121" i="1"/>
  <c r="W214" i="1"/>
  <c r="W166" i="1"/>
  <c r="W74" i="1"/>
  <c r="W179" i="1"/>
  <c r="W196" i="1"/>
  <c r="W187" i="1"/>
  <c r="AI73" i="1"/>
  <c r="U73" i="1"/>
  <c r="S73" i="1" s="1"/>
  <c r="W99" i="1"/>
  <c r="W137" i="1"/>
  <c r="W182" i="1"/>
  <c r="W50" i="1"/>
  <c r="W161" i="1"/>
  <c r="AI161" i="1"/>
  <c r="AI177" i="1"/>
  <c r="AI198" i="1"/>
  <c r="W23" i="1"/>
  <c r="W73" i="1"/>
  <c r="U60" i="1"/>
  <c r="S60" i="1" s="1"/>
  <c r="AI60" i="1"/>
  <c r="W71" i="1"/>
  <c r="W191" i="1"/>
  <c r="U17" i="1"/>
  <c r="S17" i="1" s="1"/>
  <c r="AI17" i="1"/>
  <c r="U25" i="1"/>
  <c r="S25" i="1" s="1"/>
  <c r="AI25" i="1"/>
  <c r="U33" i="1"/>
  <c r="S33" i="1" s="1"/>
  <c r="AI33" i="1"/>
  <c r="W17" i="1"/>
  <c r="U37" i="1"/>
  <c r="S37" i="1" s="1"/>
  <c r="AI37" i="1"/>
  <c r="W33" i="1"/>
  <c r="AI51" i="1"/>
  <c r="U51" i="1"/>
  <c r="S51" i="1" s="1"/>
  <c r="AI53" i="1"/>
  <c r="U53" i="1"/>
  <c r="S53" i="1" s="1"/>
  <c r="AI57" i="1"/>
  <c r="U57" i="1"/>
  <c r="S57" i="1" s="1"/>
  <c r="W57" i="1"/>
  <c r="AI90" i="1"/>
  <c r="U90" i="1"/>
  <c r="S90" i="1" s="1"/>
  <c r="AI98" i="1"/>
  <c r="U98" i="1"/>
  <c r="S98" i="1" s="1"/>
  <c r="U116" i="1"/>
  <c r="S116" i="1" s="1"/>
  <c r="AI116" i="1"/>
  <c r="U132" i="1"/>
  <c r="S132" i="1" s="1"/>
  <c r="AI132" i="1"/>
  <c r="U148" i="1"/>
  <c r="S148" i="1" s="1"/>
  <c r="AI148" i="1"/>
  <c r="W90" i="1"/>
  <c r="U155" i="1"/>
  <c r="S155" i="1" s="1"/>
  <c r="AI155" i="1"/>
  <c r="W155" i="1"/>
  <c r="W132" i="1"/>
  <c r="U206" i="1"/>
  <c r="S206" i="1" s="1"/>
  <c r="AI159" i="1"/>
  <c r="W206" i="1"/>
  <c r="W37" i="1"/>
  <c r="W51" i="1"/>
  <c r="AI77" i="1"/>
  <c r="U77" i="1"/>
  <c r="S77" i="1" s="1"/>
  <c r="AI81" i="1"/>
  <c r="U81" i="1"/>
  <c r="S81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W81" i="1"/>
  <c r="U112" i="1"/>
  <c r="S112" i="1" s="1"/>
  <c r="AI112" i="1"/>
  <c r="U128" i="1"/>
  <c r="S128" i="1" s="1"/>
  <c r="AI128" i="1"/>
  <c r="U144" i="1"/>
  <c r="S144" i="1" s="1"/>
  <c r="AI144" i="1"/>
  <c r="W93" i="1"/>
  <c r="U109" i="1"/>
  <c r="S109" i="1" s="1"/>
  <c r="AI109" i="1"/>
  <c r="AI106" i="1"/>
  <c r="U106" i="1"/>
  <c r="S106" i="1" s="1"/>
  <c r="W109" i="1"/>
  <c r="W116" i="1"/>
  <c r="AI212" i="1"/>
  <c r="U199" i="1"/>
  <c r="S199" i="1" s="1"/>
  <c r="W199" i="1"/>
  <c r="U21" i="1"/>
  <c r="S21" i="1" s="1"/>
  <c r="AI21" i="1"/>
  <c r="U29" i="1"/>
  <c r="S29" i="1" s="1"/>
  <c r="AI29" i="1"/>
  <c r="U41" i="1"/>
  <c r="S41" i="1" s="1"/>
  <c r="AI41" i="1"/>
  <c r="AI65" i="1"/>
  <c r="U65" i="1"/>
  <c r="S65" i="1" s="1"/>
  <c r="U76" i="1"/>
  <c r="S76" i="1" s="1"/>
  <c r="AI76" i="1"/>
  <c r="AI61" i="1"/>
  <c r="U61" i="1"/>
  <c r="S61" i="1" s="1"/>
  <c r="AI86" i="1"/>
  <c r="U86" i="1"/>
  <c r="S86" i="1" s="1"/>
  <c r="AI94" i="1"/>
  <c r="U94" i="1"/>
  <c r="S94" i="1" s="1"/>
  <c r="AI102" i="1"/>
  <c r="U102" i="1"/>
  <c r="S102" i="1" s="1"/>
  <c r="U124" i="1"/>
  <c r="S124" i="1" s="1"/>
  <c r="AI124" i="1"/>
  <c r="U140" i="1"/>
  <c r="S140" i="1" s="1"/>
  <c r="AI140" i="1"/>
  <c r="W94" i="1"/>
  <c r="W102" i="1"/>
  <c r="W124" i="1"/>
  <c r="AI160" i="1"/>
  <c r="U207" i="1"/>
  <c r="S207" i="1" s="1"/>
  <c r="AI219" i="1"/>
  <c r="U211" i="1"/>
  <c r="S211" i="1" s="1"/>
  <c r="AI50" i="1"/>
  <c r="U50" i="1"/>
  <c r="S50" i="1" s="1"/>
  <c r="AI69" i="1"/>
  <c r="U69" i="1"/>
  <c r="S69" i="1" s="1"/>
  <c r="U105" i="1"/>
  <c r="S105" i="1" s="1"/>
  <c r="AI105" i="1"/>
  <c r="W105" i="1"/>
  <c r="W76" i="1"/>
  <c r="AI110" i="1"/>
  <c r="U110" i="1"/>
  <c r="S110" i="1" s="1"/>
  <c r="U120" i="1"/>
  <c r="S120" i="1" s="1"/>
  <c r="AI120" i="1"/>
  <c r="U136" i="1"/>
  <c r="S136" i="1" s="1"/>
  <c r="AI136" i="1"/>
  <c r="U152" i="1"/>
  <c r="S152" i="1" s="1"/>
  <c r="AI152" i="1"/>
  <c r="W101" i="1"/>
  <c r="W77" i="1"/>
  <c r="W136" i="1"/>
  <c r="AI162" i="1"/>
  <c r="U213" i="1"/>
  <c r="S213" i="1" s="1"/>
  <c r="AI166" i="1"/>
  <c r="U217" i="1"/>
  <c r="S217" i="1" s="1"/>
  <c r="AI170" i="1"/>
  <c r="U157" i="1"/>
  <c r="S157" i="1" s="1"/>
  <c r="AI174" i="1"/>
  <c r="U161" i="1"/>
  <c r="S161" i="1" s="1"/>
  <c r="AI178" i="1"/>
  <c r="U165" i="1"/>
  <c r="S165" i="1" s="1"/>
  <c r="AI182" i="1"/>
  <c r="U169" i="1"/>
  <c r="S169" i="1" s="1"/>
  <c r="AI186" i="1"/>
  <c r="U173" i="1"/>
  <c r="S173" i="1" s="1"/>
  <c r="AI191" i="1"/>
  <c r="U177" i="1"/>
  <c r="S177" i="1" s="1"/>
  <c r="AI195" i="1"/>
  <c r="U181" i="1"/>
  <c r="S181" i="1" s="1"/>
  <c r="AI199" i="1"/>
  <c r="U185" i="1"/>
  <c r="S185" i="1" s="1"/>
  <c r="AI203" i="1"/>
  <c r="U189" i="1"/>
  <c r="S189" i="1" s="1"/>
  <c r="AI207" i="1"/>
  <c r="U194" i="1"/>
  <c r="S194" i="1" s="1"/>
  <c r="AI211" i="1"/>
  <c r="U198" i="1"/>
  <c r="S198" i="1" s="1"/>
  <c r="AI215" i="1"/>
  <c r="U202" i="1"/>
  <c r="S202" i="1" s="1"/>
  <c r="W148" i="1"/>
  <c r="W207" i="1"/>
  <c r="AI208" i="1"/>
  <c r="U195" i="1"/>
  <c r="S195" i="1" s="1"/>
  <c r="AI216" i="1"/>
  <c r="U203" i="1"/>
  <c r="S203" i="1" s="1"/>
  <c r="W165" i="1"/>
  <c r="W195" i="1"/>
  <c r="W169" i="1"/>
  <c r="W194" i="1"/>
  <c r="S50" i="3"/>
  <c r="S52" i="3"/>
  <c r="S67" i="3"/>
  <c r="S68" i="3"/>
  <c r="S32" i="3"/>
  <c r="S18" i="3"/>
  <c r="S58" i="3"/>
  <c r="S59" i="3"/>
  <c r="S60" i="3"/>
  <c r="S12" i="3"/>
  <c r="S9" i="3"/>
  <c r="S31" i="3"/>
  <c r="R11" i="3"/>
  <c r="R34" i="3"/>
  <c r="S17" i="3"/>
  <c r="S23" i="3"/>
  <c r="R35" i="3"/>
  <c r="R36" i="3"/>
  <c r="R52" i="3"/>
  <c r="R50" i="3"/>
  <c r="R67" i="3"/>
  <c r="R68" i="3"/>
  <c r="R32" i="3"/>
  <c r="R18" i="3"/>
  <c r="R60" i="3"/>
  <c r="R58" i="3"/>
  <c r="R59" i="3"/>
  <c r="R9" i="3"/>
  <c r="R31" i="3"/>
  <c r="R12" i="3"/>
  <c r="S34" i="3"/>
  <c r="S11" i="3"/>
  <c r="R23" i="3"/>
  <c r="R17" i="3"/>
  <c r="S35" i="3"/>
  <c r="S36" i="3"/>
  <c r="S22" i="3"/>
  <c r="R22" i="3"/>
  <c r="Y7" i="3" l="1"/>
  <c r="AC7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5" i="1"/>
  <c r="AH16" i="1"/>
  <c r="AH17" i="1"/>
  <c r="AH18" i="1"/>
  <c r="AH29" i="1"/>
  <c r="AH37" i="1"/>
  <c r="AH44" i="1"/>
  <c r="AH49" i="1"/>
  <c r="AH52" i="1"/>
  <c r="AH61" i="1"/>
  <c r="AH62" i="1"/>
  <c r="AH94" i="1"/>
  <c r="AH95" i="1"/>
  <c r="AH96" i="1"/>
  <c r="AH101" i="1"/>
  <c r="AH102" i="1"/>
  <c r="AH103" i="1"/>
  <c r="AH110" i="1"/>
  <c r="AH114" i="1"/>
  <c r="AH115" i="1"/>
  <c r="AH161" i="1"/>
  <c r="AH164" i="1"/>
  <c r="AH165" i="1"/>
  <c r="AH166" i="1"/>
  <c r="AH167" i="1"/>
  <c r="AH168" i="1"/>
  <c r="AH173" i="1"/>
  <c r="AH180" i="1"/>
  <c r="AH181" i="1"/>
  <c r="AH182" i="1"/>
  <c r="AH191" i="1"/>
  <c r="AH197" i="1"/>
  <c r="AH198" i="1"/>
  <c r="AH199" i="1"/>
  <c r="AH200" i="1"/>
  <c r="AH201" i="1"/>
  <c r="AH210" i="1"/>
  <c r="AH211" i="1"/>
  <c r="AH212" i="1"/>
  <c r="AH213" i="1"/>
  <c r="AH19" i="1"/>
  <c r="AH20" i="1"/>
  <c r="AH21" i="1"/>
  <c r="AH22" i="1"/>
  <c r="AH30" i="1"/>
  <c r="AH38" i="1"/>
  <c r="AH39" i="1"/>
  <c r="AH40" i="1"/>
  <c r="AH45" i="1"/>
  <c r="AH51" i="1"/>
  <c r="AH71" i="1"/>
  <c r="AH81" i="1"/>
  <c r="AH106" i="1"/>
  <c r="AH116" i="1"/>
  <c r="AH123" i="1"/>
  <c r="AH130" i="1"/>
  <c r="AH133" i="1"/>
  <c r="AH140" i="1"/>
  <c r="AH146" i="1"/>
  <c r="AH150" i="1"/>
  <c r="AH23" i="1"/>
  <c r="AH24" i="1"/>
  <c r="AH25" i="1"/>
  <c r="AH41" i="1"/>
  <c r="AH42" i="1"/>
  <c r="AH46" i="1"/>
  <c r="AH53" i="1"/>
  <c r="AH54" i="1"/>
  <c r="AH55" i="1"/>
  <c r="AH65" i="1"/>
  <c r="AH66" i="1"/>
  <c r="AH67" i="1"/>
  <c r="AH68" i="1"/>
  <c r="AH72" i="1"/>
  <c r="AH73" i="1"/>
  <c r="AH74" i="1"/>
  <c r="AH83" i="1"/>
  <c r="AH84" i="1"/>
  <c r="AH85" i="1"/>
  <c r="AH86" i="1"/>
  <c r="AH87" i="1"/>
  <c r="AH88" i="1"/>
  <c r="AH89" i="1"/>
  <c r="AH90" i="1"/>
  <c r="AH91" i="1"/>
  <c r="AH97" i="1"/>
  <c r="AH113" i="1"/>
  <c r="AH118" i="1"/>
  <c r="AH119" i="1"/>
  <c r="AH120" i="1"/>
  <c r="AH121" i="1"/>
  <c r="AH127" i="1"/>
  <c r="AH128" i="1"/>
  <c r="AH129" i="1"/>
  <c r="AH135" i="1"/>
  <c r="AH136" i="1"/>
  <c r="AH137" i="1"/>
  <c r="AH143" i="1"/>
  <c r="AH144" i="1"/>
  <c r="AH145" i="1"/>
  <c r="AH151" i="1"/>
  <c r="AH152" i="1"/>
  <c r="AH155" i="1"/>
  <c r="AH156" i="1"/>
  <c r="AH157" i="1"/>
  <c r="AH158" i="1"/>
  <c r="AH171" i="1"/>
  <c r="AH175" i="1"/>
  <c r="AH176" i="1"/>
  <c r="AH177" i="1"/>
  <c r="AH185" i="1"/>
  <c r="AH194" i="1"/>
  <c r="AH202" i="1"/>
  <c r="AH207" i="1"/>
  <c r="AH159" i="1"/>
  <c r="AH160" i="1"/>
  <c r="AH178" i="1"/>
  <c r="AH186" i="1"/>
  <c r="AH187" i="1"/>
  <c r="AH189" i="1"/>
  <c r="AH196" i="1"/>
  <c r="AH203" i="1"/>
  <c r="AH208" i="1"/>
  <c r="AH215" i="1"/>
  <c r="AH216" i="1"/>
  <c r="AH218" i="1"/>
  <c r="AH50" i="1"/>
  <c r="AH64" i="1"/>
  <c r="AH80" i="1"/>
  <c r="AH104" i="1"/>
  <c r="AH105" i="1"/>
  <c r="AH112" i="1"/>
  <c r="AH122" i="1"/>
  <c r="AH124" i="1"/>
  <c r="AH126" i="1"/>
  <c r="AH132" i="1"/>
  <c r="AH134" i="1"/>
  <c r="AH139" i="1"/>
  <c r="AH142" i="1"/>
  <c r="AH148" i="1"/>
  <c r="AH149" i="1"/>
  <c r="AH26" i="1"/>
  <c r="AH27" i="1"/>
  <c r="AH28" i="1"/>
  <c r="AH31" i="1"/>
  <c r="AH32" i="1"/>
  <c r="AH33" i="1"/>
  <c r="AH34" i="1"/>
  <c r="AH35" i="1"/>
  <c r="AH36" i="1"/>
  <c r="AH43" i="1"/>
  <c r="AH48" i="1"/>
  <c r="AH56" i="1"/>
  <c r="AH57" i="1"/>
  <c r="AH58" i="1"/>
  <c r="AH59" i="1"/>
  <c r="AH60" i="1"/>
  <c r="AH69" i="1"/>
  <c r="AH70" i="1"/>
  <c r="AH75" i="1"/>
  <c r="AH76" i="1"/>
  <c r="AH77" i="1"/>
  <c r="AH78" i="1"/>
  <c r="AH92" i="1"/>
  <c r="AH93" i="1"/>
  <c r="AH98" i="1"/>
  <c r="AH99" i="1"/>
  <c r="AH100" i="1"/>
  <c r="AH107" i="1"/>
  <c r="AH108" i="1"/>
  <c r="AH109" i="1"/>
  <c r="AH153" i="1"/>
  <c r="AH172" i="1"/>
  <c r="AH179" i="1"/>
  <c r="AH188" i="1"/>
  <c r="AH195" i="1"/>
  <c r="AH204" i="1"/>
  <c r="AH209" i="1"/>
  <c r="AH217" i="1"/>
  <c r="AH47" i="1"/>
  <c r="AH63" i="1"/>
  <c r="AH79" i="1"/>
  <c r="AH82" i="1"/>
  <c r="AH111" i="1"/>
  <c r="AH117" i="1"/>
  <c r="AH125" i="1"/>
  <c r="AH131" i="1"/>
  <c r="AH138" i="1"/>
  <c r="AH141" i="1"/>
  <c r="AH147" i="1"/>
  <c r="AH154" i="1"/>
  <c r="AH162" i="1"/>
  <c r="AH163" i="1"/>
  <c r="AH183" i="1"/>
  <c r="AH219" i="1"/>
  <c r="AH193" i="1"/>
  <c r="AH206" i="1"/>
  <c r="AH214" i="1"/>
  <c r="AH192" i="1"/>
  <c r="AH205" i="1"/>
  <c r="AH184" i="1"/>
  <c r="AH221" i="1"/>
  <c r="AH169" i="1"/>
  <c r="AH170" i="1"/>
  <c r="AH174" i="1"/>
  <c r="AH220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<sst xmlns="http://schemas.openxmlformats.org/spreadsheetml/2006/main" count="2342" uniqueCount="784">
  <si>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</si>
  <si>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</si>
  <si>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</si>
  <si>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</si>
  <si>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</si>
  <si>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</si>
  <si>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</si>
  <si>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</si>
  <si>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</si>
  <si>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</si>
  <si>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</si>
  <si>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</si>
  <si>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</si>
  <si>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</si>
  <si>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</si>
  <si>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</si>
  <si>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</si>
  <si>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</si>
  <si>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</si>
  <si>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</si>
  <si>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</si>
  <si>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</si>
  <si>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</si>
  <si>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</si>
  <si>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</si>
  <si>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</si>
  <si>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</si>
  <si>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</si>
  <si>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</si>
  <si>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</si>
  <si>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</si>
  <si>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</si>
  <si>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</si>
  <si>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</si>
  <si>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</si>
  <si>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</si>
  <si>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</si>
  <si>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</si>
  <si>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</si>
  <si>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</si>
  <si>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</si>
  <si>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</si>
  <si>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</si>
  <si>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</si>
  <si>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</si>
  <si>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</si>
  <si>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</si>
  <si>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</si>
  <si>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</si>
  <si>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</si>
  <si>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</si>
  <si>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</si>
  <si>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</si>
  <si>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</si>
  <si>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</si>
  <si>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</si>
  <si>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</si>
  <si>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</si>
  <si>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</si>
  <si>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</si>
  <si>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</si>
  <si>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</si>
  <si>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</si>
  <si>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</si>
  <si>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</si>
  <si>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</si>
  <si>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</si>
  <si>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</si>
  <si>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</si>
  <si>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</si>
  <si>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</si>
  <si>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</si>
  <si>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</si>
  <si>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</si>
  <si>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</si>
  <si>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</si>
  <si>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</si>
  <si>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</si>
  <si>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</si>
  <si>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</si>
  <si>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</si>
  <si>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</si>
  <si>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</si>
  <si>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</si>
  <si>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</si>
  <si>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</si>
  <si>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</si>
  <si>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</si>
  <si>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</si>
  <si>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</si>
  <si>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</si>
  <si>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</si>
  <si>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</si>
  <si>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</si>
  <si>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</si>
  <si>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</si>
  <si>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</si>
  <si>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</si>
  <si>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</si>
  <si>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</si>
  <si>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</si>
  <si>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</si>
  <si>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</si>
  <si>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</si>
  <si>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</si>
  <si>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</si>
  <si>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</si>
  <si>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</si>
  <si>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</si>
  <si>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</si>
  <si>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</si>
  <si>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</si>
  <si>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</si>
  <si>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</si>
  <si>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</si>
  <si>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</si>
  <si>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</si>
  <si>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</si>
  <si>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</si>
  <si>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</si>
  <si>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</si>
  <si>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</si>
  <si>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</si>
  <si>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</si>
  <si>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</si>
  <si>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</si>
  <si>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</si>
  <si>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</si>
  <si>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</si>
  <si>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</si>
  <si>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</si>
  <si>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</si>
  <si>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</si>
  <si>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</si>
  <si>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</si>
  <si>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</si>
  <si>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</si>
  <si>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</si>
  <si>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</si>
  <si>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</si>
  <si>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</si>
  <si>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</si>
  <si>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</si>
  <si>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</si>
  <si>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</si>
  <si>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</si>
  <si>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</si>
  <si>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</si>
  <si>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</si>
  <si>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</si>
  <si>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</si>
  <si>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</si>
  <si>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</si>
  <si>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</si>
  <si>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</si>
  <si>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</si>
  <si>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</si>
  <si>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</si>
  <si>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</si>
  <si>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</si>
  <si>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</si>
  <si>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</si>
  <si>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</si>
  <si>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</si>
  <si>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</si>
  <si>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</si>
  <si>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</si>
  <si>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</si>
  <si>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</si>
  <si>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</si>
  <si>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</si>
  <si>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</si>
  <si>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</si>
  <si>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</si>
  <si>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</si>
  <si>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</si>
  <si>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</si>
  <si>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</si>
  <si>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</si>
  <si>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</si>
  <si>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</si>
  <si>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</si>
  <si>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</si>
  <si>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</si>
  <si>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</si>
  <si>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</si>
  <si>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</si>
  <si>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</si>
  <si>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</si>
  <si>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</si>
  <si>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</si>
  <si>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</si>
  <si>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</si>
  <si>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</si>
  <si>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</si>
  <si>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</si>
  <si>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</si>
  <si>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</si>
  <si>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</si>
  <si>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</si>
  <si>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</si>
  <si>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</si>
  <si>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</si>
  <si>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</si>
  <si>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</si>
  <si>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</si>
  <si>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</si>
  <si>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</si>
  <si>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</si>
  <si>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</si>
  <si>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</si>
  <si>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</si>
  <si>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</si>
  <si>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</si>
  <si>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</si>
  <si>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</si>
  <si>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</si>
  <si>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</si>
  <si>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</si>
  <si>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</si>
  <si>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</si>
  <si>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</si>
  <si>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</si>
  <si>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</si>
  <si>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</si>
  <si>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</si>
  <si>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</si>
  <si>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</si>
  <si>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</si>
  <si>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</si>
  <si>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</si>
  <si>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</si>
  <si>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</si>
  <si>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</si>
  <si>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</si>
  <si>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204:232980</t>
  </si>
  <si>
    <t>204:232994</t>
  </si>
  <si>
    <t>204:469</t>
  </si>
  <si>
    <t>204:449</t>
  </si>
  <si>
    <t>Reactive Warning (1)</t>
  </si>
  <si>
    <t>204:462</t>
  </si>
  <si>
    <t>204:232955</t>
  </si>
  <si>
    <t>rtdc.l.rtdc.4044:itc</t>
  </si>
  <si>
    <t>rtdc.l.rtdc.4043:itc</t>
  </si>
  <si>
    <t>STURGEON</t>
  </si>
  <si>
    <t>204:233276</t>
  </si>
  <si>
    <t>204:437</t>
  </si>
  <si>
    <t>204:232971</t>
  </si>
  <si>
    <t>Loco - PTC</t>
  </si>
  <si>
    <t>Power</t>
  </si>
  <si>
    <t>204:233297</t>
  </si>
  <si>
    <t>204:233274</t>
  </si>
  <si>
    <t>204:161</t>
  </si>
  <si>
    <t>204:233303</t>
  </si>
  <si>
    <t>204:477</t>
  </si>
  <si>
    <t>rtdc.l.rtdc.4045:itc</t>
  </si>
  <si>
    <t>rtdc.l.rtdc.4003:itc</t>
  </si>
  <si>
    <t>rtdc.l.rtdc.4038:itc</t>
  </si>
  <si>
    <t>rtdc.l.rtdc.4004:itc</t>
  </si>
  <si>
    <t>YANAI</t>
  </si>
  <si>
    <t>CHANDLER</t>
  </si>
  <si>
    <t>246-16</t>
  </si>
  <si>
    <t>311-16</t>
  </si>
  <si>
    <t>313-16</t>
  </si>
  <si>
    <t>315-16</t>
  </si>
  <si>
    <t>204:156</t>
  </si>
  <si>
    <t>204:440</t>
  </si>
  <si>
    <t>204:233286</t>
  </si>
  <si>
    <t>204:165</t>
  </si>
  <si>
    <t>300:58937</t>
  </si>
  <si>
    <t>rtdc.l.rtdc.4011:itc</t>
  </si>
  <si>
    <t>KILLION</t>
  </si>
  <si>
    <t>rtdc.l.rtdc.4012:itc</t>
  </si>
  <si>
    <t>BARTLETT</t>
  </si>
  <si>
    <t>BRUDER</t>
  </si>
  <si>
    <t>204:482</t>
  </si>
  <si>
    <t>204:233293</t>
  </si>
  <si>
    <t>300:58619</t>
  </si>
  <si>
    <t>204:233314</t>
  </si>
  <si>
    <t>CLI Grep</t>
  </si>
  <si>
    <t>Y</t>
  </si>
  <si>
    <t>STARKS</t>
  </si>
  <si>
    <t>LEVERE</t>
  </si>
  <si>
    <t>204:233295</t>
  </si>
  <si>
    <t>204:145</t>
  </si>
  <si>
    <t>204:232982</t>
  </si>
  <si>
    <t>204:473</t>
  </si>
  <si>
    <t>204:233000</t>
  </si>
  <si>
    <t>204:136</t>
  </si>
  <si>
    <t>rtdc.l.rtdc.4007:itc</t>
  </si>
  <si>
    <t>ACKERMAN</t>
  </si>
  <si>
    <t>BRANNON</t>
  </si>
  <si>
    <t>rtdc.l.rtdc.4002:itc</t>
  </si>
  <si>
    <t>SPECTOR</t>
  </si>
  <si>
    <t>rtdc.l.rtdc.4001:itc</t>
  </si>
  <si>
    <t>rtdc.l.rtdc.4008:itc</t>
  </si>
  <si>
    <t>rtdc.l.rtdc.4021:itc</t>
  </si>
  <si>
    <t>BONDS</t>
  </si>
  <si>
    <t>YOUNG</t>
  </si>
  <si>
    <t>DELGADO</t>
  </si>
  <si>
    <t>204:233334</t>
  </si>
  <si>
    <t>204:444</t>
  </si>
  <si>
    <t>204:232981</t>
  </si>
  <si>
    <t>204:141</t>
  </si>
  <si>
    <t>204:233308</t>
  </si>
  <si>
    <t>204:176</t>
  </si>
  <si>
    <t>204:232986</t>
  </si>
  <si>
    <t>204:232959</t>
  </si>
  <si>
    <t>204:442</t>
  </si>
  <si>
    <t>204:232963</t>
  </si>
  <si>
    <t>204:484</t>
  </si>
  <si>
    <t>204:233287</t>
  </si>
  <si>
    <t>204:233301</t>
  </si>
  <si>
    <t>204:233312</t>
  </si>
  <si>
    <t>204:691</t>
  </si>
  <si>
    <t>204:981</t>
  </si>
  <si>
    <t>204:985</t>
  </si>
  <si>
    <t>204:974</t>
  </si>
  <si>
    <t>300:58630</t>
  </si>
  <si>
    <t>precipType</t>
  </si>
  <si>
    <t>partly-cloudy-day</t>
  </si>
  <si>
    <t>rain</t>
  </si>
  <si>
    <t>partly-cloudy-night</t>
  </si>
  <si>
    <t>Mostly Cloudy</t>
  </si>
  <si>
    <t>Early arrival</t>
  </si>
  <si>
    <t>rtdc.l.rtdc.4014:itc</t>
  </si>
  <si>
    <t>GEBRETEKLE</t>
  </si>
  <si>
    <t>rtdc.l.rtdc.4015:itc</t>
  </si>
  <si>
    <t>ROCHA</t>
  </si>
  <si>
    <t>rtdc.l.rtdc.4013:itc</t>
  </si>
  <si>
    <t>rtdc.l.rtdc.4022:itc</t>
  </si>
  <si>
    <t>HELVIE</t>
  </si>
  <si>
    <t>rtdc.l.rtdc.4006:itc</t>
  </si>
  <si>
    <t>STORY</t>
  </si>
  <si>
    <t>rtdc.l.rtdc.4005:itc</t>
  </si>
  <si>
    <t>242-20</t>
  </si>
  <si>
    <t>311-20</t>
  </si>
  <si>
    <t>244-20</t>
  </si>
  <si>
    <t>313-20</t>
  </si>
  <si>
    <t>315-20</t>
  </si>
  <si>
    <t>TEMPORARY SPEED RESTRICTION</t>
  </si>
  <si>
    <t>204:233351</t>
  </si>
  <si>
    <t>204:231</t>
  </si>
  <si>
    <t>204:233321</t>
  </si>
  <si>
    <t>204:233006</t>
  </si>
  <si>
    <t>204:232996</t>
  </si>
  <si>
    <t>204:233315</t>
  </si>
  <si>
    <t>204:232983</t>
  </si>
  <si>
    <t>204:232979</t>
  </si>
  <si>
    <t>204:232998</t>
  </si>
  <si>
    <t>204:232970</t>
  </si>
  <si>
    <t>204:233288</t>
  </si>
  <si>
    <t>204:232989</t>
  </si>
  <si>
    <t>204:232993</t>
  </si>
  <si>
    <t>204:232984</t>
  </si>
  <si>
    <t>204:232991</t>
  </si>
  <si>
    <t>204:233318</t>
  </si>
  <si>
    <t>204:233004</t>
  </si>
  <si>
    <t>204:233255</t>
  </si>
  <si>
    <t>204:232985</t>
  </si>
  <si>
    <t>204:446</t>
  </si>
  <si>
    <t>204:233319</t>
  </si>
  <si>
    <t>204:233325</t>
  </si>
  <si>
    <t>204:233324</t>
  </si>
  <si>
    <t>204:504</t>
  </si>
  <si>
    <t>204:232950</t>
  </si>
  <si>
    <t>204:170</t>
  </si>
  <si>
    <t>204:233278</t>
  </si>
  <si>
    <t>204:233289</t>
  </si>
  <si>
    <t>204:233300</t>
  </si>
  <si>
    <t>204:232987</t>
  </si>
  <si>
    <t>300:23316</t>
  </si>
  <si>
    <t>300:22828</t>
  </si>
  <si>
    <t>300:58933</t>
  </si>
  <si>
    <t>300:58615</t>
  </si>
  <si>
    <t>300:58623</t>
  </si>
  <si>
    <t>204:1004</t>
  </si>
  <si>
    <t>300:58608</t>
  </si>
  <si>
    <t>204:1000</t>
  </si>
  <si>
    <t>300:58939</t>
  </si>
  <si>
    <t>300:58621</t>
  </si>
  <si>
    <t>300:58658</t>
  </si>
  <si>
    <t>204:967</t>
  </si>
  <si>
    <t>204:682</t>
  </si>
  <si>
    <t>300:58928</t>
  </si>
  <si>
    <t>300:58634</t>
  </si>
  <si>
    <t>204:663</t>
  </si>
  <si>
    <t>204:964</t>
  </si>
  <si>
    <t>40th 4S STOP, cleared afterward</t>
  </si>
  <si>
    <t>fog</t>
  </si>
  <si>
    <t>Foggy</t>
  </si>
  <si>
    <t>Partly Cloudy</t>
  </si>
  <si>
    <t>clear-night</t>
  </si>
  <si>
    <t>Clear</t>
  </si>
  <si>
    <t>Summary for DUS 2016-09-21: Foggy until afternoon.</t>
  </si>
  <si>
    <t>Time (US/Mountain)</t>
  </si>
  <si>
    <t>Source</t>
  </si>
  <si>
    <t>Employee Identifier</t>
  </si>
  <si>
    <t>Employee Last Name</t>
  </si>
  <si>
    <t>101-21</t>
  </si>
  <si>
    <t>MAELZER</t>
  </si>
  <si>
    <t>rtdc.l.rtdc.4016:itc</t>
  </si>
  <si>
    <t>103-21</t>
  </si>
  <si>
    <t>102-21</t>
  </si>
  <si>
    <t>rtdc.l.rtdc.4027:itc</t>
  </si>
  <si>
    <t>105-21</t>
  </si>
  <si>
    <t>STRICKLAND</t>
  </si>
  <si>
    <t>107-21</t>
  </si>
  <si>
    <t>104-21</t>
  </si>
  <si>
    <t>109-21</t>
  </si>
  <si>
    <t>111-21</t>
  </si>
  <si>
    <t>106-21</t>
  </si>
  <si>
    <t>113-21</t>
  </si>
  <si>
    <t>108-21</t>
  </si>
  <si>
    <t>rtdc.l.rtdc.4032:itc</t>
  </si>
  <si>
    <t>800-21</t>
  </si>
  <si>
    <t>115-21</t>
  </si>
  <si>
    <t>110-21</t>
  </si>
  <si>
    <t>117-21</t>
  </si>
  <si>
    <t>rtdc.l.rtdc.4031:itc</t>
  </si>
  <si>
    <t>801-21</t>
  </si>
  <si>
    <t>112-21</t>
  </si>
  <si>
    <t>119-21</t>
  </si>
  <si>
    <t>114-21</t>
  </si>
  <si>
    <t>802-21</t>
  </si>
  <si>
    <t>121-21</t>
  </si>
  <si>
    <t>803-21</t>
  </si>
  <si>
    <t>116-21</t>
  </si>
  <si>
    <t>123-21</t>
  </si>
  <si>
    <t>118-21</t>
  </si>
  <si>
    <t>rtdc.l.rtdc.4037:itc</t>
  </si>
  <si>
    <t>804-21</t>
  </si>
  <si>
    <t>125-21</t>
  </si>
  <si>
    <t>805-21</t>
  </si>
  <si>
    <t>rtdc.l.rtdc.4028:itc</t>
  </si>
  <si>
    <t>120-21</t>
  </si>
  <si>
    <t>127-21</t>
  </si>
  <si>
    <t>122-21</t>
  </si>
  <si>
    <t>806-21</t>
  </si>
  <si>
    <t>129-21</t>
  </si>
  <si>
    <t>124-21</t>
  </si>
  <si>
    <t>807-21</t>
  </si>
  <si>
    <t>131-21</t>
  </si>
  <si>
    <t>126-21</t>
  </si>
  <si>
    <t>808-21</t>
  </si>
  <si>
    <t>133-21</t>
  </si>
  <si>
    <t>128-21</t>
  </si>
  <si>
    <t>809-21</t>
  </si>
  <si>
    <t>135-21</t>
  </si>
  <si>
    <t>130-21</t>
  </si>
  <si>
    <t>810-21</t>
  </si>
  <si>
    <t>137-21</t>
  </si>
  <si>
    <t>132-21</t>
  </si>
  <si>
    <t>811-21</t>
  </si>
  <si>
    <t>139-21</t>
  </si>
  <si>
    <t>903-21</t>
  </si>
  <si>
    <t>134-21</t>
  </si>
  <si>
    <t>141-21</t>
  </si>
  <si>
    <t>SANTIZO</t>
  </si>
  <si>
    <t>812-21</t>
  </si>
  <si>
    <t>136-21</t>
  </si>
  <si>
    <t>138-21</t>
  </si>
  <si>
    <t>143-21</t>
  </si>
  <si>
    <t>145-21</t>
  </si>
  <si>
    <t>813-21</t>
  </si>
  <si>
    <t>140-21</t>
  </si>
  <si>
    <t>142-21</t>
  </si>
  <si>
    <t>147-21</t>
  </si>
  <si>
    <t>814-21</t>
  </si>
  <si>
    <t>149-21</t>
  </si>
  <si>
    <t>144-21</t>
  </si>
  <si>
    <t>151-21</t>
  </si>
  <si>
    <t>146-21</t>
  </si>
  <si>
    <t>153-21</t>
  </si>
  <si>
    <t>815-21</t>
  </si>
  <si>
    <t>148-21</t>
  </si>
  <si>
    <t>155-21</t>
  </si>
  <si>
    <t>150-21</t>
  </si>
  <si>
    <t>816-21</t>
  </si>
  <si>
    <t>157-21</t>
  </si>
  <si>
    <t>152-21</t>
  </si>
  <si>
    <t>52-21</t>
  </si>
  <si>
    <t>159-21</t>
  </si>
  <si>
    <t>817-21</t>
  </si>
  <si>
    <t>154-21</t>
  </si>
  <si>
    <t>51-21</t>
  </si>
  <si>
    <t>161-21</t>
  </si>
  <si>
    <t>53-21</t>
  </si>
  <si>
    <t>156-21</t>
  </si>
  <si>
    <t>FRANK-21</t>
  </si>
  <si>
    <t>HAUSER</t>
  </si>
  <si>
    <t>163-21</t>
  </si>
  <si>
    <t>158-21</t>
  </si>
  <si>
    <t>818-21</t>
  </si>
  <si>
    <t>165-21</t>
  </si>
  <si>
    <t>HILLS</t>
  </si>
  <si>
    <t>160-21</t>
  </si>
  <si>
    <t>56-21</t>
  </si>
  <si>
    <t>162-21</t>
  </si>
  <si>
    <t>167-21</t>
  </si>
  <si>
    <t>819-21</t>
  </si>
  <si>
    <t>169-21</t>
  </si>
  <si>
    <t>164-21</t>
  </si>
  <si>
    <t>166-21</t>
  </si>
  <si>
    <t>171-21</t>
  </si>
  <si>
    <t>820-21</t>
  </si>
  <si>
    <t>173-21</t>
  </si>
  <si>
    <t>168-21</t>
  </si>
  <si>
    <t>175-21</t>
  </si>
  <si>
    <t>170-21</t>
  </si>
  <si>
    <t>177-21</t>
  </si>
  <si>
    <t>821-21</t>
  </si>
  <si>
    <t>MOSES</t>
  </si>
  <si>
    <t>172-21</t>
  </si>
  <si>
    <t>179-21</t>
  </si>
  <si>
    <t>174-21</t>
  </si>
  <si>
    <t>822-21</t>
  </si>
  <si>
    <t>176-21</t>
  </si>
  <si>
    <t>181-21</t>
  </si>
  <si>
    <t>183-21</t>
  </si>
  <si>
    <t>178-21</t>
  </si>
  <si>
    <t>185-21</t>
  </si>
  <si>
    <t>180-21</t>
  </si>
  <si>
    <t>823-21</t>
  </si>
  <si>
    <t>187-21</t>
  </si>
  <si>
    <t>182-21</t>
  </si>
  <si>
    <t>824-21</t>
  </si>
  <si>
    <t>189-21</t>
  </si>
  <si>
    <t>184-21</t>
  </si>
  <si>
    <t>191-21</t>
  </si>
  <si>
    <t>186-21</t>
  </si>
  <si>
    <t>193-21</t>
  </si>
  <si>
    <t>825-21</t>
  </si>
  <si>
    <t>188-21</t>
  </si>
  <si>
    <t>904-21</t>
  </si>
  <si>
    <t>190-21</t>
  </si>
  <si>
    <t>195-21</t>
  </si>
  <si>
    <t>827-21</t>
  </si>
  <si>
    <t>826-21</t>
  </si>
  <si>
    <t>197-21</t>
  </si>
  <si>
    <t>192-21</t>
  </si>
  <si>
    <t>199-21</t>
  </si>
  <si>
    <t>194-21</t>
  </si>
  <si>
    <t>828-21</t>
  </si>
  <si>
    <t>201-21</t>
  </si>
  <si>
    <t>829-21</t>
  </si>
  <si>
    <t>196-21</t>
  </si>
  <si>
    <t>203-21</t>
  </si>
  <si>
    <t>198-21</t>
  </si>
  <si>
    <t>830-21</t>
  </si>
  <si>
    <t>205-21</t>
  </si>
  <si>
    <t>831-21</t>
  </si>
  <si>
    <t>200-21</t>
  </si>
  <si>
    <t>207-21</t>
  </si>
  <si>
    <t>202-21</t>
  </si>
  <si>
    <t>50-21</t>
  </si>
  <si>
    <t>832-21</t>
  </si>
  <si>
    <t>833-21</t>
  </si>
  <si>
    <t>204-21</t>
  </si>
  <si>
    <t>209-21</t>
  </si>
  <si>
    <t>211-21</t>
  </si>
  <si>
    <t>206-21</t>
  </si>
  <si>
    <t>835-21</t>
  </si>
  <si>
    <t>834-21</t>
  </si>
  <si>
    <t>213-21</t>
  </si>
  <si>
    <t>54-21</t>
  </si>
  <si>
    <t>CUSHING-21</t>
  </si>
  <si>
    <t>208-21</t>
  </si>
  <si>
    <t>63-21</t>
  </si>
  <si>
    <t>215-21</t>
  </si>
  <si>
    <t>210-21</t>
  </si>
  <si>
    <t>836-21</t>
  </si>
  <si>
    <t>217-21</t>
  </si>
  <si>
    <t>837-21</t>
  </si>
  <si>
    <t>212-21</t>
  </si>
  <si>
    <t>219-21</t>
  </si>
  <si>
    <t>60-21</t>
  </si>
  <si>
    <t>214-21</t>
  </si>
  <si>
    <t>838-21</t>
  </si>
  <si>
    <t>839-21</t>
  </si>
  <si>
    <t>303-21</t>
  </si>
  <si>
    <t>216-21</t>
  </si>
  <si>
    <t>221-21</t>
  </si>
  <si>
    <t>218-21</t>
  </si>
  <si>
    <t>906-21</t>
  </si>
  <si>
    <t>841-21</t>
  </si>
  <si>
    <t>220-21</t>
  </si>
  <si>
    <t>223-21</t>
  </si>
  <si>
    <t>840-21</t>
  </si>
  <si>
    <t>307-21</t>
  </si>
  <si>
    <t>222-21</t>
  </si>
  <si>
    <t>225-21</t>
  </si>
  <si>
    <t>843-21</t>
  </si>
  <si>
    <t>224-21</t>
  </si>
  <si>
    <t>227-21</t>
  </si>
  <si>
    <t>842-21</t>
  </si>
  <si>
    <t>226-21</t>
  </si>
  <si>
    <t>229-21</t>
  </si>
  <si>
    <t>845-21</t>
  </si>
  <si>
    <t>228-21</t>
  </si>
  <si>
    <t>231-21</t>
  </si>
  <si>
    <t>844-21</t>
  </si>
  <si>
    <t>230-21</t>
  </si>
  <si>
    <t>233-21</t>
  </si>
  <si>
    <t>847-21</t>
  </si>
  <si>
    <t>232-21</t>
  </si>
  <si>
    <t>235-21</t>
  </si>
  <si>
    <t>908-21</t>
  </si>
  <si>
    <t>234-21</t>
  </si>
  <si>
    <t>237-21</t>
  </si>
  <si>
    <t>236-21</t>
  </si>
  <si>
    <t>239-21</t>
  </si>
  <si>
    <t>238-21</t>
  </si>
  <si>
    <t>241-21</t>
  </si>
  <si>
    <t>240-21</t>
  </si>
  <si>
    <t>243-21</t>
  </si>
  <si>
    <t>309-21</t>
  </si>
  <si>
    <t>242-21</t>
  </si>
  <si>
    <t>311-21</t>
  </si>
  <si>
    <t>244-21</t>
  </si>
  <si>
    <t>313-21</t>
  </si>
  <si>
    <t>315-21</t>
  </si>
  <si>
    <t>204:697</t>
  </si>
  <si>
    <t>204:232675</t>
  </si>
  <si>
    <t>204:672</t>
  </si>
  <si>
    <t>204:232710</t>
  </si>
  <si>
    <t>204:755</t>
  </si>
  <si>
    <t>204:232604</t>
  </si>
  <si>
    <t>204:233257</t>
  </si>
  <si>
    <t>204:752</t>
  </si>
  <si>
    <t>204:233304</t>
  </si>
  <si>
    <t>204:728</t>
  </si>
  <si>
    <t>204:232969</t>
  </si>
  <si>
    <t>204:786</t>
  </si>
  <si>
    <t>204:233196</t>
  </si>
  <si>
    <t>204:232874</t>
  </si>
  <si>
    <t>204:232976</t>
  </si>
  <si>
    <t>204:167</t>
  </si>
  <si>
    <t>204:233284</t>
  </si>
  <si>
    <t>204:233317</t>
  </si>
  <si>
    <t>204:233002</t>
  </si>
  <si>
    <t>204:169</t>
  </si>
  <si>
    <t>204:480</t>
  </si>
  <si>
    <t>204:233323</t>
  </si>
  <si>
    <t>204:232957</t>
  </si>
  <si>
    <t>204:19147</t>
  </si>
  <si>
    <t>204:127866</t>
  </si>
  <si>
    <t>204:233010</t>
  </si>
  <si>
    <t>204:464</t>
  </si>
  <si>
    <t>204:233337</t>
  </si>
  <si>
    <t>204:233021</t>
  </si>
  <si>
    <t>204:233307</t>
  </si>
  <si>
    <t>204:233331</t>
  </si>
  <si>
    <t>204:233305</t>
  </si>
  <si>
    <t>204:107</t>
  </si>
  <si>
    <t>204:232928</t>
  </si>
  <si>
    <t>204:123</t>
  </si>
  <si>
    <t>204:1129</t>
  </si>
  <si>
    <t>204:398</t>
  </si>
  <si>
    <t>204:435</t>
  </si>
  <si>
    <t>204:233213</t>
  </si>
  <si>
    <t>204:232877</t>
  </si>
  <si>
    <t>204:433</t>
  </si>
  <si>
    <t>204:233311</t>
  </si>
  <si>
    <t>204:232992</t>
  </si>
  <si>
    <t>204:233298</t>
  </si>
  <si>
    <t>204:200</t>
  </si>
  <si>
    <t>204:233268</t>
  </si>
  <si>
    <t>204:232961</t>
  </si>
  <si>
    <t>204:233259</t>
  </si>
  <si>
    <t>204:232921</t>
  </si>
  <si>
    <t>204:502</t>
  </si>
  <si>
    <t>204:233015</t>
  </si>
  <si>
    <t>204:232973</t>
  </si>
  <si>
    <t>204:488</t>
  </si>
  <si>
    <t>204:187</t>
  </si>
  <si>
    <t>204:194</t>
  </si>
  <si>
    <t>204:542</t>
  </si>
  <si>
    <t>204:132</t>
  </si>
  <si>
    <t>204:58212</t>
  </si>
  <si>
    <t>204:233008</t>
  </si>
  <si>
    <t>204:189</t>
  </si>
  <si>
    <t>204:232960</t>
  </si>
  <si>
    <t>204:500</t>
  </si>
  <si>
    <t>300:23306</t>
  </si>
  <si>
    <t>300:23312</t>
  </si>
  <si>
    <t>300:23299</t>
  </si>
  <si>
    <t>300:23546</t>
  </si>
  <si>
    <t>204:61</t>
  </si>
  <si>
    <t>204:1490</t>
  </si>
  <si>
    <t>204:1771</t>
  </si>
  <si>
    <t>300:15359</t>
  </si>
  <si>
    <t>204:917</t>
  </si>
  <si>
    <t>204:339</t>
  </si>
  <si>
    <t>300:24191</t>
  </si>
  <si>
    <t>300:23370</t>
  </si>
  <si>
    <t>204:377</t>
  </si>
  <si>
    <t>204:1229</t>
  </si>
  <si>
    <t>300:24703</t>
  </si>
  <si>
    <t>204:350</t>
  </si>
  <si>
    <t>300:24210</t>
  </si>
  <si>
    <t>204:1507</t>
  </si>
  <si>
    <t>300:23310</t>
  </si>
  <si>
    <t>300:58602</t>
  </si>
  <si>
    <t>204:801</t>
  </si>
  <si>
    <t>204:1090</t>
  </si>
  <si>
    <t>204:768</t>
  </si>
  <si>
    <t>300:58997</t>
  </si>
  <si>
    <t>300:58681</t>
  </si>
  <si>
    <t>204:673</t>
  </si>
  <si>
    <t>204:1048</t>
  </si>
  <si>
    <t>204:727</t>
  </si>
  <si>
    <t>300:59008</t>
  </si>
  <si>
    <t>300:58692</t>
  </si>
  <si>
    <t>204:1032</t>
  </si>
  <si>
    <t>204:79</t>
  </si>
  <si>
    <t>204:1191</t>
  </si>
  <si>
    <t>300:58986</t>
  </si>
  <si>
    <t>300:58683</t>
  </si>
  <si>
    <t>204:70</t>
  </si>
  <si>
    <t>204:368</t>
  </si>
  <si>
    <t>300:58978</t>
  </si>
  <si>
    <t>204:684</t>
  </si>
  <si>
    <t>204:1254</t>
  </si>
  <si>
    <t>300:58956</t>
  </si>
  <si>
    <t>300:58649</t>
  </si>
  <si>
    <t>204:680</t>
  </si>
  <si>
    <t>300:58984</t>
  </si>
  <si>
    <t>300:58673</t>
  </si>
  <si>
    <t>204:713</t>
  </si>
  <si>
    <t>300:58988</t>
  </si>
  <si>
    <t>300:58677</t>
  </si>
  <si>
    <t>204:988</t>
  </si>
  <si>
    <t>300:58660</t>
  </si>
  <si>
    <t>204:649</t>
  </si>
  <si>
    <t>204:948</t>
  </si>
  <si>
    <t>300:59001</t>
  </si>
  <si>
    <t>300:58688</t>
  </si>
  <si>
    <t>204:633</t>
  </si>
  <si>
    <t>204:930</t>
  </si>
  <si>
    <t>300:58993</t>
  </si>
  <si>
    <t>204:628</t>
  </si>
  <si>
    <t>300:58954</t>
  </si>
  <si>
    <t>204:920</t>
  </si>
  <si>
    <t>300:58918</t>
  </si>
  <si>
    <t>300:58604</t>
  </si>
  <si>
    <t>204:610</t>
  </si>
  <si>
    <t>300:58948</t>
  </si>
  <si>
    <t>204:670</t>
  </si>
  <si>
    <t>204:969</t>
  </si>
  <si>
    <t>204:678</t>
  </si>
  <si>
    <t>204:962</t>
  </si>
  <si>
    <t>300:58653</t>
  </si>
  <si>
    <t>204:654</t>
  </si>
  <si>
    <t>300:58971</t>
  </si>
  <si>
    <t>204:661</t>
  </si>
  <si>
    <t>204:943</t>
  </si>
  <si>
    <t>300:58672</t>
  </si>
  <si>
    <t>204:657</t>
  </si>
  <si>
    <t>204:936</t>
  </si>
  <si>
    <t>204:934</t>
  </si>
  <si>
    <t>300:58941</t>
  </si>
  <si>
    <t>204:361</t>
  </si>
  <si>
    <t>300:24208</t>
  </si>
  <si>
    <t>300:24377</t>
  </si>
  <si>
    <t>300:23869</t>
  </si>
  <si>
    <t>300:58643</t>
  </si>
  <si>
    <t>300:28795</t>
  </si>
  <si>
    <t>300:21746</t>
  </si>
  <si>
    <t>300:23036</t>
  </si>
  <si>
    <t>204:867</t>
  </si>
  <si>
    <t>Onboard in-route failure</t>
  </si>
  <si>
    <t>Primary slice changed just as train left the yard, resulted in the system staying disengaged and never going active until the crew re-inited. SYS :2016/09/21 14:32:48.834:SYSTEM_STATE:slice state changed [SECONDARY]-&gt;[PRIMARY]</t>
  </si>
  <si>
    <t>Multiple CPU Faults around 09:23:39</t>
  </si>
  <si>
    <t>Multiple CPU Faults around 17:59:05</t>
  </si>
  <si>
    <t>Multiple CPU Faults around 17:17:03</t>
  </si>
  <si>
    <t>Form C</t>
  </si>
  <si>
    <t>61st 2N STOP, cleared afterward</t>
  </si>
  <si>
    <t>Pena 4S STOP, cleared afterward</t>
  </si>
  <si>
    <t>At 2016/09/21 08:38:30, EC0206RH 22-2T 2N was STOP &amp; PROCEED, seems like this wasn't expected. Anything odd here?</t>
  </si>
  <si>
    <t>Triplex-induced comm failure</t>
  </si>
  <si>
    <t>At 2016/09/21 22:18:16.698 UTC, since CPU-1 was down, CPU-2 and 3 fought for Primary and confused the Slot10, and induced a comm failure</t>
  </si>
  <si>
    <t>Chambers 2N STOP, cleared afterward</t>
  </si>
  <si>
    <t>Operator selected incorrect track (MAIN 2, should have MAIN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</si>
</sst>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8"/>
  <sheetViews>
    <sheetView tabSelected="1" topLeftCell="A91" workbookViewId="0">
      <selection activeCell="AF113" sqref="AF11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42634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COUNTIFS($N$13:$N$9391,"&gt;0",$AG$13:$AG$9391,I1)</f>
        <v>141</v>
      </c>
      <c r="K5" s="46"/>
      <c r="L5" s="46"/>
      <c r="M5" s="47">
        <f>AVERAGEIFS($N$13:$N$9391,$AG$13:$AG$9391,I1)</f>
        <v>40.166075650052704</v>
      </c>
      <c r="N5" s="45">
        <f t="array" ref="N5">MIN(IF($AG$13:$AG$9391=I1,IF(ISNUMBER($N$13:$N$9391),IF($N$13:$N$9391&gt;0,$N$13:$N$9391))))</f>
        <v>34.750000003259629</v>
      </c>
      <c r="O5" s="3">
        <f t="array" ref="O5">MAX(IF($AG$13:$AG$9391=I1,IF(ISNUMBER($N$13:$N$9391),IF($N$13:$N$9391&gt;0,$N$13:$N$9391))))</f>
        <v>49.833333331625909</v>
      </c>
      <c r="P5" s="2"/>
      <c r="R5" s="87" t="s">
        <v>17</v>
      </c>
      <c r="S5" s="57">
        <f>COUNTIFS($N$13:$N$9391,"&gt;0",$AG$13:$AG$9391,R1)</f>
        <v>46</v>
      </c>
      <c r="T5" s="46"/>
      <c r="U5" s="160"/>
      <c r="V5" s="47">
        <f>AVERAGEIFS($N$13:$N$9391,$AG$13:$AG$9391,R1)</f>
        <v>15.439855072257595</v>
      </c>
      <c r="W5" s="45">
        <f t="array" ref="W5">MIN(IF($AG$13:$AG$9391=R1,IF(ISNUMBER($N$13:$N$9391),IF($N$13:$N$9391&gt;0,$N$13:$N$9391))))</f>
        <v>13.316666667815298</v>
      </c>
      <c r="X5" s="165">
        <f t="array" ref="X5">MAX(IF($AG$13:$AG$9391=R1,IF(ISNUMBER($N$13:$N$9391),IF($N$13:$N$9391&gt;0,$N$13:$N$9391))))</f>
        <v>27.649999998975545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COUNT($O$13:$O$169)</f>
        <v>0</v>
      </c>
      <c r="K6" s="46"/>
      <c r="L6" s="46"/>
      <c r="M6" s="47">
        <f>IFERROR(AVERAGE($O$13:$O$169),0)</f>
        <v>0</v>
      </c>
      <c r="N6" s="45">
        <f>MIN($O$13:$O$169)</f>
        <v>0</v>
      </c>
      <c r="O6" s="3">
        <f>MAX($O$13:$O$169)</f>
        <v>0</v>
      </c>
      <c r="P6" s="2"/>
      <c r="R6" s="88" t="s">
        <v>43</v>
      </c>
      <c r="S6" s="57">
        <f>COUNT($O$13:$O$169)</f>
        <v>0</v>
      </c>
      <c r="T6" s="46"/>
      <c r="U6" s="160"/>
      <c r="V6" s="47">
        <f>IFERROR(AVERAGE($O$13:$O$169),0)</f>
        <v>0</v>
      </c>
      <c r="W6" s="45">
        <f>MIN($O$13:$O$169)</f>
        <v>0</v>
      </c>
      <c r="X6" s="165">
        <f>MAX($O$13:$O$169)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COUNTIFS($P$13:$P$9391,"&gt;0",$AG$13:$AG$9391,I1)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COUNTIFS($P$13:$P$9391,"&gt;0",$AG$13:$AG$9391,R1)</f>
        <v>1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40.166075650052704</v>
      </c>
      <c r="N8" s="45">
        <f>N5</f>
        <v>34.750000003259629</v>
      </c>
      <c r="O8" s="3">
        <f>O5</f>
        <v>49.833333331625909</v>
      </c>
      <c r="P8" s="2"/>
      <c r="R8" s="87" t="s">
        <v>16</v>
      </c>
      <c r="S8" s="57">
        <f>S5</f>
        <v>46</v>
      </c>
      <c r="T8" s="46"/>
      <c r="U8" s="160"/>
      <c r="V8" s="47">
        <f>V5</f>
        <v>15.439855072257595</v>
      </c>
      <c r="W8" s="45">
        <f>W5</f>
        <v>13.316666667815298</v>
      </c>
      <c r="X8" s="165">
        <f>X5</f>
        <v>27.649999998975545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0.97872340425531912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- 2016-09-21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AVERAGE(S13:S110)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399</v>
      </c>
      <c r="B13" s="7">
        <v>4020</v>
      </c>
      <c r="C13" s="24" t="s">
        <v>106</v>
      </c>
      <c r="D13" s="24" t="s">
        <v>622</v>
      </c>
      <c r="E13" s="15">
        <v>42634.131099537037</v>
      </c>
      <c r="F13" s="15">
        <v>42634.135671296295</v>
      </c>
      <c r="G13" s="7">
        <v>1</v>
      </c>
      <c r="H13" s="15" t="s">
        <v>346</v>
      </c>
      <c r="I13" s="15">
        <v>42634.16609953704</v>
      </c>
      <c r="J13" s="7">
        <v>0</v>
      </c>
      <c r="K13" s="121" t="str">
        <f t="shared" ref="K13:K76" si="0">IF(ISEVEN(B13),(B13-1)&amp;"/"&amp;B13,B13&amp;"/"&amp;(B13+1))</f>
        <v>4019/4020</v>
      </c>
      <c r="L13" s="24" t="str">
        <f>VLOOKUP(A13,'Trips&amp;Operators'!$C$1:$E$10000,3,FALSE)</f>
        <v>MAELZER</v>
      </c>
      <c r="M13" s="6">
        <f t="shared" ref="M13:M76" si="1">I13-F13</f>
        <v>3.0428240745095536E-2</v>
      </c>
      <c r="N13" s="7">
        <f t="shared" ref="N13:N50" si="2">24*60*SUM($M13:$M13)</f>
        <v>43.816666672937572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https://search-rtdc-monitor-bjffxe2xuh6vdkpspy63sjmuny.us-east-1.es.amazonaws.com/_plugin/kibana/#/discover/Steve-Slow-Train-Analysis-(2080s-and-2083s)?_g=(refreshInterval:(display:Off,section:0,value:0),time:(from:'2016-09-21 02:08:47-0600',mode:absolute,to:'2016-09-21 04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" s="54" t="str">
        <f t="shared" ref="W13:W76" si="6">IF(AA13&lt;IF(AG13="EC",23,5.65),"Y","N")</f>
        <v>N</v>
      </c>
      <c r="X13" s="168" t="e">
        <f t="shared" ref="X13:X49" si="7">VALUE(LEFT(AD13,4))-VALUE(LEFT(AD12,4))</f>
        <v>#VALUE!</v>
      </c>
      <c r="Y13" s="69">
        <f t="shared" ref="Y13:Y44" si="8">RIGHT(D13,LEN(D13)-4)/10000</f>
        <v>6.9699999999999998E-2</v>
      </c>
      <c r="Z13" s="69">
        <f t="shared" ref="Z13:Z44" si="9">RIGHT(H13,LEN(H13)-4)/10000</f>
        <v>23.331499999999998</v>
      </c>
      <c r="AA13" s="69">
        <f t="shared" ref="AA13:AA76" si="10">ABS(Z13-Y13)</f>
        <v>23.261799999999997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1">IF(LEN(A13)=6,"0"&amp;A13,A13)</f>
        <v>0101-21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/stypes="app*4020*20160921*"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4020 --swversion DE.1.0.7.0 --startMP 204:697 --initTime 2016-09-21T03:08:47 --startdatetime 2016-09-21T03:15:22 --delay 1 --endMP 204:233315 --enddatetime 2016-09-21T03:59:11 --enforcementcount 0 &gt;&gt;C:\Users\stu\Documents\GitHub\eaglep3-reporting\EC\2016-09-21-refined-times.txt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{"issue":{"subject":"","project_id":79,"tracker_id":40,"status_id":1,"priority_id":2,"assigned_to_id":23,"start_date":"2016-09-21","description":"","custom_fields":[{"id":1,"name":"Subdivision","value":"EC"},{"id":4,"name":"Milepost","value":"23.3315"},{"id":17,"name":"Train ID","value":"101-21"},{"id":16,"name":"Locomotive ID","value":"4020"},{"id":130,"name":"Impact","value":""},{"id":150,"name":"Time of Event (Mountain Time)","value":"03:59:11"},{"id":151,"name":"Denver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403</v>
      </c>
      <c r="B14" s="7">
        <v>4001</v>
      </c>
      <c r="C14" s="24" t="s">
        <v>106</v>
      </c>
      <c r="D14" s="24" t="s">
        <v>623</v>
      </c>
      <c r="E14" s="15">
        <v>42634.172256944446</v>
      </c>
      <c r="F14" s="15">
        <v>42634.174641203703</v>
      </c>
      <c r="G14" s="7">
        <v>1</v>
      </c>
      <c r="H14" s="15" t="s">
        <v>284</v>
      </c>
      <c r="I14" s="15">
        <v>42634.201643518521</v>
      </c>
      <c r="J14" s="7">
        <v>0</v>
      </c>
      <c r="K14" s="121" t="str">
        <f t="shared" si="0"/>
        <v>4001/4002</v>
      </c>
      <c r="L14" s="24" t="str">
        <f>VLOOKUP(A14,'Trips&amp;Operators'!$C$1:$E$10000,3,FALSE)</f>
        <v>MAELZER</v>
      </c>
      <c r="M14" s="6">
        <f t="shared" si="1"/>
        <v>2.7002314818673767E-2</v>
      </c>
      <c r="N14" s="7">
        <f t="shared" si="2"/>
        <v>38.883333338890225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03:08:03-0600',mode:absolute,to:'2016-09-21 05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23.267499999999998</v>
      </c>
      <c r="Z14" s="69">
        <f t="shared" si="9"/>
        <v>1.4500000000000001E-2</v>
      </c>
      <c r="AA14" s="69">
        <f t="shared" si="10"/>
        <v>23.252999999999997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0102-21</v>
      </c>
      <c r="AE14" s="99" t="str">
        <f t="shared" si="12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14" s="96" t="str">
        <f t="shared" si="13"/>
        <v>"C:\Program Files (x86)\AstroGrep\AstroGrep.exe" /spath="%USERPROFILE%\AppData\Local\Temp\OnboardLogs" /stypes="app*4001*20160921*"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3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4001 --swversion DE.1.0.7.0 --startMP 204:232675 --initTime 2016-09-21T04:08:03 --startdatetime 2016-09-21T04:11:29 --delay 1 --endMP 204:145 --enddatetime 2016-09-21T04:50:22 --enforcementcount 0 &gt;&gt;C:\Users\stu\Documents\GitHub\eaglep3-reporting\EC\2016-09-21-refined-times.txt</v>
      </c>
      <c r="AI14" s="134" t="str">
        <f t="shared" ref="AI14:AI73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ID","value":"102-21"},{"id":16,"name":"Locomotive ID","value":"4001"},{"id":130,"name":"Impact","value":""},{"id":150,"name":"Time of Event (Mountain Time)","value":"04:50:22"},{"id":151,"name":"Denver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402</v>
      </c>
      <c r="B15" s="7">
        <v>4016</v>
      </c>
      <c r="C15" s="24" t="s">
        <v>106</v>
      </c>
      <c r="D15" s="24" t="s">
        <v>624</v>
      </c>
      <c r="E15" s="15">
        <v>42634.151076388887</v>
      </c>
      <c r="F15" s="15">
        <v>42634.156493055554</v>
      </c>
      <c r="G15" s="7">
        <v>1</v>
      </c>
      <c r="H15" s="15" t="s">
        <v>341</v>
      </c>
      <c r="I15" s="15">
        <v>42634.182118055556</v>
      </c>
      <c r="J15" s="7">
        <v>0</v>
      </c>
      <c r="K15" s="121" t="str">
        <f t="shared" si="0"/>
        <v>4015/4016</v>
      </c>
      <c r="L15" s="24" t="str">
        <f>VLOOKUP(A15,'Trips&amp;Operators'!$C$1:$E$10000,3,FALSE)</f>
        <v>ACKERMAN</v>
      </c>
      <c r="M15" s="6">
        <f t="shared" si="1"/>
        <v>2.5625000002037268E-2</v>
      </c>
      <c r="N15" s="7">
        <f t="shared" si="2"/>
        <v>36.900000002933666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02:37:33-0600',mode:absolute,to:'2016-09-21 05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6.7199999999999996E-2</v>
      </c>
      <c r="Z15" s="69">
        <f t="shared" si="9"/>
        <v>23.335100000000001</v>
      </c>
      <c r="AA15" s="69">
        <f t="shared" si="10"/>
        <v>23.267900000000001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0103-21</v>
      </c>
      <c r="AE15" s="99" t="str">
        <f t="shared" si="12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5" s="96" t="str">
        <f t="shared" si="13"/>
        <v>"C:\Program Files (x86)\AstroGrep\AstroGrep.exe" /spath="%USERPROFILE%\AppData\Local\Temp\OnboardLogs" /stypes="app*4016*20160921*"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103-21 --locoid 4016 --swversion DE.1.0.7.0 --startMP 204:672 --initTime 2016-09-21T03:37:33 --startdatetime 2016-09-21T03:45:21 --delay 1 --endMP 204:233351 --enddatetime 2016-09-21T04:22:15 --enforcementcount 0 &gt;&gt;C:\Users\stu\Documents\GitHub\eaglep3-reporting\EC\2016-09-21-refined-times.txt</v>
      </c>
      <c r="AI1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{"issue":{"subject":"","project_id":79,"tracker_id":40,"status_id":1,"priority_id":2,"assigned_to_id":23,"start_date":"2016-09-21","description":"","custom_fields":[{"id":1,"name":"Subdivision","value":"EC"},{"id":4,"name":"Milepost","value":"23.3351"},{"id":17,"name":"Train ID","value":"103-21"},{"id":16,"name":"Locomotive ID","value":"4016"},{"id":130,"name":"Impact","value":""},{"id":150,"name":"Time of Event (Mountain Time)","value":"04:22:15"},{"id":151,"name":"Denver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408</v>
      </c>
      <c r="B16" s="7">
        <v>4008</v>
      </c>
      <c r="C16" s="24" t="s">
        <v>106</v>
      </c>
      <c r="D16" s="24" t="s">
        <v>625</v>
      </c>
      <c r="E16" s="15">
        <v>42634.19054398148</v>
      </c>
      <c r="F16" s="15">
        <v>42634.195405092592</v>
      </c>
      <c r="G16" s="7">
        <v>1</v>
      </c>
      <c r="H16" s="15" t="s">
        <v>284</v>
      </c>
      <c r="I16" s="15">
        <v>42634.224976851852</v>
      </c>
      <c r="J16" s="7">
        <v>0</v>
      </c>
      <c r="K16" s="121" t="str">
        <f t="shared" si="0"/>
        <v>4007/4008</v>
      </c>
      <c r="L16" s="24" t="str">
        <f>VLOOKUP(A16,'Trips&amp;Operators'!$C$1:$E$10000,3,FALSE)</f>
        <v>ACKERMAN</v>
      </c>
      <c r="M16" s="6">
        <f t="shared" si="1"/>
        <v>2.9571759259852115E-2</v>
      </c>
      <c r="N16" s="7">
        <f t="shared" si="2"/>
        <v>42.583333334187046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03:34:23-0600',mode:absolute,to:'2016-09-21 06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23.271000000000001</v>
      </c>
      <c r="Z16" s="69">
        <f t="shared" si="9"/>
        <v>1.4500000000000001E-2</v>
      </c>
      <c r="AA16" s="69">
        <f t="shared" si="10"/>
        <v>23.256499999999999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0104-21</v>
      </c>
      <c r="AE16" s="99" t="str">
        <f t="shared" si="12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16" s="96" t="str">
        <f t="shared" si="13"/>
        <v>"C:\Program Files (x86)\AstroGrep\AstroGrep.exe" /spath="%USERPROFILE%\AppData\Local\Temp\OnboardLogs" /stypes="app*4008*20160921*"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104-21 --locoid 4008 --swversion DE.1.0.7.0 --startMP 204:232710 --initTime 2016-09-21T04:34:23 --startdatetime 2016-09-21T04:41:23 --delay 1 --endMP 204:145 --enddatetime 2016-09-21T05:23:58 --enforcementcount 0 &gt;&gt;C:\Users\stu\Documents\GitHub\eaglep3-reporting\EC\2016-09-21-refined-times.txt</v>
      </c>
      <c r="AI1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ID","value":"104-21"},{"id":16,"name":"Locomotive ID","value":"4008"},{"id":130,"name":"Impact","value":""},{"id":150,"name":"Time of Event (Mountain Time)","value":"05:23:58"},{"id":151,"name":"Denver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405</v>
      </c>
      <c r="B17" s="7">
        <v>4027</v>
      </c>
      <c r="C17" s="24" t="s">
        <v>106</v>
      </c>
      <c r="D17" s="24" t="s">
        <v>626</v>
      </c>
      <c r="E17" s="15">
        <v>42634.174201388887</v>
      </c>
      <c r="F17" s="15">
        <v>42634.177395833336</v>
      </c>
      <c r="G17" s="7">
        <v>1</v>
      </c>
      <c r="H17" s="15" t="s">
        <v>351</v>
      </c>
      <c r="I17" s="15">
        <v>42634.204953703702</v>
      </c>
      <c r="J17" s="7">
        <v>0</v>
      </c>
      <c r="K17" s="121" t="str">
        <f t="shared" si="0"/>
        <v>4027/4028</v>
      </c>
      <c r="L17" s="24" t="str">
        <f>VLOOKUP(A17,'Trips&amp;Operators'!$C$1:$E$10000,3,FALSE)</f>
        <v>STRICKLAND</v>
      </c>
      <c r="M17" s="6">
        <f t="shared" si="1"/>
        <v>2.7557870365853887E-2</v>
      </c>
      <c r="N17" s="7">
        <f t="shared" si="2"/>
        <v>39.683333326829597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03:10:51-0600',mode:absolute,to:'2016-09-21 05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7.5499999999999998E-2</v>
      </c>
      <c r="Z17" s="69">
        <f t="shared" si="9"/>
        <v>23.328800000000001</v>
      </c>
      <c r="AA17" s="69">
        <f t="shared" si="10"/>
        <v>23.253299999999999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0105-21</v>
      </c>
      <c r="AE17" s="99" t="str">
        <f t="shared" si="12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7" s="96" t="str">
        <f t="shared" si="13"/>
        <v>"C:\Program Files (x86)\AstroGrep\AstroGrep.exe" /spath="%USERPROFILE%\AppData\Local\Temp\OnboardLogs" /stypes="app*4027*20160921*"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105-21 --locoid 4027 --swversion DE.1.0.7.0 --startMP 204:755 --initTime 2016-09-21T04:10:51 --startdatetime 2016-09-21T04:15:27 --delay 1 --endMP 204:233288 --enddatetime 2016-09-21T04:55:08 --enforcementcount 0 &gt;&gt;C:\Users\stu\Documents\GitHub\eaglep3-reporting\EC\2016-09-21-refined-times.txt</v>
      </c>
      <c r="AI1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{"issue":{"subject":"","project_id":79,"tracker_id":40,"status_id":1,"priority_id":2,"assigned_to_id":23,"start_date":"2016-09-21","description":"","custom_fields":[{"id":1,"name":"Subdivision","value":"EC"},{"id":4,"name":"Milepost","value":"23.3288"},{"id":17,"name":"Train ID","value":"105-21"},{"id":16,"name":"Locomotive ID","value":"4027"},{"id":130,"name":"Impact","value":""},{"id":150,"name":"Time of Event (Mountain Time)","value":"04:55:08"},{"id":151,"name":"Denver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411</v>
      </c>
      <c r="B18" s="7">
        <v>4043</v>
      </c>
      <c r="C18" s="24" t="s">
        <v>106</v>
      </c>
      <c r="D18" s="24" t="s">
        <v>627</v>
      </c>
      <c r="E18" s="15">
        <v>42634.207696759258</v>
      </c>
      <c r="F18" s="15">
        <v>42634.216226851851</v>
      </c>
      <c r="G18" s="7">
        <v>6</v>
      </c>
      <c r="H18" s="15" t="s">
        <v>366</v>
      </c>
      <c r="I18" s="15">
        <v>42634.245532407411</v>
      </c>
      <c r="J18" s="7">
        <v>0</v>
      </c>
      <c r="K18" s="121" t="str">
        <f t="shared" si="0"/>
        <v>4043/4044</v>
      </c>
      <c r="L18" s="24" t="str">
        <f>VLOOKUP(A18,'Trips&amp;Operators'!$C$1:$E$10000,3,FALSE)</f>
        <v>STRICKLAND</v>
      </c>
      <c r="M18" s="6">
        <f t="shared" si="1"/>
        <v>2.9305555559403729E-2</v>
      </c>
      <c r="N18" s="7">
        <f t="shared" si="2"/>
        <v>42.200000005541369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03:59:05-0600',mode:absolute,to:'2016-09-21 06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23.260400000000001</v>
      </c>
      <c r="Z18" s="69">
        <f t="shared" si="9"/>
        <v>1.7000000000000001E-2</v>
      </c>
      <c r="AA18" s="69">
        <f t="shared" si="10"/>
        <v>23.243400000000001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0106-21</v>
      </c>
      <c r="AE18" s="99" t="str">
        <f t="shared" si="12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8" s="96" t="str">
        <f t="shared" si="13"/>
        <v>"C:\Program Files (x86)\AstroGrep\AstroGrep.exe" /spath="%USERPROFILE%\AppData\Local\Temp\OnboardLogs" /stypes="app*4043*20160921*"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106-21 --locoid 4043 --swversion DE.1.0.7.0 --startMP 204:232604 --initTime 2016-09-21T04:59:05 --startdatetime 2016-09-21T05:11:22 --delay 6 --endMP 204:170 --enddatetime 2016-09-21T05:53:34 --enforcementcount 0 &gt;&gt;C:\Users\stu\Documents\GitHub\eaglep3-reporting\EC\2016-09-21-refined-times.txt</v>
      </c>
      <c r="AI1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{"issue":{"subject":"","project_id":79,"tracker_id":40,"status_id":1,"priority_id":2,"assigned_to_id":23,"start_date":"2016-09-21","description":"","custom_fields":[{"id":1,"name":"Subdivision","value":"EC"},{"id":4,"name":"Milepost","value":"0.017"},{"id":17,"name":"Train ID","value":"106-21"},{"id":16,"name":"Locomotive ID","value":"4043"},{"id":130,"name":"Impact","value":""},{"id":150,"name":"Time of Event (Mountain Time)","value":"05:53:34"},{"id":151,"name":"Denver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407</v>
      </c>
      <c r="B19" s="7">
        <v>4042</v>
      </c>
      <c r="C19" s="24" t="s">
        <v>106</v>
      </c>
      <c r="D19" s="24" t="s">
        <v>360</v>
      </c>
      <c r="E19" s="15">
        <v>42634.180289351854</v>
      </c>
      <c r="F19" s="15">
        <v>42634.187685185185</v>
      </c>
      <c r="G19" s="7">
        <v>1</v>
      </c>
      <c r="H19" s="15" t="s">
        <v>361</v>
      </c>
      <c r="I19" s="15">
        <v>42634.212824074071</v>
      </c>
      <c r="J19" s="7">
        <v>0</v>
      </c>
      <c r="K19" s="121" t="str">
        <f t="shared" si="0"/>
        <v>4041/4042</v>
      </c>
      <c r="L19" s="24" t="str">
        <f>VLOOKUP(A19,'Trips&amp;Operators'!$C$1:$E$10000,3,FALSE)</f>
        <v>SPECTOR</v>
      </c>
      <c r="M19" s="6">
        <f t="shared" si="1"/>
        <v>2.5138888886431232E-2</v>
      </c>
      <c r="N19" s="7">
        <f t="shared" si="2"/>
        <v>36.199999996460974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03:19:37-0600',mode:absolute,to:'2016-09-21 06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4.4600000000000001E-2</v>
      </c>
      <c r="Z19" s="69">
        <f t="shared" si="9"/>
        <v>23.331900000000001</v>
      </c>
      <c r="AA19" s="69">
        <f t="shared" si="10"/>
        <v>23.287300000000002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0107-21</v>
      </c>
      <c r="AE19" s="99" t="str">
        <f t="shared" si="12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9" s="96" t="str">
        <f t="shared" si="13"/>
        <v>"C:\Program Files (x86)\AstroGrep\AstroGrep.exe" /spath="%USERPROFILE%\AppData\Local\Temp\OnboardLogs" /stypes="app*4042*20160921*"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107-21 --locoid 4042 --swversion DE.1.0.7.0 --startMP 204:446 --initTime 2016-09-21T04:19:37 --startdatetime 2016-09-21T04:30:16 --delay 1 --endMP 204:233319 --enddatetime 2016-09-21T05:06:28 --enforcementcount 0 &gt;&gt;C:\Users\stu\Documents\GitHub\eaglep3-reporting\EC\2016-09-21-refined-times.txt</v>
      </c>
      <c r="AI1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{"issue":{"subject":"","project_id":79,"tracker_id":40,"status_id":1,"priority_id":2,"assigned_to_id":23,"start_date":"2016-09-21","description":"","custom_fields":[{"id":1,"name":"Subdivision","value":"EC"},{"id":4,"name":"Milepost","value":"23.3319"},{"id":17,"name":"Train ID","value":"107-21"},{"id":16,"name":"Locomotive ID","value":"4042"},{"id":130,"name":"Impact","value":""},{"id":150,"name":"Time of Event (Mountain Time)","value":"05:06:28"},{"id":151,"name":"Denver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413</v>
      </c>
      <c r="B20" s="7">
        <v>4041</v>
      </c>
      <c r="C20" s="24" t="s">
        <v>106</v>
      </c>
      <c r="D20" s="24" t="s">
        <v>349</v>
      </c>
      <c r="E20" s="15">
        <v>42634.220775462964</v>
      </c>
      <c r="F20" s="15">
        <v>42634.227106481485</v>
      </c>
      <c r="G20" s="7">
        <v>3</v>
      </c>
      <c r="H20" s="15" t="s">
        <v>127</v>
      </c>
      <c r="I20" s="15">
        <v>42634.253958333335</v>
      </c>
      <c r="J20" s="7">
        <v>0</v>
      </c>
      <c r="K20" s="121" t="str">
        <f t="shared" si="0"/>
        <v>4041/4042</v>
      </c>
      <c r="L20" s="24" t="str">
        <f>VLOOKUP(A20,'Trips&amp;Operators'!$C$1:$E$10000,3,FALSE)</f>
        <v>SPECTOR</v>
      </c>
      <c r="M20" s="6">
        <f t="shared" si="1"/>
        <v>2.6851851849642117E-2</v>
      </c>
      <c r="N20" s="7">
        <f t="shared" si="2"/>
        <v>38.666666663484648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04:17:55-0600',mode:absolute,to:'2016-09-21 07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23.299800000000001</v>
      </c>
      <c r="Z20" s="69">
        <f t="shared" si="9"/>
        <v>1.54E-2</v>
      </c>
      <c r="AA20" s="69">
        <f t="shared" si="10"/>
        <v>23.284400000000002</v>
      </c>
      <c r="AB20" s="66" t="str">
        <f>VLOOKUP(A20,Enforcements!$C$7:$K$20,8,0)</f>
        <v>Bulletin (2)</v>
      </c>
      <c r="AC20" s="62" t="str">
        <f>VLOOKUP(A20,Enforcements!$C$7:$E$20,3,0)</f>
        <v>GRADE CROSSING</v>
      </c>
      <c r="AD20" s="63" t="str">
        <f t="shared" si="11"/>
        <v>0108-21</v>
      </c>
      <c r="AE20" s="99" t="str">
        <f t="shared" si="12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20" s="96" t="str">
        <f t="shared" si="13"/>
        <v>"C:\Program Files (x86)\AstroGrep\AstroGrep.exe" /spath="%USERPROFILE%\AppData\Local\Temp\OnboardLogs" /stypes="app*4041*20160921*"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108-21 --locoid 4041 --swversion DE.1.0.7.0 --startMP 204:232998 --initTime 2016-09-21T05:17:55 --startdatetime 2016-09-21T05:27:02 --delay 3 --endMP 204:154 --enddatetime 2016-09-21T06:05:42 --enforcementcount 0 &gt;&gt;C:\Users\stu\Documents\GitHub\eaglep3-reporting\EC\2016-09-21-refined-times.txt</v>
      </c>
      <c r="AI2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ID","value":"108-21"},{"id":16,"name":"Locomotive ID","value":"4041"},{"id":130,"name":"Impact","value":""},{"id":150,"name":"Time of Event (Mountain Time)","value":"06:05:42"},{"id":151,"name":"Denver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409</v>
      </c>
      <c r="B21" s="7">
        <v>4046</v>
      </c>
      <c r="C21" s="24" t="s">
        <v>106</v>
      </c>
      <c r="D21" s="24" t="s">
        <v>275</v>
      </c>
      <c r="E21" s="15">
        <v>42634.19332175926</v>
      </c>
      <c r="F21" s="15">
        <v>42634.198298611111</v>
      </c>
      <c r="G21" s="7">
        <v>1</v>
      </c>
      <c r="H21" s="15" t="s">
        <v>628</v>
      </c>
      <c r="I21" s="15">
        <v>42634.22415509259</v>
      </c>
      <c r="J21" s="7">
        <v>0</v>
      </c>
      <c r="K21" s="121" t="str">
        <f t="shared" si="0"/>
        <v>4045/4046</v>
      </c>
      <c r="L21" s="24" t="str">
        <f>VLOOKUP(A21,'Trips&amp;Operators'!$C$1:$E$10000,3,FALSE)</f>
        <v>KILLION</v>
      </c>
      <c r="M21" s="6">
        <f t="shared" si="1"/>
        <v>2.5856481479422655E-2</v>
      </c>
      <c r="N21" s="7">
        <f t="shared" si="2"/>
        <v>37.233333330368623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03:38:23-0600',mode:absolute,to:'2016-09-21 06:22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4.82E-2</v>
      </c>
      <c r="Z21" s="69">
        <f t="shared" si="9"/>
        <v>23.325700000000001</v>
      </c>
      <c r="AA21" s="69">
        <f t="shared" si="10"/>
        <v>23.2775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0109-21</v>
      </c>
      <c r="AE21" s="99" t="str">
        <f t="shared" si="12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21" s="96" t="str">
        <f t="shared" si="13"/>
        <v>"C:\Program Files (x86)\AstroGrep\AstroGrep.exe" /spath="%USERPROFILE%\AppData\Local\Temp\OnboardLogs" /stypes="app*4046*20160921*"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109-21 --locoid 4046 --swversion DE.1.0.7.0 --startMP 204:482 --initTime 2016-09-21T04:38:23 --startdatetime 2016-09-21T04:45:33 --delay 1 --endMP 204:233257 --enddatetime 2016-09-21T05:22:47 --enforcementcount 0 &gt;&gt;C:\Users\stu\Documents\GitHub\eaglep3-reporting\EC\2016-09-21-refined-times.txt</v>
      </c>
      <c r="AI21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{"issue":{"subject":"","project_id":79,"tracker_id":40,"status_id":1,"priority_id":2,"assigned_to_id":23,"start_date":"2016-09-21","description":"","custom_fields":[{"id":1,"name":"Subdivision","value":"EC"},{"id":4,"name":"Milepost","value":"23.3257"},{"id":17,"name":"Train ID","value":"109-21"},{"id":16,"name":"Locomotive ID","value":"4046"},{"id":130,"name":"Impact","value":""},{"id":150,"name":"Time of Event (Mountain Time)","value":"05:22:47"},{"id":151,"name":"Denver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417</v>
      </c>
      <c r="B22" s="7">
        <v>4045</v>
      </c>
      <c r="C22" s="24" t="s">
        <v>106</v>
      </c>
      <c r="D22" s="24" t="s">
        <v>307</v>
      </c>
      <c r="E22" s="15">
        <v>42634.226840277777</v>
      </c>
      <c r="F22" s="15">
        <v>42634.237164351849</v>
      </c>
      <c r="G22" s="7">
        <v>2</v>
      </c>
      <c r="H22" s="15" t="s">
        <v>218</v>
      </c>
      <c r="I22" s="15">
        <v>42634.266446759262</v>
      </c>
      <c r="J22" s="7">
        <v>0</v>
      </c>
      <c r="K22" s="121" t="str">
        <f t="shared" si="0"/>
        <v>4045/4046</v>
      </c>
      <c r="L22" s="24" t="str">
        <f>VLOOKUP(A22,'Trips&amp;Operators'!$C$1:$E$10000,3,FALSE)</f>
        <v>KILLION</v>
      </c>
      <c r="M22" s="6">
        <f t="shared" si="1"/>
        <v>2.9282407413120382E-2</v>
      </c>
      <c r="N22" s="7">
        <f t="shared" si="2"/>
        <v>42.166666674893349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04:26:39-0600',mode:absolute,to:'2016-09-21 07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23.2959</v>
      </c>
      <c r="Z22" s="69">
        <f t="shared" si="9"/>
        <v>1.47E-2</v>
      </c>
      <c r="AA22" s="69">
        <f t="shared" si="10"/>
        <v>23.281199999999998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0110-21</v>
      </c>
      <c r="AE22" s="99" t="str">
        <f t="shared" si="12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22" s="96" t="str">
        <f t="shared" si="13"/>
        <v>"C:\Program Files (x86)\AstroGrep\AstroGrep.exe" /spath="%USERPROFILE%\AppData\Local\Temp\OnboardLogs" /stypes="app*4045*20160921*"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110-21 --locoid 4045 --swversion DE.1.0.7.0 --startMP 204:232959 --initTime 2016-09-21T05:26:39 --startdatetime 2016-09-21T05:41:31 --delay 2 --endMP 204:147 --enddatetime 2016-09-21T06:23:41 --enforcementcount 0 &gt;&gt;C:\Users\stu\Documents\GitHub\eaglep3-reporting\EC\2016-09-21-refined-times.txt</v>
      </c>
      <c r="AI22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ID","value":"110-21"},{"id":16,"name":"Locomotive ID","value":"4045"},{"id":130,"name":"Impact","value":""},{"id":150,"name":"Time of Event (Mountain Time)","value":"06:23:41"},{"id":151,"name":"Denver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410</v>
      </c>
      <c r="B23" s="7">
        <v>4020</v>
      </c>
      <c r="C23" s="24" t="s">
        <v>106</v>
      </c>
      <c r="D23" s="24" t="s">
        <v>629</v>
      </c>
      <c r="E23" s="15">
        <v>42634.205706018518</v>
      </c>
      <c r="F23" s="15">
        <v>42634.208726851852</v>
      </c>
      <c r="G23" s="7">
        <v>2</v>
      </c>
      <c r="H23" s="15" t="s">
        <v>630</v>
      </c>
      <c r="I23" s="15">
        <v>42634.232893518521</v>
      </c>
      <c r="J23" s="7">
        <v>0</v>
      </c>
      <c r="K23" s="121" t="str">
        <f t="shared" si="0"/>
        <v>4019/4020</v>
      </c>
      <c r="L23" s="24" t="str">
        <f>VLOOKUP(A23,'Trips&amp;Operators'!$C$1:$E$10000,3,FALSE)</f>
        <v>ROCHA</v>
      </c>
      <c r="M23" s="6">
        <f t="shared" si="1"/>
        <v>2.4166666669771075E-2</v>
      </c>
      <c r="N23" s="7">
        <f t="shared" si="2"/>
        <v>34.800000004470348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03:56:13-0600',mode:absolute,to:'2016-09-21 06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7.5200000000000003E-2</v>
      </c>
      <c r="Z23" s="69">
        <f t="shared" si="9"/>
        <v>23.330400000000001</v>
      </c>
      <c r="AA23" s="69">
        <f t="shared" si="10"/>
        <v>23.255200000000002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0111-21</v>
      </c>
      <c r="AE23" s="99" t="str">
        <f t="shared" si="12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23" s="96" t="str">
        <f t="shared" si="13"/>
        <v>"C:\Program Files (x86)\AstroGrep\AstroGrep.exe" /spath="%USERPROFILE%\AppData\Local\Temp\OnboardLogs" /stypes="app*4020*20160921*"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111-21 --locoid 4020 --swversion DE.1.0.7.0 --startMP 204:752 --initTime 2016-09-21T04:56:13 --startdatetime 2016-09-21T05:00:34 --delay 2 --endMP 204:233304 --enddatetime 2016-09-21T05:35:22 --enforcementcount 0 &gt;&gt;C:\Users\stu\Documents\GitHub\eaglep3-reporting\EC\2016-09-21-refined-times.txt</v>
      </c>
      <c r="AI2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{"issue":{"subject":"","project_id":79,"tracker_id":40,"status_id":1,"priority_id":2,"assigned_to_id":23,"start_date":"2016-09-21","description":"","custom_fields":[{"id":1,"name":"Subdivision","value":"EC"},{"id":4,"name":"Milepost","value":"23.3304"},{"id":17,"name":"Train ID","value":"111-21"},{"id":16,"name":"Locomotive ID","value":"4020"},{"id":130,"name":"Impact","value":""},{"id":150,"name":"Time of Event (Mountain Time)","value":"05:35:22"},{"id":151,"name":"Denver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421</v>
      </c>
      <c r="B24" s="7">
        <v>4019</v>
      </c>
      <c r="C24" s="24" t="s">
        <v>106</v>
      </c>
      <c r="D24" s="24" t="s">
        <v>357</v>
      </c>
      <c r="E24" s="15">
        <v>42634.245798611111</v>
      </c>
      <c r="F24" s="15">
        <v>42634.247499999998</v>
      </c>
      <c r="G24" s="7">
        <v>1</v>
      </c>
      <c r="H24" s="15" t="s">
        <v>303</v>
      </c>
      <c r="I24" s="15">
        <v>42634.274976851855</v>
      </c>
      <c r="J24" s="7">
        <v>0</v>
      </c>
      <c r="K24" s="121" t="str">
        <f t="shared" si="0"/>
        <v>4019/4020</v>
      </c>
      <c r="L24" s="24" t="str">
        <f>VLOOKUP(A24,'Trips&amp;Operators'!$C$1:$E$10000,3,FALSE)</f>
        <v>ROCHA</v>
      </c>
      <c r="M24" s="6">
        <f t="shared" si="1"/>
        <v>2.7476851857500151E-2</v>
      </c>
      <c r="N24" s="7">
        <f t="shared" si="2"/>
        <v>39.566666674800217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04:53:57-0600',mode:absolute,to:'2016-09-21 07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23.3004</v>
      </c>
      <c r="Z24" s="69">
        <f t="shared" si="9"/>
        <v>1.41E-2</v>
      </c>
      <c r="AA24" s="69">
        <f t="shared" si="10"/>
        <v>23.286300000000001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0112-21</v>
      </c>
      <c r="AE24" s="99" t="str">
        <f t="shared" si="12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24" s="96" t="str">
        <f t="shared" si="13"/>
        <v>"C:\Program Files (x86)\AstroGrep\AstroGrep.exe" /spath="%USERPROFILE%\AppData\Local\Temp\OnboardLogs" /stypes="app*4019*20160921*"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112-21 --locoid 4019 --swversion DE.1.0.7.0 --startMP 204:233004 --initTime 2016-09-21T05:53:57 --startdatetime 2016-09-21T05:56:24 --delay 1 --endMP 204:141 --enddatetime 2016-09-21T06:35:58 --enforcementcount 0 &gt;&gt;C:\Users\stu\Documents\GitHub\eaglep3-reporting\EC\2016-09-21-refined-times.txt</v>
      </c>
      <c r="AI24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{"issue":{"subject":"","project_id":79,"tracker_id":40,"status_id":1,"priority_id":2,"assigned_to_id":23,"start_date":"2016-09-21","description":"","custom_fields":[{"id":1,"name":"Subdivision","value":"EC"},{"id":4,"name":"Milepost","value":"0.0141"},{"id":17,"name":"Train ID","value":"112-21"},{"id":16,"name":"Locomotive ID","value":"4019"},{"id":130,"name":"Impact","value":""},{"id":150,"name":"Time of Event (Mountain Time)","value":"06:35:58"},{"id":151,"name":"Denver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412</v>
      </c>
      <c r="B25" s="7">
        <v>4002</v>
      </c>
      <c r="C25" s="24" t="s">
        <v>106</v>
      </c>
      <c r="D25" s="24" t="s">
        <v>301</v>
      </c>
      <c r="E25" s="15">
        <v>42634.216793981483</v>
      </c>
      <c r="F25" s="15">
        <v>42634.219027777777</v>
      </c>
      <c r="G25" s="7">
        <v>1</v>
      </c>
      <c r="H25" s="15" t="s">
        <v>312</v>
      </c>
      <c r="I25" s="15">
        <v>42634.244687500002</v>
      </c>
      <c r="J25" s="7">
        <v>0</v>
      </c>
      <c r="K25" s="121" t="str">
        <f t="shared" si="0"/>
        <v>4001/4002</v>
      </c>
      <c r="L25" s="24" t="str">
        <f>VLOOKUP(A25,'Trips&amp;Operators'!$C$1:$E$10000,3,FALSE)</f>
        <v>MAELZER</v>
      </c>
      <c r="M25" s="6">
        <f t="shared" si="1"/>
        <v>2.5659722225100268E-2</v>
      </c>
      <c r="N25" s="7">
        <f t="shared" si="2"/>
        <v>36.950000004144385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04:12:11-0600',mode:absolute,to:'2016-09-21 06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4.4400000000000002E-2</v>
      </c>
      <c r="Z25" s="69">
        <f t="shared" si="9"/>
        <v>23.330100000000002</v>
      </c>
      <c r="AA25" s="69">
        <f t="shared" si="10"/>
        <v>23.285700000000002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0113-21</v>
      </c>
      <c r="AE25" s="99" t="str">
        <f t="shared" si="12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25" s="96" t="str">
        <f t="shared" si="13"/>
        <v>"C:\Program Files (x86)\AstroGrep\AstroGrep.exe" /spath="%USERPROFILE%\AppData\Local\Temp\OnboardLogs" /stypes="app*4002*20160921*"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113-21 --locoid 4002 --swversion DE.1.0.7.0 --startMP 204:444 --initTime 2016-09-21T05:12:11 --startdatetime 2016-09-21T05:15:24 --delay 1 --endMP 204:233301 --enddatetime 2016-09-21T05:52:21 --enforcementcount 0 &gt;&gt;C:\Users\stu\Documents\GitHub\eaglep3-reporting\EC\2016-09-21-refined-times.txt</v>
      </c>
      <c r="AI2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{"issue":{"subject":"","project_id":79,"tracker_id":40,"status_id":1,"priority_id":2,"assigned_to_id":23,"start_date":"2016-09-21","description":"","custom_fields":[{"id":1,"name":"Subdivision","value":"EC"},{"id":4,"name":"Milepost","value":"23.3301"},{"id":17,"name":"Train ID","value":"113-21"},{"id":16,"name":"Locomotive ID","value":"4002"},{"id":130,"name":"Impact","value":""},{"id":150,"name":"Time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4001</v>
      </c>
      <c r="C26" s="24" t="s">
        <v>106</v>
      </c>
      <c r="D26" s="24" t="s">
        <v>306</v>
      </c>
      <c r="E26" s="15">
        <v>42634.251782407409</v>
      </c>
      <c r="F26" s="15">
        <v>42634.257962962962</v>
      </c>
      <c r="G26" s="7">
        <v>1</v>
      </c>
      <c r="H26" s="15" t="s">
        <v>284</v>
      </c>
      <c r="I26" s="15">
        <v>42634.285439814812</v>
      </c>
      <c r="J26" s="7">
        <v>0</v>
      </c>
      <c r="K26" s="121" t="str">
        <f t="shared" si="0"/>
        <v>4001/4002</v>
      </c>
      <c r="L26" s="24" t="str">
        <f>VLOOKUP(A26,'Trips&amp;Operators'!$C$1:$E$10000,3,FALSE)</f>
        <v>MAELZER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05:02:34-0600',mode:absolute,to:'2016-09-21 07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23.2986</v>
      </c>
      <c r="Z26" s="69">
        <f t="shared" si="9"/>
        <v>1.4500000000000001E-2</v>
      </c>
      <c r="AA26" s="69">
        <f t="shared" si="10"/>
        <v>23.284099999999999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0114-21</v>
      </c>
      <c r="AE26" s="99" t="str">
        <f t="shared" si="12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26" s="96" t="str">
        <f t="shared" si="13"/>
        <v>"C:\Program Files (x86)\AstroGrep\AstroGrep.exe" /spath="%USERPROFILE%\AppData\Local\Temp\OnboardLogs" /stypes="app*4001*20160921*"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114-21 --locoid 4001 --swversion DE.1.0.7.0 --startMP 204:232986 --initTime 2016-09-21T06:02:34 --startdatetime 2016-09-21T06:11:28 --delay 1 --endMP 204:145 --enddatetime 2016-09-21T06:51:02 --enforcementcount 0 &gt;&gt;C:\Users\stu\Documents\GitHub\eaglep3-reporting\EC\2016-09-21-refined-times.txt</v>
      </c>
      <c r="AI2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ID","value":"114-21"},{"id":16,"name":"Locomotive ID","value":"4001"},{"id":130,"name":"Impact","value":""},{"id":150,"name":"Time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416</v>
      </c>
      <c r="B27" s="7">
        <v>4016</v>
      </c>
      <c r="C27" s="24" t="s">
        <v>106</v>
      </c>
      <c r="D27" s="24" t="s">
        <v>631</v>
      </c>
      <c r="E27" s="15">
        <v>42634.226655092592</v>
      </c>
      <c r="F27" s="15">
        <v>42634.229328703703</v>
      </c>
      <c r="G27" s="7">
        <v>1</v>
      </c>
      <c r="H27" s="15" t="s">
        <v>304</v>
      </c>
      <c r="I27" s="15">
        <v>42634.256527777776</v>
      </c>
      <c r="J27" s="7">
        <v>0</v>
      </c>
      <c r="K27" s="121" t="str">
        <f t="shared" si="0"/>
        <v>4015/4016</v>
      </c>
      <c r="L27" s="24" t="str">
        <f>VLOOKUP(A27,'Trips&amp;Operators'!$C$1:$E$10000,3,FALSE)</f>
        <v>BRANNON</v>
      </c>
      <c r="M27" s="6">
        <f t="shared" si="1"/>
        <v>2.7199074072996154E-2</v>
      </c>
      <c r="N27" s="7">
        <f t="shared" si="2"/>
        <v>39.166666665114462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04:26:23-0600',mode:absolute,to:'2016-09-21 07:09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7.2800000000000004E-2</v>
      </c>
      <c r="Z27" s="69">
        <f t="shared" si="9"/>
        <v>23.3308</v>
      </c>
      <c r="AA27" s="69">
        <f t="shared" si="10"/>
        <v>23.257999999999999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0115-21</v>
      </c>
      <c r="AE27" s="99" t="str">
        <f t="shared" si="12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27" s="96" t="str">
        <f t="shared" si="13"/>
        <v>"C:\Program Files (x86)\AstroGrep\AstroGrep.exe" /spath="%USERPROFILE%\AppData\Local\Temp\OnboardLogs" /stypes="app*4016*20160921*"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115-21 --locoid 4016 --swversion DE.1.0.7.0 --startMP 204:728 --initTime 2016-09-21T05:26:23 --startdatetime 2016-09-21T05:30:14 --delay 1 --endMP 204:233308 --enddatetime 2016-09-21T06:09:24 --enforcementcount 0 &gt;&gt;C:\Users\stu\Documents\GitHub\eaglep3-reporting\EC\2016-09-21-refined-times.txt</v>
      </c>
      <c r="AI2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{"issue":{"subject":"","project_id":79,"tracker_id":40,"status_id":1,"priority_id":2,"assigned_to_id":23,"start_date":"2016-09-21","description":"","custom_fields":[{"id":1,"name":"Subdivision","value":"EC"},{"id":4,"name":"Milepost","value":"23.3308"},{"id":17,"name":"Train ID","value":"115-21"},{"id":16,"name":"Locomotive ID","value":"4016"},{"id":130,"name":"Impact","value":""},{"id":150,"name":"Time of Event (Mountain Time)","value":"06:09:24"},{"id":151,"name":"Denver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427</v>
      </c>
      <c r="B28" s="7">
        <v>4015</v>
      </c>
      <c r="C28" s="24" t="s">
        <v>106</v>
      </c>
      <c r="D28" s="24" t="s">
        <v>302</v>
      </c>
      <c r="E28" s="15">
        <v>42634.261608796296</v>
      </c>
      <c r="F28" s="15">
        <v>42634.268229166664</v>
      </c>
      <c r="G28" s="7">
        <v>1</v>
      </c>
      <c r="H28" s="15" t="s">
        <v>127</v>
      </c>
      <c r="I28" s="15">
        <v>42634.298506944448</v>
      </c>
      <c r="J28" s="7">
        <v>0</v>
      </c>
      <c r="K28" s="121" t="str">
        <f t="shared" si="0"/>
        <v>4015/4016</v>
      </c>
      <c r="L28" s="24" t="str">
        <f>VLOOKUP(A28,'Trips&amp;Operators'!$C$1:$E$10000,3,FALSE)</f>
        <v>BRANNON</v>
      </c>
      <c r="M28" s="6">
        <f t="shared" si="1"/>
        <v>3.0277777783339843E-2</v>
      </c>
      <c r="N28" s="7">
        <f t="shared" si="2"/>
        <v>43.600000008009374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05:16:43-0600',mode:absolute,to:'2016-09-21 08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23.298100000000002</v>
      </c>
      <c r="Z28" s="69">
        <f t="shared" si="9"/>
        <v>1.54E-2</v>
      </c>
      <c r="AA28" s="69">
        <f t="shared" si="10"/>
        <v>23.282700000000002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0116-21</v>
      </c>
      <c r="AE28" s="99" t="str">
        <f t="shared" si="12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28" s="96" t="str">
        <f t="shared" si="13"/>
        <v>"C:\Program Files (x86)\AstroGrep\AstroGrep.exe" /spath="%USERPROFILE%\AppData\Local\Temp\OnboardLogs" /stypes="app*4015*20160921*"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116-21 --locoid 4015 --swversion DE.1.0.7.0 --startMP 204:232981 --initTime 2016-09-21T06:16:43 --startdatetime 2016-09-21T06:26:15 --delay 1 --endMP 204:154 --enddatetime 2016-09-21T07:09:51 --enforcementcount 0 &gt;&gt;C:\Users\stu\Documents\GitHub\eaglep3-reporting\EC\2016-09-21-refined-times.txt</v>
      </c>
      <c r="AI2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ID","value":"116-21"},{"id":16,"name":"Locomotive ID","value":"4015"},{"id":130,"name":"Impact","value":""},{"id":150,"name":"Time of Event (Mountain Time)","value":"07:09:51"},{"id":151,"name":"Denver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418</v>
      </c>
      <c r="B29" s="7">
        <v>4007</v>
      </c>
      <c r="C29" s="24" t="s">
        <v>106</v>
      </c>
      <c r="D29" s="24" t="s">
        <v>238</v>
      </c>
      <c r="E29" s="15">
        <v>42634.2340625</v>
      </c>
      <c r="F29" s="15">
        <v>42634.239837962959</v>
      </c>
      <c r="G29" s="7">
        <v>1</v>
      </c>
      <c r="H29" s="15" t="s">
        <v>283</v>
      </c>
      <c r="I29" s="15">
        <v>42634.264872685184</v>
      </c>
      <c r="J29" s="7">
        <v>0</v>
      </c>
      <c r="K29" s="121" t="str">
        <f t="shared" si="0"/>
        <v>4007/4008</v>
      </c>
      <c r="L29" s="24" t="str">
        <f>VLOOKUP(A29,'Trips&amp;Operators'!$C$1:$E$10000,3,FALSE)</f>
        <v>ACKERMAN</v>
      </c>
      <c r="M29" s="6">
        <f t="shared" si="1"/>
        <v>2.5034722224518191E-2</v>
      </c>
      <c r="N29" s="7">
        <f t="shared" si="2"/>
        <v>36.050000003306195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04:37:03-0600',mode:absolute,to:'2016-09-21 07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4.4900000000000002E-2</v>
      </c>
      <c r="Z29" s="69">
        <f t="shared" si="9"/>
        <v>23.329499999999999</v>
      </c>
      <c r="AA29" s="69">
        <f t="shared" si="10"/>
        <v>23.284600000000001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0117-21</v>
      </c>
      <c r="AE29" s="99" t="str">
        <f t="shared" si="12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29" s="96" t="str">
        <f t="shared" si="13"/>
        <v>"C:\Program Files (x86)\AstroGrep\AstroGrep.exe" /spath="%USERPROFILE%\AppData\Local\Temp\OnboardLogs" /stypes="app*4007*20160921*"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117-21 --locoid 4007 --swversion DE.1.0.7.0 --startMP 204:449 --initTime 2016-09-21T05:37:03 --startdatetime 2016-09-21T05:45:22 --delay 1 --endMP 204:233295 --enddatetime 2016-09-21T06:21:25 --enforcementcount 0 &gt;&gt;C:\Users\stu\Documents\GitHub\eaglep3-reporting\EC\2016-09-21-refined-times.txt</v>
      </c>
      <c r="AI2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{"issue":{"subject":"","project_id":79,"tracker_id":40,"status_id":1,"priority_id":2,"assigned_to_id":23,"start_date":"2016-09-21","description":"","custom_fields":[{"id":1,"name":"Subdivision","value":"EC"},{"id":4,"name":"Milepost","value":"23.3295"},{"id":17,"name":"Train ID","value":"117-21"},{"id":16,"name":"Locomotive ID","value":"4007"},{"id":130,"name":"Impact","value":""},{"id":150,"name":"Time of Event (Mountain Time)","value":"06:21:25"},{"id":151,"name":"Denver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4008</v>
      </c>
      <c r="C30" s="24" t="s">
        <v>106</v>
      </c>
      <c r="D30" s="24" t="s">
        <v>632</v>
      </c>
      <c r="E30" s="15">
        <v>42634.272824074076</v>
      </c>
      <c r="F30" s="15">
        <v>42634.27888888889</v>
      </c>
      <c r="G30" s="7">
        <v>1</v>
      </c>
      <c r="H30" s="15" t="s">
        <v>284</v>
      </c>
      <c r="I30" s="15">
        <v>42634.306041666663</v>
      </c>
      <c r="J30" s="7">
        <v>0</v>
      </c>
      <c r="K30" s="121" t="str">
        <f t="shared" si="0"/>
        <v>4007/4008</v>
      </c>
      <c r="L30" s="24" t="str">
        <f>VLOOKUP(A30,'Trips&amp;Operators'!$C$1:$E$10000,3,FALSE)</f>
        <v>ACKERMAN</v>
      </c>
      <c r="M30" s="6">
        <f t="shared" si="1"/>
        <v>2.7152777773153502E-2</v>
      </c>
      <c r="N30" s="7">
        <f t="shared" si="2"/>
        <v>39.099999993341044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05:32:52-0600',mode:absolute,to:'2016-09-21 08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23.296900000000001</v>
      </c>
      <c r="Z30" s="69">
        <f t="shared" si="9"/>
        <v>1.4500000000000001E-2</v>
      </c>
      <c r="AA30" s="69">
        <f t="shared" si="10"/>
        <v>23.282399999999999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0118-21</v>
      </c>
      <c r="AE30" s="99" t="str">
        <f t="shared" si="12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30" s="96" t="str">
        <f t="shared" si="13"/>
        <v>"C:\Program Files (x86)\AstroGrep\AstroGrep.exe" /spath="%USERPROFILE%\AppData\Local\Temp\OnboardLogs" /stypes="app*4008*20160921*"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118-21 --locoid 4008 --swversion DE.1.0.7.0 --startMP 204:232969 --initTime 2016-09-21T06:32:52 --startdatetime 2016-09-21T06:41:36 --delay 1 --endMP 204:145 --enddatetime 2016-09-21T07:20:42 --enforcementcount 0 &gt;&gt;C:\Users\stu\Documents\GitHub\eaglep3-reporting\EC\2016-09-21-refined-times.txt</v>
      </c>
      <c r="AI3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ID","value":"118-21"},{"id":16,"name":"Locomotive ID","value":"4008"},{"id":130,"name":"Impact","value":""},{"id":150,"name":"Time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422</v>
      </c>
      <c r="B31" s="7">
        <v>4027</v>
      </c>
      <c r="C31" s="24" t="s">
        <v>106</v>
      </c>
      <c r="D31" s="24" t="s">
        <v>633</v>
      </c>
      <c r="E31" s="15">
        <v>42634.24763888889</v>
      </c>
      <c r="F31" s="15">
        <v>42634.250567129631</v>
      </c>
      <c r="G31" s="7">
        <v>1</v>
      </c>
      <c r="H31" s="15" t="s">
        <v>250</v>
      </c>
      <c r="I31" s="15">
        <v>42634.277280092596</v>
      </c>
      <c r="J31" s="7">
        <v>0</v>
      </c>
      <c r="K31" s="121" t="str">
        <f t="shared" si="0"/>
        <v>4027/4028</v>
      </c>
      <c r="L31" s="24" t="str">
        <f>VLOOKUP(A31,'Trips&amp;Operators'!$C$1:$E$10000,3,FALSE)</f>
        <v>STRICKLAND</v>
      </c>
      <c r="M31" s="6">
        <f t="shared" si="1"/>
        <v>2.6712962964666076E-2</v>
      </c>
      <c r="N31" s="7">
        <f t="shared" si="2"/>
        <v>38.466666669119149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04:56:36-0600',mode:absolute,to:'2016-09-21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7.8600000000000003E-2</v>
      </c>
      <c r="Z31" s="69">
        <f t="shared" si="9"/>
        <v>23.329699999999999</v>
      </c>
      <c r="AA31" s="69">
        <f t="shared" si="10"/>
        <v>23.251099999999997</v>
      </c>
      <c r="AB31" s="66" t="str">
        <f>VLOOKUP(A31,Enforcements!$C$7:$K$20,8,0)</f>
        <v>Speed (6)</v>
      </c>
      <c r="AC31" s="62" t="str">
        <f>VLOOKUP(A31,Enforcements!$C$7:$E$20,3,0)</f>
        <v>PERMANENT SPEED RESTRICTION</v>
      </c>
      <c r="AD31" s="63" t="str">
        <f t="shared" si="11"/>
        <v>0119-21</v>
      </c>
      <c r="AE31" s="99" t="str">
        <f t="shared" si="12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31" s="96" t="str">
        <f t="shared" si="13"/>
        <v>"C:\Program Files (x86)\AstroGrep\AstroGrep.exe" /spath="%USERPROFILE%\AppData\Local\Temp\OnboardLogs" /stypes="app*4027*20160921*"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119-21 --locoid 4027 --swversion DE.1.0.7.0 --startMP 204:786 --initTime 2016-09-21T05:56:36 --startdatetime 2016-09-21T06:00:49 --delay 1 --endMP 204:233297 --enddatetime 2016-09-21T06:39:17 --enforcementcount 0 &gt;&gt;C:\Users\stu\Documents\GitHub\eaglep3-reporting\EC\2016-09-21-refined-times.txt</v>
      </c>
      <c r="AI31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{"issue":{"subject":"","project_id":79,"tracker_id":40,"status_id":1,"priority_id":2,"assigned_to_id":23,"start_date":"2016-09-21","description":"","custom_fields":[{"id":1,"name":"Subdivision","value":"EC"},{"id":4,"name":"Milepost","value":"23.3297"},{"id":17,"name":"Train ID","value":"119-21"},{"id":16,"name":"Locomotive ID","value":"4027"},{"id":130,"name":"Impact","value":""},{"id":150,"name":"Time of Event (Mountain Time)","value":"06:39:17"},{"id":151,"name":"Denver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435</v>
      </c>
      <c r="B32" s="7">
        <v>4028</v>
      </c>
      <c r="C32" s="24" t="s">
        <v>106</v>
      </c>
      <c r="D32" s="24" t="s">
        <v>370</v>
      </c>
      <c r="E32" s="15">
        <v>42634.284270833334</v>
      </c>
      <c r="F32" s="15">
        <v>42634.289224537039</v>
      </c>
      <c r="G32" s="7">
        <v>4</v>
      </c>
      <c r="H32" s="15" t="s">
        <v>217</v>
      </c>
      <c r="I32" s="15">
        <v>42634.31821759259</v>
      </c>
      <c r="J32" s="7">
        <v>0</v>
      </c>
      <c r="K32" s="121" t="str">
        <f t="shared" si="0"/>
        <v>4027/4028</v>
      </c>
      <c r="L32" s="24" t="str">
        <f>VLOOKUP(A32,'Trips&amp;Operators'!$C$1:$E$10000,3,FALSE)</f>
        <v>STRICKLAND</v>
      </c>
      <c r="M32" s="6">
        <f t="shared" si="1"/>
        <v>2.8993055551836733E-2</v>
      </c>
      <c r="N32" s="7">
        <f t="shared" si="2"/>
        <v>41.749999994644895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05:49:21-0600',mode:absolute,to:'2016-09-21 08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23.2987</v>
      </c>
      <c r="Z32" s="69">
        <f t="shared" si="9"/>
        <v>1.5800000000000002E-2</v>
      </c>
      <c r="AA32" s="69">
        <f t="shared" si="10"/>
        <v>23.282900000000001</v>
      </c>
      <c r="AB32" s="66" t="str">
        <f>VLOOKUP(A32,Enforcements!$C$7:$K$20,8,0)</f>
        <v>Speed (6)</v>
      </c>
      <c r="AC32" s="62" t="str">
        <f>VLOOKUP(A32,Enforcements!$C$7:$E$20,3,0)</f>
        <v>PERMANENT SPEED RESTRICTION</v>
      </c>
      <c r="AD32" s="63" t="str">
        <f t="shared" si="11"/>
        <v>0120-21</v>
      </c>
      <c r="AE32" s="99" t="str">
        <f t="shared" si="12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32" s="96" t="str">
        <f t="shared" si="13"/>
        <v>"C:\Program Files (x86)\AstroGrep\AstroGrep.exe" /spath="%USERPROFILE%\AppData\Local\Temp\OnboardLogs" /stypes="app*4028*20160921*"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120-21 --locoid 4028 --swversion DE.1.0.7.0 --startMP 204:232987 --initTime 2016-09-21T06:49:21 --startdatetime 2016-09-21T06:56:29 --delay 4 --endMP 204:158 --enddatetime 2016-09-21T07:38:14 --enforcementcount 0 &gt;&gt;C:\Users\stu\Documents\GitHub\eaglep3-reporting\EC\2016-09-21-refined-times.txt</v>
      </c>
      <c r="AI32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{"issue":{"subject":"","project_id":79,"tracker_id":40,"status_id":1,"priority_id":2,"assigned_to_id":23,"start_date":"2016-09-21","description":"","custom_fields":[{"id":1,"name":"Subdivision","value":"EC"},{"id":4,"name":"Milepost","value":"0.0158"},{"id":17,"name":"Train ID","value":"120-21"},{"id":16,"name":"Locomotive ID","value":"4028"},{"id":130,"name":"Impact","value":""},{"id":150,"name":"Time of Event (Mountain Time)","value":"07:38:14"},{"id":151,"name":"Denver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425</v>
      </c>
      <c r="B33" s="7">
        <v>4042</v>
      </c>
      <c r="C33" s="24" t="s">
        <v>106</v>
      </c>
      <c r="D33" s="24" t="s">
        <v>226</v>
      </c>
      <c r="E33" s="15">
        <v>42634.258159722223</v>
      </c>
      <c r="F33" s="15">
        <v>42634.260636574072</v>
      </c>
      <c r="G33" s="7">
        <v>1</v>
      </c>
      <c r="H33" s="15" t="s">
        <v>356</v>
      </c>
      <c r="I33" s="15">
        <v>42634.285821759258</v>
      </c>
      <c r="J33" s="7">
        <v>0</v>
      </c>
      <c r="K33" s="121" t="str">
        <f t="shared" si="0"/>
        <v>4041/4042</v>
      </c>
      <c r="L33" s="24" t="str">
        <f>VLOOKUP(A33,'Trips&amp;Operators'!$C$1:$E$10000,3,FALSE)</f>
        <v>SPECTOR</v>
      </c>
      <c r="M33" s="6">
        <f t="shared" si="1"/>
        <v>2.5185185186273884E-2</v>
      </c>
      <c r="N33" s="7">
        <f t="shared" si="2"/>
        <v>36.266666668234393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05:11:45-0600',mode:absolute,to:'2016-09-21 07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4.5100000000000001E-2</v>
      </c>
      <c r="Z33" s="69">
        <f t="shared" si="9"/>
        <v>23.331800000000001</v>
      </c>
      <c r="AA33" s="69">
        <f t="shared" si="10"/>
        <v>23.2867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0121-21</v>
      </c>
      <c r="AE33" s="99" t="str">
        <f t="shared" si="12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33" s="96" t="str">
        <f t="shared" si="13"/>
        <v>"C:\Program Files (x86)\AstroGrep\AstroGrep.exe" /spath="%USERPROFILE%\AppData\Local\Temp\OnboardLogs" /stypes="app*4042*20160921*"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121-21 --locoid 4042 --swversion DE.1.0.7.0 --startMP 204:451 --initTime 2016-09-21T06:11:45 --startdatetime 2016-09-21T06:15:19 --delay 1 --endMP 204:233318 --enddatetime 2016-09-21T06:51:35 --enforcementcount 0 &gt;&gt;C:\Users\stu\Documents\GitHub\eaglep3-reporting\EC\2016-09-21-refined-times.txt</v>
      </c>
      <c r="AI3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{"issue":{"subject":"","project_id":79,"tracker_id":40,"status_id":1,"priority_id":2,"assigned_to_id":23,"start_date":"2016-09-21","description":"","custom_fields":[{"id":1,"name":"Subdivision","value":"EC"},{"id":4,"name":"Milepost","value":"23.3318"},{"id":17,"name":"Train ID","value":"121-21"},{"id":16,"name":"Locomotive ID","value":"4042"},{"id":130,"name":"Impact","value":""},{"id":150,"name":"Time of Event (Mountain Time)","value":"06:51:35"},{"id":151,"name":"Denver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437</v>
      </c>
      <c r="B34" s="7">
        <v>4041</v>
      </c>
      <c r="C34" s="24" t="s">
        <v>106</v>
      </c>
      <c r="D34" s="24" t="s">
        <v>306</v>
      </c>
      <c r="E34" s="15">
        <v>42634.295636574076</v>
      </c>
      <c r="F34" s="15">
        <v>42634.299479166664</v>
      </c>
      <c r="G34" s="7">
        <v>1</v>
      </c>
      <c r="H34" s="15" t="s">
        <v>214</v>
      </c>
      <c r="I34" s="15">
        <v>42634.327407407407</v>
      </c>
      <c r="J34" s="7">
        <v>0</v>
      </c>
      <c r="K34" s="121" t="str">
        <f t="shared" si="0"/>
        <v>4041/4042</v>
      </c>
      <c r="L34" s="24" t="str">
        <f>VLOOKUP(A34,'Trips&amp;Operators'!$C$1:$E$10000,3,FALSE)</f>
        <v>SPECTOR</v>
      </c>
      <c r="M34" s="6">
        <f t="shared" si="1"/>
        <v>2.792824074276723E-2</v>
      </c>
      <c r="N34" s="7">
        <f t="shared" si="2"/>
        <v>40.216666669584811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06:05:43-0600',mode:absolute,to:'2016-09-21 08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23.2986</v>
      </c>
      <c r="Z34" s="69">
        <f t="shared" si="9"/>
        <v>1.6E-2</v>
      </c>
      <c r="AA34" s="69">
        <f t="shared" si="10"/>
        <v>23.282600000000002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0122-21</v>
      </c>
      <c r="AE34" s="99" t="str">
        <f t="shared" si="12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34" s="96" t="str">
        <f t="shared" si="13"/>
        <v>"C:\Program Files (x86)\AstroGrep\AstroGrep.exe" /spath="%USERPROFILE%\AppData\Local\Temp\OnboardLogs" /stypes="app*4041*20160921*"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122-21 --locoid 4041 --swversion DE.1.0.7.0 --startMP 204:232986 --initTime 2016-09-21T07:05:43 --startdatetime 2016-09-21T07:11:15 --delay 1 --endMP 204:160 --enddatetime 2016-09-21T07:51:28 --enforcementcount 0 &gt;&gt;C:\Users\stu\Documents\GitHub\eaglep3-reporting\EC\2016-09-21-refined-times.txt</v>
      </c>
      <c r="AI34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{"issue":{"subject":"","project_id":79,"tracker_id":40,"status_id":1,"priority_id":2,"assigned_to_id":23,"start_date":"2016-09-21","description":"","custom_fields":[{"id":1,"name":"Subdivision","value":"EC"},{"id":4,"name":"Milepost","value":"0.016"},{"id":17,"name":"Train ID","value":"122-21"},{"id":16,"name":"Locomotive ID","value":"4041"},{"id":130,"name":"Impact","value":""},{"id":150,"name":"Time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4046</v>
      </c>
      <c r="C35" s="24" t="s">
        <v>106</v>
      </c>
      <c r="D35" s="24" t="s">
        <v>225</v>
      </c>
      <c r="E35" s="15">
        <v>42634.267893518518</v>
      </c>
      <c r="F35" s="15">
        <v>42634.27103009259</v>
      </c>
      <c r="G35" s="7">
        <v>1</v>
      </c>
      <c r="H35" s="15" t="s">
        <v>634</v>
      </c>
      <c r="I35" s="15">
        <v>42634.295162037037</v>
      </c>
      <c r="J35" s="7">
        <v>0</v>
      </c>
      <c r="K35" s="121" t="str">
        <f t="shared" si="0"/>
        <v>4045/4046</v>
      </c>
      <c r="L35" s="24" t="str">
        <f>VLOOKUP(A35,'Trips&amp;Operators'!$C$1:$E$10000,3,FALSE)</f>
        <v>KILLION</v>
      </c>
      <c r="M35" s="6">
        <f t="shared" si="1"/>
        <v>2.4131944446708076E-2</v>
      </c>
      <c r="N35" s="7">
        <f t="shared" si="2"/>
        <v>34.750000003259629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05:25:46-0600',mode:absolute,to:'2016-09-21 08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4.6600000000000003E-2</v>
      </c>
      <c r="Z35" s="69">
        <f t="shared" si="9"/>
        <v>23.319600000000001</v>
      </c>
      <c r="AA35" s="69">
        <f t="shared" si="10"/>
        <v>23.273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0123-21</v>
      </c>
      <c r="AE35" s="99" t="str">
        <f t="shared" si="12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35" s="96" t="str">
        <f t="shared" si="13"/>
        <v>"C:\Program Files (x86)\AstroGrep\AstroGrep.exe" /spath="%USERPROFILE%\AppData\Local\Temp\OnboardLogs" /stypes="app*4046*20160921*"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123-21 --locoid 4046 --swversion DE.1.0.7.0 --startMP 204:466 --initTime 2016-09-21T06:25:46 --startdatetime 2016-09-21T06:30:17 --delay 1 --endMP 204:233196 --enddatetime 2016-09-21T07:05:02 --enforcementcount 0 &gt;&gt;C:\Users\stu\Documents\GitHub\eaglep3-reporting\EC\2016-09-21-refined-times.txt</v>
      </c>
      <c r="AI3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{"issue":{"subject":"","project_id":79,"tracker_id":40,"status_id":1,"priority_id":2,"assigned_to_id":23,"start_date":"2016-09-21","description":"","custom_fields":[{"id":1,"name":"Subdivision","value":"EC"},{"id":4,"name":"Milepost","value":"23.3196"},{"id":17,"name":"Train ID","value":"123-21"},{"id":16,"name":"Locomotive ID","value":"4046"},{"id":130,"name":"Impact","value":""},{"id":150,"name":"Time of Event (Mountain Time)","value":"07:05:02"},{"id":151,"name":"Denver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440</v>
      </c>
      <c r="B36" s="7">
        <v>4045</v>
      </c>
      <c r="C36" s="24" t="s">
        <v>106</v>
      </c>
      <c r="D36" s="24" t="s">
        <v>635</v>
      </c>
      <c r="E36" s="15">
        <v>42634.303067129629</v>
      </c>
      <c r="F36" s="15">
        <v>42634.309895833336</v>
      </c>
      <c r="G36" s="7">
        <v>3</v>
      </c>
      <c r="H36" s="15" t="s">
        <v>228</v>
      </c>
      <c r="I36" s="15">
        <v>42634.337094907409</v>
      </c>
      <c r="J36" s="7">
        <v>0</v>
      </c>
      <c r="K36" s="121" t="str">
        <f t="shared" si="0"/>
        <v>4045/4046</v>
      </c>
      <c r="L36" s="24" t="str">
        <f>VLOOKUP(A36,'Trips&amp;Operators'!$C$1:$E$10000,3,FALSE)</f>
        <v>KILLION</v>
      </c>
      <c r="M36" s="6">
        <f t="shared" si="1"/>
        <v>2.7199074072996154E-2</v>
      </c>
      <c r="N36" s="7">
        <f t="shared" si="2"/>
        <v>39.166666665114462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06:16:25-0600',mode:absolute,to:'2016-09-21 09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23.287400000000002</v>
      </c>
      <c r="Z36" s="69">
        <f t="shared" si="9"/>
        <v>1.3899999999999999E-2</v>
      </c>
      <c r="AA36" s="69">
        <f t="shared" si="10"/>
        <v>23.273500000000002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0124-21</v>
      </c>
      <c r="AE36" s="99" t="str">
        <f t="shared" si="12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36" s="96" t="str">
        <f t="shared" si="13"/>
        <v>"C:\Program Files (x86)\AstroGrep\AstroGrep.exe" /spath="%USERPROFILE%\AppData\Local\Temp\OnboardLogs" /stypes="app*4045*20160921*"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124-21 --locoid 4045 --swversion DE.1.0.7.0 --startMP 204:232874 --initTime 2016-09-21T07:16:25 --startdatetime 2016-09-21T07:26:15 --delay 3 --endMP 204:139 --enddatetime 2016-09-21T08:05:25 --enforcementcount 0 &gt;&gt;C:\Users\stu\Documents\GitHub\eaglep3-reporting\EC\2016-09-21-refined-times.txt</v>
      </c>
      <c r="AI3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{"issue":{"subject":"","project_id":79,"tracker_id":40,"status_id":1,"priority_id":2,"assigned_to_id":23,"start_date":"2016-09-21","description":"","custom_fields":[{"id":1,"name":"Subdivision","value":"EC"},{"id":4,"name":"Milepost","value":"0.0139"},{"id":17,"name":"Train ID","value":"124-21"},{"id":16,"name":"Locomotive ID","value":"4045"},{"id":130,"name":"Impact","value":""},{"id":150,"name":"Time of Event (Mountain Time)","value":"08:05:25"},{"id":151,"name":"Denver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432</v>
      </c>
      <c r="B37" s="7">
        <v>4020</v>
      </c>
      <c r="C37" s="24" t="s">
        <v>106</v>
      </c>
      <c r="D37" s="24" t="s">
        <v>301</v>
      </c>
      <c r="E37" s="15">
        <v>42634.278090277781</v>
      </c>
      <c r="F37" s="15">
        <v>42634.281666666669</v>
      </c>
      <c r="G37" s="7">
        <v>1</v>
      </c>
      <c r="H37" s="15" t="s">
        <v>367</v>
      </c>
      <c r="I37" s="15">
        <v>42634.30809027778</v>
      </c>
      <c r="J37" s="7">
        <v>0</v>
      </c>
      <c r="K37" s="121" t="str">
        <f t="shared" si="0"/>
        <v>4019/4020</v>
      </c>
      <c r="L37" s="24" t="str">
        <f>VLOOKUP(A37,'Trips&amp;Operators'!$C$1:$E$10000,3,FALSE)</f>
        <v>ROCHA</v>
      </c>
      <c r="M37" s="6">
        <f t="shared" si="1"/>
        <v>2.6423611110658385E-2</v>
      </c>
      <c r="N37" s="7">
        <f t="shared" si="2"/>
        <v>38.049999999348074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05:40:27-0600',mode:absolute,to:'2016-09-21 08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4.4400000000000002E-2</v>
      </c>
      <c r="Z37" s="69">
        <f t="shared" si="9"/>
        <v>23.3278</v>
      </c>
      <c r="AA37" s="69">
        <f t="shared" si="10"/>
        <v>23.2834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0125-21</v>
      </c>
      <c r="AE37" s="99" t="str">
        <f t="shared" si="12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37" s="96" t="str">
        <f t="shared" si="13"/>
        <v>"C:\Program Files (x86)\AstroGrep\AstroGrep.exe" /spath="%USERPROFILE%\AppData\Local\Temp\OnboardLogs" /stypes="app*4020*20160921*"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125-21 --locoid 4020 --swversion DE.1.0.7.0 --startMP 204:444 --initTime 2016-09-21T06:40:27 --startdatetime 2016-09-21T06:45:36 --delay 1 --endMP 204:233278 --enddatetime 2016-09-21T07:23:39 --enforcementcount 0 &gt;&gt;C:\Users\stu\Documents\GitHub\eaglep3-reporting\EC\2016-09-21-refined-times.txt</v>
      </c>
      <c r="AI3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{"issue":{"subject":"","project_id":79,"tracker_id":40,"status_id":1,"priority_id":2,"assigned_to_id":23,"start_date":"2016-09-21","description":"","custom_fields":[{"id":1,"name":"Subdivision","value":"EC"},{"id":4,"name":"Milepost","value":"23.3278"},{"id":17,"name":"Train ID","value":"125-21"},{"id":16,"name":"Locomotive ID","value":"4020"},{"id":130,"name":"Impact","value":""},{"id":150,"name":"Time of Event (Mountain Time)","value":"07:23:39"},{"id":151,"name":"Denver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443</v>
      </c>
      <c r="B38" s="7">
        <v>4019</v>
      </c>
      <c r="C38" s="24" t="s">
        <v>106</v>
      </c>
      <c r="D38" s="24" t="s">
        <v>241</v>
      </c>
      <c r="E38" s="15">
        <v>42634.313819444447</v>
      </c>
      <c r="F38" s="15">
        <v>42634.320393518516</v>
      </c>
      <c r="G38" s="7">
        <v>1</v>
      </c>
      <c r="H38" s="15" t="s">
        <v>217</v>
      </c>
      <c r="I38" s="15">
        <v>42634.353136574071</v>
      </c>
      <c r="J38" s="7">
        <v>0</v>
      </c>
      <c r="K38" s="121" t="str">
        <f t="shared" si="0"/>
        <v>4019/4020</v>
      </c>
      <c r="L38" s="24" t="str">
        <f>VLOOKUP(A38,'Trips&amp;Operators'!$C$1:$E$10000,3,FALSE)</f>
        <v>ROCHA</v>
      </c>
      <c r="M38" s="6">
        <f t="shared" si="1"/>
        <v>3.2743055555329192E-2</v>
      </c>
      <c r="N38" s="7">
        <f t="shared" si="2"/>
        <v>47.149999999674037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06:31:54-0600',mode:absolute,to:'2016-09-21 09:28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23.295500000000001</v>
      </c>
      <c r="Z38" s="69">
        <f t="shared" si="9"/>
        <v>1.5800000000000002E-2</v>
      </c>
      <c r="AA38" s="69">
        <f t="shared" si="10"/>
        <v>23.279700000000002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0126-21</v>
      </c>
      <c r="AE38" s="99" t="str">
        <f t="shared" si="12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38" s="96" t="str">
        <f t="shared" si="13"/>
        <v>"C:\Program Files (x86)\AstroGrep\AstroGrep.exe" /spath="%USERPROFILE%\AppData\Local\Temp\OnboardLogs" /stypes="app*4019*20160921*"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126-21 --locoid 4019 --swversion DE.1.0.7.0 --startMP 204:232955 --initTime 2016-09-21T07:31:54 --startdatetime 2016-09-21T07:41:22 --delay 1 --endMP 204:158 --enddatetime 2016-09-21T08:28:31 --enforcementcount 0 &gt;&gt;C:\Users\stu\Documents\GitHub\eaglep3-reporting\EC\2016-09-21-refined-times.txt</v>
      </c>
      <c r="AI3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{"issue":{"subject":"","project_id":79,"tracker_id":40,"status_id":1,"priority_id":2,"assigned_to_id":23,"start_date":"2016-09-21","description":"","custom_fields":[{"id":1,"name":"Subdivision","value":"EC"},{"id":4,"name":"Milepost","value":"0.0158"},{"id":17,"name":"Train ID","value":"126-21"},{"id":16,"name":"Locomotive ID","value":"4019"},{"id":130,"name":"Impact","value":""},{"id":150,"name":"Time of Event (Mountain Time)","value":"08:28:31"},{"id":151,"name":"Denver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436</v>
      </c>
      <c r="B39" s="7">
        <v>4002</v>
      </c>
      <c r="C39" s="24" t="s">
        <v>106</v>
      </c>
      <c r="D39" s="24" t="s">
        <v>231</v>
      </c>
      <c r="E39" s="15">
        <v>42634.289236111108</v>
      </c>
      <c r="F39" s="15">
        <v>42634.291967592595</v>
      </c>
      <c r="G39" s="7">
        <v>0</v>
      </c>
      <c r="H39" s="15" t="s">
        <v>283</v>
      </c>
      <c r="I39" s="15">
        <v>42634.31722222222</v>
      </c>
      <c r="J39" s="7">
        <v>0</v>
      </c>
      <c r="K39" s="121" t="str">
        <f t="shared" si="0"/>
        <v>4001/4002</v>
      </c>
      <c r="L39" s="24" t="str">
        <f>VLOOKUP(A39,'Trips&amp;Operators'!$C$1:$E$10000,3,FALSE)</f>
        <v>MAELZER</v>
      </c>
      <c r="M39" s="6">
        <f t="shared" si="1"/>
        <v>2.5254629625123926E-2</v>
      </c>
      <c r="N39" s="7">
        <f t="shared" si="2"/>
        <v>36.366666660178453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05:56:30-0600',mode:absolute,to:'2016-09-21 08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4.5999999999999999E-2</v>
      </c>
      <c r="Z39" s="69">
        <f t="shared" si="9"/>
        <v>23.329499999999999</v>
      </c>
      <c r="AA39" s="69">
        <f t="shared" si="10"/>
        <v>23.2835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0127-21</v>
      </c>
      <c r="AE39" s="99" t="str">
        <f t="shared" si="12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39" s="96" t="str">
        <f t="shared" si="13"/>
        <v>"C:\Program Files (x86)\AstroGrep\AstroGrep.exe" /spath="%USERPROFILE%\AppData\Local\Temp\OnboardLogs" /stypes="app*4002*20160921*"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127-21 --locoid 4002 --swversion DE.1.0.7.0 --startMP 204:460 --initTime 2016-09-21T06:56:30 --startdatetime 2016-09-21T07:00:26 --delay 0 --endMP 204:233295 --enddatetime 2016-09-21T07:36:48 --enforcementcount 0 &gt;&gt;C:\Users\stu\Documents\GitHub\eaglep3-reporting\EC\2016-09-21-refined-times.txt</v>
      </c>
      <c r="AI3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{"issue":{"subject":"","project_id":79,"tracker_id":40,"status_id":1,"priority_id":2,"assigned_to_id":23,"start_date":"2016-09-21","description":"","custom_fields":[{"id":1,"name":"Subdivision","value":"EC"},{"id":4,"name":"Milepost","value":"23.3295"},{"id":17,"name":"Train ID","value":"127-21"},{"id":16,"name":"Locomotive ID","value":"4002"},{"id":130,"name":"Impact","value":""},{"id":150,"name":"Time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446</v>
      </c>
      <c r="B40" s="7">
        <v>4001</v>
      </c>
      <c r="C40" s="24" t="s">
        <v>106</v>
      </c>
      <c r="D40" s="24" t="s">
        <v>636</v>
      </c>
      <c r="E40" s="15">
        <v>42634.323101851849</v>
      </c>
      <c r="F40" s="15">
        <v>42634.330868055556</v>
      </c>
      <c r="G40" s="7">
        <v>1</v>
      </c>
      <c r="H40" s="15" t="s">
        <v>637</v>
      </c>
      <c r="I40" s="15">
        <v>42634.359849537039</v>
      </c>
      <c r="J40" s="7">
        <v>0</v>
      </c>
      <c r="K40" s="121" t="str">
        <f t="shared" si="0"/>
        <v>4001/4002</v>
      </c>
      <c r="L40" s="24" t="str">
        <f>VLOOKUP(A40,'Trips&amp;Operators'!$C$1:$E$10000,3,FALSE)</f>
        <v>MAELZER</v>
      </c>
      <c r="M40" s="6">
        <f t="shared" si="1"/>
        <v>2.8981481482333038E-2</v>
      </c>
      <c r="N40" s="7">
        <f t="shared" si="2"/>
        <v>41.733333334559575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06:45:16-0600',mode:absolute,to:'2016-09-21 09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23.297599999999999</v>
      </c>
      <c r="Z40" s="69">
        <f t="shared" si="9"/>
        <v>1.67E-2</v>
      </c>
      <c r="AA40" s="69">
        <f t="shared" si="10"/>
        <v>23.280899999999999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0128-21</v>
      </c>
      <c r="AE40" s="99" t="str">
        <f t="shared" si="12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40" s="96" t="str">
        <f t="shared" si="13"/>
        <v>"C:\Program Files (x86)\AstroGrep\AstroGrep.exe" /spath="%USERPROFILE%\AppData\Local\Temp\OnboardLogs" /stypes="app*4001*20160921*"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128-21 --locoid 4001 --swversion DE.1.0.7.0 --startMP 204:232976 --initTime 2016-09-21T07:45:16 --startdatetime 2016-09-21T07:56:27 --delay 1 --endMP 204:167 --enddatetime 2016-09-21T08:38:11 --enforcementcount 0 &gt;&gt;C:\Users\stu\Documents\GitHub\eaglep3-reporting\EC\2016-09-21-refined-times.txt</v>
      </c>
      <c r="AI4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{"issue":{"subject":"","project_id":79,"tracker_id":40,"status_id":1,"priority_id":2,"assigned_to_id":23,"start_date":"2016-09-21","description":"","custom_fields":[{"id":1,"name":"Subdivision","value":"EC"},{"id":4,"name":"Milepost","value":"0.0167"},{"id":17,"name":"Train ID","value":"128-21"},{"id":16,"name":"Locomotive ID","value":"4001"},{"id":130,"name":"Impact","value":""},{"id":150,"name":"Time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439</v>
      </c>
      <c r="B41" s="7">
        <v>4016</v>
      </c>
      <c r="C41" s="24" t="s">
        <v>106</v>
      </c>
      <c r="D41" s="24" t="s">
        <v>254</v>
      </c>
      <c r="E41" s="15">
        <v>42634.300451388888</v>
      </c>
      <c r="F41" s="15">
        <v>42634.302858796298</v>
      </c>
      <c r="G41" s="7">
        <v>3</v>
      </c>
      <c r="H41" s="15" t="s">
        <v>638</v>
      </c>
      <c r="I41" s="15">
        <v>42634.329097222224</v>
      </c>
      <c r="J41" s="7">
        <v>0</v>
      </c>
      <c r="K41" s="121" t="str">
        <f t="shared" si="0"/>
        <v>4015/4016</v>
      </c>
      <c r="L41" s="24" t="str">
        <f>VLOOKUP(A41,'Trips&amp;Operators'!$C$1:$E$10000,3,FALSE)</f>
        <v>BRANNON</v>
      </c>
      <c r="M41" s="6">
        <f t="shared" si="1"/>
        <v>2.6238425925839692E-2</v>
      </c>
      <c r="N41" s="7">
        <f t="shared" si="2"/>
        <v>37.783333333209157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06:12:39-0600',mode:absolute,to:'2016-09-21 08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4.7699999999999999E-2</v>
      </c>
      <c r="Z41" s="69">
        <f t="shared" si="9"/>
        <v>23.328399999999998</v>
      </c>
      <c r="AA41" s="69">
        <f t="shared" si="10"/>
        <v>23.2807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0129-21</v>
      </c>
      <c r="AE41" s="99" t="str">
        <f t="shared" si="12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41" s="96" t="str">
        <f t="shared" si="13"/>
        <v>"C:\Program Files (x86)\AstroGrep\AstroGrep.exe" /spath="%USERPROFILE%\AppData\Local\Temp\OnboardLogs" /stypes="app*4016*20160921*"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129-21 --locoid 4016 --swversion DE.1.0.7.0 --startMP 204:477 --initTime 2016-09-21T07:12:39 --startdatetime 2016-09-21T07:16:07 --delay 3 --endMP 204:233284 --enddatetime 2016-09-21T07:53:54 --enforcementcount 0 &gt;&gt;C:\Users\stu\Documents\GitHub\eaglep3-reporting\EC\2016-09-21-refined-times.txt</v>
      </c>
      <c r="AI41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{"issue":{"subject":"","project_id":79,"tracker_id":40,"status_id":1,"priority_id":2,"assigned_to_id":23,"start_date":"2016-09-21","description":"","custom_fields":[{"id":1,"name":"Subdivision","value":"EC"},{"id":4,"name":"Milepost","value":"23.3284"},{"id":17,"name":"Train ID","value":"129-21"},{"id":16,"name":"Locomotive ID","value":"4016"},{"id":130,"name":"Impact","value":""},{"id":150,"name":"Time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449</v>
      </c>
      <c r="B42" s="7">
        <v>4015</v>
      </c>
      <c r="C42" s="24" t="s">
        <v>106</v>
      </c>
      <c r="D42" s="24" t="s">
        <v>306</v>
      </c>
      <c r="E42" s="15">
        <v>42634.335868055554</v>
      </c>
      <c r="F42" s="15">
        <v>42634.341423611113</v>
      </c>
      <c r="G42" s="7">
        <v>1</v>
      </c>
      <c r="H42" s="15" t="s">
        <v>222</v>
      </c>
      <c r="I42" s="15">
        <v>42634.375497685185</v>
      </c>
      <c r="J42" s="7">
        <v>0</v>
      </c>
      <c r="K42" s="121" t="str">
        <f t="shared" si="0"/>
        <v>4015/4016</v>
      </c>
      <c r="L42" s="24" t="str">
        <f>VLOOKUP(A42,'Trips&amp;Operators'!$C$1:$E$10000,3,FALSE)</f>
        <v>BRANNON</v>
      </c>
      <c r="M42" s="6">
        <f t="shared" si="1"/>
        <v>3.407407407212304E-2</v>
      </c>
      <c r="N42" s="7">
        <f t="shared" si="2"/>
        <v>49.066666663857177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07:03:39-0600',mode:absolute,to:'2016-09-21 10:00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23.2986</v>
      </c>
      <c r="Z42" s="69">
        <f t="shared" si="9"/>
        <v>1.52E-2</v>
      </c>
      <c r="AA42" s="69">
        <f t="shared" si="10"/>
        <v>23.2834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0130-21</v>
      </c>
      <c r="AE42" s="99" t="str">
        <f t="shared" si="12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42" s="96" t="str">
        <f t="shared" si="13"/>
        <v>"C:\Program Files (x86)\AstroGrep\AstroGrep.exe" /spath="%USERPROFILE%\AppData\Local\Temp\OnboardLogs" /stypes="app*4015*20160921*" /stext=" 15:.+((SYSTEM_STATE.+slice.+state.+changed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130-21 --locoid 4015 --swversion DE.1.0.7.0 --startMP 204:232986 --initTime 2016-09-21T08:03:39 --startdatetime 2016-09-21T08:11:39 --delay 1 --endMP 204:152 --enddatetime 2016-09-21T09:00:43 --enforcementcount 0 &gt;&gt;C:\Users\stu\Documents\GitHub\eaglep3-reporting\EC\2016-09-21-refined-times.txt</v>
      </c>
      <c r="AI42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ID","value":"130-21"},{"id":16,"name":"Locomotive ID","value":"4015"},{"id":130,"name":"Impact","value":""},{"id":150,"name":"Time of Event (Mountain Time)","value":"09:00:43"},{"id":151,"name":"Denver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442</v>
      </c>
      <c r="B43" s="7">
        <v>4007</v>
      </c>
      <c r="C43" s="24" t="s">
        <v>106</v>
      </c>
      <c r="D43" s="24" t="s">
        <v>237</v>
      </c>
      <c r="E43" s="15">
        <v>42634.307974537034</v>
      </c>
      <c r="F43" s="15">
        <v>42634.312754629631</v>
      </c>
      <c r="G43" s="7">
        <v>1</v>
      </c>
      <c r="H43" s="15" t="s">
        <v>639</v>
      </c>
      <c r="I43" s="15">
        <v>42634.337847222225</v>
      </c>
      <c r="J43" s="7">
        <v>0</v>
      </c>
      <c r="K43" s="121" t="str">
        <f t="shared" si="0"/>
        <v>4007/4008</v>
      </c>
      <c r="L43" s="24" t="str">
        <f>VLOOKUP(A43,'Trips&amp;Operators'!$C$1:$E$10000,3,FALSE)</f>
        <v>ACKERMAN</v>
      </c>
      <c r="M43" s="6">
        <f t="shared" si="1"/>
        <v>2.5092592593864538E-2</v>
      </c>
      <c r="N43" s="7">
        <f t="shared" si="2"/>
        <v>36.133333335164934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06:23:29-0600',mode:absolute,to:'2016-09-21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4.6899999999999997E-2</v>
      </c>
      <c r="Z43" s="69">
        <f t="shared" si="9"/>
        <v>23.331700000000001</v>
      </c>
      <c r="AA43" s="69">
        <f t="shared" si="10"/>
        <v>23.284800000000001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0131-21</v>
      </c>
      <c r="AE43" s="99" t="str">
        <f t="shared" si="12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43" s="96" t="str">
        <f t="shared" si="13"/>
        <v>"C:\Program Files (x86)\AstroGrep\AstroGrep.exe" /spath="%USERPROFILE%\AppData\Local\Temp\OnboardLogs" /stypes="app*4007*20160921*"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131-21 --locoid 4007 --swversion DE.1.0.7.0 --startMP 204:469 --initTime 2016-09-21T07:23:29 --startdatetime 2016-09-21T07:30:22 --delay 1 --endMP 204:233317 --enddatetime 2016-09-21T08:06:30 --enforcementcount 0 &gt;&gt;C:\Users\stu\Documents\GitHub\eaglep3-reporting\EC\2016-09-21-refined-times.txt</v>
      </c>
      <c r="AI4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{"issue":{"subject":"","project_id":79,"tracker_id":40,"status_id":1,"priority_id":2,"assigned_to_id":23,"start_date":"2016-09-21","description":"","custom_fields":[{"id":1,"name":"Subdivision","value":"EC"},{"id":4,"name":"Milepost","value":"23.3317"},{"id":17,"name":"Train ID","value":"131-21"},{"id":16,"name":"Locomotive ID","value":"4007"},{"id":130,"name":"Impact","value":""},{"id":150,"name":"Time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452</v>
      </c>
      <c r="B44" s="7">
        <v>4008</v>
      </c>
      <c r="C44" s="24" t="s">
        <v>106</v>
      </c>
      <c r="D44" s="24" t="s">
        <v>640</v>
      </c>
      <c r="E44" s="15">
        <v>42634.346307870372</v>
      </c>
      <c r="F44" s="15">
        <v>42634.351643518516</v>
      </c>
      <c r="G44" s="7">
        <v>1</v>
      </c>
      <c r="H44" s="15" t="s">
        <v>641</v>
      </c>
      <c r="I44" s="15">
        <v>42634.382395833331</v>
      </c>
      <c r="J44" s="7">
        <v>0</v>
      </c>
      <c r="K44" s="121" t="str">
        <f t="shared" si="0"/>
        <v>4007/4008</v>
      </c>
      <c r="L44" s="24" t="str">
        <f>VLOOKUP(A44,'Trips&amp;Operators'!$C$1:$E$10000,3,FALSE)</f>
        <v>ACKERMAN</v>
      </c>
      <c r="M44" s="6">
        <f t="shared" si="1"/>
        <v>3.0752314814890269E-2</v>
      </c>
      <c r="N44" s="7">
        <f t="shared" si="2"/>
        <v>44.283333333441988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07:18:41-0600',mode:absolute,to:'2016-09-21 10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23.3002</v>
      </c>
      <c r="Z44" s="69">
        <f t="shared" si="9"/>
        <v>1.6899999999999998E-2</v>
      </c>
      <c r="AA44" s="69">
        <f t="shared" si="10"/>
        <v>23.283300000000001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0132-21</v>
      </c>
      <c r="AE44" s="99" t="str">
        <f t="shared" si="12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44" s="96" t="str">
        <f t="shared" si="13"/>
        <v>"C:\Program Files (x86)\AstroGrep\AstroGrep.exe" /spath="%USERPROFILE%\AppData\Local\Temp\OnboardLogs" /stypes="app*4008*20160921*"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132-21 --locoid 4008 --swversion DE.1.0.7.0 --startMP 204:233002 --initTime 2016-09-21T08:18:41 --startdatetime 2016-09-21T08:26:22 --delay 1 --endMP 204:169 --enddatetime 2016-09-21T09:10:39 --enforcementcount 0 &gt;&gt;C:\Users\stu\Documents\GitHub\eaglep3-reporting\EC\2016-09-21-refined-times.txt</v>
      </c>
      <c r="AI44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{"issue":{"subject":"","project_id":79,"tracker_id":40,"status_id":1,"priority_id":2,"assigned_to_id":23,"start_date":"2016-09-21","description":"","custom_fields":[{"id":1,"name":"Subdivision","value":"EC"},{"id":4,"name":"Milepost","value":"0.0169"},{"id":17,"name":"Train ID","value":"132-21"},{"id":16,"name":"Locomotive ID","value":"4008"},{"id":130,"name":"Impact","value":""},{"id":150,"name":"Time of Event (Mountain Time)","value":"09:10:39"},{"id":151,"name":"Denver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445</v>
      </c>
      <c r="B45" s="7">
        <v>4027</v>
      </c>
      <c r="C45" s="24" t="s">
        <v>106</v>
      </c>
      <c r="D45" s="24" t="s">
        <v>360</v>
      </c>
      <c r="E45" s="15">
        <v>42634.320868055554</v>
      </c>
      <c r="F45" s="15">
        <v>42634.323263888888</v>
      </c>
      <c r="G45" s="7">
        <v>1</v>
      </c>
      <c r="H45" s="15" t="s">
        <v>363</v>
      </c>
      <c r="I45" s="15">
        <v>42634.351412037038</v>
      </c>
      <c r="J45" s="7">
        <v>0</v>
      </c>
      <c r="K45" s="121" t="str">
        <f t="shared" si="0"/>
        <v>4027/4028</v>
      </c>
      <c r="L45" s="24" t="str">
        <f>VLOOKUP(A45,'Trips&amp;Operators'!$C$1:$E$10000,3,FALSE)</f>
        <v>STRICKLAND</v>
      </c>
      <c r="M45" s="6">
        <f t="shared" si="1"/>
        <v>2.8148148150648922E-2</v>
      </c>
      <c r="N45" s="7">
        <f t="shared" si="2"/>
        <v>40.533333336934447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06:42:03-0600',mode:absolute,to:'2016-09-21 09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5" s="54" t="str">
        <f t="shared" si="6"/>
        <v>N</v>
      </c>
      <c r="X45" s="168">
        <f t="shared" si="7"/>
        <v>1</v>
      </c>
      <c r="Y45" s="69">
        <f t="shared" ref="Y45:Y76" si="19">RIGHT(D45,LEN(D45)-4)/10000</f>
        <v>4.4600000000000001E-2</v>
      </c>
      <c r="Z45" s="69">
        <f t="shared" ref="Z45:Z76" si="20">RIGHT(H45,LEN(H45)-4)/10000</f>
        <v>23.3324</v>
      </c>
      <c r="AA45" s="69">
        <f t="shared" si="10"/>
        <v>23.287800000000001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1"/>
        <v>0133-21</v>
      </c>
      <c r="AE45" s="99" t="str">
        <f t="shared" si="12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45" s="96" t="str">
        <f t="shared" si="13"/>
        <v>"C:\Program Files (x86)\AstroGrep\AstroGrep.exe" /spath="%USERPROFILE%\AppData\Local\Temp\OnboardLogs" /stypes="app*4027*20160921*"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133-21 --locoid 4027 --swversion DE.1.0.7.0 --startMP 204:446 --initTime 2016-09-21T07:42:03 --startdatetime 2016-09-21T07:45:30 --delay 1 --endMP 204:233324 --enddatetime 2016-09-21T08:26:02 --enforcementcount 0 &gt;&gt;C:\Users\stu\Documents\GitHub\eaglep3-reporting\EC\2016-09-21-refined-times.txt</v>
      </c>
      <c r="AI4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{"issue":{"subject":"","project_id":79,"tracker_id":40,"status_id":1,"priority_id":2,"assigned_to_id":23,"start_date":"2016-09-21","description":"","custom_fields":[{"id":1,"name":"Subdivision","value":"EC"},{"id":4,"name":"Milepost","value":"23.3324"},{"id":17,"name":"Train ID","value":"133-21"},{"id":16,"name":"Locomotive ID","value":"4027"},{"id":130,"name":"Impact","value":""},{"id":150,"name":"Time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456</v>
      </c>
      <c r="B46" s="7">
        <v>4028</v>
      </c>
      <c r="C46" s="24" t="s">
        <v>106</v>
      </c>
      <c r="D46" s="24" t="s">
        <v>233</v>
      </c>
      <c r="E46" s="15">
        <v>42634.358784722222</v>
      </c>
      <c r="F46" s="15">
        <v>42634.362118055556</v>
      </c>
      <c r="G46" s="7">
        <v>1</v>
      </c>
      <c r="H46" s="15" t="s">
        <v>220</v>
      </c>
      <c r="I46" s="15">
        <v>42634.394537037035</v>
      </c>
      <c r="J46" s="7">
        <v>0</v>
      </c>
      <c r="K46" s="121" t="str">
        <f t="shared" si="0"/>
        <v>4027/4028</v>
      </c>
      <c r="L46" s="24" t="str">
        <f>VLOOKUP(A46,'Trips&amp;Operators'!$C$1:$E$10000,3,FALSE)</f>
        <v>STRICKLAND</v>
      </c>
      <c r="M46" s="6">
        <f t="shared" si="1"/>
        <v>3.2418981478258502E-2</v>
      </c>
      <c r="N46" s="7">
        <f t="shared" si="2"/>
        <v>46.683333328692243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07:36:39-0600',mode:absolute,to:'2016-09-21 10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6" s="54" t="str">
        <f t="shared" si="6"/>
        <v>N</v>
      </c>
      <c r="X46" s="168">
        <f t="shared" si="7"/>
        <v>1</v>
      </c>
      <c r="Y46" s="69">
        <f t="shared" si="19"/>
        <v>23.297799999999999</v>
      </c>
      <c r="Z46" s="69">
        <f t="shared" si="20"/>
        <v>1.4999999999999999E-2</v>
      </c>
      <c r="AA46" s="69">
        <f t="shared" si="10"/>
        <v>23.282799999999998</v>
      </c>
      <c r="AB46" s="66" t="str">
        <f>VLOOKUP(A46,Enforcements!$C$7:$K$20,8,0)</f>
        <v>Speed (6)</v>
      </c>
      <c r="AC46" s="62" t="str">
        <f>VLOOKUP(A46,Enforcements!$C$7:$E$20,3,0)</f>
        <v>PERMANENT SPEED RESTRICTION</v>
      </c>
      <c r="AD46" s="63" t="str">
        <f t="shared" si="11"/>
        <v>0134-21</v>
      </c>
      <c r="AE46" s="99" t="str">
        <f t="shared" si="12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46" s="96" t="str">
        <f t="shared" si="13"/>
        <v>"C:\Program Files (x86)\AstroGrep\AstroGrep.exe" /spath="%USERPROFILE%\AppData\Local\Temp\OnboardLogs" /stypes="app*4028*20160921*"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134-21 --locoid 4028 --swversion DE.1.0.7.0 --startMP 204:232978 --initTime 2016-09-21T08:36:39 --startdatetime 2016-09-21T08:41:27 --delay 1 --endMP 204:150 --enddatetime 2016-09-21T09:28:08 --enforcementcount 0 &gt;&gt;C:\Users\stu\Documents\GitHub\eaglep3-reporting\EC\2016-09-21-refined-times.txt</v>
      </c>
      <c r="AI4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ID","value":"134-21"},{"id":16,"name":"Locomotive ID","value":"4028"},{"id":130,"name":"Impact","value":""},{"id":150,"name":"Time of Event (Mountain Time)","value":"09:28:08"},{"id":151,"name":"Denver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448</v>
      </c>
      <c r="B47" s="7">
        <v>4042</v>
      </c>
      <c r="C47" s="24" t="s">
        <v>106</v>
      </c>
      <c r="D47" s="24" t="s">
        <v>642</v>
      </c>
      <c r="E47" s="15">
        <v>42634.330092592594</v>
      </c>
      <c r="F47" s="15">
        <v>42634.333726851852</v>
      </c>
      <c r="G47" s="7">
        <v>1</v>
      </c>
      <c r="H47" s="15" t="s">
        <v>643</v>
      </c>
      <c r="I47" s="15">
        <v>42634.361666666664</v>
      </c>
      <c r="J47" s="7">
        <v>0</v>
      </c>
      <c r="K47" s="121" t="str">
        <f t="shared" si="0"/>
        <v>4041/4042</v>
      </c>
      <c r="L47" s="24" t="str">
        <f>VLOOKUP(A47,'Trips&amp;Operators'!$C$1:$E$10000,3,FALSE)</f>
        <v>SPECTOR</v>
      </c>
      <c r="M47" s="6">
        <f t="shared" si="1"/>
        <v>2.7939814812270924E-2</v>
      </c>
      <c r="N47" s="7">
        <f t="shared" si="2"/>
        <v>40.233333329670131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06:55:20-0600',mode:absolute,to:'2016-09-21 09:40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68">
        <f t="shared" si="7"/>
        <v>1</v>
      </c>
      <c r="Y47" s="69">
        <f t="shared" si="19"/>
        <v>4.8000000000000001E-2</v>
      </c>
      <c r="Z47" s="69">
        <f t="shared" si="20"/>
        <v>23.3323</v>
      </c>
      <c r="AA47" s="69">
        <f t="shared" si="10"/>
        <v>23.284300000000002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1"/>
        <v>0135-21</v>
      </c>
      <c r="AE47" s="99" t="str">
        <f t="shared" si="12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47" s="96" t="str">
        <f t="shared" si="13"/>
        <v>"C:\Program Files (x86)\AstroGrep\AstroGrep.exe" /spath="%USERPROFILE%\AppData\Local\Temp\OnboardLogs" /stypes="app*4042*20160921*"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135-21 --locoid 4042 --swversion DE.1.0.7.0 --startMP 204:480 --initTime 2016-09-21T07:55:20 --startdatetime 2016-09-21T08:00:34 --delay 1 --endMP 204:233323 --enddatetime 2016-09-21T08:40:48 --enforcementcount 0 &gt;&gt;C:\Users\stu\Documents\GitHub\eaglep3-reporting\EC\2016-09-21-refined-times.txt</v>
      </c>
      <c r="AI4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{"issue":{"subject":"","project_id":79,"tracker_id":40,"status_id":1,"priority_id":2,"assigned_to_id":23,"start_date":"2016-09-21","description":"","custom_fields":[{"id":1,"name":"Subdivision","value":"EC"},{"id":4,"name":"Milepost","value":"23.3323"},{"id":17,"name":"Train ID","value":"135-21"},{"id":16,"name":"Locomotive ID","value":"4042"},{"id":130,"name":"Impact","value":""},{"id":150,"name":"Time of Event (Mountain Time)","value":"08:40:48"},{"id":151,"name":"Denver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460</v>
      </c>
      <c r="B48" s="7">
        <v>4041</v>
      </c>
      <c r="C48" s="24" t="s">
        <v>106</v>
      </c>
      <c r="D48" s="24" t="s">
        <v>347</v>
      </c>
      <c r="E48" s="15">
        <v>42634.368680555555</v>
      </c>
      <c r="F48" s="15">
        <v>42634.372407407405</v>
      </c>
      <c r="G48" s="7">
        <v>1</v>
      </c>
      <c r="H48" s="15" t="s">
        <v>127</v>
      </c>
      <c r="I48" s="15">
        <v>42634.399953703702</v>
      </c>
      <c r="J48" s="7">
        <v>0</v>
      </c>
      <c r="K48" s="121" t="str">
        <f t="shared" si="0"/>
        <v>4041/4042</v>
      </c>
      <c r="L48" s="24" t="str">
        <f>VLOOKUP(A48,'Trips&amp;Operators'!$C$1:$E$10000,3,FALSE)</f>
        <v>SPECTOR</v>
      </c>
      <c r="M48" s="6">
        <f t="shared" si="1"/>
        <v>2.7546296296350192E-2</v>
      </c>
      <c r="N48" s="7">
        <f t="shared" si="2"/>
        <v>39.666666666744277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07:50:54-0600',mode:absolute,to:'2016-09-21 10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68">
        <f t="shared" si="7"/>
        <v>1</v>
      </c>
      <c r="Y48" s="69">
        <f t="shared" si="19"/>
        <v>23.298300000000001</v>
      </c>
      <c r="Z48" s="69">
        <f t="shared" si="20"/>
        <v>1.54E-2</v>
      </c>
      <c r="AA48" s="69">
        <f t="shared" si="10"/>
        <v>23.282900000000001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0136-21</v>
      </c>
      <c r="AE48" s="99" t="str">
        <f t="shared" si="12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48" s="96" t="str">
        <f t="shared" si="13"/>
        <v>"C:\Program Files (x86)\AstroGrep\AstroGrep.exe" /spath="%USERPROFILE%\AppData\Local\Temp\OnboardLogs" /stypes="app*4041*20160921*"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136-21 --locoid 4041 --swversion DE.1.0.7.0 --startMP 204:232983 --initTime 2016-09-21T08:50:54 --startdatetime 2016-09-21T08:56:16 --delay 1 --endMP 204:154 --enddatetime 2016-09-21T09:35:56 --enforcementcount 0 &gt;&gt;C:\Users\stu\Documents\GitHub\eaglep3-reporting\EC\2016-09-21-refined-times.txt</v>
      </c>
      <c r="AI4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ID","value":"136-21"},{"id":16,"name":"Locomotive ID","value":"4041"},{"id":130,"name":"Impact","value":""},{"id":150,"name":"Time of Event (Mountain Time)","value":"09:35:56"},{"id":151,"name":"Denver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451</v>
      </c>
      <c r="B49" s="7">
        <v>4046</v>
      </c>
      <c r="C49" s="24" t="s">
        <v>106</v>
      </c>
      <c r="D49" s="24" t="s">
        <v>360</v>
      </c>
      <c r="E49" s="15">
        <v>42634.339108796295</v>
      </c>
      <c r="F49" s="15">
        <v>42634.345023148147</v>
      </c>
      <c r="G49" s="7">
        <v>1</v>
      </c>
      <c r="H49" s="15" t="s">
        <v>283</v>
      </c>
      <c r="I49" s="15">
        <v>42634.373657407406</v>
      </c>
      <c r="J49" s="7">
        <v>0</v>
      </c>
      <c r="K49" s="121" t="str">
        <f t="shared" si="0"/>
        <v>4045/4046</v>
      </c>
      <c r="L49" s="24" t="str">
        <f>VLOOKUP(A49,'Trips&amp;Operators'!$C$1:$E$10000,3,FALSE)</f>
        <v>KILLION</v>
      </c>
      <c r="M49" s="6">
        <f t="shared" si="1"/>
        <v>2.8634259258979E-2</v>
      </c>
      <c r="N49" s="7">
        <f t="shared" si="2"/>
        <v>41.23333333292976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07:08:19-0600',mode:absolute,to:'2016-09-21 09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9" s="54" t="str">
        <f t="shared" si="6"/>
        <v>N</v>
      </c>
      <c r="X49" s="168">
        <f t="shared" si="7"/>
        <v>1</v>
      </c>
      <c r="Y49" s="69">
        <f t="shared" si="19"/>
        <v>4.4600000000000001E-2</v>
      </c>
      <c r="Z49" s="69">
        <f t="shared" si="20"/>
        <v>23.329499999999999</v>
      </c>
      <c r="AA49" s="69">
        <f t="shared" si="10"/>
        <v>23.2849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1"/>
        <v>0137-21</v>
      </c>
      <c r="AE49" s="99" t="str">
        <f t="shared" si="12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49" s="96" t="str">
        <f t="shared" si="13"/>
        <v>"C:\Program Files (x86)\AstroGrep\AstroGrep.exe" /spath="%USERPROFILE%\AppData\Local\Temp\OnboardLogs" /stypes="app*4046*20160921*"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137-21 --locoid 4046 --swversion DE.1.0.7.0 --startMP 204:446 --initTime 2016-09-21T08:08:19 --startdatetime 2016-09-21T08:16:50 --delay 1 --endMP 204:233295 --enddatetime 2016-09-21T08:58:04 --enforcementcount 0 &gt;&gt;C:\Users\stu\Documents\GitHub\eaglep3-reporting\EC\2016-09-21-refined-times.txt</v>
      </c>
      <c r="AI4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{"issue":{"subject":"","project_id":79,"tracker_id":40,"status_id":1,"priority_id":2,"assigned_to_id":23,"start_date":"2016-09-21","description":"","custom_fields":[{"id":1,"name":"Subdivision","value":"EC"},{"id":4,"name":"Milepost","value":"23.3295"},{"id":17,"name":"Train ID","value":"137-21"},{"id":16,"name":"Locomotive ID","value":"4046"},{"id":130,"name":"Impact","value":""},{"id":150,"name":"Time of Event (Mountain Time)","value":"08:58:04"},{"id":151,"name":"Denver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461</v>
      </c>
      <c r="B50" s="7">
        <v>4045</v>
      </c>
      <c r="C50" s="24" t="s">
        <v>106</v>
      </c>
      <c r="D50" s="24" t="s">
        <v>644</v>
      </c>
      <c r="E50" s="15">
        <v>42634.376516203702</v>
      </c>
      <c r="F50" s="15">
        <v>42634.417395833334</v>
      </c>
      <c r="G50" s="7">
        <v>1</v>
      </c>
      <c r="H50" s="15" t="s">
        <v>218</v>
      </c>
      <c r="I50" s="15">
        <v>42634.443518518521</v>
      </c>
      <c r="J50" s="7">
        <v>0</v>
      </c>
      <c r="K50" s="121" t="str">
        <f t="shared" si="0"/>
        <v>4045/4046</v>
      </c>
      <c r="L50" s="24" t="str">
        <f>VLOOKUP(A50,'Trips&amp;Operators'!$C$1:$E$10000,3,FALSE)</f>
        <v>KILLION</v>
      </c>
      <c r="M50" s="6">
        <f t="shared" si="1"/>
        <v>2.6122685187146999E-2</v>
      </c>
      <c r="N50" s="7">
        <f t="shared" si="2"/>
        <v>37.616666669491678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08:02:11-0600',mode:absolute,to:'2016-09-21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0" s="54" t="str">
        <f t="shared" si="6"/>
        <v>N</v>
      </c>
      <c r="X50" s="168">
        <f t="shared" ref="X50:X54" si="21">VALUE(LEFT(AD50,4))-VALUE(LEFT(AD49,4))</f>
        <v>1</v>
      </c>
      <c r="Y50" s="69">
        <f t="shared" si="19"/>
        <v>23.2957</v>
      </c>
      <c r="Z50" s="69">
        <f t="shared" si="20"/>
        <v>1.47E-2</v>
      </c>
      <c r="AA50" s="69">
        <f t="shared" si="10"/>
        <v>23.280999999999999</v>
      </c>
      <c r="AB50" s="66" t="str">
        <f>VLOOKUP(A50,Enforcements!$C$7:$K$20,8,0)</f>
        <v>Bulletin (2)</v>
      </c>
      <c r="AC50" s="62" t="str">
        <f>VLOOKUP(A50,Enforcements!$C$7:$E$20,3,0)</f>
        <v>GRADE CROSSING</v>
      </c>
      <c r="AD50" s="63" t="str">
        <f t="shared" si="11"/>
        <v>0138-21</v>
      </c>
      <c r="AE50" s="99" t="str">
        <f t="shared" si="12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50" s="96" t="str">
        <f t="shared" si="13"/>
        <v>"C:\Program Files (x86)\AstroGrep\AstroGrep.exe" /spath="%USERPROFILE%\AppData\Local\Temp\OnboardLogs" /stypes="app*4045*20160921*" /stext=" 16:.+((SYSTEM_STATE.+slice.+state.+changed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138-21 --locoid 4045 --swversion DE.1.0.7.0 --startMP 204:232957 --initTime 2016-09-21T09:02:11 --startdatetime 2016-09-21T10:01:03 --delay 1 --endMP 204:147 --enddatetime 2016-09-21T10:38:40 --enforcementcount 0 &gt;&gt;C:\Users\stu\Documents\GitHub\eaglep3-reporting\EC\2016-09-21-refined-times.txt</v>
      </c>
      <c r="AI5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ID","value":"138-21"},{"id":16,"name":"Locomotive ID","value":"4045"},{"id":130,"name":"Impact","value":""},{"id":150,"name":"Time of Event (Mountain Time)","value":"10:38:40"},{"id":151,"name":"Denver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454</v>
      </c>
      <c r="B51" s="7">
        <v>4020</v>
      </c>
      <c r="C51" s="24" t="s">
        <v>106</v>
      </c>
      <c r="D51" s="24" t="s">
        <v>645</v>
      </c>
      <c r="E51" s="15">
        <v>42634.359247685185</v>
      </c>
      <c r="F51" s="15">
        <v>42634.359942129631</v>
      </c>
      <c r="G51" s="7">
        <v>1</v>
      </c>
      <c r="H51" s="15" t="s">
        <v>369</v>
      </c>
      <c r="I51" s="15">
        <v>42634.385451388887</v>
      </c>
      <c r="J51" s="7">
        <v>0</v>
      </c>
      <c r="K51" s="121" t="str">
        <f t="shared" si="0"/>
        <v>4019/4020</v>
      </c>
      <c r="L51" s="24" t="str">
        <f>VLOOKUP(A51,'Trips&amp;Operators'!$C$1:$E$10000,3,FALSE)</f>
        <v>ROCHA</v>
      </c>
      <c r="M51" s="6">
        <f t="shared" si="1"/>
        <v>2.5509259256068617E-2</v>
      </c>
      <c r="N51" s="7"/>
      <c r="O51" s="7"/>
      <c r="P51" s="7">
        <f>24*60*SUM($M51:$M51)</f>
        <v>36.733333328738809</v>
      </c>
      <c r="Q51" s="25"/>
      <c r="R51" s="25" t="s">
        <v>771</v>
      </c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07:37:19-0600',mode:absolute,to:'2016-09-21 10:15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1" s="54" t="str">
        <f t="shared" si="6"/>
        <v>Y</v>
      </c>
      <c r="X51" s="168">
        <f t="shared" si="21"/>
        <v>1</v>
      </c>
      <c r="Y51" s="69">
        <f t="shared" si="19"/>
        <v>1.9147000000000001</v>
      </c>
      <c r="Z51" s="69">
        <f t="shared" si="20"/>
        <v>23.33</v>
      </c>
      <c r="AA51" s="69">
        <f t="shared" si="10"/>
        <v>21.415299999999998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0139-21</v>
      </c>
      <c r="AE51" s="99" t="str">
        <f t="shared" si="12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51" s="96" t="str">
        <f t="shared" si="13"/>
        <v>"C:\Program Files (x86)\AstroGrep\AstroGrep.exe" /spath="%USERPROFILE%\AppData\Local\Temp\OnboardLogs" /stypes="app*4020*20160921*"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139-21 --locoid 4020 --swversion DE.1.0.7.0 --startMP 204:19147 --initTime 2016-09-21T08:37:19 --startdatetime 2016-09-21T08:38:19 --delay 1 --endMP 204:233300 --enddatetime 2016-09-21T09:15:03 --enforcementcount 0 &gt;&gt;C:\Users\stu\Documents\GitHub\eaglep3-reporting\EC\2016-09-21-refined-times.txt</v>
      </c>
      <c r="AI51" s="134" t="str">
        <f t="shared" si="18"/>
        <v>echo {"issue":{"subject":"Onboard in-route failure","project_id":79,"tracker_id":40,"status_id":1,"priority_id":2,"assigned_to_id":23,"start_date":"2016-09-21","description":"Primary slice changed just as train left the yard, resulted in the system staying disengaged and never going active until the crew re-inited. SYS :2016/09/21 14:32:48.834:SYSTEM_STATE:slice state changed [SECONDARY]-&gt;[PRIMARY]","custom_fields":[{"id":1,"name":"Subdivision","value":"EC"},{"id":4,"name":"Milepost","value":"23.33"},{"id":17,"name":"Train ID","value":"139-21"},{"id":16,"name":"Locomotive ID","value":"4020"},{"id":130,"name":"Impact","value":"Unexpected Cut-Out or Disengaged"},{"id":150,"name":"Time of Event (Mountain Time)","value":"09:15:03"},{"id":151,"name":"Denver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1" s="55" t="s">
        <v>772</v>
      </c>
      <c r="AK51" s="55" t="s">
        <v>144</v>
      </c>
      <c r="AL51" s="55" t="s">
        <v>248</v>
      </c>
    </row>
    <row r="52" spans="1:38" s="1" customFormat="1" x14ac:dyDescent="0.25">
      <c r="A52" s="39" t="s">
        <v>465</v>
      </c>
      <c r="B52" s="7">
        <v>4019</v>
      </c>
      <c r="C52" s="24" t="s">
        <v>106</v>
      </c>
      <c r="D52" s="24" t="s">
        <v>646</v>
      </c>
      <c r="E52" s="15">
        <v>42634.405023148145</v>
      </c>
      <c r="F52" s="15">
        <v>42634.406689814816</v>
      </c>
      <c r="G52" s="7">
        <v>1</v>
      </c>
      <c r="H52" s="15" t="s">
        <v>288</v>
      </c>
      <c r="I52" s="15">
        <v>42634.424085648148</v>
      </c>
      <c r="J52" s="7">
        <v>0</v>
      </c>
      <c r="K52" s="121" t="str">
        <f t="shared" si="0"/>
        <v>4019/4020</v>
      </c>
      <c r="L52" s="24" t="str">
        <f>VLOOKUP(A52,'Trips&amp;Operators'!$C$1:$E$10000,3,FALSE)</f>
        <v>ROCHA</v>
      </c>
      <c r="M52" s="6">
        <f t="shared" si="1"/>
        <v>1.7395833332557231E-2</v>
      </c>
      <c r="N52" s="7"/>
      <c r="O52" s="7"/>
      <c r="P52" s="7">
        <f>24*60*SUM($M52:$M52)</f>
        <v>25.049999998882413</v>
      </c>
      <c r="Q52" s="25"/>
      <c r="R52" s="25" t="s">
        <v>771</v>
      </c>
      <c r="S52" s="37">
        <f t="shared" si="3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08:43:14-0600',mode:absolute,to:'2016-09-21 11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2" s="54" t="str">
        <f t="shared" si="6"/>
        <v>Y</v>
      </c>
      <c r="X52" s="168">
        <f t="shared" si="21"/>
        <v>1</v>
      </c>
      <c r="Y52" s="69">
        <f t="shared" si="19"/>
        <v>12.7866</v>
      </c>
      <c r="Z52" s="69">
        <f t="shared" si="20"/>
        <v>1.3599999999999999E-2</v>
      </c>
      <c r="AA52" s="69">
        <f t="shared" si="10"/>
        <v>12.773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1"/>
        <v>0140-21</v>
      </c>
      <c r="AE52" s="99" t="str">
        <f t="shared" si="12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52" s="96" t="str">
        <f t="shared" si="13"/>
        <v>"C:\Program Files (x86)\AstroGrep\AstroGrep.exe" /spath="%USERPROFILE%\AppData\Local\Temp\OnboardLogs" /stypes="app*4019*20160921*"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140-21 --locoid 4019 --swversion DE.1.0.7.0 --startMP 204:127866 --initTime 2016-09-21T09:43:14 --startdatetime 2016-09-21T09:45:38 --delay 1 --endMP 204:136 --enddatetime 2016-09-21T10:10:41 --enforcementcount 0 &gt;&gt;C:\Users\stu\Documents\GitHub\eaglep3-reporting\EC\2016-09-21-refined-times.txt</v>
      </c>
      <c r="AI52" s="134" t="str">
        <f t="shared" si="18"/>
        <v>echo {"issue":{"subject":"Onboard in-route failure","project_id":79,"tracker_id":40,"status_id":1,"priority_id":2,"assigned_to_id":23,"start_date":"2016-09-21","description":"Multiple CPU Faults around 09:23:39","custom_fields":[{"id":1,"name":"Subdivision","value":"EC"},{"id":4,"name":"Milepost","value":"0.0136"},{"id":17,"name":"Train ID","value":"140-21"},{"id":16,"name":"Locomotive ID","value":"4019"},{"id":130,"name":"Impact","value":"Failed State"},{"id":150,"name":"Time of Event (Mountain Time)","value":"10:10:41"},{"id":151,"name":"Denver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52" s="55" t="s">
        <v>773</v>
      </c>
      <c r="AK52" s="55" t="s">
        <v>141</v>
      </c>
      <c r="AL52" s="55" t="s">
        <v>248</v>
      </c>
    </row>
    <row r="53" spans="1:38" s="1" customFormat="1" x14ac:dyDescent="0.25">
      <c r="A53" s="39" t="s">
        <v>457</v>
      </c>
      <c r="B53" s="7">
        <v>4002</v>
      </c>
      <c r="C53" s="24" t="s">
        <v>106</v>
      </c>
      <c r="D53" s="24" t="s">
        <v>227</v>
      </c>
      <c r="E53" s="15">
        <v>42634.36178240741</v>
      </c>
      <c r="F53" s="15">
        <v>42634.364953703705</v>
      </c>
      <c r="G53" s="7">
        <v>3</v>
      </c>
      <c r="H53" s="15" t="s">
        <v>267</v>
      </c>
      <c r="I53" s="15">
        <v>42634.391018518516</v>
      </c>
      <c r="J53" s="7">
        <v>0</v>
      </c>
      <c r="K53" s="121" t="str">
        <f t="shared" si="0"/>
        <v>4001/4002</v>
      </c>
      <c r="L53" s="24" t="str">
        <f>VLOOKUP(A53,'Trips&amp;Operators'!$C$1:$E$10000,3,FALSE)</f>
        <v>SANTIZO</v>
      </c>
      <c r="M53" s="6">
        <f t="shared" si="1"/>
        <v>2.6064814810524695E-2</v>
      </c>
      <c r="N53" s="7">
        <f t="shared" ref="N53:N84" si="22">24*60*SUM($M53:$M53)</f>
        <v>37.53333332715556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07:40:58-0600',mode:absolute,to:'2016-09-21 10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3" s="54" t="str">
        <f t="shared" si="6"/>
        <v>N</v>
      </c>
      <c r="X53" s="168">
        <f t="shared" si="21"/>
        <v>1</v>
      </c>
      <c r="Y53" s="69">
        <f t="shared" si="19"/>
        <v>4.5499999999999999E-2</v>
      </c>
      <c r="Z53" s="69">
        <f t="shared" si="20"/>
        <v>23.328600000000002</v>
      </c>
      <c r="AA53" s="69">
        <f t="shared" si="10"/>
        <v>23.283100000000001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0141-21</v>
      </c>
      <c r="AE53" s="99" t="str">
        <f t="shared" si="12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53" s="96" t="str">
        <f t="shared" si="13"/>
        <v>"C:\Program Files (x86)\AstroGrep\AstroGrep.exe" /spath="%USERPROFILE%\AppData\Local\Temp\OnboardLogs" /stypes="app*4002*20160921*"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141-21 --locoid 4002 --swversion DE.1.0.7.0 --startMP 204:455 --initTime 2016-09-21T08:40:58 --startdatetime 2016-09-21T08:45:32 --delay 3 --endMP 204:233286 --enddatetime 2016-09-21T09:23:04 --enforcementcount 0 &gt;&gt;C:\Users\stu\Documents\GitHub\eaglep3-reporting\EC\2016-09-21-refined-times.txt</v>
      </c>
      <c r="AI5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{"issue":{"subject":"","project_id":79,"tracker_id":40,"status_id":1,"priority_id":2,"assigned_to_id":23,"start_date":"2016-09-21","description":"","custom_fields":[{"id":1,"name":"Subdivision","value":"EC"},{"id":4,"name":"Milepost","value":"23.3286"},{"id":17,"name":"Train ID","value":"141-21"},{"id":16,"name":"Locomotive ID","value":"4002"},{"id":130,"name":"Impact","value":""},{"id":150,"name":"Time of Event (Mountain Time)","value":"09:23:04"},{"id":151,"name":"Denver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466</v>
      </c>
      <c r="B54" s="7">
        <v>4001</v>
      </c>
      <c r="C54" s="24" t="s">
        <v>106</v>
      </c>
      <c r="D54" s="24" t="s">
        <v>233</v>
      </c>
      <c r="E54" s="15">
        <v>42634.39271990741</v>
      </c>
      <c r="F54" s="15">
        <v>42634.403738425928</v>
      </c>
      <c r="G54" s="7">
        <v>1</v>
      </c>
      <c r="H54" s="15" t="s">
        <v>284</v>
      </c>
      <c r="I54" s="15">
        <v>42634.435659722221</v>
      </c>
      <c r="J54" s="7">
        <v>0</v>
      </c>
      <c r="K54" s="121" t="str">
        <f t="shared" si="0"/>
        <v>4001/4002</v>
      </c>
      <c r="L54" s="24" t="str">
        <f>VLOOKUP(A54,'Trips&amp;Operators'!$C$1:$E$10000,3,FALSE)</f>
        <v>SANTIZO</v>
      </c>
      <c r="M54" s="6">
        <f t="shared" si="1"/>
        <v>3.1921296293148771E-2</v>
      </c>
      <c r="N54" s="7">
        <f t="shared" si="22"/>
        <v>45.96666666213423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08:25:31-0600',mode:absolute,to:'2016-09-21 11:27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4" s="54" t="str">
        <f t="shared" si="6"/>
        <v>N</v>
      </c>
      <c r="X54" s="168">
        <f t="shared" si="21"/>
        <v>1</v>
      </c>
      <c r="Y54" s="69">
        <f t="shared" si="19"/>
        <v>23.297799999999999</v>
      </c>
      <c r="Z54" s="69">
        <f t="shared" si="20"/>
        <v>1.4500000000000001E-2</v>
      </c>
      <c r="AA54" s="69">
        <f t="shared" si="10"/>
        <v>23.283299999999997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0142-21</v>
      </c>
      <c r="AE54" s="99" t="str">
        <f t="shared" si="12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54" s="96" t="str">
        <f t="shared" si="13"/>
        <v>"C:\Program Files (x86)\AstroGrep\AstroGrep.exe" /spath="%USERPROFILE%\AppData\Local\Temp\OnboardLogs" /stypes="app*4001*20160921*"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142-21 --locoid 4001 --swversion DE.1.0.7.0 --startMP 204:232978 --initTime 2016-09-21T09:25:31 --startdatetime 2016-09-21T09:41:23 --delay 1 --endMP 204:145 --enddatetime 2016-09-21T10:27:21 --enforcementcount 0 &gt;&gt;C:\Users\stu\Documents\GitHub\eaglep3-reporting\EC\2016-09-21-refined-times.txt</v>
      </c>
      <c r="AI54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ID","value":"142-21"},{"id":16,"name":"Locomotive ID","value":"4001"},{"id":130,"name":"Impact","value":""},{"id":150,"name":"Time of Event (Mountain Time)","value":"10:27:21"},{"id":151,"name":"Denver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462</v>
      </c>
      <c r="B55" s="7">
        <v>4016</v>
      </c>
      <c r="C55" s="24" t="s">
        <v>106</v>
      </c>
      <c r="D55" s="24" t="s">
        <v>237</v>
      </c>
      <c r="E55" s="15">
        <v>42634.376817129632</v>
      </c>
      <c r="F55" s="15">
        <v>42634.378645833334</v>
      </c>
      <c r="G55" s="7">
        <v>1</v>
      </c>
      <c r="H55" s="15" t="s">
        <v>278</v>
      </c>
      <c r="I55" s="15">
        <v>42634.407847222225</v>
      </c>
      <c r="J55" s="7">
        <v>0</v>
      </c>
      <c r="K55" s="121" t="str">
        <f t="shared" si="0"/>
        <v>4015/4016</v>
      </c>
      <c r="L55" s="24" t="str">
        <f>VLOOKUP(A55,'Trips&amp;Operators'!$C$1:$E$10000,3,FALSE)</f>
        <v>BRANNON</v>
      </c>
      <c r="M55" s="6">
        <f t="shared" si="1"/>
        <v>2.920138889021473E-2</v>
      </c>
      <c r="N55" s="7">
        <f t="shared" si="22"/>
        <v>42.050000001909211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08:02:37-0600',mode:absolute,to:'2016-09-21 10:47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5" s="54" t="str">
        <f t="shared" si="6"/>
        <v>N</v>
      </c>
      <c r="X55" s="168">
        <f t="shared" ref="X55:X68" si="23">VALUE(LEFT(AD55,4))-VALUE(LEFT(AD54,4))</f>
        <v>1</v>
      </c>
      <c r="Y55" s="69">
        <f t="shared" si="19"/>
        <v>4.6899999999999997E-2</v>
      </c>
      <c r="Z55" s="69">
        <f t="shared" si="20"/>
        <v>23.331399999999999</v>
      </c>
      <c r="AA55" s="69">
        <f t="shared" si="10"/>
        <v>23.284499999999998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0143-21</v>
      </c>
      <c r="AE55" s="99" t="str">
        <f t="shared" si="12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55" s="96" t="str">
        <f t="shared" si="13"/>
        <v>"C:\Program Files (x86)\AstroGrep\AstroGrep.exe" /spath="%USERPROFILE%\AppData\Local\Temp\OnboardLogs" /stypes="app*4016*20160921*"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143-21 --locoid 4016 --swversion DE.1.0.7.0 --startMP 204:469 --initTime 2016-09-21T09:02:37 --startdatetime 2016-09-21T09:05:15 --delay 1 --endMP 204:233314 --enddatetime 2016-09-21T09:47:18 --enforcementcount 0 &gt;&gt;C:\Users\stu\Documents\GitHub\eaglep3-reporting\EC\2016-09-21-refined-times.txt</v>
      </c>
      <c r="AI5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{"issue":{"subject":"","project_id":79,"tracker_id":40,"status_id":1,"priority_id":2,"assigned_to_id":23,"start_date":"2016-09-21","description":"","custom_fields":[{"id":1,"name":"Subdivision","value":"EC"},{"id":4,"name":"Milepost","value":"23.3314"},{"id":17,"name":"Train ID","value":"143-21"},{"id":16,"name":"Locomotive ID","value":"4016"},{"id":130,"name":"Impact","value":""},{"id":150,"name":"Time of Event (Mountain Time)","value":"09:47:18"},{"id":151,"name":"Denver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470</v>
      </c>
      <c r="B56" s="7">
        <v>4015</v>
      </c>
      <c r="C56" s="24" t="s">
        <v>106</v>
      </c>
      <c r="D56" s="24" t="s">
        <v>640</v>
      </c>
      <c r="E56" s="15">
        <v>42634.409143518518</v>
      </c>
      <c r="F56" s="15">
        <v>42634.4140625</v>
      </c>
      <c r="G56" s="7">
        <v>1</v>
      </c>
      <c r="H56" s="15" t="s">
        <v>213</v>
      </c>
      <c r="I56" s="15">
        <v>42634.442303240743</v>
      </c>
      <c r="J56" s="7">
        <v>0</v>
      </c>
      <c r="K56" s="121" t="str">
        <f t="shared" si="0"/>
        <v>4015/4016</v>
      </c>
      <c r="L56" s="24" t="str">
        <f>VLOOKUP(A56,'Trips&amp;Operators'!$C$1:$E$10000,3,FALSE)</f>
        <v>BRANNON</v>
      </c>
      <c r="M56" s="6">
        <f t="shared" si="1"/>
        <v>2.8240740743058268E-2</v>
      </c>
      <c r="N56" s="7">
        <f t="shared" si="22"/>
        <v>40.666666670003906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08:49:10-0600',mode:absolute,to:'2016-09-21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6" s="54" t="str">
        <f t="shared" si="6"/>
        <v>N</v>
      </c>
      <c r="X56" s="168">
        <f t="shared" si="23"/>
        <v>1</v>
      </c>
      <c r="Y56" s="69">
        <f t="shared" si="19"/>
        <v>23.3002</v>
      </c>
      <c r="Z56" s="69">
        <f t="shared" si="20"/>
        <v>1.49E-2</v>
      </c>
      <c r="AA56" s="69">
        <f t="shared" si="10"/>
        <v>23.285299999999999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1"/>
        <v>0144-21</v>
      </c>
      <c r="AE56" s="99" t="str">
        <f t="shared" si="12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56" s="96" t="str">
        <f t="shared" si="13"/>
        <v>"C:\Program Files (x86)\AstroGrep\AstroGrep.exe" /spath="%USERPROFILE%\AppData\Local\Temp\OnboardLogs" /stypes="app*4015*20160921*"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144-21 --locoid 4015 --swversion DE.1.0.7.0 --startMP 204:233002 --initTime 2016-09-21T09:49:10 --startdatetime 2016-09-21T09:56:15 --delay 1 --endMP 204:149 --enddatetime 2016-09-21T10:36:55 --enforcementcount 0 &gt;&gt;C:\Users\stu\Documents\GitHub\eaglep3-reporting\EC\2016-09-21-refined-times.txt</v>
      </c>
      <c r="AI5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{"issue":{"subject":"","project_id":79,"tracker_id":40,"status_id":1,"priority_id":2,"assigned_to_id":23,"start_date":"2016-09-21","description":"","custom_fields":[{"id":1,"name":"Subdivision","value":"EC"},{"id":4,"name":"Milepost","value":"0.0149"},{"id":17,"name":"Train ID","value":"144-21"},{"id":16,"name":"Locomotive ID","value":"4015"},{"id":130,"name":"Impact","value":""},{"id":150,"name":"Time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463</v>
      </c>
      <c r="B57" s="7">
        <v>4007</v>
      </c>
      <c r="C57" s="24" t="s">
        <v>106</v>
      </c>
      <c r="D57" s="24" t="s">
        <v>360</v>
      </c>
      <c r="E57" s="15">
        <v>42634.38380787037</v>
      </c>
      <c r="F57" s="15">
        <v>42634.385648148149</v>
      </c>
      <c r="G57" s="7">
        <v>1</v>
      </c>
      <c r="H57" s="15" t="s">
        <v>638</v>
      </c>
      <c r="I57" s="15">
        <v>42634.413101851853</v>
      </c>
      <c r="J57" s="7">
        <v>0</v>
      </c>
      <c r="K57" s="121" t="str">
        <f t="shared" si="0"/>
        <v>4007/4008</v>
      </c>
      <c r="L57" s="24" t="str">
        <f>VLOOKUP(A57,'Trips&amp;Operators'!$C$1:$E$10000,3,FALSE)</f>
        <v>ACKERMAN</v>
      </c>
      <c r="M57" s="6">
        <f t="shared" si="1"/>
        <v>2.7453703703940846E-2</v>
      </c>
      <c r="N57" s="7">
        <f t="shared" si="22"/>
        <v>39.533333333674818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08:12:41-0600',mode:absolute,to:'2016-09-21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57" s="54" t="str">
        <f t="shared" si="6"/>
        <v>N</v>
      </c>
      <c r="X57" s="168">
        <f t="shared" si="23"/>
        <v>1</v>
      </c>
      <c r="Y57" s="69">
        <f t="shared" si="19"/>
        <v>4.4600000000000001E-2</v>
      </c>
      <c r="Z57" s="69">
        <f t="shared" si="20"/>
        <v>23.328399999999998</v>
      </c>
      <c r="AA57" s="69">
        <f t="shared" si="10"/>
        <v>23.283799999999999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0145-21</v>
      </c>
      <c r="AE57" s="99" t="str">
        <f t="shared" si="12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57" s="96" t="str">
        <f t="shared" si="13"/>
        <v>"C:\Program Files (x86)\AstroGrep\AstroGrep.exe" /spath="%USERPROFILE%\AppData\Local\Temp\OnboardLogs" /stypes="app*4007*20160921*"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145-21 --locoid 4007 --swversion DE.1.0.7.0 --startMP 204:446 --initTime 2016-09-21T09:12:41 --startdatetime 2016-09-21T09:15:20 --delay 1 --endMP 204:233284 --enddatetime 2016-09-21T09:54:52 --enforcementcount 0 &gt;&gt;C:\Users\stu\Documents\GitHub\eaglep3-reporting\EC\2016-09-21-refined-times.txt</v>
      </c>
      <c r="AI5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{"issue":{"subject":"","project_id":79,"tracker_id":40,"status_id":1,"priority_id":2,"assigned_to_id":23,"start_date":"2016-09-21","description":"","custom_fields":[{"id":1,"name":"Subdivision","value":"EC"},{"id":4,"name":"Milepost","value":"23.3284"},{"id":17,"name":"Train ID","value":"145-21"},{"id":16,"name":"Locomotive ID","value":"4007"},{"id":130,"name":"Impact","value":""},{"id":150,"name":"Time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472</v>
      </c>
      <c r="B58" s="7">
        <v>4008</v>
      </c>
      <c r="C58" s="24" t="s">
        <v>106</v>
      </c>
      <c r="D58" s="24" t="s">
        <v>247</v>
      </c>
      <c r="E58" s="15">
        <v>42634.418217592596</v>
      </c>
      <c r="F58" s="15">
        <v>42634.424537037034</v>
      </c>
      <c r="G58" s="7">
        <v>1</v>
      </c>
      <c r="H58" s="15" t="s">
        <v>222</v>
      </c>
      <c r="I58" s="15">
        <v>42634.455787037034</v>
      </c>
      <c r="J58" s="7">
        <v>0</v>
      </c>
      <c r="K58" s="121" t="str">
        <f t="shared" si="0"/>
        <v>4007/4008</v>
      </c>
      <c r="L58" s="24" t="str">
        <f>VLOOKUP(A58,'Trips&amp;Operators'!$C$1:$E$10000,3,FALSE)</f>
        <v>ACKERMAN</v>
      </c>
      <c r="M58" s="6">
        <f t="shared" si="1"/>
        <v>3.125E-2</v>
      </c>
      <c r="N58" s="7">
        <f t="shared" si="22"/>
        <v>45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09:02:14-0600',mode:absolute,to:'2016-09-21 11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58" s="54" t="str">
        <f t="shared" si="6"/>
        <v>N</v>
      </c>
      <c r="X58" s="168">
        <f t="shared" si="23"/>
        <v>1</v>
      </c>
      <c r="Y58" s="69">
        <f t="shared" si="19"/>
        <v>23.2971</v>
      </c>
      <c r="Z58" s="69">
        <f t="shared" si="20"/>
        <v>1.52E-2</v>
      </c>
      <c r="AA58" s="69">
        <f t="shared" si="10"/>
        <v>23.2819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0146-21</v>
      </c>
      <c r="AE58" s="99" t="str">
        <f t="shared" si="12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58" s="96" t="str">
        <f t="shared" si="13"/>
        <v>"C:\Program Files (x86)\AstroGrep\AstroGrep.exe" /spath="%USERPROFILE%\AppData\Local\Temp\OnboardLogs" /stypes="app*4008*20160921*"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146-21 --locoid 4008 --swversion DE.1.0.7.0 --startMP 204:232971 --initTime 2016-09-21T10:02:14 --startdatetime 2016-09-21T10:11:20 --delay 1 --endMP 204:152 --enddatetime 2016-09-21T10:56:20 --enforcementcount 0 &gt;&gt;C:\Users\stu\Documents\GitHub\eaglep3-reporting\EC\2016-09-21-refined-times.txt</v>
      </c>
      <c r="AI5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ID","value":"146-21"},{"id":16,"name":"Locomotive ID","value":"4008"},{"id":130,"name":"Impact","value":""},{"id":150,"name":"Time of Event (Mountain Time)","value":"10:56:20"},{"id":151,"name":"Denver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467</v>
      </c>
      <c r="B59" s="7">
        <v>4027</v>
      </c>
      <c r="C59" s="24" t="s">
        <v>106</v>
      </c>
      <c r="D59" s="24" t="s">
        <v>266</v>
      </c>
      <c r="E59" s="15">
        <v>42634.396238425928</v>
      </c>
      <c r="F59" s="15">
        <v>42634.398576388892</v>
      </c>
      <c r="G59" s="7">
        <v>1</v>
      </c>
      <c r="H59" s="15" t="s">
        <v>300</v>
      </c>
      <c r="I59" s="15">
        <v>42634.42931712963</v>
      </c>
      <c r="J59" s="7">
        <v>0</v>
      </c>
      <c r="K59" s="121" t="str">
        <f t="shared" si="0"/>
        <v>4027/4028</v>
      </c>
      <c r="L59" s="24" t="str">
        <f>VLOOKUP(A59,'Trips&amp;Operators'!$C$1:$E$10000,3,FALSE)</f>
        <v>STRICKLAND</v>
      </c>
      <c r="M59" s="6">
        <f t="shared" si="1"/>
        <v>3.0740740738110617E-2</v>
      </c>
      <c r="N59" s="7">
        <f t="shared" si="22"/>
        <v>44.266666662879288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08:30:35-0600',mode:absolute,to:'2016-09-21 11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9" s="54" t="str">
        <f t="shared" si="6"/>
        <v>N</v>
      </c>
      <c r="X59" s="168">
        <f t="shared" si="23"/>
        <v>1</v>
      </c>
      <c r="Y59" s="69">
        <f t="shared" si="19"/>
        <v>4.3999999999999997E-2</v>
      </c>
      <c r="Z59" s="69">
        <f t="shared" si="20"/>
        <v>23.333400000000001</v>
      </c>
      <c r="AA59" s="69">
        <f t="shared" si="10"/>
        <v>23.289400000000001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1"/>
        <v>0147-21</v>
      </c>
      <c r="AE59" s="99" t="str">
        <f t="shared" si="12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59" s="96" t="str">
        <f t="shared" si="13"/>
        <v>"C:\Program Files (x86)\AstroGrep\AstroGrep.exe" /spath="%USERPROFILE%\AppData\Local\Temp\OnboardLogs" /stypes="app*4027*20160921*"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147-21 --locoid 4027 --swversion DE.1.0.7.0 --startMP 204:440 --initTime 2016-09-21T09:30:35 --startdatetime 2016-09-21T09:33:57 --delay 1 --endMP 204:233334 --enddatetime 2016-09-21T10:18:13 --enforcementcount 0 &gt;&gt;C:\Users\stu\Documents\GitHub\eaglep3-reporting\EC\2016-09-21-refined-times.txt</v>
      </c>
      <c r="AI5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{"issue":{"subject":"","project_id":79,"tracker_id":40,"status_id":1,"priority_id":2,"assigned_to_id":23,"start_date":"2016-09-21","description":"","custom_fields":[{"id":1,"name":"Subdivision","value":"EC"},{"id":4,"name":"Milepost","value":"23.3334"},{"id":17,"name":"Train ID","value":"147-21"},{"id":16,"name":"Locomotive ID","value":"4027"},{"id":130,"name":"Impact","value":""},{"id":150,"name":"Time of Event (Mountain Time)","value":"10:18:13"},{"id":151,"name":"Denver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475</v>
      </c>
      <c r="B60" s="7">
        <v>4028</v>
      </c>
      <c r="C60" s="24" t="s">
        <v>106</v>
      </c>
      <c r="D60" s="24" t="s">
        <v>647</v>
      </c>
      <c r="E60" s="15">
        <v>42634.431539351855</v>
      </c>
      <c r="F60" s="15">
        <v>42634.434988425928</v>
      </c>
      <c r="G60" s="7">
        <v>2</v>
      </c>
      <c r="H60" s="15" t="s">
        <v>218</v>
      </c>
      <c r="I60" s="15">
        <v>42634.464814814812</v>
      </c>
      <c r="J60" s="7">
        <v>0</v>
      </c>
      <c r="K60" s="121" t="str">
        <f t="shared" si="0"/>
        <v>4027/4028</v>
      </c>
      <c r="L60" s="24" t="str">
        <f>VLOOKUP(A60,'Trips&amp;Operators'!$C$1:$E$10000,3,FALSE)</f>
        <v>STRICKLAND</v>
      </c>
      <c r="M60" s="6">
        <f t="shared" si="1"/>
        <v>2.9826388883520849E-2</v>
      </c>
      <c r="N60" s="7">
        <f t="shared" si="22"/>
        <v>42.949999992270023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09:21:25-0600',mode:absolute,to:'2016-09-21 12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0" s="54" t="str">
        <f t="shared" si="6"/>
        <v>N</v>
      </c>
      <c r="X60" s="168">
        <f t="shared" si="23"/>
        <v>1</v>
      </c>
      <c r="Y60" s="69">
        <f t="shared" si="19"/>
        <v>23.300999999999998</v>
      </c>
      <c r="Z60" s="69">
        <f t="shared" si="20"/>
        <v>1.47E-2</v>
      </c>
      <c r="AA60" s="69">
        <f t="shared" si="10"/>
        <v>23.286299999999997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0148-21</v>
      </c>
      <c r="AE60" s="99" t="str">
        <f t="shared" si="12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60" s="96" t="str">
        <f t="shared" si="13"/>
        <v>"C:\Program Files (x86)\AstroGrep\AstroGrep.exe" /spath="%USERPROFILE%\AppData\Local\Temp\OnboardLogs" /stypes="app*4028*20160921*"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148-21 --locoid 4028 --swversion DE.1.0.7.0 --startMP 204:233010 --initTime 2016-09-21T10:21:25 --startdatetime 2016-09-21T10:26:23 --delay 2 --endMP 204:147 --enddatetime 2016-09-21T11:09:20 --enforcementcount 0 &gt;&gt;C:\Users\stu\Documents\GitHub\eaglep3-reporting\EC\2016-09-21-refined-times.txt</v>
      </c>
      <c r="AI6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ID","value":"148-21"},{"id":16,"name":"Locomotive ID","value":"4028"},{"id":130,"name":"Impact","value":""},{"id":150,"name":"Time of Event (Mountain Time)","value":"11:09:20"},{"id":151,"name":"Denver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469</v>
      </c>
      <c r="B61" s="7">
        <v>4042</v>
      </c>
      <c r="C61" s="24" t="s">
        <v>106</v>
      </c>
      <c r="D61" s="24" t="s">
        <v>648</v>
      </c>
      <c r="E61" s="15">
        <v>42634.402997685182</v>
      </c>
      <c r="F61" s="15">
        <v>42634.406655092593</v>
      </c>
      <c r="G61" s="7">
        <v>1</v>
      </c>
      <c r="H61" s="15" t="s">
        <v>649</v>
      </c>
      <c r="I61" s="15">
        <v>42634.433831018519</v>
      </c>
      <c r="J61" s="7">
        <v>0</v>
      </c>
      <c r="K61" s="121" t="str">
        <f t="shared" si="0"/>
        <v>4041/4042</v>
      </c>
      <c r="L61" s="24" t="str">
        <f>VLOOKUP(A61,'Trips&amp;Operators'!$C$1:$E$10000,3,FALSE)</f>
        <v>SPECTOR</v>
      </c>
      <c r="M61" s="6">
        <f t="shared" si="1"/>
        <v>2.7175925926712807E-2</v>
      </c>
      <c r="N61" s="7">
        <f t="shared" si="22"/>
        <v>39.133333334466442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08:40:19-0600',mode:absolute,to:'2016-09-21 11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68">
        <f t="shared" si="23"/>
        <v>1</v>
      </c>
      <c r="Y61" s="69">
        <f t="shared" si="19"/>
        <v>4.6399999999999997E-2</v>
      </c>
      <c r="Z61" s="69">
        <f t="shared" si="20"/>
        <v>23.3337</v>
      </c>
      <c r="AA61" s="69">
        <f t="shared" si="10"/>
        <v>23.287300000000002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1"/>
        <v>0149-21</v>
      </c>
      <c r="AE61" s="99" t="str">
        <f t="shared" si="12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61" s="96" t="str">
        <f t="shared" si="13"/>
        <v>"C:\Program Files (x86)\AstroGrep\AstroGrep.exe" /spath="%USERPROFILE%\AppData\Local\Temp\OnboardLogs" /stypes="app*4042*20160921*"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149-21 --locoid 4042 --swversion DE.1.0.7.0 --startMP 204:464 --initTime 2016-09-21T09:40:19 --startdatetime 2016-09-21T09:45:35 --delay 1 --endMP 204:233337 --enddatetime 2016-09-21T10:24:43 --enforcementcount 0 &gt;&gt;C:\Users\stu\Documents\GitHub\eaglep3-reporting\EC\2016-09-21-refined-times.txt</v>
      </c>
      <c r="AI61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{"issue":{"subject":"","project_id":79,"tracker_id":40,"status_id":1,"priority_id":2,"assigned_to_id":23,"start_date":"2016-09-21","description":"","custom_fields":[{"id":1,"name":"Subdivision","value":"EC"},{"id":4,"name":"Milepost","value":"23.3337"},{"id":17,"name":"Train ID","value":"149-21"},{"id":16,"name":"Locomotive ID","value":"4042"},{"id":130,"name":"Impact","value":""},{"id":150,"name":"Time of Event (Mountain Time)","value":"10:24:43"},{"id":151,"name":"Denver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477</v>
      </c>
      <c r="B62" s="7">
        <v>4041</v>
      </c>
      <c r="C62" s="24" t="s">
        <v>106</v>
      </c>
      <c r="D62" s="24" t="s">
        <v>650</v>
      </c>
      <c r="E62" s="15">
        <v>42634.441631944443</v>
      </c>
      <c r="F62" s="15">
        <v>42634.445486111108</v>
      </c>
      <c r="G62" s="7">
        <v>1</v>
      </c>
      <c r="H62" s="15" t="s">
        <v>228</v>
      </c>
      <c r="I62" s="15">
        <v>42634.475798611114</v>
      </c>
      <c r="J62" s="7">
        <v>0</v>
      </c>
      <c r="K62" s="121" t="str">
        <f t="shared" si="0"/>
        <v>4041/4042</v>
      </c>
      <c r="L62" s="24" t="str">
        <f>VLOOKUP(A62,'Trips&amp;Operators'!$C$1:$E$10000,3,FALSE)</f>
        <v>SPECTOR</v>
      </c>
      <c r="M62" s="6">
        <f t="shared" si="1"/>
        <v>3.0312500006402843E-2</v>
      </c>
      <c r="N62" s="7">
        <f t="shared" si="22"/>
        <v>43.650000009220093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09:35:57-0600',mode:absolute,to:'2016-09-21 12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68">
        <f t="shared" si="23"/>
        <v>1</v>
      </c>
      <c r="Y62" s="69">
        <f t="shared" si="19"/>
        <v>23.302099999999999</v>
      </c>
      <c r="Z62" s="69">
        <f t="shared" si="20"/>
        <v>1.3899999999999999E-2</v>
      </c>
      <c r="AA62" s="69">
        <f t="shared" si="10"/>
        <v>23.2882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1"/>
        <v>0150-21</v>
      </c>
      <c r="AE62" s="99" t="str">
        <f t="shared" si="12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62" s="96" t="str">
        <f t="shared" si="13"/>
        <v>"C:\Program Files (x86)\AstroGrep\AstroGrep.exe" /spath="%USERPROFILE%\AppData\Local\Temp\OnboardLogs" /stypes="app*4041*20160921*"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150-21 --locoid 4041 --swversion DE.1.0.7.0 --startMP 204:233021 --initTime 2016-09-21T10:35:57 --startdatetime 2016-09-21T10:41:30 --delay 1 --endMP 204:139 --enddatetime 2016-09-21T11:25:09 --enforcementcount 0 &gt;&gt;C:\Users\stu\Documents\GitHub\eaglep3-reporting\EC\2016-09-21-refined-times.txt</v>
      </c>
      <c r="AI62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{"issue":{"subject":"","project_id":79,"tracker_id":40,"status_id":1,"priority_id":2,"assigned_to_id":23,"start_date":"2016-09-21","description":"","custom_fields":[{"id":1,"name":"Subdivision","value":"EC"},{"id":4,"name":"Milepost","value":"0.0139"},{"id":17,"name":"Train ID","value":"150-21"},{"id":16,"name":"Locomotive ID","value":"4041"},{"id":130,"name":"Impact","value":""},{"id":150,"name":"Time of Event (Mountain Time)","value":"11:25:09"},{"id":151,"name":"Denver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471</v>
      </c>
      <c r="B63" s="7">
        <v>4046</v>
      </c>
      <c r="C63" s="24" t="s">
        <v>106</v>
      </c>
      <c r="D63" s="24" t="s">
        <v>254</v>
      </c>
      <c r="E63" s="15">
        <v>42634.415833333333</v>
      </c>
      <c r="F63" s="15">
        <v>42634.417395833334</v>
      </c>
      <c r="G63" s="7">
        <v>1</v>
      </c>
      <c r="H63" s="15" t="s">
        <v>276</v>
      </c>
      <c r="I63" s="15">
        <v>42634.443518518521</v>
      </c>
      <c r="J63" s="7">
        <v>0</v>
      </c>
      <c r="K63" s="121" t="str">
        <f t="shared" si="0"/>
        <v>4045/4046</v>
      </c>
      <c r="L63" s="24" t="str">
        <f>VLOOKUP(A63,'Trips&amp;Operators'!$C$1:$E$10000,3,FALSE)</f>
        <v>KILLION</v>
      </c>
      <c r="M63" s="6">
        <f t="shared" si="1"/>
        <v>2.6122685187146999E-2</v>
      </c>
      <c r="N63" s="7">
        <f t="shared" si="22"/>
        <v>37.616666669491678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08:58:48-0600',mode:absolute,to:'2016-09-21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3" s="54" t="str">
        <f t="shared" si="6"/>
        <v>N</v>
      </c>
      <c r="X63" s="168">
        <f t="shared" si="23"/>
        <v>1</v>
      </c>
      <c r="Y63" s="69">
        <f t="shared" si="19"/>
        <v>4.7699999999999999E-2</v>
      </c>
      <c r="Z63" s="69">
        <f t="shared" si="20"/>
        <v>23.3293</v>
      </c>
      <c r="AA63" s="69">
        <f t="shared" si="10"/>
        <v>23.281600000000001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0151-21</v>
      </c>
      <c r="AE63" s="99" t="str">
        <f t="shared" si="12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63" s="96" t="str">
        <f t="shared" si="13"/>
        <v>"C:\Program Files (x86)\AstroGrep\AstroGrep.exe" /spath="%USERPROFILE%\AppData\Local\Temp\OnboardLogs" /stypes="app*4046*20160921*"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151-21 --locoid 4046 --swversion DE.1.0.7.0 --startMP 204:477 --initTime 2016-09-21T09:58:48 --startdatetime 2016-09-21T10:01:03 --delay 1 --endMP 204:233293 --enddatetime 2016-09-21T10:38:40 --enforcementcount 0 &gt;&gt;C:\Users\stu\Documents\GitHub\eaglep3-reporting\EC\2016-09-21-refined-times.txt</v>
      </c>
      <c r="AI6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{"issue":{"subject":"","project_id":79,"tracker_id":40,"status_id":1,"priority_id":2,"assigned_to_id":23,"start_date":"2016-09-21","description":"","custom_fields":[{"id":1,"name":"Subdivision","value":"EC"},{"id":4,"name":"Milepost","value":"23.3293"},{"id":17,"name":"Train ID","value":"151-21"},{"id":16,"name":"Locomotive ID","value":"4046"},{"id":130,"name":"Impact","value":""},{"id":150,"name":"Time of Event (Mountain Time)","value":"10:38:40"},{"id":151,"name":"Denver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480</v>
      </c>
      <c r="B64" s="7">
        <v>4045</v>
      </c>
      <c r="C64" s="24" t="s">
        <v>106</v>
      </c>
      <c r="D64" s="24" t="s">
        <v>347</v>
      </c>
      <c r="E64" s="15">
        <v>42634.446469907409</v>
      </c>
      <c r="F64" s="15">
        <v>42634.455868055556</v>
      </c>
      <c r="G64" s="7">
        <v>2</v>
      </c>
      <c r="H64" s="15" t="s">
        <v>220</v>
      </c>
      <c r="I64" s="15">
        <v>42634.483935185184</v>
      </c>
      <c r="J64" s="7">
        <v>0</v>
      </c>
      <c r="K64" s="121" t="str">
        <f t="shared" si="0"/>
        <v>4045/4046</v>
      </c>
      <c r="L64" s="24" t="str">
        <f>VLOOKUP(A64,'Trips&amp;Operators'!$C$1:$E$10000,3,FALSE)</f>
        <v>KILLION</v>
      </c>
      <c r="M64" s="6">
        <f t="shared" si="1"/>
        <v>2.806712962774327E-2</v>
      </c>
      <c r="N64" s="7">
        <f t="shared" si="22"/>
        <v>40.416666663950309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09:42:55-0600',mode:absolute,to:'2016-09-21 12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4" s="54" t="str">
        <f t="shared" si="6"/>
        <v>N</v>
      </c>
      <c r="X64" s="168">
        <f t="shared" si="23"/>
        <v>1</v>
      </c>
      <c r="Y64" s="69">
        <f t="shared" si="19"/>
        <v>23.298300000000001</v>
      </c>
      <c r="Z64" s="69">
        <f t="shared" si="20"/>
        <v>1.4999999999999999E-2</v>
      </c>
      <c r="AA64" s="69">
        <f t="shared" si="10"/>
        <v>23.283300000000001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1"/>
        <v>0152-21</v>
      </c>
      <c r="AE64" s="99" t="str">
        <f t="shared" si="12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64" s="96" t="str">
        <f t="shared" si="13"/>
        <v>"C:\Program Files (x86)\AstroGrep\AstroGrep.exe" /spath="%USERPROFILE%\AppData\Local\Temp\OnboardLogs" /stypes="app*4045*20160921*"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152-21 --locoid 4045 --swversion DE.1.0.7.0 --startMP 204:232983 --initTime 2016-09-21T10:42:55 --startdatetime 2016-09-21T10:56:27 --delay 2 --endMP 204:150 --enddatetime 2016-09-21T11:36:52 --enforcementcount 0 &gt;&gt;C:\Users\stu\Documents\GitHub\eaglep3-reporting\EC\2016-09-21-refined-times.txt</v>
      </c>
      <c r="AI64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ID","value":"152-21"},{"id":16,"name":"Locomotive ID","value":"4045"},{"id":130,"name":"Impact","value":""},{"id":150,"name":"Time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473</v>
      </c>
      <c r="B65" s="7">
        <v>4020</v>
      </c>
      <c r="C65" s="24" t="s">
        <v>106</v>
      </c>
      <c r="D65" s="24" t="s">
        <v>219</v>
      </c>
      <c r="E65" s="15">
        <v>42634.426099537035</v>
      </c>
      <c r="F65" s="15">
        <v>42634.428148148145</v>
      </c>
      <c r="G65" s="7">
        <v>1</v>
      </c>
      <c r="H65" s="15" t="s">
        <v>638</v>
      </c>
      <c r="I65" s="15">
        <v>42634.455555555556</v>
      </c>
      <c r="J65" s="7">
        <v>0</v>
      </c>
      <c r="K65" s="121" t="str">
        <f t="shared" si="0"/>
        <v>4019/4020</v>
      </c>
      <c r="L65" s="24" t="str">
        <f>VLOOKUP(A65,'Trips&amp;Operators'!$C$1:$E$10000,3,FALSE)</f>
        <v>ROCHA</v>
      </c>
      <c r="M65" s="6">
        <f t="shared" si="1"/>
        <v>2.7407407411374152E-2</v>
      </c>
      <c r="N65" s="7">
        <f t="shared" si="22"/>
        <v>39.466666672378778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09:13:35-0600',mode:absolute,to:'2016-09-21 11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5" s="54" t="str">
        <f t="shared" si="6"/>
        <v>N</v>
      </c>
      <c r="X65" s="168">
        <f t="shared" si="23"/>
        <v>1</v>
      </c>
      <c r="Y65" s="69">
        <f t="shared" si="19"/>
        <v>4.53E-2</v>
      </c>
      <c r="Z65" s="69">
        <f t="shared" si="20"/>
        <v>23.328399999999998</v>
      </c>
      <c r="AA65" s="69">
        <f t="shared" si="10"/>
        <v>23.283099999999997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1"/>
        <v>0153-21</v>
      </c>
      <c r="AE65" s="99" t="str">
        <f t="shared" si="12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65" s="96" t="str">
        <f t="shared" si="13"/>
        <v>"C:\Program Files (x86)\AstroGrep\AstroGrep.exe" /spath="%USERPROFILE%\AppData\Local\Temp\OnboardLogs" /stypes="app*4020*20160921*"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153-21 --locoid 4020 --swversion DE.1.0.7.0 --startMP 204:453 --initTime 2016-09-21T10:13:35 --startdatetime 2016-09-21T10:16:32 --delay 1 --endMP 204:233284 --enddatetime 2016-09-21T10:56:00 --enforcementcount 0 &gt;&gt;C:\Users\stu\Documents\GitHub\eaglep3-reporting\EC\2016-09-21-refined-times.txt</v>
      </c>
      <c r="AI65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{"issue":{"subject":"","project_id":79,"tracker_id":40,"status_id":1,"priority_id":2,"assigned_to_id":23,"start_date":"2016-09-21","description":"","custom_fields":[{"id":1,"name":"Subdivision","value":"EC"},{"id":4,"name":"Milepost","value":"23.3284"},{"id":17,"name":"Train ID","value":"153-21"},{"id":16,"name":"Locomotive ID","value":"4020"},{"id":130,"name":"Impact","value":""},{"id":150,"name":"Time of Event (Mountain Time)","value":"10:56:00"},{"id":151,"name":"Denver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484</v>
      </c>
      <c r="B66" s="7">
        <v>4019</v>
      </c>
      <c r="C66" s="24" t="s">
        <v>106</v>
      </c>
      <c r="D66" s="24" t="s">
        <v>241</v>
      </c>
      <c r="E66" s="15">
        <v>42634.46361111111</v>
      </c>
      <c r="F66" s="15">
        <v>42634.466226851851</v>
      </c>
      <c r="G66" s="7">
        <v>1</v>
      </c>
      <c r="H66" s="15" t="s">
        <v>222</v>
      </c>
      <c r="I66" s="15">
        <v>42634.499374999999</v>
      </c>
      <c r="J66" s="7">
        <v>0</v>
      </c>
      <c r="K66" s="121" t="str">
        <f t="shared" si="0"/>
        <v>4019/4020</v>
      </c>
      <c r="L66" s="24" t="str">
        <f>VLOOKUP(A66,'Trips&amp;Operators'!$C$1:$E$10000,3,FALSE)</f>
        <v>ROCHA</v>
      </c>
      <c r="M66" s="6">
        <f t="shared" si="1"/>
        <v>3.3148148148029577E-2</v>
      </c>
      <c r="N66" s="7">
        <f t="shared" si="22"/>
        <v>47.733333333162591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10:07:36-0600',mode:absolute,to:'2016-09-21 12:59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6" s="54" t="str">
        <f t="shared" si="6"/>
        <v>N</v>
      </c>
      <c r="X66" s="168">
        <f t="shared" si="23"/>
        <v>1</v>
      </c>
      <c r="Y66" s="69">
        <f t="shared" si="19"/>
        <v>23.295500000000001</v>
      </c>
      <c r="Z66" s="69">
        <f t="shared" si="20"/>
        <v>1.52E-2</v>
      </c>
      <c r="AA66" s="69">
        <f t="shared" si="10"/>
        <v>23.2803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1"/>
        <v>0154-21</v>
      </c>
      <c r="AE66" s="99" t="str">
        <f t="shared" si="12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66" s="96" t="str">
        <f t="shared" si="13"/>
        <v>"C:\Program Files (x86)\AstroGrep\AstroGrep.exe" /spath="%USERPROFILE%\AppData\Local\Temp\OnboardLogs" /stypes="app*4019*20160921*"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154-21 --locoid 4019 --swversion DE.1.0.7.0 --startMP 204:232955 --initTime 2016-09-21T11:07:36 --startdatetime 2016-09-21T11:11:22 --delay 1 --endMP 204:152 --enddatetime 2016-09-21T11:59:06 --enforcementcount 0 &gt;&gt;C:\Users\stu\Documents\GitHub\eaglep3-reporting\EC\2016-09-21-refined-times.txt</v>
      </c>
      <c r="AI66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ID","value":"154-21"},{"id":16,"name":"Locomotive ID","value":"4019"},{"id":130,"name":"Impact","value":""},{"id":150,"name":"Time of Event (Mountain Time)","value":"11:59:06"},{"id":151,"name":"Denver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476</v>
      </c>
      <c r="B67" s="7">
        <v>4002</v>
      </c>
      <c r="C67" s="24" t="s">
        <v>106</v>
      </c>
      <c r="D67" s="24" t="s">
        <v>227</v>
      </c>
      <c r="E67" s="15">
        <v>42634.438761574071</v>
      </c>
      <c r="F67" s="15">
        <v>42634.444363425922</v>
      </c>
      <c r="G67" s="7">
        <v>5</v>
      </c>
      <c r="H67" s="15" t="s">
        <v>362</v>
      </c>
      <c r="I67" s="15">
        <v>42634.474108796298</v>
      </c>
      <c r="J67" s="7">
        <v>0</v>
      </c>
      <c r="K67" s="121" t="str">
        <f t="shared" si="0"/>
        <v>4001/4002</v>
      </c>
      <c r="L67" s="24" t="str">
        <f>VLOOKUP(A67,'Trips&amp;Operators'!$C$1:$E$10000,3,FALSE)</f>
        <v>STARKS</v>
      </c>
      <c r="M67" s="6">
        <f t="shared" si="1"/>
        <v>2.9745370375167113E-2</v>
      </c>
      <c r="N67" s="7">
        <f t="shared" si="22"/>
        <v>42.833333340240642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09:31:49-0600',mode:absolute,to:'2016-09-21 12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7" s="54" t="str">
        <f t="shared" si="6"/>
        <v>N</v>
      </c>
      <c r="X67" s="168">
        <f t="shared" si="23"/>
        <v>1</v>
      </c>
      <c r="Y67" s="69">
        <f t="shared" si="19"/>
        <v>4.5499999999999999E-2</v>
      </c>
      <c r="Z67" s="69">
        <f t="shared" si="20"/>
        <v>23.3325</v>
      </c>
      <c r="AA67" s="69">
        <f t="shared" si="10"/>
        <v>23.286999999999999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0155-21</v>
      </c>
      <c r="AE67" s="99" t="str">
        <f t="shared" si="12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67" s="96" t="str">
        <f t="shared" si="13"/>
        <v>"C:\Program Files (x86)\AstroGrep\AstroGrep.exe" /spath="%USERPROFILE%\AppData\Local\Temp\OnboardLogs" /stypes="app*4002*20160921*"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155-21 --locoid 4002 --swversion DE.1.0.7.0 --startMP 204:455 --initTime 2016-09-21T10:31:49 --startdatetime 2016-09-21T10:39:53 --delay 5 --endMP 204:233325 --enddatetime 2016-09-21T11:22:43 --enforcementcount 0 &gt;&gt;C:\Users\stu\Documents\GitHub\eaglep3-reporting\EC\2016-09-21-refined-times.txt</v>
      </c>
      <c r="AI67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{"issue":{"subject":"","project_id":79,"tracker_id":40,"status_id":1,"priority_id":2,"assigned_to_id":23,"start_date":"2016-09-21","description":"","custom_fields":[{"id":1,"name":"Subdivision","value":"EC"},{"id":4,"name":"Milepost","value":"23.3325"},{"id":17,"name":"Train ID","value":"155-21"},{"id":16,"name":"Locomotive ID","value":"4002"},{"id":130,"name":"Impact","value":""},{"id":150,"name":"Time of Event (Mountain Time)","value":"11:22:43"},{"id":151,"name":"Denver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488</v>
      </c>
      <c r="B68" s="7">
        <v>4001</v>
      </c>
      <c r="C68" s="24" t="s">
        <v>106</v>
      </c>
      <c r="D68" s="24" t="s">
        <v>353</v>
      </c>
      <c r="E68" s="15">
        <v>42634.477673611109</v>
      </c>
      <c r="F68" s="15">
        <v>42634.479363425926</v>
      </c>
      <c r="G68" s="7">
        <v>1</v>
      </c>
      <c r="H68" s="15" t="s">
        <v>218</v>
      </c>
      <c r="I68" s="15">
        <v>42634.5077662037</v>
      </c>
      <c r="J68" s="7">
        <v>0</v>
      </c>
      <c r="K68" s="121" t="str">
        <f t="shared" si="0"/>
        <v>4001/4002</v>
      </c>
      <c r="L68" s="24" t="str">
        <f>VLOOKUP(A68,'Trips&amp;Operators'!$C$1:$E$10000,3,FALSE)</f>
        <v>STARKS</v>
      </c>
      <c r="M68" s="6">
        <f t="shared" si="1"/>
        <v>2.8402777774317656E-2</v>
      </c>
      <c r="N68" s="7">
        <f t="shared" si="22"/>
        <v>40.899999995017424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10:27:51-0600',mode:absolute,to:'2016-09-21 13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8" s="54" t="str">
        <f t="shared" si="6"/>
        <v>N</v>
      </c>
      <c r="X68" s="168">
        <f t="shared" si="23"/>
        <v>1</v>
      </c>
      <c r="Y68" s="69">
        <f t="shared" si="19"/>
        <v>23.299299999999999</v>
      </c>
      <c r="Z68" s="69">
        <f t="shared" si="20"/>
        <v>1.47E-2</v>
      </c>
      <c r="AA68" s="69">
        <f t="shared" si="10"/>
        <v>23.284599999999998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1"/>
        <v>0156-21</v>
      </c>
      <c r="AE68" s="99" t="str">
        <f t="shared" si="12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68" s="96" t="str">
        <f t="shared" si="13"/>
        <v>"C:\Program Files (x86)\AstroGrep\AstroGrep.exe" /spath="%USERPROFILE%\AppData\Local\Temp\OnboardLogs" /stypes="app*4001*20160921*"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156-21 --locoid 4001 --swversion DE.1.0.7.0 --startMP 204:232993 --initTime 2016-09-21T11:27:51 --startdatetime 2016-09-21T11:30:17 --delay 1 --endMP 204:147 --enddatetime 2016-09-21T12:11:11 --enforcementcount 0 &gt;&gt;C:\Users\stu\Documents\GitHub\eaglep3-reporting\EC\2016-09-21-refined-times.txt</v>
      </c>
      <c r="AI68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ID","value":"156-21"},{"id":16,"name":"Locomotive ID","value":"4001"},{"id":130,"name":"Impact","value":""},{"id":150,"name":"Time of Event (Mountain Time)","value":"12:11:11"},{"id":151,"name":"Denver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479</v>
      </c>
      <c r="B69" s="7">
        <v>4016</v>
      </c>
      <c r="C69" s="24" t="s">
        <v>106</v>
      </c>
      <c r="D69" s="24" t="s">
        <v>229</v>
      </c>
      <c r="E69" s="15">
        <v>42634.444791666669</v>
      </c>
      <c r="F69" s="15">
        <v>42634.448229166665</v>
      </c>
      <c r="G69" s="7">
        <v>4</v>
      </c>
      <c r="H69" s="15" t="s">
        <v>651</v>
      </c>
      <c r="I69" s="15">
        <v>42634.482835648145</v>
      </c>
      <c r="J69" s="7">
        <v>0</v>
      </c>
      <c r="K69" s="121" t="str">
        <f t="shared" si="0"/>
        <v>4015/4016</v>
      </c>
      <c r="L69" s="24" t="str">
        <f>VLOOKUP(A69,'Trips&amp;Operators'!$C$1:$E$10000,3,FALSE)</f>
        <v>BRANNON</v>
      </c>
      <c r="M69" s="6">
        <f t="shared" si="1"/>
        <v>3.460648148029577E-2</v>
      </c>
      <c r="N69" s="7">
        <f t="shared" si="22"/>
        <v>49.833333331625909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09:40:30-0600',mode:absolute,to:'2016-09-21 12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9" s="54" t="str">
        <f t="shared" si="6"/>
        <v>N</v>
      </c>
      <c r="X69" s="168">
        <f t="shared" ref="X69:X76" si="24">VALUE(LEFT(AD69,4))-VALUE(LEFT(AD68,4))</f>
        <v>1</v>
      </c>
      <c r="Y69" s="69">
        <f t="shared" si="19"/>
        <v>4.58E-2</v>
      </c>
      <c r="Z69" s="69">
        <f t="shared" si="20"/>
        <v>23.3307</v>
      </c>
      <c r="AA69" s="69">
        <f t="shared" si="10"/>
        <v>23.2849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1"/>
        <v>0157-21</v>
      </c>
      <c r="AE69" s="99" t="str">
        <f t="shared" si="12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69" s="96" t="str">
        <f t="shared" si="13"/>
        <v>"C:\Program Files (x86)\AstroGrep\AstroGrep.exe" /spath="%USERPROFILE%\AppData\Local\Temp\OnboardLogs" /stypes="app*4016*20160921*"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157-21 --locoid 4016 --swversion DE.1.0.7.0 --startMP 204:458 --initTime 2016-09-21T10:40:30 --startdatetime 2016-09-21T10:45:27 --delay 4 --endMP 204:233307 --enddatetime 2016-09-21T11:35:17 --enforcementcount 0 &gt;&gt;C:\Users\stu\Documents\GitHub\eaglep3-reporting\EC\2016-09-21-refined-times.txt</v>
      </c>
      <c r="AI69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{"issue":{"subject":"","project_id":79,"tracker_id":40,"status_id":1,"priority_id":2,"assigned_to_id":23,"start_date":"2016-09-21","description":"","custom_fields":[{"id":1,"name":"Subdivision","value":"EC"},{"id":4,"name":"Milepost","value":"23.3307"},{"id":17,"name":"Train ID","value":"157-21"},{"id":16,"name":"Locomotive ID","value":"4016"},{"id":130,"name":"Impact","value":""},{"id":150,"name":"Time of Event (Mountain Time)","value":"11:35:17"},{"id":151,"name":"Denver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492</v>
      </c>
      <c r="B70" s="7">
        <v>4015</v>
      </c>
      <c r="C70" s="24" t="s">
        <v>106</v>
      </c>
      <c r="D70" s="24" t="s">
        <v>354</v>
      </c>
      <c r="E70" s="15">
        <v>42634.484409722223</v>
      </c>
      <c r="F70" s="15">
        <v>42634.487268518518</v>
      </c>
      <c r="G70" s="7">
        <v>1</v>
      </c>
      <c r="H70" s="15" t="s">
        <v>303</v>
      </c>
      <c r="I70" s="15">
        <v>42634.518437500003</v>
      </c>
      <c r="J70" s="7">
        <v>0</v>
      </c>
      <c r="K70" s="121" t="str">
        <f t="shared" si="0"/>
        <v>4015/4016</v>
      </c>
      <c r="L70" s="24" t="str">
        <f>VLOOKUP(A70,'Trips&amp;Operators'!$C$1:$E$10000,3,FALSE)</f>
        <v>BRANNON</v>
      </c>
      <c r="M70" s="6">
        <f t="shared" si="1"/>
        <v>3.1168981484370306E-2</v>
      </c>
      <c r="N70" s="7">
        <f t="shared" si="22"/>
        <v>44.883333337493241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10:37:33-0600',mode:absolute,to:'2016-09-21 13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0" s="54" t="str">
        <f t="shared" si="6"/>
        <v>N</v>
      </c>
      <c r="X70" s="168">
        <f t="shared" si="24"/>
        <v>1</v>
      </c>
      <c r="Y70" s="69">
        <f t="shared" si="19"/>
        <v>23.298400000000001</v>
      </c>
      <c r="Z70" s="69">
        <f t="shared" si="20"/>
        <v>1.41E-2</v>
      </c>
      <c r="AA70" s="69">
        <f t="shared" si="10"/>
        <v>23.284300000000002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0158-21</v>
      </c>
      <c r="AE70" s="99" t="str">
        <f t="shared" si="12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70" s="96" t="str">
        <f t="shared" si="13"/>
        <v>"C:\Program Files (x86)\AstroGrep\AstroGrep.exe" /spath="%USERPROFILE%\AppData\Local\Temp\OnboardLogs" /stypes="app*4015*20160921*"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158-21 --locoid 4015 --swversion DE.1.0.7.0 --startMP 204:232984 --initTime 2016-09-21T11:37:33 --startdatetime 2016-09-21T11:41:40 --delay 1 --endMP 204:141 --enddatetime 2016-09-21T12:26:33 --enforcementcount 0 &gt;&gt;C:\Users\stu\Documents\GitHub\eaglep3-reporting\EC\2016-09-21-refined-times.txt</v>
      </c>
      <c r="AI70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{"issue":{"subject":"","project_id":79,"tracker_id":40,"status_id":1,"priority_id":2,"assigned_to_id":23,"start_date":"2016-09-21","description":"","custom_fields":[{"id":1,"name":"Subdivision","value":"EC"},{"id":4,"name":"Milepost","value":"0.0141"},{"id":17,"name":"Train ID","value":"158-21"},{"id":16,"name":"Locomotive ID","value":"4015"},{"id":130,"name":"Impact","value":""},{"id":150,"name":"Time of Event (Mountain Time)","value":"12:26:33"},{"id":151,"name":"Denver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482</v>
      </c>
      <c r="B71" s="7">
        <v>4007</v>
      </c>
      <c r="C71" s="24" t="s">
        <v>106</v>
      </c>
      <c r="D71" s="24" t="s">
        <v>286</v>
      </c>
      <c r="E71" s="15">
        <v>42634.460648148146</v>
      </c>
      <c r="F71" s="15">
        <v>42634.462002314816</v>
      </c>
      <c r="G71" s="7">
        <v>1</v>
      </c>
      <c r="H71" s="15" t="s">
        <v>652</v>
      </c>
      <c r="I71" s="15">
        <v>42634.493460648147</v>
      </c>
      <c r="J71" s="7">
        <v>0</v>
      </c>
      <c r="K71" s="121" t="str">
        <f t="shared" si="0"/>
        <v>4007/4008</v>
      </c>
      <c r="L71" s="24" t="str">
        <f>VLOOKUP(A71,'Trips&amp;Operators'!$C$1:$E$10000,3,FALSE)</f>
        <v>LEVIN</v>
      </c>
      <c r="M71" s="6">
        <f t="shared" si="1"/>
        <v>3.145833333110204E-2</v>
      </c>
      <c r="N71" s="7">
        <f t="shared" si="22"/>
        <v>45.299999996786937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10:03:20-0600',mode:absolute,to:'2016-09-21 12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71" s="54" t="str">
        <f t="shared" si="6"/>
        <v>N</v>
      </c>
      <c r="X71" s="168">
        <f t="shared" si="24"/>
        <v>1</v>
      </c>
      <c r="Y71" s="69">
        <f t="shared" si="19"/>
        <v>4.7300000000000002E-2</v>
      </c>
      <c r="Z71" s="69">
        <f t="shared" si="20"/>
        <v>23.333100000000002</v>
      </c>
      <c r="AA71" s="69">
        <f t="shared" si="10"/>
        <v>23.285800000000002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0159-21</v>
      </c>
      <c r="AE71" s="99" t="str">
        <f t="shared" si="12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71" s="96" t="str">
        <f t="shared" si="13"/>
        <v>"C:\Program Files (x86)\AstroGrep\AstroGrep.exe" /spath="%USERPROFILE%\AppData\Local\Temp\OnboardLogs" /stypes="app*4007*20160921*"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159-21 --locoid 4007 --swversion DE.1.0.7.0 --startMP 204:473 --initTime 2016-09-21T11:03:20 --startdatetime 2016-09-21T11:05:17 --delay 1 --endMP 204:233331 --enddatetime 2016-09-21T11:50:35 --enforcementcount 0 &gt;&gt;C:\Users\stu\Documents\GitHub\eaglep3-reporting\EC\2016-09-21-refined-times.txt</v>
      </c>
      <c r="AI71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{"issue":{"subject":"","project_id":79,"tracker_id":40,"status_id":1,"priority_id":2,"assigned_to_id":23,"start_date":"2016-09-21","description":"","custom_fields":[{"id":1,"name":"Subdivision","value":"EC"},{"id":4,"name":"Milepost","value":"23.3331"},{"id":17,"name":"Train ID","value":"159-21"},{"id":16,"name":"Locomotive ID","value":"4007"},{"id":130,"name":"Impact","value":""},{"id":150,"name":"Time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496</v>
      </c>
      <c r="B72" s="7">
        <v>4008</v>
      </c>
      <c r="C72" s="24" t="s">
        <v>106</v>
      </c>
      <c r="D72" s="24" t="s">
        <v>357</v>
      </c>
      <c r="E72" s="15">
        <v>42634.498657407406</v>
      </c>
      <c r="F72" s="15">
        <v>42634.500416666669</v>
      </c>
      <c r="G72" s="7">
        <v>1</v>
      </c>
      <c r="H72" s="15" t="s">
        <v>220</v>
      </c>
      <c r="I72" s="15">
        <v>42634.527905092589</v>
      </c>
      <c r="J72" s="7">
        <v>0</v>
      </c>
      <c r="K72" s="121" t="str">
        <f t="shared" si="0"/>
        <v>4007/4008</v>
      </c>
      <c r="L72" s="24" t="str">
        <f>VLOOKUP(A72,'Trips&amp;Operators'!$C$1:$E$10000,3,FALSE)</f>
        <v>BONDS</v>
      </c>
      <c r="M72" s="6">
        <f t="shared" si="1"/>
        <v>2.7488425919727888E-2</v>
      </c>
      <c r="N72" s="7">
        <f t="shared" si="22"/>
        <v>39.583333324408159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10:58:04-0600',mode:absolute,to:'2016-09-21 13:40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72" s="54" t="str">
        <f t="shared" si="6"/>
        <v>N</v>
      </c>
      <c r="X72" s="168">
        <f t="shared" si="24"/>
        <v>1</v>
      </c>
      <c r="Y72" s="69">
        <f t="shared" si="19"/>
        <v>23.3004</v>
      </c>
      <c r="Z72" s="69">
        <f t="shared" si="20"/>
        <v>1.4999999999999999E-2</v>
      </c>
      <c r="AA72" s="69">
        <f t="shared" si="10"/>
        <v>23.285399999999999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0160-21</v>
      </c>
      <c r="AE72" s="99" t="str">
        <f t="shared" si="12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72" s="96" t="str">
        <f t="shared" si="13"/>
        <v>"C:\Program Files (x86)\AstroGrep\AstroGrep.exe" /spath="%USERPROFILE%\AppData\Local\Temp\OnboardLogs" /stypes="app*4008*20160921*"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160-21 --locoid 4008 --swversion DE.1.0.7.0 --startMP 204:233004 --initTime 2016-09-21T11:58:04 --startdatetime 2016-09-21T12:00:36 --delay 1 --endMP 204:150 --enddatetime 2016-09-21T12:40:11 --enforcementcount 0 &gt;&gt;C:\Users\stu\Documents\GitHub\eaglep3-reporting\EC\2016-09-21-refined-times.txt</v>
      </c>
      <c r="AI72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ID","value":"160-21"},{"id":16,"name":"Locomotive ID","value":"4008"},{"id":130,"name":"Impact","value":""},{"id":150,"name":"Time of Event (Mountain Time)","value":"12:40:11"},{"id":151,"name":"Denver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486</v>
      </c>
      <c r="B73" s="7">
        <v>4027</v>
      </c>
      <c r="C73" s="24" t="s">
        <v>106</v>
      </c>
      <c r="D73" s="24" t="s">
        <v>238</v>
      </c>
      <c r="E73" s="15">
        <v>42634.466898148145</v>
      </c>
      <c r="F73" s="15">
        <v>42634.469618055555</v>
      </c>
      <c r="G73" s="7">
        <v>1</v>
      </c>
      <c r="H73" s="15" t="s">
        <v>653</v>
      </c>
      <c r="I73" s="15">
        <v>42634.49722222222</v>
      </c>
      <c r="J73" s="7">
        <v>0</v>
      </c>
      <c r="K73" s="121" t="str">
        <f t="shared" si="0"/>
        <v>4027/4028</v>
      </c>
      <c r="L73" s="24" t="str">
        <f>VLOOKUP(A73,'Trips&amp;Operators'!$C$1:$E$10000,3,FALSE)</f>
        <v>BARTLETT</v>
      </c>
      <c r="M73" s="6">
        <f t="shared" si="1"/>
        <v>2.7604166665696539E-2</v>
      </c>
      <c r="N73" s="7">
        <f t="shared" si="22"/>
        <v>39.749999998603016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10:12:20-0600',mode:absolute,to:'2016-09-21 12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3" s="54" t="str">
        <f t="shared" si="6"/>
        <v>N</v>
      </c>
      <c r="X73" s="168">
        <f t="shared" si="24"/>
        <v>1</v>
      </c>
      <c r="Y73" s="69">
        <f t="shared" si="19"/>
        <v>4.4900000000000002E-2</v>
      </c>
      <c r="Z73" s="69">
        <f t="shared" si="20"/>
        <v>23.330500000000001</v>
      </c>
      <c r="AA73" s="69">
        <f t="shared" si="10"/>
        <v>23.285600000000002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0161-21</v>
      </c>
      <c r="AE73" s="99" t="str">
        <f t="shared" si="12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73" s="96" t="str">
        <f t="shared" si="13"/>
        <v>"C:\Program Files (x86)\AstroGrep\AstroGrep.exe" /spath="%USERPROFILE%\AppData\Local\Temp\OnboardLogs" /stypes="app*4027*20160921*"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161-21 --locoid 4027 --swversion DE.1.0.7.0 --startMP 204:449 --initTime 2016-09-21T11:12:20 --startdatetime 2016-09-21T11:16:15 --delay 1 --endMP 204:233305 --enddatetime 2016-09-21T11:56:00 --enforcementcount 0 &gt;&gt;C:\Users\stu\Documents\GitHub\eaglep3-reporting\EC\2016-09-21-refined-times.txt</v>
      </c>
      <c r="AI73" s="134" t="str">
        <f t="shared" si="18"/>
        <v>echo {"issue":{"subject":"","project_id":79,"tracker_id":40,"status_id":1,"priority_id":2,"assigned_to_id":23,"start_date":"2016-09-21","description":"","custom_fields":[{"id":1,"name":"Subdivision","value":"EC"},{"id":4,"name":"Milepost","value":"23.3305"},{"id":17,"name":"Train ID","value":"161-21"},{"id":16,"name":"Locomotive ID","value":"4027"},{"id":130,"name":"Impact","value":""},{"id":150,"name":"Time of Event (Mountain Time)","value":"11:56:00"},{"id":151,"name":"Denver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498</v>
      </c>
      <c r="B74" s="7">
        <v>4028</v>
      </c>
      <c r="C74" s="24" t="s">
        <v>106</v>
      </c>
      <c r="D74" s="24" t="s">
        <v>285</v>
      </c>
      <c r="E74" s="15">
        <v>42634.501516203702</v>
      </c>
      <c r="F74" s="15">
        <v>42634.509293981479</v>
      </c>
      <c r="G74" s="7">
        <v>2</v>
      </c>
      <c r="H74" s="15" t="s">
        <v>654</v>
      </c>
      <c r="I74" s="15">
        <v>42634.539803240739</v>
      </c>
      <c r="J74" s="7">
        <v>0</v>
      </c>
      <c r="K74" s="121" t="str">
        <f t="shared" si="0"/>
        <v>4027/4028</v>
      </c>
      <c r="L74" s="24" t="str">
        <f>VLOOKUP(A74,'Trips&amp;Operators'!$C$1:$E$10000,3,FALSE)</f>
        <v>BARTLETT</v>
      </c>
      <c r="M74" s="6">
        <f t="shared" si="1"/>
        <v>3.050925926072523E-2</v>
      </c>
      <c r="N74" s="7">
        <f t="shared" si="22"/>
        <v>43.933333335444331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11:02:11-0600',mode:absolute,to:'2016-09-21 13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4" s="54" t="str">
        <f t="shared" si="6"/>
        <v>N</v>
      </c>
      <c r="X74" s="168">
        <f t="shared" si="24"/>
        <v>1</v>
      </c>
      <c r="Y74" s="69">
        <f t="shared" si="19"/>
        <v>23.298200000000001</v>
      </c>
      <c r="Z74" s="69">
        <f t="shared" si="20"/>
        <v>1.0699999999999999E-2</v>
      </c>
      <c r="AA74" s="69">
        <f t="shared" si="10"/>
        <v>23.287500000000001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0162-21</v>
      </c>
      <c r="AE74" s="99" t="str">
        <f t="shared" si="12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74" s="96" t="str">
        <f t="shared" si="13"/>
        <v>"C:\Program Files (x86)\AstroGrep\AstroGrep.exe" /spath="%USERPROFILE%\AppData\Local\Temp\OnboardLogs" /stypes="app*4028*20160921*"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ref="AH74:AH137" si="25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162-21 --locoid 4028 --swversion DE.1.0.7.0 --startMP 204:232982 --initTime 2016-09-21T12:02:11 --startdatetime 2016-09-21T12:13:23 --delay 2 --endMP 204:107 --enddatetime 2016-09-21T12:57:19 --enforcementcount 0 &gt;&gt;C:\Users\stu\Documents\GitHub\eaglep3-reporting\EC\2016-09-21-refined-times.txt</v>
      </c>
      <c r="AI74" s="134" t="str">
        <f t="shared" ref="AI74:AI137" si="26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{"issue":{"subject":"","project_id":79,"tracker_id":40,"status_id":1,"priority_id":2,"assigned_to_id":23,"start_date":"2016-09-21","description":"","custom_fields":[{"id":1,"name":"Subdivision","value":"EC"},{"id":4,"name":"Milepost","value":"0.0107"},{"id":17,"name":"Train ID","value":"162-21"},{"id":16,"name":"Locomotive ID","value":"4028"},{"id":130,"name":"Impact","value":""},{"id":150,"name":"Time of Event (Mountain Time)","value":"12:57:19"},{"id":151,"name":"Denver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491</v>
      </c>
      <c r="B75" s="7">
        <v>4042</v>
      </c>
      <c r="C75" s="24" t="s">
        <v>106</v>
      </c>
      <c r="D75" s="24" t="s">
        <v>223</v>
      </c>
      <c r="E75" s="15">
        <v>42634.478750000002</v>
      </c>
      <c r="F75" s="15">
        <v>42634.480937499997</v>
      </c>
      <c r="G75" s="7">
        <v>2</v>
      </c>
      <c r="H75" s="15" t="s">
        <v>358</v>
      </c>
      <c r="I75" s="15">
        <v>42634.508900462963</v>
      </c>
      <c r="J75" s="7">
        <v>0</v>
      </c>
      <c r="K75" s="121" t="str">
        <f t="shared" si="0"/>
        <v>4041/4042</v>
      </c>
      <c r="L75" s="24" t="str">
        <f>VLOOKUP(A75,'Trips&amp;Operators'!$C$1:$E$10000,3,FALSE)</f>
        <v>HELVIE</v>
      </c>
      <c r="M75" s="6">
        <f t="shared" si="1"/>
        <v>2.7962962965830229E-2</v>
      </c>
      <c r="N75" s="7">
        <f t="shared" si="22"/>
        <v>40.26666667079553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10:29:24-0600',mode:absolute,to:'2016-09-21 13:12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68">
        <f t="shared" si="24"/>
        <v>1</v>
      </c>
      <c r="Y75" s="69">
        <f t="shared" si="19"/>
        <v>4.5699999999999998E-2</v>
      </c>
      <c r="Z75" s="69">
        <f t="shared" si="20"/>
        <v>23.325500000000002</v>
      </c>
      <c r="AA75" s="69">
        <f t="shared" si="10"/>
        <v>23.279800000000002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1"/>
        <v>0163-21</v>
      </c>
      <c r="AE75" s="99" t="str">
        <f t="shared" si="12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75" s="96" t="str">
        <f t="shared" si="13"/>
        <v>"C:\Program Files (x86)\AstroGrep\AstroGrep.exe" /spath="%USERPROFILE%\AppData\Local\Temp\OnboardLogs" /stypes="app*4042*20160921*"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25"/>
        <v>"%USERPROFILE%\Documents\GitHub\eaglep3\Utilities\RefineRTDCRunTimes.py" --tripid 163-21 --locoid 4042 --swversion DE.1.0.7.0 --startMP 204:457 --initTime 2016-09-21T11:29:24 --startdatetime 2016-09-21T11:32:33 --delay 2 --endMP 204:233255 --enddatetime 2016-09-21T12:12:49 --enforcementcount 0 &gt;&gt;C:\Users\stu\Documents\GitHub\eaglep3-reporting\EC\2016-09-21-refined-times.txt</v>
      </c>
      <c r="AI7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{"issue":{"subject":"","project_id":79,"tracker_id":40,"status_id":1,"priority_id":2,"assigned_to_id":23,"start_date":"2016-09-21","description":"","custom_fields":[{"id":1,"name":"Subdivision","value":"EC"},{"id":4,"name":"Milepost","value":"23.3255"},{"id":17,"name":"Train ID","value":"163-21"},{"id":16,"name":"Locomotive ID","value":"4042"},{"id":130,"name":"Impact","value":""},{"id":150,"name":"Time of Event (Mountain Time)","value":"12:12:49"},{"id":151,"name":"Denver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502</v>
      </c>
      <c r="B76" s="7">
        <v>4041</v>
      </c>
      <c r="C76" s="24" t="s">
        <v>106</v>
      </c>
      <c r="D76" s="24" t="s">
        <v>655</v>
      </c>
      <c r="E76" s="15">
        <v>42634.512870370374</v>
      </c>
      <c r="F76" s="15">
        <v>42634.518645833334</v>
      </c>
      <c r="G76" s="7">
        <v>1</v>
      </c>
      <c r="H76" s="15" t="s">
        <v>288</v>
      </c>
      <c r="I76" s="15">
        <v>42634.545416666668</v>
      </c>
      <c r="J76" s="7">
        <v>0</v>
      </c>
      <c r="K76" s="121" t="str">
        <f t="shared" si="0"/>
        <v>4041/4042</v>
      </c>
      <c r="L76" s="24" t="str">
        <f>VLOOKUP(A76,'Trips&amp;Operators'!$C$1:$E$10000,3,FALSE)</f>
        <v>DELGADO</v>
      </c>
      <c r="M76" s="6">
        <f t="shared" si="1"/>
        <v>2.6770833334012423E-2</v>
      </c>
      <c r="N76" s="7">
        <f t="shared" si="22"/>
        <v>38.550000000977889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https://search-rtdc-monitor-bjffxe2xuh6vdkpspy63sjmuny.us-east-1.es.amazonaws.com/_plugin/kibana/#/discover/Steve-Slow-Train-Analysis-(2080s-and-2083s)?_g=(refreshInterval:(display:Off,section:0,value:0),time:(from:'2016-09-21 11:18:32-0600',mode:absolute,to:'2016-09-21 14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68">
        <f t="shared" si="24"/>
        <v>1</v>
      </c>
      <c r="Y76" s="69">
        <f t="shared" si="19"/>
        <v>23.2928</v>
      </c>
      <c r="Z76" s="69">
        <f t="shared" si="20"/>
        <v>1.3599999999999999E-2</v>
      </c>
      <c r="AA76" s="69">
        <f t="shared" si="10"/>
        <v>23.279199999999999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1"/>
        <v>0164-21</v>
      </c>
      <c r="AE76" s="99" t="str">
        <f t="shared" si="12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76" s="96" t="str">
        <f t="shared" si="13"/>
        <v>"C:\Program Files (x86)\AstroGrep\AstroGrep.exe" /spath="%USERPROFILE%\AppData\Local\Temp\OnboardLogs" /stypes="app*4041*20160921*"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25"/>
        <v>"%USERPROFILE%\Documents\GitHub\eaglep3\Utilities\RefineRTDCRunTimes.py" --tripid 164-21 --locoid 4041 --swversion DE.1.0.7.0 --startMP 204:232928 --initTime 2016-09-21T12:18:32 --startdatetime 2016-09-21T12:26:51 --delay 1 --endMP 204:136 --enddatetime 2016-09-21T13:05:24 --enforcementcount 0 &gt;&gt;C:\Users\stu\Documents\GitHub\eaglep3-reporting\EC\2016-09-21-refined-times.txt</v>
      </c>
      <c r="AI7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{"issue":{"subject":"","project_id":79,"tracker_id":40,"status_id":1,"priority_id":2,"assigned_to_id":23,"start_date":"2016-09-21","description":"","custom_fields":[{"id":1,"name":"Subdivision","value":"EC"},{"id":4,"name":"Milepost","value":"0.0136"},{"id":17,"name":"Train ID","value":"164-21"},{"id":16,"name":"Locomotive ID","value":"4041"},{"id":130,"name":"Impact","value":""},{"id":150,"name":"Time of Event (Mountain Time)","value":"13:05:24"},{"id":151,"name":"Denver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494</v>
      </c>
      <c r="B77" s="7">
        <v>4046</v>
      </c>
      <c r="C77" s="24" t="s">
        <v>106</v>
      </c>
      <c r="D77" s="24" t="s">
        <v>219</v>
      </c>
      <c r="E77" s="15">
        <v>42634.486539351848</v>
      </c>
      <c r="F77" s="15">
        <v>42634.491446759261</v>
      </c>
      <c r="G77" s="7">
        <v>1</v>
      </c>
      <c r="H77" s="15" t="s">
        <v>221</v>
      </c>
      <c r="I77" s="15">
        <v>42634.518888888888</v>
      </c>
      <c r="J77" s="7">
        <v>0</v>
      </c>
      <c r="K77" s="121" t="str">
        <f t="shared" ref="K77:K140" si="27">IF(ISEVEN(B77),(B77-1)&amp;"/"&amp;B77,B77&amp;"/"&amp;(B77+1))</f>
        <v>4045/4046</v>
      </c>
      <c r="L77" s="24" t="str">
        <f>VLOOKUP(A77,'Trips&amp;Operators'!$C$1:$E$10000,3,FALSE)</f>
        <v>HILLS</v>
      </c>
      <c r="M77" s="6">
        <f t="shared" ref="M77:M140" si="28">I77-F77</f>
        <v>2.7442129627161194E-2</v>
      </c>
      <c r="N77" s="7">
        <f t="shared" si="22"/>
        <v>39.516666663112119</v>
      </c>
      <c r="O77" s="7"/>
      <c r="P77" s="7"/>
      <c r="Q77" s="25"/>
      <c r="R77" s="25"/>
      <c r="S77" s="37">
        <f t="shared" ref="S77:S140" si="29">SUM(U77:U77)/IF(AG77="EC",12,1)</f>
        <v>1</v>
      </c>
      <c r="T77" s="52" t="str">
        <f t="shared" ref="T77:T140" si="30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https://search-rtdc-monitor-bjffxe2xuh6vdkpspy63sjmuny.us-east-1.es.amazonaws.com/_plugin/kibana/#/discover/Steve-Slow-Train-Analysis-(2080s-and-2083s)?_g=(refreshInterval:(display:Off,section:0,value:0),time:(from:'2016-09-21 10:40:37-0600',mode:absolute,to:'2016-09-21 13:27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7" s="54" t="str">
        <f t="shared" ref="W77:W140" si="32">IF(AA77&lt;IF(AG77="EC",23,5.65),"Y","N")</f>
        <v>N</v>
      </c>
      <c r="X77" s="168">
        <f t="shared" ref="X77:X108" si="33">VALUE(LEFT(AD77,4))-VALUE(LEFT(AD76,4))</f>
        <v>1</v>
      </c>
      <c r="Y77" s="69">
        <f t="shared" ref="Y77:Y108" si="34">RIGHT(D77,LEN(D77)-4)/10000</f>
        <v>4.53E-2</v>
      </c>
      <c r="Z77" s="69">
        <f t="shared" ref="Z77:Z82" si="35">RIGHT(H77,LEN(H77)-4)/10000</f>
        <v>23.3291</v>
      </c>
      <c r="AA77" s="69">
        <f t="shared" ref="AA77:AA140" si="36">ABS(Z77-Y77)</f>
        <v>23.283799999999999</v>
      </c>
      <c r="AB77" s="66" t="str">
        <f>VLOOKUP(A77,Enforcements!$C$7:$K$20,8,0)</f>
        <v>Bulletin (2)</v>
      </c>
      <c r="AC77" s="62" t="str">
        <f>VLOOKUP(A77,Enforcements!$C$7:$E$20,3,0)</f>
        <v>GRADE CROSSING</v>
      </c>
      <c r="AD77" s="63" t="str">
        <f t="shared" ref="AD77:AD140" si="37">IF(LEN(A77)=6,"0"&amp;A77,A77)</f>
        <v>0165-21</v>
      </c>
      <c r="AE77" s="99" t="str">
        <f t="shared" ref="AE77:AE140" si="38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77" s="96" t="str">
        <f t="shared" ref="AF77:AF140" si="39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/stypes="app*4046*20160921*" /stext=" 18:.+((SYSTEM_STATE.+slice.+state.+changed )|(ment ac)|(system.+state.+changed )|(\|lc)|(penalty)|(\[timeout)|(PRM\|1\|D)|(kpr)|(kdp))" /e /r /s</v>
      </c>
      <c r="AG77" s="1" t="str">
        <f t="shared" ref="AG77:AG140" si="40">IFERROR(IF(VALUE(LEFT(AD77,2))&lt;=2,"EC",IF(OR(VALUE(LEFT(AD77,2))=8,VALUE(LEFT(AD77,2))=18),"NW","Other")),"Other")</f>
        <v>EC</v>
      </c>
      <c r="AH77" s="100" t="str">
        <f t="shared" si="25"/>
        <v>"%USERPROFILE%\Documents\GitHub\eaglep3\Utilities\RefineRTDCRunTimes.py" --tripid 165-21 --locoid 4046 --swversion DE.1.0.7.0 --startMP 204:453 --initTime 2016-09-21T11:40:37 --startdatetime 2016-09-21T11:47:41 --delay 1 --endMP 204:233291 --enddatetime 2016-09-21T12:27:12 --enforcementcount 0 &gt;&gt;C:\Users\stu\Documents\GitHub\eaglep3-reporting\EC\2016-09-21-refined-times.txt</v>
      </c>
      <c r="AI7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{"issue":{"subject":"","project_id":79,"tracker_id":40,"status_id":1,"priority_id":2,"assigned_to_id":23,"start_date":"2016-09-21","description":"","custom_fields":[{"id":1,"name":"Subdivision","value":"EC"},{"id":4,"name":"Milepost","value":"23.3291"},{"id":17,"name":"Train ID","value":"165-21"},{"id":16,"name":"Locomotive ID","value":"4046"},{"id":130,"name":"Impact","value":""},{"id":150,"name":"Time of Event (Mountain Time)","value":"12:27:12"},{"id":151,"name":"Denver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503</v>
      </c>
      <c r="B78" s="7">
        <v>4045</v>
      </c>
      <c r="C78" s="24" t="s">
        <v>106</v>
      </c>
      <c r="D78" s="24" t="s">
        <v>247</v>
      </c>
      <c r="E78" s="15">
        <v>42634.520833333336</v>
      </c>
      <c r="F78" s="15">
        <v>42634.528969907406</v>
      </c>
      <c r="G78" s="7">
        <v>1</v>
      </c>
      <c r="H78" s="15" t="s">
        <v>656</v>
      </c>
      <c r="I78" s="15">
        <v>42634.55673611111</v>
      </c>
      <c r="J78" s="7">
        <v>0</v>
      </c>
      <c r="K78" s="121" t="str">
        <f t="shared" si="27"/>
        <v>4045/4046</v>
      </c>
      <c r="L78" s="24" t="str">
        <f>VLOOKUP(A78,'Trips&amp;Operators'!$C$1:$E$10000,3,FALSE)</f>
        <v>HILLS</v>
      </c>
      <c r="M78" s="6">
        <f t="shared" si="28"/>
        <v>2.7766203704231884E-2</v>
      </c>
      <c r="N78" s="7">
        <f t="shared" si="22"/>
        <v>39.983333334093913</v>
      </c>
      <c r="O78" s="7"/>
      <c r="P78" s="7"/>
      <c r="Q78" s="25"/>
      <c r="R78" s="25"/>
      <c r="S78" s="37">
        <f t="shared" si="29"/>
        <v>1</v>
      </c>
      <c r="T78" s="52" t="str">
        <f t="shared" si="30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11:30:00-0600',mode:absolute,to:'2016-09-21 14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8" s="54" t="str">
        <f t="shared" si="32"/>
        <v>N</v>
      </c>
      <c r="X78" s="168">
        <f t="shared" si="33"/>
        <v>1</v>
      </c>
      <c r="Y78" s="69">
        <f t="shared" si="34"/>
        <v>23.2971</v>
      </c>
      <c r="Z78" s="69">
        <f t="shared" si="35"/>
        <v>1.23E-2</v>
      </c>
      <c r="AA78" s="69">
        <f t="shared" si="36"/>
        <v>23.284800000000001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7"/>
        <v>0166-21</v>
      </c>
      <c r="AE78" s="99" t="str">
        <f t="shared" si="38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78" s="96" t="str">
        <f t="shared" si="39"/>
        <v>"C:\Program Files (x86)\AstroGrep\AstroGrep.exe" /spath="%USERPROFILE%\AppData\Local\Temp\OnboardLogs" /stypes="app*4045*20160921*" /stext=" 19:.+((SYSTEM_STATE.+slice.+state.+changed )|(ment ac)|(system.+state.+changed )|(\|lc)|(penalty)|(\[timeout)|(PRM\|1\|D)|(kpr)|(kdp))" /e /r /s</v>
      </c>
      <c r="AG78" s="1" t="str">
        <f t="shared" si="40"/>
        <v>EC</v>
      </c>
      <c r="AH78" s="100" t="str">
        <f t="shared" si="25"/>
        <v>"%USERPROFILE%\Documents\GitHub\eaglep3\Utilities\RefineRTDCRunTimes.py" --tripid 166-21 --locoid 4045 --swversion DE.1.0.7.0 --startMP 204:232971 --initTime 2016-09-21T12:30:00 --startdatetime 2016-09-21T12:41:43 --delay 1 --endMP 204:123 --enddatetime 2016-09-21T13:21:42 --enforcementcount 0 &gt;&gt;C:\Users\stu\Documents\GitHub\eaglep3-reporting\EC\2016-09-21-refined-times.txt</v>
      </c>
      <c r="AI7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{"issue":{"subject":"","project_id":79,"tracker_id":40,"status_id":1,"priority_id":2,"assigned_to_id":23,"start_date":"2016-09-21","description":"","custom_fields":[{"id":1,"name":"Subdivision","value":"EC"},{"id":4,"name":"Milepost","value":"0.0123"},{"id":17,"name":"Train ID","value":"166-21"},{"id":16,"name":"Locomotive ID","value":"4045"},{"id":130,"name":"Impact","value":""},{"id":150,"name":"Time of Event (Mountain Time)","value":"13:21:42"},{"id":151,"name":"Denver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499</v>
      </c>
      <c r="B79" s="7">
        <v>4020</v>
      </c>
      <c r="C79" s="24" t="s">
        <v>106</v>
      </c>
      <c r="D79" s="24" t="s">
        <v>308</v>
      </c>
      <c r="E79" s="15">
        <v>42634.502696759257</v>
      </c>
      <c r="F79" s="15">
        <v>42634.504108796296</v>
      </c>
      <c r="G79" s="7">
        <v>1</v>
      </c>
      <c r="H79" s="15" t="s">
        <v>369</v>
      </c>
      <c r="I79" s="15">
        <v>42634.533136574071</v>
      </c>
      <c r="J79" s="7">
        <v>0</v>
      </c>
      <c r="K79" s="121" t="str">
        <f t="shared" si="27"/>
        <v>4019/4020</v>
      </c>
      <c r="L79" s="24" t="str">
        <f>VLOOKUP(A79,'Trips&amp;Operators'!$C$1:$E$10000,3,FALSE)</f>
        <v>YOUNG</v>
      </c>
      <c r="M79" s="6">
        <f t="shared" si="28"/>
        <v>2.9027777774899732E-2</v>
      </c>
      <c r="N79" s="7">
        <f t="shared" si="22"/>
        <v>41.799999995855615</v>
      </c>
      <c r="O79" s="7"/>
      <c r="P79" s="7"/>
      <c r="Q79" s="25"/>
      <c r="R79" s="25"/>
      <c r="S79" s="37">
        <f t="shared" si="29"/>
        <v>1</v>
      </c>
      <c r="T79" s="52" t="str">
        <f t="shared" si="30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11:03:53-0600',mode:absolute,to:'2016-09-21 13:47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9" s="54" t="str">
        <f t="shared" si="32"/>
        <v>N</v>
      </c>
      <c r="X79" s="168">
        <f t="shared" si="33"/>
        <v>1</v>
      </c>
      <c r="Y79" s="69">
        <f t="shared" si="34"/>
        <v>4.4200000000000003E-2</v>
      </c>
      <c r="Z79" s="69">
        <f t="shared" si="35"/>
        <v>23.33</v>
      </c>
      <c r="AA79" s="69">
        <f t="shared" si="36"/>
        <v>23.285799999999998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7"/>
        <v>0167-21</v>
      </c>
      <c r="AE79" s="99" t="str">
        <f t="shared" si="38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79" s="96" t="str">
        <f t="shared" si="39"/>
        <v>"C:\Program Files (x86)\AstroGrep\AstroGrep.exe" /spath="%USERPROFILE%\AppData\Local\Temp\OnboardLogs" /stypes="app*4020*20160921*" /stext=" 18:.+((SYSTEM_STATE.+slice.+state.+changed )|(ment ac)|(system.+state.+changed )|(\|lc)|(penalty)|(\[timeout)|(PRM\|1\|D)|(kpr)|(kdp))" /e /r /s</v>
      </c>
      <c r="AG79" s="1" t="str">
        <f t="shared" si="40"/>
        <v>EC</v>
      </c>
      <c r="AH79" s="100" t="str">
        <f t="shared" si="25"/>
        <v>"%USERPROFILE%\Documents\GitHub\eaglep3\Utilities\RefineRTDCRunTimes.py" --tripid 167-21 --locoid 4020 --swversion DE.1.0.7.0 --startMP 204:442 --initTime 2016-09-21T12:03:53 --startdatetime 2016-09-21T12:05:55 --delay 1 --endMP 204:233300 --enddatetime 2016-09-21T12:47:43 --enforcementcount 0 &gt;&gt;C:\Users\stu\Documents\GitHub\eaglep3-reporting\EC\2016-09-21-refined-times.txt</v>
      </c>
      <c r="AI7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{"issue":{"subject":"","project_id":79,"tracker_id":40,"status_id":1,"priority_id":2,"assigned_to_id":23,"start_date":"2016-09-21","description":"","custom_fields":[{"id":1,"name":"Subdivision","value":"EC"},{"id":4,"name":"Milepost","value":"23.33"},{"id":17,"name":"Train ID","value":"167-21"},{"id":16,"name":"Locomotive ID","value":"4020"},{"id":130,"name":"Impact","value":""},{"id":150,"name":"Time of Event (Mountain Time)","value":"12:47:43"},{"id":151,"name":"Denver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507</v>
      </c>
      <c r="B80" s="7">
        <v>4019</v>
      </c>
      <c r="C80" s="24" t="s">
        <v>106</v>
      </c>
      <c r="D80" s="24" t="s">
        <v>347</v>
      </c>
      <c r="E80" s="15">
        <v>42634.534803240742</v>
      </c>
      <c r="F80" s="15">
        <v>42634.539097222223</v>
      </c>
      <c r="G80" s="7">
        <v>1</v>
      </c>
      <c r="H80" s="15" t="s">
        <v>284</v>
      </c>
      <c r="I80" s="15">
        <v>42634.56890046296</v>
      </c>
      <c r="J80" s="7">
        <v>0</v>
      </c>
      <c r="K80" s="121" t="str">
        <f t="shared" si="27"/>
        <v>4019/4020</v>
      </c>
      <c r="L80" s="24" t="str">
        <f>VLOOKUP(A80,'Trips&amp;Operators'!$C$1:$E$10000,3,FALSE)</f>
        <v>YOUNG</v>
      </c>
      <c r="M80" s="6">
        <f t="shared" si="28"/>
        <v>2.9803240737237502E-2</v>
      </c>
      <c r="N80" s="7">
        <f t="shared" si="22"/>
        <v>42.916666661622003</v>
      </c>
      <c r="O80" s="7"/>
      <c r="P80" s="7"/>
      <c r="Q80" s="25"/>
      <c r="R80" s="25"/>
      <c r="S80" s="37">
        <f t="shared" si="29"/>
        <v>1</v>
      </c>
      <c r="T80" s="52" t="str">
        <f t="shared" si="30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11:50:07-0600',mode:absolute,to:'2016-09-21 14:39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0" s="54" t="str">
        <f t="shared" si="32"/>
        <v>N</v>
      </c>
      <c r="X80" s="168">
        <f t="shared" si="33"/>
        <v>1</v>
      </c>
      <c r="Y80" s="69">
        <f t="shared" si="34"/>
        <v>23.298300000000001</v>
      </c>
      <c r="Z80" s="69">
        <f t="shared" si="35"/>
        <v>1.4500000000000001E-2</v>
      </c>
      <c r="AA80" s="69">
        <f t="shared" si="36"/>
        <v>23.283799999999999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7"/>
        <v>0168-21</v>
      </c>
      <c r="AE80" s="99" t="str">
        <f t="shared" si="38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80" s="96" t="str">
        <f t="shared" si="39"/>
        <v>"C:\Program Files (x86)\AstroGrep\AstroGrep.exe" /spath="%USERPROFILE%\AppData\Local\Temp\OnboardLogs" /stypes="app*4019*20160921*" /stext=" 19:.+((SYSTEM_STATE.+slice.+state.+changed )|(ment ac)|(system.+state.+changed )|(\|lc)|(penalty)|(\[timeout)|(PRM\|1\|D)|(kpr)|(kdp))" /e /r /s</v>
      </c>
      <c r="AG80" s="1" t="str">
        <f t="shared" si="40"/>
        <v>EC</v>
      </c>
      <c r="AH80" s="100" t="str">
        <f t="shared" si="25"/>
        <v>"%USERPROFILE%\Documents\GitHub\eaglep3\Utilities\RefineRTDCRunTimes.py" --tripid 168-21 --locoid 4019 --swversion DE.1.0.7.0 --startMP 204:232983 --initTime 2016-09-21T12:50:07 --startdatetime 2016-09-21T12:56:18 --delay 1 --endMP 204:145 --enddatetime 2016-09-21T13:39:13 --enforcementcount 0 &gt;&gt;C:\Users\stu\Documents\GitHub\eaglep3-reporting\EC\2016-09-21-refined-times.txt</v>
      </c>
      <c r="AI8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{"issue":{"subject":"","project_id":79,"tracker_id":40,"status_id":1,"priority_id":2,"assigned_to_id":23,"start_date":"2016-09-21","description":"","custom_fields":[{"id":1,"name":"Subdivision","value":"EC"},{"id":4,"name":"Milepost","value":"0.0145"},{"id":17,"name":"Train ID","value":"168-21"},{"id":16,"name":"Locomotive ID","value":"4019"},{"id":130,"name":"Impact","value":""},{"id":150,"name":"Time of Event (Mountain Time)","value":"13:39:13"},{"id":151,"name":"Denver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501</v>
      </c>
      <c r="B81" s="7">
        <v>4002</v>
      </c>
      <c r="C81" s="24" t="s">
        <v>106</v>
      </c>
      <c r="D81" s="24" t="s">
        <v>231</v>
      </c>
      <c r="E81" s="15">
        <v>42634.510787037034</v>
      </c>
      <c r="F81" s="15">
        <v>42634.513888888891</v>
      </c>
      <c r="G81" s="7">
        <v>2</v>
      </c>
      <c r="H81" s="15" t="s">
        <v>283</v>
      </c>
      <c r="I81" s="15">
        <v>42634.543020833335</v>
      </c>
      <c r="J81" s="7">
        <v>0</v>
      </c>
      <c r="K81" s="121" t="str">
        <f t="shared" si="27"/>
        <v>4001/4002</v>
      </c>
      <c r="L81" s="24" t="str">
        <f>VLOOKUP(A81,'Trips&amp;Operators'!$C$1:$E$10000,3,FALSE)</f>
        <v>BRUDER</v>
      </c>
      <c r="M81" s="6">
        <f t="shared" si="28"/>
        <v>2.9131944444088731E-2</v>
      </c>
      <c r="N81" s="7">
        <f t="shared" si="22"/>
        <v>41.949999999487773</v>
      </c>
      <c r="O81" s="7"/>
      <c r="P81" s="7"/>
      <c r="Q81" s="25"/>
      <c r="R81" s="25"/>
      <c r="S81" s="37">
        <f t="shared" si="29"/>
        <v>1</v>
      </c>
      <c r="T81" s="52" t="str">
        <f t="shared" si="30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11:15:32-0600',mode:absolute,to:'2016-09-21 14:01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1" s="54" t="str">
        <f t="shared" si="32"/>
        <v>N</v>
      </c>
      <c r="X81" s="168">
        <f t="shared" si="33"/>
        <v>1</v>
      </c>
      <c r="Y81" s="69">
        <f t="shared" si="34"/>
        <v>4.5999999999999999E-2</v>
      </c>
      <c r="Z81" s="69">
        <f t="shared" si="35"/>
        <v>23.329499999999999</v>
      </c>
      <c r="AA81" s="69">
        <f t="shared" si="36"/>
        <v>23.2835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7"/>
        <v>0169-21</v>
      </c>
      <c r="AE81" s="99" t="str">
        <f t="shared" si="38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81" s="96" t="str">
        <f t="shared" si="39"/>
        <v>"C:\Program Files (x86)\AstroGrep\AstroGrep.exe" /spath="%USERPROFILE%\AppData\Local\Temp\OnboardLogs" /stypes="app*4002*20160921*" /stext=" 19:.+((SYSTEM_STATE.+slice.+state.+changed )|(ment ac)|(system.+state.+changed )|(\|lc)|(penalty)|(\[timeout)|(PRM\|1\|D)|(kpr)|(kdp))" /e /r /s</v>
      </c>
      <c r="AG81" s="1" t="str">
        <f t="shared" si="40"/>
        <v>EC</v>
      </c>
      <c r="AH81" s="100" t="str">
        <f t="shared" si="25"/>
        <v>"%USERPROFILE%\Documents\GitHub\eaglep3\Utilities\RefineRTDCRunTimes.py" --tripid 169-21 --locoid 4002 --swversion DE.1.0.7.0 --startMP 204:460 --initTime 2016-09-21T12:15:32 --startdatetime 2016-09-21T12:20:00 --delay 2 --endMP 204:233295 --enddatetime 2016-09-21T13:01:57 --enforcementcount 0 &gt;&gt;C:\Users\stu\Documents\GitHub\eaglep3-reporting\EC\2016-09-21-refined-times.txt</v>
      </c>
      <c r="AI8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{"issue":{"subject":"","project_id":79,"tracker_id":40,"status_id":1,"priority_id":2,"assigned_to_id":23,"start_date":"2016-09-21","description":"","custom_fields":[{"id":1,"name":"Subdivision","value":"EC"},{"id":4,"name":"Milepost","value":"23.3295"},{"id":17,"name":"Train ID","value":"169-21"},{"id":16,"name":"Locomotive ID","value":"4002"},{"id":130,"name":"Impact","value":""},{"id":150,"name":"Time of Event (Mountain Time)","value":"13:01:57"},{"id":151,"name":"Denver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509</v>
      </c>
      <c r="B82" s="7">
        <v>4001</v>
      </c>
      <c r="C82" s="24" t="s">
        <v>106</v>
      </c>
      <c r="D82" s="24" t="s">
        <v>247</v>
      </c>
      <c r="E82" s="15">
        <v>42634.544571759259</v>
      </c>
      <c r="F82" s="15">
        <v>42634.549502314818</v>
      </c>
      <c r="G82" s="7">
        <v>1</v>
      </c>
      <c r="H82" s="15" t="s">
        <v>656</v>
      </c>
      <c r="I82" s="15">
        <v>42634.57608796296</v>
      </c>
      <c r="J82" s="7">
        <v>0</v>
      </c>
      <c r="K82" s="121" t="str">
        <f t="shared" si="27"/>
        <v>4001/4002</v>
      </c>
      <c r="L82" s="24" t="str">
        <f>VLOOKUP(A82,'Trips&amp;Operators'!$C$1:$E$10000,3,FALSE)</f>
        <v>BRUDER</v>
      </c>
      <c r="M82" s="6">
        <f t="shared" si="28"/>
        <v>2.6585648141917773E-2</v>
      </c>
      <c r="N82" s="7">
        <f t="shared" si="22"/>
        <v>38.283333324361593</v>
      </c>
      <c r="O82" s="7"/>
      <c r="P82" s="7"/>
      <c r="Q82" s="25"/>
      <c r="R82" s="25"/>
      <c r="S82" s="37">
        <f t="shared" si="29"/>
        <v>1</v>
      </c>
      <c r="T82" s="52" t="str">
        <f t="shared" si="30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12:04:11-0600',mode:absolute,to:'2016-09-21 14:49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2" s="54" t="str">
        <f t="shared" si="32"/>
        <v>N</v>
      </c>
      <c r="X82" s="168">
        <f t="shared" si="33"/>
        <v>1</v>
      </c>
      <c r="Y82" s="69">
        <f t="shared" si="34"/>
        <v>23.2971</v>
      </c>
      <c r="Z82" s="69">
        <f t="shared" si="35"/>
        <v>1.23E-2</v>
      </c>
      <c r="AA82" s="69">
        <f t="shared" si="36"/>
        <v>23.284800000000001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7"/>
        <v>0170-21</v>
      </c>
      <c r="AE82" s="99" t="str">
        <f t="shared" si="38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82" s="96" t="str">
        <f t="shared" si="39"/>
        <v>"C:\Program Files (x86)\AstroGrep\AstroGrep.exe" /spath="%USERPROFILE%\AppData\Local\Temp\OnboardLogs" /stypes="app*4001*20160921*" /stext=" 19:.+((SYSTEM_STATE.+slice.+state.+changed )|(ment ac)|(system.+state.+changed )|(\|lc)|(penalty)|(\[timeout)|(PRM\|1\|D)|(kpr)|(kdp))" /e /r /s</v>
      </c>
      <c r="AG82" s="1" t="str">
        <f t="shared" si="40"/>
        <v>EC</v>
      </c>
      <c r="AH82" s="100" t="str">
        <f t="shared" si="25"/>
        <v>"%USERPROFILE%\Documents\GitHub\eaglep3\Utilities\RefineRTDCRunTimes.py" --tripid 170-21 --locoid 4001 --swversion DE.1.0.7.0 --startMP 204:232971 --initTime 2016-09-21T13:04:11 --startdatetime 2016-09-21T13:11:17 --delay 1 --endMP 204:123 --enddatetime 2016-09-21T13:49:34 --enforcementcount 0 &gt;&gt;C:\Users\stu\Documents\GitHub\eaglep3-reporting\EC\2016-09-21-refined-times.txt</v>
      </c>
      <c r="AI8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{"issue":{"subject":"","project_id":79,"tracker_id":40,"status_id":1,"priority_id":2,"assigned_to_id":23,"start_date":"2016-09-21","description":"","custom_fields":[{"id":1,"name":"Subdivision","value":"EC"},{"id":4,"name":"Milepost","value":"0.0123"},{"id":17,"name":"Train ID","value":"170-21"},{"id":16,"name":"Locomotive ID","value":"4001"},{"id":130,"name":"Impact","value":""},{"id":150,"name":"Time of Event (Mountain Time)","value":"13:49:34"},{"id":151,"name":"Denver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504</v>
      </c>
      <c r="B83" s="7">
        <v>4016</v>
      </c>
      <c r="C83" s="24" t="s">
        <v>106</v>
      </c>
      <c r="D83" s="24" t="s">
        <v>657</v>
      </c>
      <c r="E83" s="15">
        <v>42634.520555555559</v>
      </c>
      <c r="F83" s="15">
        <v>42634.523206018515</v>
      </c>
      <c r="G83" s="7">
        <v>4</v>
      </c>
      <c r="H83" s="15" t="s">
        <v>657</v>
      </c>
      <c r="I83" s="15">
        <v>42634.54859953704</v>
      </c>
      <c r="J83" s="7">
        <v>0</v>
      </c>
      <c r="K83" s="121" t="str">
        <f t="shared" si="27"/>
        <v>4015/4016</v>
      </c>
      <c r="L83" s="24" t="str">
        <f>VLOOKUP(A83,'Trips&amp;Operators'!$C$1:$E$10000,3,FALSE)</f>
        <v>STORY</v>
      </c>
      <c r="M83" s="6">
        <f t="shared" si="28"/>
        <v>2.5393518524651881E-2</v>
      </c>
      <c r="N83" s="7">
        <f t="shared" si="22"/>
        <v>36.566666675498709</v>
      </c>
      <c r="O83" s="7"/>
      <c r="P83" s="7"/>
      <c r="Q83" s="25"/>
      <c r="R83" s="25"/>
      <c r="S83" s="37">
        <f t="shared" si="29"/>
        <v>1</v>
      </c>
      <c r="T83" s="52" t="str">
        <f t="shared" si="30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11:29:36-0600',mode:absolute,to:'2016-09-21 14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3" s="54" t="str">
        <f t="shared" si="32"/>
        <v>N</v>
      </c>
      <c r="X83" s="168">
        <f t="shared" si="33"/>
        <v>1</v>
      </c>
      <c r="Y83" s="69">
        <f t="shared" si="34"/>
        <v>0.1129</v>
      </c>
      <c r="Z83" s="69">
        <v>23.3</v>
      </c>
      <c r="AA83" s="69">
        <f t="shared" si="36"/>
        <v>23.187100000000001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7"/>
        <v>0171-21</v>
      </c>
      <c r="AE83" s="99" t="str">
        <f t="shared" si="38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83" s="96" t="str">
        <f t="shared" si="39"/>
        <v>"C:\Program Files (x86)\AstroGrep\AstroGrep.exe" /spath="%USERPROFILE%\AppData\Local\Temp\OnboardLogs" /stypes="app*4016*20160921*" /stext=" 19:.+((SYSTEM_STATE.+slice.+state.+changed )|(ment ac)|(system.+state.+changed )|(\|lc)|(penalty)|(\[timeout)|(PRM\|1\|D)|(kpr)|(kdp))" /e /r /s</v>
      </c>
      <c r="AG83" s="1" t="str">
        <f t="shared" si="40"/>
        <v>EC</v>
      </c>
      <c r="AH83" s="100" t="str">
        <f t="shared" si="25"/>
        <v>"%USERPROFILE%\Documents\GitHub\eaglep3\Utilities\RefineRTDCRunTimes.py" --tripid 171-21 --locoid 4016 --swversion DE.1.0.7.0 --startMP 204:1129 --initTime 2016-09-21T12:29:36 --startdatetime 2016-09-21T12:33:25 --delay 4 --endMP 204:1129 --enddatetime 2016-09-21T13:09:59 --enforcementcount 0 &gt;&gt;C:\Users\stu\Documents\GitHub\eaglep3-reporting\EC\2016-09-21-refined-times.txt</v>
      </c>
      <c r="AI8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{"issue":{"subject":"","project_id":79,"tracker_id":40,"status_id":1,"priority_id":2,"assigned_to_id":23,"start_date":"2016-09-21","description":"","custom_fields":[{"id":1,"name":"Subdivision","value":"EC"},{"id":4,"name":"Milepost","value":"23.3"},{"id":17,"name":"Train ID","value":"171-21"},{"id":16,"name":"Locomotive ID","value":"4016"},{"id":130,"name":"Impact","value":""},{"id":150,"name":"Time of Event (Mountain Time)","value":"13:09:59"},{"id":151,"name":"Denver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513</v>
      </c>
      <c r="B84" s="7">
        <v>4015</v>
      </c>
      <c r="C84" s="24" t="s">
        <v>106</v>
      </c>
      <c r="D84" s="24" t="s">
        <v>640</v>
      </c>
      <c r="E84" s="15">
        <v>42634.551064814812</v>
      </c>
      <c r="F84" s="15">
        <v>42634.560057870367</v>
      </c>
      <c r="G84" s="7">
        <v>1</v>
      </c>
      <c r="H84" s="15" t="s">
        <v>222</v>
      </c>
      <c r="I84" s="15">
        <v>42634.586759259262</v>
      </c>
      <c r="J84" s="7">
        <v>0</v>
      </c>
      <c r="K84" s="121" t="str">
        <f t="shared" si="27"/>
        <v>4015/4016</v>
      </c>
      <c r="L84" s="24" t="str">
        <f>VLOOKUP(A84,'Trips&amp;Operators'!$C$1:$E$10000,3,FALSE)</f>
        <v>STORY</v>
      </c>
      <c r="M84" s="6">
        <f t="shared" si="28"/>
        <v>2.6701388895162381E-2</v>
      </c>
      <c r="N84" s="7">
        <f t="shared" si="22"/>
        <v>38.450000009033829</v>
      </c>
      <c r="O84" s="7"/>
      <c r="P84" s="7"/>
      <c r="Q84" s="25"/>
      <c r="R84" s="25"/>
      <c r="S84" s="37">
        <f t="shared" si="29"/>
        <v>1</v>
      </c>
      <c r="T84" s="52" t="str">
        <f t="shared" si="30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12:13:32-0600',mode:absolute,to:'2016-09-21 15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4" s="54" t="str">
        <f t="shared" si="32"/>
        <v>N</v>
      </c>
      <c r="X84" s="168">
        <f t="shared" si="33"/>
        <v>1</v>
      </c>
      <c r="Y84" s="69">
        <f t="shared" si="34"/>
        <v>23.3002</v>
      </c>
      <c r="Z84" s="69">
        <f t="shared" ref="Z84:Z115" si="41">RIGHT(H84,LEN(H84)-4)/10000</f>
        <v>1.52E-2</v>
      </c>
      <c r="AA84" s="69">
        <f t="shared" si="36"/>
        <v>23.285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7"/>
        <v>0172-21</v>
      </c>
      <c r="AE84" s="99" t="str">
        <f t="shared" si="38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84" s="96" t="str">
        <f t="shared" si="39"/>
        <v>"C:\Program Files (x86)\AstroGrep\AstroGrep.exe" /spath="%USERPROFILE%\AppData\Local\Temp\OnboardLogs" /stypes="app*4015*20160921*" /stext=" 20:.+((SYSTEM_STATE.+slice.+state.+changed )|(ment ac)|(system.+state.+changed )|(\|lc)|(penalty)|(\[timeout)|(PRM\|1\|D)|(kpr)|(kdp))" /e /r /s</v>
      </c>
      <c r="AG84" s="1" t="str">
        <f t="shared" si="40"/>
        <v>EC</v>
      </c>
      <c r="AH84" s="100" t="str">
        <f t="shared" si="25"/>
        <v>"%USERPROFILE%\Documents\GitHub\eaglep3\Utilities\RefineRTDCRunTimes.py" --tripid 172-21 --locoid 4015 --swversion DE.1.0.7.0 --startMP 204:233002 --initTime 2016-09-21T13:13:32 --startdatetime 2016-09-21T13:26:29 --delay 1 --endMP 204:152 --enddatetime 2016-09-21T14:04:56 --enforcementcount 0 &gt;&gt;C:\Users\stu\Documents\GitHub\eaglep3-reporting\EC\2016-09-21-refined-times.txt</v>
      </c>
      <c r="AI8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ID","value":"172-21"},{"id":16,"name":"Locomotive ID","value":"4015"},{"id":130,"name":"Impact","value":""},{"id":150,"name":"Time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506</v>
      </c>
      <c r="B85" s="7">
        <v>4007</v>
      </c>
      <c r="C85" s="24" t="s">
        <v>106</v>
      </c>
      <c r="D85" s="24" t="s">
        <v>230</v>
      </c>
      <c r="E85" s="15">
        <v>42634.529097222221</v>
      </c>
      <c r="F85" s="15">
        <v>42634.531423611108</v>
      </c>
      <c r="G85" s="7">
        <v>1</v>
      </c>
      <c r="H85" s="15" t="s">
        <v>368</v>
      </c>
      <c r="I85" s="15">
        <v>42634.556956018518</v>
      </c>
      <c r="J85" s="7">
        <v>0</v>
      </c>
      <c r="K85" s="121" t="str">
        <f t="shared" si="27"/>
        <v>4007/4008</v>
      </c>
      <c r="L85" s="24" t="str">
        <f>VLOOKUP(A85,'Trips&amp;Operators'!$C$1:$E$10000,3,FALSE)</f>
        <v>BONDS</v>
      </c>
      <c r="M85" s="6">
        <f t="shared" si="28"/>
        <v>2.5532407409627922E-2</v>
      </c>
      <c r="N85" s="7">
        <f t="shared" ref="N85:N116" si="42">24*60*SUM($M85:$M85)</f>
        <v>36.766666669864208</v>
      </c>
      <c r="O85" s="7"/>
      <c r="P85" s="7"/>
      <c r="Q85" s="25"/>
      <c r="R85" s="25"/>
      <c r="S85" s="37">
        <f t="shared" si="29"/>
        <v>1</v>
      </c>
      <c r="T85" s="52" t="str">
        <f t="shared" si="30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11:41:54-0600',mode:absolute,to:'2016-09-21 14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85" s="54" t="str">
        <f t="shared" si="32"/>
        <v>N</v>
      </c>
      <c r="X85" s="168">
        <f t="shared" si="33"/>
        <v>1</v>
      </c>
      <c r="Y85" s="69">
        <f t="shared" si="34"/>
        <v>4.6699999999999998E-2</v>
      </c>
      <c r="Z85" s="69">
        <f t="shared" si="41"/>
        <v>23.328900000000001</v>
      </c>
      <c r="AA85" s="69">
        <f t="shared" si="36"/>
        <v>23.2822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7"/>
        <v>0173-21</v>
      </c>
      <c r="AE85" s="99" t="str">
        <f t="shared" si="38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85" s="96" t="str">
        <f t="shared" si="39"/>
        <v>"C:\Program Files (x86)\AstroGrep\AstroGrep.exe" /spath="%USERPROFILE%\AppData\Local\Temp\OnboardLogs" /stypes="app*4007*20160921*" /stext=" 19:.+((SYSTEM_STATE.+slice.+state.+changed )|(ment ac)|(system.+state.+changed )|(\|lc)|(penalty)|(\[timeout)|(PRM\|1\|D)|(kpr)|(kdp))" /e /r /s</v>
      </c>
      <c r="AG85" s="1" t="str">
        <f t="shared" si="40"/>
        <v>EC</v>
      </c>
      <c r="AH85" s="100" t="str">
        <f t="shared" si="25"/>
        <v>"%USERPROFILE%\Documents\GitHub\eaglep3\Utilities\RefineRTDCRunTimes.py" --tripid 173-21 --locoid 4007 --swversion DE.1.0.7.0 --startMP 204:467 --initTime 2016-09-21T12:41:54 --startdatetime 2016-09-21T12:45:15 --delay 1 --endMP 204:233289 --enddatetime 2016-09-21T13:22:01 --enforcementcount 0 &gt;&gt;C:\Users\stu\Documents\GitHub\eaglep3-reporting\EC\2016-09-21-refined-times.txt</v>
      </c>
      <c r="AI8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{"issue":{"subject":"","project_id":79,"tracker_id":40,"status_id":1,"priority_id":2,"assigned_to_id":23,"start_date":"2016-09-21","description":"","custom_fields":[{"id":1,"name":"Subdivision","value":"EC"},{"id":4,"name":"Milepost","value":"23.3289"},{"id":17,"name":"Train ID","value":"173-21"},{"id":16,"name":"Locomotive ID","value":"4007"},{"id":130,"name":"Impact","value":""},{"id":150,"name":"Time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515</v>
      </c>
      <c r="B86" s="7">
        <v>4008</v>
      </c>
      <c r="C86" s="24" t="s">
        <v>106</v>
      </c>
      <c r="D86" s="24" t="s">
        <v>306</v>
      </c>
      <c r="E86" s="15">
        <v>42634.562476851854</v>
      </c>
      <c r="F86" s="15">
        <v>42634.570324074077</v>
      </c>
      <c r="G86" s="7">
        <v>1</v>
      </c>
      <c r="H86" s="15" t="s">
        <v>222</v>
      </c>
      <c r="I86" s="15">
        <v>42634.597453703704</v>
      </c>
      <c r="J86" s="7">
        <v>0</v>
      </c>
      <c r="K86" s="121" t="str">
        <f t="shared" si="27"/>
        <v>4007/4008</v>
      </c>
      <c r="L86" s="24" t="str">
        <f>VLOOKUP(A86,'Trips&amp;Operators'!$C$1:$E$10000,3,FALSE)</f>
        <v>BONDS</v>
      </c>
      <c r="M86" s="6">
        <f t="shared" si="28"/>
        <v>2.7129629626870155E-2</v>
      </c>
      <c r="N86" s="7">
        <f t="shared" si="42"/>
        <v>39.066666662693024</v>
      </c>
      <c r="O86" s="7"/>
      <c r="P86" s="7"/>
      <c r="Q86" s="25"/>
      <c r="R86" s="25"/>
      <c r="S86" s="37">
        <f t="shared" si="29"/>
        <v>1</v>
      </c>
      <c r="T86" s="52" t="str">
        <f t="shared" si="30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12:29:58-0600',mode:absolute,to:'2016-09-21 15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86" s="54" t="str">
        <f t="shared" si="32"/>
        <v>N</v>
      </c>
      <c r="X86" s="168">
        <f t="shared" si="33"/>
        <v>1</v>
      </c>
      <c r="Y86" s="69">
        <f t="shared" si="34"/>
        <v>23.2986</v>
      </c>
      <c r="Z86" s="69">
        <f t="shared" si="41"/>
        <v>1.52E-2</v>
      </c>
      <c r="AA86" s="69">
        <f t="shared" si="36"/>
        <v>23.2834</v>
      </c>
      <c r="AB86" s="66" t="str">
        <f>VLOOKUP(A86,Enforcements!$C$7:$K$20,8,0)</f>
        <v>Bulletin (2)</v>
      </c>
      <c r="AC86" s="62" t="str">
        <f>VLOOKUP(A86,Enforcements!$C$7:$E$20,3,0)</f>
        <v>GRADE CROSSING</v>
      </c>
      <c r="AD86" s="63" t="str">
        <f t="shared" si="37"/>
        <v>0174-21</v>
      </c>
      <c r="AE86" s="99" t="str">
        <f t="shared" si="38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86" s="96" t="str">
        <f t="shared" si="39"/>
        <v>"C:\Program Files (x86)\AstroGrep\AstroGrep.exe" /spath="%USERPROFILE%\AppData\Local\Temp\OnboardLogs" /stypes="app*4008*20160921*" /stext=" 20:.+((SYSTEM_STATE.+slice.+state.+changed )|(ment ac)|(system.+state.+changed )|(\|lc)|(penalty)|(\[timeout)|(PRM\|1\|D)|(kpr)|(kdp))" /e /r /s</v>
      </c>
      <c r="AG86" s="1" t="str">
        <f t="shared" si="40"/>
        <v>EC</v>
      </c>
      <c r="AH86" s="100" t="str">
        <f t="shared" si="25"/>
        <v>"%USERPROFILE%\Documents\GitHub\eaglep3\Utilities\RefineRTDCRunTimes.py" --tripid 174-21 --locoid 4008 --swversion DE.1.0.7.0 --startMP 204:232986 --initTime 2016-09-21T13:29:58 --startdatetime 2016-09-21T13:41:16 --delay 1 --endMP 204:152 --enddatetime 2016-09-21T14:20:20 --enforcementcount 0 &gt;&gt;C:\Users\stu\Documents\GitHub\eaglep3-reporting\EC\2016-09-21-refined-times.txt</v>
      </c>
      <c r="AI8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ID","value":"174-21"},{"id":16,"name":"Locomotive ID","value":"4008"},{"id":130,"name":"Impact","value":""},{"id":150,"name":"Time of Event (Mountain Time)","value":"14:20:20"},{"id":151,"name":"Denver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508</v>
      </c>
      <c r="B87" s="7">
        <v>4027</v>
      </c>
      <c r="C87" s="24" t="s">
        <v>106</v>
      </c>
      <c r="D87" s="24" t="s">
        <v>658</v>
      </c>
      <c r="E87" s="15">
        <v>42634.541319444441</v>
      </c>
      <c r="F87" s="15">
        <v>42634.542627314811</v>
      </c>
      <c r="G87" s="7">
        <v>1</v>
      </c>
      <c r="H87" s="15" t="s">
        <v>304</v>
      </c>
      <c r="I87" s="15">
        <v>42634.567881944444</v>
      </c>
      <c r="J87" s="7">
        <v>0</v>
      </c>
      <c r="K87" s="121" t="str">
        <f t="shared" si="27"/>
        <v>4027/4028</v>
      </c>
      <c r="L87" s="24" t="str">
        <f>VLOOKUP(A87,'Trips&amp;Operators'!$C$1:$E$10000,3,FALSE)</f>
        <v>BARTLETT</v>
      </c>
      <c r="M87" s="6">
        <f t="shared" si="28"/>
        <v>2.5254629632399883E-2</v>
      </c>
      <c r="N87" s="7">
        <f t="shared" si="42"/>
        <v>36.366666670655832</v>
      </c>
      <c r="O87" s="7"/>
      <c r="P87" s="7"/>
      <c r="Q87" s="25"/>
      <c r="R87" s="25"/>
      <c r="S87" s="37">
        <f t="shared" si="29"/>
        <v>1</v>
      </c>
      <c r="T87" s="52" t="str">
        <f t="shared" si="30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11:59:30-0600',mode:absolute,to:'2016-09-21 14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si="32"/>
        <v>N</v>
      </c>
      <c r="X87" s="168">
        <f t="shared" si="33"/>
        <v>1</v>
      </c>
      <c r="Y87" s="69">
        <f t="shared" si="34"/>
        <v>3.9800000000000002E-2</v>
      </c>
      <c r="Z87" s="69">
        <f t="shared" si="41"/>
        <v>23.3308</v>
      </c>
      <c r="AA87" s="69">
        <f t="shared" si="36"/>
        <v>23.291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7"/>
        <v>0175-21</v>
      </c>
      <c r="AE87" s="99" t="str">
        <f t="shared" si="38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87" s="96" t="str">
        <f t="shared" si="39"/>
        <v>"C:\Program Files (x86)\AstroGrep\AstroGrep.exe" /spath="%USERPROFILE%\AppData\Local\Temp\OnboardLogs" /stypes="app*4027*20160921*" /stext=" 19:.+((SYSTEM_STATE.+slice.+state.+changed )|(ment ac)|(system.+state.+changed )|(\|lc)|(penalty)|(\[timeout)|(PRM\|1\|D)|(kpr)|(kdp))" /e /r /s</v>
      </c>
      <c r="AG87" s="1" t="str">
        <f t="shared" si="40"/>
        <v>EC</v>
      </c>
      <c r="AH87" s="100" t="str">
        <f t="shared" si="25"/>
        <v>"%USERPROFILE%\Documents\GitHub\eaglep3\Utilities\RefineRTDCRunTimes.py" --tripid 175-21 --locoid 4027 --swversion DE.1.0.7.0 --startMP 204:398 --initTime 2016-09-21T12:59:30 --startdatetime 2016-09-21T13:01:23 --delay 1 --endMP 204:233308 --enddatetime 2016-09-21T13:37:45 --enforcementcount 0 &gt;&gt;C:\Users\stu\Documents\GitHub\eaglep3-reporting\EC\2016-09-21-refined-times.txt</v>
      </c>
      <c r="AI8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{"issue":{"subject":"","project_id":79,"tracker_id":40,"status_id":1,"priority_id":2,"assigned_to_id":23,"start_date":"2016-09-21","description":"","custom_fields":[{"id":1,"name":"Subdivision","value":"EC"},{"id":4,"name":"Milepost","value":"23.3308"},{"id":17,"name":"Train ID","value":"175-21"},{"id":16,"name":"Locomotive ID","value":"4027"},{"id":130,"name":"Impact","value":""},{"id":150,"name":"Time of Event (Mountain Time)","value":"13:37:45"},{"id":151,"name":"Denver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517</v>
      </c>
      <c r="B88" s="7">
        <v>4028</v>
      </c>
      <c r="C88" s="24" t="s">
        <v>106</v>
      </c>
      <c r="D88" s="24" t="s">
        <v>345</v>
      </c>
      <c r="E88" s="15">
        <v>42634.569895833331</v>
      </c>
      <c r="F88" s="15">
        <v>42634.580729166664</v>
      </c>
      <c r="G88" s="7">
        <v>1</v>
      </c>
      <c r="H88" s="15" t="s">
        <v>265</v>
      </c>
      <c r="I88" s="15">
        <v>42634.607511574075</v>
      </c>
      <c r="J88" s="7">
        <v>0</v>
      </c>
      <c r="K88" s="121" t="str">
        <f t="shared" si="27"/>
        <v>4027/4028</v>
      </c>
      <c r="L88" s="24" t="str">
        <f>VLOOKUP(A88,'Trips&amp;Operators'!$C$1:$E$10000,3,FALSE)</f>
        <v>BARTLETT</v>
      </c>
      <c r="M88" s="6">
        <f t="shared" si="28"/>
        <v>2.6782407410792075E-2</v>
      </c>
      <c r="N88" s="7">
        <f t="shared" si="42"/>
        <v>38.566666671540588</v>
      </c>
      <c r="O88" s="7"/>
      <c r="P88" s="7"/>
      <c r="Q88" s="25"/>
      <c r="R88" s="25"/>
      <c r="S88" s="37">
        <f t="shared" si="29"/>
        <v>1</v>
      </c>
      <c r="T88" s="52" t="str">
        <f t="shared" si="30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12:40:39-0600',mode:absolute,to:'2016-09-21 15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8" s="54" t="str">
        <f t="shared" si="32"/>
        <v>N</v>
      </c>
      <c r="X88" s="168">
        <f t="shared" si="33"/>
        <v>1</v>
      </c>
      <c r="Y88" s="69">
        <f t="shared" si="34"/>
        <v>23.299600000000002</v>
      </c>
      <c r="Z88" s="69">
        <f t="shared" si="41"/>
        <v>1.5599999999999999E-2</v>
      </c>
      <c r="AA88" s="69">
        <f t="shared" si="36"/>
        <v>23.284000000000002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7"/>
        <v>0176-21</v>
      </c>
      <c r="AE88" s="99" t="str">
        <f t="shared" si="38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88" s="96" t="str">
        <f t="shared" si="39"/>
        <v>"C:\Program Files (x86)\AstroGrep\AstroGrep.exe" /spath="%USERPROFILE%\AppData\Local\Temp\OnboardLogs" /stypes="app*4028*20160921*" /stext=" 20:.+((SYSTEM_STATE.+slice.+state.+changed )|(ment ac)|(system.+state.+changed )|(\|lc)|(penalty)|(\[timeout)|(PRM\|1\|D)|(kpr)|(kdp))" /e /r /s</v>
      </c>
      <c r="AG88" s="1" t="str">
        <f t="shared" si="40"/>
        <v>EC</v>
      </c>
      <c r="AH88" s="100" t="str">
        <f t="shared" si="25"/>
        <v>"%USERPROFILE%\Documents\GitHub\eaglep3\Utilities\RefineRTDCRunTimes.py" --tripid 176-21 --locoid 4028 --swversion DE.1.0.7.0 --startMP 204:232996 --initTime 2016-09-21T13:40:39 --startdatetime 2016-09-21T13:56:15 --delay 1 --endMP 204:156 --enddatetime 2016-09-21T14:34:49 --enforcementcount 0 &gt;&gt;C:\Users\stu\Documents\GitHub\eaglep3-reporting\EC\2016-09-21-refined-times.txt</v>
      </c>
      <c r="AI8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{"issue":{"subject":"","project_id":79,"tracker_id":40,"status_id":1,"priority_id":2,"assigned_to_id":23,"start_date":"2016-09-21","description":"","custom_fields":[{"id":1,"name":"Subdivision","value":"EC"},{"id":4,"name":"Milepost","value":"0.0156"},{"id":17,"name":"Train ID","value":"176-21"},{"id":16,"name":"Locomotive ID","value":"4028"},{"id":130,"name":"Impact","value":""},{"id":150,"name":"Time of Event (Mountain Time)","value":"14:34:49"},{"id":151,"name":"Denver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510</v>
      </c>
      <c r="B89" s="7">
        <v>4042</v>
      </c>
      <c r="C89" s="24" t="s">
        <v>106</v>
      </c>
      <c r="D89" s="24" t="s">
        <v>659</v>
      </c>
      <c r="E89" s="15">
        <v>42634.5469212963</v>
      </c>
      <c r="F89" s="15">
        <v>42634.552430555559</v>
      </c>
      <c r="G89" s="7">
        <v>1</v>
      </c>
      <c r="H89" s="15" t="s">
        <v>660</v>
      </c>
      <c r="I89" s="15">
        <v>42634.577430555553</v>
      </c>
      <c r="J89" s="7">
        <v>0</v>
      </c>
      <c r="K89" s="121" t="str">
        <f t="shared" si="27"/>
        <v>4041/4042</v>
      </c>
      <c r="L89" s="24" t="str">
        <f>VLOOKUP(A89,'Trips&amp;Operators'!$C$1:$E$10000,3,FALSE)</f>
        <v>HELVIE</v>
      </c>
      <c r="M89" s="6">
        <f t="shared" si="28"/>
        <v>2.4999999994179234E-2</v>
      </c>
      <c r="N89" s="7">
        <f t="shared" si="42"/>
        <v>35.999999991618097</v>
      </c>
      <c r="O89" s="7"/>
      <c r="P89" s="7"/>
      <c r="Q89" s="25"/>
      <c r="R89" s="25"/>
      <c r="S89" s="37">
        <f t="shared" si="29"/>
        <v>1</v>
      </c>
      <c r="T89" s="52" t="str">
        <f t="shared" si="30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12:07:34-0600',mode:absolute,to:'2016-09-21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32"/>
        <v>N</v>
      </c>
      <c r="X89" s="168">
        <f t="shared" si="33"/>
        <v>1</v>
      </c>
      <c r="Y89" s="69">
        <f t="shared" si="34"/>
        <v>4.3499999999999997E-2</v>
      </c>
      <c r="Z89" s="69">
        <f t="shared" si="41"/>
        <v>23.321300000000001</v>
      </c>
      <c r="AA89" s="69">
        <f t="shared" si="36"/>
        <v>23.277799999999999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7"/>
        <v>0177-21</v>
      </c>
      <c r="AE89" s="99" t="str">
        <f t="shared" si="38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89" s="96" t="str">
        <f t="shared" si="39"/>
        <v>"C:\Program Files (x86)\AstroGrep\AstroGrep.exe" /spath="%USERPROFILE%\AppData\Local\Temp\OnboardLogs" /stypes="app*4042*20160921*" /stext=" 19:.+((SYSTEM_STATE.+slice.+state.+changed )|(ment ac)|(system.+state.+changed )|(\|lc)|(penalty)|(\[timeout)|(PRM\|1\|D)|(kpr)|(kdp))" /e /r /s</v>
      </c>
      <c r="AG89" s="1" t="str">
        <f t="shared" si="40"/>
        <v>EC</v>
      </c>
      <c r="AH89" s="100" t="str">
        <f t="shared" si="25"/>
        <v>"%USERPROFILE%\Documents\GitHub\eaglep3\Utilities\RefineRTDCRunTimes.py" --tripid 177-21 --locoid 4042 --swversion DE.1.0.7.0 --startMP 204:435 --initTime 2016-09-21T13:07:34 --startdatetime 2016-09-21T13:15:30 --delay 1 --endMP 204:233213 --enddatetime 2016-09-21T13:51:30 --enforcementcount 0 &gt;&gt;C:\Users\stu\Documents\GitHub\eaglep3-reporting\EC\2016-09-21-refined-times.txt</v>
      </c>
      <c r="AI8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{"issue":{"subject":"","project_id":79,"tracker_id":40,"status_id":1,"priority_id":2,"assigned_to_id":23,"start_date":"2016-09-21","description":"","custom_fields":[{"id":1,"name":"Subdivision","value":"EC"},{"id":4,"name":"Milepost","value":"23.3213"},{"id":17,"name":"Train ID","value":"177-21"},{"id":16,"name":"Locomotive ID","value":"4042"},{"id":130,"name":"Impact","value":""},{"id":150,"name":"Time of Event (Mountain Time)","value":"13:51:30"},{"id":151,"name":"Denver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520</v>
      </c>
      <c r="B90" s="7">
        <v>4041</v>
      </c>
      <c r="C90" s="24" t="s">
        <v>106</v>
      </c>
      <c r="D90" s="24" t="s">
        <v>661</v>
      </c>
      <c r="E90" s="15">
        <v>42634.587233796294</v>
      </c>
      <c r="F90" s="15">
        <v>42634.591481481482</v>
      </c>
      <c r="G90" s="7">
        <v>1</v>
      </c>
      <c r="H90" s="15" t="s">
        <v>213</v>
      </c>
      <c r="I90" s="15">
        <v>42634.618993055556</v>
      </c>
      <c r="J90" s="7">
        <v>0</v>
      </c>
      <c r="K90" s="121" t="str">
        <f t="shared" si="27"/>
        <v>4041/4042</v>
      </c>
      <c r="L90" s="24" t="str">
        <f>VLOOKUP(A90,'Trips&amp;Operators'!$C$1:$E$10000,3,FALSE)</f>
        <v>HELVIE</v>
      </c>
      <c r="M90" s="6">
        <f t="shared" si="28"/>
        <v>2.7511574073287193E-2</v>
      </c>
      <c r="N90" s="7">
        <f t="shared" si="42"/>
        <v>39.616666665533558</v>
      </c>
      <c r="O90" s="7"/>
      <c r="P90" s="7"/>
      <c r="Q90" s="25"/>
      <c r="R90" s="25"/>
      <c r="S90" s="37">
        <f t="shared" si="29"/>
        <v>1</v>
      </c>
      <c r="T90" s="52" t="str">
        <f t="shared" si="30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13:05:37-0600',mode:absolute,to:'2016-09-21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32"/>
        <v>N</v>
      </c>
      <c r="X90" s="168">
        <f t="shared" si="33"/>
        <v>1</v>
      </c>
      <c r="Y90" s="69">
        <f t="shared" si="34"/>
        <v>23.287700000000001</v>
      </c>
      <c r="Z90" s="69">
        <f t="shared" si="41"/>
        <v>1.49E-2</v>
      </c>
      <c r="AA90" s="69">
        <f t="shared" si="36"/>
        <v>23.2728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7"/>
        <v>0178-21</v>
      </c>
      <c r="AE90" s="99" t="str">
        <f t="shared" si="38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90" s="96" t="str">
        <f t="shared" si="39"/>
        <v>"C:\Program Files (x86)\AstroGrep\AstroGrep.exe" /spath="%USERPROFILE%\AppData\Local\Temp\OnboardLogs" /stypes="app*4041*20160921*" /stext=" 20:.+((SYSTEM_STATE.+slice.+state.+changed )|(ment ac)|(system.+state.+changed )|(\|lc)|(penalty)|(\[timeout)|(PRM\|1\|D)|(kpr)|(kdp))" /e /r /s</v>
      </c>
      <c r="AG90" s="1" t="str">
        <f t="shared" si="40"/>
        <v>EC</v>
      </c>
      <c r="AH90" s="100" t="str">
        <f t="shared" si="25"/>
        <v>"%USERPROFILE%\Documents\GitHub\eaglep3\Utilities\RefineRTDCRunTimes.py" --tripid 178-21 --locoid 4041 --swversion DE.1.0.7.0 --startMP 204:232877 --initTime 2016-09-21T14:05:37 --startdatetime 2016-09-21T14:11:44 --delay 1 --endMP 204:149 --enddatetime 2016-09-21T14:51:21 --enforcementcount 0 &gt;&gt;C:\Users\stu\Documents\GitHub\eaglep3-reporting\EC\2016-09-21-refined-times.txt</v>
      </c>
      <c r="AI9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{"issue":{"subject":"","project_id":79,"tracker_id":40,"status_id":1,"priority_id":2,"assigned_to_id":23,"start_date":"2016-09-21","description":"","custom_fields":[{"id":1,"name":"Subdivision","value":"EC"},{"id":4,"name":"Milepost","value":"0.0149"},{"id":17,"name":"Train ID","value":"178-21"},{"id":16,"name":"Locomotive ID","value":"4041"},{"id":130,"name":"Impact","value":""},{"id":150,"name":"Time of Event (Mountain Time)","value":"14:51:21"},{"id":151,"name":"Denver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514</v>
      </c>
      <c r="B91" s="7">
        <v>4046</v>
      </c>
      <c r="C91" s="24" t="s">
        <v>106</v>
      </c>
      <c r="D91" s="24" t="s">
        <v>662</v>
      </c>
      <c r="E91" s="15">
        <v>42634.558182870373</v>
      </c>
      <c r="F91" s="15">
        <v>42634.562685185185</v>
      </c>
      <c r="G91" s="7">
        <v>1</v>
      </c>
      <c r="H91" s="15" t="s">
        <v>343</v>
      </c>
      <c r="I91" s="15">
        <v>42634.58829861111</v>
      </c>
      <c r="J91" s="7">
        <v>0</v>
      </c>
      <c r="K91" s="121" t="str">
        <f t="shared" si="27"/>
        <v>4045/4046</v>
      </c>
      <c r="L91" s="24" t="str">
        <f>VLOOKUP(A91,'Trips&amp;Operators'!$C$1:$E$10000,3,FALSE)</f>
        <v>HILLS</v>
      </c>
      <c r="M91" s="6">
        <f t="shared" si="28"/>
        <v>2.5613425925257616E-2</v>
      </c>
      <c r="N91" s="7">
        <f t="shared" si="42"/>
        <v>36.883333332370967</v>
      </c>
      <c r="O91" s="7"/>
      <c r="P91" s="7"/>
      <c r="Q91" s="25"/>
      <c r="R91" s="25"/>
      <c r="S91" s="37">
        <f t="shared" si="29"/>
        <v>1</v>
      </c>
      <c r="T91" s="52" t="str">
        <f t="shared" si="30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12:23:47-0600',mode:absolute,to:'2016-09-21 15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1" s="54" t="str">
        <f t="shared" si="32"/>
        <v>N</v>
      </c>
      <c r="X91" s="168">
        <f t="shared" si="33"/>
        <v>1</v>
      </c>
      <c r="Y91" s="69">
        <f t="shared" si="34"/>
        <v>4.3299999999999998E-2</v>
      </c>
      <c r="Z91" s="69">
        <f t="shared" si="41"/>
        <v>23.332100000000001</v>
      </c>
      <c r="AA91" s="69">
        <f t="shared" si="36"/>
        <v>23.288800000000002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7"/>
        <v>0179-21</v>
      </c>
      <c r="AE91" s="99" t="str">
        <f t="shared" si="38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91" s="96" t="str">
        <f t="shared" si="39"/>
        <v>"C:\Program Files (x86)\AstroGrep\AstroGrep.exe" /spath="%USERPROFILE%\AppData\Local\Temp\OnboardLogs" /stypes="app*4046*20160921*" /stext=" 20:.+((SYSTEM_STATE.+slice.+state.+changed )|(ment ac)|(system.+state.+changed )|(\|lc)|(penalty)|(\[timeout)|(PRM\|1\|D)|(kpr)|(kdp))" /e /r /s</v>
      </c>
      <c r="AG91" s="1" t="str">
        <f t="shared" si="40"/>
        <v>EC</v>
      </c>
      <c r="AH91" s="100" t="str">
        <f t="shared" si="25"/>
        <v>"%USERPROFILE%\Documents\GitHub\eaglep3\Utilities\RefineRTDCRunTimes.py" --tripid 179-21 --locoid 4046 --swversion DE.1.0.7.0 --startMP 204:433 --initTime 2016-09-21T13:23:47 --startdatetime 2016-09-21T13:30:16 --delay 1 --endMP 204:233321 --enddatetime 2016-09-21T14:07:09 --enforcementcount 0 &gt;&gt;C:\Users\stu\Documents\GitHub\eaglep3-reporting\EC\2016-09-21-refined-times.txt</v>
      </c>
      <c r="AI9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{"issue":{"subject":"","project_id":79,"tracker_id":40,"status_id":1,"priority_id":2,"assigned_to_id":23,"start_date":"2016-09-21","description":"","custom_fields":[{"id":1,"name":"Subdivision","value":"EC"},{"id":4,"name":"Milepost","value":"23.3321"},{"id":17,"name":"Train ID","value":"179-21"},{"id":16,"name":"Locomotive ID","value":"4046"},{"id":130,"name":"Impact","value":""},{"id":150,"name":"Time of Event (Mountain Time)","value":"14:07:09"},{"id":151,"name":"Denver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522</v>
      </c>
      <c r="B92" s="7">
        <v>4045</v>
      </c>
      <c r="C92" s="24" t="s">
        <v>106</v>
      </c>
      <c r="D92" s="24" t="s">
        <v>287</v>
      </c>
      <c r="E92" s="15">
        <v>42634.589629629627</v>
      </c>
      <c r="F92" s="15">
        <v>42634.601759259262</v>
      </c>
      <c r="G92" s="7">
        <v>1</v>
      </c>
      <c r="H92" s="15" t="s">
        <v>234</v>
      </c>
      <c r="I92" s="15">
        <v>42634.629432870373</v>
      </c>
      <c r="J92" s="7">
        <v>0</v>
      </c>
      <c r="K92" s="121" t="str">
        <f t="shared" si="27"/>
        <v>4045/4046</v>
      </c>
      <c r="L92" s="24" t="str">
        <f>VLOOKUP(A92,'Trips&amp;Operators'!$C$1:$E$10000,3,FALSE)</f>
        <v>HILLS</v>
      </c>
      <c r="M92" s="6">
        <f t="shared" si="28"/>
        <v>2.7673611111822538E-2</v>
      </c>
      <c r="N92" s="7">
        <f t="shared" si="42"/>
        <v>39.850000001024455</v>
      </c>
      <c r="O92" s="7"/>
      <c r="P92" s="7"/>
      <c r="Q92" s="25"/>
      <c r="R92" s="25"/>
      <c r="S92" s="37">
        <f t="shared" si="29"/>
        <v>1</v>
      </c>
      <c r="T92" s="52" t="str">
        <f t="shared" si="30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13:09:04-0600',mode:absolute,to:'2016-09-21 16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2" s="54" t="str">
        <f t="shared" si="32"/>
        <v>N</v>
      </c>
      <c r="X92" s="168">
        <f t="shared" si="33"/>
        <v>1</v>
      </c>
      <c r="Y92" s="69">
        <f t="shared" si="34"/>
        <v>23.3</v>
      </c>
      <c r="Z92" s="69">
        <f t="shared" si="41"/>
        <v>1.38E-2</v>
      </c>
      <c r="AA92" s="69">
        <f t="shared" si="36"/>
        <v>23.286200000000001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7"/>
        <v>0180-21</v>
      </c>
      <c r="AE92" s="99" t="str">
        <f t="shared" si="38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92" s="96" t="str">
        <f t="shared" si="39"/>
        <v>"C:\Program Files (x86)\AstroGrep\AstroGrep.exe" /spath="%USERPROFILE%\AppData\Local\Temp\OnboardLogs" /stypes="app*4045*20160921*" /stext=" 21:.+((SYSTEM_STATE.+slice.+state.+changed )|(ment ac)|(system.+state.+changed )|(\|lc)|(penalty)|(\[timeout)|(PRM\|1\|D)|(kpr)|(kdp))" /e /r /s</v>
      </c>
      <c r="AG92" s="1" t="str">
        <f t="shared" si="40"/>
        <v>EC</v>
      </c>
      <c r="AH92" s="100" t="str">
        <f t="shared" si="25"/>
        <v>"%USERPROFILE%\Documents\GitHub\eaglep3\Utilities\RefineRTDCRunTimes.py" --tripid 180-21 --locoid 4045 --swversion DE.1.0.7.0 --startMP 204:233000 --initTime 2016-09-21T14:09:04 --startdatetime 2016-09-21T14:26:32 --delay 1 --endMP 204:138 --enddatetime 2016-09-21T15:06:23 --enforcementcount 0 &gt;&gt;C:\Users\stu\Documents\GitHub\eaglep3-reporting\EC\2016-09-21-refined-times.txt</v>
      </c>
      <c r="AI9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{"issue":{"subject":"","project_id":79,"tracker_id":40,"status_id":1,"priority_id":2,"assigned_to_id":23,"start_date":"2016-09-21","description":"","custom_fields":[{"id":1,"name":"Subdivision","value":"EC"},{"id":4,"name":"Milepost","value":"0.0138"},{"id":17,"name":"Train ID","value":"180-21"},{"id":16,"name":"Locomotive ID","value":"4045"},{"id":130,"name":"Impact","value":""},{"id":150,"name":"Time of Event (Mountain Time)","value":"15:06:23"},{"id":151,"name":"Denver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518</v>
      </c>
      <c r="B93" s="7">
        <v>4020</v>
      </c>
      <c r="C93" s="24" t="s">
        <v>106</v>
      </c>
      <c r="D93" s="24" t="s">
        <v>230</v>
      </c>
      <c r="E93" s="15">
        <v>42634.570706018516</v>
      </c>
      <c r="F93" s="15">
        <v>42634.573101851849</v>
      </c>
      <c r="G93" s="7">
        <v>1</v>
      </c>
      <c r="H93" s="15" t="s">
        <v>663</v>
      </c>
      <c r="I93" s="15">
        <v>42634.59952546296</v>
      </c>
      <c r="J93" s="7">
        <v>0</v>
      </c>
      <c r="K93" s="121" t="str">
        <f t="shared" si="27"/>
        <v>4019/4020</v>
      </c>
      <c r="L93" s="24" t="str">
        <f>VLOOKUP(A93,'Trips&amp;Operators'!$C$1:$E$10000,3,FALSE)</f>
        <v>YOUNG</v>
      </c>
      <c r="M93" s="6">
        <f t="shared" si="28"/>
        <v>2.6423611110658385E-2</v>
      </c>
      <c r="N93" s="7">
        <f t="shared" si="42"/>
        <v>38.049999999348074</v>
      </c>
      <c r="O93" s="7"/>
      <c r="P93" s="7"/>
      <c r="Q93" s="25"/>
      <c r="R93" s="25"/>
      <c r="S93" s="37">
        <f t="shared" si="29"/>
        <v>1</v>
      </c>
      <c r="T93" s="52" t="str">
        <f t="shared" si="30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12:41:49-0600',mode:absolute,to:'2016-09-21 15:23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3" s="54" t="str">
        <f t="shared" si="32"/>
        <v>N</v>
      </c>
      <c r="X93" s="168">
        <f t="shared" si="33"/>
        <v>1</v>
      </c>
      <c r="Y93" s="69">
        <f t="shared" si="34"/>
        <v>4.6699999999999998E-2</v>
      </c>
      <c r="Z93" s="69">
        <f t="shared" si="41"/>
        <v>23.331099999999999</v>
      </c>
      <c r="AA93" s="69">
        <f t="shared" si="36"/>
        <v>23.284399999999998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7"/>
        <v>0181-21</v>
      </c>
      <c r="AE93" s="99" t="str">
        <f t="shared" si="38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93" s="96" t="str">
        <f t="shared" si="39"/>
        <v>"C:\Program Files (x86)\AstroGrep\AstroGrep.exe" /spath="%USERPROFILE%\AppData\Local\Temp\OnboardLogs" /stypes="app*4020*20160921*" /stext=" 20:.+((SYSTEM_STATE.+slice.+state.+changed )|(ment ac)|(system.+state.+changed )|(\|lc)|(penalty)|(\[timeout)|(PRM\|1\|D)|(kpr)|(kdp))" /e /r /s</v>
      </c>
      <c r="AG93" s="1" t="str">
        <f t="shared" si="40"/>
        <v>EC</v>
      </c>
      <c r="AH93" s="100" t="str">
        <f t="shared" si="25"/>
        <v>"%USERPROFILE%\Documents\GitHub\eaglep3\Utilities\RefineRTDCRunTimes.py" --tripid 181-21 --locoid 4020 --swversion DE.1.0.7.0 --startMP 204:467 --initTime 2016-09-21T13:41:49 --startdatetime 2016-09-21T13:45:16 --delay 1 --endMP 204:233311 --enddatetime 2016-09-21T14:23:19 --enforcementcount 0 &gt;&gt;C:\Users\stu\Documents\GitHub\eaglep3-reporting\EC\2016-09-21-refined-times.txt</v>
      </c>
      <c r="AI9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{"issue":{"subject":"","project_id":79,"tracker_id":40,"status_id":1,"priority_id":2,"assigned_to_id":23,"start_date":"2016-09-21","description":"","custom_fields":[{"id":1,"name":"Subdivision","value":"EC"},{"id":4,"name":"Milepost","value":"23.3311"},{"id":17,"name":"Train ID","value":"181-21"},{"id":16,"name":"Locomotive ID","value":"4020"},{"id":130,"name":"Impact","value":""},{"id":150,"name":"Time of Event (Mountain Time)","value":"14:23:19"},{"id":151,"name":"Denver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525</v>
      </c>
      <c r="B94" s="7">
        <v>4019</v>
      </c>
      <c r="C94" s="24" t="s">
        <v>106</v>
      </c>
      <c r="D94" s="24" t="s">
        <v>664</v>
      </c>
      <c r="E94" s="15">
        <v>42634.608275462961</v>
      </c>
      <c r="F94" s="15">
        <v>42634.612083333333</v>
      </c>
      <c r="G94" s="7">
        <v>1</v>
      </c>
      <c r="H94" s="15" t="s">
        <v>366</v>
      </c>
      <c r="I94" s="15">
        <v>42634.641793981478</v>
      </c>
      <c r="J94" s="7">
        <v>0</v>
      </c>
      <c r="K94" s="121" t="str">
        <f t="shared" si="27"/>
        <v>4019/4020</v>
      </c>
      <c r="L94" s="24" t="str">
        <f>VLOOKUP(A94,'Trips&amp;Operators'!$C$1:$E$10000,3,FALSE)</f>
        <v>YOUNG</v>
      </c>
      <c r="M94" s="6">
        <f t="shared" si="28"/>
        <v>2.9710648144828156E-2</v>
      </c>
      <c r="N94" s="7">
        <f t="shared" si="42"/>
        <v>42.783333328552544</v>
      </c>
      <c r="O94" s="7"/>
      <c r="P94" s="7"/>
      <c r="Q94" s="25"/>
      <c r="R94" s="25"/>
      <c r="S94" s="37">
        <f t="shared" si="29"/>
        <v>1</v>
      </c>
      <c r="T94" s="52" t="str">
        <f t="shared" si="30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13:35:55-0600',mode:absolute,to:'2016-09-21 16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4" s="54" t="str">
        <f t="shared" si="32"/>
        <v>N</v>
      </c>
      <c r="X94" s="168">
        <f t="shared" si="33"/>
        <v>1</v>
      </c>
      <c r="Y94" s="69">
        <f t="shared" si="34"/>
        <v>23.299199999999999</v>
      </c>
      <c r="Z94" s="69">
        <f t="shared" si="41"/>
        <v>1.7000000000000001E-2</v>
      </c>
      <c r="AA94" s="69">
        <f t="shared" si="36"/>
        <v>23.2822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7"/>
        <v>0182-21</v>
      </c>
      <c r="AE94" s="99" t="str">
        <f t="shared" si="38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94" s="96" t="str">
        <f t="shared" si="39"/>
        <v>"C:\Program Files (x86)\AstroGrep\AstroGrep.exe" /spath="%USERPROFILE%\AppData\Local\Temp\OnboardLogs" /stypes="app*4019*20160921*" /stext=" 21:.+((SYSTEM_STATE.+slice.+state.+changed )|(ment ac)|(system.+state.+changed )|(\|lc)|(penalty)|(\[timeout)|(PRM\|1\|D)|(kpr)|(kdp))" /e /r /s</v>
      </c>
      <c r="AG94" s="1" t="str">
        <f t="shared" si="40"/>
        <v>EC</v>
      </c>
      <c r="AH94" s="100" t="str">
        <f t="shared" si="25"/>
        <v>"%USERPROFILE%\Documents\GitHub\eaglep3\Utilities\RefineRTDCRunTimes.py" --tripid 182-21 --locoid 4019 --swversion DE.1.0.7.0 --startMP 204:232992 --initTime 2016-09-21T14:35:55 --startdatetime 2016-09-21T14:41:24 --delay 1 --endMP 204:170 --enddatetime 2016-09-21T15:24:11 --enforcementcount 0 &gt;&gt;C:\Users\stu\Documents\GitHub\eaglep3-reporting\EC\2016-09-21-refined-times.txt</v>
      </c>
      <c r="AI9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{"issue":{"subject":"","project_id":79,"tracker_id":40,"status_id":1,"priority_id":2,"assigned_to_id":23,"start_date":"2016-09-21","description":"","custom_fields":[{"id":1,"name":"Subdivision","value":"EC"},{"id":4,"name":"Milepost","value":"0.017"},{"id":17,"name":"Train ID","value":"182-21"},{"id":16,"name":"Locomotive ID","value":"4019"},{"id":130,"name":"Impact","value":""},{"id":150,"name":"Time of Event (Mountain Time)","value":"15:24:11"},{"id":151,"name":"Denver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519</v>
      </c>
      <c r="B95" s="7">
        <v>4002</v>
      </c>
      <c r="C95" s="24" t="s">
        <v>106</v>
      </c>
      <c r="D95" s="24" t="s">
        <v>238</v>
      </c>
      <c r="E95" s="15">
        <v>42634.578506944446</v>
      </c>
      <c r="F95" s="15">
        <v>42634.583749999998</v>
      </c>
      <c r="G95" s="7">
        <v>1</v>
      </c>
      <c r="H95" s="15" t="s">
        <v>665</v>
      </c>
      <c r="I95" s="15">
        <v>42634.609479166669</v>
      </c>
      <c r="J95" s="7">
        <v>0</v>
      </c>
      <c r="K95" s="121" t="str">
        <f t="shared" si="27"/>
        <v>4001/4002</v>
      </c>
      <c r="L95" s="24" t="str">
        <f>VLOOKUP(A95,'Trips&amp;Operators'!$C$1:$E$10000,3,FALSE)</f>
        <v>BRUDER</v>
      </c>
      <c r="M95" s="6">
        <f t="shared" si="28"/>
        <v>2.5729166671226267E-2</v>
      </c>
      <c r="N95" s="7">
        <f t="shared" si="42"/>
        <v>37.050000006565824</v>
      </c>
      <c r="O95" s="7"/>
      <c r="P95" s="7"/>
      <c r="Q95" s="25"/>
      <c r="R95" s="25"/>
      <c r="S95" s="37">
        <f t="shared" si="29"/>
        <v>1</v>
      </c>
      <c r="T95" s="52" t="str">
        <f t="shared" si="30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12:53:03-0600',mode:absolute,to:'2016-09-21 15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5" s="54" t="str">
        <f t="shared" si="32"/>
        <v>N</v>
      </c>
      <c r="X95" s="168">
        <f t="shared" si="33"/>
        <v>1</v>
      </c>
      <c r="Y95" s="69">
        <f t="shared" si="34"/>
        <v>4.4900000000000002E-2</v>
      </c>
      <c r="Z95" s="69">
        <f t="shared" si="41"/>
        <v>23.329799999999999</v>
      </c>
      <c r="AA95" s="69">
        <f t="shared" si="36"/>
        <v>23.2849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7"/>
        <v>0183-21</v>
      </c>
      <c r="AE95" s="99" t="str">
        <f t="shared" si="38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95" s="96" t="str">
        <f t="shared" si="39"/>
        <v>"C:\Program Files (x86)\AstroGrep\AstroGrep.exe" /spath="%USERPROFILE%\AppData\Local\Temp\OnboardLogs" /stypes="app*4002*20160921*" /stext=" 20:.+((SYSTEM_STATE.+slice.+state.+changed )|(ment ac)|(system.+state.+changed )|(\|lc)|(penalty)|(\[timeout)|(PRM\|1\|D)|(kpr)|(kdp))" /e /r /s</v>
      </c>
      <c r="AG95" s="1" t="str">
        <f t="shared" si="40"/>
        <v>EC</v>
      </c>
      <c r="AH95" s="100" t="str">
        <f t="shared" si="25"/>
        <v>"%USERPROFILE%\Documents\GitHub\eaglep3\Utilities\RefineRTDCRunTimes.py" --tripid 183-21 --locoid 4002 --swversion DE.1.0.7.0 --startMP 204:449 --initTime 2016-09-21T13:53:03 --startdatetime 2016-09-21T14:00:36 --delay 1 --endMP 204:233298 --enddatetime 2016-09-21T14:37:39 --enforcementcount 0 &gt;&gt;C:\Users\stu\Documents\GitHub\eaglep3-reporting\EC\2016-09-21-refined-times.txt</v>
      </c>
      <c r="AI9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{"issue":{"subject":"","project_id":79,"tracker_id":40,"status_id":1,"priority_id":2,"assigned_to_id":23,"start_date":"2016-09-21","description":"","custom_fields":[{"id":1,"name":"Subdivision","value":"EC"},{"id":4,"name":"Milepost","value":"23.3298"},{"id":17,"name":"Train ID","value":"183-21"},{"id":16,"name":"Locomotive ID","value":"4002"},{"id":130,"name":"Impact","value":""},{"id":150,"name":"Time of Event (Mountain Time)","value":"14:37:39"},{"id":151,"name":"Denver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528</v>
      </c>
      <c r="B96" s="7">
        <v>4001</v>
      </c>
      <c r="C96" s="24" t="s">
        <v>106</v>
      </c>
      <c r="D96" s="24" t="s">
        <v>636</v>
      </c>
      <c r="E96" s="15">
        <v>42634.617291666669</v>
      </c>
      <c r="F96" s="15">
        <v>42634.622534722221</v>
      </c>
      <c r="G96" s="7">
        <v>1</v>
      </c>
      <c r="H96" s="15" t="s">
        <v>220</v>
      </c>
      <c r="I96" s="15">
        <v>42634.654687499999</v>
      </c>
      <c r="J96" s="7">
        <v>0</v>
      </c>
      <c r="K96" s="121" t="str">
        <f t="shared" si="27"/>
        <v>4001/4002</v>
      </c>
      <c r="L96" s="24" t="str">
        <f>VLOOKUP(A96,'Trips&amp;Operators'!$C$1:$E$10000,3,FALSE)</f>
        <v>BRUDER</v>
      </c>
      <c r="M96" s="6">
        <f t="shared" si="28"/>
        <v>3.2152777777810115E-2</v>
      </c>
      <c r="N96" s="7">
        <f t="shared" si="42"/>
        <v>46.300000000046566</v>
      </c>
      <c r="O96" s="7"/>
      <c r="P96" s="7"/>
      <c r="Q96" s="25"/>
      <c r="R96" s="25"/>
      <c r="S96" s="37">
        <f t="shared" si="29"/>
        <v>1</v>
      </c>
      <c r="T96" s="52" t="str">
        <f t="shared" si="30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13:48:54-0600',mode:absolute,to:'2016-09-21 16:42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6" s="54" t="str">
        <f t="shared" si="32"/>
        <v>N</v>
      </c>
      <c r="X96" s="168">
        <f t="shared" si="33"/>
        <v>1</v>
      </c>
      <c r="Y96" s="69">
        <f t="shared" si="34"/>
        <v>23.297599999999999</v>
      </c>
      <c r="Z96" s="69">
        <f t="shared" si="41"/>
        <v>1.4999999999999999E-2</v>
      </c>
      <c r="AA96" s="69">
        <f t="shared" si="36"/>
        <v>23.282599999999999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7"/>
        <v>0184-21</v>
      </c>
      <c r="AE96" s="99" t="str">
        <f t="shared" si="38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96" s="96" t="str">
        <f t="shared" si="39"/>
        <v>"C:\Program Files (x86)\AstroGrep\AstroGrep.exe" /spath="%USERPROFILE%\AppData\Local\Temp\OnboardLogs" /stypes="app*4001*20160921*" /stext=" 21:.+((SYSTEM_STATE.+slice.+state.+changed )|(ment ac)|(system.+state.+changed )|(\|lc)|(penalty)|(\[timeout)|(PRM\|1\|D)|(kpr)|(kdp))" /e /r /s</v>
      </c>
      <c r="AG96" s="1" t="str">
        <f t="shared" si="40"/>
        <v>EC</v>
      </c>
      <c r="AH96" s="100" t="str">
        <f t="shared" si="25"/>
        <v>"%USERPROFILE%\Documents\GitHub\eaglep3\Utilities\RefineRTDCRunTimes.py" --tripid 184-21 --locoid 4001 --swversion DE.1.0.7.0 --startMP 204:232976 --initTime 2016-09-21T14:48:54 --startdatetime 2016-09-21T14:56:27 --delay 1 --endMP 204:150 --enddatetime 2016-09-21T15:42:45 --enforcementcount 0 &gt;&gt;C:\Users\stu\Documents\GitHub\eaglep3-reporting\EC\2016-09-21-refined-times.txt</v>
      </c>
      <c r="AI9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ID","value":"184-21"},{"id":16,"name":"Locomotive ID","value":"4001"},{"id":130,"name":"Impact","value":""},{"id":150,"name":"Time of Event (Mountain Time)","value":"15:42:45"},{"id":151,"name":"Denver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521</v>
      </c>
      <c r="B97" s="7">
        <v>4016</v>
      </c>
      <c r="C97" s="24" t="s">
        <v>106</v>
      </c>
      <c r="D97" s="24" t="s">
        <v>308</v>
      </c>
      <c r="E97" s="15">
        <v>42634.588125000002</v>
      </c>
      <c r="F97" s="15">
        <v>42634.593935185185</v>
      </c>
      <c r="G97" s="7">
        <v>1</v>
      </c>
      <c r="H97" s="15" t="s">
        <v>253</v>
      </c>
      <c r="I97" s="15">
        <v>42634.61959490741</v>
      </c>
      <c r="J97" s="7">
        <v>0</v>
      </c>
      <c r="K97" s="121" t="str">
        <f t="shared" si="27"/>
        <v>4015/4016</v>
      </c>
      <c r="L97" s="24" t="str">
        <f>VLOOKUP(A97,'Trips&amp;Operators'!$C$1:$E$10000,3,FALSE)</f>
        <v>STORY</v>
      </c>
      <c r="M97" s="6">
        <f t="shared" si="28"/>
        <v>2.5659722225100268E-2</v>
      </c>
      <c r="N97" s="7">
        <f t="shared" si="42"/>
        <v>36.950000004144385</v>
      </c>
      <c r="O97" s="7"/>
      <c r="P97" s="7"/>
      <c r="Q97" s="25"/>
      <c r="R97" s="25"/>
      <c r="S97" s="37">
        <f t="shared" si="29"/>
        <v>1</v>
      </c>
      <c r="T97" s="52" t="str">
        <f t="shared" si="30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13:06:54-0600',mode:absolute,to:'2016-09-21 15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7" s="54" t="str">
        <f t="shared" si="32"/>
        <v>N</v>
      </c>
      <c r="X97" s="168">
        <f t="shared" si="33"/>
        <v>1</v>
      </c>
      <c r="Y97" s="69">
        <f t="shared" si="34"/>
        <v>4.4200000000000003E-2</v>
      </c>
      <c r="Z97" s="69">
        <f t="shared" si="41"/>
        <v>23.330300000000001</v>
      </c>
      <c r="AA97" s="69">
        <f t="shared" si="36"/>
        <v>23.286100000000001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7"/>
        <v>0185-21</v>
      </c>
      <c r="AE97" s="99" t="str">
        <f t="shared" si="38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97" s="96" t="str">
        <f t="shared" si="39"/>
        <v>"C:\Program Files (x86)\AstroGrep\AstroGrep.exe" /spath="%USERPROFILE%\AppData\Local\Temp\OnboardLogs" /stypes="app*4016*20160921*" /stext=" 20:.+((SYSTEM_STATE.+slice.+state.+changed )|(ment ac)|(system.+state.+changed )|(\|lc)|(penalty)|(\[timeout)|(PRM\|1\|D)|(kpr)|(kdp))" /e /r /s</v>
      </c>
      <c r="AG97" s="1" t="str">
        <f t="shared" si="40"/>
        <v>EC</v>
      </c>
      <c r="AH97" s="100" t="str">
        <f t="shared" si="25"/>
        <v>"%USERPROFILE%\Documents\GitHub\eaglep3\Utilities\RefineRTDCRunTimes.py" --tripid 185-21 --locoid 4016 --swversion DE.1.0.7.0 --startMP 204:442 --initTime 2016-09-21T14:06:54 --startdatetime 2016-09-21T14:15:16 --delay 1 --endMP 204:233303 --enddatetime 2016-09-21T14:52:13 --enforcementcount 0 &gt;&gt;C:\Users\stu\Documents\GitHub\eaglep3-reporting\EC\2016-09-21-refined-times.txt</v>
      </c>
      <c r="AI9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{"issue":{"subject":"","project_id":79,"tracker_id":40,"status_id":1,"priority_id":2,"assigned_to_id":23,"start_date":"2016-09-21","description":"","custom_fields":[{"id":1,"name":"Subdivision","value":"EC"},{"id":4,"name":"Milepost","value":"23.3303"},{"id":17,"name":"Train ID","value":"185-21"},{"id":16,"name":"Locomotive ID","value":"4016"},{"id":130,"name":"Impact","value":""},{"id":150,"name":"Time of Event (Mountain Time)","value":"14:52:13"},{"id":151,"name":"Denver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530</v>
      </c>
      <c r="B98" s="7">
        <v>4015</v>
      </c>
      <c r="C98" s="24" t="s">
        <v>106</v>
      </c>
      <c r="D98" s="24" t="s">
        <v>235</v>
      </c>
      <c r="E98" s="15">
        <v>42634.625532407408</v>
      </c>
      <c r="F98" s="15">
        <v>42634.632881944446</v>
      </c>
      <c r="G98" s="7">
        <v>1</v>
      </c>
      <c r="H98" s="15" t="s">
        <v>666</v>
      </c>
      <c r="I98" s="15">
        <v>42634.662164351852</v>
      </c>
      <c r="J98" s="7">
        <v>0</v>
      </c>
      <c r="K98" s="121" t="str">
        <f t="shared" si="27"/>
        <v>4015/4016</v>
      </c>
      <c r="L98" s="24" t="str">
        <f>VLOOKUP(A98,'Trips&amp;Operators'!$C$1:$E$10000,3,FALSE)</f>
        <v>STORY</v>
      </c>
      <c r="M98" s="6">
        <f t="shared" si="28"/>
        <v>2.9282407405844424E-2</v>
      </c>
      <c r="N98" s="7">
        <f t="shared" si="42"/>
        <v>42.16666666441597</v>
      </c>
      <c r="O98" s="7"/>
      <c r="P98" s="7"/>
      <c r="Q98" s="25"/>
      <c r="R98" s="25"/>
      <c r="S98" s="37">
        <f t="shared" si="29"/>
        <v>1</v>
      </c>
      <c r="T98" s="52" t="str">
        <f t="shared" si="30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14:00:46-0600',mode:absolute,to:'2016-09-21 16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8" s="54" t="str">
        <f t="shared" si="32"/>
        <v>N</v>
      </c>
      <c r="X98" s="168">
        <f t="shared" si="33"/>
        <v>1</v>
      </c>
      <c r="Y98" s="69">
        <f t="shared" si="34"/>
        <v>23.297999999999998</v>
      </c>
      <c r="Z98" s="69">
        <f t="shared" si="41"/>
        <v>0.02</v>
      </c>
      <c r="AA98" s="69">
        <f t="shared" si="36"/>
        <v>23.277999999999999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7"/>
        <v>0186-21</v>
      </c>
      <c r="AE98" s="99" t="str">
        <f t="shared" si="38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98" s="96" t="str">
        <f t="shared" si="39"/>
        <v>"C:\Program Files (x86)\AstroGrep\AstroGrep.exe" /spath="%USERPROFILE%\AppData\Local\Temp\OnboardLogs" /stypes="app*4015*20160921*" /stext=" 21:.+((SYSTEM_STATE.+slice.+state.+changed )|(ment ac)|(system.+state.+changed )|(\|lc)|(penalty)|(\[timeout)|(PRM\|1\|D)|(kpr)|(kdp))" /e /r /s</v>
      </c>
      <c r="AG98" s="1" t="str">
        <f t="shared" si="40"/>
        <v>EC</v>
      </c>
      <c r="AH98" s="100" t="str">
        <f t="shared" si="25"/>
        <v>"%USERPROFILE%\Documents\GitHub\eaglep3\Utilities\RefineRTDCRunTimes.py" --tripid 186-21 --locoid 4015 --swversion DE.1.0.7.0 --startMP 204:232980 --initTime 2016-09-21T15:00:46 --startdatetime 2016-09-21T15:11:21 --delay 1 --endMP 204:200 --enddatetime 2016-09-21T15:53:31 --enforcementcount 0 &gt;&gt;C:\Users\stu\Documents\GitHub\eaglep3-reporting\EC\2016-09-21-refined-times.txt</v>
      </c>
      <c r="AI9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{"issue":{"subject":"","project_id":79,"tracker_id":40,"status_id":1,"priority_id":2,"assigned_to_id":23,"start_date":"2016-09-21","description":"","custom_fields":[{"id":1,"name":"Subdivision","value":"EC"},{"id":4,"name":"Milepost","value":"0.02"},{"id":17,"name":"Train ID","value":"186-21"},{"id":16,"name":"Locomotive ID","value":"4015"},{"id":130,"name":"Impact","value":""},{"id":150,"name":"Time of Event (Mountain Time)","value":"15:53:31"},{"id":151,"name":"Denver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524</v>
      </c>
      <c r="B99" s="7">
        <v>4007</v>
      </c>
      <c r="C99" s="24" t="s">
        <v>106</v>
      </c>
      <c r="D99" s="24" t="s">
        <v>219</v>
      </c>
      <c r="E99" s="15">
        <v>42634.598819444444</v>
      </c>
      <c r="F99" s="15">
        <v>42634.604409722226</v>
      </c>
      <c r="G99" s="7">
        <v>1</v>
      </c>
      <c r="H99" s="15" t="s">
        <v>346</v>
      </c>
      <c r="I99" s="15">
        <v>42634.631215277775</v>
      </c>
      <c r="J99" s="7">
        <v>0</v>
      </c>
      <c r="K99" s="121" t="str">
        <f t="shared" si="27"/>
        <v>4007/4008</v>
      </c>
      <c r="L99" s="24" t="str">
        <f>VLOOKUP(A99,'Trips&amp;Operators'!$C$1:$E$10000,3,FALSE)</f>
        <v>BONDS</v>
      </c>
      <c r="M99" s="6">
        <f t="shared" si="28"/>
        <v>2.6805555549799465E-2</v>
      </c>
      <c r="N99" s="7">
        <f t="shared" si="42"/>
        <v>38.599999991711229</v>
      </c>
      <c r="O99" s="7"/>
      <c r="P99" s="7"/>
      <c r="Q99" s="25"/>
      <c r="R99" s="25"/>
      <c r="S99" s="37">
        <f t="shared" si="29"/>
        <v>1</v>
      </c>
      <c r="T99" s="52" t="str">
        <f t="shared" si="30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13:22:18-0600',mode:absolute,to:'2016-09-21 16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99" s="54" t="str">
        <f t="shared" si="32"/>
        <v>N</v>
      </c>
      <c r="X99" s="168">
        <f t="shared" si="33"/>
        <v>1</v>
      </c>
      <c r="Y99" s="69">
        <f t="shared" si="34"/>
        <v>4.53E-2</v>
      </c>
      <c r="Z99" s="69">
        <f t="shared" si="41"/>
        <v>23.331499999999998</v>
      </c>
      <c r="AA99" s="69">
        <f t="shared" si="36"/>
        <v>23.286199999999997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7"/>
        <v>0187-21</v>
      </c>
      <c r="AE99" s="99" t="str">
        <f t="shared" si="38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99" s="96" t="str">
        <f t="shared" si="39"/>
        <v>"C:\Program Files (x86)\AstroGrep\AstroGrep.exe" /spath="%USERPROFILE%\AppData\Local\Temp\OnboardLogs" /stypes="app*4007*20160921*" /stext=" 21:.+((SYSTEM_STATE.+slice.+state.+changed )|(ment ac)|(system.+state.+changed )|(\|lc)|(penalty)|(\[timeout)|(PRM\|1\|D)|(kpr)|(kdp))" /e /r /s</v>
      </c>
      <c r="AG99" s="1" t="str">
        <f t="shared" si="40"/>
        <v>EC</v>
      </c>
      <c r="AH99" s="100" t="str">
        <f t="shared" si="25"/>
        <v>"%USERPROFILE%\Documents\GitHub\eaglep3\Utilities\RefineRTDCRunTimes.py" --tripid 187-21 --locoid 4007 --swversion DE.1.0.7.0 --startMP 204:453 --initTime 2016-09-21T14:22:18 --startdatetime 2016-09-21T14:30:21 --delay 1 --endMP 204:233315 --enddatetime 2016-09-21T15:08:57 --enforcementcount 0 &gt;&gt;C:\Users\stu\Documents\GitHub\eaglep3-reporting\EC\2016-09-21-refined-times.txt</v>
      </c>
      <c r="AI9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{"issue":{"subject":"","project_id":79,"tracker_id":40,"status_id":1,"priority_id":2,"assigned_to_id":23,"start_date":"2016-09-21","description":"","custom_fields":[{"id":1,"name":"Subdivision","value":"EC"},{"id":4,"name":"Milepost","value":"23.3315"},{"id":17,"name":"Train ID","value":"187-21"},{"id":16,"name":"Locomotive ID","value":"4007"},{"id":130,"name":"Impact","value":""},{"id":150,"name":"Time of Event (Mountain Time)","value":"15:08:57"},{"id":151,"name":"Denver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533</v>
      </c>
      <c r="B100" s="7">
        <v>4008</v>
      </c>
      <c r="C100" s="24" t="s">
        <v>106</v>
      </c>
      <c r="D100" s="24" t="s">
        <v>370</v>
      </c>
      <c r="E100" s="15">
        <v>42634.636400462965</v>
      </c>
      <c r="F100" s="15">
        <v>42634.643553240741</v>
      </c>
      <c r="G100" s="7">
        <v>1</v>
      </c>
      <c r="H100" s="15" t="s">
        <v>214</v>
      </c>
      <c r="I100" s="15">
        <v>42634.67633101852</v>
      </c>
      <c r="J100" s="7">
        <v>0</v>
      </c>
      <c r="K100" s="121" t="str">
        <f t="shared" si="27"/>
        <v>4007/4008</v>
      </c>
      <c r="L100" s="24" t="str">
        <f>VLOOKUP(A100,'Trips&amp;Operators'!$C$1:$E$10000,3,FALSE)</f>
        <v>BONDS</v>
      </c>
      <c r="M100" s="6">
        <f t="shared" si="28"/>
        <v>3.2777777778392192E-2</v>
      </c>
      <c r="N100" s="7">
        <f t="shared" si="42"/>
        <v>47.200000000884756</v>
      </c>
      <c r="O100" s="7"/>
      <c r="P100" s="7"/>
      <c r="Q100" s="25"/>
      <c r="R100" s="25"/>
      <c r="S100" s="37">
        <f t="shared" si="29"/>
        <v>1</v>
      </c>
      <c r="T100" s="52" t="str">
        <f t="shared" si="30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14:16:25-0600',mode:absolute,to:'2016-09-21 17:13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00" s="54" t="str">
        <f t="shared" si="32"/>
        <v>N</v>
      </c>
      <c r="X100" s="168">
        <f t="shared" si="33"/>
        <v>1</v>
      </c>
      <c r="Y100" s="69">
        <f t="shared" si="34"/>
        <v>23.2987</v>
      </c>
      <c r="Z100" s="69">
        <f t="shared" si="41"/>
        <v>1.6E-2</v>
      </c>
      <c r="AA100" s="69">
        <f t="shared" si="36"/>
        <v>23.282700000000002</v>
      </c>
      <c r="AB100" s="66" t="str">
        <f>VLOOKUP(A100,Enforcements!$C$7:$K$20,8,0)</f>
        <v>Bulletin (2)</v>
      </c>
      <c r="AC100" s="62" t="str">
        <f>VLOOKUP(A100,Enforcements!$C$7:$E$20,3,0)</f>
        <v>GRADE CROSSING</v>
      </c>
      <c r="AD100" s="63" t="str">
        <f t="shared" si="37"/>
        <v>0188-21</v>
      </c>
      <c r="AE100" s="99" t="str">
        <f t="shared" si="38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100" s="96" t="str">
        <f t="shared" si="39"/>
        <v>"C:\Program Files (x86)\AstroGrep\AstroGrep.exe" /spath="%USERPROFILE%\AppData\Local\Temp\OnboardLogs" /stypes="app*4008*20160921*" /stext=" 22:.+((SYSTEM_STATE.+slice.+state.+changed )|(ment ac)|(system.+state.+changed )|(\|lc)|(penalty)|(\[timeout)|(PRM\|1\|D)|(kpr)|(kdp))" /e /r /s</v>
      </c>
      <c r="AG100" s="1" t="str">
        <f t="shared" si="40"/>
        <v>EC</v>
      </c>
      <c r="AH100" s="100" t="str">
        <f t="shared" si="25"/>
        <v>"%USERPROFILE%\Documents\GitHub\eaglep3\Utilities\RefineRTDCRunTimes.py" --tripid 188-21 --locoid 4008 --swversion DE.1.0.7.0 --startMP 204:232987 --initTime 2016-09-21T15:16:25 --startdatetime 2016-09-21T15:26:43 --delay 1 --endMP 204:160 --enddatetime 2016-09-21T16:13:55 --enforcementcount 0 &gt;&gt;C:\Users\stu\Documents\GitHub\eaglep3-reporting\EC\2016-09-21-refined-times.txt</v>
      </c>
      <c r="AI10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{"issue":{"subject":"","project_id":79,"tracker_id":40,"status_id":1,"priority_id":2,"assigned_to_id":23,"start_date":"2016-09-21","description":"","custom_fields":[{"id":1,"name":"Subdivision","value":"EC"},{"id":4,"name":"Milepost","value":"0.016"},{"id":17,"name":"Train ID","value":"188-21"},{"id":16,"name":"Locomotive ID","value":"4008"},{"id":130,"name":"Impact","value":""},{"id":150,"name":"Time of Event (Mountain Time)","value":"16:13:55"},{"id":151,"name":"Denver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527</v>
      </c>
      <c r="B101" s="7">
        <v>4027</v>
      </c>
      <c r="C101" s="24" t="s">
        <v>106</v>
      </c>
      <c r="D101" s="24" t="s">
        <v>310</v>
      </c>
      <c r="E101" s="15">
        <v>42634.609618055554</v>
      </c>
      <c r="F101" s="15">
        <v>42634.614976851852</v>
      </c>
      <c r="G101" s="7">
        <v>1</v>
      </c>
      <c r="H101" s="15" t="s">
        <v>667</v>
      </c>
      <c r="I101" s="15">
        <v>42634.640543981484</v>
      </c>
      <c r="J101" s="7">
        <v>0</v>
      </c>
      <c r="K101" s="121" t="str">
        <f t="shared" si="27"/>
        <v>4027/4028</v>
      </c>
      <c r="L101" s="24" t="str">
        <f>VLOOKUP(A101,'Trips&amp;Operators'!$C$1:$E$10000,3,FALSE)</f>
        <v>BARTLETT</v>
      </c>
      <c r="M101" s="6">
        <f t="shared" si="28"/>
        <v>2.5567129632690921E-2</v>
      </c>
      <c r="N101" s="7">
        <f t="shared" si="42"/>
        <v>36.816666671074927</v>
      </c>
      <c r="O101" s="7"/>
      <c r="P101" s="7"/>
      <c r="Q101" s="25"/>
      <c r="R101" s="25"/>
      <c r="S101" s="37">
        <f t="shared" si="29"/>
        <v>1</v>
      </c>
      <c r="T101" s="52" t="str">
        <f t="shared" si="30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13:37:51-0600',mode:absolute,to:'2016-09-21 16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1" s="54" t="str">
        <f t="shared" si="32"/>
        <v>N</v>
      </c>
      <c r="X101" s="168">
        <f t="shared" si="33"/>
        <v>1</v>
      </c>
      <c r="Y101" s="69">
        <f t="shared" si="34"/>
        <v>4.8399999999999999E-2</v>
      </c>
      <c r="Z101" s="69">
        <f t="shared" si="41"/>
        <v>23.326799999999999</v>
      </c>
      <c r="AA101" s="69">
        <f t="shared" si="36"/>
        <v>23.278399999999998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7"/>
        <v>0189-21</v>
      </c>
      <c r="AE101" s="99" t="str">
        <f t="shared" si="38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01" s="96" t="str">
        <f t="shared" si="39"/>
        <v>"C:\Program Files (x86)\AstroGrep\AstroGrep.exe" /spath="%USERPROFILE%\AppData\Local\Temp\OnboardLogs" /stypes="app*4027*20160921*" /stext=" 21:.+((SYSTEM_STATE.+slice.+state.+changed )|(ment ac)|(system.+state.+changed )|(\|lc)|(penalty)|(\[timeout)|(PRM\|1\|D)|(kpr)|(kdp))" /e /r /s</v>
      </c>
      <c r="AG101" s="1" t="str">
        <f t="shared" si="40"/>
        <v>EC</v>
      </c>
      <c r="AH101" s="100" t="str">
        <f t="shared" si="25"/>
        <v>"%USERPROFILE%\Documents\GitHub\eaglep3\Utilities\RefineRTDCRunTimes.py" --tripid 189-21 --locoid 4027 --swversion DE.1.0.7.0 --startMP 204:484 --initTime 2016-09-21T14:37:51 --startdatetime 2016-09-21T14:45:34 --delay 1 --endMP 204:233268 --enddatetime 2016-09-21T15:22:23 --enforcementcount 0 &gt;&gt;C:\Users\stu\Documents\GitHub\eaglep3-reporting\EC\2016-09-21-refined-times.txt</v>
      </c>
      <c r="AI10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{"issue":{"subject":"","project_id":79,"tracker_id":40,"status_id":1,"priority_id":2,"assigned_to_id":23,"start_date":"2016-09-21","description":"","custom_fields":[{"id":1,"name":"Subdivision","value":"EC"},{"id":4,"name":"Milepost","value":"23.3268"},{"id":17,"name":"Train ID","value":"189-21"},{"id":16,"name":"Locomotive ID","value":"4027"},{"id":130,"name":"Impact","value":""},{"id":150,"name":"Time of Event (Mountain Time)","value":"15:22:23"},{"id":151,"name":"Denver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535</v>
      </c>
      <c r="B102" s="7">
        <v>4028</v>
      </c>
      <c r="C102" s="24" t="s">
        <v>106</v>
      </c>
      <c r="D102" s="24" t="s">
        <v>668</v>
      </c>
      <c r="E102" s="15">
        <v>42634.642326388886</v>
      </c>
      <c r="F102" s="15">
        <v>42634.653668981482</v>
      </c>
      <c r="G102" s="7">
        <v>1</v>
      </c>
      <c r="H102" s="15" t="s">
        <v>215</v>
      </c>
      <c r="I102" s="15">
        <v>42634.684745370374</v>
      </c>
      <c r="J102" s="7">
        <v>0</v>
      </c>
      <c r="K102" s="121" t="str">
        <f t="shared" si="27"/>
        <v>4027/4028</v>
      </c>
      <c r="L102" s="24" t="str">
        <f>VLOOKUP(A102,'Trips&amp;Operators'!$C$1:$E$10000,3,FALSE)</f>
        <v>BARTLETT</v>
      </c>
      <c r="M102" s="6">
        <f t="shared" si="28"/>
        <v>3.107638889196096E-2</v>
      </c>
      <c r="N102" s="7">
        <f t="shared" si="42"/>
        <v>44.750000004423782</v>
      </c>
      <c r="O102" s="7"/>
      <c r="P102" s="7"/>
      <c r="Q102" s="25"/>
      <c r="R102" s="25"/>
      <c r="S102" s="37">
        <f t="shared" si="29"/>
        <v>1</v>
      </c>
      <c r="T102" s="52" t="str">
        <f t="shared" si="30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14:24:57-0600',mode:absolute,to:'2016-09-21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2" s="54" t="str">
        <f t="shared" si="32"/>
        <v>N</v>
      </c>
      <c r="X102" s="168">
        <f t="shared" si="33"/>
        <v>1</v>
      </c>
      <c r="Y102" s="69">
        <f t="shared" si="34"/>
        <v>23.296099999999999</v>
      </c>
      <c r="Z102" s="69">
        <f t="shared" si="41"/>
        <v>1.6299999999999999E-2</v>
      </c>
      <c r="AA102" s="69">
        <f t="shared" si="36"/>
        <v>23.279799999999998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7"/>
        <v>0190-21</v>
      </c>
      <c r="AE102" s="99" t="str">
        <f t="shared" si="38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102" s="96" t="str">
        <f t="shared" si="39"/>
        <v>"C:\Program Files (x86)\AstroGrep\AstroGrep.exe" /spath="%USERPROFILE%\AppData\Local\Temp\OnboardLogs" /stypes="app*4028*20160921*" /stext=" 22:.+((SYSTEM_STATE.+slice.+state.+changed )|(ment ac)|(system.+state.+changed )|(\|lc)|(penalty)|(\[timeout)|(PRM\|1\|D)|(kpr)|(kdp))" /e /r /s</v>
      </c>
      <c r="AG102" s="1" t="str">
        <f t="shared" si="40"/>
        <v>EC</v>
      </c>
      <c r="AH102" s="100" t="str">
        <f t="shared" si="25"/>
        <v>"%USERPROFILE%\Documents\GitHub\eaglep3\Utilities\RefineRTDCRunTimes.py" --tripid 190-21 --locoid 4028 --swversion DE.1.0.7.0 --startMP 204:232961 --initTime 2016-09-21T15:24:57 --startdatetime 2016-09-21T15:41:17 --delay 1 --endMP 204:163 --enddatetime 2016-09-21T16:26:02 --enforcementcount 0 &gt;&gt;C:\Users\stu\Documents\GitHub\eaglep3-reporting\EC\2016-09-21-refined-times.txt</v>
      </c>
      <c r="AI10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{"issue":{"subject":"","project_id":79,"tracker_id":40,"status_id":1,"priority_id":2,"assigned_to_id":23,"start_date":"2016-09-21","description":"","custom_fields":[{"id":1,"name":"Subdivision","value":"EC"},{"id":4,"name":"Milepost","value":"0.0163"},{"id":17,"name":"Train ID","value":"190-21"},{"id":16,"name":"Locomotive ID","value":"4028"},{"id":130,"name":"Impact","value":""},{"id":150,"name":"Time of Event (Mountain Time)","value":"16:26:02"},{"id":151,"name":"Denver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529</v>
      </c>
      <c r="B103" s="7">
        <v>4042</v>
      </c>
      <c r="C103" s="24" t="s">
        <v>106</v>
      </c>
      <c r="D103" s="24" t="s">
        <v>219</v>
      </c>
      <c r="E103" s="15">
        <v>42634.620717592596</v>
      </c>
      <c r="F103" s="15">
        <v>42634.625324074077</v>
      </c>
      <c r="G103" s="7">
        <v>1</v>
      </c>
      <c r="H103" s="15" t="s">
        <v>669</v>
      </c>
      <c r="I103" s="15">
        <v>42634.651226851849</v>
      </c>
      <c r="J103" s="7">
        <v>0</v>
      </c>
      <c r="K103" s="121" t="str">
        <f t="shared" si="27"/>
        <v>4041/4042</v>
      </c>
      <c r="L103" s="24" t="str">
        <f>VLOOKUP(A103,'Trips&amp;Operators'!$C$1:$E$10000,3,FALSE)</f>
        <v>HELVIE</v>
      </c>
      <c r="M103" s="6">
        <f t="shared" si="28"/>
        <v>2.5902777771989349E-2</v>
      </c>
      <c r="N103" s="7">
        <f t="shared" si="42"/>
        <v>37.299999991664663</v>
      </c>
      <c r="O103" s="7"/>
      <c r="P103" s="7"/>
      <c r="Q103" s="25"/>
      <c r="R103" s="25"/>
      <c r="S103" s="37">
        <f t="shared" si="29"/>
        <v>1</v>
      </c>
      <c r="T103" s="52" t="str">
        <f t="shared" si="30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13:53:50-0600',mode:absolute,to:'2016-09-21 16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32"/>
        <v>N</v>
      </c>
      <c r="X103" s="168">
        <f t="shared" si="33"/>
        <v>1</v>
      </c>
      <c r="Y103" s="69">
        <f t="shared" si="34"/>
        <v>4.53E-2</v>
      </c>
      <c r="Z103" s="69">
        <f t="shared" si="41"/>
        <v>23.325900000000001</v>
      </c>
      <c r="AA103" s="69">
        <f t="shared" si="36"/>
        <v>23.2806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7"/>
        <v>0191-21</v>
      </c>
      <c r="AE103" s="99" t="str">
        <f t="shared" si="38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03" s="96" t="str">
        <f t="shared" si="39"/>
        <v>"C:\Program Files (x86)\AstroGrep\AstroGrep.exe" /spath="%USERPROFILE%\AppData\Local\Temp\OnboardLogs" /stypes="app*4042*20160921*" /stext=" 21:.+((SYSTEM_STATE.+slice.+state.+changed )|(ment ac)|(system.+state.+changed )|(\|lc)|(penalty)|(\[timeout)|(PRM\|1\|D)|(kpr)|(kdp))" /e /r /s</v>
      </c>
      <c r="AG103" s="1" t="str">
        <f t="shared" si="40"/>
        <v>EC</v>
      </c>
      <c r="AH103" s="100" t="str">
        <f t="shared" si="25"/>
        <v>"%USERPROFILE%\Documents\GitHub\eaglep3\Utilities\RefineRTDCRunTimes.py" --tripid 191-21 --locoid 4042 --swversion DE.1.0.7.0 --startMP 204:453 --initTime 2016-09-21T14:53:50 --startdatetime 2016-09-21T15:00:28 --delay 1 --endMP 204:233259 --enddatetime 2016-09-21T15:37:46 --enforcementcount 0 &gt;&gt;C:\Users\stu\Documents\GitHub\eaglep3-reporting\EC\2016-09-21-refined-times.txt</v>
      </c>
      <c r="AI10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{"issue":{"subject":"","project_id":79,"tracker_id":40,"status_id":1,"priority_id":2,"assigned_to_id":23,"start_date":"2016-09-21","description":"","custom_fields":[{"id":1,"name":"Subdivision","value":"EC"},{"id":4,"name":"Milepost","value":"23.3259"},{"id":17,"name":"Train ID","value":"191-21"},{"id":16,"name":"Locomotive ID","value":"4042"},{"id":130,"name":"Impact","value":""},{"id":150,"name":"Time of Event (Mountain Time)","value":"15:37:46"},{"id":151,"name":"Denver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540</v>
      </c>
      <c r="B104" s="7">
        <v>4041</v>
      </c>
      <c r="C104" s="24" t="s">
        <v>106</v>
      </c>
      <c r="D104" s="24" t="s">
        <v>670</v>
      </c>
      <c r="E104" s="15">
        <v>42634.658576388887</v>
      </c>
      <c r="F104" s="15">
        <v>42634.6641087963</v>
      </c>
      <c r="G104" s="7">
        <v>1</v>
      </c>
      <c r="H104" s="15" t="s">
        <v>218</v>
      </c>
      <c r="I104" s="15">
        <v>42634.693819444445</v>
      </c>
      <c r="J104" s="7">
        <v>0</v>
      </c>
      <c r="K104" s="121" t="str">
        <f t="shared" si="27"/>
        <v>4041/4042</v>
      </c>
      <c r="L104" s="24" t="str">
        <f>VLOOKUP(A104,'Trips&amp;Operators'!$C$1:$E$10000,3,FALSE)</f>
        <v>HELVIE</v>
      </c>
      <c r="M104" s="6">
        <f t="shared" si="28"/>
        <v>2.9710648144828156E-2</v>
      </c>
      <c r="N104" s="7">
        <f t="shared" si="42"/>
        <v>42.783333328552544</v>
      </c>
      <c r="O104" s="7"/>
      <c r="P104" s="7"/>
      <c r="Q104" s="25"/>
      <c r="R104" s="25"/>
      <c r="S104" s="37">
        <f t="shared" si="29"/>
        <v>1</v>
      </c>
      <c r="T104" s="52" t="str">
        <f t="shared" si="30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14:48:21-0600',mode:absolute,to:'2016-09-21 17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32"/>
        <v>N</v>
      </c>
      <c r="X104" s="168">
        <f t="shared" si="33"/>
        <v>1</v>
      </c>
      <c r="Y104" s="69">
        <f t="shared" si="34"/>
        <v>23.292100000000001</v>
      </c>
      <c r="Z104" s="69">
        <f t="shared" si="41"/>
        <v>1.47E-2</v>
      </c>
      <c r="AA104" s="69">
        <f t="shared" si="36"/>
        <v>23.2774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7"/>
        <v>0192-21</v>
      </c>
      <c r="AE104" s="99" t="str">
        <f t="shared" si="38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104" s="96" t="str">
        <f t="shared" si="39"/>
        <v>"C:\Program Files (x86)\AstroGrep\AstroGrep.exe" /spath="%USERPROFILE%\AppData\Local\Temp\OnboardLogs" /stypes="app*4041*20160921*" /stext=" 22:.+((SYSTEM_STATE.+slice.+state.+changed )|(ment ac)|(system.+state.+changed )|(\|lc)|(penalty)|(\[timeout)|(PRM\|1\|D)|(kpr)|(kdp))" /e /r /s</v>
      </c>
      <c r="AG104" s="1" t="str">
        <f t="shared" si="40"/>
        <v>EC</v>
      </c>
      <c r="AH104" s="100" t="str">
        <f t="shared" si="25"/>
        <v>"%USERPROFILE%\Documents\GitHub\eaglep3\Utilities\RefineRTDCRunTimes.py" --tripid 192-21 --locoid 4041 --swversion DE.1.0.7.0 --startMP 204:232921 --initTime 2016-09-21T15:48:21 --startdatetime 2016-09-21T15:56:19 --delay 1 --endMP 204:147 --enddatetime 2016-09-21T16:39:06 --enforcementcount 0 &gt;&gt;C:\Users\stu\Documents\GitHub\eaglep3-reporting\EC\2016-09-21-refined-times.txt</v>
      </c>
      <c r="AI10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{"issue":{"subject":"","project_id":79,"tracker_id":40,"status_id":1,"priority_id":2,"assigned_to_id":23,"start_date":"2016-09-21","description":"","custom_fields":[{"id":1,"name":"Subdivision","value":"EC"},{"id":4,"name":"Milepost","value":"0.0147"},{"id":17,"name":"Train ID","value":"192-21"},{"id":16,"name":"Locomotive ID","value":"4041"},{"id":130,"name":"Impact","value":""},{"id":150,"name":"Time of Event (Mountain Time)","value":"16:39:06"},{"id":151,"name":"Denver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531</v>
      </c>
      <c r="B105" s="7">
        <v>4046</v>
      </c>
      <c r="C105" s="24" t="s">
        <v>106</v>
      </c>
      <c r="D105" s="24" t="s">
        <v>216</v>
      </c>
      <c r="E105" s="15">
        <v>42634.632048611114</v>
      </c>
      <c r="F105" s="15">
        <v>42634.635682870372</v>
      </c>
      <c r="G105" s="7">
        <v>1</v>
      </c>
      <c r="H105" s="15" t="s">
        <v>253</v>
      </c>
      <c r="I105" s="15">
        <v>42634.666747685187</v>
      </c>
      <c r="J105" s="7">
        <v>0</v>
      </c>
      <c r="K105" s="121" t="str">
        <f t="shared" si="27"/>
        <v>4045/4046</v>
      </c>
      <c r="L105" s="24" t="str">
        <f>VLOOKUP(A105,'Trips&amp;Operators'!$C$1:$E$10000,3,FALSE)</f>
        <v>HILLS</v>
      </c>
      <c r="M105" s="6">
        <f t="shared" si="28"/>
        <v>3.1064814815181307E-2</v>
      </c>
      <c r="N105" s="7">
        <f t="shared" si="42"/>
        <v>44.733333333861083</v>
      </c>
      <c r="O105" s="7"/>
      <c r="P105" s="7"/>
      <c r="Q105" s="25"/>
      <c r="R105" s="25"/>
      <c r="S105" s="37">
        <f t="shared" si="29"/>
        <v>1</v>
      </c>
      <c r="T105" s="52" t="str">
        <f t="shared" si="30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14:10:09-0600',mode:absolute,to:'2016-09-21 17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5" s="54" t="str">
        <f t="shared" si="32"/>
        <v>N</v>
      </c>
      <c r="X105" s="168">
        <f t="shared" si="33"/>
        <v>1</v>
      </c>
      <c r="Y105" s="69">
        <f t="shared" si="34"/>
        <v>4.7100000000000003E-2</v>
      </c>
      <c r="Z105" s="69">
        <f t="shared" si="41"/>
        <v>23.330300000000001</v>
      </c>
      <c r="AA105" s="69">
        <f t="shared" si="36"/>
        <v>23.283200000000001</v>
      </c>
      <c r="AB105" s="66" t="str">
        <f>VLOOKUP(A105,Enforcements!$C$7:$K$20,8,0)</f>
        <v>Bulletin (2)</v>
      </c>
      <c r="AC105" s="62" t="str">
        <f>VLOOKUP(A105,Enforcements!$C$7:$E$20,3,0)</f>
        <v>GRADE CROSSING</v>
      </c>
      <c r="AD105" s="63" t="str">
        <f t="shared" si="37"/>
        <v>0193-21</v>
      </c>
      <c r="AE105" s="99" t="str">
        <f t="shared" si="38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105" s="96" t="str">
        <f t="shared" si="39"/>
        <v>"C:\Program Files (x86)\AstroGrep\AstroGrep.exe" /spath="%USERPROFILE%\AppData\Local\Temp\OnboardLogs" /stypes="app*4046*20160921*" /stext=" 22:.+((SYSTEM_STATE.+slice.+state.+changed )|(ment ac)|(system.+state.+changed )|(\|lc)|(penalty)|(\[timeout)|(PRM\|1\|D)|(kpr)|(kdp))" /e /r /s</v>
      </c>
      <c r="AG105" s="1" t="str">
        <f t="shared" si="40"/>
        <v>EC</v>
      </c>
      <c r="AH105" s="100" t="str">
        <f t="shared" si="25"/>
        <v>"%USERPROFILE%\Documents\GitHub\eaglep3\Utilities\RefineRTDCRunTimes.py" --tripid 193-21 --locoid 4046 --swversion DE.1.0.7.0 --startMP 204:471 --initTime 2016-09-21T15:10:09 --startdatetime 2016-09-21T15:15:23 --delay 1 --endMP 204:233303 --enddatetime 2016-09-21T16:00:07 --enforcementcount 0 &gt;&gt;C:\Users\stu\Documents\GitHub\eaglep3-reporting\EC\2016-09-21-refined-times.txt</v>
      </c>
      <c r="AI10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{"issue":{"subject":"","project_id":79,"tracker_id":40,"status_id":1,"priority_id":2,"assigned_to_id":23,"start_date":"2016-09-21","description":"","custom_fields":[{"id":1,"name":"Subdivision","value":"EC"},{"id":4,"name":"Milepost","value":"23.3303"},{"id":17,"name":"Train ID","value":"193-21"},{"id":16,"name":"Locomotive ID","value":"4046"},{"id":130,"name":"Impact","value":""},{"id":150,"name":"Time of Event (Mountain Time)","value":"16:00:07"},{"id":151,"name":"Denver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542</v>
      </c>
      <c r="B106" s="7">
        <v>4045</v>
      </c>
      <c r="C106" s="24" t="s">
        <v>106</v>
      </c>
      <c r="D106" s="24" t="s">
        <v>247</v>
      </c>
      <c r="E106" s="15">
        <v>42634.668263888889</v>
      </c>
      <c r="F106" s="15">
        <v>42634.67459490741</v>
      </c>
      <c r="G106" s="7">
        <v>9</v>
      </c>
      <c r="H106" s="15" t="s">
        <v>127</v>
      </c>
      <c r="I106" s="15">
        <v>42634.707175925927</v>
      </c>
      <c r="J106" s="7">
        <v>0</v>
      </c>
      <c r="K106" s="121" t="str">
        <f t="shared" si="27"/>
        <v>4045/4046</v>
      </c>
      <c r="L106" s="24" t="str">
        <f>VLOOKUP(A106,'Trips&amp;Operators'!$C$1:$E$10000,3,FALSE)</f>
        <v>HILLS</v>
      </c>
      <c r="M106" s="6">
        <f t="shared" si="28"/>
        <v>3.2581018516793847E-2</v>
      </c>
      <c r="N106" s="7">
        <f t="shared" si="42"/>
        <v>46.91666666418314</v>
      </c>
      <c r="O106" s="7"/>
      <c r="P106" s="7"/>
      <c r="Q106" s="25"/>
      <c r="R106" s="25"/>
      <c r="S106" s="37">
        <f t="shared" si="29"/>
        <v>1</v>
      </c>
      <c r="T106" s="52" t="str">
        <f t="shared" si="30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15:02:18-0600',mode:absolute,to:'2016-09-21 17:58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6" s="54" t="str">
        <f t="shared" si="32"/>
        <v>N</v>
      </c>
      <c r="X106" s="168">
        <f t="shared" si="33"/>
        <v>1</v>
      </c>
      <c r="Y106" s="69">
        <f t="shared" si="34"/>
        <v>23.2971</v>
      </c>
      <c r="Z106" s="69">
        <f t="shared" si="41"/>
        <v>1.54E-2</v>
      </c>
      <c r="AA106" s="69">
        <f t="shared" si="36"/>
        <v>23.281700000000001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7"/>
        <v>0194-21</v>
      </c>
      <c r="AE106" s="99" t="str">
        <f t="shared" si="38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106" s="96" t="str">
        <f t="shared" si="39"/>
        <v>"C:\Program Files (x86)\AstroGrep\AstroGrep.exe" /spath="%USERPROFILE%\AppData\Local\Temp\OnboardLogs" /stypes="app*4045*20160921*" /stext=" 22:.+((SYSTEM_STATE.+slice.+state.+changed )|(ment ac)|(system.+state.+changed )|(\|lc)|(penalty)|(\[timeout)|(PRM\|1\|D)|(kpr)|(kdp))" /e /r /s</v>
      </c>
      <c r="AG106" s="1" t="str">
        <f t="shared" si="40"/>
        <v>EC</v>
      </c>
      <c r="AH106" s="100" t="str">
        <f t="shared" si="25"/>
        <v>"%USERPROFILE%\Documents\GitHub\eaglep3\Utilities\RefineRTDCRunTimes.py" --tripid 194-21 --locoid 4045 --swversion DE.1.0.7.0 --startMP 204:232971 --initTime 2016-09-21T16:02:18 --startdatetime 2016-09-21T16:11:25 --delay 9 --endMP 204:154 --enddatetime 2016-09-21T16:58:20 --enforcementcount 0 &gt;&gt;C:\Users\stu\Documents\GitHub\eaglep3-reporting\EC\2016-09-21-refined-times.txt</v>
      </c>
      <c r="AI10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ID","value":"194-21"},{"id":16,"name":"Locomotive ID","value":"4045"},{"id":130,"name":"Impact","value":""},{"id":150,"name":"Time of Event (Mountain Time)","value":"16:58:20"},{"id":151,"name":"Denver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536</v>
      </c>
      <c r="B107" s="7">
        <v>4020</v>
      </c>
      <c r="C107" s="24" t="s">
        <v>106</v>
      </c>
      <c r="D107" s="24" t="s">
        <v>275</v>
      </c>
      <c r="E107" s="15">
        <v>42634.643923611111</v>
      </c>
      <c r="F107" s="15">
        <v>42634.646134259259</v>
      </c>
      <c r="G107" s="7">
        <v>1</v>
      </c>
      <c r="H107" s="15" t="s">
        <v>283</v>
      </c>
      <c r="I107" s="15">
        <v>42634.677777777775</v>
      </c>
      <c r="J107" s="7">
        <v>0</v>
      </c>
      <c r="K107" s="121" t="str">
        <f t="shared" si="27"/>
        <v>4019/4020</v>
      </c>
      <c r="L107" s="24" t="str">
        <f>VLOOKUP(A107,'Trips&amp;Operators'!$C$1:$E$10000,3,FALSE)</f>
        <v>YOUNG</v>
      </c>
      <c r="M107" s="6">
        <f t="shared" si="28"/>
        <v>3.1643518515920732E-2</v>
      </c>
      <c r="N107" s="7">
        <f t="shared" si="42"/>
        <v>45.566666662925854</v>
      </c>
      <c r="O107" s="7"/>
      <c r="P107" s="7"/>
      <c r="Q107" s="25"/>
      <c r="R107" s="25"/>
      <c r="S107" s="37">
        <f t="shared" si="29"/>
        <v>1</v>
      </c>
      <c r="T107" s="52" t="str">
        <f t="shared" si="30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14:27:15-0600',mode:absolute,to:'2016-09-21 17:16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7" s="54" t="str">
        <f t="shared" si="32"/>
        <v>N</v>
      </c>
      <c r="X107" s="168">
        <f t="shared" si="33"/>
        <v>1</v>
      </c>
      <c r="Y107" s="69">
        <f t="shared" si="34"/>
        <v>4.82E-2</v>
      </c>
      <c r="Z107" s="69">
        <f t="shared" si="41"/>
        <v>23.329499999999999</v>
      </c>
      <c r="AA107" s="69">
        <f t="shared" si="36"/>
        <v>23.281299999999998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7"/>
        <v>0195-21</v>
      </c>
      <c r="AE107" s="99" t="str">
        <f t="shared" si="38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07" s="96" t="str">
        <f t="shared" si="39"/>
        <v>"C:\Program Files (x86)\AstroGrep\AstroGrep.exe" /spath="%USERPROFILE%\AppData\Local\Temp\OnboardLogs" /stypes="app*4020*20160921*" /stext=" 22:.+((SYSTEM_STATE.+slice.+state.+changed )|(ment ac)|(system.+state.+changed )|(\|lc)|(penalty)|(\[timeout)|(PRM\|1\|D)|(kpr)|(kdp))" /e /r /s</v>
      </c>
      <c r="AG107" s="1" t="str">
        <f t="shared" si="40"/>
        <v>EC</v>
      </c>
      <c r="AH107" s="100" t="str">
        <f t="shared" si="25"/>
        <v>"%USERPROFILE%\Documents\GitHub\eaglep3\Utilities\RefineRTDCRunTimes.py" --tripid 195-21 --locoid 4020 --swversion DE.1.0.7.0 --startMP 204:482 --initTime 2016-09-21T15:27:15 --startdatetime 2016-09-21T15:30:26 --delay 1 --endMP 204:233295 --enddatetime 2016-09-21T16:16:00 --enforcementcount 0 &gt;&gt;C:\Users\stu\Documents\GitHub\eaglep3-reporting\EC\2016-09-21-refined-times.txt</v>
      </c>
      <c r="AI10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{"issue":{"subject":"","project_id":79,"tracker_id":40,"status_id":1,"priority_id":2,"assigned_to_id":23,"start_date":"2016-09-21","description":"","custom_fields":[{"id":1,"name":"Subdivision","value":"EC"},{"id":4,"name":"Milepost","value":"23.3295"},{"id":17,"name":"Train ID","value":"195-21"},{"id":16,"name":"Locomotive ID","value":"4020"},{"id":130,"name":"Impact","value":""},{"id":150,"name":"Time of Event (Mountain Time)","value":"16:16:00"},{"id":151,"name":"Denver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546</v>
      </c>
      <c r="B108" s="7">
        <v>4019</v>
      </c>
      <c r="C108" s="24" t="s">
        <v>106</v>
      </c>
      <c r="D108" s="24" t="s">
        <v>640</v>
      </c>
      <c r="E108" s="15">
        <v>42634.679444444446</v>
      </c>
      <c r="F108" s="15">
        <v>42634.684907407405</v>
      </c>
      <c r="G108" s="7">
        <v>1</v>
      </c>
      <c r="H108" s="15" t="s">
        <v>342</v>
      </c>
      <c r="I108" s="15">
        <v>42634.717870370368</v>
      </c>
      <c r="J108" s="7">
        <v>0</v>
      </c>
      <c r="K108" s="121" t="str">
        <f t="shared" si="27"/>
        <v>4019/4020</v>
      </c>
      <c r="L108" s="24" t="str">
        <f>VLOOKUP(A108,'Trips&amp;Operators'!$C$1:$E$10000,3,FALSE)</f>
        <v>YOUNG</v>
      </c>
      <c r="M108" s="6">
        <f t="shared" si="28"/>
        <v>3.2962962963210884E-2</v>
      </c>
      <c r="N108" s="7">
        <f t="shared" si="42"/>
        <v>47.466666667023674</v>
      </c>
      <c r="O108" s="7"/>
      <c r="P108" s="7"/>
      <c r="Q108" s="25"/>
      <c r="R108" s="25"/>
      <c r="S108" s="37">
        <f t="shared" si="29"/>
        <v>1</v>
      </c>
      <c r="T108" s="52" t="str">
        <f t="shared" si="30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15:18:24-0600',mode:absolute,to:'2016-09-21 18:13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8" s="54" t="str">
        <f t="shared" si="32"/>
        <v>N</v>
      </c>
      <c r="X108" s="168">
        <f t="shared" si="33"/>
        <v>1</v>
      </c>
      <c r="Y108" s="69">
        <f t="shared" si="34"/>
        <v>23.3002</v>
      </c>
      <c r="Z108" s="69">
        <f t="shared" si="41"/>
        <v>2.3099999999999999E-2</v>
      </c>
      <c r="AA108" s="69">
        <f t="shared" si="36"/>
        <v>23.277100000000001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7"/>
        <v>0196-21</v>
      </c>
      <c r="AE108" s="99" t="str">
        <f t="shared" si="38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108" s="96" t="str">
        <f t="shared" si="39"/>
        <v>"C:\Program Files (x86)\AstroGrep\AstroGrep.exe" /spath="%USERPROFILE%\AppData\Local\Temp\OnboardLogs" /stypes="app*4019*20160921*" /stext=" 23:.+((SYSTEM_STATE.+slice.+state.+changed )|(ment ac)|(system.+state.+changed )|(\|lc)|(penalty)|(\[timeout)|(PRM\|1\|D)|(kpr)|(kdp))" /e /r /s</v>
      </c>
      <c r="AG108" s="1" t="str">
        <f t="shared" si="40"/>
        <v>EC</v>
      </c>
      <c r="AH108" s="100" t="str">
        <f t="shared" si="25"/>
        <v>"%USERPROFILE%\Documents\GitHub\eaglep3\Utilities\RefineRTDCRunTimes.py" --tripid 196-21 --locoid 4019 --swversion DE.1.0.7.0 --startMP 204:233002 --initTime 2016-09-21T16:18:24 --startdatetime 2016-09-21T16:26:16 --delay 1 --endMP 204:231 --enddatetime 2016-09-21T17:13:44 --enforcementcount 0 &gt;&gt;C:\Users\stu\Documents\GitHub\eaglep3-reporting\EC\2016-09-21-refined-times.txt</v>
      </c>
      <c r="AI10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{"issue":{"subject":"","project_id":79,"tracker_id":40,"status_id":1,"priority_id":2,"assigned_to_id":23,"start_date":"2016-09-21","description":"","custom_fields":[{"id":1,"name":"Subdivision","value":"EC"},{"id":4,"name":"Milepost","value":"0.0231"},{"id":17,"name":"Train ID","value":"196-21"},{"id":16,"name":"Locomotive ID","value":"4019"},{"id":130,"name":"Impact","value":""},{"id":150,"name":"Time of Event (Mountain Time)","value":"17:13:44"},{"id":151,"name":"Denver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539</v>
      </c>
      <c r="B109" s="7">
        <v>4002</v>
      </c>
      <c r="C109" s="24" t="s">
        <v>106</v>
      </c>
      <c r="D109" s="24" t="s">
        <v>225</v>
      </c>
      <c r="E109" s="15">
        <v>42634.655798611115</v>
      </c>
      <c r="F109" s="15">
        <v>42634.657372685186</v>
      </c>
      <c r="G109" s="7">
        <v>1</v>
      </c>
      <c r="H109" s="15" t="s">
        <v>653</v>
      </c>
      <c r="I109" s="15">
        <v>42634.683842592596</v>
      </c>
      <c r="J109" s="7">
        <v>0</v>
      </c>
      <c r="K109" s="121" t="str">
        <f t="shared" si="27"/>
        <v>4001/4002</v>
      </c>
      <c r="L109" s="24" t="str">
        <f>VLOOKUP(A109,'Trips&amp;Operators'!$C$1:$E$10000,3,FALSE)</f>
        <v>BRUDER</v>
      </c>
      <c r="M109" s="6">
        <f t="shared" si="28"/>
        <v>2.6469907410501037E-2</v>
      </c>
      <c r="N109" s="7">
        <f t="shared" si="42"/>
        <v>38.116666671121493</v>
      </c>
      <c r="O109" s="7"/>
      <c r="P109" s="7"/>
      <c r="Q109" s="25"/>
      <c r="R109" s="25"/>
      <c r="S109" s="37">
        <f t="shared" si="29"/>
        <v>1</v>
      </c>
      <c r="T109" s="52" t="str">
        <f t="shared" si="30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14:44:21-0600',mode:absolute,to:'2016-09-21 17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9" s="54" t="str">
        <f t="shared" si="32"/>
        <v>N</v>
      </c>
      <c r="X109" s="168">
        <f t="shared" ref="X109:X140" si="43">VALUE(LEFT(AD109,4))-VALUE(LEFT(AD108,4))</f>
        <v>1</v>
      </c>
      <c r="Y109" s="69">
        <f t="shared" ref="Y109:Y140" si="44">RIGHT(D109,LEN(D109)-4)/10000</f>
        <v>4.6600000000000003E-2</v>
      </c>
      <c r="Z109" s="69">
        <f t="shared" si="41"/>
        <v>23.330500000000001</v>
      </c>
      <c r="AA109" s="69">
        <f t="shared" si="36"/>
        <v>23.283899999999999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7"/>
        <v>0197-21</v>
      </c>
      <c r="AE109" s="99" t="str">
        <f t="shared" si="38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109" s="96" t="str">
        <f t="shared" si="39"/>
        <v>"C:\Program Files (x86)\AstroGrep\AstroGrep.exe" /spath="%USERPROFILE%\AppData\Local\Temp\OnboardLogs" /stypes="app*4002*20160921*" /stext=" 22:.+((SYSTEM_STATE.+slice.+state.+changed )|(ment ac)|(system.+state.+changed )|(\|lc)|(penalty)|(\[timeout)|(PRM\|1\|D)|(kpr)|(kdp))" /e /r /s</v>
      </c>
      <c r="AG109" s="1" t="str">
        <f t="shared" si="40"/>
        <v>EC</v>
      </c>
      <c r="AH109" s="100" t="str">
        <f t="shared" si="25"/>
        <v>"%USERPROFILE%\Documents\GitHub\eaglep3\Utilities\RefineRTDCRunTimes.py" --tripid 197-21 --locoid 4002 --swversion DE.1.0.7.0 --startMP 204:466 --initTime 2016-09-21T15:44:21 --startdatetime 2016-09-21T15:46:37 --delay 1 --endMP 204:233305 --enddatetime 2016-09-21T16:24:44 --enforcementcount 0 &gt;&gt;C:\Users\stu\Documents\GitHub\eaglep3-reporting\EC\2016-09-21-refined-times.txt</v>
      </c>
      <c r="AI10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{"issue":{"subject":"","project_id":79,"tracker_id":40,"status_id":1,"priority_id":2,"assigned_to_id":23,"start_date":"2016-09-21","description":"","custom_fields":[{"id":1,"name":"Subdivision","value":"EC"},{"id":4,"name":"Milepost","value":"23.3305"},{"id":17,"name":"Train ID","value":"197-21"},{"id":16,"name":"Locomotive ID","value":"4002"},{"id":130,"name":"Impact","value":""},{"id":150,"name":"Time of Event (Mountain Time)","value":"16:24:44"},{"id":151,"name":"Denver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548</v>
      </c>
      <c r="B110" s="7">
        <v>4001</v>
      </c>
      <c r="C110" s="24" t="s">
        <v>106</v>
      </c>
      <c r="D110" s="24" t="s">
        <v>285</v>
      </c>
      <c r="E110" s="15">
        <v>42634.690370370372</v>
      </c>
      <c r="F110" s="15">
        <v>42634.695381944446</v>
      </c>
      <c r="G110" s="7">
        <v>1</v>
      </c>
      <c r="H110" s="15" t="s">
        <v>127</v>
      </c>
      <c r="I110" s="15">
        <v>42634.724745370368</v>
      </c>
      <c r="J110" s="7">
        <v>0</v>
      </c>
      <c r="K110" s="121" t="str">
        <f t="shared" si="27"/>
        <v>4001/4002</v>
      </c>
      <c r="L110" s="24" t="str">
        <f>VLOOKUP(A110,'Trips&amp;Operators'!$C$1:$E$10000,3,FALSE)</f>
        <v>BRUDER</v>
      </c>
      <c r="M110" s="6">
        <f t="shared" si="28"/>
        <v>2.9363425921474118E-2</v>
      </c>
      <c r="N110" s="7">
        <f t="shared" si="42"/>
        <v>42.28333332692273</v>
      </c>
      <c r="O110" s="7"/>
      <c r="P110" s="7"/>
      <c r="Q110" s="25"/>
      <c r="R110" s="25"/>
      <c r="S110" s="37">
        <f t="shared" si="29"/>
        <v>1</v>
      </c>
      <c r="T110" s="52" t="str">
        <f t="shared" si="30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15:34:08-0600',mode:absolute,to:'2016-09-21 18:23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0" s="54" t="str">
        <f t="shared" si="32"/>
        <v>N</v>
      </c>
      <c r="X110" s="168">
        <f t="shared" si="43"/>
        <v>1</v>
      </c>
      <c r="Y110" s="69">
        <f t="shared" si="44"/>
        <v>23.298200000000001</v>
      </c>
      <c r="Z110" s="69">
        <f t="shared" si="41"/>
        <v>1.54E-2</v>
      </c>
      <c r="AA110" s="69">
        <f t="shared" si="36"/>
        <v>23.282800000000002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7"/>
        <v>0198-21</v>
      </c>
      <c r="AE110" s="99" t="str">
        <f t="shared" si="38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110" s="96" t="str">
        <f t="shared" si="39"/>
        <v>"C:\Program Files (x86)\AstroGrep\AstroGrep.exe" /spath="%USERPROFILE%\AppData\Local\Temp\OnboardLogs" /stypes="app*4001*20160921*" /stext=" 23:.+((SYSTEM_STATE.+slice.+state.+changed )|(ment ac)|(system.+state.+changed )|(\|lc)|(penalty)|(\[timeout)|(PRM\|1\|D)|(kpr)|(kdp))" /e /r /s</v>
      </c>
      <c r="AG110" s="1" t="str">
        <f t="shared" si="40"/>
        <v>EC</v>
      </c>
      <c r="AH110" s="100" t="str">
        <f t="shared" si="25"/>
        <v>"%USERPROFILE%\Documents\GitHub\eaglep3\Utilities\RefineRTDCRunTimes.py" --tripid 198-21 --locoid 4001 --swversion DE.1.0.7.0 --startMP 204:232982 --initTime 2016-09-21T16:34:08 --startdatetime 2016-09-21T16:41:21 --delay 1 --endMP 204:154 --enddatetime 2016-09-21T17:23:38 --enforcementcount 0 &gt;&gt;C:\Users\stu\Documents\GitHub\eaglep3-reporting\EC\2016-09-21-refined-times.txt</v>
      </c>
      <c r="AI11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ID","value":"198-21"},{"id":16,"name":"Locomotive ID","value":"4001"},{"id":130,"name":"Impact","value":""},{"id":150,"name":"Time of Event (Mountain Time)","value":"17:23:38"},{"id":151,"name":"Denver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541</v>
      </c>
      <c r="B111" s="7">
        <v>4016</v>
      </c>
      <c r="C111" s="24" t="s">
        <v>106</v>
      </c>
      <c r="D111" s="24" t="s">
        <v>671</v>
      </c>
      <c r="E111" s="15">
        <v>42634.663865740738</v>
      </c>
      <c r="F111" s="15">
        <v>42634.667094907411</v>
      </c>
      <c r="G111" s="7">
        <v>1</v>
      </c>
      <c r="H111" s="15" t="s">
        <v>639</v>
      </c>
      <c r="I111" s="15">
        <v>42634.694456018522</v>
      </c>
      <c r="J111" s="7">
        <v>0</v>
      </c>
      <c r="K111" s="121" t="str">
        <f t="shared" si="27"/>
        <v>4015/4016</v>
      </c>
      <c r="L111" s="24" t="str">
        <f>VLOOKUP(A111,'Trips&amp;Operators'!$C$1:$E$10000,3,FALSE)</f>
        <v>STORY</v>
      </c>
      <c r="M111" s="6">
        <f t="shared" si="28"/>
        <v>2.73611111115315E-2</v>
      </c>
      <c r="N111" s="7">
        <f t="shared" si="42"/>
        <v>39.40000000060536</v>
      </c>
      <c r="O111" s="7"/>
      <c r="P111" s="7"/>
      <c r="Q111" s="25"/>
      <c r="R111" s="25"/>
      <c r="S111" s="37">
        <f t="shared" si="29"/>
        <v>1</v>
      </c>
      <c r="T111" s="52" t="str">
        <f t="shared" si="30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14:55:58-0600',mode:absolute,to:'2016-09-21 17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1" s="54" t="str">
        <f t="shared" si="32"/>
        <v>N</v>
      </c>
      <c r="X111" s="168">
        <f t="shared" si="43"/>
        <v>1</v>
      </c>
      <c r="Y111" s="69">
        <f t="shared" si="44"/>
        <v>5.0200000000000002E-2</v>
      </c>
      <c r="Z111" s="69">
        <f t="shared" si="41"/>
        <v>23.331700000000001</v>
      </c>
      <c r="AA111" s="69">
        <f t="shared" si="36"/>
        <v>23.281500000000001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7"/>
        <v>0199-21</v>
      </c>
      <c r="AE111" s="99" t="str">
        <f t="shared" si="38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11" s="96" t="str">
        <f t="shared" si="39"/>
        <v>"C:\Program Files (x86)\AstroGrep\AstroGrep.exe" /spath="%USERPROFILE%\AppData\Local\Temp\OnboardLogs" /stypes="app*4016*20160921*" /stext=" 22:.+((SYSTEM_STATE.+slice.+state.+changed )|(ment ac)|(system.+state.+changed )|(\|lc)|(penalty)|(\[timeout)|(PRM\|1\|D)|(kpr)|(kdp))" /e /r /s</v>
      </c>
      <c r="AG111" s="1" t="str">
        <f t="shared" si="40"/>
        <v>EC</v>
      </c>
      <c r="AH111" s="100" t="str">
        <f t="shared" si="25"/>
        <v>"%USERPROFILE%\Documents\GitHub\eaglep3\Utilities\RefineRTDCRunTimes.py" --tripid 199-21 --locoid 4016 --swversion DE.1.0.7.0 --startMP 204:502 --initTime 2016-09-21T15:55:58 --startdatetime 2016-09-21T16:00:37 --delay 1 --endMP 204:233317 --enddatetime 2016-09-21T16:40:01 --enforcementcount 0 &gt;&gt;C:\Users\stu\Documents\GitHub\eaglep3-reporting\EC\2016-09-21-refined-times.txt</v>
      </c>
      <c r="AI11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{"issue":{"subject":"","project_id":79,"tracker_id":40,"status_id":1,"priority_id":2,"assigned_to_id":23,"start_date":"2016-09-21","description":"","custom_fields":[{"id":1,"name":"Subdivision","value":"EC"},{"id":4,"name":"Milepost","value":"23.3317"},{"id":17,"name":"Train ID","value":"199-21"},{"id":16,"name":"Locomotive ID","value":"4016"},{"id":130,"name":"Impact","value":""},{"id":150,"name":"Time of Event (Mountain Time)","value":"16:40:01"},{"id":151,"name":"Denver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552</v>
      </c>
      <c r="B112" s="7">
        <v>4015</v>
      </c>
      <c r="C112" s="24" t="s">
        <v>106</v>
      </c>
      <c r="D112" s="24" t="s">
        <v>672</v>
      </c>
      <c r="E112" s="15">
        <v>42634.698819444442</v>
      </c>
      <c r="F112" s="15">
        <v>42634.705937500003</v>
      </c>
      <c r="G112" s="7">
        <v>1</v>
      </c>
      <c r="H112" s="15" t="s">
        <v>213</v>
      </c>
      <c r="I112" s="15">
        <v>42634.736759259256</v>
      </c>
      <c r="J112" s="7">
        <v>0</v>
      </c>
      <c r="K112" s="121" t="str">
        <f t="shared" si="27"/>
        <v>4015/4016</v>
      </c>
      <c r="L112" s="24" t="str">
        <f>VLOOKUP(A112,'Trips&amp;Operators'!$C$1:$E$10000,3,FALSE)</f>
        <v>STORY</v>
      </c>
      <c r="M112" s="6">
        <f t="shared" si="28"/>
        <v>3.0821759253740311E-2</v>
      </c>
      <c r="N112" s="7">
        <f t="shared" si="42"/>
        <v>44.383333325386047</v>
      </c>
      <c r="O112" s="7"/>
      <c r="P112" s="7"/>
      <c r="Q112" s="25"/>
      <c r="R112" s="25"/>
      <c r="S112" s="37">
        <f t="shared" si="29"/>
        <v>1</v>
      </c>
      <c r="T112" s="52" t="str">
        <f t="shared" si="30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15:46:18-0600',mode:absolute,to:'2016-09-21 18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2" s="54" t="str">
        <f t="shared" si="32"/>
        <v>N</v>
      </c>
      <c r="X112" s="168">
        <f t="shared" si="43"/>
        <v>1</v>
      </c>
      <c r="Y112" s="69">
        <f t="shared" si="44"/>
        <v>23.301500000000001</v>
      </c>
      <c r="Z112" s="69">
        <f t="shared" si="41"/>
        <v>1.49E-2</v>
      </c>
      <c r="AA112" s="69">
        <f t="shared" si="36"/>
        <v>23.2866</v>
      </c>
      <c r="AB112" s="66" t="str">
        <f>VLOOKUP(A112,Enforcements!$C$7:$K$20,8,0)</f>
        <v>Speed (6)</v>
      </c>
      <c r="AC112" s="62" t="str">
        <f>VLOOKUP(A112,Enforcements!$C$7:$E$20,3,0)</f>
        <v>PERMANENT SPEED RESTRICTION</v>
      </c>
      <c r="AD112" s="63" t="str">
        <f t="shared" si="37"/>
        <v>0200-21</v>
      </c>
      <c r="AE112" s="99" t="str">
        <f t="shared" si="38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112" s="96" t="str">
        <f t="shared" si="39"/>
        <v>"C:\Program Files (x86)\AstroGrep\AstroGrep.exe" /spath="%USERPROFILE%\AppData\Local\Temp\OnboardLogs" /stypes="app*4015*20160921*" /stext=" 23:.+((SYSTEM_STATE.+slice.+state.+changed )|(ment ac)|(system.+state.+changed )|(\|lc)|(penalty)|(\[timeout)|(PRM\|1\|D)|(kpr)|(kdp))" /e /r /s</v>
      </c>
      <c r="AG112" s="1" t="str">
        <f t="shared" si="40"/>
        <v>EC</v>
      </c>
      <c r="AH112" s="100" t="str">
        <f t="shared" si="25"/>
        <v>"%USERPROFILE%\Documents\GitHub\eaglep3\Utilities\RefineRTDCRunTimes.py" --tripid 200-21 --locoid 4015 --swversion DE.1.0.7.0 --startMP 204:233015 --initTime 2016-09-21T16:46:18 --startdatetime 2016-09-21T16:56:33 --delay 1 --endMP 204:149 --enddatetime 2016-09-21T17:40:56 --enforcementcount 0 &gt;&gt;C:\Users\stu\Documents\GitHub\eaglep3-reporting\EC\2016-09-21-refined-times.txt</v>
      </c>
      <c r="AI11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{"issue":{"subject":"","project_id":79,"tracker_id":40,"status_id":1,"priority_id":2,"assigned_to_id":23,"start_date":"2016-09-21","description":"","custom_fields":[{"id":1,"name":"Subdivision","value":"EC"},{"id":4,"name":"Milepost","value":"0.0149"},{"id":17,"name":"Train ID","value":"200-21"},{"id":16,"name":"Locomotive ID","value":"4015"},{"id":130,"name":"Impact","value":""},{"id":150,"name":"Time of Event (Mountain Time)","value":"17:40:56"},{"id":151,"name":"Denver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544</v>
      </c>
      <c r="B113" s="7">
        <v>4007</v>
      </c>
      <c r="C113" s="24" t="s">
        <v>106</v>
      </c>
      <c r="D113" s="24" t="s">
        <v>240</v>
      </c>
      <c r="E113" s="15">
        <v>42634.677546296298</v>
      </c>
      <c r="F113" s="15">
        <v>42634.679259259261</v>
      </c>
      <c r="G113" s="7">
        <v>1</v>
      </c>
      <c r="H113" s="15" t="s">
        <v>276</v>
      </c>
      <c r="I113" s="15">
        <v>42634.70894675926</v>
      </c>
      <c r="J113" s="7">
        <v>0</v>
      </c>
      <c r="K113" s="121" t="str">
        <f t="shared" si="27"/>
        <v>4007/4008</v>
      </c>
      <c r="L113" s="24" t="str">
        <f>VLOOKUP(A113,'Trips&amp;Operators'!$C$1:$E$10000,3,FALSE)</f>
        <v>BONDS</v>
      </c>
      <c r="M113" s="6">
        <f t="shared" si="28"/>
        <v>2.9687499998544808E-2</v>
      </c>
      <c r="N113" s="7">
        <f t="shared" si="42"/>
        <v>42.749999997904524</v>
      </c>
      <c r="O113" s="7"/>
      <c r="P113" s="7"/>
      <c r="Q113" s="25"/>
      <c r="R113" s="25"/>
      <c r="S113" s="37">
        <f t="shared" si="29"/>
        <v>1</v>
      </c>
      <c r="T113" s="52" t="str">
        <f t="shared" si="30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15:15:40-0600',mode:absolute,to:'2016-09-21 18:00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13" s="54" t="str">
        <f t="shared" si="32"/>
        <v>N</v>
      </c>
      <c r="X113" s="168">
        <f t="shared" si="43"/>
        <v>1</v>
      </c>
      <c r="Y113" s="69">
        <f t="shared" si="44"/>
        <v>4.6199999999999998E-2</v>
      </c>
      <c r="Z113" s="69">
        <f t="shared" si="41"/>
        <v>23.3293</v>
      </c>
      <c r="AA113" s="69">
        <f t="shared" si="36"/>
        <v>23.283100000000001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7"/>
        <v>0201-21</v>
      </c>
      <c r="AE113" s="99" t="str">
        <f t="shared" si="38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113" s="96" t="str">
        <f t="shared" si="39"/>
        <v>"C:\Program Files (x86)\AstroGrep\AstroGrep.exe" /spath="%USERPROFILE%\AppData\Local\Temp\OnboardLogs" /stypes="app*4007*20160921*" /stext=" 23:.+((SYSTEM_STATE.+slice.+state.+changed )|(ment ac)|(system.+state.+changed )|(\|lc)|(penalty)|(\[timeout)|(PRM\|1\|D)|(kpr)|(kdp))" /e /r /s</v>
      </c>
      <c r="AG113" s="1" t="str">
        <f t="shared" si="40"/>
        <v>EC</v>
      </c>
      <c r="AH113" s="100" t="str">
        <f t="shared" si="25"/>
        <v>"%USERPROFILE%\Documents\GitHub\eaglep3\Utilities\RefineRTDCRunTimes.py" --tripid 201-21 --locoid 4007 --swversion DE.1.0.7.0 --startMP 204:462 --initTime 2016-09-21T16:15:40 --startdatetime 2016-09-21T16:18:08 --delay 1 --endMP 204:233293 --enddatetime 2016-09-21T17:00:53 --enforcementcount 0 &gt;&gt;C:\Users\stu\Documents\GitHub\eaglep3-reporting\EC\2016-09-21-refined-times.txt</v>
      </c>
      <c r="AI11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{"issue":{"subject":"","project_id":79,"tracker_id":40,"status_id":1,"priority_id":2,"assigned_to_id":23,"start_date":"2016-09-21","description":"","custom_fields":[{"id":1,"name":"Subdivision","value":"EC"},{"id":4,"name":"Milepost","value":"23.3293"},{"id":17,"name":"Train ID","value":"201-21"},{"id":16,"name":"Locomotive ID","value":"4007"},{"id":130,"name":"Impact","value":""},{"id":150,"name":"Time of Event (Mountain Time)","value":"17:00:53"},{"id":151,"name":"Denver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554</v>
      </c>
      <c r="B114" s="7">
        <v>4008</v>
      </c>
      <c r="C114" s="24" t="s">
        <v>106</v>
      </c>
      <c r="D114" s="24" t="s">
        <v>673</v>
      </c>
      <c r="E114" s="15">
        <v>42634.710682870369</v>
      </c>
      <c r="F114" s="15">
        <v>42634.716226851851</v>
      </c>
      <c r="G114" s="7">
        <v>1</v>
      </c>
      <c r="H114" s="15" t="s">
        <v>265</v>
      </c>
      <c r="I114" s="15">
        <v>42634.747685185182</v>
      </c>
      <c r="J114" s="7">
        <v>0</v>
      </c>
      <c r="K114" s="121" t="str">
        <f t="shared" si="27"/>
        <v>4007/4008</v>
      </c>
      <c r="L114" s="24" t="str">
        <f>VLOOKUP(A114,'Trips&amp;Operators'!$C$1:$E$10000,3,FALSE)</f>
        <v>BONDS</v>
      </c>
      <c r="M114" s="6">
        <f t="shared" si="28"/>
        <v>3.145833333110204E-2</v>
      </c>
      <c r="N114" s="7">
        <f t="shared" si="42"/>
        <v>45.299999996786937</v>
      </c>
      <c r="O114" s="7"/>
      <c r="P114" s="7"/>
      <c r="Q114" s="25"/>
      <c r="R114" s="25"/>
      <c r="S114" s="37">
        <f t="shared" si="29"/>
        <v>1</v>
      </c>
      <c r="T114" s="52" t="str">
        <f t="shared" si="30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16:03:23-0600',mode:absolute,to:'2016-09-21 18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14" s="54" t="str">
        <f t="shared" si="32"/>
        <v>N</v>
      </c>
      <c r="X114" s="168">
        <f t="shared" si="43"/>
        <v>1</v>
      </c>
      <c r="Y114" s="69">
        <f t="shared" si="44"/>
        <v>23.2973</v>
      </c>
      <c r="Z114" s="69">
        <f t="shared" si="41"/>
        <v>1.5599999999999999E-2</v>
      </c>
      <c r="AA114" s="69">
        <f t="shared" si="36"/>
        <v>23.281700000000001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7"/>
        <v>0202-21</v>
      </c>
      <c r="AE114" s="99" t="str">
        <f t="shared" si="38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114" s="96" t="str">
        <f t="shared" si="39"/>
        <v>"C:\Program Files (x86)\AstroGrep\AstroGrep.exe" /spath="%USERPROFILE%\AppData\Local\Temp\OnboardLogs" /stypes="app*4008*20160921*" /stext=" 23:.+((SYSTEM_STATE.+slice.+state.+changed )|(ment ac)|(system.+state.+changed )|(\|lc)|(penalty)|(\[timeout)|(PRM\|1\|D)|(kpr)|(kdp))" /e /r /s</v>
      </c>
      <c r="AG114" s="1" t="str">
        <f t="shared" si="40"/>
        <v>EC</v>
      </c>
      <c r="AH114" s="100" t="str">
        <f t="shared" si="25"/>
        <v>"%USERPROFILE%\Documents\GitHub\eaglep3\Utilities\RefineRTDCRunTimes.py" --tripid 202-21 --locoid 4008 --swversion DE.1.0.7.0 --startMP 204:232973 --initTime 2016-09-21T17:03:23 --startdatetime 2016-09-21T17:11:22 --delay 1 --endMP 204:156 --enddatetime 2016-09-21T17:56:40 --enforcementcount 0 &gt;&gt;C:\Users\stu\Documents\GitHub\eaglep3-reporting\EC\2016-09-21-refined-times.txt</v>
      </c>
      <c r="AI11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{"issue":{"subject":"","project_id":79,"tracker_id":40,"status_id":1,"priority_id":2,"assigned_to_id":23,"start_date":"2016-09-21","description":"","custom_fields":[{"id":1,"name":"Subdivision","value":"EC"},{"id":4,"name":"Milepost","value":"0.0156"},{"id":17,"name":"Train ID","value":"202-21"},{"id":16,"name":"Locomotive ID","value":"4008"},{"id":130,"name":"Impact","value":""},{"id":150,"name":"Time of Event (Mountain Time)","value":"17:56:40"},{"id":151,"name":"Denver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547</v>
      </c>
      <c r="B115" s="7">
        <v>4027</v>
      </c>
      <c r="C115" s="24" t="s">
        <v>106</v>
      </c>
      <c r="D115" s="24" t="s">
        <v>674</v>
      </c>
      <c r="E115" s="15">
        <v>42634.686192129629</v>
      </c>
      <c r="F115" s="15">
        <v>42634.687905092593</v>
      </c>
      <c r="G115" s="7">
        <v>1</v>
      </c>
      <c r="H115" s="15" t="s">
        <v>361</v>
      </c>
      <c r="I115" s="15">
        <v>42634.71539351852</v>
      </c>
      <c r="J115" s="7">
        <v>0</v>
      </c>
      <c r="K115" s="121" t="str">
        <f t="shared" si="27"/>
        <v>4027/4028</v>
      </c>
      <c r="L115" s="24" t="str">
        <f>VLOOKUP(A115,'Trips&amp;Operators'!$C$1:$E$10000,3,FALSE)</f>
        <v>BARTLETT</v>
      </c>
      <c r="M115" s="6">
        <f t="shared" si="28"/>
        <v>2.7488425927003846E-2</v>
      </c>
      <c r="N115" s="7">
        <f t="shared" si="42"/>
        <v>39.583333334885538</v>
      </c>
      <c r="O115" s="7"/>
      <c r="P115" s="7"/>
      <c r="Q115" s="25"/>
      <c r="R115" s="25"/>
      <c r="S115" s="37">
        <f t="shared" si="29"/>
        <v>1</v>
      </c>
      <c r="T115" s="52" t="str">
        <f t="shared" si="30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15:28:07-0600',mode:absolute,to:'2016-09-21 18:10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5" s="54" t="str">
        <f t="shared" si="32"/>
        <v>N</v>
      </c>
      <c r="X115" s="168">
        <f t="shared" si="43"/>
        <v>1</v>
      </c>
      <c r="Y115" s="69">
        <f t="shared" si="44"/>
        <v>4.8800000000000003E-2</v>
      </c>
      <c r="Z115" s="69">
        <f t="shared" si="41"/>
        <v>23.331900000000001</v>
      </c>
      <c r="AA115" s="69">
        <f t="shared" si="36"/>
        <v>23.283100000000001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7"/>
        <v>0203-21</v>
      </c>
      <c r="AE115" s="99" t="str">
        <f t="shared" si="38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15" s="96" t="str">
        <f t="shared" si="39"/>
        <v>"C:\Program Files (x86)\AstroGrep\AstroGrep.exe" /spath="%USERPROFILE%\AppData\Local\Temp\OnboardLogs" /stypes="app*4027*20160921*" /stext=" 23:.+((SYSTEM_STATE.+slice.+state.+changed )|(ment ac)|(system.+state.+changed )|(\|lc)|(penalty)|(\[timeout)|(PRM\|1\|D)|(kpr)|(kdp))" /e /r /s</v>
      </c>
      <c r="AG115" s="1" t="str">
        <f t="shared" si="40"/>
        <v>EC</v>
      </c>
      <c r="AH115" s="100" t="str">
        <f t="shared" si="25"/>
        <v>"%USERPROFILE%\Documents\GitHub\eaglep3\Utilities\RefineRTDCRunTimes.py" --tripid 203-21 --locoid 4027 --swversion DE.1.0.7.0 --startMP 204:488 --initTime 2016-09-21T16:28:07 --startdatetime 2016-09-21T16:30:35 --delay 1 --endMP 204:233319 --enddatetime 2016-09-21T17:10:10 --enforcementcount 0 &gt;&gt;C:\Users\stu\Documents\GitHub\eaglep3-reporting\EC\2016-09-21-refined-times.txt</v>
      </c>
      <c r="AI11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{"issue":{"subject":"","project_id":79,"tracker_id":40,"status_id":1,"priority_id":2,"assigned_to_id":23,"start_date":"2016-09-21","description":"","custom_fields":[{"id":1,"name":"Subdivision","value":"EC"},{"id":4,"name":"Milepost","value":"23.3319"},{"id":17,"name":"Train ID","value":"203-21"},{"id":16,"name":"Locomotive ID","value":"4027"},{"id":130,"name":"Impact","value":""},{"id":150,"name":"Time of Event (Mountain Time)","value":"17:10:10"},{"id":151,"name":"Denver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558</v>
      </c>
      <c r="B116" s="7">
        <v>4028</v>
      </c>
      <c r="C116" s="24" t="s">
        <v>106</v>
      </c>
      <c r="D116" s="24" t="s">
        <v>344</v>
      </c>
      <c r="E116" s="15">
        <v>42634.717928240738</v>
      </c>
      <c r="F116" s="15">
        <v>42634.726643518516</v>
      </c>
      <c r="G116" s="7">
        <v>1</v>
      </c>
      <c r="H116" s="15" t="s">
        <v>675</v>
      </c>
      <c r="I116" s="15">
        <v>42634.754791666666</v>
      </c>
      <c r="J116" s="7">
        <v>0</v>
      </c>
      <c r="K116" s="121" t="str">
        <f t="shared" si="27"/>
        <v>4027/4028</v>
      </c>
      <c r="L116" s="24" t="str">
        <f>VLOOKUP(A116,'Trips&amp;Operators'!$C$1:$E$10000,3,FALSE)</f>
        <v>BARTLETT</v>
      </c>
      <c r="M116" s="6">
        <f t="shared" si="28"/>
        <v>2.8148148150648922E-2</v>
      </c>
      <c r="N116" s="7">
        <f t="shared" si="42"/>
        <v>40.533333336934447</v>
      </c>
      <c r="O116" s="7"/>
      <c r="P116" s="7"/>
      <c r="Q116" s="25"/>
      <c r="R116" s="25"/>
      <c r="S116" s="37">
        <f t="shared" si="29"/>
        <v>1</v>
      </c>
      <c r="T116" s="52" t="str">
        <f t="shared" si="30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16:13:49-0600',mode:absolute,to:'2016-09-21 19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6" s="54" t="str">
        <f t="shared" si="32"/>
        <v>N</v>
      </c>
      <c r="X116" s="168">
        <f t="shared" si="43"/>
        <v>1</v>
      </c>
      <c r="Y116" s="69">
        <f t="shared" si="44"/>
        <v>23.300599999999999</v>
      </c>
      <c r="Z116" s="69">
        <f t="shared" ref="Z116:Z147" si="45">RIGHT(H116,LEN(H116)-4)/10000</f>
        <v>1.8700000000000001E-2</v>
      </c>
      <c r="AA116" s="69">
        <f t="shared" si="36"/>
        <v>23.2819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7"/>
        <v>0204-21</v>
      </c>
      <c r="AE116" s="99" t="str">
        <f t="shared" si="38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116" s="96" t="str">
        <f t="shared" si="39"/>
        <v>"C:\Program Files (x86)\AstroGrep\AstroGrep.exe" /spath="%USERPROFILE%\AppData\Local\Temp\OnboardLogs" /stypes="app*4028*20160922*" /stext=" 00:.+((SYSTEM_STATE.+slice.+state.+changed )|(ment ac)|(system.+state.+changed )|(\|lc)|(penalty)|(\[timeout)|(PRM\|1\|D)|(kpr)|(kdp))" /e /r /s</v>
      </c>
      <c r="AG116" s="1" t="str">
        <f t="shared" si="40"/>
        <v>EC</v>
      </c>
      <c r="AH116" s="100" t="str">
        <f t="shared" si="25"/>
        <v>"%USERPROFILE%\Documents\GitHub\eaglep3\Utilities\RefineRTDCRunTimes.py" --tripid 204-21 --locoid 4028 --swversion DE.1.0.7.0 --startMP 204:233006 --initTime 2016-09-21T17:13:49 --startdatetime 2016-09-21T17:26:22 --delay 1 --endMP 204:187 --enddatetime 2016-09-21T18:06:54 --enforcementcount 0 &gt;&gt;C:\Users\stu\Documents\GitHub\eaglep3-reporting\EC\2016-09-21-refined-times.txt</v>
      </c>
      <c r="AI11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{"issue":{"subject":"","project_id":79,"tracker_id":40,"status_id":1,"priority_id":2,"assigned_to_id":23,"start_date":"2016-09-21","description":"","custom_fields":[{"id":1,"name":"Subdivision","value":"EC"},{"id":4,"name":"Milepost","value":"0.0187"},{"id":17,"name":"Train ID","value":"204-21"},{"id":16,"name":"Locomotive ID","value":"4028"},{"id":130,"name":"Impact","value":""},{"id":150,"name":"Time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550</v>
      </c>
      <c r="B117" s="7">
        <v>4042</v>
      </c>
      <c r="C117" s="24" t="s">
        <v>106</v>
      </c>
      <c r="D117" s="24" t="s">
        <v>310</v>
      </c>
      <c r="E117" s="15">
        <v>42634.695231481484</v>
      </c>
      <c r="F117" s="15">
        <v>42634.698321759257</v>
      </c>
      <c r="G117" s="7">
        <v>1</v>
      </c>
      <c r="H117" s="15" t="s">
        <v>251</v>
      </c>
      <c r="I117" s="15">
        <v>42634.725497685184</v>
      </c>
      <c r="J117" s="7">
        <v>0</v>
      </c>
      <c r="K117" s="121" t="str">
        <f t="shared" si="27"/>
        <v>4041/4042</v>
      </c>
      <c r="L117" s="24" t="str">
        <f>VLOOKUP(A117,'Trips&amp;Operators'!$C$1:$E$10000,3,FALSE)</f>
        <v>HELVIE</v>
      </c>
      <c r="M117" s="6">
        <f t="shared" si="28"/>
        <v>2.7175925926712807E-2</v>
      </c>
      <c r="N117" s="7">
        <f t="shared" ref="N117:N124" si="46">24*60*SUM($M117:$M117)</f>
        <v>39.133333334466442</v>
      </c>
      <c r="O117" s="7"/>
      <c r="P117" s="7"/>
      <c r="Q117" s="25"/>
      <c r="R117" s="25"/>
      <c r="S117" s="37">
        <f t="shared" si="29"/>
        <v>1</v>
      </c>
      <c r="T117" s="52" t="str">
        <f t="shared" si="30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15:41:08-0600',mode:absolute,to:'2016-09-21 18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32"/>
        <v>N</v>
      </c>
      <c r="X117" s="168">
        <f t="shared" si="43"/>
        <v>1</v>
      </c>
      <c r="Y117" s="69">
        <f t="shared" si="44"/>
        <v>4.8399999999999999E-2</v>
      </c>
      <c r="Z117" s="69">
        <f t="shared" si="45"/>
        <v>23.327400000000001</v>
      </c>
      <c r="AA117" s="69">
        <f t="shared" si="36"/>
        <v>23.279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37"/>
        <v>0205-21</v>
      </c>
      <c r="AE117" s="99" t="str">
        <f t="shared" si="38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17" s="96" t="str">
        <f t="shared" si="39"/>
        <v>"C:\Program Files (x86)\AstroGrep\AstroGrep.exe" /spath="%USERPROFILE%\AppData\Local\Temp\OnboardLogs" /stypes="app*4042*20160921*" /stext=" 23:.+((SYSTEM_STATE.+slice.+state.+changed )|(ment ac)|(system.+state.+changed )|(\|lc)|(penalty)|(\[timeout)|(PRM\|1\|D)|(kpr)|(kdp))" /e /r /s</v>
      </c>
      <c r="AG117" s="1" t="str">
        <f t="shared" si="40"/>
        <v>EC</v>
      </c>
      <c r="AH117" s="100" t="str">
        <f t="shared" si="25"/>
        <v>"%USERPROFILE%\Documents\GitHub\eaglep3\Utilities\RefineRTDCRunTimes.py" --tripid 205-21 --locoid 4042 --swversion DE.1.0.7.0 --startMP 204:484 --initTime 2016-09-21T16:41:08 --startdatetime 2016-09-21T16:45:35 --delay 1 --endMP 204:233274 --enddatetime 2016-09-21T17:24:43 --enforcementcount 0 &gt;&gt;C:\Users\stu\Documents\GitHub\eaglep3-reporting\EC\2016-09-21-refined-times.txt</v>
      </c>
      <c r="AI11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{"issue":{"subject":"","project_id":79,"tracker_id":40,"status_id":1,"priority_id":2,"assigned_to_id":23,"start_date":"2016-09-21","description":"","custom_fields":[{"id":1,"name":"Subdivision","value":"EC"},{"id":4,"name":"Milepost","value":"23.3274"},{"id":17,"name":"Train ID","value":"205-21"},{"id":16,"name":"Locomotive ID","value":"4042"},{"id":130,"name":"Impact","value":""},{"id":150,"name":"Time of Event (Mountain Time)","value":"17:24:43"},{"id":151,"name":"Denver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561</v>
      </c>
      <c r="B118" s="7">
        <v>4041</v>
      </c>
      <c r="C118" s="24" t="s">
        <v>106</v>
      </c>
      <c r="D118" s="24" t="s">
        <v>365</v>
      </c>
      <c r="E118" s="15">
        <v>42634.731412037036</v>
      </c>
      <c r="F118" s="15">
        <v>42634.736990740741</v>
      </c>
      <c r="G118" s="7">
        <v>1</v>
      </c>
      <c r="H118" s="15" t="s">
        <v>220</v>
      </c>
      <c r="I118" s="15">
        <v>42634.767476851855</v>
      </c>
      <c r="J118" s="7">
        <v>0</v>
      </c>
      <c r="K118" s="121" t="str">
        <f t="shared" si="27"/>
        <v>4041/4042</v>
      </c>
      <c r="L118" s="24" t="str">
        <f>VLOOKUP(A118,'Trips&amp;Operators'!$C$1:$E$10000,3,FALSE)</f>
        <v>HELVIE</v>
      </c>
      <c r="M118" s="6">
        <f t="shared" si="28"/>
        <v>3.0486111114441883E-2</v>
      </c>
      <c r="N118" s="7">
        <f t="shared" si="46"/>
        <v>43.900000004796311</v>
      </c>
      <c r="O118" s="7"/>
      <c r="P118" s="7"/>
      <c r="Q118" s="25"/>
      <c r="R118" s="25"/>
      <c r="S118" s="37">
        <f t="shared" si="29"/>
        <v>1</v>
      </c>
      <c r="T118" s="52" t="str">
        <f t="shared" si="30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16:33:14-0600',mode:absolute,to:'2016-09-21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32"/>
        <v>N</v>
      </c>
      <c r="X118" s="168">
        <f t="shared" si="43"/>
        <v>1</v>
      </c>
      <c r="Y118" s="69">
        <f t="shared" si="44"/>
        <v>23.295000000000002</v>
      </c>
      <c r="Z118" s="69">
        <f t="shared" si="45"/>
        <v>1.4999999999999999E-2</v>
      </c>
      <c r="AA118" s="69">
        <f t="shared" si="36"/>
        <v>23.28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37"/>
        <v>0206-21</v>
      </c>
      <c r="AE118" s="99" t="str">
        <f t="shared" si="38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118" s="96" t="str">
        <f t="shared" si="39"/>
        <v>"C:\Program Files (x86)\AstroGrep\AstroGrep.exe" /spath="%USERPROFILE%\AppData\Local\Temp\OnboardLogs" /stypes="app*4041*20160922*" /stext=" 00:.+((SYSTEM_STATE.+slice.+state.+changed )|(ment ac)|(system.+state.+changed )|(\|lc)|(penalty)|(\[timeout)|(PRM\|1\|D)|(kpr)|(kdp))" /e /r /s</v>
      </c>
      <c r="AG118" s="1" t="str">
        <f t="shared" si="40"/>
        <v>EC</v>
      </c>
      <c r="AH118" s="100" t="str">
        <f t="shared" si="25"/>
        <v>"%USERPROFILE%\Documents\GitHub\eaglep3\Utilities\RefineRTDCRunTimes.py" --tripid 206-21 --locoid 4041 --swversion DE.1.0.7.0 --startMP 204:232950 --initTime 2016-09-21T17:33:14 --startdatetime 2016-09-21T17:41:16 --delay 1 --endMP 204:150 --enddatetime 2016-09-21T18:25:10 --enforcementcount 0 &gt;&gt;C:\Users\stu\Documents\GitHub\eaglep3-reporting\EC\2016-09-21-refined-times.txt</v>
      </c>
      <c r="AI11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ID","value":"206-21"},{"id":16,"name":"Locomotive ID","value":"4041"},{"id":130,"name":"Impact","value":""},{"id":150,"name":"Time of Event (Mountain Time)","value":"18:25:10"},{"id":151,"name":"Denver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553</v>
      </c>
      <c r="B119" s="7">
        <v>4046</v>
      </c>
      <c r="C119" s="24" t="s">
        <v>106</v>
      </c>
      <c r="D119" s="24" t="s">
        <v>216</v>
      </c>
      <c r="E119" s="15">
        <v>42634.70884259259</v>
      </c>
      <c r="F119" s="15">
        <v>42634.710543981484</v>
      </c>
      <c r="G119" s="7">
        <v>1</v>
      </c>
      <c r="H119" s="15" t="s">
        <v>346</v>
      </c>
      <c r="I119" s="15">
        <v>42634.739803240744</v>
      </c>
      <c r="J119" s="7">
        <v>0</v>
      </c>
      <c r="K119" s="121" t="str">
        <f t="shared" si="27"/>
        <v>4045/4046</v>
      </c>
      <c r="L119" s="24" t="str">
        <f>VLOOKUP(A119,'Trips&amp;Operators'!$C$1:$E$10000,3,FALSE)</f>
        <v>HILLS</v>
      </c>
      <c r="M119" s="6">
        <f t="shared" si="28"/>
        <v>2.9259259259561077E-2</v>
      </c>
      <c r="N119" s="7">
        <f t="shared" si="46"/>
        <v>42.133333333767951</v>
      </c>
      <c r="O119" s="7"/>
      <c r="P119" s="7"/>
      <c r="Q119" s="25"/>
      <c r="R119" s="25"/>
      <c r="S119" s="37">
        <f t="shared" si="29"/>
        <v>1</v>
      </c>
      <c r="T119" s="52" t="str">
        <f t="shared" si="30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16:00:44-0600',mode:absolute,to:'2016-09-21 18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9" s="54" t="str">
        <f t="shared" si="32"/>
        <v>N</v>
      </c>
      <c r="X119" s="168">
        <f t="shared" si="43"/>
        <v>1</v>
      </c>
      <c r="Y119" s="69">
        <f t="shared" si="44"/>
        <v>4.7100000000000003E-2</v>
      </c>
      <c r="Z119" s="69">
        <f t="shared" si="45"/>
        <v>23.331499999999998</v>
      </c>
      <c r="AA119" s="69">
        <f t="shared" si="36"/>
        <v>23.284399999999998</v>
      </c>
      <c r="AB119" s="66" t="str">
        <f>VLOOKUP(A119,Enforcements!$C$7:$K$20,8,0)</f>
        <v>Bulletin (2)</v>
      </c>
      <c r="AC119" s="62" t="str">
        <f>VLOOKUP(A119,Enforcements!$C$7:$E$20,3,0)</f>
        <v>GRADE CROSSING</v>
      </c>
      <c r="AD119" s="63" t="str">
        <f t="shared" si="37"/>
        <v>0207-21</v>
      </c>
      <c r="AE119" s="99" t="str">
        <f t="shared" si="38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119" s="96" t="str">
        <f t="shared" si="39"/>
        <v>"C:\Program Files (x86)\AstroGrep\AstroGrep.exe" /spath="%USERPROFILE%\AppData\Local\Temp\OnboardLogs" /stypes="app*4046*20160921*" /stext=" 23:.+((SYSTEM_STATE.+slice.+state.+changed )|(ment ac)|(system.+state.+changed )|(\|lc)|(penalty)|(\[timeout)|(PRM\|1\|D)|(kpr)|(kdp))" /e /r /s</v>
      </c>
      <c r="AG119" s="1" t="str">
        <f t="shared" si="40"/>
        <v>EC</v>
      </c>
      <c r="AH119" s="100" t="str">
        <f t="shared" si="25"/>
        <v>"%USERPROFILE%\Documents\GitHub\eaglep3\Utilities\RefineRTDCRunTimes.py" --tripid 207-21 --locoid 4046 --swversion DE.1.0.7.0 --startMP 204:471 --initTime 2016-09-21T17:00:44 --startdatetime 2016-09-21T17:03:11 --delay 1 --endMP 204:233315 --enddatetime 2016-09-21T17:45:19 --enforcementcount 0 &gt;&gt;C:\Users\stu\Documents\GitHub\eaglep3-reporting\EC\2016-09-21-refined-times.txt</v>
      </c>
      <c r="AI11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{"issue":{"subject":"","project_id":79,"tracker_id":40,"status_id":1,"priority_id":2,"assigned_to_id":23,"start_date":"2016-09-21","description":"","custom_fields":[{"id":1,"name":"Subdivision","value":"EC"},{"id":4,"name":"Milepost","value":"23.3315"},{"id":17,"name":"Train ID","value":"207-21"},{"id":16,"name":"Locomotive ID","value":"4046"},{"id":130,"name":"Impact","value":""},{"id":150,"name":"Time of Event (Mountain Time)","value":"17:45:19"},{"id":151,"name":"Denver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567</v>
      </c>
      <c r="B120" s="7">
        <v>4045</v>
      </c>
      <c r="C120" s="24" t="s">
        <v>106</v>
      </c>
      <c r="D120" s="24" t="s">
        <v>236</v>
      </c>
      <c r="E120" s="15">
        <v>42634.741226851853</v>
      </c>
      <c r="F120" s="15">
        <v>42634.747627314813</v>
      </c>
      <c r="G120" s="7">
        <v>1</v>
      </c>
      <c r="H120" s="15" t="s">
        <v>676</v>
      </c>
      <c r="I120" s="15">
        <v>42634.779236111113</v>
      </c>
      <c r="J120" s="7">
        <v>0</v>
      </c>
      <c r="K120" s="121" t="str">
        <f t="shared" si="27"/>
        <v>4045/4046</v>
      </c>
      <c r="L120" s="24" t="str">
        <f>VLOOKUP(A120,'Trips&amp;Operators'!$C$1:$E$10000,3,FALSE)</f>
        <v>HILLS</v>
      </c>
      <c r="M120" s="6">
        <f t="shared" si="28"/>
        <v>3.160879630013369E-2</v>
      </c>
      <c r="N120" s="7">
        <f t="shared" si="46"/>
        <v>45.516666672192514</v>
      </c>
      <c r="O120" s="7"/>
      <c r="P120" s="7"/>
      <c r="Q120" s="25"/>
      <c r="R120" s="25"/>
      <c r="S120" s="37">
        <f t="shared" si="29"/>
        <v>1</v>
      </c>
      <c r="T120" s="52" t="str">
        <f t="shared" si="30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16:47:22-0600',mode:absolute,to:'2016-09-21 19:42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0" s="54" t="str">
        <f t="shared" si="32"/>
        <v>N</v>
      </c>
      <c r="X120" s="168">
        <f t="shared" si="43"/>
        <v>1</v>
      </c>
      <c r="Y120" s="69">
        <f t="shared" si="44"/>
        <v>23.299399999999999</v>
      </c>
      <c r="Z120" s="69">
        <f t="shared" si="45"/>
        <v>1.9400000000000001E-2</v>
      </c>
      <c r="AA120" s="69">
        <f t="shared" si="36"/>
        <v>23.279999999999998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7"/>
        <v>0208-21</v>
      </c>
      <c r="AE120" s="99" t="str">
        <f t="shared" si="38"/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AF120" s="96" t="str">
        <f t="shared" si="39"/>
        <v>"C:\Program Files (x86)\AstroGrep\AstroGrep.exe" /spath="%USERPROFILE%\AppData\Local\Temp\OnboardLogs" /stypes="app*4045*20160922*" /stext=" 00:.+((SYSTEM_STATE.+slice.+state.+changed )|(ment ac)|(system.+state.+changed )|(\|lc)|(penalty)|(\[timeout)|(PRM\|1\|D)|(kpr)|(kdp))" /e /r /s</v>
      </c>
      <c r="AG120" s="1" t="str">
        <f t="shared" si="40"/>
        <v>EC</v>
      </c>
      <c r="AH120" s="100" t="str">
        <f t="shared" si="25"/>
        <v>"%USERPROFILE%\Documents\GitHub\eaglep3\Utilities\RefineRTDCRunTimes.py" --tripid 208-21 --locoid 4045 --swversion DE.1.0.7.0 --startMP 204:232994 --initTime 2016-09-21T17:47:22 --startdatetime 2016-09-21T17:56:35 --delay 1 --endMP 204:194 --enddatetime 2016-09-21T18:42:06 --enforcementcount 0 &gt;&gt;C:\Users\stu\Documents\GitHub\eaglep3-reporting\EC\2016-09-21-refined-times.txt</v>
      </c>
      <c r="AI12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{"issue":{"subject":"","project_id":79,"tracker_id":40,"status_id":1,"priority_id":2,"assigned_to_id":23,"start_date":"2016-09-21","description":"","custom_fields":[{"id":1,"name":"Subdivision","value":"EC"},{"id":4,"name":"Milepost","value":"0.0194"},{"id":17,"name":"Train ID","value":"208-21"},{"id":16,"name":"Locomotive ID","value":"4045"},{"id":130,"name":"Impact","value":""},{"id":150,"name":"Time of Event (Mountain Time)","value":"18:42:06"},{"id":151,"name":"Denver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559</v>
      </c>
      <c r="B121" s="7">
        <v>4020</v>
      </c>
      <c r="C121" s="24" t="s">
        <v>106</v>
      </c>
      <c r="D121" s="24" t="s">
        <v>677</v>
      </c>
      <c r="E121" s="15">
        <v>42634.71980324074</v>
      </c>
      <c r="F121" s="15">
        <v>42634.721886574072</v>
      </c>
      <c r="G121" s="7">
        <v>2</v>
      </c>
      <c r="H121" s="15" t="s">
        <v>638</v>
      </c>
      <c r="I121" s="15">
        <v>42634.751203703701</v>
      </c>
      <c r="J121" s="7">
        <v>0</v>
      </c>
      <c r="K121" s="121" t="str">
        <f t="shared" si="27"/>
        <v>4019/4020</v>
      </c>
      <c r="L121" s="24" t="str">
        <f>VLOOKUP(A121,'Trips&amp;Operators'!$C$1:$E$10000,3,FALSE)</f>
        <v>STURGEON</v>
      </c>
      <c r="M121" s="6">
        <f t="shared" si="28"/>
        <v>2.9317129628907423E-2</v>
      </c>
      <c r="N121" s="7">
        <f t="shared" si="46"/>
        <v>42.21666666562669</v>
      </c>
      <c r="O121" s="7"/>
      <c r="P121" s="7"/>
      <c r="Q121" s="25"/>
      <c r="R121" s="25"/>
      <c r="S121" s="37">
        <f t="shared" si="29"/>
        <v>1</v>
      </c>
      <c r="T121" s="52" t="str">
        <f t="shared" si="30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16:16:31-0600',mode:absolute,to:'2016-09-21 19:01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1" s="54" t="str">
        <f t="shared" si="32"/>
        <v>N</v>
      </c>
      <c r="X121" s="168">
        <f t="shared" si="43"/>
        <v>1</v>
      </c>
      <c r="Y121" s="69">
        <f t="shared" si="44"/>
        <v>5.4199999999999998E-2</v>
      </c>
      <c r="Z121" s="69">
        <f t="shared" si="45"/>
        <v>23.328399999999998</v>
      </c>
      <c r="AA121" s="69">
        <f t="shared" si="36"/>
        <v>23.274199999999997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7"/>
        <v>0209-21</v>
      </c>
      <c r="AE121" s="99" t="str">
        <f t="shared" si="38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21" s="96" t="str">
        <f t="shared" si="39"/>
        <v>"C:\Program Files (x86)\AstroGrep\AstroGrep.exe" /spath="%USERPROFILE%\AppData\Local\Temp\OnboardLogs" /stypes="app*4020*20160922*" /stext=" 00:.+((SYSTEM_STATE.+slice.+state.+changed )|(ment ac)|(system.+state.+changed )|(\|lc)|(penalty)|(\[timeout)|(PRM\|1\|D)|(kpr)|(kdp))" /e /r /s</v>
      </c>
      <c r="AG121" s="1" t="str">
        <f t="shared" si="40"/>
        <v>EC</v>
      </c>
      <c r="AH121" s="100" t="str">
        <f t="shared" si="25"/>
        <v>"%USERPROFILE%\Documents\GitHub\eaglep3\Utilities\RefineRTDCRunTimes.py" --tripid 209-21 --locoid 4020 --swversion DE.1.0.7.0 --startMP 204:542 --initTime 2016-09-21T17:16:31 --startdatetime 2016-09-21T17:19:31 --delay 2 --endMP 204:233284 --enddatetime 2016-09-21T18:01:44 --enforcementcount 0 &gt;&gt;C:\Users\stu\Documents\GitHub\eaglep3-reporting\EC\2016-09-21-refined-times.txt</v>
      </c>
      <c r="AI12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{"issue":{"subject":"","project_id":79,"tracker_id":40,"status_id":1,"priority_id":2,"assigned_to_id":23,"start_date":"2016-09-21","description":"","custom_fields":[{"id":1,"name":"Subdivision","value":"EC"},{"id":4,"name":"Milepost","value":"23.3284"},{"id":17,"name":"Train ID","value":"209-21"},{"id":16,"name":"Locomotive ID","value":"4020"},{"id":130,"name":"Impact","value":""},{"id":150,"name":"Time of Event (Mountain Time)","value":"18:01:44"},{"id":151,"name":"Denver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570</v>
      </c>
      <c r="B122" s="7">
        <v>4019</v>
      </c>
      <c r="C122" s="24" t="s">
        <v>106</v>
      </c>
      <c r="D122" s="24" t="s">
        <v>309</v>
      </c>
      <c r="E122" s="15">
        <v>42634.753159722219</v>
      </c>
      <c r="F122" s="15">
        <v>42634.758125</v>
      </c>
      <c r="G122" s="7">
        <v>1</v>
      </c>
      <c r="H122" s="15" t="s">
        <v>222</v>
      </c>
      <c r="I122" s="15">
        <v>42634.789502314816</v>
      </c>
      <c r="J122" s="7">
        <v>0</v>
      </c>
      <c r="K122" s="121" t="str">
        <f t="shared" si="27"/>
        <v>4019/4020</v>
      </c>
      <c r="L122" s="24" t="str">
        <f>VLOOKUP(A122,'Trips&amp;Operators'!$C$1:$E$10000,3,FALSE)</f>
        <v>STURGEON</v>
      </c>
      <c r="M122" s="6">
        <f t="shared" si="28"/>
        <v>3.1377314815472346E-2</v>
      </c>
      <c r="N122" s="7">
        <f t="shared" si="46"/>
        <v>45.183333334280178</v>
      </c>
      <c r="O122" s="7"/>
      <c r="P122" s="7"/>
      <c r="Q122" s="25"/>
      <c r="R122" s="25"/>
      <c r="S122" s="37">
        <f t="shared" si="29"/>
        <v>1</v>
      </c>
      <c r="T122" s="52" t="str">
        <f t="shared" si="30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17:04:33-0600',mode:absolute,to:'2016-09-21 19:56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2" s="54" t="str">
        <f t="shared" si="32"/>
        <v>N</v>
      </c>
      <c r="X122" s="168">
        <f t="shared" si="43"/>
        <v>1</v>
      </c>
      <c r="Y122" s="69">
        <f t="shared" si="44"/>
        <v>23.296299999999999</v>
      </c>
      <c r="Z122" s="69">
        <f t="shared" si="45"/>
        <v>1.52E-2</v>
      </c>
      <c r="AA122" s="69">
        <f t="shared" si="36"/>
        <v>23.281099999999999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7"/>
        <v>0210-21</v>
      </c>
      <c r="AE122" s="99" t="str">
        <f t="shared" si="38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122" s="96" t="str">
        <f t="shared" si="39"/>
        <v>"C:\Program Files (x86)\AstroGrep\AstroGrep.exe" /spath="%USERPROFILE%\AppData\Local\Temp\OnboardLogs" /stypes="app*4019*20160922*" /stext=" 00:.+((SYSTEM_STATE.+slice.+state.+changed )|(ment ac)|(system.+state.+changed )|(\|lc)|(penalty)|(\[timeout)|(PRM\|1\|D)|(kpr)|(kdp))" /e /r /s</v>
      </c>
      <c r="AG122" s="1" t="str">
        <f t="shared" si="40"/>
        <v>EC</v>
      </c>
      <c r="AH122" s="100" t="str">
        <f t="shared" si="25"/>
        <v>"%USERPROFILE%\Documents\GitHub\eaglep3\Utilities\RefineRTDCRunTimes.py" --tripid 210-21 --locoid 4019 --swversion DE.1.0.7.0 --startMP 204:232963 --initTime 2016-09-21T18:04:33 --startdatetime 2016-09-21T18:11:42 --delay 1 --endMP 204:152 --enddatetime 2016-09-21T18:56:53 --enforcementcount 0 &gt;&gt;C:\Users\stu\Documents\GitHub\eaglep3-reporting\EC\2016-09-21-refined-times.txt</v>
      </c>
      <c r="AI12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ID","value":"210-21"},{"id":16,"name":"Locomotive ID","value":"4019"},{"id":130,"name":"Impact","value":""},{"id":150,"name":"Time of Event (Mountain Time)","value":"18:56:53"},{"id":151,"name":"Denver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560</v>
      </c>
      <c r="B123" s="7">
        <v>4002</v>
      </c>
      <c r="C123" s="24" t="s">
        <v>106</v>
      </c>
      <c r="D123" s="24" t="s">
        <v>226</v>
      </c>
      <c r="E123" s="15">
        <v>42634.728402777779</v>
      </c>
      <c r="F123" s="15">
        <v>42634.729849537034</v>
      </c>
      <c r="G123" s="7">
        <v>1</v>
      </c>
      <c r="H123" s="15" t="s">
        <v>250</v>
      </c>
      <c r="I123" s="15">
        <v>42634.757662037038</v>
      </c>
      <c r="J123" s="7">
        <v>0</v>
      </c>
      <c r="K123" s="121" t="str">
        <f t="shared" si="27"/>
        <v>4001/4002</v>
      </c>
      <c r="L123" s="24" t="str">
        <f>VLOOKUP(A123,'Trips&amp;Operators'!$C$1:$E$10000,3,FALSE)</f>
        <v>YOUNG</v>
      </c>
      <c r="M123" s="6">
        <f t="shared" si="28"/>
        <v>2.7812500004074536E-2</v>
      </c>
      <c r="N123" s="7">
        <f t="shared" si="46"/>
        <v>40.050000005867332</v>
      </c>
      <c r="O123" s="7"/>
      <c r="P123" s="7"/>
      <c r="Q123" s="25"/>
      <c r="R123" s="25"/>
      <c r="S123" s="37">
        <f t="shared" si="29"/>
        <v>1</v>
      </c>
      <c r="T123" s="52" t="str">
        <f t="shared" si="30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16:28:54-0600',mode:absolute,to:'2016-09-21 19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3" s="54" t="str">
        <f t="shared" si="32"/>
        <v>N</v>
      </c>
      <c r="X123" s="168">
        <f t="shared" si="43"/>
        <v>1</v>
      </c>
      <c r="Y123" s="69">
        <f t="shared" si="44"/>
        <v>4.5100000000000001E-2</v>
      </c>
      <c r="Z123" s="69">
        <f t="shared" si="45"/>
        <v>23.329699999999999</v>
      </c>
      <c r="AA123" s="69">
        <f t="shared" si="36"/>
        <v>23.284599999999998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7"/>
        <v>0211-21</v>
      </c>
      <c r="AE123" s="99" t="str">
        <f t="shared" si="38"/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AF123" s="96" t="str">
        <f t="shared" si="39"/>
        <v>"C:\Program Files (x86)\AstroGrep\AstroGrep.exe" /spath="%USERPROFILE%\AppData\Local\Temp\OnboardLogs" /stypes="app*4002*20160922*" /stext=" 00:.+((SYSTEM_STATE.+slice.+state.+changed )|(ment ac)|(system.+state.+changed )|(\|lc)|(penalty)|(\[timeout)|(PRM\|1\|D)|(kpr)|(kdp))" /e /r /s</v>
      </c>
      <c r="AG123" s="1" t="str">
        <f t="shared" si="40"/>
        <v>EC</v>
      </c>
      <c r="AH123" s="100" t="str">
        <f t="shared" si="25"/>
        <v>"%USERPROFILE%\Documents\GitHub\eaglep3\Utilities\RefineRTDCRunTimes.py" --tripid 211-21 --locoid 4002 --swversion DE.1.0.7.0 --startMP 204:451 --initTime 2016-09-21T17:28:54 --startdatetime 2016-09-21T17:30:59 --delay 1 --endMP 204:233297 --enddatetime 2016-09-21T18:11:02 --enforcementcount 0 &gt;&gt;C:\Users\stu\Documents\GitHub\eaglep3-reporting\EC\2016-09-21-refined-times.txt</v>
      </c>
      <c r="AI12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{"issue":{"subject":"","project_id":79,"tracker_id":40,"status_id":1,"priority_id":2,"assigned_to_id":23,"start_date":"2016-09-21","description":"","custom_fields":[{"id":1,"name":"Subdivision","value":"EC"},{"id":4,"name":"Milepost","value":"23.3297"},{"id":17,"name":"Train ID","value":"211-21"},{"id":16,"name":"Locomotive ID","value":"4002"},{"id":130,"name":"Impact","value":""},{"id":150,"name":"Time of Event (Mountain Time)","value":"18:11:02"},{"id":151,"name":"Denver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574</v>
      </c>
      <c r="B124" s="7">
        <v>4001</v>
      </c>
      <c r="C124" s="24" t="s">
        <v>106</v>
      </c>
      <c r="D124" s="24" t="s">
        <v>352</v>
      </c>
      <c r="E124" s="15">
        <v>42634.764490740738</v>
      </c>
      <c r="F124" s="15">
        <v>42634.768240740741</v>
      </c>
      <c r="G124" s="7">
        <v>1</v>
      </c>
      <c r="H124" s="15" t="s">
        <v>678</v>
      </c>
      <c r="I124" s="15">
        <v>42634.800405092596</v>
      </c>
      <c r="J124" s="7">
        <v>0</v>
      </c>
      <c r="K124" s="121" t="str">
        <f t="shared" si="27"/>
        <v>4001/4002</v>
      </c>
      <c r="L124" s="24" t="str">
        <f>VLOOKUP(A124,'Trips&amp;Operators'!$C$1:$E$10000,3,FALSE)</f>
        <v>YOUNG</v>
      </c>
      <c r="M124" s="6">
        <f t="shared" si="28"/>
        <v>3.2164351854589768E-2</v>
      </c>
      <c r="N124" s="7">
        <f t="shared" si="46"/>
        <v>46.316666670609266</v>
      </c>
      <c r="O124" s="7"/>
      <c r="P124" s="7"/>
      <c r="Q124" s="25"/>
      <c r="R124" s="25"/>
      <c r="S124" s="37">
        <f t="shared" si="29"/>
        <v>1</v>
      </c>
      <c r="T124" s="52" t="str">
        <f t="shared" si="30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17:20:52-0600',mode:absolute,to:'2016-09-21 20:12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4" s="54" t="str">
        <f t="shared" si="32"/>
        <v>N</v>
      </c>
      <c r="X124" s="168">
        <f t="shared" si="43"/>
        <v>1</v>
      </c>
      <c r="Y124" s="69">
        <f t="shared" si="44"/>
        <v>23.2989</v>
      </c>
      <c r="Z124" s="69">
        <f t="shared" si="45"/>
        <v>1.32E-2</v>
      </c>
      <c r="AA124" s="69">
        <f t="shared" si="36"/>
        <v>23.285699999999999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7"/>
        <v>0212-21</v>
      </c>
      <c r="AE124" s="99" t="str">
        <f t="shared" si="38"/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AF124" s="96" t="str">
        <f t="shared" si="39"/>
        <v>"C:\Program Files (x86)\AstroGrep\AstroGrep.exe" /spath="%USERPROFILE%\AppData\Local\Temp\OnboardLogs" /stypes="app*4001*20160922*" /stext=" 01:.+((SYSTEM_STATE.+slice.+state.+changed )|(ment ac)|(system.+state.+changed )|(\|lc)|(penalty)|(\[timeout)|(PRM\|1\|D)|(kpr)|(kdp))" /e /r /s</v>
      </c>
      <c r="AG124" s="1" t="str">
        <f t="shared" si="40"/>
        <v>EC</v>
      </c>
      <c r="AH124" s="100" t="str">
        <f t="shared" si="25"/>
        <v>"%USERPROFILE%\Documents\GitHub\eaglep3\Utilities\RefineRTDCRunTimes.py" --tripid 212-21 --locoid 4001 --swversion DE.1.0.7.0 --startMP 204:232989 --initTime 2016-09-21T18:20:52 --startdatetime 2016-09-21T18:26:16 --delay 1 --endMP 204:132 --enddatetime 2016-09-21T19:12:35 --enforcementcount 0 &gt;&gt;C:\Users\stu\Documents\GitHub\eaglep3-reporting\EC\2016-09-21-refined-times.txt</v>
      </c>
      <c r="AI12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{"issue":{"subject":"","project_id":79,"tracker_id":40,"status_id":1,"priority_id":2,"assigned_to_id":23,"start_date":"2016-09-21","description":"","custom_fields":[{"id":1,"name":"Subdivision","value":"EC"},{"id":4,"name":"Milepost","value":"0.0132"},{"id":17,"name":"Train ID","value":"212-21"},{"id":16,"name":"Locomotive ID","value":"4001"},{"id":130,"name":"Impact","value":""},{"id":150,"name":"Time of Event (Mountain Time)","value":"19:12:35"},{"id":151,"name":"Denver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564</v>
      </c>
      <c r="B125" s="7">
        <v>4016</v>
      </c>
      <c r="C125" s="24" t="s">
        <v>106</v>
      </c>
      <c r="D125" s="24" t="s">
        <v>230</v>
      </c>
      <c r="E125" s="15">
        <v>42634.738043981481</v>
      </c>
      <c r="F125" s="15">
        <v>42634.739733796298</v>
      </c>
      <c r="G125" s="7">
        <v>1</v>
      </c>
      <c r="H125" s="15" t="s">
        <v>679</v>
      </c>
      <c r="I125" s="15">
        <v>42634.749363425923</v>
      </c>
      <c r="J125" s="7">
        <v>0</v>
      </c>
      <c r="K125" s="121" t="str">
        <f t="shared" si="27"/>
        <v>4015/4016</v>
      </c>
      <c r="L125" s="24" t="str">
        <f>VLOOKUP(A125,'Trips&amp;Operators'!$C$1:$E$10000,3,FALSE)</f>
        <v>YANAI</v>
      </c>
      <c r="M125" s="6">
        <f t="shared" si="28"/>
        <v>9.6296296251239255E-3</v>
      </c>
      <c r="N125" s="7"/>
      <c r="O125" s="7"/>
      <c r="P125" s="7">
        <f>24*60*SUM($M125:$M125)</f>
        <v>13.866666660178453</v>
      </c>
      <c r="Q125" s="25"/>
      <c r="R125" s="25" t="s">
        <v>771</v>
      </c>
      <c r="S125" s="37">
        <f t="shared" si="29"/>
        <v>0.58333333333333337</v>
      </c>
      <c r="T125" s="52" t="str">
        <f t="shared" si="30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7</v>
      </c>
      <c r="V12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16:42:47-0600',mode:absolute,to:'2016-09-21 18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5" s="54" t="str">
        <f t="shared" si="32"/>
        <v>Y</v>
      </c>
      <c r="X125" s="168">
        <f t="shared" si="43"/>
        <v>1</v>
      </c>
      <c r="Y125" s="69">
        <f t="shared" si="44"/>
        <v>4.6699999999999998E-2</v>
      </c>
      <c r="Z125" s="69">
        <f t="shared" si="45"/>
        <v>5.8212000000000002</v>
      </c>
      <c r="AA125" s="69">
        <f t="shared" si="36"/>
        <v>5.7744999999999997</v>
      </c>
      <c r="AB125" s="66" t="str">
        <f>VLOOKUP(A125,Enforcements!$C$7:$K$20,8,0)</f>
        <v>Bulletin (2)</v>
      </c>
      <c r="AC125" s="62" t="str">
        <f>VLOOKUP(A125,Enforcements!$C$7:$E$20,3,0)</f>
        <v>GRADE CROSSING</v>
      </c>
      <c r="AD125" s="63" t="str">
        <f t="shared" si="37"/>
        <v>0213-21</v>
      </c>
      <c r="AE125" s="99" t="str">
        <f t="shared" si="38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25" s="96" t="str">
        <f t="shared" si="39"/>
        <v>"C:\Program Files (x86)\AstroGrep\AstroGrep.exe" /spath="%USERPROFILE%\AppData\Local\Temp\OnboardLogs" /stypes="app*4016*20160921*" /stext=" 23:.+((SYSTEM_STATE.+slice.+state.+changed )|(ment ac)|(system.+state.+changed )|(\|lc)|(penalty)|(\[timeout)|(PRM\|1\|D)|(kpr)|(kdp))" /e /r /s</v>
      </c>
      <c r="AG125" s="1" t="str">
        <f t="shared" si="40"/>
        <v>EC</v>
      </c>
      <c r="AH125" s="100" t="str">
        <f t="shared" si="25"/>
        <v>"%USERPROFILE%\Documents\GitHub\eaglep3\Utilities\RefineRTDCRunTimes.py" --tripid 213-21 --locoid 4016 --swversion DE.1.0.7.0 --startMP 204:467 --initTime 2016-09-21T17:42:47 --startdatetime 2016-09-21T17:45:13 --delay 1 --endMP 204:58212 --enddatetime 2016-09-21T17:59:05 --enforcementcount 0 &gt;&gt;C:\Users\stu\Documents\GitHub\eaglep3-reporting\EC\2016-09-21-refined-times.txt</v>
      </c>
      <c r="AI125" s="134" t="str">
        <f t="shared" si="26"/>
        <v>echo {"issue":{"subject":"Onboard in-route failure","project_id":79,"tracker_id":40,"status_id":1,"priority_id":2,"assigned_to_id":23,"start_date":"2016-09-21","description":"Multiple CPU Faults around 17:59:05","custom_fields":[{"id":1,"name":"Subdivision","value":"EC"},{"id":4,"name":"Milepost","value":"5.8212"},{"id":17,"name":"Train ID","value":"213-21"},{"id":16,"name":"Locomotive ID","value":"4016"},{"id":130,"name":"Impact","value":"Failed State"},{"id":150,"name":"Time of Event (Mountain Time)","value":"17:59:05"},{"id":151,"name":"Denver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5" s="55" t="s">
        <v>774</v>
      </c>
      <c r="AK125" s="55" t="s">
        <v>141</v>
      </c>
      <c r="AL125" s="55" t="s">
        <v>248</v>
      </c>
    </row>
    <row r="126" spans="1:38" s="23" customFormat="1" x14ac:dyDescent="0.25">
      <c r="A126" s="39" t="s">
        <v>577</v>
      </c>
      <c r="B126" s="7">
        <v>4015</v>
      </c>
      <c r="C126" s="24" t="s">
        <v>106</v>
      </c>
      <c r="D126" s="24" t="s">
        <v>354</v>
      </c>
      <c r="E126" s="15">
        <v>42634.774629629632</v>
      </c>
      <c r="F126" s="15">
        <v>42634.778726851851</v>
      </c>
      <c r="G126" s="7">
        <v>2</v>
      </c>
      <c r="H126" s="15" t="s">
        <v>222</v>
      </c>
      <c r="I126" s="15">
        <v>42634.804756944446</v>
      </c>
      <c r="J126" s="7">
        <v>0</v>
      </c>
      <c r="K126" s="121" t="str">
        <f t="shared" si="27"/>
        <v>4015/4016</v>
      </c>
      <c r="L126" s="24" t="str">
        <f>VLOOKUP(A126,'Trips&amp;Operators'!$C$1:$E$10000,3,FALSE)</f>
        <v>YANAI</v>
      </c>
      <c r="M126" s="6">
        <f t="shared" si="28"/>
        <v>2.6030092594737653E-2</v>
      </c>
      <c r="N126" s="7">
        <f t="shared" ref="N126:N157" si="47">24*60*SUM($M126:$M126)</f>
        <v>37.48333333642222</v>
      </c>
      <c r="O126" s="7"/>
      <c r="P126" s="7"/>
      <c r="Q126" s="25"/>
      <c r="R126" s="25"/>
      <c r="S126" s="37">
        <f t="shared" si="29"/>
        <v>1</v>
      </c>
      <c r="T126" s="52" t="str">
        <f t="shared" si="30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17:35:28-0600',mode:absolute,to:'2016-09-21 20:18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6" s="54" t="str">
        <f t="shared" si="32"/>
        <v>N</v>
      </c>
      <c r="X126" s="168">
        <f t="shared" si="43"/>
        <v>1</v>
      </c>
      <c r="Y126" s="69">
        <f t="shared" si="44"/>
        <v>23.298400000000001</v>
      </c>
      <c r="Z126" s="69">
        <f t="shared" si="45"/>
        <v>1.52E-2</v>
      </c>
      <c r="AA126" s="69">
        <f t="shared" si="36"/>
        <v>23.283200000000001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7"/>
        <v>0214-21</v>
      </c>
      <c r="AE126" s="99" t="str">
        <f t="shared" si="38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126" s="96" t="str">
        <f t="shared" si="39"/>
        <v>"C:\Program Files (x86)\AstroGrep\AstroGrep.exe" /spath="%USERPROFILE%\AppData\Local\Temp\OnboardLogs" /stypes="app*4015*20160922*" /stext=" 01:.+((SYSTEM_STATE.+slice.+state.+changed )|(ment ac)|(system.+state.+changed )|(\|lc)|(penalty)|(\[timeout)|(PRM\|1\|D)|(kpr)|(kdp))" /e /r /s</v>
      </c>
      <c r="AG126" s="1" t="str">
        <f t="shared" si="40"/>
        <v>EC</v>
      </c>
      <c r="AH126" s="100" t="str">
        <f t="shared" si="25"/>
        <v>"%USERPROFILE%\Documents\GitHub\eaglep3\Utilities\RefineRTDCRunTimes.py" --tripid 214-21 --locoid 4015 --swversion DE.1.0.7.0 --startMP 204:232984 --initTime 2016-09-21T18:35:28 --startdatetime 2016-09-21T18:41:22 --delay 2 --endMP 204:152 --enddatetime 2016-09-21T19:18:51 --enforcementcount 0 &gt;&gt;C:\Users\stu\Documents\GitHub\eaglep3-reporting\EC\2016-09-21-refined-times.txt</v>
      </c>
      <c r="AI12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ID","value":"214-21"},{"id":16,"name":"Locomotive ID","value":"4015"},{"id":130,"name":"Impact","value":""},{"id":150,"name":"Time of Event (Mountain Time)","value":"19:18:51"},{"id":151,"name":"Denver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569</v>
      </c>
      <c r="B127" s="7">
        <v>4007</v>
      </c>
      <c r="C127" s="24" t="s">
        <v>106</v>
      </c>
      <c r="D127" s="24" t="s">
        <v>225</v>
      </c>
      <c r="E127" s="15">
        <v>42634.749722222223</v>
      </c>
      <c r="F127" s="15">
        <v>42634.751122685186</v>
      </c>
      <c r="G127" s="7">
        <v>1</v>
      </c>
      <c r="H127" s="15" t="s">
        <v>278</v>
      </c>
      <c r="I127" s="15">
        <v>42634.778344907405</v>
      </c>
      <c r="J127" s="7">
        <v>0</v>
      </c>
      <c r="K127" s="121" t="str">
        <f t="shared" si="27"/>
        <v>4007/4008</v>
      </c>
      <c r="L127" s="24" t="str">
        <f>VLOOKUP(A127,'Trips&amp;Operators'!$C$1:$E$10000,3,FALSE)</f>
        <v>STORY</v>
      </c>
      <c r="M127" s="6">
        <f t="shared" si="28"/>
        <v>2.7222222219279502E-2</v>
      </c>
      <c r="N127" s="7">
        <f t="shared" si="47"/>
        <v>39.199999995762482</v>
      </c>
      <c r="O127" s="7"/>
      <c r="P127" s="7"/>
      <c r="Q127" s="25"/>
      <c r="R127" s="25"/>
      <c r="S127" s="37">
        <f t="shared" si="29"/>
        <v>1</v>
      </c>
      <c r="T127" s="52" t="str">
        <f t="shared" si="30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16:59:36-0600',mode:absolute,to:'2016-09-21 19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27" s="54" t="str">
        <f t="shared" si="32"/>
        <v>N</v>
      </c>
      <c r="X127" s="168">
        <f t="shared" si="43"/>
        <v>1</v>
      </c>
      <c r="Y127" s="69">
        <f t="shared" si="44"/>
        <v>4.6600000000000003E-2</v>
      </c>
      <c r="Z127" s="69">
        <f t="shared" si="45"/>
        <v>23.331399999999999</v>
      </c>
      <c r="AA127" s="69">
        <f t="shared" si="36"/>
        <v>23.284799999999997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37"/>
        <v>0215-21</v>
      </c>
      <c r="AE127" s="99" t="str">
        <f t="shared" si="38"/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AF127" s="96" t="str">
        <f t="shared" si="39"/>
        <v>"C:\Program Files (x86)\AstroGrep\AstroGrep.exe" /spath="%USERPROFILE%\AppData\Local\Temp\OnboardLogs" /stypes="app*4007*20160922*" /stext=" 00:.+((SYSTEM_STATE.+slice.+state.+changed )|(ment ac)|(system.+state.+changed )|(\|lc)|(penalty)|(\[timeout)|(PRM\|1\|D)|(kpr)|(kdp))" /e /r /s</v>
      </c>
      <c r="AG127" s="1" t="str">
        <f t="shared" si="40"/>
        <v>EC</v>
      </c>
      <c r="AH127" s="100" t="str">
        <f t="shared" si="25"/>
        <v>"%USERPROFILE%\Documents\GitHub\eaglep3\Utilities\RefineRTDCRunTimes.py" --tripid 215-21 --locoid 4007 --swversion DE.1.0.7.0 --startMP 204:466 --initTime 2016-09-21T17:59:36 --startdatetime 2016-09-21T18:01:37 --delay 1 --endMP 204:233314 --enddatetime 2016-09-21T18:40:49 --enforcementcount 0 &gt;&gt;C:\Users\stu\Documents\GitHub\eaglep3-reporting\EC\2016-09-21-refined-times.txt</v>
      </c>
      <c r="AI12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{"issue":{"subject":"","project_id":79,"tracker_id":40,"status_id":1,"priority_id":2,"assigned_to_id":23,"start_date":"2016-09-21","description":"","custom_fields":[{"id":1,"name":"Subdivision","value":"EC"},{"id":4,"name":"Milepost","value":"23.3314"},{"id":17,"name":"Train ID","value":"215-21"},{"id":16,"name":"Locomotive ID","value":"4007"},{"id":130,"name":"Impact","value":""},{"id":150,"name":"Time of Event (Mountain Time)","value":"18:40:49"},{"id":151,"name":"Denver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581</v>
      </c>
      <c r="B128" s="7">
        <v>4008</v>
      </c>
      <c r="C128" s="24" t="s">
        <v>106</v>
      </c>
      <c r="D128" s="24" t="s">
        <v>370</v>
      </c>
      <c r="E128" s="15">
        <v>42634.783148148148</v>
      </c>
      <c r="F128" s="15">
        <v>42634.789201388892</v>
      </c>
      <c r="G128" s="7">
        <v>6</v>
      </c>
      <c r="H128" s="15" t="s">
        <v>252</v>
      </c>
      <c r="I128" s="15">
        <v>42634.816608796296</v>
      </c>
      <c r="J128" s="7">
        <v>0</v>
      </c>
      <c r="K128" s="121" t="str">
        <f t="shared" si="27"/>
        <v>4007/4008</v>
      </c>
      <c r="L128" s="24" t="str">
        <f>VLOOKUP(A128,'Trips&amp;Operators'!$C$1:$E$10000,3,FALSE)</f>
        <v>STORY</v>
      </c>
      <c r="M128" s="6">
        <f t="shared" si="28"/>
        <v>2.7407407404098194E-2</v>
      </c>
      <c r="N128" s="7">
        <f t="shared" si="47"/>
        <v>39.466666661901399</v>
      </c>
      <c r="O128" s="7"/>
      <c r="P128" s="7"/>
      <c r="Q128" s="25"/>
      <c r="R128" s="25"/>
      <c r="S128" s="37">
        <f t="shared" si="29"/>
        <v>1</v>
      </c>
      <c r="T128" s="52" t="str">
        <f t="shared" si="30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17:47:44-0600',mode:absolute,to:'2016-09-21 20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28" s="54" t="str">
        <f t="shared" si="32"/>
        <v>N</v>
      </c>
      <c r="X128" s="168">
        <f t="shared" si="43"/>
        <v>1</v>
      </c>
      <c r="Y128" s="69">
        <f t="shared" si="44"/>
        <v>23.2987</v>
      </c>
      <c r="Z128" s="69">
        <f t="shared" si="45"/>
        <v>1.61E-2</v>
      </c>
      <c r="AA128" s="69">
        <f t="shared" si="36"/>
        <v>23.282599999999999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7"/>
        <v>0216-21</v>
      </c>
      <c r="AE128" s="99" t="str">
        <f t="shared" si="38"/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AF128" s="96" t="str">
        <f t="shared" si="39"/>
        <v>"C:\Program Files (x86)\AstroGrep\AstroGrep.exe" /spath="%USERPROFILE%\AppData\Local\Temp\OnboardLogs" /stypes="app*4008*20160922*" /stext=" 01:.+((SYSTEM_STATE.+slice.+state.+changed )|(ment ac)|(system.+state.+changed )|(\|lc)|(penalty)|(\[timeout)|(PRM\|1\|D)|(kpr)|(kdp))" /e /r /s</v>
      </c>
      <c r="AG128" s="1" t="str">
        <f t="shared" si="40"/>
        <v>EC</v>
      </c>
      <c r="AH128" s="100" t="str">
        <f t="shared" si="25"/>
        <v>"%USERPROFILE%\Documents\GitHub\eaglep3\Utilities\RefineRTDCRunTimes.py" --tripid 216-21 --locoid 4008 --swversion DE.1.0.7.0 --startMP 204:232987 --initTime 2016-09-21T18:47:44 --startdatetime 2016-09-21T18:56:27 --delay 6 --endMP 204:161 --enddatetime 2016-09-21T19:35:55 --enforcementcount 0 &gt;&gt;C:\Users\stu\Documents\GitHub\eaglep3-reporting\EC\2016-09-21-refined-times.txt</v>
      </c>
      <c r="AI128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{"issue":{"subject":"","project_id":79,"tracker_id":40,"status_id":1,"priority_id":2,"assigned_to_id":23,"start_date":"2016-09-21","description":"","custom_fields":[{"id":1,"name":"Subdivision","value":"EC"},{"id":4,"name":"Milepost","value":"0.0161"},{"id":17,"name":"Train ID","value":"216-21"},{"id":16,"name":"Locomotive ID","value":"4008"},{"id":130,"name":"Impact","value":""},{"id":150,"name":"Time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572</v>
      </c>
      <c r="B129" s="7">
        <v>4027</v>
      </c>
      <c r="C129" s="24" t="s">
        <v>106</v>
      </c>
      <c r="D129" s="24" t="s">
        <v>310</v>
      </c>
      <c r="E129" s="15">
        <v>42634.757060185184</v>
      </c>
      <c r="F129" s="15">
        <v>42634.760810185187</v>
      </c>
      <c r="G129" s="7">
        <v>2</v>
      </c>
      <c r="H129" s="15" t="s">
        <v>663</v>
      </c>
      <c r="I129" s="15">
        <v>42634.786446759259</v>
      </c>
      <c r="J129" s="7">
        <v>0</v>
      </c>
      <c r="K129" s="121" t="str">
        <f t="shared" si="27"/>
        <v>4027/4028</v>
      </c>
      <c r="L129" s="24" t="str">
        <f>VLOOKUP(A129,'Trips&amp;Operators'!$C$1:$E$10000,3,FALSE)</f>
        <v>LEVIN</v>
      </c>
      <c r="M129" s="6">
        <f t="shared" si="28"/>
        <v>2.5636574071540963E-2</v>
      </c>
      <c r="N129" s="7">
        <f t="shared" si="47"/>
        <v>36.916666663018987</v>
      </c>
      <c r="O129" s="7"/>
      <c r="P129" s="7"/>
      <c r="Q129" s="25"/>
      <c r="R129" s="25"/>
      <c r="S129" s="37">
        <f t="shared" si="29"/>
        <v>1</v>
      </c>
      <c r="T129" s="52" t="str">
        <f t="shared" si="30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17:10:10-0600',mode:absolute,to:'2016-09-21 19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9" s="54" t="str">
        <f t="shared" si="32"/>
        <v>N</v>
      </c>
      <c r="X129" s="168">
        <f t="shared" si="43"/>
        <v>1</v>
      </c>
      <c r="Y129" s="69">
        <f t="shared" si="44"/>
        <v>4.8399999999999999E-2</v>
      </c>
      <c r="Z129" s="69">
        <f t="shared" si="45"/>
        <v>23.331099999999999</v>
      </c>
      <c r="AA129" s="69">
        <f t="shared" si="36"/>
        <v>23.282699999999998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7"/>
        <v>0217-21</v>
      </c>
      <c r="AE129" s="99" t="str">
        <f t="shared" si="38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29" s="96" t="str">
        <f t="shared" si="39"/>
        <v>"C:\Program Files (x86)\AstroGrep\AstroGrep.exe" /spath="%USERPROFILE%\AppData\Local\Temp\OnboardLogs" /stypes="app*4027*20160922*" /stext=" 00:.+((SYSTEM_STATE.+slice.+state.+changed )|(ment ac)|(system.+state.+changed )|(\|lc)|(penalty)|(\[timeout)|(PRM\|1\|D)|(kpr)|(kdp))" /e /r /s</v>
      </c>
      <c r="AG129" s="1" t="str">
        <f t="shared" si="40"/>
        <v>EC</v>
      </c>
      <c r="AH129" s="100" t="str">
        <f t="shared" si="25"/>
        <v>"%USERPROFILE%\Documents\GitHub\eaglep3\Utilities\RefineRTDCRunTimes.py" --tripid 217-21 --locoid 4027 --swversion DE.1.0.7.0 --startMP 204:484 --initTime 2016-09-21T18:10:10 --startdatetime 2016-09-21T18:15:34 --delay 2 --endMP 204:233311 --enddatetime 2016-09-21T18:52:29 --enforcementcount 0 &gt;&gt;C:\Users\stu\Documents\GitHub\eaglep3-reporting\EC\2016-09-21-refined-times.txt</v>
      </c>
      <c r="AI129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{"issue":{"subject":"","project_id":79,"tracker_id":40,"status_id":1,"priority_id":2,"assigned_to_id":23,"start_date":"2016-09-21","description":"","custom_fields":[{"id":1,"name":"Subdivision","value":"EC"},{"id":4,"name":"Milepost","value":"23.3311"},{"id":17,"name":"Train ID","value":"217-21"},{"id":16,"name":"Locomotive ID","value":"4027"},{"id":130,"name":"Impact","value":""},{"id":150,"name":"Time of Event (Mountain Time)","value":"18:52:29"},{"id":151,"name":"Denver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583</v>
      </c>
      <c r="B130" s="7">
        <v>4028</v>
      </c>
      <c r="C130" s="24" t="s">
        <v>106</v>
      </c>
      <c r="D130" s="24" t="s">
        <v>354</v>
      </c>
      <c r="E130" s="15">
        <v>42634.794317129628</v>
      </c>
      <c r="F130" s="15">
        <v>42634.799479166664</v>
      </c>
      <c r="G130" s="7">
        <v>1</v>
      </c>
      <c r="H130" s="15" t="s">
        <v>220</v>
      </c>
      <c r="I130" s="15">
        <v>42634.827974537038</v>
      </c>
      <c r="J130" s="7">
        <v>0</v>
      </c>
      <c r="K130" s="121" t="str">
        <f t="shared" si="27"/>
        <v>4027/4028</v>
      </c>
      <c r="L130" s="24" t="str">
        <f>VLOOKUP(A130,'Trips&amp;Operators'!$C$1:$E$10000,3,FALSE)</f>
        <v>LEVIN</v>
      </c>
      <c r="M130" s="6">
        <f t="shared" si="28"/>
        <v>2.849537037400296E-2</v>
      </c>
      <c r="N130" s="7">
        <f t="shared" si="47"/>
        <v>41.033333338564262</v>
      </c>
      <c r="O130" s="7"/>
      <c r="P130" s="7"/>
      <c r="Q130" s="25"/>
      <c r="R130" s="25"/>
      <c r="S130" s="37">
        <f t="shared" si="29"/>
        <v>1</v>
      </c>
      <c r="T130" s="52" t="str">
        <f t="shared" si="30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18:03:49-0600',mode:absolute,to:'2016-09-21 20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0" s="54" t="str">
        <f t="shared" si="32"/>
        <v>N</v>
      </c>
      <c r="X130" s="168">
        <f t="shared" si="43"/>
        <v>1</v>
      </c>
      <c r="Y130" s="69">
        <f t="shared" si="44"/>
        <v>23.298400000000001</v>
      </c>
      <c r="Z130" s="69">
        <f t="shared" si="45"/>
        <v>1.4999999999999999E-2</v>
      </c>
      <c r="AA130" s="69">
        <f t="shared" si="36"/>
        <v>23.2834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7"/>
        <v>0218-21</v>
      </c>
      <c r="AE130" s="99" t="str">
        <f t="shared" si="38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130" s="96" t="str">
        <f t="shared" si="39"/>
        <v>"C:\Program Files (x86)\AstroGrep\AstroGrep.exe" /spath="%USERPROFILE%\AppData\Local\Temp\OnboardLogs" /stypes="app*4028*20160922*" /stext=" 01:.+((SYSTEM_STATE.+slice.+state.+changed )|(ment ac)|(system.+state.+changed )|(\|lc)|(penalty)|(\[timeout)|(PRM\|1\|D)|(kpr)|(kdp))" /e /r /s</v>
      </c>
      <c r="AG130" s="1" t="str">
        <f t="shared" si="40"/>
        <v>EC</v>
      </c>
      <c r="AH130" s="100" t="str">
        <f t="shared" si="25"/>
        <v>"%USERPROFILE%\Documents\GitHub\eaglep3\Utilities\RefineRTDCRunTimes.py" --tripid 218-21 --locoid 4028 --swversion DE.1.0.7.0 --startMP 204:232984 --initTime 2016-09-21T19:03:49 --startdatetime 2016-09-21T19:11:15 --delay 1 --endMP 204:150 --enddatetime 2016-09-21T19:52:17 --enforcementcount 0 &gt;&gt;C:\Users\stu\Documents\GitHub\eaglep3-reporting\EC\2016-09-21-refined-times.txt</v>
      </c>
      <c r="AI130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{"issue":{"subject":"","project_id":79,"tracker_id":40,"status_id":1,"priority_id":2,"assigned_to_id":23,"start_date":"2016-09-21","description":"","custom_fields":[{"id":1,"name":"Subdivision","value":"EC"},{"id":4,"name":"Milepost","value":"0.015"},{"id":17,"name":"Train ID","value":"218-21"},{"id":16,"name":"Locomotive ID","value":"4028"},{"id":130,"name":"Impact","value":""},{"id":150,"name":"Time of Event (Mountain Time)","value":"19:52:17"},{"id":151,"name":"Denver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575</v>
      </c>
      <c r="B131" s="7">
        <v>4042</v>
      </c>
      <c r="C131" s="24" t="s">
        <v>106</v>
      </c>
      <c r="D131" s="24" t="s">
        <v>230</v>
      </c>
      <c r="E131" s="15">
        <v>42634.769479166665</v>
      </c>
      <c r="F131" s="15">
        <v>42634.77138888889</v>
      </c>
      <c r="G131" s="7">
        <v>1</v>
      </c>
      <c r="H131" s="15" t="s">
        <v>630</v>
      </c>
      <c r="I131" s="15">
        <v>42634.796620370369</v>
      </c>
      <c r="J131" s="7">
        <v>0</v>
      </c>
      <c r="K131" s="121" t="str">
        <f t="shared" si="27"/>
        <v>4041/4042</v>
      </c>
      <c r="L131" s="24" t="str">
        <f>VLOOKUP(A131,'Trips&amp;Operators'!$C$1:$E$10000,3,FALSE)</f>
        <v>COOLAHAN</v>
      </c>
      <c r="M131" s="6">
        <f t="shared" si="28"/>
        <v>2.5231481478840578E-2</v>
      </c>
      <c r="N131" s="7">
        <f t="shared" si="47"/>
        <v>36.333333329530433</v>
      </c>
      <c r="O131" s="7"/>
      <c r="P131" s="7"/>
      <c r="Q131" s="25"/>
      <c r="R131" s="25"/>
      <c r="S131" s="37">
        <f t="shared" si="29"/>
        <v>1</v>
      </c>
      <c r="T131" s="52" t="str">
        <f t="shared" si="30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17:28:03-0600',mode:absolute,to:'2016-09-21 20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32"/>
        <v>N</v>
      </c>
      <c r="X131" s="168">
        <f t="shared" si="43"/>
        <v>1</v>
      </c>
      <c r="Y131" s="69">
        <f t="shared" si="44"/>
        <v>4.6699999999999998E-2</v>
      </c>
      <c r="Z131" s="69">
        <f t="shared" si="45"/>
        <v>23.330400000000001</v>
      </c>
      <c r="AA131" s="69">
        <f t="shared" si="36"/>
        <v>23.2837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7"/>
        <v>0219-21</v>
      </c>
      <c r="AE131" s="99" t="str">
        <f t="shared" si="38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31" s="96" t="str">
        <f t="shared" si="39"/>
        <v>"C:\Program Files (x86)\AstroGrep\AstroGrep.exe" /spath="%USERPROFILE%\AppData\Local\Temp\OnboardLogs" /stypes="app*4042*20160922*" /stext=" 01:.+((SYSTEM_STATE.+slice.+state.+changed )|(ment ac)|(system.+state.+changed )|(\|lc)|(penalty)|(\[timeout)|(PRM\|1\|D)|(kpr)|(kdp))" /e /r /s</v>
      </c>
      <c r="AG131" s="1" t="str">
        <f t="shared" si="40"/>
        <v>EC</v>
      </c>
      <c r="AH131" s="100" t="str">
        <f t="shared" si="25"/>
        <v>"%USERPROFILE%\Documents\GitHub\eaglep3\Utilities\RefineRTDCRunTimes.py" --tripid 219-21 --locoid 4042 --swversion DE.1.0.7.0 --startMP 204:467 --initTime 2016-09-21T18:28:03 --startdatetime 2016-09-21T18:30:48 --delay 1 --endMP 204:233304 --enddatetime 2016-09-21T19:07:08 --enforcementcount 0 &gt;&gt;C:\Users\stu\Documents\GitHub\eaglep3-reporting\EC\2016-09-21-refined-times.txt</v>
      </c>
      <c r="AI131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{"issue":{"subject":"","project_id":79,"tracker_id":40,"status_id":1,"priority_id":2,"assigned_to_id":23,"start_date":"2016-09-21","description":"","custom_fields":[{"id":1,"name":"Subdivision","value":"EC"},{"id":4,"name":"Milepost","value":"23.3304"},{"id":17,"name":"Train ID","value":"219-21"},{"id":16,"name":"Locomotive ID","value":"4042"},{"id":130,"name":"Impact","value":""},{"id":150,"name":"Time of Event (Mountain Time)","value":"19:07:08"},{"id":151,"name":"Denver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586</v>
      </c>
      <c r="B132" s="7">
        <v>4041</v>
      </c>
      <c r="C132" s="24" t="s">
        <v>106</v>
      </c>
      <c r="D132" s="24" t="s">
        <v>359</v>
      </c>
      <c r="E132" s="15">
        <v>42634.804930555554</v>
      </c>
      <c r="F132" s="15">
        <v>42634.809965277775</v>
      </c>
      <c r="G132" s="7">
        <v>2</v>
      </c>
      <c r="H132" s="15" t="s">
        <v>305</v>
      </c>
      <c r="I132" s="15">
        <v>42634.835949074077</v>
      </c>
      <c r="J132" s="7">
        <v>0</v>
      </c>
      <c r="K132" s="121" t="str">
        <f t="shared" si="27"/>
        <v>4041/4042</v>
      </c>
      <c r="L132" s="24" t="str">
        <f>VLOOKUP(A132,'Trips&amp;Operators'!$C$1:$E$10000,3,FALSE)</f>
        <v>COOLAHAN</v>
      </c>
      <c r="M132" s="6">
        <f t="shared" si="28"/>
        <v>2.5983796302170958E-2</v>
      </c>
      <c r="N132" s="7">
        <f t="shared" si="47"/>
        <v>37.41666667512618</v>
      </c>
      <c r="O132" s="7"/>
      <c r="P132" s="7"/>
      <c r="Q132" s="25"/>
      <c r="R132" s="25"/>
      <c r="S132" s="37">
        <f t="shared" si="29"/>
        <v>1</v>
      </c>
      <c r="T132" s="52" t="str">
        <f t="shared" si="30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18:19:06-0600',mode:absolute,to:'2016-09-21 21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32"/>
        <v>N</v>
      </c>
      <c r="X132" s="168">
        <f t="shared" si="43"/>
        <v>1</v>
      </c>
      <c r="Y132" s="69">
        <f t="shared" si="44"/>
        <v>23.298500000000001</v>
      </c>
      <c r="Z132" s="69">
        <f t="shared" si="45"/>
        <v>1.7600000000000001E-2</v>
      </c>
      <c r="AA132" s="69">
        <f t="shared" si="36"/>
        <v>23.280899999999999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7"/>
        <v>0220-21</v>
      </c>
      <c r="AE132" s="99" t="str">
        <f t="shared" si="38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132" s="96" t="str">
        <f t="shared" si="39"/>
        <v>"C:\Program Files (x86)\AstroGrep\AstroGrep.exe" /spath="%USERPROFILE%\AppData\Local\Temp\OnboardLogs" /stypes="app*4041*20160922*" /stext=" 02:.+((SYSTEM_STATE.+slice.+state.+changed )|(ment ac)|(system.+state.+changed )|(\|lc)|(penalty)|(\[timeout)|(PRM\|1\|D)|(kpr)|(kdp))" /e /r /s</v>
      </c>
      <c r="AG132" s="1" t="str">
        <f t="shared" si="40"/>
        <v>EC</v>
      </c>
      <c r="AH132" s="100" t="str">
        <f t="shared" si="25"/>
        <v>"%USERPROFILE%\Documents\GitHub\eaglep3\Utilities\RefineRTDCRunTimes.py" --tripid 220-21 --locoid 4041 --swversion DE.1.0.7.0 --startMP 204:232985 --initTime 2016-09-21T19:19:06 --startdatetime 2016-09-21T19:26:21 --delay 2 --endMP 204:176 --enddatetime 2016-09-21T20:03:46 --enforcementcount 0 &gt;&gt;C:\Users\stu\Documents\GitHub\eaglep3-reporting\EC\2016-09-21-refined-times.txt</v>
      </c>
      <c r="AI132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{"issue":{"subject":"","project_id":79,"tracker_id":40,"status_id":1,"priority_id":2,"assigned_to_id":23,"start_date":"2016-09-21","description":"","custom_fields":[{"id":1,"name":"Subdivision","value":"EC"},{"id":4,"name":"Milepost","value":"0.0176"},{"id":17,"name":"Train ID","value":"220-21"},{"id":16,"name":"Locomotive ID","value":"4041"},{"id":130,"name":"Impact","value":""},{"id":150,"name":"Time of Event (Mountain Time)","value":"20:03:46"},{"id":151,"name":"Denver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582</v>
      </c>
      <c r="B133" s="7">
        <v>4020</v>
      </c>
      <c r="C133" s="24" t="s">
        <v>106</v>
      </c>
      <c r="D133" s="24" t="s">
        <v>230</v>
      </c>
      <c r="E133" s="15">
        <v>42634.792048611111</v>
      </c>
      <c r="F133" s="15">
        <v>42634.793738425928</v>
      </c>
      <c r="G133" s="7">
        <v>1</v>
      </c>
      <c r="H133" s="15" t="s">
        <v>311</v>
      </c>
      <c r="I133" s="15">
        <v>42634.823067129626</v>
      </c>
      <c r="J133" s="7">
        <v>0</v>
      </c>
      <c r="K133" s="121" t="str">
        <f t="shared" si="27"/>
        <v>4019/4020</v>
      </c>
      <c r="L133" s="24" t="str">
        <f>VLOOKUP(A133,'Trips&amp;Operators'!$C$1:$E$10000,3,FALSE)</f>
        <v>STURGEON</v>
      </c>
      <c r="M133" s="6">
        <f t="shared" si="28"/>
        <v>2.9328703698411118E-2</v>
      </c>
      <c r="N133" s="7">
        <f t="shared" si="47"/>
        <v>42.23333332571201</v>
      </c>
      <c r="O133" s="7"/>
      <c r="P133" s="7"/>
      <c r="Q133" s="25"/>
      <c r="R133" s="25"/>
      <c r="S133" s="37">
        <f t="shared" si="29"/>
        <v>1</v>
      </c>
      <c r="T133" s="52" t="str">
        <f t="shared" si="30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18:00:33-0600',mode:absolute,to:'2016-09-21 20:45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3" s="54" t="str">
        <f t="shared" si="32"/>
        <v>N</v>
      </c>
      <c r="X133" s="168">
        <f t="shared" si="43"/>
        <v>1</v>
      </c>
      <c r="Y133" s="69">
        <f t="shared" si="44"/>
        <v>4.6699999999999998E-2</v>
      </c>
      <c r="Z133" s="69">
        <f t="shared" si="45"/>
        <v>23.328700000000001</v>
      </c>
      <c r="AA133" s="69">
        <f t="shared" si="36"/>
        <v>23.282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7"/>
        <v>0221-21</v>
      </c>
      <c r="AE133" s="99" t="str">
        <f t="shared" si="38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33" s="96" t="str">
        <f t="shared" si="39"/>
        <v>"C:\Program Files (x86)\AstroGrep\AstroGrep.exe" /spath="%USERPROFILE%\AppData\Local\Temp\OnboardLogs" /stypes="app*4020*20160922*" /stext=" 01:.+((SYSTEM_STATE.+slice.+state.+changed )|(ment ac)|(system.+state.+changed )|(\|lc)|(penalty)|(\[timeout)|(PRM\|1\|D)|(kpr)|(kdp))" /e /r /s</v>
      </c>
      <c r="AG133" s="1" t="str">
        <f t="shared" si="40"/>
        <v>EC</v>
      </c>
      <c r="AH133" s="100" t="str">
        <f t="shared" si="25"/>
        <v>"%USERPROFILE%\Documents\GitHub\eaglep3\Utilities\RefineRTDCRunTimes.py" --tripid 221-21 --locoid 4020 --swversion DE.1.0.7.0 --startMP 204:467 --initTime 2016-09-21T19:00:33 --startdatetime 2016-09-21T19:02:59 --delay 1 --endMP 204:233287 --enddatetime 2016-09-21T19:45:13 --enforcementcount 0 &gt;&gt;C:\Users\stu\Documents\GitHub\eaglep3-reporting\EC\2016-09-21-refined-times.txt</v>
      </c>
      <c r="AI133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{"issue":{"subject":"","project_id":79,"tracker_id":40,"status_id":1,"priority_id":2,"assigned_to_id":23,"start_date":"2016-09-21","description":"","custom_fields":[{"id":1,"name":"Subdivision","value":"EC"},{"id":4,"name":"Milepost","value":"23.3287"},{"id":17,"name":"Train ID","value":"221-21"},{"id":16,"name":"Locomotive ID","value":"4020"},{"id":130,"name":"Impact","value":""},{"id":150,"name":"Time of Event (Mountain Time)","value":"19:45:13"},{"id":151,"name":"Denver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590</v>
      </c>
      <c r="B134" s="7">
        <v>4019</v>
      </c>
      <c r="C134" s="24" t="s">
        <v>106</v>
      </c>
      <c r="D134" s="24" t="s">
        <v>350</v>
      </c>
      <c r="E134" s="15">
        <v>42634.826238425929</v>
      </c>
      <c r="F134" s="15">
        <v>42634.831064814818</v>
      </c>
      <c r="G134" s="7">
        <v>6</v>
      </c>
      <c r="H134" s="15" t="s">
        <v>268</v>
      </c>
      <c r="I134" s="15">
        <v>42634.858969907407</v>
      </c>
      <c r="J134" s="7">
        <v>0</v>
      </c>
      <c r="K134" s="121" t="str">
        <f t="shared" si="27"/>
        <v>4019/4020</v>
      </c>
      <c r="L134" s="24" t="str">
        <f>VLOOKUP(A134,'Trips&amp;Operators'!$C$1:$E$10000,3,FALSE)</f>
        <v>STURGEON</v>
      </c>
      <c r="M134" s="6">
        <f t="shared" si="28"/>
        <v>2.7905092589207925E-2</v>
      </c>
      <c r="N134" s="7">
        <f t="shared" si="47"/>
        <v>40.183333328459412</v>
      </c>
      <c r="O134" s="7"/>
      <c r="P134" s="7"/>
      <c r="Q134" s="25"/>
      <c r="R134" s="25"/>
      <c r="S134" s="37">
        <f t="shared" si="29"/>
        <v>1</v>
      </c>
      <c r="T134" s="52" t="str">
        <f t="shared" si="30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18:49:47-0600',mode:absolute,to:'2016-09-21 21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4" s="54" t="str">
        <f t="shared" si="32"/>
        <v>N</v>
      </c>
      <c r="X134" s="168">
        <f t="shared" si="43"/>
        <v>1</v>
      </c>
      <c r="Y134" s="69">
        <f t="shared" si="44"/>
        <v>23.297000000000001</v>
      </c>
      <c r="Z134" s="69">
        <f t="shared" si="45"/>
        <v>1.6500000000000001E-2</v>
      </c>
      <c r="AA134" s="69">
        <f t="shared" si="36"/>
        <v>23.2805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7"/>
        <v>0222-21</v>
      </c>
      <c r="AE134" s="99" t="str">
        <f t="shared" si="38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134" s="96" t="str">
        <f t="shared" si="39"/>
        <v>"C:\Program Files (x86)\AstroGrep\AstroGrep.exe" /spath="%USERPROFILE%\AppData\Local\Temp\OnboardLogs" /stypes="app*4019*20160922*" /stext=" 02:.+((SYSTEM_STATE.+slice.+state.+changed )|(ment ac)|(system.+state.+changed )|(\|lc)|(penalty)|(\[timeout)|(PRM\|1\|D)|(kpr)|(kdp))" /e /r /s</v>
      </c>
      <c r="AG134" s="1" t="str">
        <f t="shared" si="40"/>
        <v>EC</v>
      </c>
      <c r="AH134" s="100" t="str">
        <f t="shared" si="25"/>
        <v>"%USERPROFILE%\Documents\GitHub\eaglep3\Utilities\RefineRTDCRunTimes.py" --tripid 222-21 --locoid 4019 --swversion DE.1.0.7.0 --startMP 204:232970 --initTime 2016-09-21T19:49:47 --startdatetime 2016-09-21T19:56:44 --delay 6 --endMP 204:165 --enddatetime 2016-09-21T20:36:55 --enforcementcount 0 &gt;&gt;C:\Users\stu\Documents\GitHub\eaglep3-reporting\EC\2016-09-21-refined-times.txt</v>
      </c>
      <c r="AI134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{"issue":{"subject":"","project_id":79,"tracker_id":40,"status_id":1,"priority_id":2,"assigned_to_id":23,"start_date":"2016-09-21","description":"","custom_fields":[{"id":1,"name":"Subdivision","value":"EC"},{"id":4,"name":"Milepost","value":"0.0165"},{"id":17,"name":"Train ID","value":"222-21"},{"id":16,"name":"Locomotive ID","value":"4019"},{"id":130,"name":"Impact","value":""},{"id":150,"name":"Time of Event (Mountain Time)","value":"20:36:55"},{"id":151,"name":"Denver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587</v>
      </c>
      <c r="B135" s="7">
        <v>4016</v>
      </c>
      <c r="C135" s="24" t="s">
        <v>106</v>
      </c>
      <c r="D135" s="24" t="s">
        <v>219</v>
      </c>
      <c r="E135" s="15">
        <v>42634.806944444441</v>
      </c>
      <c r="F135" s="15">
        <v>42634.812662037039</v>
      </c>
      <c r="G135" s="7">
        <v>1</v>
      </c>
      <c r="H135" s="15" t="s">
        <v>304</v>
      </c>
      <c r="I135" s="15">
        <v>42634.837326388886</v>
      </c>
      <c r="J135" s="7">
        <v>0</v>
      </c>
      <c r="K135" s="121" t="str">
        <f t="shared" si="27"/>
        <v>4015/4016</v>
      </c>
      <c r="L135" s="24" t="str">
        <f>VLOOKUP(A135,'Trips&amp;Operators'!$C$1:$E$10000,3,FALSE)</f>
        <v>YANAI</v>
      </c>
      <c r="M135" s="6">
        <f t="shared" si="28"/>
        <v>2.4664351847604848E-2</v>
      </c>
      <c r="N135" s="7">
        <f t="shared" si="47"/>
        <v>35.516666660550982</v>
      </c>
      <c r="O135" s="7"/>
      <c r="P135" s="7"/>
      <c r="Q135" s="25"/>
      <c r="R135" s="25"/>
      <c r="S135" s="37">
        <f t="shared" si="29"/>
        <v>1</v>
      </c>
      <c r="T135" s="52" t="str">
        <f t="shared" si="30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18:22:00-0600',mode:absolute,to:'2016-09-21 21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5" s="54" t="str">
        <f t="shared" si="32"/>
        <v>N</v>
      </c>
      <c r="X135" s="168">
        <f t="shared" si="43"/>
        <v>1</v>
      </c>
      <c r="Y135" s="69">
        <f t="shared" si="44"/>
        <v>4.53E-2</v>
      </c>
      <c r="Z135" s="69">
        <f t="shared" si="45"/>
        <v>23.3308</v>
      </c>
      <c r="AA135" s="69">
        <f t="shared" si="36"/>
        <v>23.285499999999999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37"/>
        <v>0223-21</v>
      </c>
      <c r="AE135" s="99" t="str">
        <f t="shared" si="38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35" s="96" t="str">
        <f t="shared" si="39"/>
        <v>"C:\Program Files (x86)\AstroGrep\AstroGrep.exe" /spath="%USERPROFILE%\AppData\Local\Temp\OnboardLogs" /stypes="app*4016*20160922*" /stext=" 02:.+((SYSTEM_STATE.+slice.+state.+changed )|(ment ac)|(system.+state.+changed )|(\|lc)|(penalty)|(\[timeout)|(PRM\|1\|D)|(kpr)|(kdp))" /e /r /s</v>
      </c>
      <c r="AG135" s="1" t="str">
        <f t="shared" si="40"/>
        <v>EC</v>
      </c>
      <c r="AH135" s="100" t="str">
        <f t="shared" si="25"/>
        <v>"%USERPROFILE%\Documents\GitHub\eaglep3\Utilities\RefineRTDCRunTimes.py" --tripid 223-21 --locoid 4016 --swversion DE.1.0.7.0 --startMP 204:453 --initTime 2016-09-21T19:22:00 --startdatetime 2016-09-21T19:30:14 --delay 1 --endMP 204:233308 --enddatetime 2016-09-21T20:05:45 --enforcementcount 0 &gt;&gt;C:\Users\stu\Documents\GitHub\eaglep3-reporting\EC\2016-09-21-refined-times.txt</v>
      </c>
      <c r="AI135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{"issue":{"subject":"","project_id":79,"tracker_id":40,"status_id":1,"priority_id":2,"assigned_to_id":23,"start_date":"2016-09-21","description":"","custom_fields":[{"id":1,"name":"Subdivision","value":"EC"},{"id":4,"name":"Milepost","value":"23.3308"},{"id":17,"name":"Train ID","value":"223-21"},{"id":16,"name":"Locomotive ID","value":"4016"},{"id":130,"name":"Impact","value":""},{"id":150,"name":"Time of Event (Mountain Time)","value":"20:05:45"},{"id":151,"name":"Denver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593</v>
      </c>
      <c r="B136" s="7">
        <v>4015</v>
      </c>
      <c r="C136" s="24" t="s">
        <v>106</v>
      </c>
      <c r="D136" s="24" t="s">
        <v>236</v>
      </c>
      <c r="E136" s="15">
        <v>42634.848263888889</v>
      </c>
      <c r="F136" s="15">
        <v>42634.851678240739</v>
      </c>
      <c r="G136" s="7">
        <v>1</v>
      </c>
      <c r="H136" s="15" t="s">
        <v>234</v>
      </c>
      <c r="I136" s="15">
        <v>42634.87809027778</v>
      </c>
      <c r="J136" s="7">
        <v>0</v>
      </c>
      <c r="K136" s="121" t="str">
        <f t="shared" si="27"/>
        <v>4015/4016</v>
      </c>
      <c r="L136" s="24" t="str">
        <f>VLOOKUP(A136,'Trips&amp;Operators'!$C$1:$E$10000,3,FALSE)</f>
        <v>YANAI</v>
      </c>
      <c r="M136" s="6">
        <f t="shared" si="28"/>
        <v>2.641203704115469E-2</v>
      </c>
      <c r="N136" s="7">
        <f t="shared" si="47"/>
        <v>38.033333339262754</v>
      </c>
      <c r="O136" s="7"/>
      <c r="P136" s="7"/>
      <c r="Q136" s="25"/>
      <c r="R136" s="25"/>
      <c r="S136" s="37">
        <f t="shared" si="29"/>
        <v>1</v>
      </c>
      <c r="T136" s="52" t="str">
        <f t="shared" si="30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19:21:30-0600',mode:absolute,to:'2016-09-21 22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6" s="54" t="str">
        <f t="shared" si="32"/>
        <v>N</v>
      </c>
      <c r="X136" s="168">
        <f t="shared" si="43"/>
        <v>1</v>
      </c>
      <c r="Y136" s="69">
        <f t="shared" si="44"/>
        <v>23.299399999999999</v>
      </c>
      <c r="Z136" s="69">
        <f t="shared" si="45"/>
        <v>1.38E-2</v>
      </c>
      <c r="AA136" s="69">
        <f t="shared" si="36"/>
        <v>23.285599999999999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7"/>
        <v>0224-21</v>
      </c>
      <c r="AE136" s="99" t="str">
        <f t="shared" si="38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136" s="96" t="str">
        <f t="shared" si="39"/>
        <v>"C:\Program Files (x86)\AstroGrep\AstroGrep.exe" /spath="%USERPROFILE%\AppData\Local\Temp\OnboardLogs" /stypes="app*4015*20160922*" /stext=" 03:.+((SYSTEM_STATE.+slice.+state.+changed )|(ment ac)|(system.+state.+changed )|(\|lc)|(penalty)|(\[timeout)|(PRM\|1\|D)|(kpr)|(kdp))" /e /r /s</v>
      </c>
      <c r="AG136" s="1" t="str">
        <f t="shared" si="40"/>
        <v>EC</v>
      </c>
      <c r="AH136" s="100" t="str">
        <f t="shared" si="25"/>
        <v>"%USERPROFILE%\Documents\GitHub\eaglep3\Utilities\RefineRTDCRunTimes.py" --tripid 224-21 --locoid 4015 --swversion DE.1.0.7.0 --startMP 204:232994 --initTime 2016-09-21T20:21:30 --startdatetime 2016-09-21T20:26:25 --delay 1 --endMP 204:138 --enddatetime 2016-09-21T21:04:27 --enforcementcount 0 &gt;&gt;C:\Users\stu\Documents\GitHub\eaglep3-reporting\EC\2016-09-21-refined-times.txt</v>
      </c>
      <c r="AI136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{"issue":{"subject":"","project_id":79,"tracker_id":40,"status_id":1,"priority_id":2,"assigned_to_id":23,"start_date":"2016-09-21","description":"","custom_fields":[{"id":1,"name":"Subdivision","value":"EC"},{"id":4,"name":"Milepost","value":"0.0138"},{"id":17,"name":"Train ID","value":"224-21"},{"id":16,"name":"Locomotive ID","value":"4015"},{"id":130,"name":"Impact","value":""},{"id":150,"name":"Time of Event (Mountain Time)","value":"21:04:27"},{"id":151,"name":"Denver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591</v>
      </c>
      <c r="B137" s="7">
        <v>4027</v>
      </c>
      <c r="C137" s="24" t="s">
        <v>106</v>
      </c>
      <c r="D137" s="24" t="s">
        <v>224</v>
      </c>
      <c r="E137" s="15">
        <v>42634.83189814815</v>
      </c>
      <c r="F137" s="15">
        <v>42634.833518518521</v>
      </c>
      <c r="G137" s="7">
        <v>1</v>
      </c>
      <c r="H137" s="15" t="s">
        <v>652</v>
      </c>
      <c r="I137" s="15">
        <v>42634.858032407406</v>
      </c>
      <c r="J137" s="7">
        <v>0</v>
      </c>
      <c r="K137" s="121" t="str">
        <f t="shared" si="27"/>
        <v>4027/4028</v>
      </c>
      <c r="L137" s="24" t="str">
        <f>VLOOKUP(A137,'Trips&amp;Operators'!$C$1:$E$10000,3,FALSE)</f>
        <v>LEVIN</v>
      </c>
      <c r="M137" s="6">
        <f t="shared" si="28"/>
        <v>2.4513888885849155E-2</v>
      </c>
      <c r="N137" s="7">
        <f t="shared" si="47"/>
        <v>35.299999995622784</v>
      </c>
      <c r="O137" s="7"/>
      <c r="P137" s="7"/>
      <c r="Q137" s="25"/>
      <c r="R137" s="25"/>
      <c r="S137" s="37">
        <f t="shared" si="29"/>
        <v>1</v>
      </c>
      <c r="T137" s="52" t="str">
        <f t="shared" si="30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18:57:56-0600',mode:absolute,to:'2016-09-21 21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7" s="54" t="str">
        <f t="shared" si="32"/>
        <v>N</v>
      </c>
      <c r="X137" s="168">
        <f t="shared" si="43"/>
        <v>1</v>
      </c>
      <c r="Y137" s="69">
        <f t="shared" si="44"/>
        <v>4.4699999999999997E-2</v>
      </c>
      <c r="Z137" s="69">
        <f t="shared" si="45"/>
        <v>23.333100000000002</v>
      </c>
      <c r="AA137" s="69">
        <f t="shared" si="36"/>
        <v>23.288400000000003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7"/>
        <v>0225-21</v>
      </c>
      <c r="AE137" s="99" t="str">
        <f t="shared" si="38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37" s="96" t="str">
        <f t="shared" si="39"/>
        <v>"C:\Program Files (x86)\AstroGrep\AstroGrep.exe" /spath="%USERPROFILE%\AppData\Local\Temp\OnboardLogs" /stypes="app*4027*20160922*" /stext=" 02:.+((SYSTEM_STATE.+slice.+state.+changed )|(ment ac)|(system.+state.+changed )|(\|lc)|(penalty)|(\[timeout)|(PRM\|1\|D)|(kpr)|(kdp))" /e /r /s</v>
      </c>
      <c r="AG137" s="1" t="str">
        <f t="shared" si="40"/>
        <v>EC</v>
      </c>
      <c r="AH137" s="100" t="str">
        <f t="shared" si="25"/>
        <v>"%USERPROFILE%\Documents\GitHub\eaglep3\Utilities\RefineRTDCRunTimes.py" --tripid 225-21 --locoid 4027 --swversion DE.1.0.7.0 --startMP 204:447 --initTime 2016-09-21T19:57:56 --startdatetime 2016-09-21T20:00:16 --delay 1 --endMP 204:233331 --enddatetime 2016-09-21T20:35:34 --enforcementcount 0 &gt;&gt;C:\Users\stu\Documents\GitHub\eaglep3-reporting\EC\2016-09-21-refined-times.txt</v>
      </c>
      <c r="AI137" s="134" t="str">
        <f t="shared" si="26"/>
        <v>echo {"issue":{"subject":"","project_id":79,"tracker_id":40,"status_id":1,"priority_id":2,"assigned_to_id":23,"start_date":"2016-09-21","description":"","custom_fields":[{"id":1,"name":"Subdivision","value":"EC"},{"id":4,"name":"Milepost","value":"23.3331"},{"id":17,"name":"Train ID","value":"225-21"},{"id":16,"name":"Locomotive ID","value":"4027"},{"id":130,"name":"Impact","value":""},{"id":150,"name":"Time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596</v>
      </c>
      <c r="B138" s="7">
        <v>4028</v>
      </c>
      <c r="C138" s="24" t="s">
        <v>106</v>
      </c>
      <c r="D138" s="24" t="s">
        <v>680</v>
      </c>
      <c r="E138" s="15">
        <v>42634.869317129633</v>
      </c>
      <c r="F138" s="15">
        <v>42634.87259259259</v>
      </c>
      <c r="G138" s="7">
        <v>1</v>
      </c>
      <c r="H138" s="15" t="s">
        <v>127</v>
      </c>
      <c r="I138" s="15">
        <v>42634.898634259262</v>
      </c>
      <c r="J138" s="7">
        <v>0</v>
      </c>
      <c r="K138" s="121" t="str">
        <f t="shared" si="27"/>
        <v>4027/4028</v>
      </c>
      <c r="L138" s="24" t="str">
        <f>VLOOKUP(A138,'Trips&amp;Operators'!$C$1:$E$10000,3,FALSE)</f>
        <v>LEVIN</v>
      </c>
      <c r="M138" s="6">
        <f t="shared" si="28"/>
        <v>2.6041666671517305E-2</v>
      </c>
      <c r="N138" s="7">
        <f t="shared" si="47"/>
        <v>37.500000006984919</v>
      </c>
      <c r="O138" s="7"/>
      <c r="P138" s="7"/>
      <c r="Q138" s="25"/>
      <c r="R138" s="25"/>
      <c r="S138" s="37">
        <f t="shared" si="29"/>
        <v>1</v>
      </c>
      <c r="T138" s="52" t="str">
        <f t="shared" si="30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19:51:49-0600',mode:absolute,to:'2016-09-21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8" s="54" t="str">
        <f t="shared" si="32"/>
        <v>N</v>
      </c>
      <c r="X138" s="168">
        <f t="shared" si="43"/>
        <v>1</v>
      </c>
      <c r="Y138" s="69">
        <f t="shared" si="44"/>
        <v>23.300799999999999</v>
      </c>
      <c r="Z138" s="69">
        <f t="shared" si="45"/>
        <v>1.54E-2</v>
      </c>
      <c r="AA138" s="69">
        <f t="shared" si="36"/>
        <v>23.285399999999999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7"/>
        <v>0226-21</v>
      </c>
      <c r="AE138" s="99" t="str">
        <f t="shared" si="38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138" s="96" t="str">
        <f t="shared" si="39"/>
        <v>"C:\Program Files (x86)\AstroGrep\AstroGrep.exe" /spath="%USERPROFILE%\AppData\Local\Temp\OnboardLogs" /stypes="app*4028*20160922*" /stext=" 03:.+((SYSTEM_STATE.+slice.+state.+changed )|(ment ac)|(system.+state.+changed )|(\|lc)|(penalty)|(\[timeout)|(PRM\|1\|D)|(kpr)|(kdp))" /e /r /s</v>
      </c>
      <c r="AG138" s="1" t="str">
        <f t="shared" si="40"/>
        <v>EC</v>
      </c>
      <c r="AH138" s="100" t="str">
        <f t="shared" ref="AH138:AH201" si="48"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226-21 --locoid 4028 --swversion DE.1.0.7.0 --startMP 204:233008 --initTime 2016-09-21T20:51:49 --startdatetime 2016-09-21T20:56:32 --delay 1 --endMP 204:154 --enddatetime 2016-09-21T21:34:02 --enforcementcount 0 &gt;&gt;C:\Users\stu\Documents\GitHub\eaglep3-reporting\EC\2016-09-21-refined-times.txt</v>
      </c>
      <c r="AI138" s="134" t="str">
        <f t="shared" ref="AI138:AI201" si="49"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ID","value":"226-21"},{"id":16,"name":"Locomotive ID","value":"4028"},{"id":130,"name":"Impact","value":""},{"id":150,"name":"Time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594</v>
      </c>
      <c r="B139" s="7">
        <v>4042</v>
      </c>
      <c r="C139" s="24" t="s">
        <v>106</v>
      </c>
      <c r="D139" s="24" t="s">
        <v>230</v>
      </c>
      <c r="E139" s="15">
        <v>42634.850960648146</v>
      </c>
      <c r="F139" s="15">
        <v>42634.855185185188</v>
      </c>
      <c r="G139" s="7">
        <v>2</v>
      </c>
      <c r="H139" s="15" t="s">
        <v>652</v>
      </c>
      <c r="I139" s="15">
        <v>42634.879699074074</v>
      </c>
      <c r="J139" s="7">
        <v>0</v>
      </c>
      <c r="K139" s="121" t="str">
        <f t="shared" si="27"/>
        <v>4041/4042</v>
      </c>
      <c r="L139" s="24" t="str">
        <f>VLOOKUP(A139,'Trips&amp;Operators'!$C$1:$E$10000,3,FALSE)</f>
        <v>COOLAHAN</v>
      </c>
      <c r="M139" s="6">
        <f t="shared" si="28"/>
        <v>2.4513888885849155E-2</v>
      </c>
      <c r="N139" s="7">
        <f t="shared" si="47"/>
        <v>35.299999995622784</v>
      </c>
      <c r="O139" s="7"/>
      <c r="P139" s="7"/>
      <c r="Q139" s="25"/>
      <c r="R139" s="25"/>
      <c r="S139" s="37">
        <f t="shared" si="29"/>
        <v>1</v>
      </c>
      <c r="T139" s="52" t="str">
        <f t="shared" si="30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19:25:23-0600',mode:absolute,to:'2016-09-21 22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32"/>
        <v>N</v>
      </c>
      <c r="X139" s="168">
        <f t="shared" si="43"/>
        <v>1</v>
      </c>
      <c r="Y139" s="69">
        <f t="shared" si="44"/>
        <v>4.6699999999999998E-2</v>
      </c>
      <c r="Z139" s="69">
        <f t="shared" si="45"/>
        <v>23.333100000000002</v>
      </c>
      <c r="AA139" s="69">
        <f t="shared" si="36"/>
        <v>23.2864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7"/>
        <v>0227-21</v>
      </c>
      <c r="AE139" s="99" t="str">
        <f t="shared" si="38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39" s="96" t="str">
        <f t="shared" si="39"/>
        <v>"C:\Program Files (x86)\AstroGrep\AstroGrep.exe" /spath="%USERPROFILE%\AppData\Local\Temp\OnboardLogs" /stypes="app*4042*20160922*" /stext=" 03:.+((SYSTEM_STATE.+slice.+state.+changed )|(ment ac)|(system.+state.+changed )|(\|lc)|(penalty)|(\[timeout)|(PRM\|1\|D)|(kpr)|(kdp))" /e /r /s</v>
      </c>
      <c r="AG139" s="1" t="str">
        <f t="shared" si="40"/>
        <v>EC</v>
      </c>
      <c r="AH139" s="100" t="str">
        <f t="shared" si="48"/>
        <v>"%USERPROFILE%\Documents\GitHub\eaglep3\Utilities\RefineRTDCRunTimes.py" --tripid 227-21 --locoid 4042 --swversion DE.1.0.7.0 --startMP 204:467 --initTime 2016-09-21T20:25:23 --startdatetime 2016-09-21T20:31:28 --delay 2 --endMP 204:233331 --enddatetime 2016-09-21T21:06:46 --enforcementcount 0 &gt;&gt;C:\Users\stu\Documents\GitHub\eaglep3-reporting\EC\2016-09-21-refined-times.txt</v>
      </c>
      <c r="AI139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{"issue":{"subject":"","project_id":79,"tracker_id":40,"status_id":1,"priority_id":2,"assigned_to_id":23,"start_date":"2016-09-21","description":"","custom_fields":[{"id":1,"name":"Subdivision","value":"EC"},{"id":4,"name":"Milepost","value":"23.3331"},{"id":17,"name":"Train ID","value":"227-21"},{"id":16,"name":"Locomotive ID","value":"4042"},{"id":130,"name":"Impact","value":""},{"id":150,"name":"Time of Event (Mountain Time)","value":"21:06:46"},{"id":151,"name":"Denver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599</v>
      </c>
      <c r="B140" s="7">
        <v>4041</v>
      </c>
      <c r="C140" s="24" t="s">
        <v>106</v>
      </c>
      <c r="D140" s="24" t="s">
        <v>647</v>
      </c>
      <c r="E140" s="15">
        <v>42634.889432870368</v>
      </c>
      <c r="F140" s="15">
        <v>42634.893287037034</v>
      </c>
      <c r="G140" s="7">
        <v>1</v>
      </c>
      <c r="H140" s="15" t="s">
        <v>222</v>
      </c>
      <c r="I140" s="15">
        <v>42634.921180555553</v>
      </c>
      <c r="J140" s="7">
        <v>0</v>
      </c>
      <c r="K140" s="121" t="str">
        <f t="shared" si="27"/>
        <v>4041/4042</v>
      </c>
      <c r="L140" s="24" t="str">
        <f>VLOOKUP(A140,'Trips&amp;Operators'!$C$1:$E$10000,3,FALSE)</f>
        <v>COOLAHAN</v>
      </c>
      <c r="M140" s="6">
        <f t="shared" si="28"/>
        <v>2.789351851970423E-2</v>
      </c>
      <c r="N140" s="7">
        <f t="shared" si="47"/>
        <v>40.166666668374091</v>
      </c>
      <c r="O140" s="7"/>
      <c r="P140" s="7"/>
      <c r="Q140" s="25"/>
      <c r="R140" s="25"/>
      <c r="S140" s="37">
        <f t="shared" si="29"/>
        <v>1</v>
      </c>
      <c r="T140" s="52" t="str">
        <f t="shared" si="30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31"/>
        <v>https://search-rtdc-monitor-bjffxe2xuh6vdkpspy63sjmuny.us-east-1.es.amazonaws.com/_plugin/kibana/#/discover/Steve-Slow-Train-Analysis-(2080s-and-2083s)?_g=(refreshInterval:(display:Off,section:0,value:0),time:(from:'2016-09-21 20:20:47-0600',mode:absolute,to:'2016-09-21 23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32"/>
        <v>N</v>
      </c>
      <c r="X140" s="168">
        <f t="shared" si="43"/>
        <v>1</v>
      </c>
      <c r="Y140" s="69">
        <f t="shared" si="44"/>
        <v>23.300999999999998</v>
      </c>
      <c r="Z140" s="69">
        <f t="shared" si="45"/>
        <v>1.52E-2</v>
      </c>
      <c r="AA140" s="69">
        <f t="shared" si="36"/>
        <v>23.285799999999998</v>
      </c>
      <c r="AB140" s="66" t="str">
        <f>VLOOKUP(A140,Enforcements!$C$7:$K$20,8,0)</f>
        <v>Bulletin (2)</v>
      </c>
      <c r="AC140" s="62" t="str">
        <f>VLOOKUP(A140,Enforcements!$C$7:$E$20,3,0)</f>
        <v>GRADE CROSSING</v>
      </c>
      <c r="AD140" s="63" t="str">
        <f t="shared" si="37"/>
        <v>0228-21</v>
      </c>
      <c r="AE140" s="99" t="str">
        <f t="shared" si="38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140" s="96" t="str">
        <f t="shared" si="39"/>
        <v>"C:\Program Files (x86)\AstroGrep\AstroGrep.exe" /spath="%USERPROFILE%\AppData\Local\Temp\OnboardLogs" /stypes="app*4041*20160922*" /stext=" 04:.+((SYSTEM_STATE.+slice.+state.+changed )|(ment ac)|(system.+state.+changed )|(\|lc)|(penalty)|(\[timeout)|(PRM\|1\|D)|(kpr)|(kdp))" /e /r /s</v>
      </c>
      <c r="AG140" s="1" t="str">
        <f t="shared" si="40"/>
        <v>EC</v>
      </c>
      <c r="AH140" s="100" t="str">
        <f t="shared" si="48"/>
        <v>"%USERPROFILE%\Documents\GitHub\eaglep3\Utilities\RefineRTDCRunTimes.py" --tripid 228-21 --locoid 4041 --swversion DE.1.0.7.0 --startMP 204:233010 --initTime 2016-09-21T21:20:47 --startdatetime 2016-09-21T21:26:20 --delay 1 --endMP 204:152 --enddatetime 2016-09-21T22:06:30 --enforcementcount 0 &gt;&gt;C:\Users\stu\Documents\GitHub\eaglep3-reporting\EC\2016-09-21-refined-times.txt</v>
      </c>
      <c r="AI140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{"issue":{"subject":"","project_id":79,"tracker_id":40,"status_id":1,"priority_id":2,"assigned_to_id":23,"start_date":"2016-09-21","description":"","custom_fields":[{"id":1,"name":"Subdivision","value":"EC"},{"id":4,"name":"Milepost","value":"0.0152"},{"id":17,"name":"Train ID","value":"228-21"},{"id":16,"name":"Locomotive ID","value":"4041"},{"id":130,"name":"Impact","value":""},{"id":150,"name":"Time of Event (Mountain Time)","value":"22:06:30"},{"id":151,"name":"Denver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597</v>
      </c>
      <c r="B141" s="7">
        <v>4020</v>
      </c>
      <c r="C141" s="24" t="s">
        <v>106</v>
      </c>
      <c r="D141" s="24" t="s">
        <v>224</v>
      </c>
      <c r="E141" s="15">
        <v>42634.870625000003</v>
      </c>
      <c r="F141" s="15">
        <v>42634.875636574077</v>
      </c>
      <c r="G141" s="7">
        <v>6</v>
      </c>
      <c r="H141" s="15" t="s">
        <v>369</v>
      </c>
      <c r="I141" s="15">
        <v>42634.901805555557</v>
      </c>
      <c r="J141" s="7">
        <v>0</v>
      </c>
      <c r="K141" s="121" t="str">
        <f t="shared" ref="K141:K204" si="50">IF(ISEVEN(B141),(B141-1)&amp;"/"&amp;B141,B141&amp;"/"&amp;(B141+1))</f>
        <v>4019/4020</v>
      </c>
      <c r="L141" s="24" t="str">
        <f>VLOOKUP(A141,'Trips&amp;Operators'!$C$1:$E$10000,3,FALSE)</f>
        <v>STURGEON</v>
      </c>
      <c r="M141" s="6">
        <f t="shared" ref="M141:M204" si="51">I141-F141</f>
        <v>2.6168981479713693E-2</v>
      </c>
      <c r="N141" s="7">
        <f t="shared" si="47"/>
        <v>37.683333330787718</v>
      </c>
      <c r="O141" s="7"/>
      <c r="P141" s="7"/>
      <c r="Q141" s="25"/>
      <c r="R141" s="25"/>
      <c r="S141" s="37">
        <f t="shared" ref="S141:S204" si="52">SUM(U141:U141)/IF(AG141="EC",12,1)</f>
        <v>1</v>
      </c>
      <c r="T141" s="52" t="str">
        <f t="shared" ref="T141:T204" si="53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https://search-rtdc-monitor-bjffxe2xuh6vdkpspy63sjmuny.us-east-1.es.amazonaws.com/_plugin/kibana/#/discover/Steve-Slow-Train-Analysis-(2080s-and-2083s)?_g=(refreshInterval:(display:Off,section:0,value:0),time:(from:'2016-09-21 19:53:42-0600',mode:absolute,to:'2016-09-21 22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1" s="54" t="str">
        <f t="shared" ref="W141:W204" si="55">IF(AA141&lt;IF(AG141="EC",23,5.65),"Y","N")</f>
        <v>N</v>
      </c>
      <c r="X141" s="168">
        <f t="shared" ref="X141:X150" si="56">VALUE(LEFT(AD141,4))-VALUE(LEFT(AD140,4))</f>
        <v>1</v>
      </c>
      <c r="Y141" s="69">
        <f t="shared" ref="Y141:Y172" si="57">RIGHT(D141,LEN(D141)-4)/10000</f>
        <v>4.4699999999999997E-2</v>
      </c>
      <c r="Z141" s="69">
        <f t="shared" si="45"/>
        <v>23.33</v>
      </c>
      <c r="AA141" s="69">
        <f t="shared" ref="AA141:AA204" si="58">ABS(Z141-Y141)</f>
        <v>23.285299999999999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9">IF(LEN(A141)=6,"0"&amp;A141,A141)</f>
        <v>0229-21</v>
      </c>
      <c r="AE141" s="99" t="str">
        <f t="shared" ref="AE141:AE204" si="60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41" s="96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/stypes="app*4020*20160922*" /stext=" 03:.+((SYSTEM_STATE.+slice.+state.+changed )|(ment ac)|(system.+state.+changed )|(\|lc)|(penalty)|(\[timeout)|(PRM\|1\|D)|(kpr)|(kdp))"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100" t="str">
        <f t="shared" si="48"/>
        <v>"%USERPROFILE%\Documents\GitHub\eaglep3\Utilities\RefineRTDCRunTimes.py" --tripid 229-21 --locoid 4020 --swversion DE.1.0.7.0 --startMP 204:447 --initTime 2016-09-21T20:53:42 --startdatetime 2016-09-21T21:00:55 --delay 6 --endMP 204:233300 --enddatetime 2016-09-21T21:38:36 --enforcementcount 0 &gt;&gt;C:\Users\stu\Documents\GitHub\eaglep3-reporting\EC\2016-09-21-refined-times.txt</v>
      </c>
      <c r="AI141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{"issue":{"subject":"","project_id":79,"tracker_id":40,"status_id":1,"priority_id":2,"assigned_to_id":23,"start_date":"2016-09-21","description":"","custom_fields":[{"id":1,"name":"Subdivision","value":"EC"},{"id":4,"name":"Milepost","value":"23.33"},{"id":17,"name":"Train ID","value":"229-21"},{"id":16,"name":"Locomotive ID","value":"4020"},{"id":130,"name":"Impact","value":""},{"id":150,"name":"Time of Event (Mountain Time)","value":"21:38:36"},{"id":151,"name":"Denver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602</v>
      </c>
      <c r="B142" s="7">
        <v>4019</v>
      </c>
      <c r="C142" s="24" t="s">
        <v>106</v>
      </c>
      <c r="D142" s="24" t="s">
        <v>348</v>
      </c>
      <c r="E142" s="15">
        <v>42634.908217592594</v>
      </c>
      <c r="F142" s="15">
        <v>42634.914085648146</v>
      </c>
      <c r="G142" s="7">
        <v>1</v>
      </c>
      <c r="H142" s="15" t="s">
        <v>637</v>
      </c>
      <c r="I142" s="15">
        <v>42634.941516203704</v>
      </c>
      <c r="J142" s="7">
        <v>0</v>
      </c>
      <c r="K142" s="121" t="str">
        <f t="shared" si="50"/>
        <v>4019/4020</v>
      </c>
      <c r="L142" s="24" t="str">
        <f>VLOOKUP(A142,'Trips&amp;Operators'!$C$1:$E$10000,3,FALSE)</f>
        <v>STURGEON</v>
      </c>
      <c r="M142" s="6">
        <f t="shared" si="51"/>
        <v>2.7430555557657499E-2</v>
      </c>
      <c r="N142" s="7">
        <f t="shared" si="47"/>
        <v>39.500000003026798</v>
      </c>
      <c r="O142" s="7"/>
      <c r="P142" s="7"/>
      <c r="Q142" s="25"/>
      <c r="R142" s="25"/>
      <c r="S142" s="37">
        <f t="shared" si="52"/>
        <v>1</v>
      </c>
      <c r="T142" s="52" t="str">
        <f t="shared" si="53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20:47:50-0600',mode:absolute,to:'2016-09-21 23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2" s="54" t="str">
        <f t="shared" si="55"/>
        <v>N</v>
      </c>
      <c r="X142" s="168">
        <f t="shared" si="56"/>
        <v>1</v>
      </c>
      <c r="Y142" s="69">
        <f t="shared" si="57"/>
        <v>23.297899999999998</v>
      </c>
      <c r="Z142" s="69">
        <f t="shared" si="45"/>
        <v>1.67E-2</v>
      </c>
      <c r="AA142" s="69">
        <f t="shared" si="58"/>
        <v>23.281199999999998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9"/>
        <v>0230-21</v>
      </c>
      <c r="AE142" s="99" t="str">
        <f t="shared" si="60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142" s="96" t="str">
        <f t="shared" si="61"/>
        <v>"C:\Program Files (x86)\AstroGrep\AstroGrep.exe" /spath="%USERPROFILE%\AppData\Local\Temp\OnboardLogs" /stypes="app*4019*20160922*" /stext=" 04:.+((SYSTEM_STATE.+slice.+state.+changed )|(ment ac)|(system.+state.+changed )|(\|lc)|(penalty)|(\[timeout)|(PRM\|1\|D)|(kpr)|(kdp))" /e /r /s</v>
      </c>
      <c r="AG142" s="1" t="str">
        <f t="shared" si="62"/>
        <v>EC</v>
      </c>
      <c r="AH142" s="100" t="str">
        <f t="shared" si="48"/>
        <v>"%USERPROFILE%\Documents\GitHub\eaglep3\Utilities\RefineRTDCRunTimes.py" --tripid 230-21 --locoid 4019 --swversion DE.1.0.7.0 --startMP 204:232979 --initTime 2016-09-21T21:47:50 --startdatetime 2016-09-21T21:56:17 --delay 1 --endMP 204:167 --enddatetime 2016-09-21T22:35:47 --enforcementcount 0 &gt;&gt;C:\Users\stu\Documents\GitHub\eaglep3-reporting\EC\2016-09-21-refined-times.txt</v>
      </c>
      <c r="AI142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{"issue":{"subject":"","project_id":79,"tracker_id":40,"status_id":1,"priority_id":2,"assigned_to_id":23,"start_date":"2016-09-21","description":"","custom_fields":[{"id":1,"name":"Subdivision","value":"EC"},{"id":4,"name":"Milepost","value":"0.0167"},{"id":17,"name":"Train ID","value":"230-21"},{"id":16,"name":"Locomotive ID","value":"4019"},{"id":130,"name":"Impact","value":""},{"id":150,"name":"Time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600</v>
      </c>
      <c r="B143" s="7">
        <v>4016</v>
      </c>
      <c r="C143" s="24" t="s">
        <v>106</v>
      </c>
      <c r="D143" s="24" t="s">
        <v>246</v>
      </c>
      <c r="E143" s="15">
        <v>42634.893078703702</v>
      </c>
      <c r="F143" s="15">
        <v>42634.895995370367</v>
      </c>
      <c r="G143" s="7">
        <v>1</v>
      </c>
      <c r="H143" s="15" t="s">
        <v>250</v>
      </c>
      <c r="I143" s="15">
        <v>42634.920335648145</v>
      </c>
      <c r="J143" s="7">
        <v>0</v>
      </c>
      <c r="K143" s="121" t="str">
        <f t="shared" si="50"/>
        <v>4015/4016</v>
      </c>
      <c r="L143" s="24" t="str">
        <f>VLOOKUP(A143,'Trips&amp;Operators'!$C$1:$E$10000,3,FALSE)</f>
        <v>YANAI</v>
      </c>
      <c r="M143" s="6">
        <f t="shared" si="51"/>
        <v>2.4340277777810115E-2</v>
      </c>
      <c r="N143" s="7">
        <f t="shared" si="47"/>
        <v>35.050000000046566</v>
      </c>
      <c r="O143" s="7"/>
      <c r="P143" s="7"/>
      <c r="Q143" s="25"/>
      <c r="R143" s="25"/>
      <c r="S143" s="37">
        <f t="shared" si="52"/>
        <v>1</v>
      </c>
      <c r="T143" s="52" t="str">
        <f t="shared" si="53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20:26:02-0600',mode:absolute,to:'2016-09-21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3" s="54" t="str">
        <f t="shared" si="55"/>
        <v>N</v>
      </c>
      <c r="X143" s="168">
        <f t="shared" si="56"/>
        <v>1</v>
      </c>
      <c r="Y143" s="69">
        <f t="shared" si="57"/>
        <v>4.3700000000000003E-2</v>
      </c>
      <c r="Z143" s="69">
        <f t="shared" si="45"/>
        <v>23.329699999999999</v>
      </c>
      <c r="AA143" s="69">
        <f t="shared" si="58"/>
        <v>23.285999999999998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9"/>
        <v>0231-21</v>
      </c>
      <c r="AE143" s="99" t="str">
        <f t="shared" si="60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43" s="96" t="str">
        <f t="shared" si="61"/>
        <v>"C:\Program Files (x86)\AstroGrep\AstroGrep.exe" /spath="%USERPROFILE%\AppData\Local\Temp\OnboardLogs" /stypes="app*4016*20160922*" /stext=" 04:.+((SYSTEM_STATE.+slice.+state.+changed )|(ment ac)|(system.+state.+changed )|(\|lc)|(penalty)|(\[timeout)|(PRM\|1\|D)|(kpr)|(kdp))" /e /r /s</v>
      </c>
      <c r="AG143" s="1" t="str">
        <f t="shared" si="62"/>
        <v>EC</v>
      </c>
      <c r="AH143" s="100" t="str">
        <f t="shared" si="48"/>
        <v>"%USERPROFILE%\Documents\GitHub\eaglep3\Utilities\RefineRTDCRunTimes.py" --tripid 231-21 --locoid 4016 --swversion DE.1.0.7.0 --startMP 204:437 --initTime 2016-09-21T21:26:02 --startdatetime 2016-09-21T21:30:14 --delay 1 --endMP 204:233297 --enddatetime 2016-09-21T22:05:17 --enforcementcount 0 &gt;&gt;C:\Users\stu\Documents\GitHub\eaglep3-reporting\EC\2016-09-21-refined-times.txt</v>
      </c>
      <c r="AI143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{"issue":{"subject":"","project_id":79,"tracker_id":40,"status_id":1,"priority_id":2,"assigned_to_id":23,"start_date":"2016-09-21","description":"","custom_fields":[{"id":1,"name":"Subdivision","value":"EC"},{"id":4,"name":"Milepost","value":"23.3297"},{"id":17,"name":"Train ID","value":"231-21"},{"id":16,"name":"Locomotive ID","value":"4016"},{"id":130,"name":"Impact","value":""},{"id":150,"name":"Time of Event (Mountain Time)","value":"22:05:17"},{"id":151,"name":"Denver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605</v>
      </c>
      <c r="B144" s="7">
        <v>4015</v>
      </c>
      <c r="C144" s="24" t="s">
        <v>106</v>
      </c>
      <c r="D144" s="24" t="s">
        <v>370</v>
      </c>
      <c r="E144" s="15">
        <v>42634.931932870371</v>
      </c>
      <c r="F144" s="15">
        <v>42634.934895833336</v>
      </c>
      <c r="G144" s="7">
        <v>1</v>
      </c>
      <c r="H144" s="15" t="s">
        <v>127</v>
      </c>
      <c r="I144" s="15">
        <v>42634.961006944446</v>
      </c>
      <c r="J144" s="7">
        <v>0</v>
      </c>
      <c r="K144" s="121" t="str">
        <f t="shared" si="50"/>
        <v>4015/4016</v>
      </c>
      <c r="L144" s="24" t="str">
        <f>VLOOKUP(A144,'Trips&amp;Operators'!$C$1:$E$10000,3,FALSE)</f>
        <v>YANAI</v>
      </c>
      <c r="M144" s="6">
        <f t="shared" si="51"/>
        <v>2.6111111110367347E-2</v>
      </c>
      <c r="N144" s="7">
        <f t="shared" si="47"/>
        <v>37.599999998928979</v>
      </c>
      <c r="O144" s="7"/>
      <c r="P144" s="7"/>
      <c r="Q144" s="25"/>
      <c r="R144" s="25"/>
      <c r="S144" s="37">
        <f t="shared" si="52"/>
        <v>1</v>
      </c>
      <c r="T144" s="52" t="str">
        <f t="shared" si="53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21:21:59-0600',mode:absolute,to:'2016-09-22 00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4" s="54" t="str">
        <f t="shared" si="55"/>
        <v>N</v>
      </c>
      <c r="X144" s="168">
        <f t="shared" si="56"/>
        <v>1</v>
      </c>
      <c r="Y144" s="69">
        <f t="shared" si="57"/>
        <v>23.2987</v>
      </c>
      <c r="Z144" s="69">
        <f t="shared" si="45"/>
        <v>1.54E-2</v>
      </c>
      <c r="AA144" s="69">
        <f t="shared" si="58"/>
        <v>23.283300000000001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9"/>
        <v>0232-21</v>
      </c>
      <c r="AE144" s="99" t="str">
        <f t="shared" si="60"/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AF144" s="96" t="str">
        <f t="shared" si="61"/>
        <v>"C:\Program Files (x86)\AstroGrep\AstroGrep.exe" /spath="%USERPROFILE%\AppData\Local\Temp\OnboardLogs" /stypes="app*4015*20160922*" /stext=" 05:.+((SYSTEM_STATE.+slice.+state.+changed )|(ment ac)|(system.+state.+changed )|(\|lc)|(penalty)|(\[timeout)|(PRM\|1\|D)|(kpr)|(kdp))" /e /r /s</v>
      </c>
      <c r="AG144" s="1" t="str">
        <f t="shared" si="62"/>
        <v>EC</v>
      </c>
      <c r="AH144" s="100" t="str">
        <f t="shared" si="48"/>
        <v>"%USERPROFILE%\Documents\GitHub\eaglep3\Utilities\RefineRTDCRunTimes.py" --tripid 232-21 --locoid 4015 --swversion DE.1.0.7.0 --startMP 204:232987 --initTime 2016-09-21T22:21:59 --startdatetime 2016-09-21T22:26:15 --delay 1 --endMP 204:154 --enddatetime 2016-09-21T23:03:51 --enforcementcount 0 &gt;&gt;C:\Users\stu\Documents\GitHub\eaglep3-reporting\EC\2016-09-21-refined-times.txt</v>
      </c>
      <c r="AI144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{"issue":{"subject":"","project_id":79,"tracker_id":40,"status_id":1,"priority_id":2,"assigned_to_id":23,"start_date":"2016-09-21","description":"","custom_fields":[{"id":1,"name":"Subdivision","value":"EC"},{"id":4,"name":"Milepost","value":"0.0154"},{"id":17,"name":"Train ID","value":"232-21"},{"id":16,"name":"Locomotive ID","value":"4015"},{"id":130,"name":"Impact","value":""},{"id":150,"name":"Time of Event (Mountain Time)","value":"23:03:51"},{"id":151,"name":"Denver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603</v>
      </c>
      <c r="B145" s="7">
        <v>4027</v>
      </c>
      <c r="C145" s="24" t="s">
        <v>106</v>
      </c>
      <c r="D145" s="24" t="s">
        <v>231</v>
      </c>
      <c r="E145" s="15">
        <v>42634.912858796299</v>
      </c>
      <c r="F145" s="15">
        <v>42634.91684027778</v>
      </c>
      <c r="G145" s="7">
        <v>5</v>
      </c>
      <c r="H145" s="15" t="s">
        <v>313</v>
      </c>
      <c r="I145" s="15">
        <v>42634.941446759258</v>
      </c>
      <c r="J145" s="7">
        <v>0</v>
      </c>
      <c r="K145" s="121" t="str">
        <f t="shared" si="50"/>
        <v>4027/4028</v>
      </c>
      <c r="L145" s="24" t="str">
        <f>VLOOKUP(A145,'Trips&amp;Operators'!$C$1:$E$10000,3,FALSE)</f>
        <v>LEVIN</v>
      </c>
      <c r="M145" s="6">
        <f t="shared" si="51"/>
        <v>2.4606481478258502E-2</v>
      </c>
      <c r="N145" s="7">
        <f t="shared" si="47"/>
        <v>35.433333328692243</v>
      </c>
      <c r="O145" s="7"/>
      <c r="P145" s="7"/>
      <c r="Q145" s="25"/>
      <c r="R145" s="25"/>
      <c r="S145" s="37">
        <f t="shared" si="52"/>
        <v>1</v>
      </c>
      <c r="T145" s="52" t="str">
        <f t="shared" si="53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20:54:31-0600',mode:absolute,to:'2016-09-21 23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5" s="54" t="str">
        <f t="shared" si="55"/>
        <v>N</v>
      </c>
      <c r="X145" s="168">
        <f t="shared" si="56"/>
        <v>1</v>
      </c>
      <c r="Y145" s="69">
        <f t="shared" si="57"/>
        <v>4.5999999999999999E-2</v>
      </c>
      <c r="Z145" s="69">
        <f t="shared" si="45"/>
        <v>23.331199999999999</v>
      </c>
      <c r="AA145" s="69">
        <f t="shared" si="58"/>
        <v>23.2852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9"/>
        <v>0233-21</v>
      </c>
      <c r="AE145" s="99" t="str">
        <f t="shared" si="60"/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AF145" s="96" t="str">
        <f t="shared" si="61"/>
        <v>"C:\Program Files (x86)\AstroGrep\AstroGrep.exe" /spath="%USERPROFILE%\AppData\Local\Temp\OnboardLogs" /stypes="app*4027*20160922*" /stext=" 04:.+((SYSTEM_STATE.+slice.+state.+changed )|(ment ac)|(system.+state.+changed )|(\|lc)|(penalty)|(\[timeout)|(PRM\|1\|D)|(kpr)|(kdp))" /e /r /s</v>
      </c>
      <c r="AG145" s="1" t="str">
        <f t="shared" si="62"/>
        <v>EC</v>
      </c>
      <c r="AH145" s="100" t="str">
        <f t="shared" si="48"/>
        <v>"%USERPROFILE%\Documents\GitHub\eaglep3\Utilities\RefineRTDCRunTimes.py" --tripid 233-21 --locoid 4027 --swversion DE.1.0.7.0 --startMP 204:460 --initTime 2016-09-21T21:54:31 --startdatetime 2016-09-21T22:00:15 --delay 5 --endMP 204:233312 --enddatetime 2016-09-21T22:35:41 --enforcementcount 0 &gt;&gt;C:\Users\stu\Documents\GitHub\eaglep3-reporting\EC\2016-09-21-refined-times.txt</v>
      </c>
      <c r="AI145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{"issue":{"subject":"","project_id":79,"tracker_id":40,"status_id":1,"priority_id":2,"assigned_to_id":23,"start_date":"2016-09-21","description":"","custom_fields":[{"id":1,"name":"Subdivision","value":"EC"},{"id":4,"name":"Milepost","value":"23.3312"},{"id":17,"name":"Train ID","value":"233-21"},{"id":16,"name":"Locomotive ID","value":"4027"},{"id":130,"name":"Impact","value":""},{"id":150,"name":"Time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608</v>
      </c>
      <c r="B146" s="7">
        <v>4028</v>
      </c>
      <c r="C146" s="24" t="s">
        <v>106</v>
      </c>
      <c r="D146" s="24" t="s">
        <v>345</v>
      </c>
      <c r="E146" s="15">
        <v>42634.951238425929</v>
      </c>
      <c r="F146" s="15">
        <v>42634.955775462964</v>
      </c>
      <c r="G146" s="7">
        <v>0</v>
      </c>
      <c r="H146" s="15" t="s">
        <v>228</v>
      </c>
      <c r="I146" s="15">
        <v>42634.981898148151</v>
      </c>
      <c r="J146" s="7">
        <v>0</v>
      </c>
      <c r="K146" s="121" t="str">
        <f t="shared" si="50"/>
        <v>4027/4028</v>
      </c>
      <c r="L146" s="24" t="str">
        <f>VLOOKUP(A146,'Trips&amp;Operators'!$C$1:$E$10000,3,FALSE)</f>
        <v>LEVIN</v>
      </c>
      <c r="M146" s="6">
        <f t="shared" si="51"/>
        <v>2.6122685187146999E-2</v>
      </c>
      <c r="N146" s="7">
        <f t="shared" si="47"/>
        <v>37.616666669491678</v>
      </c>
      <c r="O146" s="7"/>
      <c r="P146" s="7"/>
      <c r="Q146" s="25"/>
      <c r="R146" s="25"/>
      <c r="S146" s="37">
        <f t="shared" si="52"/>
        <v>1</v>
      </c>
      <c r="T146" s="52" t="str">
        <f t="shared" si="53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21:49:47-0600',mode:absolute,to:'2016-09-22 00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6" s="54" t="str">
        <f t="shared" si="55"/>
        <v>N</v>
      </c>
      <c r="X146" s="168">
        <f t="shared" si="56"/>
        <v>1</v>
      </c>
      <c r="Y146" s="69">
        <f t="shared" si="57"/>
        <v>23.299600000000002</v>
      </c>
      <c r="Z146" s="69">
        <f t="shared" si="45"/>
        <v>1.3899999999999999E-2</v>
      </c>
      <c r="AA146" s="69">
        <f t="shared" si="58"/>
        <v>23.285700000000002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9"/>
        <v>0234-21</v>
      </c>
      <c r="AE146" s="99" t="str">
        <f t="shared" si="60"/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AF146" s="96" t="str">
        <f t="shared" si="61"/>
        <v>"C:\Program Files (x86)\AstroGrep\AstroGrep.exe" /spath="%USERPROFILE%\AppData\Local\Temp\OnboardLogs" /stypes="app*4028*20160922*" /stext=" 05:.+((SYSTEM_STATE.+slice.+state.+changed )|(ment ac)|(system.+state.+changed )|(\|lc)|(penalty)|(\[timeout)|(PRM\|1\|D)|(kpr)|(kdp))" /e /r /s</v>
      </c>
      <c r="AG146" s="1" t="str">
        <f t="shared" si="62"/>
        <v>EC</v>
      </c>
      <c r="AH146" s="100" t="str">
        <f t="shared" si="48"/>
        <v>"%USERPROFILE%\Documents\GitHub\eaglep3\Utilities\RefineRTDCRunTimes.py" --tripid 234-21 --locoid 4028 --swversion DE.1.0.7.0 --startMP 204:232996 --initTime 2016-09-21T22:49:47 --startdatetime 2016-09-21T22:56:19 --delay 0 --endMP 204:139 --enddatetime 2016-09-21T23:33:56 --enforcementcount 0 &gt;&gt;C:\Users\stu\Documents\GitHub\eaglep3-reporting\EC\2016-09-21-refined-times.txt</v>
      </c>
      <c r="AI146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{"issue":{"subject":"","project_id":79,"tracker_id":40,"status_id":1,"priority_id":2,"assigned_to_id":23,"start_date":"2016-09-21","description":"","custom_fields":[{"id":1,"name":"Subdivision","value":"EC"},{"id":4,"name":"Milepost","value":"0.0139"},{"id":17,"name":"Train ID","value":"234-21"},{"id":16,"name":"Locomotive ID","value":"4028"},{"id":130,"name":"Impact","value":""},{"id":150,"name":"Time of Event (Mountain Time)","value":"23:33:56"},{"id":151,"name":"Denver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606</v>
      </c>
      <c r="B147" s="7">
        <v>4042</v>
      </c>
      <c r="C147" s="24" t="s">
        <v>106</v>
      </c>
      <c r="D147" s="24" t="s">
        <v>648</v>
      </c>
      <c r="E147" s="15">
        <v>42634.934756944444</v>
      </c>
      <c r="F147" s="15">
        <v>42634.937708333331</v>
      </c>
      <c r="G147" s="7">
        <v>1</v>
      </c>
      <c r="H147" s="15" t="s">
        <v>630</v>
      </c>
      <c r="I147" s="15">
        <v>42634.962199074071</v>
      </c>
      <c r="J147" s="7">
        <v>0</v>
      </c>
      <c r="K147" s="121" t="str">
        <f t="shared" si="50"/>
        <v>4041/4042</v>
      </c>
      <c r="L147" s="24" t="str">
        <f>VLOOKUP(A147,'Trips&amp;Operators'!$C$1:$E$10000,3,FALSE)</f>
        <v>COOLAHAN</v>
      </c>
      <c r="M147" s="6">
        <f t="shared" si="51"/>
        <v>2.4490740739565808E-2</v>
      </c>
      <c r="N147" s="7">
        <f t="shared" si="47"/>
        <v>35.266666664974764</v>
      </c>
      <c r="O147" s="7"/>
      <c r="P147" s="7"/>
      <c r="Q147" s="25"/>
      <c r="R147" s="25"/>
      <c r="S147" s="37">
        <f t="shared" si="52"/>
        <v>1</v>
      </c>
      <c r="T147" s="52" t="str">
        <f t="shared" si="53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21:26:03-0600',mode:absolute,to:'2016-09-22 00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55"/>
        <v>N</v>
      </c>
      <c r="X147" s="168">
        <f t="shared" si="56"/>
        <v>1</v>
      </c>
      <c r="Y147" s="69">
        <f t="shared" si="57"/>
        <v>4.6399999999999997E-2</v>
      </c>
      <c r="Z147" s="69">
        <f t="shared" si="45"/>
        <v>23.330400000000001</v>
      </c>
      <c r="AA147" s="69">
        <f t="shared" si="58"/>
        <v>23.284000000000002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9"/>
        <v>0235-21</v>
      </c>
      <c r="AE147" s="99" t="str">
        <f t="shared" si="60"/>
        <v>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 &amp; 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</v>
      </c>
      <c r="AF147" s="96" t="str">
        <f t="shared" si="61"/>
        <v>"C:\Program Files (x86)\AstroGrep\AstroGrep.exe" /spath="%USERPROFILE%\AppData\Local\Temp\OnboardLogs" /stypes="app*4042*20160922*" /stext=" 05:.+((SYSTEM_STATE.+slice.+state.+changed )|(ment ac)|(system.+state.+changed )|(\|lc)|(penalty)|(\[timeout)|(PRM\|1\|D)|(kpr)|(kdp))" /e /r /s</v>
      </c>
      <c r="AG147" s="1" t="str">
        <f t="shared" si="62"/>
        <v>EC</v>
      </c>
      <c r="AH147" s="100" t="str">
        <f t="shared" si="48"/>
        <v>"%USERPROFILE%\Documents\GitHub\eaglep3\Utilities\RefineRTDCRunTimes.py" --tripid 235-21 --locoid 4042 --swversion DE.1.0.7.0 --startMP 204:464 --initTime 2016-09-21T22:26:03 --startdatetime 2016-09-21T22:30:18 --delay 1 --endMP 204:233304 --enddatetime 2016-09-21T23:05:34 --enforcementcount 0 &gt;&gt;C:\Users\stu\Documents\GitHub\eaglep3-reporting\EC\2016-09-21-refined-times.txt</v>
      </c>
      <c r="AI147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{"issue":{"subject":"","project_id":79,"tracker_id":40,"status_id":1,"priority_id":2,"assigned_to_id":23,"start_date":"2016-09-21","description":"","custom_fields":[{"id":1,"name":"Subdivision","value":"EC"},{"id":4,"name":"Milepost","value":"23.3304"},{"id":17,"name":"Train ID","value":"235-21"},{"id":16,"name":"Locomotive ID","value":"4042"},{"id":130,"name":"Impact","value":""},{"id":150,"name":"Time of Event (Mountain Time)","value":"23:05:34"},{"id":151,"name":"Denver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610</v>
      </c>
      <c r="B148" s="7">
        <v>4041</v>
      </c>
      <c r="C148" s="24" t="s">
        <v>106</v>
      </c>
      <c r="D148" s="24" t="s">
        <v>370</v>
      </c>
      <c r="E148" s="15">
        <v>42634.971666666665</v>
      </c>
      <c r="F148" s="15">
        <v>42634.9768287037</v>
      </c>
      <c r="G148" s="7">
        <v>1</v>
      </c>
      <c r="H148" s="15" t="s">
        <v>681</v>
      </c>
      <c r="I148" s="15">
        <v>42635.002604166664</v>
      </c>
      <c r="J148" s="7">
        <v>0</v>
      </c>
      <c r="K148" s="121" t="str">
        <f t="shared" si="50"/>
        <v>4041/4042</v>
      </c>
      <c r="L148" s="24" t="str">
        <f>VLOOKUP(A148,'Trips&amp;Operators'!$C$1:$E$10000,3,FALSE)</f>
        <v>COOLAHAN</v>
      </c>
      <c r="M148" s="6">
        <f t="shared" si="51"/>
        <v>2.5775462963792961E-2</v>
      </c>
      <c r="N148" s="7">
        <f t="shared" si="47"/>
        <v>37.116666667861864</v>
      </c>
      <c r="O148" s="7"/>
      <c r="P148" s="7"/>
      <c r="Q148" s="25"/>
      <c r="R148" s="25"/>
      <c r="S148" s="37">
        <f t="shared" si="52"/>
        <v>1</v>
      </c>
      <c r="T148" s="52" t="str">
        <f t="shared" si="53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22:19:12-0600',mode:absolute,to:'2016-09-22 01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55"/>
        <v>N</v>
      </c>
      <c r="X148" s="168">
        <f t="shared" si="56"/>
        <v>1</v>
      </c>
      <c r="Y148" s="69">
        <f t="shared" si="57"/>
        <v>23.2987</v>
      </c>
      <c r="Z148" s="69">
        <f t="shared" ref="Z148:Z179" si="63">RIGHT(H148,LEN(H148)-4)/10000</f>
        <v>1.89E-2</v>
      </c>
      <c r="AA148" s="69">
        <f t="shared" si="58"/>
        <v>23.279800000000002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9"/>
        <v>0236-21</v>
      </c>
      <c r="AE148" s="99" t="str">
        <f t="shared" si="60"/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AF148" s="96" t="str">
        <f t="shared" si="61"/>
        <v>"C:\Program Files (x86)\AstroGrep\AstroGrep.exe" /spath="%USERPROFILE%\AppData\Local\Temp\OnboardLogs" /stypes="app*4041*20160922*" /stext=" 06:.+((SYSTEM_STATE.+slice.+state.+changed )|(ment ac)|(system.+state.+changed )|(\|lc)|(penalty)|(\[timeout)|(PRM\|1\|D)|(kpr)|(kdp))" /e /r /s</v>
      </c>
      <c r="AG148" s="1" t="str">
        <f t="shared" si="62"/>
        <v>EC</v>
      </c>
      <c r="AH148" s="100" t="str">
        <f t="shared" si="48"/>
        <v>"%USERPROFILE%\Documents\GitHub\eaglep3\Utilities\RefineRTDCRunTimes.py" --tripid 236-21 --locoid 4041 --swversion DE.1.0.7.0 --startMP 204:232987 --initTime 2016-09-21T23:19:12 --startdatetime 2016-09-21T23:26:38 --delay 1 --endMP 204:189 --enddatetime 2016-09-22T00:03:45 --enforcementcount 0 &gt;&gt;C:\Users\stu\Documents\GitHub\eaglep3-reporting\EC\2016-09-21-refined-times.txt</v>
      </c>
      <c r="AI148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{"issue":{"subject":"","project_id":79,"tracker_id":40,"status_id":1,"priority_id":2,"assigned_to_id":23,"start_date":"2016-09-22","description":"","custom_fields":[{"id":1,"name":"Subdivision","value":"EC"},{"id":4,"name":"Milepost","value":"0.0189"},{"id":17,"name":"Train ID","value":"236-21"},{"id":16,"name":"Locomotive ID","value":"4041"},{"id":130,"name":"Impact","value":""},{"id":150,"name":"Time of Event (Mountain Time)","value":"00:03:45"},{"id":151,"name":"Denver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609</v>
      </c>
      <c r="B149" s="7">
        <v>4020</v>
      </c>
      <c r="C149" s="24" t="s">
        <v>106</v>
      </c>
      <c r="D149" s="24" t="s">
        <v>225</v>
      </c>
      <c r="E149" s="15">
        <v>42634.952013888891</v>
      </c>
      <c r="F149" s="15">
        <v>42634.958680555559</v>
      </c>
      <c r="G149" s="7">
        <v>2</v>
      </c>
      <c r="H149" s="15" t="s">
        <v>304</v>
      </c>
      <c r="I149" s="15">
        <v>42634.984293981484</v>
      </c>
      <c r="J149" s="7">
        <v>0</v>
      </c>
      <c r="K149" s="121" t="str">
        <f t="shared" si="50"/>
        <v>4019/4020</v>
      </c>
      <c r="L149" s="24" t="str">
        <f>VLOOKUP(A149,'Trips&amp;Operators'!$C$1:$E$10000,3,FALSE)</f>
        <v>STURGEON</v>
      </c>
      <c r="M149" s="6">
        <f t="shared" si="51"/>
        <v>2.5613425925257616E-2</v>
      </c>
      <c r="N149" s="7">
        <f t="shared" si="47"/>
        <v>36.883333332370967</v>
      </c>
      <c r="O149" s="7"/>
      <c r="P149" s="7"/>
      <c r="Q149" s="25"/>
      <c r="R149" s="25"/>
      <c r="S149" s="37">
        <f t="shared" si="52"/>
        <v>1</v>
      </c>
      <c r="T149" s="52" t="str">
        <f t="shared" si="53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21:50:54-0600',mode:absolute,to:'2016-09-22 00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9" s="54" t="str">
        <f t="shared" si="55"/>
        <v>N</v>
      </c>
      <c r="X149" s="168">
        <f t="shared" si="56"/>
        <v>1</v>
      </c>
      <c r="Y149" s="69">
        <f t="shared" si="57"/>
        <v>4.6600000000000003E-2</v>
      </c>
      <c r="Z149" s="69">
        <f t="shared" si="63"/>
        <v>23.3308</v>
      </c>
      <c r="AA149" s="69">
        <f t="shared" si="58"/>
        <v>23.284199999999998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9"/>
        <v>0237-21</v>
      </c>
      <c r="AE149" s="99" t="str">
        <f t="shared" si="60"/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AF149" s="96" t="str">
        <f t="shared" si="61"/>
        <v>"C:\Program Files (x86)\AstroGrep\AstroGrep.exe" /spath="%USERPROFILE%\AppData\Local\Temp\OnboardLogs" /stypes="app*4020*20160922*" /stext=" 05:.+((SYSTEM_STATE.+slice.+state.+changed )|(ment ac)|(system.+state.+changed )|(\|lc)|(penalty)|(\[timeout)|(PRM\|1\|D)|(kpr)|(kdp))" /e /r /s</v>
      </c>
      <c r="AG149" s="1" t="str">
        <f t="shared" si="62"/>
        <v>EC</v>
      </c>
      <c r="AH149" s="100" t="str">
        <f t="shared" si="48"/>
        <v>"%USERPROFILE%\Documents\GitHub\eaglep3\Utilities\RefineRTDCRunTimes.py" --tripid 237-21 --locoid 4020 --swversion DE.1.0.7.0 --startMP 204:466 --initTime 2016-09-21T22:50:54 --startdatetime 2016-09-21T23:00:30 --delay 2 --endMP 204:233308 --enddatetime 2016-09-21T23:37:23 --enforcementcount 0 &gt;&gt;C:\Users\stu\Documents\GitHub\eaglep3-reporting\EC\2016-09-21-refined-times.txt</v>
      </c>
      <c r="AI149" s="134" t="str">
        <f t="shared" si="49"/>
        <v>echo {"issue":{"subject":"","project_id":79,"tracker_id":40,"status_id":1,"priority_id":2,"assigned_to_id":23,"start_date":"2016-09-21","description":"","custom_fields":[{"id":1,"name":"Subdivision","value":"EC"},{"id":4,"name":"Milepost","value":"23.3308"},{"id":17,"name":"Train ID","value":"237-21"},{"id":16,"name":"Locomotive ID","value":"4020"},{"id":130,"name":"Impact","value":""},{"id":150,"name":"Time of Event (Mountain Time)","value":"23:37:23"},{"id":151,"name":"Denver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612</v>
      </c>
      <c r="B150" s="7">
        <v>4019</v>
      </c>
      <c r="C150" s="24" t="s">
        <v>106</v>
      </c>
      <c r="D150" s="24" t="s">
        <v>355</v>
      </c>
      <c r="E150" s="15">
        <v>42634.987129629626</v>
      </c>
      <c r="F150" s="15">
        <v>42634.997569444444</v>
      </c>
      <c r="G150" s="7">
        <v>6</v>
      </c>
      <c r="H150" s="15" t="s">
        <v>220</v>
      </c>
      <c r="I150" s="15">
        <v>42635.025219907409</v>
      </c>
      <c r="J150" s="7">
        <v>0</v>
      </c>
      <c r="K150" s="121" t="str">
        <f t="shared" si="50"/>
        <v>4019/4020</v>
      </c>
      <c r="L150" s="24" t="str">
        <f>VLOOKUP(A150,'Trips&amp;Operators'!$C$1:$E$10000,3,FALSE)</f>
        <v>STURGEON</v>
      </c>
      <c r="M150" s="6">
        <f t="shared" si="51"/>
        <v>2.7650462965539191E-2</v>
      </c>
      <c r="N150" s="7">
        <f t="shared" si="47"/>
        <v>39.816666670376435</v>
      </c>
      <c r="O150" s="7"/>
      <c r="P150" s="7"/>
      <c r="Q150" s="25"/>
      <c r="R150" s="25"/>
      <c r="S150" s="37">
        <f t="shared" si="52"/>
        <v>1</v>
      </c>
      <c r="T150" s="52" t="str">
        <f t="shared" si="53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22:41:28-0600',mode:absolute,to:'2016-09-22 01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55"/>
        <v>N</v>
      </c>
      <c r="X150" s="168">
        <f t="shared" si="56"/>
        <v>1</v>
      </c>
      <c r="Y150" s="69">
        <f t="shared" si="57"/>
        <v>23.299099999999999</v>
      </c>
      <c r="Z150" s="69">
        <f t="shared" si="63"/>
        <v>1.4999999999999999E-2</v>
      </c>
      <c r="AA150" s="69">
        <f t="shared" si="58"/>
        <v>23.284099999999999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9"/>
        <v>0238-21</v>
      </c>
      <c r="AE150" s="99" t="str">
        <f t="shared" si="60"/>
        <v>aws s3 cp s3://rtdc.mdm.uploadarchive/RTDC4019/2016-09-21/ "%USERPROFILE%\AppData\Local\Temp\OnboardLogs"\RTDC4019\2016-09-21 --recursive &amp; "%USERPROFILE%\Documents\GitHub\mrs-test-scripts\Headless Mode &amp; Sideloading\WalkAndUnGZ.bat" "%USERPROFILE%\AppData\Local\Temp\OnboardLogs"\RTDC4019\2016-09-21 &amp; aws s3 cp s3://rtdc.mdm.uploadarchive/RTDC4019/2016-09-22/ "%USERPROFILE%\AppData\Local\Temp\OnboardLogs"\RTDC4019\2016-09-22 --recursive &amp; "%USERPROFILE%\Documents\GitHub\mrs-test-scripts\Headless Mode &amp; Sideloading\WalkAndUnGZ.bat" "%USERPROFILE%\AppData\Local\Temp\OnboardLogs"\RTDC4019\2016-09-22</v>
      </c>
      <c r="AF150" s="96" t="str">
        <f t="shared" si="61"/>
        <v>"C:\Program Files (x86)\AstroGrep\AstroGrep.exe" /spath="%USERPROFILE%\AppData\Local\Temp\OnboardLogs" /stypes="app*4019*20160922*" /stext=" 06:.+((SYSTEM_STATE.+slice.+state.+changed )|(ment ac)|(system.+state.+changed )|(\|lc)|(penalty)|(\[timeout)|(PRM\|1\|D)|(kpr)|(kdp))" /e /r /s</v>
      </c>
      <c r="AG150" s="1" t="str">
        <f t="shared" si="62"/>
        <v>EC</v>
      </c>
      <c r="AH150" s="100" t="str">
        <f t="shared" si="48"/>
        <v>"%USERPROFILE%\Documents\GitHub\eaglep3\Utilities\RefineRTDCRunTimes.py" --tripid 238-21 --locoid 4019 --swversion DE.1.0.7.0 --startMP 204:232991 --initTime 2016-09-21T23:41:28 --startdatetime 2016-09-21T23:56:30 --delay 6 --endMP 204:150 --enddatetime 2016-09-22T00:36:19 --enforcementcount 0 &gt;&gt;C:\Users\stu\Documents\GitHub\eaglep3-reporting\EC\2016-09-21-refined-times.txt</v>
      </c>
      <c r="AI150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{"issue":{"subject":"","project_id":79,"tracker_id":40,"status_id":1,"priority_id":2,"assigned_to_id":23,"start_date":"2016-09-22","description":"","custom_fields":[{"id":1,"name":"Subdivision","value":"EC"},{"id":4,"name":"Milepost","value":"0.015"},{"id":17,"name":"Train ID","value":"238-21"},{"id":16,"name":"Locomotive ID","value":"4019"},{"id":130,"name":"Impact","value":""},{"id":150,"name":"Time of Event (Mountain Time)","value":"00:36:19"},{"id":151,"name":"Denver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611</v>
      </c>
      <c r="B151" s="7">
        <v>4016</v>
      </c>
      <c r="C151" s="24" t="s">
        <v>106</v>
      </c>
      <c r="D151" s="24" t="s">
        <v>308</v>
      </c>
      <c r="E151" s="15">
        <v>42634.975821759261</v>
      </c>
      <c r="F151" s="15">
        <v>42634.979386574072</v>
      </c>
      <c r="G151" s="7">
        <v>1</v>
      </c>
      <c r="H151" s="15" t="s">
        <v>630</v>
      </c>
      <c r="I151" s="15">
        <v>42635.003634259258</v>
      </c>
      <c r="J151" s="7">
        <v>0</v>
      </c>
      <c r="K151" s="121" t="str">
        <f t="shared" si="50"/>
        <v>4015/4016</v>
      </c>
      <c r="L151" s="24" t="str">
        <f>VLOOKUP(A151,'Trips&amp;Operators'!$C$1:$E$10000,3,FALSE)</f>
        <v>YANAI</v>
      </c>
      <c r="M151" s="6">
        <f t="shared" si="51"/>
        <v>2.4247685185400769E-2</v>
      </c>
      <c r="N151" s="7">
        <f t="shared" si="47"/>
        <v>34.916666666977108</v>
      </c>
      <c r="O151" s="7"/>
      <c r="P151" s="7"/>
      <c r="Q151" s="25"/>
      <c r="R151" s="25"/>
      <c r="S151" s="37">
        <f t="shared" si="52"/>
        <v>1</v>
      </c>
      <c r="T151" s="52" t="str">
        <f t="shared" si="53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22:25:11-0600',mode:absolute,to:'2016-09-22 01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1" s="54" t="str">
        <f t="shared" si="55"/>
        <v>N</v>
      </c>
      <c r="X151" s="168">
        <f t="shared" ref="X151:X155" si="64">VALUE(LEFT(AD151,4))-VALUE(LEFT(AD150,4))</f>
        <v>1</v>
      </c>
      <c r="Y151" s="69">
        <f t="shared" si="57"/>
        <v>4.4200000000000003E-2</v>
      </c>
      <c r="Z151" s="69">
        <f t="shared" si="63"/>
        <v>23.330400000000001</v>
      </c>
      <c r="AA151" s="69">
        <f t="shared" si="58"/>
        <v>23.286200000000001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9"/>
        <v>0239-21</v>
      </c>
      <c r="AE151" s="99" t="str">
        <f t="shared" si="60"/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AF151" s="96" t="str">
        <f t="shared" si="61"/>
        <v>"C:\Program Files (x86)\AstroGrep\AstroGrep.exe" /spath="%USERPROFILE%\AppData\Local\Temp\OnboardLogs" /stypes="app*4016*20160922*" /stext=" 06:.+((SYSTEM_STATE.+slice.+state.+changed )|(ment ac)|(system.+state.+changed )|(\|lc)|(penalty)|(\[timeout)|(PRM\|1\|D)|(kpr)|(kdp))" /e /r /s</v>
      </c>
      <c r="AG151" s="1" t="str">
        <f t="shared" si="62"/>
        <v>EC</v>
      </c>
      <c r="AH151" s="100" t="str">
        <f t="shared" si="48"/>
        <v>"%USERPROFILE%\Documents\GitHub\eaglep3\Utilities\RefineRTDCRunTimes.py" --tripid 239-21 --locoid 4016 --swversion DE.1.0.7.0 --startMP 204:442 --initTime 2016-09-21T23:25:11 --startdatetime 2016-09-21T23:30:19 --delay 1 --endMP 204:233304 --enddatetime 2016-09-22T00:05:14 --enforcementcount 0 &gt;&gt;C:\Users\stu\Documents\GitHub\eaglep3-reporting\EC\2016-09-21-refined-times.txt</v>
      </c>
      <c r="AI151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{"issue":{"subject":"","project_id":79,"tracker_id":40,"status_id":1,"priority_id":2,"assigned_to_id":23,"start_date":"2016-09-22","description":"","custom_fields":[{"id":1,"name":"Subdivision","value":"EC"},{"id":4,"name":"Milepost","value":"23.3304"},{"id":17,"name":"Train ID","value":"239-21"},{"id":16,"name":"Locomotive ID","value":"4016"},{"id":130,"name":"Impact","value":""},{"id":150,"name":"Time of Event (Mountain Time)","value":"00:05:14"},{"id":151,"name":"Denver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614</v>
      </c>
      <c r="B152" s="7">
        <v>4015</v>
      </c>
      <c r="C152" s="24" t="s">
        <v>106</v>
      </c>
      <c r="D152" s="24" t="s">
        <v>355</v>
      </c>
      <c r="E152" s="15">
        <v>42635.015474537038</v>
      </c>
      <c r="F152" s="15">
        <v>42635.018287037034</v>
      </c>
      <c r="G152" s="7">
        <v>1</v>
      </c>
      <c r="H152" s="15" t="s">
        <v>268</v>
      </c>
      <c r="I152" s="15">
        <v>42635.043958333335</v>
      </c>
      <c r="J152" s="7">
        <v>0</v>
      </c>
      <c r="K152" s="121" t="str">
        <f t="shared" si="50"/>
        <v>4015/4016</v>
      </c>
      <c r="L152" s="24" t="str">
        <f>VLOOKUP(A152,'Trips&amp;Operators'!$C$1:$E$10000,3,FALSE)</f>
        <v>YANAI</v>
      </c>
      <c r="M152" s="6">
        <f t="shared" si="51"/>
        <v>2.567129630187992E-2</v>
      </c>
      <c r="N152" s="7">
        <f t="shared" si="47"/>
        <v>36.966666674707085</v>
      </c>
      <c r="O152" s="7"/>
      <c r="P152" s="7"/>
      <c r="Q152" s="25"/>
      <c r="R152" s="25"/>
      <c r="S152" s="37">
        <f t="shared" si="52"/>
        <v>1</v>
      </c>
      <c r="T152" s="52" t="str">
        <f t="shared" si="53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23:22:17-0600',mode:absolute,to:'2016-09-22 02:03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2" s="54" t="str">
        <f t="shared" si="55"/>
        <v>N</v>
      </c>
      <c r="X152" s="168">
        <f t="shared" si="64"/>
        <v>1</v>
      </c>
      <c r="Y152" s="69">
        <f t="shared" si="57"/>
        <v>23.299099999999999</v>
      </c>
      <c r="Z152" s="69">
        <f t="shared" si="63"/>
        <v>1.6500000000000001E-2</v>
      </c>
      <c r="AA152" s="69">
        <f t="shared" si="58"/>
        <v>23.282599999999999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9"/>
        <v>0240-21</v>
      </c>
      <c r="AE152" s="99" t="str">
        <f t="shared" si="60"/>
        <v>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 &amp; 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</v>
      </c>
      <c r="AF152" s="96" t="str">
        <f t="shared" si="61"/>
        <v>"C:\Program Files (x86)\AstroGrep\AstroGrep.exe" /spath="%USERPROFILE%\AppData\Local\Temp\OnboardLogs" /stypes="app*4015*20160922*" /stext=" 07:.+((SYSTEM_STATE.+slice.+state.+changed )|(ment ac)|(system.+state.+changed )|(\|lc)|(penalty)|(\[timeout)|(PRM\|1\|D)|(kpr)|(kdp))" /e /r /s</v>
      </c>
      <c r="AG152" s="1" t="str">
        <f t="shared" si="62"/>
        <v>EC</v>
      </c>
      <c r="AH152" s="100" t="str">
        <f t="shared" si="48"/>
        <v>"%USERPROFILE%\Documents\GitHub\eaglep3\Utilities\RefineRTDCRunTimes.py" --tripid 240-21 --locoid 4015 --swversion DE.1.0.7.0 --startMP 204:232991 --initTime 2016-09-22T00:22:17 --startdatetime 2016-09-22T00:26:20 --delay 1 --endMP 204:165 --enddatetime 2016-09-22T01:03:18 --enforcementcount 0 &gt;&gt;C:\Users\stu\Documents\GitHub\eaglep3-reporting\EC\2016-09-21-refined-times.txt</v>
      </c>
      <c r="AI152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{"issue":{"subject":"","project_id":79,"tracker_id":40,"status_id":1,"priority_id":2,"assigned_to_id":23,"start_date":"2016-09-22","description":"","custom_fields":[{"id":1,"name":"Subdivision","value":"EC"},{"id":4,"name":"Milepost","value":"0.0165"},{"id":17,"name":"Train ID","value":"240-21"},{"id":16,"name":"Locomotive ID","value":"4015"},{"id":130,"name":"Impact","value":""},{"id":150,"name":"Time of Event (Mountain Time)","value":"01:03:18"},{"id":151,"name":"Denver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613</v>
      </c>
      <c r="B153" s="7">
        <v>4027</v>
      </c>
      <c r="C153" s="24" t="s">
        <v>106</v>
      </c>
      <c r="D153" s="24" t="s">
        <v>227</v>
      </c>
      <c r="E153" s="15">
        <v>42634.993819444448</v>
      </c>
      <c r="F153" s="15">
        <v>42635.000185185185</v>
      </c>
      <c r="G153" s="7">
        <v>1</v>
      </c>
      <c r="H153" s="15" t="s">
        <v>346</v>
      </c>
      <c r="I153" s="15">
        <v>42635.02480324074</v>
      </c>
      <c r="J153" s="7">
        <v>0</v>
      </c>
      <c r="K153" s="121" t="str">
        <f t="shared" si="50"/>
        <v>4027/4028</v>
      </c>
      <c r="L153" s="24" t="str">
        <f>VLOOKUP(A153,'Trips&amp;Operators'!$C$1:$E$10000,3,FALSE)</f>
        <v>LEVIN</v>
      </c>
      <c r="M153" s="6">
        <f t="shared" si="51"/>
        <v>2.4618055555038154E-2</v>
      </c>
      <c r="N153" s="7">
        <f t="shared" si="47"/>
        <v>35.449999999254942</v>
      </c>
      <c r="O153" s="7"/>
      <c r="P153" s="7"/>
      <c r="Q153" s="25"/>
      <c r="R153" s="25"/>
      <c r="S153" s="37">
        <f t="shared" si="52"/>
        <v>1</v>
      </c>
      <c r="T153" s="52" t="str">
        <f t="shared" si="53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22:51:06-0600',mode:absolute,to:'2016-09-22 01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3" s="54" t="str">
        <f t="shared" si="55"/>
        <v>N</v>
      </c>
      <c r="X153" s="168">
        <f t="shared" si="64"/>
        <v>1</v>
      </c>
      <c r="Y153" s="69">
        <f t="shared" si="57"/>
        <v>4.5499999999999999E-2</v>
      </c>
      <c r="Z153" s="69">
        <f t="shared" si="63"/>
        <v>23.331499999999998</v>
      </c>
      <c r="AA153" s="69">
        <f t="shared" si="58"/>
        <v>23.285999999999998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9"/>
        <v>0241-21</v>
      </c>
      <c r="AE153" s="99" t="str">
        <f t="shared" si="60"/>
        <v>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 &amp; 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</v>
      </c>
      <c r="AF153" s="96" t="str">
        <f t="shared" si="61"/>
        <v>"C:\Program Files (x86)\AstroGrep\AstroGrep.exe" /spath="%USERPROFILE%\AppData\Local\Temp\OnboardLogs" /stypes="app*4027*20160922*" /stext=" 06:.+((SYSTEM_STATE.+slice.+state.+changed )|(ment ac)|(system.+state.+changed )|(\|lc)|(penalty)|(\[timeout)|(PRM\|1\|D)|(kpr)|(kdp))" /e /r /s</v>
      </c>
      <c r="AG153" s="1" t="str">
        <f t="shared" si="62"/>
        <v>EC</v>
      </c>
      <c r="AH153" s="100" t="str">
        <f t="shared" si="48"/>
        <v>"%USERPROFILE%\Documents\GitHub\eaglep3\Utilities\RefineRTDCRunTimes.py" --tripid 241-21 --locoid 4027 --swversion DE.1.0.7.0 --startMP 204:455 --initTime 2016-09-21T23:51:06 --startdatetime 2016-09-22T00:00:16 --delay 1 --endMP 204:233315 --enddatetime 2016-09-22T00:35:43 --enforcementcount 0 &gt;&gt;C:\Users\stu\Documents\GitHub\eaglep3-reporting\EC\2016-09-21-refined-times.txt</v>
      </c>
      <c r="AI153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{"issue":{"subject":"","project_id":79,"tracker_id":40,"status_id":1,"priority_id":2,"assigned_to_id":23,"start_date":"2016-09-22","description":"","custom_fields":[{"id":1,"name":"Subdivision","value":"EC"},{"id":4,"name":"Milepost","value":"23.3315"},{"id":17,"name":"Train ID","value":"241-21"},{"id":16,"name":"Locomotive ID","value":"4027"},{"id":130,"name":"Impact","value":""},{"id":150,"name":"Time of Event (Mountain Time)","value":"00:35:43"},{"id":151,"name":"Denver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617</v>
      </c>
      <c r="B154" s="7">
        <v>4028</v>
      </c>
      <c r="C154" s="24" t="s">
        <v>106</v>
      </c>
      <c r="D154" s="24" t="s">
        <v>236</v>
      </c>
      <c r="E154" s="15">
        <v>42635.032210648147</v>
      </c>
      <c r="F154" s="15">
        <v>42635.039074074077</v>
      </c>
      <c r="G154" s="7">
        <v>1</v>
      </c>
      <c r="H154" s="15" t="s">
        <v>214</v>
      </c>
      <c r="I154" s="15">
        <v>42635.065162037034</v>
      </c>
      <c r="J154" s="7">
        <v>0</v>
      </c>
      <c r="K154" s="121" t="str">
        <f t="shared" si="50"/>
        <v>4027/4028</v>
      </c>
      <c r="L154" s="24" t="str">
        <f>VLOOKUP(A154,'Trips&amp;Operators'!$C$1:$E$10000,3,FALSE)</f>
        <v>LEVIN</v>
      </c>
      <c r="M154" s="6">
        <f t="shared" si="51"/>
        <v>2.6087962956808042E-2</v>
      </c>
      <c r="N154" s="7">
        <f t="shared" si="47"/>
        <v>37.56666665780358</v>
      </c>
      <c r="O154" s="7"/>
      <c r="P154" s="7"/>
      <c r="Q154" s="25"/>
      <c r="R154" s="25"/>
      <c r="S154" s="37">
        <f t="shared" si="52"/>
        <v>1</v>
      </c>
      <c r="T154" s="52" t="str">
        <f t="shared" si="53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23:46:23-0600',mode:absolute,to:'2016-09-22 02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4" s="54" t="str">
        <f t="shared" si="55"/>
        <v>N</v>
      </c>
      <c r="X154" s="168">
        <f t="shared" si="64"/>
        <v>1</v>
      </c>
      <c r="Y154" s="69">
        <f t="shared" si="57"/>
        <v>23.299399999999999</v>
      </c>
      <c r="Z154" s="69">
        <f t="shared" si="63"/>
        <v>1.6E-2</v>
      </c>
      <c r="AA154" s="69">
        <f t="shared" si="58"/>
        <v>23.2834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9"/>
        <v>0242-21</v>
      </c>
      <c r="AE154" s="99" t="str">
        <f t="shared" si="60"/>
        <v>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 &amp; 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</v>
      </c>
      <c r="AF154" s="96" t="str">
        <f t="shared" si="61"/>
        <v>"C:\Program Files (x86)\AstroGrep\AstroGrep.exe" /spath="%USERPROFILE%\AppData\Local\Temp\OnboardLogs" /stypes="app*4028*20160922*" /stext=" 07:.+((SYSTEM_STATE.+slice.+state.+changed )|(ment ac)|(system.+state.+changed )|(\|lc)|(penalty)|(\[timeout)|(PRM\|1\|D)|(kpr)|(kdp))" /e /r /s</v>
      </c>
      <c r="AG154" s="1" t="str">
        <f t="shared" si="62"/>
        <v>EC</v>
      </c>
      <c r="AH154" s="100" t="str">
        <f t="shared" si="48"/>
        <v>"%USERPROFILE%\Documents\GitHub\eaglep3\Utilities\RefineRTDCRunTimes.py" --tripid 242-21 --locoid 4028 --swversion DE.1.0.7.0 --startMP 204:232994 --initTime 2016-09-22T00:46:23 --startdatetime 2016-09-22T00:56:16 --delay 1 --endMP 204:160 --enddatetime 2016-09-22T01:33:50 --enforcementcount 0 &gt;&gt;C:\Users\stu\Documents\GitHub\eaglep3-reporting\EC\2016-09-21-refined-times.txt</v>
      </c>
      <c r="AI154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{"issue":{"subject":"","project_id":79,"tracker_id":40,"status_id":1,"priority_id":2,"assigned_to_id":23,"start_date":"2016-09-22","description":"","custom_fields":[{"id":1,"name":"Subdivision","value":"EC"},{"id":4,"name":"Milepost","value":"0.016"},{"id":17,"name":"Train ID","value":"242-21"},{"id":16,"name":"Locomotive ID","value":"4028"},{"id":130,"name":"Impact","value":""},{"id":150,"name":"Time of Event (Mountain Time)","value":"01:33:50"},{"id":151,"name":"Denver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615</v>
      </c>
      <c r="B155" s="7">
        <v>4042</v>
      </c>
      <c r="C155" s="24" t="s">
        <v>106</v>
      </c>
      <c r="D155" s="24" t="s">
        <v>364</v>
      </c>
      <c r="E155" s="15">
        <v>42635.017939814818</v>
      </c>
      <c r="F155" s="15">
        <v>42635.021157407406</v>
      </c>
      <c r="G155" s="7">
        <v>4</v>
      </c>
      <c r="H155" s="15" t="s">
        <v>245</v>
      </c>
      <c r="I155" s="15">
        <v>42635.045960648145</v>
      </c>
      <c r="J155" s="7">
        <v>0</v>
      </c>
      <c r="K155" s="121" t="str">
        <f t="shared" si="50"/>
        <v>4041/4042</v>
      </c>
      <c r="L155" s="24" t="str">
        <f>VLOOKUP(A155,'Trips&amp;Operators'!$C$1:$E$10000,3,FALSE)</f>
        <v>COOLAHAN</v>
      </c>
      <c r="M155" s="6">
        <f t="shared" si="51"/>
        <v>2.4803240739856847E-2</v>
      </c>
      <c r="N155" s="7">
        <f t="shared" si="47"/>
        <v>35.716666665393859</v>
      </c>
      <c r="O155" s="7"/>
      <c r="P155" s="7"/>
      <c r="Q155" s="25"/>
      <c r="R155" s="25"/>
      <c r="S155" s="37">
        <f t="shared" si="52"/>
        <v>1</v>
      </c>
      <c r="T155" s="52" t="str">
        <f t="shared" si="53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23:25:50-0600',mode:absolute,to:'2016-09-22 02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55"/>
        <v>N</v>
      </c>
      <c r="X155" s="168">
        <f t="shared" si="64"/>
        <v>1</v>
      </c>
      <c r="Y155" s="69">
        <f t="shared" si="57"/>
        <v>5.04E-2</v>
      </c>
      <c r="Z155" s="69">
        <f t="shared" si="63"/>
        <v>23.3276</v>
      </c>
      <c r="AA155" s="69">
        <f t="shared" si="58"/>
        <v>23.277200000000001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9"/>
        <v>0243-21</v>
      </c>
      <c r="AE155" s="99" t="str">
        <f t="shared" si="60"/>
        <v>aws s3 cp s3://rtdc.mdm.uploadarchive/RTDC4042/2016-09-22/ "%USERPROFILE%\AppData\Local\Temp\OnboardLogs"\RTDC4042\2016-09-22 --recursive &amp; "%USERPROFILE%\Documents\GitHub\mrs-test-scripts\Headless Mode &amp; Sideloading\WalkAndUnGZ.bat" "%USERPROFILE%\AppData\Local\Temp\OnboardLogs"\RTDC4042\2016-09-22 &amp; aws s3 cp s3://rtdc.mdm.uploadarchive/RTDC4042/2016-09-23/ "%USERPROFILE%\AppData\Local\Temp\OnboardLogs"\RTDC4042\2016-09-23 --recursive &amp; "%USERPROFILE%\Documents\GitHub\mrs-test-scripts\Headless Mode &amp; Sideloading\WalkAndUnGZ.bat" "%USERPROFILE%\AppData\Local\Temp\OnboardLogs"\RTDC4042\2016-09-23</v>
      </c>
      <c r="AF155" s="96" t="str">
        <f t="shared" si="61"/>
        <v>"C:\Program Files (x86)\AstroGrep\AstroGrep.exe" /spath="%USERPROFILE%\AppData\Local\Temp\OnboardLogs" /stypes="app*4042*20160922*" /stext=" 07:.+((SYSTEM_STATE.+slice.+state.+changed )|(ment ac)|(system.+state.+changed )|(\|lc)|(penalty)|(\[timeout)|(PRM\|1\|D)|(kpr)|(kdp))" /e /r /s</v>
      </c>
      <c r="AG155" s="1" t="str">
        <f t="shared" si="62"/>
        <v>EC</v>
      </c>
      <c r="AH155" s="100" t="str">
        <f t="shared" si="48"/>
        <v>"%USERPROFILE%\Documents\GitHub\eaglep3\Utilities\RefineRTDCRunTimes.py" --tripid 243-21 --locoid 4042 --swversion DE.1.0.7.0 --startMP 204:504 --initTime 2016-09-22T00:25:50 --startdatetime 2016-09-22T00:30:28 --delay 4 --endMP 204:233276 --enddatetime 2016-09-22T01:06:11 --enforcementcount 0 &gt;&gt;C:\Users\stu\Documents\GitHub\eaglep3-reporting\EC\2016-09-21-refined-times.txt</v>
      </c>
      <c r="AI155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{"issue":{"subject":"","project_id":79,"tracker_id":40,"status_id":1,"priority_id":2,"assigned_to_id":23,"start_date":"2016-09-22","description":"","custom_fields":[{"id":1,"name":"Subdivision","value":"EC"},{"id":4,"name":"Milepost","value":"23.3276"},{"id":17,"name":"Train ID","value":"243-21"},{"id":16,"name":"Locomotive ID","value":"4042"},{"id":130,"name":"Impact","value":""},{"id":150,"name":"Time of Event (Mountain Time)","value":"01:06:11"},{"id":151,"name":"Denver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619</v>
      </c>
      <c r="B156" s="7">
        <v>4041</v>
      </c>
      <c r="C156" s="24" t="s">
        <v>106</v>
      </c>
      <c r="D156" s="24" t="s">
        <v>682</v>
      </c>
      <c r="E156" s="15">
        <v>42635.054803240739</v>
      </c>
      <c r="F156" s="15">
        <v>42635.060115740744</v>
      </c>
      <c r="G156" s="7">
        <v>2</v>
      </c>
      <c r="H156" s="15" t="s">
        <v>666</v>
      </c>
      <c r="I156" s="15">
        <v>42635.086388888885</v>
      </c>
      <c r="J156" s="7">
        <v>0</v>
      </c>
      <c r="K156" s="121" t="str">
        <f t="shared" si="50"/>
        <v>4041/4042</v>
      </c>
      <c r="L156" s="24" t="str">
        <f>VLOOKUP(A156,'Trips&amp;Operators'!$C$1:$E$10000,3,FALSE)</f>
        <v>COOLAHAN</v>
      </c>
      <c r="M156" s="6">
        <f t="shared" si="51"/>
        <v>2.6273148141626734E-2</v>
      </c>
      <c r="N156" s="7">
        <f t="shared" si="47"/>
        <v>37.833333323942497</v>
      </c>
      <c r="O156" s="7"/>
      <c r="P156" s="7"/>
      <c r="Q156" s="25"/>
      <c r="R156" s="25"/>
      <c r="S156" s="37">
        <f t="shared" si="52"/>
        <v>1</v>
      </c>
      <c r="T156" s="52" t="str">
        <f t="shared" si="53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https://search-rtdc-monitor-bjffxe2xuh6vdkpspy63sjmuny.us-east-1.es.amazonaws.com/_plugin/kibana/#/discover/Steve-Slow-Train-Analysis-(2080s-and-2083s)?_g=(refreshInterval:(display:Off,section:0,value:0),time:(from:'2016-09-22 00:18:55-0600',mode:absolute,to:'2016-09-22 03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55"/>
        <v>N</v>
      </c>
      <c r="X156" s="168">
        <f t="shared" ref="X156:X190" si="65">VALUE(LEFT(AD156,4))-VALUE(LEFT(AD155,4))</f>
        <v>1</v>
      </c>
      <c r="Y156" s="69">
        <f t="shared" si="57"/>
        <v>23.295999999999999</v>
      </c>
      <c r="Z156" s="69">
        <f t="shared" si="63"/>
        <v>0.02</v>
      </c>
      <c r="AA156" s="69">
        <f t="shared" si="58"/>
        <v>23.276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9"/>
        <v>0244-21</v>
      </c>
      <c r="AE156" s="99" t="str">
        <f t="shared" si="60"/>
        <v>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 &amp; aws s3 cp s3://rtdc.mdm.uploadarchive/RTDC4041/2016-09-23/ "%USERPROFILE%\AppData\Local\Temp\OnboardLogs"\RTDC4041\2016-09-23 --recursive &amp; "%USERPROFILE%\Documents\GitHub\mrs-test-scripts\Headless Mode &amp; Sideloading\WalkAndUnGZ.bat" "%USERPROFILE%\AppData\Local\Temp\OnboardLogs"\RTDC4041\2016-09-23</v>
      </c>
      <c r="AF156" s="96" t="str">
        <f t="shared" si="61"/>
        <v>"C:\Program Files (x86)\AstroGrep\AstroGrep.exe" /spath="%USERPROFILE%\AppData\Local\Temp\OnboardLogs" /stypes="app*4041*20160922*" /stext=" 08:.+((SYSTEM_STATE.+slice.+state.+changed )|(ment ac)|(system.+state.+changed )|(\|lc)|(penalty)|(\[timeout)|(PRM\|1\|D)|(kpr)|(kdp))" /e /r /s</v>
      </c>
      <c r="AG156" s="1" t="str">
        <f t="shared" si="62"/>
        <v>EC</v>
      </c>
      <c r="AH156" s="100" t="str">
        <f t="shared" si="48"/>
        <v>"%USERPROFILE%\Documents\GitHub\eaglep3\Utilities\RefineRTDCRunTimes.py" --tripid 244-21 --locoid 4041 --swversion DE.1.0.7.0 --startMP 204:232960 --initTime 2016-09-22T01:18:55 --startdatetime 2016-09-22T01:26:34 --delay 2 --endMP 204:200 --enddatetime 2016-09-22T02:04:24 --enforcementcount 0 &gt;&gt;C:\Users\stu\Documents\GitHub\eaglep3-reporting\EC\2016-09-21-refined-times.txt</v>
      </c>
      <c r="AI156" s="134" t="str">
        <f t="shared" si="49"/>
        <v>echo {"issue":{"subject":"","project_id":79,"tracker_id":40,"status_id":1,"priority_id":2,"assigned_to_id":23,"start_date":"2016-09-22","description":"","custom_fields":[{"id":1,"name":"Subdivision","value":"EC"},{"id":4,"name":"Milepost","value":"0.02"},{"id":17,"name":"Train ID","value":"244-21"},{"id":16,"name":"Locomotive ID","value":"4041"},{"id":130,"name":"Impact","value":""},{"id":150,"name":"Time of Event (Mountain Time)","value":"02:04:24"},{"id":151,"name":"Denver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415</v>
      </c>
      <c r="B157" s="7">
        <v>4032</v>
      </c>
      <c r="C157" s="24" t="s">
        <v>106</v>
      </c>
      <c r="D157" s="24" t="s">
        <v>703</v>
      </c>
      <c r="E157" s="15">
        <v>42634.225694444445</v>
      </c>
      <c r="F157" s="15">
        <v>42634.228136574071</v>
      </c>
      <c r="G157" s="7">
        <v>1</v>
      </c>
      <c r="H157" s="15" t="s">
        <v>704</v>
      </c>
      <c r="I157" s="15">
        <v>42634.237719907411</v>
      </c>
      <c r="J157" s="7">
        <v>0</v>
      </c>
      <c r="K157" s="121" t="str">
        <f t="shared" si="50"/>
        <v>4031/4032</v>
      </c>
      <c r="L157" s="24" t="str">
        <f>VLOOKUP(A157,'Trips&amp;Operators'!$C$1:$E$10000,3,FALSE)</f>
        <v>STARKS</v>
      </c>
      <c r="M157" s="6">
        <f t="shared" si="51"/>
        <v>9.5833333398331888E-3</v>
      </c>
      <c r="N157" s="7">
        <f t="shared" si="47"/>
        <v>13.800000009359792</v>
      </c>
      <c r="O157" s="7"/>
      <c r="P157" s="7"/>
      <c r="Q157" s="25"/>
      <c r="R157" s="25"/>
      <c r="S157" s="37">
        <f t="shared" si="52"/>
        <v>1</v>
      </c>
      <c r="T157" s="52" t="str">
        <f t="shared" si="53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04:25:00-0600',mode:absolute,to:'2016-09-21 06:42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7" s="54" t="str">
        <f t="shared" si="55"/>
        <v>N</v>
      </c>
      <c r="X157" s="168">
        <f t="shared" si="65"/>
        <v>556</v>
      </c>
      <c r="Y157" s="69">
        <f t="shared" si="57"/>
        <v>5.8601999999999999</v>
      </c>
      <c r="Z157" s="69">
        <f t="shared" si="63"/>
        <v>8.0100000000000005E-2</v>
      </c>
      <c r="AA157" s="69">
        <f t="shared" si="58"/>
        <v>5.7801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9"/>
        <v>0800-21</v>
      </c>
      <c r="AE157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57" s="96" t="str">
        <f t="shared" si="61"/>
        <v>"C:\Program Files (x86)\AstroGrep\AstroGrep.exe" /spath="%USERPROFILE%\AppData\Local\Temp\OnboardLogs" /stypes="app*4032*20160921*" /stext=" 11:.+((SYSTEM_STATE.+slice.+state.+changed )|(ment ac)|(system.+state.+changed )|(\|lc)|(penalty)|(\[timeout)|(PRM\|1\|D)|(kpr)|(kdp))" /e /r /s</v>
      </c>
      <c r="AG157" s="1" t="str">
        <f t="shared" si="62"/>
        <v>NW</v>
      </c>
      <c r="AH157" s="100" t="str">
        <f t="shared" si="48"/>
        <v>"%USERPROFILE%\Documents\GitHub\eaglep3\Utilities\RefineRTDCRunTimes.py" --tripid 800-21 --locoid 4032 --swversion DE.1.0.7.0 --startMP 300:58602 --initTime 2016-09-21T05:25:00 --startdatetime 2016-09-21T05:28:31 --delay 1 --endMP 204:801 --enddatetime 2016-09-21T05:42:19 --enforcementcount 0 &gt;&gt;C:\Users\stu\Documents\GitHub\eaglep3-reporting\EC\2016-09-21-refined-times.txt</v>
      </c>
      <c r="AI157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{"issue":{"subject":"","project_id":79,"tracker_id":40,"status_id":1,"priority_id":2,"assigned_to_id":23,"start_date":"2016-09-21","description":"","custom_fields":[{"id":1,"name":"Subdivision","value":"NW"},{"id":4,"name":"Milepost","value":"0.0801"},{"id":17,"name":"Train ID","value":"800-21"},{"id":16,"name":"Locomotive ID","value":"4032"},{"id":130,"name":"Impact","value":""},{"id":150,"name":"Time of Event (Mountain Time)","value":"05:42:19"},{"id":151,"name":"Denver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420</v>
      </c>
      <c r="B158" s="7">
        <v>4031</v>
      </c>
      <c r="C158" s="24" t="s">
        <v>106</v>
      </c>
      <c r="D158" s="24" t="s">
        <v>705</v>
      </c>
      <c r="E158" s="15">
        <v>42634.242615740739</v>
      </c>
      <c r="F158" s="15">
        <v>42634.244942129626</v>
      </c>
      <c r="G158" s="7">
        <v>1</v>
      </c>
      <c r="H158" s="15" t="s">
        <v>379</v>
      </c>
      <c r="I158" s="15">
        <v>42634.254895833335</v>
      </c>
      <c r="J158" s="7">
        <v>0</v>
      </c>
      <c r="K158" s="121" t="str">
        <f t="shared" si="50"/>
        <v>4031/4032</v>
      </c>
      <c r="L158" s="24" t="str">
        <f>VLOOKUP(A158,'Trips&amp;Operators'!$C$1:$E$10000,3,FALSE)</f>
        <v>STARKS</v>
      </c>
      <c r="M158" s="6">
        <f t="shared" si="51"/>
        <v>9.9537037094705738E-3</v>
      </c>
      <c r="N158" s="7">
        <f t="shared" ref="N158:N189" si="66">24*60*SUM($M158:$M158)</f>
        <v>14.333333341637626</v>
      </c>
      <c r="O158" s="7"/>
      <c r="P158" s="7"/>
      <c r="Q158" s="25"/>
      <c r="R158" s="25"/>
      <c r="S158" s="37">
        <f t="shared" si="52"/>
        <v>1</v>
      </c>
      <c r="T158" s="52" t="str">
        <f t="shared" si="53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04:49:22-0600',mode:absolute,to:'2016-09-21 07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8" s="54" t="str">
        <f t="shared" si="55"/>
        <v>N</v>
      </c>
      <c r="X158" s="168">
        <f t="shared" si="65"/>
        <v>1</v>
      </c>
      <c r="Y158" s="69">
        <f t="shared" si="57"/>
        <v>0.109</v>
      </c>
      <c r="Z158" s="69">
        <f t="shared" si="63"/>
        <v>5.8939000000000004</v>
      </c>
      <c r="AA158" s="69">
        <f t="shared" si="58"/>
        <v>5.7849000000000004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59"/>
        <v>0801-21</v>
      </c>
      <c r="AE158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58" s="96" t="str">
        <f t="shared" si="61"/>
        <v>"C:\Program Files (x86)\AstroGrep\AstroGrep.exe" /spath="%USERPROFILE%\AppData\Local\Temp\OnboardLogs" /stypes="app*4031*20160921*" /stext=" 12:.+((SYSTEM_STATE.+slice.+state.+changed )|(ment ac)|(system.+state.+changed )|(\|lc)|(penalty)|(\[timeout)|(PRM\|1\|D)|(kpr)|(kdp))" /e /r /s</v>
      </c>
      <c r="AG158" s="1" t="str">
        <f t="shared" si="62"/>
        <v>NW</v>
      </c>
      <c r="AH158" s="100" t="str">
        <f t="shared" si="48"/>
        <v>"%USERPROFILE%\Documents\GitHub\eaglep3\Utilities\RefineRTDCRunTimes.py" --tripid 801-21 --locoid 4031 --swversion DE.1.0.7.0 --startMP 204:1090 --initTime 2016-09-21T05:49:22 --startdatetime 2016-09-21T05:52:43 --delay 1 --endMP 300:58939 --enddatetime 2016-09-21T06:07:03 --enforcementcount 0 &gt;&gt;C:\Users\stu\Documents\GitHub\eaglep3-reporting\EC\2016-09-21-refined-times.txt</v>
      </c>
      <c r="AI158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{"issue":{"subject":"","project_id":79,"tracker_id":40,"status_id":1,"priority_id":2,"assigned_to_id":23,"start_date":"2016-09-21","description":"","custom_fields":[{"id":1,"name":"Subdivision","value":"NW"},{"id":4,"name":"Milepost","value":"5.8939"},{"id":17,"name":"Train ID","value":"801-21"},{"id":16,"name":"Locomotive ID","value":"4031"},{"id":130,"name":"Impact","value":""},{"id":150,"name":"Time of Event (Mountain Time)","value":"06:07:03"},{"id":151,"name":"Denver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424</v>
      </c>
      <c r="B159" s="7">
        <v>4032</v>
      </c>
      <c r="C159" s="24" t="s">
        <v>106</v>
      </c>
      <c r="D159" s="24" t="s">
        <v>277</v>
      </c>
      <c r="E159" s="15">
        <v>42634.25613425926</v>
      </c>
      <c r="F159" s="15">
        <v>42634.257256944446</v>
      </c>
      <c r="G159" s="7">
        <v>1</v>
      </c>
      <c r="H159" s="15" t="s">
        <v>706</v>
      </c>
      <c r="I159" s="15">
        <v>42634.267974537041</v>
      </c>
      <c r="J159" s="7">
        <v>0</v>
      </c>
      <c r="K159" s="121" t="str">
        <f t="shared" si="50"/>
        <v>4031/4032</v>
      </c>
      <c r="L159" s="24" t="str">
        <f>VLOOKUP(A159,'Trips&amp;Operators'!$C$1:$E$10000,3,FALSE)</f>
        <v>STARKS</v>
      </c>
      <c r="M159" s="6">
        <f t="shared" si="51"/>
        <v>1.0717592595028691E-2</v>
      </c>
      <c r="N159" s="7">
        <f t="shared" si="66"/>
        <v>15.433333336841315</v>
      </c>
      <c r="O159" s="7"/>
      <c r="P159" s="7"/>
      <c r="Q159" s="25"/>
      <c r="R159" s="25"/>
      <c r="S159" s="37">
        <f t="shared" si="52"/>
        <v>1</v>
      </c>
      <c r="T159" s="52" t="str">
        <f t="shared" si="53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05:08:50-0600',mode:absolute,to:'2016-09-21 07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9" s="54" t="str">
        <f t="shared" si="55"/>
        <v>N</v>
      </c>
      <c r="X159" s="168">
        <f t="shared" si="65"/>
        <v>1</v>
      </c>
      <c r="Y159" s="69">
        <f t="shared" si="57"/>
        <v>5.8619000000000003</v>
      </c>
      <c r="Z159" s="69">
        <f t="shared" si="63"/>
        <v>7.6799999999999993E-2</v>
      </c>
      <c r="AA159" s="69">
        <f t="shared" si="58"/>
        <v>5.7850999999999999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9"/>
        <v>0802-21</v>
      </c>
      <c r="AE159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59" s="96" t="str">
        <f t="shared" si="61"/>
        <v>"C:\Program Files (x86)\AstroGrep\AstroGrep.exe" /spath="%USERPROFILE%\AppData\Local\Temp\OnboardLogs" /stypes="app*4032*20160921*" /stext=" 12:.+((SYSTEM_STATE.+slice.+state.+changed )|(ment ac)|(system.+state.+changed )|(\|lc)|(penalty)|(\[timeout)|(PRM\|1\|D)|(kpr)|(kdp))" /e /r /s</v>
      </c>
      <c r="AG159" s="1" t="str">
        <f t="shared" si="62"/>
        <v>NW</v>
      </c>
      <c r="AH159" s="100" t="str">
        <f t="shared" si="48"/>
        <v>"%USERPROFILE%\Documents\GitHub\eaglep3\Utilities\RefineRTDCRunTimes.py" --tripid 802-21 --locoid 4032 --swversion DE.1.0.7.0 --startMP 300:58619 --initTime 2016-09-21T06:08:50 --startdatetime 2016-09-21T06:10:27 --delay 1 --endMP 204:768 --enddatetime 2016-09-21T06:25:53 --enforcementcount 0 &gt;&gt;C:\Users\stu\Documents\GitHub\eaglep3-reporting\EC\2016-09-21-refined-times.txt</v>
      </c>
      <c r="AI159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{"issue":{"subject":"","project_id":79,"tracker_id":40,"status_id":1,"priority_id":2,"assigned_to_id":23,"start_date":"2016-09-21","description":"","custom_fields":[{"id":1,"name":"Subdivision","value":"NW"},{"id":4,"name":"Milepost","value":"0.0768"},{"id":17,"name":"Train ID","value":"802-21"},{"id":16,"name":"Locomotive ID","value":"4032"},{"id":130,"name":"Impact","value":""},{"id":150,"name":"Time of Event (Mountain Time)","value":"06:25:53"},{"id":151,"name":"Denver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426</v>
      </c>
      <c r="B160" s="7">
        <v>4038</v>
      </c>
      <c r="C160" s="24" t="s">
        <v>106</v>
      </c>
      <c r="D160" s="24" t="s">
        <v>315</v>
      </c>
      <c r="E160" s="15">
        <v>42634.260567129626</v>
      </c>
      <c r="F160" s="15">
        <v>42634.264745370368</v>
      </c>
      <c r="G160" s="7">
        <v>3</v>
      </c>
      <c r="H160" s="15" t="s">
        <v>707</v>
      </c>
      <c r="I160" s="15">
        <v>42634.274814814817</v>
      </c>
      <c r="J160" s="7">
        <v>0</v>
      </c>
      <c r="K160" s="121" t="str">
        <f t="shared" si="50"/>
        <v>4037/4038</v>
      </c>
      <c r="L160" s="24" t="str">
        <f>VLOOKUP(A160,'Trips&amp;Operators'!$C$1:$E$10000,3,FALSE)</f>
        <v>GEBRETEKLE</v>
      </c>
      <c r="M160" s="6">
        <f t="shared" si="51"/>
        <v>1.0069444448163267E-2</v>
      </c>
      <c r="N160" s="7">
        <f t="shared" si="66"/>
        <v>14.500000005355105</v>
      </c>
      <c r="O160" s="7"/>
      <c r="P160" s="7"/>
      <c r="Q160" s="25"/>
      <c r="R160" s="25"/>
      <c r="S160" s="37">
        <f t="shared" si="52"/>
        <v>1</v>
      </c>
      <c r="T160" s="52" t="str">
        <f t="shared" si="53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05:15:13-0600',mode:absolute,to:'2016-09-21 07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0" s="54" t="str">
        <f t="shared" si="55"/>
        <v>N</v>
      </c>
      <c r="X160" s="168">
        <f t="shared" si="65"/>
        <v>1</v>
      </c>
      <c r="Y160" s="69">
        <f t="shared" si="57"/>
        <v>9.8100000000000007E-2</v>
      </c>
      <c r="Z160" s="69">
        <f t="shared" si="63"/>
        <v>5.8997000000000002</v>
      </c>
      <c r="AA160" s="69">
        <f t="shared" si="58"/>
        <v>5.8016000000000005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9"/>
        <v>0803-21</v>
      </c>
      <c r="AE160" s="99" t="str">
        <f t="shared" si="60"/>
        <v>aws s3 cp s3://rtdc.mdm.uploadarchive/RTDC4038/2016-09-21/ "%USERPROFILE%\AppData\Local\Temp\OnboardLogs"\RTDC4038\2016-09-21 --recursive &amp; "%USERPROFILE%\Documents\GitHub\mrs-test-scripts\Headless Mode &amp; Sideloading\WalkAndUnGZ.bat" "%USERPROFILE%\AppData\Local\Temp\OnboardLogs"\RTDC4038\2016-09-21 &amp; aws s3 cp s3://rtdc.mdm.uploadarchive/RTDC4038/2016-09-22/ "%USERPROFILE%\AppData\Local\Temp\OnboardLogs"\RTDC4038\2016-09-22 --recursive &amp; "%USERPROFILE%\Documents\GitHub\mrs-test-scripts\Headless Mode &amp; Sideloading\WalkAndUnGZ.bat" "%USERPROFILE%\AppData\Local\Temp\OnboardLogs"\RTDC4038\2016-09-22</v>
      </c>
      <c r="AF160" s="96" t="str">
        <f t="shared" si="61"/>
        <v>"C:\Program Files (x86)\AstroGrep\AstroGrep.exe" /spath="%USERPROFILE%\AppData\Local\Temp\OnboardLogs" /stypes="app*4038*20160921*" /stext=" 12:.+((SYSTEM_STATE.+slice.+state.+changed )|(ment ac)|(system.+state.+changed )|(\|lc)|(penalty)|(\[timeout)|(PRM\|1\|D)|(kpr)|(kdp))" /e /r /s</v>
      </c>
      <c r="AG160" s="1" t="str">
        <f t="shared" si="62"/>
        <v>NW</v>
      </c>
      <c r="AH160" s="100" t="str">
        <f t="shared" si="48"/>
        <v>"%USERPROFILE%\Documents\GitHub\eaglep3\Utilities\RefineRTDCRunTimes.py" --tripid 803-21 --locoid 4038 --swversion DE.1.0.7.0 --startMP 204:981 --initTime 2016-09-21T06:15:13 --startdatetime 2016-09-21T06:21:14 --delay 3 --endMP 300:58997 --enddatetime 2016-09-21T06:35:44 --enforcementcount 0 &gt;&gt;C:\Users\stu\Documents\GitHub\eaglep3-reporting\EC\2016-09-21-refined-times.txt</v>
      </c>
      <c r="AI160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{"issue":{"subject":"","project_id":79,"tracker_id":40,"status_id":1,"priority_id":2,"assigned_to_id":23,"start_date":"2016-09-21","description":"","custom_fields":[{"id":1,"name":"Subdivision","value":"NW"},{"id":4,"name":"Milepost","value":"5.8997"},{"id":17,"name":"Train ID","value":"803-21"},{"id":16,"name":"Locomotive ID","value":"4038"},{"id":130,"name":"Impact","value":""},{"id":150,"name":"Time of Event (Mountain Time)","value":"06:35:44"},{"id":151,"name":"Denver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431</v>
      </c>
      <c r="B161" s="7">
        <v>4037</v>
      </c>
      <c r="C161" s="24" t="s">
        <v>106</v>
      </c>
      <c r="D161" s="24" t="s">
        <v>708</v>
      </c>
      <c r="E161" s="15">
        <v>42634.276122685187</v>
      </c>
      <c r="F161" s="15">
        <v>42634.278495370374</v>
      </c>
      <c r="G161" s="7">
        <v>2</v>
      </c>
      <c r="H161" s="15" t="s">
        <v>709</v>
      </c>
      <c r="I161" s="15">
        <v>42634.288819444446</v>
      </c>
      <c r="J161" s="7">
        <v>0</v>
      </c>
      <c r="K161" s="121" t="str">
        <f t="shared" si="50"/>
        <v>4037/4038</v>
      </c>
      <c r="L161" s="24" t="str">
        <f>VLOOKUP(A161,'Trips&amp;Operators'!$C$1:$E$10000,3,FALSE)</f>
        <v>GEBRETEKLE</v>
      </c>
      <c r="M161" s="6">
        <f t="shared" si="51"/>
        <v>1.0324074071832001E-2</v>
      </c>
      <c r="N161" s="7">
        <f t="shared" si="66"/>
        <v>14.866666663438082</v>
      </c>
      <c r="O161" s="7"/>
      <c r="P161" s="7"/>
      <c r="Q161" s="25"/>
      <c r="R161" s="25"/>
      <c r="S161" s="37">
        <f t="shared" si="52"/>
        <v>1</v>
      </c>
      <c r="T161" s="52" t="str">
        <f t="shared" si="53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05:37:37-0600',mode:absolute,to:'2016-09-21 07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1" s="54" t="str">
        <f t="shared" si="55"/>
        <v>N</v>
      </c>
      <c r="X161" s="168">
        <f t="shared" si="65"/>
        <v>1</v>
      </c>
      <c r="Y161" s="69">
        <f t="shared" si="57"/>
        <v>5.8681000000000001</v>
      </c>
      <c r="Z161" s="69">
        <f t="shared" si="63"/>
        <v>6.7299999999999999E-2</v>
      </c>
      <c r="AA161" s="69">
        <f t="shared" si="58"/>
        <v>5.8007999999999997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9"/>
        <v>0804-21</v>
      </c>
      <c r="AE161" s="99" t="str">
        <f t="shared" si="60"/>
        <v>aws s3 cp s3://rtdc.mdm.uploadarchive/RTDC4037/2016-09-21/ "%USERPROFILE%\AppData\Local\Temp\OnboardLogs"\RTDC4037\2016-09-21 --recursive &amp; "%USERPROFILE%\Documents\GitHub\mrs-test-scripts\Headless Mode &amp; Sideloading\WalkAndUnGZ.bat" "%USERPROFILE%\AppData\Local\Temp\OnboardLogs"\RTDC4037\2016-09-21 &amp; aws s3 cp s3://rtdc.mdm.uploadarchive/RTDC4037/2016-09-22/ "%USERPROFILE%\AppData\Local\Temp\OnboardLogs"\RTDC4037\2016-09-22 --recursive &amp; "%USERPROFILE%\Documents\GitHub\mrs-test-scripts\Headless Mode &amp; Sideloading\WalkAndUnGZ.bat" "%USERPROFILE%\AppData\Local\Temp\OnboardLogs"\RTDC4037\2016-09-22</v>
      </c>
      <c r="AF161" s="96" t="str">
        <f t="shared" si="61"/>
        <v>"C:\Program Files (x86)\AstroGrep\AstroGrep.exe" /spath="%USERPROFILE%\AppData\Local\Temp\OnboardLogs" /stypes="app*4037*20160921*" /stext=" 12:.+((SYSTEM_STATE.+slice.+state.+changed )|(ment ac)|(system.+state.+changed )|(\|lc)|(penalty)|(\[timeout)|(PRM\|1\|D)|(kpr)|(kdp))" /e /r /s</v>
      </c>
      <c r="AG161" s="1" t="str">
        <f t="shared" si="62"/>
        <v>NW</v>
      </c>
      <c r="AH161" s="100" t="str">
        <f t="shared" si="48"/>
        <v>"%USERPROFILE%\Documents\GitHub\eaglep3\Utilities\RefineRTDCRunTimes.py" --tripid 804-21 --locoid 4037 --swversion DE.1.0.7.0 --startMP 300:58681 --initTime 2016-09-21T06:37:37 --startdatetime 2016-09-21T06:41:02 --delay 2 --endMP 204:673 --enddatetime 2016-09-21T06:55:54 --enforcementcount 0 &gt;&gt;C:\Users\stu\Documents\GitHub\eaglep3-reporting\EC\2016-09-21-refined-times.txt</v>
      </c>
      <c r="AI161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{"issue":{"subject":"","project_id":79,"tracker_id":40,"status_id":1,"priority_id":2,"assigned_to_id":23,"start_date":"2016-09-21","description":"","custom_fields":[{"id":1,"name":"Subdivision","value":"NW"},{"id":4,"name":"Milepost","value":"0.0673"},{"id":17,"name":"Train ID","value":"804-21"},{"id":16,"name":"Locomotive ID","value":"4037"},{"id":130,"name":"Impact","value":""},{"id":150,"name":"Time of Event (Mountain Time)","value":"06:55:54"},{"id":151,"name":"Denver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433</v>
      </c>
      <c r="B162" s="7">
        <v>4031</v>
      </c>
      <c r="C162" s="24" t="s">
        <v>106</v>
      </c>
      <c r="D162" s="24" t="s">
        <v>710</v>
      </c>
      <c r="E162" s="15">
        <v>42634.281817129631</v>
      </c>
      <c r="F162" s="15">
        <v>42634.285578703704</v>
      </c>
      <c r="G162" s="7">
        <v>1</v>
      </c>
      <c r="H162" s="15" t="s">
        <v>373</v>
      </c>
      <c r="I162" s="15">
        <v>42634.295057870368</v>
      </c>
      <c r="J162" s="7">
        <v>0</v>
      </c>
      <c r="K162" s="121" t="str">
        <f t="shared" si="50"/>
        <v>4031/4032</v>
      </c>
      <c r="L162" s="24" t="str">
        <f>VLOOKUP(A162,'Trips&amp;Operators'!$C$1:$E$10000,3,FALSE)</f>
        <v>STARKS</v>
      </c>
      <c r="M162" s="6">
        <f t="shared" si="51"/>
        <v>9.4791666633682325E-3</v>
      </c>
      <c r="N162" s="7">
        <f t="shared" si="66"/>
        <v>13.649999995250255</v>
      </c>
      <c r="O162" s="7"/>
      <c r="P162" s="7"/>
      <c r="Q162" s="25"/>
      <c r="R162" s="25"/>
      <c r="S162" s="37">
        <f t="shared" si="52"/>
        <v>1</v>
      </c>
      <c r="T162" s="52" t="str">
        <f t="shared" si="53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05:45:49-0600',mode:absolute,to:'2016-09-21 08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2" s="54" t="str">
        <f t="shared" si="55"/>
        <v>N</v>
      </c>
      <c r="X162" s="168">
        <f t="shared" si="65"/>
        <v>1</v>
      </c>
      <c r="Y162" s="69">
        <f t="shared" si="57"/>
        <v>0.1048</v>
      </c>
      <c r="Z162" s="69">
        <f t="shared" si="63"/>
        <v>5.8933</v>
      </c>
      <c r="AA162" s="69">
        <f t="shared" si="58"/>
        <v>5.7885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9"/>
        <v>0805-21</v>
      </c>
      <c r="AE162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62" s="96" t="str">
        <f t="shared" si="61"/>
        <v>"C:\Program Files (x86)\AstroGrep\AstroGrep.exe" /spath="%USERPROFILE%\AppData\Local\Temp\OnboardLogs" /stypes="app*4031*20160921*" /stext=" 13:.+((SYSTEM_STATE.+slice.+state.+changed )|(ment ac)|(system.+state.+changed )|(\|lc)|(penalty)|(\[timeout)|(PRM\|1\|D)|(kpr)|(kdp))" /e /r /s</v>
      </c>
      <c r="AG162" s="1" t="str">
        <f t="shared" si="62"/>
        <v>NW</v>
      </c>
      <c r="AH162" s="100" t="str">
        <f t="shared" si="48"/>
        <v>"%USERPROFILE%\Documents\GitHub\eaglep3\Utilities\RefineRTDCRunTimes.py" --tripid 805-21 --locoid 4031 --swversion DE.1.0.7.0 --startMP 204:1048 --initTime 2016-09-21T06:45:49 --startdatetime 2016-09-21T06:51:14 --delay 1 --endMP 300:58933 --enddatetime 2016-09-21T07:04:53 --enforcementcount 0 &gt;&gt;C:\Users\stu\Documents\GitHub\eaglep3-reporting\EC\2016-09-21-refined-times.txt</v>
      </c>
      <c r="AI162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{"issue":{"subject":"","project_id":79,"tracker_id":40,"status_id":1,"priority_id":2,"assigned_to_id":23,"start_date":"2016-09-21","description":"","custom_fields":[{"id":1,"name":"Subdivision","value":"NW"},{"id":4,"name":"Milepost","value":"5.8933"},{"id":17,"name":"Train ID","value":"805-21"},{"id":16,"name":"Locomotive ID","value":"4031"},{"id":130,"name":"Impact","value":""},{"id":150,"name":"Time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438</v>
      </c>
      <c r="B163" s="7">
        <v>4032</v>
      </c>
      <c r="C163" s="24" t="s">
        <v>106</v>
      </c>
      <c r="D163" s="24" t="s">
        <v>380</v>
      </c>
      <c r="E163" s="15">
        <v>42634.296180555553</v>
      </c>
      <c r="F163" s="15">
        <v>42634.297361111108</v>
      </c>
      <c r="G163" s="7">
        <v>1</v>
      </c>
      <c r="H163" s="15" t="s">
        <v>711</v>
      </c>
      <c r="I163" s="15">
        <v>42634.309756944444</v>
      </c>
      <c r="J163" s="7">
        <v>0</v>
      </c>
      <c r="K163" s="121" t="str">
        <f t="shared" si="50"/>
        <v>4031/4032</v>
      </c>
      <c r="L163" s="24" t="str">
        <f>VLOOKUP(A163,'Trips&amp;Operators'!$C$1:$E$10000,3,FALSE)</f>
        <v>STARKS</v>
      </c>
      <c r="M163" s="6">
        <f t="shared" si="51"/>
        <v>1.2395833335176576E-2</v>
      </c>
      <c r="N163" s="7">
        <f t="shared" si="66"/>
        <v>17.850000002654269</v>
      </c>
      <c r="O163" s="7"/>
      <c r="P163" s="7"/>
      <c r="Q163" s="25"/>
      <c r="R163" s="25"/>
      <c r="S163" s="37">
        <f t="shared" si="52"/>
        <v>1</v>
      </c>
      <c r="T163" s="52" t="str">
        <f t="shared" si="53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06:06:30-0600',mode:absolute,to:'2016-09-21 08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3" s="54" t="str">
        <f t="shared" si="55"/>
        <v>N</v>
      </c>
      <c r="X163" s="168">
        <f t="shared" si="65"/>
        <v>1</v>
      </c>
      <c r="Y163" s="69">
        <f t="shared" si="57"/>
        <v>5.8620999999999999</v>
      </c>
      <c r="Z163" s="69">
        <f t="shared" si="63"/>
        <v>7.2700000000000001E-2</v>
      </c>
      <c r="AA163" s="69">
        <f t="shared" si="58"/>
        <v>5.7893999999999997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9"/>
        <v>0806-21</v>
      </c>
      <c r="AE163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63" s="96" t="str">
        <f t="shared" si="61"/>
        <v>"C:\Program Files (x86)\AstroGrep\AstroGrep.exe" /spath="%USERPROFILE%\AppData\Local\Temp\OnboardLogs" /stypes="app*4032*20160921*" /stext=" 13:.+((SYSTEM_STATE.+slice.+state.+changed )|(ment ac)|(system.+state.+changed )|(\|lc)|(penalty)|(\[timeout)|(PRM\|1\|D)|(kpr)|(kdp))" /e /r /s</v>
      </c>
      <c r="AG163" s="1" t="str">
        <f t="shared" si="62"/>
        <v>NW</v>
      </c>
      <c r="AH163" s="100" t="str">
        <f t="shared" si="48"/>
        <v>"%USERPROFILE%\Documents\GitHub\eaglep3\Utilities\RefineRTDCRunTimes.py" --tripid 806-21 --locoid 4032 --swversion DE.1.0.7.0 --startMP 300:58621 --initTime 2016-09-21T07:06:30 --startdatetime 2016-09-21T07:08:12 --delay 1 --endMP 204:727 --enddatetime 2016-09-21T07:26:03 --enforcementcount 0 &gt;&gt;C:\Users\stu\Documents\GitHub\eaglep3-reporting\EC\2016-09-21-refined-times.txt</v>
      </c>
      <c r="AI163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{"issue":{"subject":"","project_id":79,"tracker_id":40,"status_id":1,"priority_id":2,"assigned_to_id":23,"start_date":"2016-09-21","description":"","custom_fields":[{"id":1,"name":"Subdivision","value":"NW"},{"id":4,"name":"Milepost","value":"0.0727"},{"id":17,"name":"Train ID","value":"806-21"},{"id":16,"name":"Locomotive ID","value":"4032"},{"id":130,"name":"Impact","value":""},{"id":150,"name":"Time of Event (Mountain Time)","value":"07:26:03"},{"id":151,"name":"Denver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441</v>
      </c>
      <c r="B164" s="7">
        <v>4038</v>
      </c>
      <c r="C164" s="24" t="s">
        <v>106</v>
      </c>
      <c r="D164" s="24" t="s">
        <v>316</v>
      </c>
      <c r="E164" s="15">
        <v>42634.304050925923</v>
      </c>
      <c r="F164" s="15">
        <v>42634.306446759256</v>
      </c>
      <c r="G164" s="7">
        <v>1</v>
      </c>
      <c r="H164" s="15" t="s">
        <v>712</v>
      </c>
      <c r="I164" s="15">
        <v>42634.316018518519</v>
      </c>
      <c r="J164" s="7">
        <v>0</v>
      </c>
      <c r="K164" s="121" t="str">
        <f t="shared" si="50"/>
        <v>4037/4038</v>
      </c>
      <c r="L164" s="24" t="str">
        <f>VLOOKUP(A164,'Trips&amp;Operators'!$C$1:$E$10000,3,FALSE)</f>
        <v>GEBRETEKLE</v>
      </c>
      <c r="M164" s="6">
        <f t="shared" si="51"/>
        <v>9.5717592630535364E-3</v>
      </c>
      <c r="N164" s="7">
        <f t="shared" si="66"/>
        <v>13.783333338797092</v>
      </c>
      <c r="O164" s="7"/>
      <c r="P164" s="7"/>
      <c r="Q164" s="25"/>
      <c r="R164" s="25"/>
      <c r="S164" s="37">
        <f t="shared" si="52"/>
        <v>1</v>
      </c>
      <c r="T164" s="52" t="str">
        <f t="shared" si="53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06:17:50-0600',mode:absolute,to:'2016-09-21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4" s="54" t="str">
        <f t="shared" si="55"/>
        <v>N</v>
      </c>
      <c r="X164" s="168">
        <f t="shared" si="65"/>
        <v>1</v>
      </c>
      <c r="Y164" s="69">
        <f t="shared" si="57"/>
        <v>9.8500000000000004E-2</v>
      </c>
      <c r="Z164" s="69">
        <f t="shared" si="63"/>
        <v>5.9008000000000003</v>
      </c>
      <c r="AA164" s="69">
        <f t="shared" si="58"/>
        <v>5.8023000000000007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9"/>
        <v>0807-21</v>
      </c>
      <c r="AE164" s="99" t="str">
        <f t="shared" si="60"/>
        <v>aws s3 cp s3://rtdc.mdm.uploadarchive/RTDC4038/2016-09-21/ "%USERPROFILE%\AppData\Local\Temp\OnboardLogs"\RTDC4038\2016-09-21 --recursive &amp; "%USERPROFILE%\Documents\GitHub\mrs-test-scripts\Headless Mode &amp; Sideloading\WalkAndUnGZ.bat" "%USERPROFILE%\AppData\Local\Temp\OnboardLogs"\RTDC4038\2016-09-21 &amp; aws s3 cp s3://rtdc.mdm.uploadarchive/RTDC4038/2016-09-22/ "%USERPROFILE%\AppData\Local\Temp\OnboardLogs"\RTDC4038\2016-09-22 --recursive &amp; "%USERPROFILE%\Documents\GitHub\mrs-test-scripts\Headless Mode &amp; Sideloading\WalkAndUnGZ.bat" "%USERPROFILE%\AppData\Local\Temp\OnboardLogs"\RTDC4038\2016-09-22</v>
      </c>
      <c r="AF164" s="96" t="str">
        <f t="shared" si="61"/>
        <v>"C:\Program Files (x86)\AstroGrep\AstroGrep.exe" /spath="%USERPROFILE%\AppData\Local\Temp\OnboardLogs" /stypes="app*4038*20160921*" /stext=" 13:.+((SYSTEM_STATE.+slice.+state.+changed )|(ment ac)|(system.+state.+changed )|(\|lc)|(penalty)|(\[timeout)|(PRM\|1\|D)|(kpr)|(kdp))" /e /r /s</v>
      </c>
      <c r="AG164" s="1" t="str">
        <f t="shared" si="62"/>
        <v>NW</v>
      </c>
      <c r="AH164" s="100" t="str">
        <f t="shared" si="48"/>
        <v>"%USERPROFILE%\Documents\GitHub\eaglep3\Utilities\RefineRTDCRunTimes.py" --tripid 807-21 --locoid 4038 --swversion DE.1.0.7.0 --startMP 204:985 --initTime 2016-09-21T07:17:50 --startdatetime 2016-09-21T07:21:17 --delay 1 --endMP 300:59008 --enddatetime 2016-09-21T07:35:04 --enforcementcount 0 &gt;&gt;C:\Users\stu\Documents\GitHub\eaglep3-reporting\EC\2016-09-21-refined-times.txt</v>
      </c>
      <c r="AI164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{"issue":{"subject":"","project_id":79,"tracker_id":40,"status_id":1,"priority_id":2,"assigned_to_id":23,"start_date":"2016-09-21","description":"","custom_fields":[{"id":1,"name":"Subdivision","value":"NW"},{"id":4,"name":"Milepost","value":"5.9008"},{"id":17,"name":"Train ID","value":"807-21"},{"id":16,"name":"Locomotive ID","value":"4038"},{"id":130,"name":"Impact","value":""},{"id":150,"name":"Time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444</v>
      </c>
      <c r="B165" s="7">
        <v>4037</v>
      </c>
      <c r="C165" s="24" t="s">
        <v>106</v>
      </c>
      <c r="D165" s="24" t="s">
        <v>713</v>
      </c>
      <c r="E165" s="15">
        <v>42634.317187499997</v>
      </c>
      <c r="F165" s="15">
        <v>42634.319201388891</v>
      </c>
      <c r="G165" s="7">
        <v>1</v>
      </c>
      <c r="H165" s="15" t="s">
        <v>314</v>
      </c>
      <c r="I165" s="15">
        <v>42634.338402777779</v>
      </c>
      <c r="J165" s="7">
        <v>0</v>
      </c>
      <c r="K165" s="121" t="str">
        <f t="shared" si="50"/>
        <v>4037/4038</v>
      </c>
      <c r="L165" s="24" t="str">
        <f>VLOOKUP(A165,'Trips&amp;Operators'!$C$1:$E$10000,3,FALSE)</f>
        <v>GEBRETEKLE</v>
      </c>
      <c r="M165" s="6">
        <f t="shared" si="51"/>
        <v>1.9201388888177462E-2</v>
      </c>
      <c r="N165" s="7">
        <f t="shared" si="66"/>
        <v>27.649999998975545</v>
      </c>
      <c r="O165" s="7"/>
      <c r="P165" s="7"/>
      <c r="Q165" s="25"/>
      <c r="R165" s="25"/>
      <c r="S165" s="37">
        <f t="shared" si="52"/>
        <v>1</v>
      </c>
      <c r="T165" s="52" t="str">
        <f t="shared" si="53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06:36:45-0600',mode:absolute,to:'2016-09-21 09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5" s="54" t="str">
        <f t="shared" si="55"/>
        <v>N</v>
      </c>
      <c r="X165" s="168">
        <f t="shared" si="65"/>
        <v>1</v>
      </c>
      <c r="Y165" s="69">
        <f t="shared" si="57"/>
        <v>5.8692000000000002</v>
      </c>
      <c r="Z165" s="69">
        <f t="shared" si="63"/>
        <v>6.9099999999999995E-2</v>
      </c>
      <c r="AA165" s="69">
        <f t="shared" si="58"/>
        <v>5.8001000000000005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9"/>
        <v>0808-21</v>
      </c>
      <c r="AE165" s="99" t="str">
        <f t="shared" si="60"/>
        <v>aws s3 cp s3://rtdc.mdm.uploadarchive/RTDC4037/2016-09-21/ "%USERPROFILE%\AppData\Local\Temp\OnboardLogs"\RTDC4037\2016-09-21 --recursive &amp; "%USERPROFILE%\Documents\GitHub\mrs-test-scripts\Headless Mode &amp; Sideloading\WalkAndUnGZ.bat" "%USERPROFILE%\AppData\Local\Temp\OnboardLogs"\RTDC4037\2016-09-21 &amp; aws s3 cp s3://rtdc.mdm.uploadarchive/RTDC4037/2016-09-22/ "%USERPROFILE%\AppData\Local\Temp\OnboardLogs"\RTDC4037\2016-09-22 --recursive &amp; "%USERPROFILE%\Documents\GitHub\mrs-test-scripts\Headless Mode &amp; Sideloading\WalkAndUnGZ.bat" "%USERPROFILE%\AppData\Local\Temp\OnboardLogs"\RTDC4037\2016-09-22</v>
      </c>
      <c r="AF165" s="96" t="str">
        <f t="shared" si="61"/>
        <v>"C:\Program Files (x86)\AstroGrep\AstroGrep.exe" /spath="%USERPROFILE%\AppData\Local\Temp\OnboardLogs" /stypes="app*4037*20160921*" /stext=" 14:.+((SYSTEM_STATE.+slice.+state.+changed )|(ment ac)|(system.+state.+changed )|(\|lc)|(penalty)|(\[timeout)|(PRM\|1\|D)|(kpr)|(kdp))" /e /r /s</v>
      </c>
      <c r="AG165" s="1" t="str">
        <f t="shared" si="62"/>
        <v>NW</v>
      </c>
      <c r="AH165" s="100" t="str">
        <f t="shared" si="48"/>
        <v>"%USERPROFILE%\Documents\GitHub\eaglep3\Utilities\RefineRTDCRunTimes.py" --tripid 808-21 --locoid 4037 --swversion DE.1.0.7.0 --startMP 300:58692 --initTime 2016-09-21T07:36:45 --startdatetime 2016-09-21T07:39:39 --delay 1 --endMP 204:691 --enddatetime 2016-09-21T08:07:18 --enforcementcount 0 &gt;&gt;C:\Users\stu\Documents\GitHub\eaglep3-reporting\EC\2016-09-21-refined-times.txt</v>
      </c>
      <c r="AI165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{"issue":{"subject":"","project_id":79,"tracker_id":40,"status_id":1,"priority_id":2,"assigned_to_id":23,"start_date":"2016-09-21","description":"","custom_fields":[{"id":1,"name":"Subdivision","value":"NW"},{"id":4,"name":"Milepost","value":"0.0691"},{"id":17,"name":"Train ID","value":"808-21"},{"id":16,"name":"Locomotive ID","value":"4037"},{"id":130,"name":"Impact","value":""},{"id":150,"name":"Time of Event (Mountain Time)","value":"08:07:18"},{"id":151,"name":"Denver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447</v>
      </c>
      <c r="B166" s="7">
        <v>4031</v>
      </c>
      <c r="C166" s="24" t="s">
        <v>106</v>
      </c>
      <c r="D166" s="24" t="s">
        <v>714</v>
      </c>
      <c r="E166" s="15">
        <v>42634.323854166665</v>
      </c>
      <c r="F166" s="15">
        <v>42634.327245370368</v>
      </c>
      <c r="G166" s="7">
        <v>1</v>
      </c>
      <c r="H166" s="15" t="s">
        <v>384</v>
      </c>
      <c r="I166" s="15">
        <v>42634.336886574078</v>
      </c>
      <c r="J166" s="7">
        <v>0</v>
      </c>
      <c r="K166" s="121" t="str">
        <f t="shared" si="50"/>
        <v>4031/4032</v>
      </c>
      <c r="L166" s="24" t="str">
        <f>VLOOKUP(A166,'Trips&amp;Operators'!$C$1:$E$10000,3,FALSE)</f>
        <v>STARKS</v>
      </c>
      <c r="M166" s="6">
        <f t="shared" si="51"/>
        <v>9.6412037091795355E-3</v>
      </c>
      <c r="N166" s="7">
        <f t="shared" si="66"/>
        <v>13.883333341218531</v>
      </c>
      <c r="O166" s="7"/>
      <c r="P166" s="7"/>
      <c r="Q166" s="25"/>
      <c r="R166" s="25"/>
      <c r="S166" s="37">
        <f t="shared" si="52"/>
        <v>1</v>
      </c>
      <c r="T166" s="52" t="str">
        <f t="shared" si="53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06:46:21-0600',mode:absolute,to:'2016-09-21 09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66" s="54" t="str">
        <f t="shared" si="55"/>
        <v>N</v>
      </c>
      <c r="X166" s="168">
        <f t="shared" si="65"/>
        <v>1</v>
      </c>
      <c r="Y166" s="69">
        <f t="shared" si="57"/>
        <v>0.1032</v>
      </c>
      <c r="Z166" s="69">
        <f t="shared" si="63"/>
        <v>5.8928000000000003</v>
      </c>
      <c r="AA166" s="69">
        <f t="shared" si="58"/>
        <v>5.7896000000000001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9"/>
        <v>0809-21</v>
      </c>
      <c r="AE166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66" s="96" t="str">
        <f t="shared" si="61"/>
        <v>"C:\Program Files (x86)\AstroGrep\AstroGrep.exe" /spath="%USERPROFILE%\AppData\Local\Temp\OnboardLogs" /stypes="app*4031*20160921*" /stext=" 14:.+((SYSTEM_STATE.+slice.+state.+changed )|(ment ac)|(system.+state.+changed )|(\|lc)|(penalty)|(\[timeout)|(PRM\|1\|D)|(kpr)|(kdp))" /e /r /s</v>
      </c>
      <c r="AG166" s="1" t="str">
        <f t="shared" si="62"/>
        <v>NW</v>
      </c>
      <c r="AH166" s="100" t="str">
        <f t="shared" si="48"/>
        <v>"%USERPROFILE%\Documents\GitHub\eaglep3\Utilities\RefineRTDCRunTimes.py" --tripid 809-21 --locoid 4031 --swversion DE.1.0.7.0 --startMP 204:1032 --initTime 2016-09-21T07:46:21 --startdatetime 2016-09-21T07:51:14 --delay 1 --endMP 300:58928 --enddatetime 2016-09-21T08:05:07 --enforcementcount 0 &gt;&gt;C:\Users\stu\Documents\GitHub\eaglep3-reporting\EC\2016-09-21-refined-times.txt</v>
      </c>
      <c r="AI166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{"issue":{"subject":"","project_id":79,"tracker_id":40,"status_id":1,"priority_id":2,"assigned_to_id":23,"start_date":"2016-09-21","description":"","custom_fields":[{"id":1,"name":"Subdivision","value":"NW"},{"id":4,"name":"Milepost","value":"5.8928"},{"id":17,"name":"Train ID","value":"809-21"},{"id":16,"name":"Locomotive ID","value":"4031"},{"id":130,"name":"Impact","value":""},{"id":150,"name":"Time of Event (Mountain Time)","value":"08:05:07"},{"id":151,"name":"Denver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450</v>
      </c>
      <c r="B167" s="7">
        <v>4032</v>
      </c>
      <c r="C167" s="24" t="s">
        <v>106</v>
      </c>
      <c r="D167" s="24" t="s">
        <v>377</v>
      </c>
      <c r="E167" s="15">
        <v>42634.338425925926</v>
      </c>
      <c r="F167" s="15">
        <v>42634.339918981481</v>
      </c>
      <c r="G167" s="7">
        <v>1</v>
      </c>
      <c r="H167" s="15" t="s">
        <v>715</v>
      </c>
      <c r="I167" s="15">
        <v>42634.354930555557</v>
      </c>
      <c r="J167" s="7">
        <v>0</v>
      </c>
      <c r="K167" s="121" t="str">
        <f t="shared" si="50"/>
        <v>4031/4032</v>
      </c>
      <c r="L167" s="24" t="str">
        <f>VLOOKUP(A167,'Trips&amp;Operators'!$C$1:$E$10000,3,FALSE)</f>
        <v>STARKS</v>
      </c>
      <c r="M167" s="6">
        <f t="shared" si="51"/>
        <v>1.5011574076197576E-2</v>
      </c>
      <c r="N167" s="7">
        <f t="shared" si="66"/>
        <v>21.616666669724509</v>
      </c>
      <c r="O167" s="7"/>
      <c r="P167" s="7"/>
      <c r="Q167" s="25"/>
      <c r="R167" s="25"/>
      <c r="S167" s="37">
        <f t="shared" si="52"/>
        <v>1</v>
      </c>
      <c r="T167" s="52" t="str">
        <f t="shared" si="53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07:07:20-0600',mode:absolute,to:'2016-09-21 09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7" s="54" t="str">
        <f t="shared" si="55"/>
        <v>N</v>
      </c>
      <c r="X167" s="168">
        <f t="shared" si="65"/>
        <v>1</v>
      </c>
      <c r="Y167" s="69">
        <f t="shared" si="57"/>
        <v>5.8608000000000002</v>
      </c>
      <c r="Z167" s="69">
        <f t="shared" si="63"/>
        <v>7.9000000000000008E-3</v>
      </c>
      <c r="AA167" s="69">
        <f t="shared" si="58"/>
        <v>5.8529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9"/>
        <v>0810-21</v>
      </c>
      <c r="AE167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67" s="96" t="str">
        <f t="shared" si="61"/>
        <v>"C:\Program Files (x86)\AstroGrep\AstroGrep.exe" /spath="%USERPROFILE%\AppData\Local\Temp\OnboardLogs" /stypes="app*4032*20160921*" /stext=" 14:.+((SYSTEM_STATE.+slice.+state.+changed )|(ment ac)|(system.+state.+changed )|(\|lc)|(penalty)|(\[timeout)|(PRM\|1\|D)|(kpr)|(kdp))" /e /r /s</v>
      </c>
      <c r="AG167" s="1" t="str">
        <f t="shared" si="62"/>
        <v>NW</v>
      </c>
      <c r="AH167" s="100" t="str">
        <f t="shared" si="48"/>
        <v>"%USERPROFILE%\Documents\GitHub\eaglep3\Utilities\RefineRTDCRunTimes.py" --tripid 810-21 --locoid 4032 --swversion DE.1.0.7.0 --startMP 300:58608 --initTime 2016-09-21T08:07:20 --startdatetime 2016-09-21T08:09:29 --delay 1 --endMP 204:79 --enddatetime 2016-09-21T08:31:06 --enforcementcount 0 &gt;&gt;C:\Users\stu\Documents\GitHub\eaglep3-reporting\EC\2016-09-21-refined-times.txt</v>
      </c>
      <c r="AI167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{"issue":{"subject":"","project_id":79,"tracker_id":40,"status_id":1,"priority_id":2,"assigned_to_id":23,"start_date":"2016-09-21","description":"","custom_fields":[{"id":1,"name":"Subdivision","value":"NW"},{"id":4,"name":"Milepost","value":"0.0079"},{"id":17,"name":"Train ID","value":"810-21"},{"id":16,"name":"Locomotive ID","value":"4032"},{"id":130,"name":"Impact","value":""},{"id":150,"name":"Time of Event (Mountain Time)","value":"08:31:06"},{"id":151,"name":"Denver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453</v>
      </c>
      <c r="B168" s="7">
        <v>4044</v>
      </c>
      <c r="C168" s="24" t="s">
        <v>106</v>
      </c>
      <c r="D168" s="24" t="s">
        <v>716</v>
      </c>
      <c r="E168" s="15">
        <v>42634.352175925924</v>
      </c>
      <c r="F168" s="15">
        <v>42634.353483796294</v>
      </c>
      <c r="G168" s="7">
        <v>1</v>
      </c>
      <c r="H168" s="15" t="s">
        <v>717</v>
      </c>
      <c r="I168" s="15">
        <v>42634.36273148148</v>
      </c>
      <c r="J168" s="7">
        <v>0</v>
      </c>
      <c r="K168" s="121" t="str">
        <f t="shared" si="50"/>
        <v>4043/4044</v>
      </c>
      <c r="L168" s="24" t="str">
        <f>VLOOKUP(A168,'Trips&amp;Operators'!$C$1:$E$10000,3,FALSE)</f>
        <v>GEBRETEKLE</v>
      </c>
      <c r="M168" s="6">
        <f t="shared" si="51"/>
        <v>9.2476851859828457E-3</v>
      </c>
      <c r="N168" s="7">
        <f t="shared" si="66"/>
        <v>13.316666667815298</v>
      </c>
      <c r="O168" s="7"/>
      <c r="P168" s="7"/>
      <c r="Q168" s="25"/>
      <c r="R168" s="25"/>
      <c r="S168" s="37">
        <f t="shared" si="52"/>
        <v>1</v>
      </c>
      <c r="T168" s="52" t="str">
        <f t="shared" si="53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07:27:08-0600',mode:absolute,to:'2016-09-21 09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8" s="54" t="str">
        <f t="shared" si="55"/>
        <v>N</v>
      </c>
      <c r="X168" s="168">
        <f t="shared" si="65"/>
        <v>1</v>
      </c>
      <c r="Y168" s="69">
        <f t="shared" si="57"/>
        <v>0.1191</v>
      </c>
      <c r="Z168" s="69">
        <f t="shared" si="63"/>
        <v>5.8986000000000001</v>
      </c>
      <c r="AA168" s="69">
        <f t="shared" si="58"/>
        <v>5.7794999999999996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9"/>
        <v>0811-21</v>
      </c>
      <c r="AE168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68" s="96" t="str">
        <f t="shared" si="61"/>
        <v>"C:\Program Files (x86)\AstroGrep\AstroGrep.exe" /spath="%USERPROFILE%\AppData\Local\Temp\OnboardLogs" /stypes="app*4044*20160921*" /stext=" 14:.+((SYSTEM_STATE.+slice.+state.+changed )|(ment ac)|(system.+state.+changed )|(\|lc)|(penalty)|(\[timeout)|(PRM\|1\|D)|(kpr)|(kdp))" /e /r /s</v>
      </c>
      <c r="AG168" s="1" t="str">
        <f t="shared" si="62"/>
        <v>NW</v>
      </c>
      <c r="AH168" s="100" t="str">
        <f t="shared" si="48"/>
        <v>"%USERPROFILE%\Documents\GitHub\eaglep3\Utilities\RefineRTDCRunTimes.py" --tripid 811-21 --locoid 4044 --swversion DE.1.0.7.0 --startMP 204:1191 --initTime 2016-09-21T08:27:08 --startdatetime 2016-09-21T08:29:01 --delay 1 --endMP 300:58986 --enddatetime 2016-09-21T08:42:20 --enforcementcount 0 &gt;&gt;C:\Users\stu\Documents\GitHub\eaglep3-reporting\EC\2016-09-21-refined-times.txt</v>
      </c>
      <c r="AI168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{"issue":{"subject":"","project_id":79,"tracker_id":40,"status_id":1,"priority_id":2,"assigned_to_id":23,"start_date":"2016-09-21","description":"","custom_fields":[{"id":1,"name":"Subdivision","value":"NW"},{"id":4,"name":"Milepost","value":"5.8986"},{"id":17,"name":"Train ID","value":"811-21"},{"id":16,"name":"Locomotive ID","value":"4044"},{"id":130,"name":"Impact","value":""},{"id":150,"name":"Time of Event (Mountain Time)","value":"08:42:20"},{"id":151,"name":"Denver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459</v>
      </c>
      <c r="B169" s="7">
        <v>4043</v>
      </c>
      <c r="C169" s="24" t="s">
        <v>106</v>
      </c>
      <c r="D169" s="24" t="s">
        <v>718</v>
      </c>
      <c r="E169" s="15">
        <v>42634.363541666666</v>
      </c>
      <c r="F169" s="15">
        <v>42634.364988425928</v>
      </c>
      <c r="G169" s="7">
        <v>1</v>
      </c>
      <c r="H169" s="15" t="s">
        <v>719</v>
      </c>
      <c r="I169" s="15">
        <v>42634.37431712963</v>
      </c>
      <c r="J169" s="7">
        <v>0</v>
      </c>
      <c r="K169" s="121" t="str">
        <f t="shared" si="50"/>
        <v>4043/4044</v>
      </c>
      <c r="L169" s="24" t="str">
        <f>VLOOKUP(A169,'Trips&amp;Operators'!$C$1:$E$10000,3,FALSE)</f>
        <v>GEBRETEKLE</v>
      </c>
      <c r="M169" s="6">
        <f t="shared" si="51"/>
        <v>9.3287037016125396E-3</v>
      </c>
      <c r="N169" s="7">
        <f t="shared" si="66"/>
        <v>13.433333330322057</v>
      </c>
      <c r="O169" s="7"/>
      <c r="P169" s="7"/>
      <c r="Q169" s="25"/>
      <c r="R169" s="25"/>
      <c r="S169" s="37">
        <f t="shared" si="52"/>
        <v>1</v>
      </c>
      <c r="T169" s="52" t="str">
        <f t="shared" si="53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07:43:30-0600',mode:absolute,to:'2016-09-21 09:59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9" s="54" t="str">
        <f t="shared" si="55"/>
        <v>N</v>
      </c>
      <c r="X169" s="168">
        <f t="shared" si="65"/>
        <v>1</v>
      </c>
      <c r="Y169" s="69">
        <f t="shared" si="57"/>
        <v>5.8682999999999996</v>
      </c>
      <c r="Z169" s="69">
        <f t="shared" si="63"/>
        <v>7.0000000000000001E-3</v>
      </c>
      <c r="AA169" s="69">
        <f t="shared" si="58"/>
        <v>5.8613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9"/>
        <v>0812-21</v>
      </c>
      <c r="AE169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69" s="96" t="str">
        <f t="shared" si="61"/>
        <v>"C:\Program Files (x86)\AstroGrep\AstroGrep.exe" /spath="%USERPROFILE%\AppData\Local\Temp\OnboardLogs" /stypes="app*4043*20160921*" /stext=" 14:.+((SYSTEM_STATE.+slice.+state.+changed )|(ment ac)|(system.+state.+changed )|(\|lc)|(penalty)|(\[timeout)|(PRM\|1\|D)|(kpr)|(kdp))" /e /r /s</v>
      </c>
      <c r="AG169" s="1" t="str">
        <f t="shared" si="62"/>
        <v>NW</v>
      </c>
      <c r="AH169" s="100" t="str">
        <f t="shared" si="48"/>
        <v>"%USERPROFILE%\Documents\GitHub\eaglep3\Utilities\RefineRTDCRunTimes.py" --tripid 812-21 --locoid 4043 --swversion DE.1.0.7.0 --startMP 300:58683 --initTime 2016-09-21T08:43:30 --startdatetime 2016-09-21T08:45:35 --delay 1 --endMP 204:70 --enddatetime 2016-09-21T08:59:01 --enforcementcount 0 &gt;&gt;C:\Users\stu\Documents\GitHub\eaglep3-reporting\EC\2016-09-21-refined-times.txt</v>
      </c>
      <c r="AI169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{"issue":{"subject":"","project_id":79,"tracker_id":40,"status_id":1,"priority_id":2,"assigned_to_id":23,"start_date":"2016-09-21","description":"","custom_fields":[{"id":1,"name":"Subdivision","value":"NW"},{"id":4,"name":"Milepost","value":"0.007"},{"id":17,"name":"Train ID","value":"812-21"},{"id":16,"name":"Locomotive ID","value":"4043"},{"id":130,"name":"Impact","value":""},{"id":150,"name":"Time of Event (Mountain Time)","value":"08:59:01"},{"id":151,"name":"Denver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464</v>
      </c>
      <c r="B170" s="7">
        <v>4044</v>
      </c>
      <c r="C170" s="24" t="s">
        <v>106</v>
      </c>
      <c r="D170" s="24" t="s">
        <v>720</v>
      </c>
      <c r="E170" s="15">
        <v>42634.387418981481</v>
      </c>
      <c r="F170" s="15">
        <v>42634.389803240738</v>
      </c>
      <c r="G170" s="7">
        <v>1</v>
      </c>
      <c r="H170" s="15" t="s">
        <v>721</v>
      </c>
      <c r="I170" s="15">
        <v>42634.401064814818</v>
      </c>
      <c r="J170" s="7">
        <v>0</v>
      </c>
      <c r="K170" s="121" t="str">
        <f t="shared" si="50"/>
        <v>4043/4044</v>
      </c>
      <c r="L170" s="24" t="str">
        <f>VLOOKUP(A170,'Trips&amp;Operators'!$C$1:$E$10000,3,FALSE)</f>
        <v>GEBRETEKLE</v>
      </c>
      <c r="M170" s="6">
        <f t="shared" si="51"/>
        <v>1.1261574079981074E-2</v>
      </c>
      <c r="N170" s="7">
        <f t="shared" si="66"/>
        <v>16.216666675172746</v>
      </c>
      <c r="O170" s="7"/>
      <c r="P170" s="7"/>
      <c r="Q170" s="25"/>
      <c r="R170" s="25"/>
      <c r="S170" s="37">
        <f t="shared" si="52"/>
        <v>1</v>
      </c>
      <c r="T170" s="52" t="str">
        <f t="shared" si="53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08:17:53-0600',mode:absolute,to:'2016-09-21 10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0" s="54" t="str">
        <f t="shared" si="55"/>
        <v>N</v>
      </c>
      <c r="X170" s="168">
        <f t="shared" si="65"/>
        <v>1</v>
      </c>
      <c r="Y170" s="69">
        <f t="shared" si="57"/>
        <v>3.6799999999999999E-2</v>
      </c>
      <c r="Z170" s="69">
        <f t="shared" si="63"/>
        <v>5.8978000000000002</v>
      </c>
      <c r="AA170" s="69">
        <f t="shared" si="58"/>
        <v>5.8609999999999998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9"/>
        <v>0813-21</v>
      </c>
      <c r="AE170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70" s="96" t="str">
        <f t="shared" si="61"/>
        <v>"C:\Program Files (x86)\AstroGrep\AstroGrep.exe" /spath="%USERPROFILE%\AppData\Local\Temp\OnboardLogs" /stypes="app*4044*20160921*" /stext=" 15:.+((SYSTEM_STATE.+slice.+state.+changed )|(ment ac)|(system.+state.+changed )|(\|lc)|(penalty)|(\[timeout)|(PRM\|1\|D)|(kpr)|(kdp))" /e /r /s</v>
      </c>
      <c r="AG170" s="1" t="str">
        <f t="shared" si="62"/>
        <v>NW</v>
      </c>
      <c r="AH170" s="100" t="str">
        <f t="shared" si="48"/>
        <v>"%USERPROFILE%\Documents\GitHub\eaglep3\Utilities\RefineRTDCRunTimes.py" --tripid 813-21 --locoid 4044 --swversion DE.1.0.7.0 --startMP 204:368 --initTime 2016-09-21T09:17:53 --startdatetime 2016-09-21T09:21:19 --delay 1 --endMP 300:58978 --enddatetime 2016-09-21T09:37:32 --enforcementcount 0 &gt;&gt;C:\Users\stu\Documents\GitHub\eaglep3-reporting\EC\2016-09-21-refined-times.txt</v>
      </c>
      <c r="AI170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{"issue":{"subject":"","project_id":79,"tracker_id":40,"status_id":1,"priority_id":2,"assigned_to_id":23,"start_date":"2016-09-21","description":"","custom_fields":[{"id":1,"name":"Subdivision","value":"NW"},{"id":4,"name":"Milepost","value":"5.8978"},{"id":17,"name":"Train ID","value":"813-21"},{"id":16,"name":"Locomotive ID","value":"4044"},{"id":130,"name":"Impact","value":""},{"id":150,"name":"Time of Event (Mountain Time)","value":"09:37:32"},{"id":151,"name":"Denver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468</v>
      </c>
      <c r="B171" s="7">
        <v>4043</v>
      </c>
      <c r="C171" s="24" t="s">
        <v>106</v>
      </c>
      <c r="D171" s="24" t="s">
        <v>381</v>
      </c>
      <c r="E171" s="15">
        <v>42634.402002314811</v>
      </c>
      <c r="F171" s="15">
        <v>42634.403564814813</v>
      </c>
      <c r="G171" s="7">
        <v>1</v>
      </c>
      <c r="H171" s="15" t="s">
        <v>722</v>
      </c>
      <c r="I171" s="15">
        <v>42634.413148148145</v>
      </c>
      <c r="J171" s="7">
        <v>0</v>
      </c>
      <c r="K171" s="121" t="str">
        <f t="shared" si="50"/>
        <v>4043/4044</v>
      </c>
      <c r="L171" s="24" t="str">
        <f>VLOOKUP(A171,'Trips&amp;Operators'!$C$1:$E$10000,3,FALSE)</f>
        <v>GEBRETEKLE</v>
      </c>
      <c r="M171" s="6">
        <f t="shared" si="51"/>
        <v>9.5833333325572312E-3</v>
      </c>
      <c r="N171" s="7">
        <f t="shared" si="66"/>
        <v>13.799999998882413</v>
      </c>
      <c r="O171" s="7"/>
      <c r="P171" s="7"/>
      <c r="Q171" s="25"/>
      <c r="R171" s="25"/>
      <c r="S171" s="37">
        <f t="shared" si="52"/>
        <v>1</v>
      </c>
      <c r="T171" s="52" t="str">
        <f t="shared" si="53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08:38:53-0600',mode:absolute,to:'2016-09-21 10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1" s="54" t="str">
        <f t="shared" si="55"/>
        <v>N</v>
      </c>
      <c r="X171" s="168">
        <f t="shared" si="65"/>
        <v>1</v>
      </c>
      <c r="Y171" s="69">
        <f t="shared" si="57"/>
        <v>5.8658000000000001</v>
      </c>
      <c r="Z171" s="69">
        <f t="shared" si="63"/>
        <v>6.8400000000000002E-2</v>
      </c>
      <c r="AA171" s="69">
        <f t="shared" si="58"/>
        <v>5.7974000000000006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9"/>
        <v>0814-21</v>
      </c>
      <c r="AE171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71" s="96" t="str">
        <f t="shared" si="61"/>
        <v>"C:\Program Files (x86)\AstroGrep\AstroGrep.exe" /spath="%USERPROFILE%\AppData\Local\Temp\OnboardLogs" /stypes="app*4043*20160921*" /stext=" 15:.+((SYSTEM_STATE.+slice.+state.+changed )|(ment ac)|(system.+state.+changed )|(\|lc)|(penalty)|(\[timeout)|(PRM\|1\|D)|(kpr)|(kdp))" /e /r /s</v>
      </c>
      <c r="AG171" s="1" t="str">
        <f t="shared" si="62"/>
        <v>NW</v>
      </c>
      <c r="AH171" s="100" t="str">
        <f t="shared" si="48"/>
        <v>"%USERPROFILE%\Documents\GitHub\eaglep3\Utilities\RefineRTDCRunTimes.py" --tripid 814-21 --locoid 4043 --swversion DE.1.0.7.0 --startMP 300:58658 --initTime 2016-09-21T09:38:53 --startdatetime 2016-09-21T09:41:08 --delay 1 --endMP 204:684 --enddatetime 2016-09-21T09:54:56 --enforcementcount 0 &gt;&gt;C:\Users\stu\Documents\GitHub\eaglep3-reporting\EC\2016-09-21-refined-times.txt</v>
      </c>
      <c r="AI171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{"issue":{"subject":"","project_id":79,"tracker_id":40,"status_id":1,"priority_id":2,"assigned_to_id":23,"start_date":"2016-09-21","description":"","custom_fields":[{"id":1,"name":"Subdivision","value":"NW"},{"id":4,"name":"Milepost","value":"0.0684"},{"id":17,"name":"Train ID","value":"814-21"},{"id":16,"name":"Locomotive ID","value":"4043"},{"id":130,"name":"Impact","value":""},{"id":150,"name":"Time of Event (Mountain Time)","value":"09:54:56"},{"id":151,"name":"Denver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474</v>
      </c>
      <c r="B172" s="7">
        <v>4044</v>
      </c>
      <c r="C172" s="24" t="s">
        <v>106</v>
      </c>
      <c r="D172" s="24" t="s">
        <v>723</v>
      </c>
      <c r="E172" s="15">
        <v>42634.429525462961</v>
      </c>
      <c r="F172" s="15">
        <v>42634.431400462963</v>
      </c>
      <c r="G172" s="7">
        <v>2</v>
      </c>
      <c r="H172" s="15" t="s">
        <v>724</v>
      </c>
      <c r="I172" s="15">
        <v>42634.44121527778</v>
      </c>
      <c r="J172" s="7">
        <v>0</v>
      </c>
      <c r="K172" s="121" t="str">
        <f t="shared" si="50"/>
        <v>4043/4044</v>
      </c>
      <c r="L172" s="24" t="str">
        <f>VLOOKUP(A172,'Trips&amp;Operators'!$C$1:$E$10000,3,FALSE)</f>
        <v>GEBRETEKLE</v>
      </c>
      <c r="M172" s="6">
        <f t="shared" si="51"/>
        <v>9.8148148172185756E-3</v>
      </c>
      <c r="N172" s="7">
        <f t="shared" si="66"/>
        <v>14.133333336794749</v>
      </c>
      <c r="O172" s="7"/>
      <c r="P172" s="7"/>
      <c r="Q172" s="25"/>
      <c r="R172" s="25"/>
      <c r="S172" s="37">
        <f t="shared" si="52"/>
        <v>1</v>
      </c>
      <c r="T172" s="52" t="str">
        <f t="shared" si="53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09:18:31-0600',mode:absolute,to:'2016-09-21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2" s="54" t="str">
        <f t="shared" si="55"/>
        <v>N</v>
      </c>
      <c r="X172" s="168">
        <f t="shared" si="65"/>
        <v>1</v>
      </c>
      <c r="Y172" s="69">
        <f t="shared" si="57"/>
        <v>0.12540000000000001</v>
      </c>
      <c r="Z172" s="69">
        <f t="shared" si="63"/>
        <v>5.8956</v>
      </c>
      <c r="AA172" s="69">
        <f t="shared" si="58"/>
        <v>5.7702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9"/>
        <v>0815-21</v>
      </c>
      <c r="AE172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72" s="96" t="str">
        <f t="shared" si="61"/>
        <v>"C:\Program Files (x86)\AstroGrep\AstroGrep.exe" /spath="%USERPROFILE%\AppData\Local\Temp\OnboardLogs" /stypes="app*4044*20160921*" /stext=" 16:.+((SYSTEM_STATE.+slice.+state.+changed )|(ment ac)|(system.+state.+changed )|(\|lc)|(penalty)|(\[timeout)|(PRM\|1\|D)|(kpr)|(kdp))" /e /r /s</v>
      </c>
      <c r="AG172" s="1" t="str">
        <f t="shared" si="62"/>
        <v>NW</v>
      </c>
      <c r="AH172" s="100" t="str">
        <f t="shared" si="48"/>
        <v>"%USERPROFILE%\Documents\GitHub\eaglep3\Utilities\RefineRTDCRunTimes.py" --tripid 815-21 --locoid 4044 --swversion DE.1.0.7.0 --startMP 204:1254 --initTime 2016-09-21T10:18:31 --startdatetime 2016-09-21T10:21:13 --delay 2 --endMP 300:58956 --enddatetime 2016-09-21T10:35:21 --enforcementcount 0 &gt;&gt;C:\Users\stu\Documents\GitHub\eaglep3-reporting\EC\2016-09-21-refined-times.txt</v>
      </c>
      <c r="AI172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{"issue":{"subject":"","project_id":79,"tracker_id":40,"status_id":1,"priority_id":2,"assigned_to_id":23,"start_date":"2016-09-21","description":"","custom_fields":[{"id":1,"name":"Subdivision","value":"NW"},{"id":4,"name":"Milepost","value":"5.8956"},{"id":17,"name":"Train ID","value":"815-21"},{"id":16,"name":"Locomotive ID","value":"4044"},{"id":130,"name":"Impact","value":""},{"id":150,"name":"Time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478</v>
      </c>
      <c r="B173" s="7">
        <v>4043</v>
      </c>
      <c r="C173" s="24" t="s">
        <v>106</v>
      </c>
      <c r="D173" s="24" t="s">
        <v>725</v>
      </c>
      <c r="E173" s="15">
        <v>42634.443090277775</v>
      </c>
      <c r="F173" s="15">
        <v>42634.444571759261</v>
      </c>
      <c r="G173" s="7">
        <v>1</v>
      </c>
      <c r="H173" s="15" t="s">
        <v>726</v>
      </c>
      <c r="I173" s="15">
        <v>42634.455416666664</v>
      </c>
      <c r="J173" s="7">
        <v>0</v>
      </c>
      <c r="K173" s="121" t="str">
        <f t="shared" si="50"/>
        <v>4043/4044</v>
      </c>
      <c r="L173" s="24" t="str">
        <f>VLOOKUP(A173,'Trips&amp;Operators'!$C$1:$E$10000,3,FALSE)</f>
        <v>GEBRETEKLE</v>
      </c>
      <c r="M173" s="6">
        <f t="shared" si="51"/>
        <v>1.0844907403225079E-2</v>
      </c>
      <c r="N173" s="7">
        <f t="shared" si="66"/>
        <v>15.616666660644114</v>
      </c>
      <c r="O173" s="7"/>
      <c r="P173" s="7"/>
      <c r="Q173" s="25"/>
      <c r="R173" s="25"/>
      <c r="S173" s="37">
        <f t="shared" si="52"/>
        <v>1</v>
      </c>
      <c r="T173" s="52" t="str">
        <f t="shared" si="53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09:38:03-0600',mode:absolute,to:'2016-09-21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3" s="54" t="str">
        <f t="shared" si="55"/>
        <v>N</v>
      </c>
      <c r="X173" s="168">
        <f t="shared" si="65"/>
        <v>1</v>
      </c>
      <c r="Y173" s="69">
        <f t="shared" ref="Y173:Y189" si="67">RIGHT(D173,LEN(D173)-4)/10000</f>
        <v>5.8648999999999996</v>
      </c>
      <c r="Z173" s="69">
        <f t="shared" si="63"/>
        <v>6.8000000000000005E-2</v>
      </c>
      <c r="AA173" s="69">
        <f t="shared" si="58"/>
        <v>5.7968999999999999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9"/>
        <v>0816-21</v>
      </c>
      <c r="AE173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73" s="96" t="str">
        <f t="shared" si="61"/>
        <v>"C:\Program Files (x86)\AstroGrep\AstroGrep.exe" /spath="%USERPROFILE%\AppData\Local\Temp\OnboardLogs" /stypes="app*4043*20160921*" /stext=" 16:.+((SYSTEM_STATE.+slice.+state.+changed )|(ment ac)|(system.+state.+changed )|(\|lc)|(penalty)|(\[timeout)|(PRM\|1\|D)|(kpr)|(kdp))" /e /r /s</v>
      </c>
      <c r="AG173" s="1" t="str">
        <f t="shared" si="62"/>
        <v>NW</v>
      </c>
      <c r="AH173" s="100" t="str">
        <f t="shared" si="48"/>
        <v>"%USERPROFILE%\Documents\GitHub\eaglep3\Utilities\RefineRTDCRunTimes.py" --tripid 816-21 --locoid 4043 --swversion DE.1.0.7.0 --startMP 300:58649 --initTime 2016-09-21T10:38:03 --startdatetime 2016-09-21T10:40:11 --delay 1 --endMP 204:680 --enddatetime 2016-09-21T10:55:48 --enforcementcount 0 &gt;&gt;C:\Users\stu\Documents\GitHub\eaglep3-reporting\EC\2016-09-21-refined-times.txt</v>
      </c>
      <c r="AI173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{"issue":{"subject":"","project_id":79,"tracker_id":40,"status_id":1,"priority_id":2,"assigned_to_id":23,"start_date":"2016-09-21","description":"","custom_fields":[{"id":1,"name":"Subdivision","value":"NW"},{"id":4,"name":"Milepost","value":"0.068"},{"id":17,"name":"Train ID","value":"816-21"},{"id":16,"name":"Locomotive ID","value":"4043"},{"id":130,"name":"Impact","value":""},{"id":150,"name":"Time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483</v>
      </c>
      <c r="B174" s="7">
        <v>4044</v>
      </c>
      <c r="C174" s="24" t="s">
        <v>106</v>
      </c>
      <c r="D174" s="24" t="s">
        <v>378</v>
      </c>
      <c r="E174" s="15">
        <v>42634.461319444446</v>
      </c>
      <c r="F174" s="15">
        <v>42634.473090277781</v>
      </c>
      <c r="G174" s="7">
        <v>2</v>
      </c>
      <c r="H174" s="15" t="s">
        <v>727</v>
      </c>
      <c r="I174" s="15">
        <v>42634.483842592592</v>
      </c>
      <c r="J174" s="7">
        <v>0</v>
      </c>
      <c r="K174" s="121" t="str">
        <f t="shared" si="50"/>
        <v>4043/4044</v>
      </c>
      <c r="L174" s="24" t="str">
        <f>VLOOKUP(A174,'Trips&amp;Operators'!$C$1:$E$10000,3,FALSE)</f>
        <v>GEBRETEKLE</v>
      </c>
      <c r="M174" s="6">
        <f t="shared" si="51"/>
        <v>1.0752314810815733E-2</v>
      </c>
      <c r="N174" s="7">
        <f t="shared" si="66"/>
        <v>15.483333327574655</v>
      </c>
      <c r="O174" s="7"/>
      <c r="P174" s="7"/>
      <c r="Q174" s="25"/>
      <c r="R174" s="25"/>
      <c r="S174" s="37">
        <f t="shared" si="52"/>
        <v>1</v>
      </c>
      <c r="T174" s="52" t="str">
        <f t="shared" si="53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10:04:18-0600',mode:absolute,to:'2016-09-21 12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4" s="54" t="str">
        <f t="shared" si="55"/>
        <v>N</v>
      </c>
      <c r="X174" s="168">
        <f t="shared" si="65"/>
        <v>1</v>
      </c>
      <c r="Y174" s="69">
        <f t="shared" si="67"/>
        <v>0.1</v>
      </c>
      <c r="Z174" s="69">
        <f t="shared" si="63"/>
        <v>5.8983999999999996</v>
      </c>
      <c r="AA174" s="69">
        <f t="shared" si="58"/>
        <v>5.7984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9"/>
        <v>0817-21</v>
      </c>
      <c r="AE174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74" s="96" t="str">
        <f t="shared" si="61"/>
        <v>"C:\Program Files (x86)\AstroGrep\AstroGrep.exe" /spath="%USERPROFILE%\AppData\Local\Temp\OnboardLogs" /stypes="app*4044*20160921*" /stext=" 17:.+((SYSTEM_STATE.+slice.+state.+changed )|(ment ac)|(system.+state.+changed )|(\|lc)|(penalty)|(\[timeout)|(PRM\|1\|D)|(kpr)|(kdp))" /e /r /s</v>
      </c>
      <c r="AG174" s="1" t="str">
        <f t="shared" si="62"/>
        <v>NW</v>
      </c>
      <c r="AH174" s="100" t="str">
        <f t="shared" si="48"/>
        <v>"%USERPROFILE%\Documents\GitHub\eaglep3\Utilities\RefineRTDCRunTimes.py" --tripid 817-21 --locoid 4044 --swversion DE.1.0.7.0 --startMP 204:1000 --initTime 2016-09-21T11:04:18 --startdatetime 2016-09-21T11:21:15 --delay 2 --endMP 300:58984 --enddatetime 2016-09-21T11:36:44 --enforcementcount 0 &gt;&gt;C:\Users\stu\Documents\GitHub\eaglep3-reporting\EC\2016-09-21-refined-times.txt</v>
      </c>
      <c r="AI174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{"issue":{"subject":"","project_id":79,"tracker_id":40,"status_id":1,"priority_id":2,"assigned_to_id":23,"start_date":"2016-09-21","description":"","custom_fields":[{"id":1,"name":"Subdivision","value":"NW"},{"id":4,"name":"Milepost","value":"5.8984"},{"id":17,"name":"Train ID","value":"817-21"},{"id":16,"name":"Locomotive ID","value":"4044"},{"id":130,"name":"Impact","value":""},{"id":150,"name":"Time of Event (Mountain Time)","value":"11:36:44"},{"id":151,"name":"Denver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493</v>
      </c>
      <c r="B175" s="7">
        <v>4043</v>
      </c>
      <c r="C175" s="24" t="s">
        <v>106</v>
      </c>
      <c r="D175" s="24" t="s">
        <v>728</v>
      </c>
      <c r="E175" s="15">
        <v>42634.485949074071</v>
      </c>
      <c r="F175" s="15">
        <v>42634.487847222219</v>
      </c>
      <c r="G175" s="7">
        <v>1</v>
      </c>
      <c r="H175" s="15" t="s">
        <v>729</v>
      </c>
      <c r="I175" s="15">
        <v>42634.497511574074</v>
      </c>
      <c r="J175" s="7">
        <v>0</v>
      </c>
      <c r="K175" s="121" t="str">
        <f t="shared" si="50"/>
        <v>4043/4044</v>
      </c>
      <c r="L175" s="24" t="str">
        <f>VLOOKUP(A175,'Trips&amp;Operators'!$C$1:$E$10000,3,FALSE)</f>
        <v>GEBRETEKLE</v>
      </c>
      <c r="M175" s="6">
        <f t="shared" si="51"/>
        <v>9.6643518554628827E-3</v>
      </c>
      <c r="N175" s="7">
        <f t="shared" si="66"/>
        <v>13.916666671866551</v>
      </c>
      <c r="O175" s="7"/>
      <c r="P175" s="7"/>
      <c r="Q175" s="25"/>
      <c r="R175" s="25"/>
      <c r="S175" s="37">
        <f t="shared" si="52"/>
        <v>1</v>
      </c>
      <c r="T175" s="52" t="str">
        <f t="shared" si="53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10:39:46-0600',mode:absolute,to:'2016-09-21 12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5" s="54" t="str">
        <f t="shared" si="55"/>
        <v>N</v>
      </c>
      <c r="X175" s="168">
        <f t="shared" si="65"/>
        <v>1</v>
      </c>
      <c r="Y175" s="69">
        <f t="shared" si="67"/>
        <v>5.8673000000000002</v>
      </c>
      <c r="Z175" s="69">
        <f t="shared" si="63"/>
        <v>7.1300000000000002E-2</v>
      </c>
      <c r="AA175" s="69">
        <f t="shared" si="58"/>
        <v>5.7960000000000003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9"/>
        <v>0818-21</v>
      </c>
      <c r="AE175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75" s="96" t="str">
        <f t="shared" si="61"/>
        <v>"C:\Program Files (x86)\AstroGrep\AstroGrep.exe" /spath="%USERPROFILE%\AppData\Local\Temp\OnboardLogs" /stypes="app*4043*20160921*" /stext=" 17:.+((SYSTEM_STATE.+slice.+state.+changed )|(ment ac)|(system.+state.+changed )|(\|lc)|(penalty)|(\[timeout)|(PRM\|1\|D)|(kpr)|(kdp))" /e /r /s</v>
      </c>
      <c r="AG175" s="1" t="str">
        <f t="shared" si="62"/>
        <v>NW</v>
      </c>
      <c r="AH175" s="100" t="str">
        <f t="shared" si="48"/>
        <v>"%USERPROFILE%\Documents\GitHub\eaglep3\Utilities\RefineRTDCRunTimes.py" --tripid 818-21 --locoid 4043 --swversion DE.1.0.7.0 --startMP 300:58673 --initTime 2016-09-21T11:39:46 --startdatetime 2016-09-21T11:42:30 --delay 1 --endMP 204:713 --enddatetime 2016-09-21T11:56:25 --enforcementcount 0 &gt;&gt;C:\Users\stu\Documents\GitHub\eaglep3-reporting\EC\2016-09-21-refined-times.txt</v>
      </c>
      <c r="AI175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{"issue":{"subject":"","project_id":79,"tracker_id":40,"status_id":1,"priority_id":2,"assigned_to_id":23,"start_date":"2016-09-21","description":"","custom_fields":[{"id":1,"name":"Subdivision","value":"NW"},{"id":4,"name":"Milepost","value":"0.0713"},{"id":17,"name":"Train ID","value":"818-21"},{"id":16,"name":"Locomotive ID","value":"4043"},{"id":130,"name":"Impact","value":""},{"id":150,"name":"Time of Event (Mountain Time)","value":"11:56:25"},{"id":151,"name":"Denver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500</v>
      </c>
      <c r="B176" s="7">
        <v>4044</v>
      </c>
      <c r="C176" s="24" t="s">
        <v>106</v>
      </c>
      <c r="D176" s="24" t="s">
        <v>376</v>
      </c>
      <c r="E176" s="15">
        <v>42634.510567129626</v>
      </c>
      <c r="F176" s="15">
        <v>42634.514780092592</v>
      </c>
      <c r="G176" s="7">
        <v>1</v>
      </c>
      <c r="H176" s="15" t="s">
        <v>730</v>
      </c>
      <c r="I176" s="15">
        <v>42634.524756944447</v>
      </c>
      <c r="J176" s="7">
        <v>0</v>
      </c>
      <c r="K176" s="121" t="str">
        <f t="shared" si="50"/>
        <v>4043/4044</v>
      </c>
      <c r="L176" s="24" t="str">
        <f>VLOOKUP(A176,'Trips&amp;Operators'!$C$1:$E$10000,3,FALSE)</f>
        <v>GEBRETEKLE</v>
      </c>
      <c r="M176" s="6">
        <f t="shared" si="51"/>
        <v>9.976851855753921E-3</v>
      </c>
      <c r="N176" s="7">
        <f t="shared" si="66"/>
        <v>14.366666672285646</v>
      </c>
      <c r="O176" s="7"/>
      <c r="P176" s="7"/>
      <c r="Q176" s="25"/>
      <c r="R176" s="25"/>
      <c r="S176" s="37">
        <f t="shared" si="52"/>
        <v>1</v>
      </c>
      <c r="T176" s="52" t="str">
        <f t="shared" si="53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11:15:13-0600',mode:absolute,to:'2016-09-21 13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6" s="54" t="str">
        <f t="shared" si="55"/>
        <v>N</v>
      </c>
      <c r="X176" s="168">
        <f t="shared" si="65"/>
        <v>1</v>
      </c>
      <c r="Y176" s="69">
        <f t="shared" si="67"/>
        <v>0.1004</v>
      </c>
      <c r="Z176" s="69">
        <f t="shared" si="63"/>
        <v>5.8987999999999996</v>
      </c>
      <c r="AA176" s="69">
        <f t="shared" si="58"/>
        <v>5.7984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9"/>
        <v>0819-21</v>
      </c>
      <c r="AE176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76" s="96" t="str">
        <f t="shared" si="61"/>
        <v>"C:\Program Files (x86)\AstroGrep\AstroGrep.exe" /spath="%USERPROFILE%\AppData\Local\Temp\OnboardLogs" /stypes="app*4044*20160921*" /stext=" 18:.+((SYSTEM_STATE.+slice.+state.+changed )|(ment ac)|(system.+state.+changed )|(\|lc)|(penalty)|(\[timeout)|(PRM\|1\|D)|(kpr)|(kdp))" /e /r /s</v>
      </c>
      <c r="AG176" s="1" t="str">
        <f t="shared" si="62"/>
        <v>NW</v>
      </c>
      <c r="AH176" s="100" t="str">
        <f t="shared" si="48"/>
        <v>"%USERPROFILE%\Documents\GitHub\eaglep3\Utilities\RefineRTDCRunTimes.py" --tripid 819-21 --locoid 4044 --swversion DE.1.0.7.0 --startMP 204:1004 --initTime 2016-09-21T12:15:13 --startdatetime 2016-09-21T12:21:17 --delay 1 --endMP 300:58988 --enddatetime 2016-09-21T12:35:39 --enforcementcount 0 &gt;&gt;C:\Users\stu\Documents\GitHub\eaglep3-reporting\EC\2016-09-21-refined-times.txt</v>
      </c>
      <c r="AI176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{"issue":{"subject":"","project_id":79,"tracker_id":40,"status_id":1,"priority_id":2,"assigned_to_id":23,"start_date":"2016-09-21","description":"","custom_fields":[{"id":1,"name":"Subdivision","value":"NW"},{"id":4,"name":"Milepost","value":"5.8988"},{"id":17,"name":"Train ID","value":"819-21"},{"id":16,"name":"Locomotive ID","value":"4044"},{"id":130,"name":"Impact","value":""},{"id":150,"name":"Time of Event (Mountain Time)","value":"12:35:39"},{"id":151,"name":"Denver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505</v>
      </c>
      <c r="B177" s="7">
        <v>4043</v>
      </c>
      <c r="C177" s="24" t="s">
        <v>106</v>
      </c>
      <c r="D177" s="24" t="s">
        <v>731</v>
      </c>
      <c r="E177" s="15">
        <v>42634.52652777778</v>
      </c>
      <c r="F177" s="15">
        <v>42634.527916666666</v>
      </c>
      <c r="G177" s="7">
        <v>1</v>
      </c>
      <c r="H177" s="15" t="s">
        <v>314</v>
      </c>
      <c r="I177" s="15">
        <v>42634.538356481484</v>
      </c>
      <c r="J177" s="7">
        <v>0</v>
      </c>
      <c r="K177" s="121" t="str">
        <f t="shared" si="50"/>
        <v>4043/4044</v>
      </c>
      <c r="L177" s="24" t="str">
        <f>VLOOKUP(A177,'Trips&amp;Operators'!$C$1:$E$10000,3,FALSE)</f>
        <v>GEBRETEKLE</v>
      </c>
      <c r="M177" s="6">
        <f t="shared" si="51"/>
        <v>1.0439814817800652E-2</v>
      </c>
      <c r="N177" s="7">
        <f t="shared" si="66"/>
        <v>15.033333337632939</v>
      </c>
      <c r="O177" s="7"/>
      <c r="P177" s="7"/>
      <c r="Q177" s="25"/>
      <c r="R177" s="25"/>
      <c r="S177" s="37">
        <f t="shared" si="52"/>
        <v>1</v>
      </c>
      <c r="T177" s="52" t="str">
        <f t="shared" si="53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11:38:12-0600',mode:absolute,to:'2016-09-21 13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7" s="54" t="str">
        <f t="shared" si="55"/>
        <v>N</v>
      </c>
      <c r="X177" s="168">
        <f t="shared" si="65"/>
        <v>1</v>
      </c>
      <c r="Y177" s="69">
        <f t="shared" si="67"/>
        <v>5.8677000000000001</v>
      </c>
      <c r="Z177" s="69">
        <f t="shared" si="63"/>
        <v>6.9099999999999995E-2</v>
      </c>
      <c r="AA177" s="69">
        <f t="shared" si="58"/>
        <v>5.7986000000000004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9"/>
        <v>0820-21</v>
      </c>
      <c r="AE177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77" s="96" t="str">
        <f t="shared" si="61"/>
        <v>"C:\Program Files (x86)\AstroGrep\AstroGrep.exe" /spath="%USERPROFILE%\AppData\Local\Temp\OnboardLogs" /stypes="app*4043*20160921*" /stext=" 18:.+((SYSTEM_STATE.+slice.+state.+changed )|(ment ac)|(system.+state.+changed )|(\|lc)|(penalty)|(\[timeout)|(PRM\|1\|D)|(kpr)|(kdp))" /e /r /s</v>
      </c>
      <c r="AG177" s="1" t="str">
        <f t="shared" si="62"/>
        <v>NW</v>
      </c>
      <c r="AH177" s="100" t="str">
        <f t="shared" si="48"/>
        <v>"%USERPROFILE%\Documents\GitHub\eaglep3\Utilities\RefineRTDCRunTimes.py" --tripid 820-21 --locoid 4043 --swversion DE.1.0.7.0 --startMP 300:58677 --initTime 2016-09-21T12:38:12 --startdatetime 2016-09-21T12:40:12 --delay 1 --endMP 204:691 --enddatetime 2016-09-21T12:55:14 --enforcementcount 0 &gt;&gt;C:\Users\stu\Documents\GitHub\eaglep3-reporting\EC\2016-09-21-refined-times.txt</v>
      </c>
      <c r="AI177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{"issue":{"subject":"","project_id":79,"tracker_id":40,"status_id":1,"priority_id":2,"assigned_to_id":23,"start_date":"2016-09-21","description":"","custom_fields":[{"id":1,"name":"Subdivision","value":"NW"},{"id":4,"name":"Milepost","value":"0.0691"},{"id":17,"name":"Train ID","value":"820-21"},{"id":16,"name":"Locomotive ID","value":"4043"},{"id":130,"name":"Impact","value":""},{"id":150,"name":"Time of Event (Mountain Time)","value":"12:55:14"},{"id":151,"name":"Denver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511</v>
      </c>
      <c r="B178" s="7">
        <v>4044</v>
      </c>
      <c r="C178" s="24" t="s">
        <v>106</v>
      </c>
      <c r="D178" s="24" t="s">
        <v>732</v>
      </c>
      <c r="E178" s="15">
        <v>42634.546793981484</v>
      </c>
      <c r="F178" s="15">
        <v>42634.556516203702</v>
      </c>
      <c r="G178" s="7">
        <v>1</v>
      </c>
      <c r="H178" s="15" t="s">
        <v>727</v>
      </c>
      <c r="I178" s="15">
        <v>42634.567048611112</v>
      </c>
      <c r="J178" s="7">
        <v>0</v>
      </c>
      <c r="K178" s="121" t="str">
        <f t="shared" si="50"/>
        <v>4043/4044</v>
      </c>
      <c r="L178" s="24" t="str">
        <f>VLOOKUP(A178,'Trips&amp;Operators'!$C$1:$E$10000,3,FALSE)</f>
        <v>MOSES</v>
      </c>
      <c r="M178" s="6">
        <f t="shared" si="51"/>
        <v>1.0532407410209998E-2</v>
      </c>
      <c r="N178" s="7">
        <f t="shared" si="66"/>
        <v>15.166666670702398</v>
      </c>
      <c r="O178" s="7"/>
      <c r="P178" s="7"/>
      <c r="Q178" s="25"/>
      <c r="R178" s="25"/>
      <c r="S178" s="37">
        <f t="shared" si="52"/>
        <v>1</v>
      </c>
      <c r="T178" s="52" t="str">
        <f t="shared" si="53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12:07:23-0600',mode:absolute,to:'2016-09-21 14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78" s="54" t="str">
        <f t="shared" si="55"/>
        <v>N</v>
      </c>
      <c r="X178" s="168">
        <f t="shared" si="65"/>
        <v>1</v>
      </c>
      <c r="Y178" s="69">
        <f t="shared" si="67"/>
        <v>9.8799999999999999E-2</v>
      </c>
      <c r="Z178" s="69">
        <f t="shared" si="63"/>
        <v>5.8983999999999996</v>
      </c>
      <c r="AA178" s="69">
        <f t="shared" si="58"/>
        <v>5.7995999999999999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9"/>
        <v>0821-21</v>
      </c>
      <c r="AE178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78" s="96" t="str">
        <f t="shared" si="61"/>
        <v>"C:\Program Files (x86)\AstroGrep\AstroGrep.exe" /spath="%USERPROFILE%\AppData\Local\Temp\OnboardLogs" /stypes="app*4044*20160921*" /stext=" 19:.+((SYSTEM_STATE.+slice.+state.+changed )|(ment ac)|(system.+state.+changed )|(\|lc)|(penalty)|(\[timeout)|(PRM\|1\|D)|(kpr)|(kdp))" /e /r /s</v>
      </c>
      <c r="AG178" s="1" t="str">
        <f t="shared" si="62"/>
        <v>NW</v>
      </c>
      <c r="AH178" s="100" t="str">
        <f t="shared" si="48"/>
        <v>"%USERPROFILE%\Documents\GitHub\eaglep3\Utilities\RefineRTDCRunTimes.py" --tripid 821-21 --locoid 4044 --swversion DE.1.0.7.0 --startMP 204:988 --initTime 2016-09-21T13:07:23 --startdatetime 2016-09-21T13:21:23 --delay 1 --endMP 300:58984 --enddatetime 2016-09-21T13:36:33 --enforcementcount 0 &gt;&gt;C:\Users\stu\Documents\GitHub\eaglep3-reporting\EC\2016-09-21-refined-times.txt</v>
      </c>
      <c r="AI178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{"issue":{"subject":"","project_id":79,"tracker_id":40,"status_id":1,"priority_id":2,"assigned_to_id":23,"start_date":"2016-09-21","description":"","custom_fields":[{"id":1,"name":"Subdivision","value":"NW"},{"id":4,"name":"Milepost","value":"5.8984"},{"id":17,"name":"Train ID","value":"821-21"},{"id":16,"name":"Locomotive ID","value":"4044"},{"id":130,"name":"Impact","value":""},{"id":150,"name":"Time of Event (Mountain Time)","value":"13:36:33"},{"id":151,"name":"Denver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516</v>
      </c>
      <c r="B179" s="7">
        <v>4043</v>
      </c>
      <c r="C179" s="24" t="s">
        <v>106</v>
      </c>
      <c r="D179" s="24" t="s">
        <v>733</v>
      </c>
      <c r="E179" s="15">
        <v>42634.56832175926</v>
      </c>
      <c r="F179" s="15">
        <v>42634.569976851853</v>
      </c>
      <c r="G179" s="7">
        <v>1</v>
      </c>
      <c r="H179" s="15" t="s">
        <v>734</v>
      </c>
      <c r="I179" s="15">
        <v>42634.580324074072</v>
      </c>
      <c r="J179" s="7">
        <v>0</v>
      </c>
      <c r="K179" s="121" t="str">
        <f t="shared" si="50"/>
        <v>4043/4044</v>
      </c>
      <c r="L179" s="24" t="str">
        <f>VLOOKUP(A179,'Trips&amp;Operators'!$C$1:$E$10000,3,FALSE)</f>
        <v>MOSES</v>
      </c>
      <c r="M179" s="6">
        <f t="shared" si="51"/>
        <v>1.0347222218115348E-2</v>
      </c>
      <c r="N179" s="7">
        <f t="shared" si="66"/>
        <v>14.899999994086102</v>
      </c>
      <c r="O179" s="7"/>
      <c r="P179" s="7"/>
      <c r="Q179" s="25"/>
      <c r="R179" s="25"/>
      <c r="S179" s="37">
        <f t="shared" si="52"/>
        <v>1</v>
      </c>
      <c r="T179" s="52" t="str">
        <f t="shared" si="53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12:38:23-0600',mode:absolute,to:'2016-09-21 14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9" s="54" t="str">
        <f t="shared" si="55"/>
        <v>N</v>
      </c>
      <c r="X179" s="168">
        <f t="shared" si="65"/>
        <v>1</v>
      </c>
      <c r="Y179" s="69">
        <f t="shared" si="67"/>
        <v>5.8659999999999997</v>
      </c>
      <c r="Z179" s="69">
        <f t="shared" si="63"/>
        <v>6.4899999999999999E-2</v>
      </c>
      <c r="AA179" s="69">
        <f t="shared" si="58"/>
        <v>5.8010999999999999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9"/>
        <v>0822-21</v>
      </c>
      <c r="AE179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79" s="96" t="str">
        <f t="shared" si="61"/>
        <v>"C:\Program Files (x86)\AstroGrep\AstroGrep.exe" /spath="%USERPROFILE%\AppData\Local\Temp\OnboardLogs" /stypes="app*4043*20160921*" /stext=" 19:.+((SYSTEM_STATE.+slice.+state.+changed )|(ment ac)|(system.+state.+changed )|(\|lc)|(penalty)|(\[timeout)|(PRM\|1\|D)|(kpr)|(kdp))" /e /r /s</v>
      </c>
      <c r="AG179" s="1" t="str">
        <f t="shared" si="62"/>
        <v>NW</v>
      </c>
      <c r="AH179" s="100" t="str">
        <f t="shared" si="48"/>
        <v>"%USERPROFILE%\Documents\GitHub\eaglep3\Utilities\RefineRTDCRunTimes.py" --tripid 822-21 --locoid 4043 --swversion DE.1.0.7.0 --startMP 300:58660 --initTime 2016-09-21T13:38:23 --startdatetime 2016-09-21T13:40:46 --delay 1 --endMP 204:649 --enddatetime 2016-09-21T13:55:40 --enforcementcount 0 &gt;&gt;C:\Users\stu\Documents\GitHub\eaglep3-reporting\EC\2016-09-21-refined-times.txt</v>
      </c>
      <c r="AI179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{"issue":{"subject":"","project_id":79,"tracker_id":40,"status_id":1,"priority_id":2,"assigned_to_id":23,"start_date":"2016-09-21","description":"","custom_fields":[{"id":1,"name":"Subdivision","value":"NW"},{"id":4,"name":"Milepost","value":"0.0649"},{"id":17,"name":"Train ID","value":"822-21"},{"id":16,"name":"Locomotive ID","value":"4043"},{"id":130,"name":"Impact","value":""},{"id":150,"name":"Time of Event (Mountain Time)","value":"13:55:40"},{"id":151,"name":"Denver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523</v>
      </c>
      <c r="B180" s="7">
        <v>4044</v>
      </c>
      <c r="C180" s="24" t="s">
        <v>106</v>
      </c>
      <c r="D180" s="24" t="s">
        <v>735</v>
      </c>
      <c r="E180" s="15">
        <v>42634.593368055554</v>
      </c>
      <c r="F180" s="15">
        <v>42634.598182870373</v>
      </c>
      <c r="G180" s="7">
        <v>1</v>
      </c>
      <c r="H180" s="15" t="s">
        <v>736</v>
      </c>
      <c r="I180" s="15">
        <v>42634.60796296296</v>
      </c>
      <c r="J180" s="7">
        <v>0</v>
      </c>
      <c r="K180" s="121" t="str">
        <f t="shared" si="50"/>
        <v>4043/4044</v>
      </c>
      <c r="L180" s="24" t="str">
        <f>VLOOKUP(A180,'Trips&amp;Operators'!$C$1:$E$10000,3,FALSE)</f>
        <v>MOSES</v>
      </c>
      <c r="M180" s="6">
        <f t="shared" si="51"/>
        <v>9.7800925868796185E-3</v>
      </c>
      <c r="N180" s="7">
        <f t="shared" si="66"/>
        <v>14.083333325106651</v>
      </c>
      <c r="O180" s="7"/>
      <c r="P180" s="7"/>
      <c r="Q180" s="25"/>
      <c r="R180" s="25"/>
      <c r="S180" s="37">
        <f t="shared" si="52"/>
        <v>1</v>
      </c>
      <c r="T180" s="52" t="str">
        <f t="shared" si="53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13:14:27-0600',mode:absolute,to:'2016-09-21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0" s="54" t="str">
        <f t="shared" si="55"/>
        <v>N</v>
      </c>
      <c r="X180" s="168">
        <f t="shared" si="65"/>
        <v>1</v>
      </c>
      <c r="Y180" s="69">
        <f t="shared" si="67"/>
        <v>9.4799999999999995E-2</v>
      </c>
      <c r="Z180" s="69">
        <f t="shared" ref="Z180:Z189" si="68">RIGHT(H180,LEN(H180)-4)/10000</f>
        <v>5.9001000000000001</v>
      </c>
      <c r="AA180" s="69">
        <f t="shared" si="58"/>
        <v>5.8052999999999999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9"/>
        <v>0823-21</v>
      </c>
      <c r="AE180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80" s="96" t="str">
        <f t="shared" si="61"/>
        <v>"C:\Program Files (x86)\AstroGrep\AstroGrep.exe" /spath="%USERPROFILE%\AppData\Local\Temp\OnboardLogs" /stypes="app*4044*20160921*" /stext=" 20:.+((SYSTEM_STATE.+slice.+state.+changed )|(ment ac)|(system.+state.+changed )|(\|lc)|(penalty)|(\[timeout)|(PRM\|1\|D)|(kpr)|(kdp))" /e /r /s</v>
      </c>
      <c r="AG180" s="1" t="str">
        <f t="shared" si="62"/>
        <v>NW</v>
      </c>
      <c r="AH180" s="100" t="str">
        <f t="shared" si="48"/>
        <v>"%USERPROFILE%\Documents\GitHub\eaglep3\Utilities\RefineRTDCRunTimes.py" --tripid 823-21 --locoid 4044 --swversion DE.1.0.7.0 --startMP 204:948 --initTime 2016-09-21T14:14:27 --startdatetime 2016-09-21T14:21:23 --delay 1 --endMP 300:59001 --enddatetime 2016-09-21T14:35:28 --enforcementcount 0 &gt;&gt;C:\Users\stu\Documents\GitHub\eaglep3-reporting\EC\2016-09-21-refined-times.txt</v>
      </c>
      <c r="AI180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{"issue":{"subject":"","project_id":79,"tracker_id":40,"status_id":1,"priority_id":2,"assigned_to_id":23,"start_date":"2016-09-21","description":"","custom_fields":[{"id":1,"name":"Subdivision","value":"NW"},{"id":4,"name":"Milepost","value":"5.9001"},{"id":17,"name":"Train ID","value":"823-21"},{"id":16,"name":"Locomotive ID","value":"4044"},{"id":130,"name":"Impact","value":""},{"id":150,"name":"Time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526</v>
      </c>
      <c r="B181" s="7">
        <v>4043</v>
      </c>
      <c r="C181" s="24" t="s">
        <v>106</v>
      </c>
      <c r="D181" s="24" t="s">
        <v>737</v>
      </c>
      <c r="E181" s="15">
        <v>42634.609236111108</v>
      </c>
      <c r="F181" s="15">
        <v>42634.611030092594</v>
      </c>
      <c r="G181" s="7">
        <v>1</v>
      </c>
      <c r="H181" s="15" t="s">
        <v>738</v>
      </c>
      <c r="I181" s="15">
        <v>42634.621851851851</v>
      </c>
      <c r="J181" s="7">
        <v>0</v>
      </c>
      <c r="K181" s="121" t="str">
        <f t="shared" si="50"/>
        <v>4043/4044</v>
      </c>
      <c r="L181" s="24" t="str">
        <f>VLOOKUP(A181,'Trips&amp;Operators'!$C$1:$E$10000,3,FALSE)</f>
        <v>MOSES</v>
      </c>
      <c r="M181" s="6">
        <f t="shared" si="51"/>
        <v>1.0821759256941732E-2</v>
      </c>
      <c r="N181" s="7">
        <f t="shared" si="66"/>
        <v>15.583333329996094</v>
      </c>
      <c r="O181" s="7"/>
      <c r="P181" s="7"/>
      <c r="Q181" s="25"/>
      <c r="R181" s="25"/>
      <c r="S181" s="37">
        <f t="shared" si="52"/>
        <v>1</v>
      </c>
      <c r="T181" s="52" t="str">
        <f t="shared" si="53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13:37:18-0600',mode:absolute,to:'2016-09-21 15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1" s="54" t="str">
        <f t="shared" si="55"/>
        <v>N</v>
      </c>
      <c r="X181" s="168">
        <f t="shared" si="65"/>
        <v>1</v>
      </c>
      <c r="Y181" s="69">
        <f t="shared" si="67"/>
        <v>5.8688000000000002</v>
      </c>
      <c r="Z181" s="69">
        <f t="shared" si="68"/>
        <v>6.3299999999999995E-2</v>
      </c>
      <c r="AA181" s="69">
        <f t="shared" si="58"/>
        <v>5.8055000000000003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9"/>
        <v>0824-21</v>
      </c>
      <c r="AE181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81" s="96" t="str">
        <f t="shared" si="61"/>
        <v>"C:\Program Files (x86)\AstroGrep\AstroGrep.exe" /spath="%USERPROFILE%\AppData\Local\Temp\OnboardLogs" /stypes="app*4043*20160921*" /stext=" 20:.+((SYSTEM_STATE.+slice.+state.+changed )|(ment ac)|(system.+state.+changed )|(\|lc)|(penalty)|(\[timeout)|(PRM\|1\|D)|(kpr)|(kdp))" /e /r /s</v>
      </c>
      <c r="AG181" s="1" t="str">
        <f t="shared" si="62"/>
        <v>NW</v>
      </c>
      <c r="AH181" s="100" t="str">
        <f t="shared" si="48"/>
        <v>"%USERPROFILE%\Documents\GitHub\eaglep3\Utilities\RefineRTDCRunTimes.py" --tripid 824-21 --locoid 4043 --swversion DE.1.0.7.0 --startMP 300:58688 --initTime 2016-09-21T14:37:18 --startdatetime 2016-09-21T14:39:53 --delay 1 --endMP 204:633 --enddatetime 2016-09-21T14:55:28 --enforcementcount 0 &gt;&gt;C:\Users\stu\Documents\GitHub\eaglep3-reporting\EC\2016-09-21-refined-times.txt</v>
      </c>
      <c r="AI181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{"issue":{"subject":"","project_id":79,"tracker_id":40,"status_id":1,"priority_id":2,"assigned_to_id":23,"start_date":"2016-09-21","description":"","custom_fields":[{"id":1,"name":"Subdivision","value":"NW"},{"id":4,"name":"Milepost","value":"0.0633"},{"id":17,"name":"Train ID","value":"824-21"},{"id":16,"name":"Locomotive ID","value":"4043"},{"id":130,"name":"Impact","value":""},{"id":150,"name":"Time of Event (Mountain Time)","value":"14:55:28"},{"id":151,"name":"Denver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532</v>
      </c>
      <c r="B182" s="7">
        <v>4044</v>
      </c>
      <c r="C182" s="24" t="s">
        <v>106</v>
      </c>
      <c r="D182" s="24" t="s">
        <v>739</v>
      </c>
      <c r="E182" s="15">
        <v>42634.632592592592</v>
      </c>
      <c r="F182" s="15">
        <v>42634.639814814815</v>
      </c>
      <c r="G182" s="7">
        <v>1</v>
      </c>
      <c r="H182" s="15" t="s">
        <v>740</v>
      </c>
      <c r="I182" s="15">
        <v>42634.649791666663</v>
      </c>
      <c r="J182" s="7">
        <v>0</v>
      </c>
      <c r="K182" s="121" t="str">
        <f t="shared" si="50"/>
        <v>4043/4044</v>
      </c>
      <c r="L182" s="24" t="str">
        <f>VLOOKUP(A182,'Trips&amp;Operators'!$C$1:$E$10000,3,FALSE)</f>
        <v>MOSES</v>
      </c>
      <c r="M182" s="6">
        <f t="shared" si="51"/>
        <v>9.9768518484779634E-3</v>
      </c>
      <c r="N182" s="7">
        <f t="shared" si="66"/>
        <v>14.366666661808267</v>
      </c>
      <c r="O182" s="7"/>
      <c r="P182" s="7"/>
      <c r="Q182" s="25"/>
      <c r="R182" s="25"/>
      <c r="S182" s="37">
        <f t="shared" si="52"/>
        <v>1</v>
      </c>
      <c r="T182" s="52" t="str">
        <f t="shared" si="53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14:10:56-0600',mode:absolute,to:'2016-09-21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2" s="54" t="str">
        <f t="shared" si="55"/>
        <v>N</v>
      </c>
      <c r="X182" s="168">
        <f t="shared" si="65"/>
        <v>1</v>
      </c>
      <c r="Y182" s="69">
        <f t="shared" si="67"/>
        <v>9.2999999999999999E-2</v>
      </c>
      <c r="Z182" s="69">
        <f t="shared" si="68"/>
        <v>5.8993000000000002</v>
      </c>
      <c r="AA182" s="69">
        <f t="shared" si="58"/>
        <v>5.8063000000000002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9"/>
        <v>0825-21</v>
      </c>
      <c r="AE182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82" s="96" t="str">
        <f t="shared" si="61"/>
        <v>"C:\Program Files (x86)\AstroGrep\AstroGrep.exe" /spath="%USERPROFILE%\AppData\Local\Temp\OnboardLogs" /stypes="app*4044*20160921*" /stext=" 21:.+((SYSTEM_STATE.+slice.+state.+changed )|(ment ac)|(system.+state.+changed )|(\|lc)|(penalty)|(\[timeout)|(PRM\|1\|D)|(kpr)|(kdp))" /e /r /s</v>
      </c>
      <c r="AG182" s="1" t="str">
        <f t="shared" si="62"/>
        <v>NW</v>
      </c>
      <c r="AH182" s="100" t="str">
        <f t="shared" si="48"/>
        <v>"%USERPROFILE%\Documents\GitHub\eaglep3\Utilities\RefineRTDCRunTimes.py" --tripid 825-21 --locoid 4044 --swversion DE.1.0.7.0 --startMP 204:930 --initTime 2016-09-21T15:10:56 --startdatetime 2016-09-21T15:21:20 --delay 1 --endMP 300:58993 --enddatetime 2016-09-21T15:35:42 --enforcementcount 0 &gt;&gt;C:\Users\stu\Documents\GitHub\eaglep3-reporting\EC\2016-09-21-refined-times.txt</v>
      </c>
      <c r="AI182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{"issue":{"subject":"","project_id":79,"tracker_id":40,"status_id":1,"priority_id":2,"assigned_to_id":23,"start_date":"2016-09-21","description":"","custom_fields":[{"id":1,"name":"Subdivision","value":"NW"},{"id":4,"name":"Milepost","value":"5.8993"},{"id":17,"name":"Train ID","value":"825-21"},{"id":16,"name":"Locomotive ID","value":"4044"},{"id":130,"name":"Impact","value":""},{"id":150,"name":"Time of Event (Mountain Time)","value":"15:35:42"},{"id":151,"name":"Denver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538</v>
      </c>
      <c r="B183" s="7">
        <v>4043</v>
      </c>
      <c r="C183" s="24" t="s">
        <v>106</v>
      </c>
      <c r="D183" s="24" t="s">
        <v>718</v>
      </c>
      <c r="E183" s="15">
        <v>42634.651805555557</v>
      </c>
      <c r="F183" s="15">
        <v>42634.653356481482</v>
      </c>
      <c r="G183" s="7">
        <v>1</v>
      </c>
      <c r="H183" s="15" t="s">
        <v>741</v>
      </c>
      <c r="I183" s="15">
        <v>42634.664375</v>
      </c>
      <c r="J183" s="7">
        <v>0</v>
      </c>
      <c r="K183" s="121" t="str">
        <f t="shared" si="50"/>
        <v>4043/4044</v>
      </c>
      <c r="L183" s="24" t="str">
        <f>VLOOKUP(A183,'Trips&amp;Operators'!$C$1:$E$10000,3,FALSE)</f>
        <v>MOSES</v>
      </c>
      <c r="M183" s="6">
        <f t="shared" si="51"/>
        <v>1.1018518518540077E-2</v>
      </c>
      <c r="N183" s="7">
        <f t="shared" si="66"/>
        <v>15.866666666697711</v>
      </c>
      <c r="O183" s="7"/>
      <c r="P183" s="7"/>
      <c r="Q183" s="25"/>
      <c r="R183" s="25"/>
      <c r="S183" s="37">
        <f t="shared" si="52"/>
        <v>1</v>
      </c>
      <c r="T183" s="52" t="str">
        <f t="shared" si="53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14:38:36-0600',mode:absolute,to:'2016-09-21 16:56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3" s="54" t="str">
        <f t="shared" si="55"/>
        <v>N</v>
      </c>
      <c r="X183" s="168">
        <f t="shared" si="65"/>
        <v>1</v>
      </c>
      <c r="Y183" s="69">
        <f t="shared" si="67"/>
        <v>5.8682999999999996</v>
      </c>
      <c r="Z183" s="69">
        <f t="shared" si="68"/>
        <v>6.2799999999999995E-2</v>
      </c>
      <c r="AA183" s="69">
        <f t="shared" si="58"/>
        <v>5.8054999999999994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9"/>
        <v>0826-21</v>
      </c>
      <c r="AE183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83" s="96" t="str">
        <f t="shared" si="61"/>
        <v>"C:\Program Files (x86)\AstroGrep\AstroGrep.exe" /spath="%USERPROFILE%\AppData\Local\Temp\OnboardLogs" /stypes="app*4043*20160921*" /stext=" 21:.+((SYSTEM_STATE.+slice.+state.+changed )|(ment ac)|(system.+state.+changed )|(\|lc)|(penalty)|(\[timeout)|(PRM\|1\|D)|(kpr)|(kdp))" /e /r /s</v>
      </c>
      <c r="AG183" s="1" t="str">
        <f t="shared" si="62"/>
        <v>NW</v>
      </c>
      <c r="AH183" s="100" t="str">
        <f t="shared" si="48"/>
        <v>"%USERPROFILE%\Documents\GitHub\eaglep3\Utilities\RefineRTDCRunTimes.py" --tripid 826-21 --locoid 4043 --swversion DE.1.0.7.0 --startMP 300:58683 --initTime 2016-09-21T15:38:36 --startdatetime 2016-09-21T15:40:50 --delay 1 --endMP 204:628 --enddatetime 2016-09-21T15:56:42 --enforcementcount 0 &gt;&gt;C:\Users\stu\Documents\GitHub\eaglep3-reporting\EC\2016-09-21-refined-times.txt</v>
      </c>
      <c r="AI183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{"issue":{"subject":"","project_id":79,"tracker_id":40,"status_id":1,"priority_id":2,"assigned_to_id":23,"start_date":"2016-09-21","description":"","custom_fields":[{"id":1,"name":"Subdivision","value":"NW"},{"id":4,"name":"Milepost","value":"0.0628"},{"id":17,"name":"Train ID","value":"826-21"},{"id":16,"name":"Locomotive ID","value":"4043"},{"id":130,"name":"Impact","value":""},{"id":150,"name":"Time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537</v>
      </c>
      <c r="B184" s="7">
        <v>4031</v>
      </c>
      <c r="C184" s="24" t="s">
        <v>106</v>
      </c>
      <c r="D184" s="24" t="s">
        <v>382</v>
      </c>
      <c r="E184" s="15">
        <v>42634.649548611109</v>
      </c>
      <c r="F184" s="15">
        <v>42634.660613425927</v>
      </c>
      <c r="G184" s="7">
        <v>1</v>
      </c>
      <c r="H184" s="15" t="s">
        <v>742</v>
      </c>
      <c r="I184" s="15">
        <v>42634.670601851853</v>
      </c>
      <c r="J184" s="7">
        <v>0</v>
      </c>
      <c r="K184" s="121" t="str">
        <f t="shared" si="50"/>
        <v>4031/4032</v>
      </c>
      <c r="L184" s="24" t="str">
        <f>VLOOKUP(A184,'Trips&amp;Operators'!$C$1:$E$10000,3,FALSE)</f>
        <v>LEVERE</v>
      </c>
      <c r="M184" s="6">
        <f t="shared" si="51"/>
        <v>9.9884259252576157E-3</v>
      </c>
      <c r="N184" s="7">
        <f t="shared" si="66"/>
        <v>14.383333332370967</v>
      </c>
      <c r="O184" s="7"/>
      <c r="P184" s="7"/>
      <c r="Q184" s="25"/>
      <c r="R184" s="25"/>
      <c r="S184" s="37">
        <f t="shared" si="52"/>
        <v>1</v>
      </c>
      <c r="T184" s="52" t="str">
        <f t="shared" si="53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14:35:21-0600',mode:absolute,to:'2016-09-21 17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4" s="54" t="str">
        <f t="shared" si="55"/>
        <v>N</v>
      </c>
      <c r="X184" s="168">
        <f t="shared" si="65"/>
        <v>1</v>
      </c>
      <c r="Y184" s="69">
        <f t="shared" si="67"/>
        <v>9.6699999999999994E-2</v>
      </c>
      <c r="Z184" s="69">
        <f t="shared" si="68"/>
        <v>5.8954000000000004</v>
      </c>
      <c r="AA184" s="69">
        <f t="shared" si="58"/>
        <v>5.7987000000000002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9"/>
        <v>0827-21</v>
      </c>
      <c r="AE184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84" s="96" t="str">
        <f t="shared" si="61"/>
        <v>"C:\Program Files (x86)\AstroGrep\AstroGrep.exe" /spath="%USERPROFILE%\AppData\Local\Temp\OnboardLogs" /stypes="app*4031*20160921*" /stext=" 22:.+((SYSTEM_STATE.+slice.+state.+changed )|(ment ac)|(system.+state.+changed )|(\|lc)|(penalty)|(\[timeout)|(PRM\|1\|D)|(kpr)|(kdp))" /e /r /s</v>
      </c>
      <c r="AG184" s="1" t="str">
        <f t="shared" si="62"/>
        <v>NW</v>
      </c>
      <c r="AH184" s="100" t="str">
        <f t="shared" si="48"/>
        <v>"%USERPROFILE%\Documents\GitHub\eaglep3\Utilities\RefineRTDCRunTimes.py" --tripid 827-21 --locoid 4031 --swversion DE.1.0.7.0 --startMP 204:967 --initTime 2016-09-21T15:35:21 --startdatetime 2016-09-21T15:51:17 --delay 1 --endMP 300:58954 --enddatetime 2016-09-21T16:05:40 --enforcementcount 0 &gt;&gt;C:\Users\stu\Documents\GitHub\eaglep3-reporting\EC\2016-09-21-refined-times.txt</v>
      </c>
      <c r="AI184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{"issue":{"subject":"","project_id":79,"tracker_id":40,"status_id":1,"priority_id":2,"assigned_to_id":23,"start_date":"2016-09-21","description":"","custom_fields":[{"id":1,"name":"Subdivision","value":"NW"},{"id":4,"name":"Milepost","value":"5.8954"},{"id":17,"name":"Train ID","value":"827-21"},{"id":16,"name":"Locomotive ID","value":"4031"},{"id":130,"name":"Impact","value":""},{"id":150,"name":"Time of Event (Mountain Time)","value":"16:05:40"},{"id":151,"name":"Denver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543</v>
      </c>
      <c r="B185" s="7">
        <v>4032</v>
      </c>
      <c r="C185" s="24" t="s">
        <v>106</v>
      </c>
      <c r="D185" s="24" t="s">
        <v>725</v>
      </c>
      <c r="E185" s="15">
        <v>42634.671805555554</v>
      </c>
      <c r="F185" s="15">
        <v>42634.67328703704</v>
      </c>
      <c r="G185" s="7">
        <v>1</v>
      </c>
      <c r="H185" s="15" t="s">
        <v>726</v>
      </c>
      <c r="I185" s="15">
        <v>42634.685046296298</v>
      </c>
      <c r="J185" s="7">
        <v>0</v>
      </c>
      <c r="K185" s="121" t="str">
        <f t="shared" si="50"/>
        <v>4031/4032</v>
      </c>
      <c r="L185" s="24" t="str">
        <f>VLOOKUP(A185,'Trips&amp;Operators'!$C$1:$E$10000,3,FALSE)</f>
        <v>LEVERE</v>
      </c>
      <c r="M185" s="6">
        <f t="shared" si="51"/>
        <v>1.1759259257814847E-2</v>
      </c>
      <c r="N185" s="7">
        <f t="shared" si="66"/>
        <v>16.93333333125338</v>
      </c>
      <c r="O185" s="7"/>
      <c r="P185" s="7"/>
      <c r="Q185" s="25"/>
      <c r="R185" s="25"/>
      <c r="S185" s="37">
        <f t="shared" si="52"/>
        <v>1</v>
      </c>
      <c r="T185" s="52" t="str">
        <f t="shared" si="53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15:07:24-0600',mode:absolute,to:'2016-09-21 17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5" s="54" t="str">
        <f t="shared" si="55"/>
        <v>N</v>
      </c>
      <c r="X185" s="168">
        <f t="shared" si="65"/>
        <v>1</v>
      </c>
      <c r="Y185" s="69">
        <f t="shared" si="67"/>
        <v>5.8648999999999996</v>
      </c>
      <c r="Z185" s="69">
        <f t="shared" si="68"/>
        <v>6.8000000000000005E-2</v>
      </c>
      <c r="AA185" s="69">
        <f t="shared" si="58"/>
        <v>5.7968999999999999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9"/>
        <v>0828-21</v>
      </c>
      <c r="AE185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85" s="96" t="str">
        <f t="shared" si="61"/>
        <v>"C:\Program Files (x86)\AstroGrep\AstroGrep.exe" /spath="%USERPROFILE%\AppData\Local\Temp\OnboardLogs" /stypes="app*4032*20160921*" /stext=" 22:.+((SYSTEM_STATE.+slice.+state.+changed )|(ment ac)|(system.+state.+changed )|(\|lc)|(penalty)|(\[timeout)|(PRM\|1\|D)|(kpr)|(kdp))" /e /r /s</v>
      </c>
      <c r="AG185" s="1" t="str">
        <f t="shared" si="62"/>
        <v>NW</v>
      </c>
      <c r="AH185" s="100" t="str">
        <f t="shared" si="48"/>
        <v>"%USERPROFILE%\Documents\GitHub\eaglep3\Utilities\RefineRTDCRunTimes.py" --tripid 828-21 --locoid 4032 --swversion DE.1.0.7.0 --startMP 300:58649 --initTime 2016-09-21T16:07:24 --startdatetime 2016-09-21T16:09:32 --delay 1 --endMP 204:680 --enddatetime 2016-09-21T16:26:28 --enforcementcount 0 &gt;&gt;C:\Users\stu\Documents\GitHub\eaglep3-reporting\EC\2016-09-21-refined-times.txt</v>
      </c>
      <c r="AI185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{"issue":{"subject":"","project_id":79,"tracker_id":40,"status_id":1,"priority_id":2,"assigned_to_id":23,"start_date":"2016-09-21","description":"","custom_fields":[{"id":1,"name":"Subdivision","value":"NW"},{"id":4,"name":"Milepost","value":"0.068"},{"id":17,"name":"Train ID","value":"828-21"},{"id":16,"name":"Locomotive ID","value":"4032"},{"id":130,"name":"Impact","value":""},{"id":150,"name":"Time of Event (Mountain Time)","value":"16:26:28"},{"id":151,"name":"Denver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545</v>
      </c>
      <c r="B186" s="7">
        <v>4044</v>
      </c>
      <c r="C186" s="24" t="s">
        <v>106</v>
      </c>
      <c r="D186" s="24" t="s">
        <v>743</v>
      </c>
      <c r="E186" s="15">
        <v>42634.677615740744</v>
      </c>
      <c r="F186" s="15">
        <v>42634.681504629632</v>
      </c>
      <c r="G186" s="7">
        <v>1</v>
      </c>
      <c r="H186" s="15" t="s">
        <v>744</v>
      </c>
      <c r="I186" s="15">
        <v>42634.691134259258</v>
      </c>
      <c r="J186" s="7">
        <v>0</v>
      </c>
      <c r="K186" s="121" t="str">
        <f t="shared" si="50"/>
        <v>4043/4044</v>
      </c>
      <c r="L186" s="24" t="str">
        <f>VLOOKUP(A186,'Trips&amp;Operators'!$C$1:$E$10000,3,FALSE)</f>
        <v>MOSES</v>
      </c>
      <c r="M186" s="6">
        <f t="shared" si="51"/>
        <v>9.6296296251239255E-3</v>
      </c>
      <c r="N186" s="7">
        <f t="shared" si="66"/>
        <v>13.866666660178453</v>
      </c>
      <c r="O186" s="7"/>
      <c r="P186" s="7"/>
      <c r="Q186" s="25"/>
      <c r="R186" s="25"/>
      <c r="S186" s="37">
        <f t="shared" si="52"/>
        <v>1</v>
      </c>
      <c r="T186" s="52" t="str">
        <f t="shared" si="53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15:15:46-0600',mode:absolute,to:'2016-09-21 17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6" s="54" t="str">
        <f t="shared" si="55"/>
        <v>N</v>
      </c>
      <c r="X186" s="168">
        <f t="shared" si="65"/>
        <v>1</v>
      </c>
      <c r="Y186" s="69">
        <f t="shared" si="67"/>
        <v>9.1999999999999998E-2</v>
      </c>
      <c r="Z186" s="69">
        <f t="shared" si="68"/>
        <v>5.8917999999999999</v>
      </c>
      <c r="AA186" s="69">
        <f t="shared" si="58"/>
        <v>5.7998000000000003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9"/>
        <v>0829-21</v>
      </c>
      <c r="AE186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86" s="96" t="str">
        <f t="shared" si="61"/>
        <v>"C:\Program Files (x86)\AstroGrep\AstroGrep.exe" /spath="%USERPROFILE%\AppData\Local\Temp\OnboardLogs" /stypes="app*4044*20160921*" /stext=" 22:.+((SYSTEM_STATE.+slice.+state.+changed )|(ment ac)|(system.+state.+changed )|(\|lc)|(penalty)|(\[timeout)|(PRM\|1\|D)|(kpr)|(kdp))" /e /r /s</v>
      </c>
      <c r="AG186" s="1" t="str">
        <f t="shared" si="62"/>
        <v>NW</v>
      </c>
      <c r="AH186" s="100" t="str">
        <f t="shared" si="48"/>
        <v>"%USERPROFILE%\Documents\GitHub\eaglep3\Utilities\RefineRTDCRunTimes.py" --tripid 829-21 --locoid 4044 --swversion DE.1.0.7.0 --startMP 204:920 --initTime 2016-09-21T16:15:46 --startdatetime 2016-09-21T16:21:22 --delay 1 --endMP 300:58918 --enddatetime 2016-09-21T16:35:14 --enforcementcount 0 &gt;&gt;C:\Users\stu\Documents\GitHub\eaglep3-reporting\EC\2016-09-21-refined-times.txt</v>
      </c>
      <c r="AI186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{"issue":{"subject":"","project_id":79,"tracker_id":40,"status_id":1,"priority_id":2,"assigned_to_id":23,"start_date":"2016-09-21","description":"","custom_fields":[{"id":1,"name":"Subdivision","value":"NW"},{"id":4,"name":"Milepost","value":"5.8918"},{"id":17,"name":"Train ID","value":"829-21"},{"id":16,"name":"Locomotive ID","value":"4044"},{"id":130,"name":"Impact","value":""},{"id":150,"name":"Time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549</v>
      </c>
      <c r="B187" s="7">
        <v>4043</v>
      </c>
      <c r="C187" s="24" t="s">
        <v>106</v>
      </c>
      <c r="D187" s="24" t="s">
        <v>745</v>
      </c>
      <c r="E187" s="15">
        <v>42634.692546296297</v>
      </c>
      <c r="F187" s="15">
        <v>42634.694374999999</v>
      </c>
      <c r="G187" s="7">
        <v>1</v>
      </c>
      <c r="H187" s="15" t="s">
        <v>746</v>
      </c>
      <c r="I187" s="15">
        <v>42634.706307870372</v>
      </c>
      <c r="J187" s="7">
        <v>0</v>
      </c>
      <c r="K187" s="121" t="str">
        <f t="shared" si="50"/>
        <v>4043/4044</v>
      </c>
      <c r="L187" s="24" t="str">
        <f>VLOOKUP(A187,'Trips&amp;Operators'!$C$1:$E$10000,3,FALSE)</f>
        <v>MOSES</v>
      </c>
      <c r="M187" s="6">
        <f t="shared" si="51"/>
        <v>1.1932870373129845E-2</v>
      </c>
      <c r="N187" s="7">
        <f t="shared" si="66"/>
        <v>17.183333337306976</v>
      </c>
      <c r="O187" s="7"/>
      <c r="P187" s="7"/>
      <c r="Q187" s="25"/>
      <c r="R187" s="25"/>
      <c r="S187" s="37">
        <f t="shared" si="52"/>
        <v>1</v>
      </c>
      <c r="T187" s="52" t="str">
        <f t="shared" si="53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15:37:16-0600',mode:absolute,to:'2016-09-21 17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7" s="54" t="str">
        <f t="shared" si="55"/>
        <v>N</v>
      </c>
      <c r="X187" s="168">
        <f t="shared" si="65"/>
        <v>1</v>
      </c>
      <c r="Y187" s="69">
        <f t="shared" si="67"/>
        <v>5.8604000000000003</v>
      </c>
      <c r="Z187" s="69">
        <f t="shared" si="68"/>
        <v>6.0999999999999999E-2</v>
      </c>
      <c r="AA187" s="69">
        <f t="shared" si="58"/>
        <v>5.7994000000000003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9"/>
        <v>0830-21</v>
      </c>
      <c r="AE187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87" s="96" t="str">
        <f t="shared" si="61"/>
        <v>"C:\Program Files (x86)\AstroGrep\AstroGrep.exe" /spath="%USERPROFILE%\AppData\Local\Temp\OnboardLogs" /stypes="app*4043*20160921*" /stext=" 22:.+((SYSTEM_STATE.+slice.+state.+changed )|(ment ac)|(system.+state.+changed )|(\|lc)|(penalty)|(\[timeout)|(PRM\|1\|D)|(kpr)|(kdp))" /e /r /s</v>
      </c>
      <c r="AG187" s="1" t="str">
        <f t="shared" si="62"/>
        <v>NW</v>
      </c>
      <c r="AH187" s="100" t="str">
        <f t="shared" si="48"/>
        <v>"%USERPROFILE%\Documents\GitHub\eaglep3\Utilities\RefineRTDCRunTimes.py" --tripid 830-21 --locoid 4043 --swversion DE.1.0.7.0 --startMP 300:58604 --initTime 2016-09-21T16:37:16 --startdatetime 2016-09-21T16:39:54 --delay 1 --endMP 204:610 --enddatetime 2016-09-21T16:57:05 --enforcementcount 0 &gt;&gt;C:\Users\stu\Documents\GitHub\eaglep3-reporting\EC\2016-09-21-refined-times.txt</v>
      </c>
      <c r="AI187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{"issue":{"subject":"","project_id":79,"tracker_id":40,"status_id":1,"priority_id":2,"assigned_to_id":23,"start_date":"2016-09-21","description":"","custom_fields":[{"id":1,"name":"Subdivision","value":"NW"},{"id":4,"name":"Milepost","value":"0.061"},{"id":17,"name":"Train ID","value":"830-21"},{"id":16,"name":"Locomotive ID","value":"4043"},{"id":130,"name":"Impact","value":""},{"id":150,"name":"Time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551</v>
      </c>
      <c r="B188" s="7">
        <v>4031</v>
      </c>
      <c r="C188" s="24" t="s">
        <v>106</v>
      </c>
      <c r="D188" s="24" t="s">
        <v>317</v>
      </c>
      <c r="E188" s="15">
        <v>42634.695879629631</v>
      </c>
      <c r="F188" s="15">
        <v>42634.702361111114</v>
      </c>
      <c r="G188" s="7">
        <v>1</v>
      </c>
      <c r="H188" s="15" t="s">
        <v>747</v>
      </c>
      <c r="I188" s="15">
        <v>42634.712581018517</v>
      </c>
      <c r="J188" s="7">
        <v>0</v>
      </c>
      <c r="K188" s="121" t="str">
        <f t="shared" si="50"/>
        <v>4031/4032</v>
      </c>
      <c r="L188" s="24" t="str">
        <f>VLOOKUP(A188,'Trips&amp;Operators'!$C$1:$E$10000,3,FALSE)</f>
        <v>LEVERE</v>
      </c>
      <c r="M188" s="6">
        <f t="shared" si="51"/>
        <v>1.0219907402643003E-2</v>
      </c>
      <c r="N188" s="7">
        <f t="shared" si="66"/>
        <v>14.716666659805924</v>
      </c>
      <c r="O188" s="7"/>
      <c r="P188" s="7"/>
      <c r="Q188" s="25"/>
      <c r="R188" s="25"/>
      <c r="S188" s="37">
        <f t="shared" si="52"/>
        <v>1</v>
      </c>
      <c r="T188" s="52" t="str">
        <f t="shared" si="53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15:42:04-0600',mode:absolute,to:'2016-09-21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88" s="54" t="str">
        <f t="shared" si="55"/>
        <v>N</v>
      </c>
      <c r="X188" s="168">
        <f t="shared" si="65"/>
        <v>1</v>
      </c>
      <c r="Y188" s="69">
        <f t="shared" si="67"/>
        <v>9.74E-2</v>
      </c>
      <c r="Z188" s="69">
        <f t="shared" si="68"/>
        <v>5.8948</v>
      </c>
      <c r="AA188" s="69">
        <f t="shared" si="58"/>
        <v>5.7973999999999997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9"/>
        <v>0831-21</v>
      </c>
      <c r="AE188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88" s="96" t="str">
        <f t="shared" si="61"/>
        <v>"C:\Program Files (x86)\AstroGrep\AstroGrep.exe" /spath="%USERPROFILE%\AppData\Local\Temp\OnboardLogs" /stypes="app*4031*20160921*" /stext=" 23:.+((SYSTEM_STATE.+slice.+state.+changed )|(ment ac)|(system.+state.+changed )|(\|lc)|(penalty)|(\[timeout)|(PRM\|1\|D)|(kpr)|(kdp))" /e /r /s</v>
      </c>
      <c r="AG188" s="1" t="str">
        <f t="shared" si="62"/>
        <v>NW</v>
      </c>
      <c r="AH188" s="100" t="str">
        <f t="shared" si="48"/>
        <v>"%USERPROFILE%\Documents\GitHub\eaglep3\Utilities\RefineRTDCRunTimes.py" --tripid 831-21 --locoid 4031 --swversion DE.1.0.7.0 --startMP 204:974 --initTime 2016-09-21T16:42:04 --startdatetime 2016-09-21T16:51:24 --delay 1 --endMP 300:58948 --enddatetime 2016-09-21T17:06:07 --enforcementcount 0 &gt;&gt;C:\Users\stu\Documents\GitHub\eaglep3-reporting\EC\2016-09-21-refined-times.txt</v>
      </c>
      <c r="AI188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{"issue":{"subject":"","project_id":79,"tracker_id":40,"status_id":1,"priority_id":2,"assigned_to_id":23,"start_date":"2016-09-21","description":"","custom_fields":[{"id":1,"name":"Subdivision","value":"NW"},{"id":4,"name":"Milepost","value":"5.8948"},{"id":17,"name":"Train ID","value":"831-21"},{"id":16,"name":"Locomotive ID","value":"4031"},{"id":130,"name":"Impact","value":""},{"id":150,"name":"Time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556</v>
      </c>
      <c r="B189" s="7">
        <v>4032</v>
      </c>
      <c r="C189" s="24" t="s">
        <v>106</v>
      </c>
      <c r="D189" s="24" t="s">
        <v>385</v>
      </c>
      <c r="E189" s="15">
        <v>42634.714687500003</v>
      </c>
      <c r="F189" s="15">
        <v>42634.716053240743</v>
      </c>
      <c r="G189" s="7">
        <v>1</v>
      </c>
      <c r="H189" s="15" t="s">
        <v>748</v>
      </c>
      <c r="I189" s="15">
        <v>42634.727152777778</v>
      </c>
      <c r="J189" s="7">
        <v>0</v>
      </c>
      <c r="K189" s="121" t="str">
        <f t="shared" si="50"/>
        <v>4031/4032</v>
      </c>
      <c r="L189" s="24" t="str">
        <f>VLOOKUP(A189,'Trips&amp;Operators'!$C$1:$E$10000,3,FALSE)</f>
        <v>LEVERE</v>
      </c>
      <c r="M189" s="6">
        <f t="shared" si="51"/>
        <v>1.1099537034169771E-2</v>
      </c>
      <c r="N189" s="7">
        <f t="shared" si="66"/>
        <v>15.98333332920447</v>
      </c>
      <c r="O189" s="7"/>
      <c r="P189" s="7"/>
      <c r="Q189" s="25"/>
      <c r="R189" s="25"/>
      <c r="S189" s="37">
        <f t="shared" si="52"/>
        <v>1</v>
      </c>
      <c r="T189" s="52" t="str">
        <f t="shared" si="53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16:09:09-0600',mode:absolute,to:'2016-09-21 18:27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9" s="54" t="str">
        <f t="shared" si="55"/>
        <v>N</v>
      </c>
      <c r="X189" s="168">
        <f t="shared" si="65"/>
        <v>1</v>
      </c>
      <c r="Y189" s="69">
        <f t="shared" si="67"/>
        <v>5.8634000000000004</v>
      </c>
      <c r="Z189" s="69">
        <f t="shared" si="68"/>
        <v>6.7000000000000004E-2</v>
      </c>
      <c r="AA189" s="69">
        <f t="shared" si="58"/>
        <v>5.7964000000000002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9"/>
        <v>0832-21</v>
      </c>
      <c r="AE189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89" s="96" t="str">
        <f t="shared" si="61"/>
        <v>"C:\Program Files (x86)\AstroGrep\AstroGrep.exe" /spath="%USERPROFILE%\AppData\Local\Temp\OnboardLogs" /stypes="app*4032*20160921*" /stext=" 23:.+((SYSTEM_STATE.+slice.+state.+changed )|(ment ac)|(system.+state.+changed )|(\|lc)|(penalty)|(\[timeout)|(PRM\|1\|D)|(kpr)|(kdp))" /e /r /s</v>
      </c>
      <c r="AG189" s="1" t="str">
        <f t="shared" si="62"/>
        <v>NW</v>
      </c>
      <c r="AH189" s="100" t="str">
        <f t="shared" si="48"/>
        <v>"%USERPROFILE%\Documents\GitHub\eaglep3\Utilities\RefineRTDCRunTimes.py" --tripid 832-21 --locoid 4032 --swversion DE.1.0.7.0 --startMP 300:58634 --initTime 2016-09-21T17:09:09 --startdatetime 2016-09-21T17:11:07 --delay 1 --endMP 204:670 --enddatetime 2016-09-21T17:27:06 --enforcementcount 0 &gt;&gt;C:\Users\stu\Documents\GitHub\eaglep3-reporting\EC\2016-09-21-refined-times.txt</v>
      </c>
      <c r="AI189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{"issue":{"subject":"","project_id":79,"tracker_id":40,"status_id":1,"priority_id":2,"assigned_to_id":23,"start_date":"2016-09-21","description":"","custom_fields":[{"id":1,"name":"Subdivision","value":"NW"},{"id":4,"name":"Milepost","value":"0.067"},{"id":17,"name":"Train ID","value":"832-21"},{"id":16,"name":"Locomotive ID","value":"4032"},{"id":130,"name":"Impact","value":""},{"id":150,"name":"Time of Event (Mountain Time)","value":"17:27:06"},{"id":151,"name":"Denver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557</v>
      </c>
      <c r="B190" s="7">
        <v>4044</v>
      </c>
      <c r="C190" s="24" t="s">
        <v>106</v>
      </c>
      <c r="D190" s="24" t="s">
        <v>385</v>
      </c>
      <c r="E190" s="15">
        <v>42634.714687500003</v>
      </c>
      <c r="F190" s="15">
        <v>42634.718240740738</v>
      </c>
      <c r="G190" s="7">
        <v>1</v>
      </c>
      <c r="H190" s="15" t="s">
        <v>748</v>
      </c>
      <c r="I190" s="15">
        <v>42634.72011574074</v>
      </c>
      <c r="J190" s="7">
        <v>0</v>
      </c>
      <c r="K190" s="121" t="str">
        <f t="shared" si="50"/>
        <v>4043/4044</v>
      </c>
      <c r="L190" s="24" t="str">
        <f>VLOOKUP(A190,'Trips&amp;Operators'!$C$1:$E$10000,3,FALSE)</f>
        <v>MOSES</v>
      </c>
      <c r="M190" s="6">
        <f t="shared" si="51"/>
        <v>1.8750000017462298E-3</v>
      </c>
      <c r="N190" s="7"/>
      <c r="O190" s="7"/>
      <c r="P190" s="7">
        <f>24*60*SUM($M190:$M190)</f>
        <v>2.700000002514571</v>
      </c>
      <c r="Q190" s="25"/>
      <c r="R190" s="25" t="s">
        <v>771</v>
      </c>
      <c r="S190" s="37">
        <f t="shared" si="52"/>
        <v>0</v>
      </c>
      <c r="T190" s="52" t="str">
        <f t="shared" si="53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16:09:09-0600',mode:absolute,to:'2016-09-21 18:16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0" s="54" t="str">
        <f t="shared" si="55"/>
        <v>Y</v>
      </c>
      <c r="X190" s="168">
        <f t="shared" si="65"/>
        <v>1</v>
      </c>
      <c r="Y190" s="69">
        <v>0.91800000000000004</v>
      </c>
      <c r="Z190" s="69">
        <v>0.91800000000000004</v>
      </c>
      <c r="AA190" s="69">
        <f t="shared" si="58"/>
        <v>0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9"/>
        <v>0833-21</v>
      </c>
      <c r="AE190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90" s="96" t="str">
        <f t="shared" si="61"/>
        <v>"C:\Program Files (x86)\AstroGrep\AstroGrep.exe" /spath="%USERPROFILE%\AppData\Local\Temp\OnboardLogs" /stypes="app*4044*20160921*" /stext=" 23:.+((SYSTEM_STATE.+slice.+state.+changed )|(ment ac)|(system.+state.+changed )|(\|lc)|(penalty)|(\[timeout)|(PRM\|1\|D)|(kpr)|(kdp))" /e /r /s</v>
      </c>
      <c r="AG190" s="1" t="str">
        <f t="shared" si="62"/>
        <v>NW</v>
      </c>
      <c r="AH190" s="100" t="str">
        <f t="shared" ref="AH190" si="69"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833-21 --locoid 4044 --swversion DE.1.0.7.0 --startMP 300:58634 --initTime 2016-09-21T17:09:09 --startdatetime 2016-09-21T17:14:16 --delay 1 --endMP 204:670 --enddatetime 2016-09-21T17:16:58 --enforcementcount 0 &gt;&gt;C:\Users\stu\Documents\GitHub\eaglep3-reporting\EC\2016-09-21-refined-times.txt</v>
      </c>
      <c r="AI190" s="134" t="str">
        <f t="shared" ref="AI190" si="70"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failure","project_id":79,"tracker_id":40,"status_id":1,"priority_id":2,"assigned_to_id":23,"start_date":"2016-09-21","description":"Multiple CPU Faults around 17:17:03","custom_fields":[{"id":1,"name":"Subdivision","value":"NW"},{"id":4,"name":"Milepost","value":"0.918"},{"id":17,"name":"Train ID","value":"833-21"},{"id":16,"name":"Locomotive ID","value":"4044"},{"id":130,"name":"Impact","value":"Failed State"},{"id":150,"name":"Time of Event (Mountain Time)","value":"17:16:58"},{"id":151,"name":"Denver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0" s="55" t="s">
        <v>775</v>
      </c>
      <c r="AK190" s="55" t="s">
        <v>141</v>
      </c>
      <c r="AL190" s="55" t="s">
        <v>248</v>
      </c>
    </row>
    <row r="191" spans="1:38" x14ac:dyDescent="0.25">
      <c r="A191" s="39" t="s">
        <v>563</v>
      </c>
      <c r="B191" s="7">
        <v>4043</v>
      </c>
      <c r="C191" s="24" t="s">
        <v>106</v>
      </c>
      <c r="D191" s="24" t="s">
        <v>731</v>
      </c>
      <c r="E191" s="15">
        <v>42634.737430555557</v>
      </c>
      <c r="F191" s="15">
        <v>42634.739386574074</v>
      </c>
      <c r="G191" s="7">
        <v>1</v>
      </c>
      <c r="H191" s="15" t="s">
        <v>386</v>
      </c>
      <c r="I191" s="15">
        <v>42634.753379629627</v>
      </c>
      <c r="J191" s="7">
        <v>0</v>
      </c>
      <c r="K191" s="121" t="str">
        <f t="shared" si="50"/>
        <v>4043/4044</v>
      </c>
      <c r="L191" s="24" t="str">
        <f>VLOOKUP(A191,'Trips&amp;Operators'!$C$1:$E$10000,3,FALSE)</f>
        <v>MOSES</v>
      </c>
      <c r="M191" s="6">
        <f t="shared" si="51"/>
        <v>1.3993055552418809E-2</v>
      </c>
      <c r="N191" s="7">
        <f t="shared" ref="N191:N221" si="71">24*60*SUM($M191:$M191)</f>
        <v>20.149999995483086</v>
      </c>
      <c r="O191" s="7"/>
      <c r="P191" s="7"/>
      <c r="Q191" s="25"/>
      <c r="R191" s="25"/>
      <c r="S191" s="37">
        <f t="shared" si="52"/>
        <v>1</v>
      </c>
      <c r="T191" s="52" t="str">
        <f t="shared" si="53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16:41:54-0600',mode:absolute,to:'2016-09-21 19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1" s="54" t="str">
        <f t="shared" si="55"/>
        <v>N</v>
      </c>
      <c r="X191" s="168">
        <f t="shared" ref="X191:X192" si="72">VALUE(LEFT(AD191,4))-VALUE(LEFT(AD190,4))</f>
        <v>1</v>
      </c>
      <c r="Y191" s="69">
        <f t="shared" ref="Y191:Y221" si="73">RIGHT(D191,LEN(D191)-4)/10000</f>
        <v>5.8677000000000001</v>
      </c>
      <c r="Z191" s="69">
        <f t="shared" ref="Z191:Z221" si="74">RIGHT(H191,LEN(H191)-4)/10000</f>
        <v>6.6299999999999998E-2</v>
      </c>
      <c r="AA191" s="69">
        <f t="shared" si="58"/>
        <v>5.8014000000000001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9"/>
        <v>0834-21</v>
      </c>
      <c r="AE191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91" s="96" t="str">
        <f t="shared" si="61"/>
        <v>"C:\Program Files (x86)\AstroGrep\AstroGrep.exe" /spath="%USERPROFILE%\AppData\Local\Temp\OnboardLogs" /stypes="app*4043*20160922*" /stext=" 00:.+((SYSTEM_STATE.+slice.+state.+changed )|(ment ac)|(system.+state.+changed )|(\|lc)|(penalty)|(\[timeout)|(PRM\|1\|D)|(kpr)|(kdp))" /e /r /s</v>
      </c>
      <c r="AG191" s="1" t="str">
        <f t="shared" si="62"/>
        <v>NW</v>
      </c>
      <c r="AH191" s="100" t="str">
        <f t="shared" si="48"/>
        <v>"%USERPROFILE%\Documents\GitHub\eaglep3\Utilities\RefineRTDCRunTimes.py" --tripid 834-21 --locoid 4043 --swversion DE.1.0.7.0 --startMP 300:58677 --initTime 2016-09-21T17:41:54 --startdatetime 2016-09-21T17:44:43 --delay 1 --endMP 204:663 --enddatetime 2016-09-21T18:04:52 --enforcementcount 0 &gt;&gt;C:\Users\stu\Documents\GitHub\eaglep3-reporting\EC\2016-09-21-refined-times.txt</v>
      </c>
      <c r="AI191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{"issue":{"subject":"","project_id":79,"tracker_id":40,"status_id":1,"priority_id":2,"assigned_to_id":23,"start_date":"2016-09-21","description":"","custom_fields":[{"id":1,"name":"Subdivision","value":"NW"},{"id":4,"name":"Milepost","value":"0.0663"},{"id":17,"name":"Train ID","value":"834-21"},{"id":16,"name":"Locomotive ID","value":"4043"},{"id":130,"name":"Impact","value":""},{"id":150,"name":"Time of Event (Mountain Time)","value":"18:04:52"},{"id":151,"name":"Denver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562</v>
      </c>
      <c r="B192" s="7">
        <v>4031</v>
      </c>
      <c r="C192" s="24" t="s">
        <v>106</v>
      </c>
      <c r="D192" s="24" t="s">
        <v>749</v>
      </c>
      <c r="E192" s="15">
        <v>42634.737500000003</v>
      </c>
      <c r="F192" s="15">
        <v>42634.744155092594</v>
      </c>
      <c r="G192" s="7">
        <v>1</v>
      </c>
      <c r="H192" s="15" t="s">
        <v>269</v>
      </c>
      <c r="I192" s="15">
        <v>42634.755532407406</v>
      </c>
      <c r="J192" s="7">
        <v>0</v>
      </c>
      <c r="K192" s="121" t="str">
        <f t="shared" si="50"/>
        <v>4031/4032</v>
      </c>
      <c r="L192" s="24" t="str">
        <f>VLOOKUP(A192,'Trips&amp;Operators'!$C$1:$E$10000,3,FALSE)</f>
        <v>LEVERE</v>
      </c>
      <c r="M192" s="6">
        <f t="shared" si="51"/>
        <v>1.137731481139781E-2</v>
      </c>
      <c r="N192" s="7">
        <f t="shared" si="71"/>
        <v>16.383333328412846</v>
      </c>
      <c r="O192" s="7"/>
      <c r="P192" s="7"/>
      <c r="Q192" s="25"/>
      <c r="R192" s="25"/>
      <c r="S192" s="37">
        <f t="shared" si="52"/>
        <v>1</v>
      </c>
      <c r="T192" s="52" t="str">
        <f t="shared" si="53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16:42:00-0600',mode:absolute,to:'2016-09-21 19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2" s="54" t="str">
        <f t="shared" si="55"/>
        <v>N</v>
      </c>
      <c r="X192" s="168">
        <f t="shared" si="72"/>
        <v>1</v>
      </c>
      <c r="Y192" s="69">
        <f t="shared" si="73"/>
        <v>9.69E-2</v>
      </c>
      <c r="Z192" s="69">
        <f t="shared" si="74"/>
        <v>5.8936999999999999</v>
      </c>
      <c r="AA192" s="69">
        <f t="shared" si="58"/>
        <v>5.7968000000000002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9"/>
        <v>0835-21</v>
      </c>
      <c r="AE192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92" s="96" t="str">
        <f t="shared" si="61"/>
        <v>"C:\Program Files (x86)\AstroGrep\AstroGrep.exe" /spath="%USERPROFILE%\AppData\Local\Temp\OnboardLogs" /stypes="app*4031*20160922*" /stext=" 00:.+((SYSTEM_STATE.+slice.+state.+changed )|(ment ac)|(system.+state.+changed )|(\|lc)|(penalty)|(\[timeout)|(PRM\|1\|D)|(kpr)|(kdp))" /e /r /s</v>
      </c>
      <c r="AG192" s="1" t="str">
        <f t="shared" si="62"/>
        <v>NW</v>
      </c>
      <c r="AH192" s="100" t="str">
        <f t="shared" si="48"/>
        <v>"%USERPROFILE%\Documents\GitHub\eaglep3\Utilities\RefineRTDCRunTimes.py" --tripid 835-21 --locoid 4031 --swversion DE.1.0.7.0 --startMP 204:969 --initTime 2016-09-21T17:42:00 --startdatetime 2016-09-21T17:51:35 --delay 1 --endMP 300:58937 --enddatetime 2016-09-21T18:07:58 --enforcementcount 0 &gt;&gt;C:\Users\stu\Documents\GitHub\eaglep3-reporting\EC\2016-09-21-refined-times.txt</v>
      </c>
      <c r="AI192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{"issue":{"subject":"","project_id":79,"tracker_id":40,"status_id":1,"priority_id":2,"assigned_to_id":23,"start_date":"2016-09-21","description":"","custom_fields":[{"id":1,"name":"Subdivision","value":"NW"},{"id":4,"name":"Milepost","value":"5.8937"},{"id":17,"name":"Train ID","value":"835-21"},{"id":16,"name":"Locomotive ID","value":"4031"},{"id":130,"name":"Impact","value":""},{"id":150,"name":"Time of Event (Mountain Time)","value":"18:07:58"},{"id":151,"name":"Denver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571</v>
      </c>
      <c r="B193" s="7">
        <v>4032</v>
      </c>
      <c r="C193" s="24" t="s">
        <v>106</v>
      </c>
      <c r="D193" s="24" t="s">
        <v>374</v>
      </c>
      <c r="E193" s="15">
        <v>42634.756863425922</v>
      </c>
      <c r="F193" s="15">
        <v>42634.758113425924</v>
      </c>
      <c r="G193" s="7">
        <v>1</v>
      </c>
      <c r="H193" s="15" t="s">
        <v>750</v>
      </c>
      <c r="I193" s="15">
        <v>42634.768946759257</v>
      </c>
      <c r="J193" s="7">
        <v>0</v>
      </c>
      <c r="K193" s="121" t="str">
        <f t="shared" si="50"/>
        <v>4031/4032</v>
      </c>
      <c r="L193" s="24" t="str">
        <f>VLOOKUP(A193,'Trips&amp;Operators'!$C$1:$E$10000,3,FALSE)</f>
        <v>LEVERE</v>
      </c>
      <c r="M193" s="6">
        <f t="shared" si="51"/>
        <v>1.0833333333721384E-2</v>
      </c>
      <c r="N193" s="7">
        <f t="shared" si="71"/>
        <v>15.600000000558794</v>
      </c>
      <c r="O193" s="7"/>
      <c r="P193" s="7"/>
      <c r="Q193" s="25"/>
      <c r="R193" s="25"/>
      <c r="S193" s="37">
        <f t="shared" si="52"/>
        <v>1</v>
      </c>
      <c r="T193" s="52" t="str">
        <f t="shared" si="53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17:09:53-0600',mode:absolute,to:'2016-09-21 19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93" s="54" t="str">
        <f t="shared" si="55"/>
        <v>N</v>
      </c>
      <c r="X193" s="168">
        <f t="shared" ref="X193:X221" si="75">VALUE(LEFT(AD193,4))-VALUE(LEFT(AD192,4))</f>
        <v>1</v>
      </c>
      <c r="Y193" s="69">
        <f t="shared" si="73"/>
        <v>5.8615000000000004</v>
      </c>
      <c r="Z193" s="69">
        <f t="shared" si="74"/>
        <v>6.7799999999999999E-2</v>
      </c>
      <c r="AA193" s="69">
        <f t="shared" si="58"/>
        <v>5.7937000000000003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9"/>
        <v>0836-21</v>
      </c>
      <c r="AE193" s="99" t="str">
        <f t="shared" si="60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193" s="96" t="str">
        <f t="shared" si="61"/>
        <v>"C:\Program Files (x86)\AstroGrep\AstroGrep.exe" /spath="%USERPROFILE%\AppData\Local\Temp\OnboardLogs" /stypes="app*4032*20160922*" /stext=" 00:.+((SYSTEM_STATE.+slice.+state.+changed )|(ment ac)|(system.+state.+changed )|(\|lc)|(penalty)|(\[timeout)|(PRM\|1\|D)|(kpr)|(kdp))" /e /r /s</v>
      </c>
      <c r="AG193" s="1" t="str">
        <f t="shared" si="62"/>
        <v>NW</v>
      </c>
      <c r="AH193" s="100" t="str">
        <f t="shared" si="48"/>
        <v>"%USERPROFILE%\Documents\GitHub\eaglep3\Utilities\RefineRTDCRunTimes.py" --tripid 836-21 --locoid 4032 --swversion DE.1.0.7.0 --startMP 300:58615 --initTime 2016-09-21T18:09:53 --startdatetime 2016-09-21T18:11:41 --delay 1 --endMP 204:678 --enddatetime 2016-09-21T18:27:17 --enforcementcount 0 &gt;&gt;C:\Users\stu\Documents\GitHub\eaglep3-reporting\EC\2016-09-21-refined-times.txt</v>
      </c>
      <c r="AI193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{"issue":{"subject":"","project_id":79,"tracker_id":40,"status_id":1,"priority_id":2,"assigned_to_id":23,"start_date":"2016-09-21","description":"","custom_fields":[{"id":1,"name":"Subdivision","value":"NW"},{"id":4,"name":"Milepost","value":"0.0678"},{"id":17,"name":"Train ID","value":"836-21"},{"id":16,"name":"Locomotive ID","value":"4032"},{"id":130,"name":"Impact","value":""},{"id":150,"name":"Time of Event (Mountain Time)","value":"18:27:17"},{"id":151,"name":"Denver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573</v>
      </c>
      <c r="B194" s="7">
        <v>4044</v>
      </c>
      <c r="C194" s="24" t="s">
        <v>106</v>
      </c>
      <c r="D194" s="24" t="s">
        <v>751</v>
      </c>
      <c r="E194" s="15">
        <v>42634.762881944444</v>
      </c>
      <c r="F194" s="15">
        <v>42634.764872685184</v>
      </c>
      <c r="G194" s="7">
        <v>1</v>
      </c>
      <c r="H194" s="15" t="s">
        <v>724</v>
      </c>
      <c r="I194" s="15">
        <v>42634.774571759262</v>
      </c>
      <c r="J194" s="7">
        <v>0</v>
      </c>
      <c r="K194" s="121" t="str">
        <f t="shared" si="50"/>
        <v>4043/4044</v>
      </c>
      <c r="L194" s="24" t="str">
        <f>VLOOKUP(A194,'Trips&amp;Operators'!$C$1:$E$10000,3,FALSE)</f>
        <v>MOSES</v>
      </c>
      <c r="M194" s="6">
        <f t="shared" si="51"/>
        <v>9.6990740785258822E-3</v>
      </c>
      <c r="N194" s="7">
        <f t="shared" si="71"/>
        <v>13.96666667307727</v>
      </c>
      <c r="O194" s="7"/>
      <c r="P194" s="7"/>
      <c r="Q194" s="25"/>
      <c r="R194" s="25"/>
      <c r="S194" s="37">
        <f t="shared" si="52"/>
        <v>1</v>
      </c>
      <c r="T194" s="52" t="str">
        <f t="shared" si="53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17:18:33-0600',mode:absolute,to:'2016-09-21 19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4" s="54" t="str">
        <f t="shared" si="55"/>
        <v>N</v>
      </c>
      <c r="X194" s="168">
        <f t="shared" si="75"/>
        <v>1</v>
      </c>
      <c r="Y194" s="69">
        <f t="shared" si="73"/>
        <v>9.6199999999999994E-2</v>
      </c>
      <c r="Z194" s="69">
        <f t="shared" si="74"/>
        <v>5.8956</v>
      </c>
      <c r="AA194" s="69">
        <f t="shared" si="58"/>
        <v>5.7994000000000003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9"/>
        <v>0837-21</v>
      </c>
      <c r="AE194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94" s="96" t="str">
        <f t="shared" si="61"/>
        <v>"C:\Program Files (x86)\AstroGrep\AstroGrep.exe" /spath="%USERPROFILE%\AppData\Local\Temp\OnboardLogs" /stypes="app*4044*20160922*" /stext=" 00:.+((SYSTEM_STATE.+slice.+state.+changed )|(ment ac)|(system.+state.+changed )|(\|lc)|(penalty)|(\[timeout)|(PRM\|1\|D)|(kpr)|(kdp))" /e /r /s</v>
      </c>
      <c r="AG194" s="1" t="str">
        <f t="shared" si="62"/>
        <v>NW</v>
      </c>
      <c r="AH194" s="100" t="str">
        <f t="shared" si="48"/>
        <v>"%USERPROFILE%\Documents\GitHub\eaglep3\Utilities\RefineRTDCRunTimes.py" --tripid 837-21 --locoid 4044 --swversion DE.1.0.7.0 --startMP 204:962 --initTime 2016-09-21T18:18:33 --startdatetime 2016-09-21T18:21:25 --delay 1 --endMP 300:58956 --enddatetime 2016-09-21T18:35:23 --enforcementcount 0 &gt;&gt;C:\Users\stu\Documents\GitHub\eaglep3-reporting\EC\2016-09-21-refined-times.txt</v>
      </c>
      <c r="AI194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{"issue":{"subject":"","project_id":79,"tracker_id":40,"status_id":1,"priority_id":2,"assigned_to_id":23,"start_date":"2016-09-21","description":"","custom_fields":[{"id":1,"name":"Subdivision","value":"NW"},{"id":4,"name":"Milepost","value":"5.8956"},{"id":17,"name":"Train ID","value":"837-21"},{"id":16,"name":"Locomotive ID","value":"4044"},{"id":130,"name":"Impact","value":""},{"id":150,"name":"Time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578</v>
      </c>
      <c r="B195" s="7">
        <v>4043</v>
      </c>
      <c r="C195" s="24" t="s">
        <v>106</v>
      </c>
      <c r="D195" s="24" t="s">
        <v>752</v>
      </c>
      <c r="E195" s="15">
        <v>42634.776284722226</v>
      </c>
      <c r="F195" s="15">
        <v>42634.778368055559</v>
      </c>
      <c r="G195" s="7">
        <v>1</v>
      </c>
      <c r="H195" s="15" t="s">
        <v>753</v>
      </c>
      <c r="I195" s="15">
        <v>42634.788935185185</v>
      </c>
      <c r="J195" s="7">
        <v>0</v>
      </c>
      <c r="K195" s="121" t="str">
        <f t="shared" si="50"/>
        <v>4043/4044</v>
      </c>
      <c r="L195" s="24" t="str">
        <f>VLOOKUP(A195,'Trips&amp;Operators'!$C$1:$E$10000,3,FALSE)</f>
        <v>MOSES</v>
      </c>
      <c r="M195" s="6">
        <f t="shared" si="51"/>
        <v>1.056712962599704E-2</v>
      </c>
      <c r="N195" s="7">
        <f t="shared" si="71"/>
        <v>15.216666661435738</v>
      </c>
      <c r="O195" s="7"/>
      <c r="P195" s="7"/>
      <c r="Q195" s="25"/>
      <c r="R195" s="25"/>
      <c r="S195" s="37">
        <f t="shared" si="52"/>
        <v>1</v>
      </c>
      <c r="T195" s="52" t="str">
        <f t="shared" si="53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17:37:51-0600',mode:absolute,to:'2016-09-21 19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5" s="54" t="str">
        <f t="shared" si="55"/>
        <v>N</v>
      </c>
      <c r="X195" s="168">
        <f t="shared" si="75"/>
        <v>1</v>
      </c>
      <c r="Y195" s="69">
        <f t="shared" si="73"/>
        <v>5.8653000000000004</v>
      </c>
      <c r="Z195" s="69">
        <f t="shared" si="74"/>
        <v>6.54E-2</v>
      </c>
      <c r="AA195" s="69">
        <f t="shared" si="58"/>
        <v>5.7999000000000001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9"/>
        <v>0838-21</v>
      </c>
      <c r="AE195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95" s="96" t="str">
        <f t="shared" si="61"/>
        <v>"C:\Program Files (x86)\AstroGrep\AstroGrep.exe" /spath="%USERPROFILE%\AppData\Local\Temp\OnboardLogs" /stypes="app*4043*20160922*" /stext=" 00:.+((SYSTEM_STATE.+slice.+state.+changed )|(ment ac)|(system.+state.+changed )|(\|lc)|(penalty)|(\[timeout)|(PRM\|1\|D)|(kpr)|(kdp))" /e /r /s</v>
      </c>
      <c r="AG195" s="1" t="str">
        <f t="shared" si="62"/>
        <v>NW</v>
      </c>
      <c r="AH195" s="100" t="str">
        <f t="shared" si="48"/>
        <v>"%USERPROFILE%\Documents\GitHub\eaglep3\Utilities\RefineRTDCRunTimes.py" --tripid 838-21 --locoid 4043 --swversion DE.1.0.7.0 --startMP 300:58653 --initTime 2016-09-21T18:37:51 --startdatetime 2016-09-21T18:40:51 --delay 1 --endMP 204:654 --enddatetime 2016-09-21T18:56:04 --enforcementcount 0 &gt;&gt;C:\Users\stu\Documents\GitHub\eaglep3-reporting\EC\2016-09-21-refined-times.txt</v>
      </c>
      <c r="AI195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{"issue":{"subject":"","project_id":79,"tracker_id":40,"status_id":1,"priority_id":2,"assigned_to_id":23,"start_date":"2016-09-21","description":"","custom_fields":[{"id":1,"name":"Subdivision","value":"NW"},{"id":4,"name":"Milepost","value":"0.0654"},{"id":17,"name":"Train ID","value":"838-21"},{"id":16,"name":"Locomotive ID","value":"4043"},{"id":130,"name":"Impact","value":""},{"id":150,"name":"Time of Event (Mountain Time)","value":"18:56:04"},{"id":151,"name":"Denver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579</v>
      </c>
      <c r="B196" s="7">
        <v>4031</v>
      </c>
      <c r="C196" s="24" t="s">
        <v>106</v>
      </c>
      <c r="D196" s="24" t="s">
        <v>387</v>
      </c>
      <c r="E196" s="15">
        <v>42634.7809375</v>
      </c>
      <c r="F196" s="15">
        <v>42634.785590277781</v>
      </c>
      <c r="G196" s="7">
        <v>1</v>
      </c>
      <c r="H196" s="15" t="s">
        <v>754</v>
      </c>
      <c r="I196" s="15">
        <v>42634.795763888891</v>
      </c>
      <c r="J196" s="7">
        <v>0</v>
      </c>
      <c r="K196" s="121" t="str">
        <f t="shared" si="50"/>
        <v>4031/4032</v>
      </c>
      <c r="L196" s="24" t="str">
        <f>VLOOKUP(A196,'Trips&amp;Operators'!$C$1:$E$10000,3,FALSE)</f>
        <v>LEVERE</v>
      </c>
      <c r="M196" s="6">
        <f t="shared" si="51"/>
        <v>1.0173611110076308E-2</v>
      </c>
      <c r="N196" s="7">
        <f t="shared" si="71"/>
        <v>14.649999998509884</v>
      </c>
      <c r="O196" s="7"/>
      <c r="P196" s="7"/>
      <c r="Q196" s="25"/>
      <c r="R196" s="25"/>
      <c r="S196" s="37">
        <f t="shared" si="52"/>
        <v>1</v>
      </c>
      <c r="T196" s="52" t="str">
        <f t="shared" si="53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17:44:33-0600',mode:absolute,to:'2016-09-21 20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6" s="54" t="str">
        <f t="shared" si="55"/>
        <v>N</v>
      </c>
      <c r="X196" s="168">
        <f t="shared" si="75"/>
        <v>1</v>
      </c>
      <c r="Y196" s="69">
        <f t="shared" si="73"/>
        <v>9.64E-2</v>
      </c>
      <c r="Z196" s="69">
        <f t="shared" si="74"/>
        <v>5.8971</v>
      </c>
      <c r="AA196" s="69">
        <f t="shared" si="58"/>
        <v>5.8007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9"/>
        <v>0839-21</v>
      </c>
      <c r="AE196" s="99" t="str">
        <f t="shared" si="60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196" s="96" t="str">
        <f t="shared" si="61"/>
        <v>"C:\Program Files (x86)\AstroGrep\AstroGrep.exe" /spath="%USERPROFILE%\AppData\Local\Temp\OnboardLogs" /stypes="app*4031*20160922*" /stext=" 01:.+((SYSTEM_STATE.+slice.+state.+changed )|(ment ac)|(system.+state.+changed )|(\|lc)|(penalty)|(\[timeout)|(PRM\|1\|D)|(kpr)|(kdp))" /e /r /s</v>
      </c>
      <c r="AG196" s="1" t="str">
        <f t="shared" si="62"/>
        <v>NW</v>
      </c>
      <c r="AH196" s="100" t="str">
        <f t="shared" si="48"/>
        <v>"%USERPROFILE%\Documents\GitHub\eaglep3\Utilities\RefineRTDCRunTimes.py" --tripid 839-21 --locoid 4031 --swversion DE.1.0.7.0 --startMP 204:964 --initTime 2016-09-21T18:44:33 --startdatetime 2016-09-21T18:51:15 --delay 1 --endMP 300:58971 --enddatetime 2016-09-21T19:05:54 --enforcementcount 0 &gt;&gt;C:\Users\stu\Documents\GitHub\eaglep3-reporting\EC\2016-09-21-refined-times.txt</v>
      </c>
      <c r="AI196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{"issue":{"subject":"","project_id":79,"tracker_id":40,"status_id":1,"priority_id":2,"assigned_to_id":23,"start_date":"2016-09-21","description":"","custom_fields":[{"id":1,"name":"Subdivision","value":"NW"},{"id":4,"name":"Milepost","value":"5.8971"},{"id":17,"name":"Train ID","value":"839-21"},{"id":16,"name":"Locomotive ID","value":"4031"},{"id":130,"name":"Impact","value":""},{"id":150,"name":"Time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588</v>
      </c>
      <c r="B197" s="7">
        <v>4043</v>
      </c>
      <c r="C197" s="24" t="s">
        <v>106</v>
      </c>
      <c r="D197" s="24" t="s">
        <v>728</v>
      </c>
      <c r="E197" s="15">
        <v>42634.817916666667</v>
      </c>
      <c r="F197" s="15">
        <v>42634.819803240738</v>
      </c>
      <c r="G197" s="7">
        <v>1</v>
      </c>
      <c r="H197" s="15" t="s">
        <v>755</v>
      </c>
      <c r="I197" s="15">
        <v>42634.83185185185</v>
      </c>
      <c r="J197" s="7">
        <v>0</v>
      </c>
      <c r="K197" s="121" t="str">
        <f t="shared" si="50"/>
        <v>4043/4044</v>
      </c>
      <c r="L197" s="24" t="str">
        <f>VLOOKUP(A197,'Trips&amp;Operators'!$C$1:$E$10000,3,FALSE)</f>
        <v>MOSES</v>
      </c>
      <c r="M197" s="6">
        <f t="shared" si="51"/>
        <v>1.2048611111822538E-2</v>
      </c>
      <c r="N197" s="7">
        <f t="shared" si="71"/>
        <v>17.350000001024455</v>
      </c>
      <c r="O197" s="7"/>
      <c r="P197" s="7"/>
      <c r="Q197" s="25"/>
      <c r="R197" s="25"/>
      <c r="S197" s="37">
        <f t="shared" si="52"/>
        <v>1</v>
      </c>
      <c r="T197" s="52" t="str">
        <f t="shared" si="53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18:37:48-0600',mode:absolute,to:'2016-09-21 20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7" s="54" t="str">
        <f t="shared" si="55"/>
        <v>N</v>
      </c>
      <c r="X197" s="168">
        <f t="shared" si="75"/>
        <v>1</v>
      </c>
      <c r="Y197" s="69">
        <f t="shared" si="73"/>
        <v>5.8673000000000002</v>
      </c>
      <c r="Z197" s="69">
        <f t="shared" si="74"/>
        <v>6.6100000000000006E-2</v>
      </c>
      <c r="AA197" s="69">
        <f t="shared" si="58"/>
        <v>5.8012000000000006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9"/>
        <v>0840-21</v>
      </c>
      <c r="AE197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97" s="96" t="str">
        <f t="shared" si="61"/>
        <v>"C:\Program Files (x86)\AstroGrep\AstroGrep.exe" /spath="%USERPROFILE%\AppData\Local\Temp\OnboardLogs" /stypes="app*4043*20160922*" /stext=" 01:.+((SYSTEM_STATE.+slice.+state.+changed )|(ment ac)|(system.+state.+changed )|(\|lc)|(penalty)|(\[timeout)|(PRM\|1\|D)|(kpr)|(kdp))" /e /r /s</v>
      </c>
      <c r="AG197" s="1" t="str">
        <f t="shared" si="62"/>
        <v>NW</v>
      </c>
      <c r="AH197" s="100" t="str">
        <f t="shared" si="48"/>
        <v>"%USERPROFILE%\Documents\GitHub\eaglep3\Utilities\RefineRTDCRunTimes.py" --tripid 840-21 --locoid 4043 --swversion DE.1.0.7.0 --startMP 300:58673 --initTime 2016-09-21T19:37:48 --startdatetime 2016-09-21T19:40:31 --delay 1 --endMP 204:661 --enddatetime 2016-09-21T19:57:52 --enforcementcount 0 &gt;&gt;C:\Users\stu\Documents\GitHub\eaglep3-reporting\EC\2016-09-21-refined-times.txt</v>
      </c>
      <c r="AI197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{"issue":{"subject":"","project_id":79,"tracker_id":40,"status_id":1,"priority_id":2,"assigned_to_id":23,"start_date":"2016-09-21","description":"","custom_fields":[{"id":1,"name":"Subdivision","value":"NW"},{"id":4,"name":"Milepost","value":"0.0661"},{"id":17,"name":"Train ID","value":"840-21"},{"id":16,"name":"Locomotive ID","value":"4043"},{"id":130,"name":"Impact","value":""},{"id":150,"name":"Time of Event (Mountain Time)","value":"19:57:52"},{"id":151,"name":"Denver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585</v>
      </c>
      <c r="B198" s="7">
        <v>4044</v>
      </c>
      <c r="C198" s="24" t="s">
        <v>106</v>
      </c>
      <c r="D198" s="24" t="s">
        <v>756</v>
      </c>
      <c r="E198" s="15">
        <v>42634.801828703705</v>
      </c>
      <c r="F198" s="15">
        <v>42634.806631944448</v>
      </c>
      <c r="G198" s="7">
        <v>1</v>
      </c>
      <c r="H198" s="15" t="s">
        <v>727</v>
      </c>
      <c r="I198" s="15">
        <v>42634.816481481481</v>
      </c>
      <c r="J198" s="7">
        <v>0</v>
      </c>
      <c r="K198" s="121" t="str">
        <f t="shared" si="50"/>
        <v>4043/4044</v>
      </c>
      <c r="L198" s="24" t="str">
        <f>VLOOKUP(A198,'Trips&amp;Operators'!$C$1:$E$10000,3,FALSE)</f>
        <v>MOSES</v>
      </c>
      <c r="M198" s="6">
        <f t="shared" si="51"/>
        <v>9.8495370330056176E-3</v>
      </c>
      <c r="N198" s="7">
        <f t="shared" si="71"/>
        <v>14.183333327528089</v>
      </c>
      <c r="O198" s="7"/>
      <c r="P198" s="7"/>
      <c r="Q198" s="25"/>
      <c r="R198" s="25"/>
      <c r="S198" s="37">
        <f t="shared" si="52"/>
        <v>1</v>
      </c>
      <c r="T198" s="52" t="str">
        <f t="shared" si="53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18:14:38-0600',mode:absolute,to:'2016-09-21 20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8" s="54" t="str">
        <f t="shared" si="55"/>
        <v>N</v>
      </c>
      <c r="X198" s="168">
        <f t="shared" si="75"/>
        <v>1</v>
      </c>
      <c r="Y198" s="69">
        <f t="shared" si="73"/>
        <v>9.4299999999999995E-2</v>
      </c>
      <c r="Z198" s="69">
        <f t="shared" si="74"/>
        <v>5.8983999999999996</v>
      </c>
      <c r="AA198" s="69">
        <f t="shared" si="58"/>
        <v>5.8041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9"/>
        <v>0841-21</v>
      </c>
      <c r="AE198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198" s="96" t="str">
        <f t="shared" si="61"/>
        <v>"C:\Program Files (x86)\AstroGrep\AstroGrep.exe" /spath="%USERPROFILE%\AppData\Local\Temp\OnboardLogs" /stypes="app*4044*20160922*" /stext=" 01:.+((SYSTEM_STATE.+slice.+state.+changed )|(ment ac)|(system.+state.+changed )|(\|lc)|(penalty)|(\[timeout)|(PRM\|1\|D)|(kpr)|(kdp))" /e /r /s</v>
      </c>
      <c r="AG198" s="1" t="str">
        <f t="shared" si="62"/>
        <v>NW</v>
      </c>
      <c r="AH198" s="100" t="str">
        <f t="shared" si="48"/>
        <v>"%USERPROFILE%\Documents\GitHub\eaglep3\Utilities\RefineRTDCRunTimes.py" --tripid 841-21 --locoid 4044 --swversion DE.1.0.7.0 --startMP 204:943 --initTime 2016-09-21T19:14:38 --startdatetime 2016-09-21T19:21:33 --delay 1 --endMP 300:58984 --enddatetime 2016-09-21T19:35:44 --enforcementcount 0 &gt;&gt;C:\Users\stu\Documents\GitHub\eaglep3-reporting\EC\2016-09-21-refined-times.txt</v>
      </c>
      <c r="AI198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{"issue":{"subject":"","project_id":79,"tracker_id":40,"status_id":1,"priority_id":2,"assigned_to_id":23,"start_date":"2016-09-21","description":"","custom_fields":[{"id":1,"name":"Subdivision","value":"NW"},{"id":4,"name":"Milepost","value":"5.8984"},{"id":17,"name":"Train ID","value":"841-21"},{"id":16,"name":"Locomotive ID","value":"4044"},{"id":130,"name":"Impact","value":""},{"id":150,"name":"Time of Event (Mountain Time)","value":"19:35:44"},{"id":151,"name":"Denver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595</v>
      </c>
      <c r="B199" s="7">
        <v>4043</v>
      </c>
      <c r="C199" s="24" t="s">
        <v>106</v>
      </c>
      <c r="D199" s="24" t="s">
        <v>757</v>
      </c>
      <c r="E199" s="15">
        <v>42634.859305555554</v>
      </c>
      <c r="F199" s="15">
        <v>42634.86141203704</v>
      </c>
      <c r="G199" s="7">
        <v>1</v>
      </c>
      <c r="H199" s="15" t="s">
        <v>758</v>
      </c>
      <c r="I199" s="15">
        <v>42634.871631944443</v>
      </c>
      <c r="J199" s="7">
        <v>0</v>
      </c>
      <c r="K199" s="121" t="str">
        <f t="shared" si="50"/>
        <v>4043/4044</v>
      </c>
      <c r="L199" s="24" t="str">
        <f>VLOOKUP(A199,'Trips&amp;Operators'!$C$1:$E$10000,3,FALSE)</f>
        <v>MOSES</v>
      </c>
      <c r="M199" s="6">
        <f t="shared" si="51"/>
        <v>1.0219907402643003E-2</v>
      </c>
      <c r="N199" s="7">
        <f t="shared" si="71"/>
        <v>14.716666659805924</v>
      </c>
      <c r="O199" s="7"/>
      <c r="P199" s="7"/>
      <c r="Q199" s="25"/>
      <c r="R199" s="25"/>
      <c r="S199" s="37">
        <f t="shared" si="52"/>
        <v>1</v>
      </c>
      <c r="T199" s="52" t="str">
        <f t="shared" si="53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19:37:24-0600',mode:absolute,to:'2016-09-21 21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9" s="54" t="str">
        <f t="shared" si="55"/>
        <v>N</v>
      </c>
      <c r="X199" s="168">
        <f t="shared" si="75"/>
        <v>1</v>
      </c>
      <c r="Y199" s="69">
        <f t="shared" si="73"/>
        <v>5.8672000000000004</v>
      </c>
      <c r="Z199" s="69">
        <f t="shared" si="74"/>
        <v>6.5699999999999995E-2</v>
      </c>
      <c r="AA199" s="69">
        <f t="shared" si="58"/>
        <v>5.8015000000000008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9"/>
        <v>0842-21</v>
      </c>
      <c r="AE199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199" s="96" t="str">
        <f t="shared" si="61"/>
        <v>"C:\Program Files (x86)\AstroGrep\AstroGrep.exe" /spath="%USERPROFILE%\AppData\Local\Temp\OnboardLogs" /stypes="app*4043*20160922*" /stext=" 02:.+((SYSTEM_STATE.+slice.+state.+changed )|(ment ac)|(system.+state.+changed )|(\|lc)|(penalty)|(\[timeout)|(PRM\|1\|D)|(kpr)|(kdp))" /e /r /s</v>
      </c>
      <c r="AG199" s="1" t="str">
        <f t="shared" si="62"/>
        <v>NW</v>
      </c>
      <c r="AH199" s="100" t="str">
        <f t="shared" si="48"/>
        <v>"%USERPROFILE%\Documents\GitHub\eaglep3\Utilities\RefineRTDCRunTimes.py" --tripid 842-21 --locoid 4043 --swversion DE.1.0.7.0 --startMP 300:58672 --initTime 2016-09-21T20:37:24 --startdatetime 2016-09-21T20:40:26 --delay 1 --endMP 204:657 --enddatetime 2016-09-21T20:55:09 --enforcementcount 0 &gt;&gt;C:\Users\stu\Documents\GitHub\eaglep3-reporting\EC\2016-09-21-refined-times.txt</v>
      </c>
      <c r="AI199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{"issue":{"subject":"","project_id":79,"tracker_id":40,"status_id":1,"priority_id":2,"assigned_to_id":23,"start_date":"2016-09-21","description":"","custom_fields":[{"id":1,"name":"Subdivision","value":"NW"},{"id":4,"name":"Milepost","value":"0.0657"},{"id":17,"name":"Train ID","value":"842-21"},{"id":16,"name":"Locomotive ID","value":"4043"},{"id":130,"name":"Impact","value":""},{"id":150,"name":"Time of Event (Mountain Time)","value":"20:55:09"},{"id":151,"name":"Denver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592</v>
      </c>
      <c r="B200" s="7">
        <v>4044</v>
      </c>
      <c r="C200" s="24" t="s">
        <v>106</v>
      </c>
      <c r="D200" s="24" t="s">
        <v>759</v>
      </c>
      <c r="E200" s="15">
        <v>42634.843935185185</v>
      </c>
      <c r="F200" s="15">
        <v>42634.848217592589</v>
      </c>
      <c r="G200" s="7">
        <v>1</v>
      </c>
      <c r="H200" s="15" t="s">
        <v>727</v>
      </c>
      <c r="I200" s="15">
        <v>42634.857812499999</v>
      </c>
      <c r="J200" s="7">
        <v>0</v>
      </c>
      <c r="K200" s="121" t="str">
        <f t="shared" si="50"/>
        <v>4043/4044</v>
      </c>
      <c r="L200" s="24" t="str">
        <f>VLOOKUP(A200,'Trips&amp;Operators'!$C$1:$E$10000,3,FALSE)</f>
        <v>MOSES</v>
      </c>
      <c r="M200" s="6">
        <f t="shared" si="51"/>
        <v>9.5949074093368836E-3</v>
      </c>
      <c r="N200" s="7">
        <f t="shared" si="71"/>
        <v>13.816666669445112</v>
      </c>
      <c r="O200" s="7"/>
      <c r="P200" s="7"/>
      <c r="Q200" s="25"/>
      <c r="R200" s="25"/>
      <c r="S200" s="37">
        <f t="shared" si="52"/>
        <v>1</v>
      </c>
      <c r="T200" s="52" t="str">
        <f t="shared" si="53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19:15:16-0600',mode:absolute,to:'2016-09-21 21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0" s="54" t="str">
        <f t="shared" si="55"/>
        <v>N</v>
      </c>
      <c r="X200" s="168">
        <f t="shared" si="75"/>
        <v>1</v>
      </c>
      <c r="Y200" s="69">
        <f t="shared" si="73"/>
        <v>9.3600000000000003E-2</v>
      </c>
      <c r="Z200" s="69">
        <f t="shared" si="74"/>
        <v>5.8983999999999996</v>
      </c>
      <c r="AA200" s="69">
        <f t="shared" si="58"/>
        <v>5.8047999999999993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9"/>
        <v>0843-21</v>
      </c>
      <c r="AE200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200" s="96" t="str">
        <f t="shared" si="61"/>
        <v>"C:\Program Files (x86)\AstroGrep\AstroGrep.exe" /spath="%USERPROFILE%\AppData\Local\Temp\OnboardLogs" /stypes="app*4044*20160922*" /stext=" 02:.+((SYSTEM_STATE.+slice.+state.+changed )|(ment ac)|(system.+state.+changed )|(\|lc)|(penalty)|(\[timeout)|(PRM\|1\|D)|(kpr)|(kdp))" /e /r /s</v>
      </c>
      <c r="AG200" s="1" t="str">
        <f t="shared" si="62"/>
        <v>NW</v>
      </c>
      <c r="AH200" s="100" t="str">
        <f t="shared" si="48"/>
        <v>"%USERPROFILE%\Documents\GitHub\eaglep3\Utilities\RefineRTDCRunTimes.py" --tripid 843-21 --locoid 4044 --swversion DE.1.0.7.0 --startMP 204:936 --initTime 2016-09-21T20:15:16 --startdatetime 2016-09-21T20:21:26 --delay 1 --endMP 300:58984 --enddatetime 2016-09-21T20:35:15 --enforcementcount 0 &gt;&gt;C:\Users\stu\Documents\GitHub\eaglep3-reporting\EC\2016-09-21-refined-times.txt</v>
      </c>
      <c r="AI200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{"issue":{"subject":"","project_id":79,"tracker_id":40,"status_id":1,"priority_id":2,"assigned_to_id":23,"start_date":"2016-09-21","description":"","custom_fields":[{"id":1,"name":"Subdivision","value":"NW"},{"id":4,"name":"Milepost","value":"5.8984"},{"id":17,"name":"Train ID","value":"843-21"},{"id":16,"name":"Locomotive ID","value":"4044"},{"id":130,"name":"Impact","value":""},{"id":150,"name":"Time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601</v>
      </c>
      <c r="B201" s="7">
        <v>4043</v>
      </c>
      <c r="C201" s="24" t="s">
        <v>106</v>
      </c>
      <c r="D201" s="24" t="s">
        <v>318</v>
      </c>
      <c r="E201" s="15">
        <v>42634.902048611111</v>
      </c>
      <c r="F201" s="15">
        <v>42634.903865740744</v>
      </c>
      <c r="G201" s="7">
        <v>1</v>
      </c>
      <c r="H201" s="15" t="s">
        <v>383</v>
      </c>
      <c r="I201" s="15">
        <v>42634.913900462961</v>
      </c>
      <c r="J201" s="7">
        <v>0</v>
      </c>
      <c r="K201" s="121" t="str">
        <f t="shared" si="50"/>
        <v>4043/4044</v>
      </c>
      <c r="L201" s="24" t="str">
        <f>VLOOKUP(A201,'Trips&amp;Operators'!$C$1:$E$10000,3,FALSE)</f>
        <v>LEVERE</v>
      </c>
      <c r="M201" s="6">
        <f t="shared" si="51"/>
        <v>1.003472221782431E-2</v>
      </c>
      <c r="N201" s="7">
        <f t="shared" si="71"/>
        <v>14.449999993667006</v>
      </c>
      <c r="O201" s="7"/>
      <c r="P201" s="7"/>
      <c r="Q201" s="25"/>
      <c r="R201" s="25"/>
      <c r="S201" s="37">
        <f t="shared" si="52"/>
        <v>1</v>
      </c>
      <c r="T201" s="52" t="str">
        <f t="shared" si="53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20:38:57-0600',mode:absolute,to:'2016-09-21 22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01" s="54" t="str">
        <f t="shared" si="55"/>
        <v>N</v>
      </c>
      <c r="X201" s="168">
        <f t="shared" si="75"/>
        <v>1</v>
      </c>
      <c r="Y201" s="69">
        <f t="shared" si="73"/>
        <v>5.8630000000000004</v>
      </c>
      <c r="Z201" s="69">
        <f t="shared" si="74"/>
        <v>6.8199999999999997E-2</v>
      </c>
      <c r="AA201" s="69">
        <f t="shared" si="58"/>
        <v>5.7948000000000004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9"/>
        <v>0844-21</v>
      </c>
      <c r="AE201" s="99" t="str">
        <f t="shared" si="60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201" s="96" t="str">
        <f t="shared" si="61"/>
        <v>"C:\Program Files (x86)\AstroGrep\AstroGrep.exe" /spath="%USERPROFILE%\AppData\Local\Temp\OnboardLogs" /stypes="app*4043*20160922*" /stext=" 03:.+((SYSTEM_STATE.+slice.+state.+changed )|(ment ac)|(system.+state.+changed )|(\|lc)|(penalty)|(\[timeout)|(PRM\|1\|D)|(kpr)|(kdp))" /e /r /s</v>
      </c>
      <c r="AG201" s="1" t="str">
        <f t="shared" si="62"/>
        <v>NW</v>
      </c>
      <c r="AH201" s="100" t="str">
        <f t="shared" si="48"/>
        <v>"%USERPROFILE%\Documents\GitHub\eaglep3\Utilities\RefineRTDCRunTimes.py" --tripid 844-21 --locoid 4043 --swversion DE.1.0.7.0 --startMP 300:58630 --initTime 2016-09-21T21:38:57 --startdatetime 2016-09-21T21:41:34 --delay 1 --endMP 204:682 --enddatetime 2016-09-21T21:56:01 --enforcementcount 0 &gt;&gt;C:\Users\stu\Documents\GitHub\eaglep3-reporting\EC\2016-09-21-refined-times.txt</v>
      </c>
      <c r="AI201" s="134" t="str">
        <f t="shared" si="49"/>
        <v>echo {"issue":{"subject":"","project_id":79,"tracker_id":40,"status_id":1,"priority_id":2,"assigned_to_id":23,"start_date":"2016-09-21","description":"","custom_fields":[{"id":1,"name":"Subdivision","value":"NW"},{"id":4,"name":"Milepost","value":"0.0682"},{"id":17,"name":"Train ID","value":"844-21"},{"id":16,"name":"Locomotive ID","value":"4043"},{"id":130,"name":"Impact","value":""},{"id":150,"name":"Time of Event (Mountain Time)","value":"21:56:01"},{"id":151,"name":"Denver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598</v>
      </c>
      <c r="B202" s="7">
        <v>4044</v>
      </c>
      <c r="C202" s="24" t="s">
        <v>106</v>
      </c>
      <c r="D202" s="24" t="s">
        <v>760</v>
      </c>
      <c r="E202" s="15">
        <v>42634.876111111109</v>
      </c>
      <c r="F202" s="15">
        <v>42634.889814814815</v>
      </c>
      <c r="G202" s="7">
        <v>2</v>
      </c>
      <c r="H202" s="15" t="s">
        <v>761</v>
      </c>
      <c r="I202" s="15">
        <v>42634.900231481479</v>
      </c>
      <c r="J202" s="7">
        <v>0</v>
      </c>
      <c r="K202" s="121" t="str">
        <f t="shared" si="50"/>
        <v>4043/4044</v>
      </c>
      <c r="L202" s="24" t="str">
        <f>VLOOKUP(A202,'Trips&amp;Operators'!$C$1:$E$10000,3,FALSE)</f>
        <v>LEVERE</v>
      </c>
      <c r="M202" s="6">
        <f t="shared" si="51"/>
        <v>1.0416666664241347E-2</v>
      </c>
      <c r="N202" s="7">
        <f t="shared" si="71"/>
        <v>14.99999999650754</v>
      </c>
      <c r="O202" s="7"/>
      <c r="P202" s="7"/>
      <c r="Q202" s="25"/>
      <c r="R202" s="25"/>
      <c r="S202" s="37">
        <f t="shared" si="52"/>
        <v>1</v>
      </c>
      <c r="T202" s="52" t="str">
        <f t="shared" si="53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20:01:36-0600',mode:absolute,to:'2016-09-21 22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2" s="54" t="str">
        <f t="shared" si="55"/>
        <v>N</v>
      </c>
      <c r="X202" s="168">
        <f t="shared" si="75"/>
        <v>1</v>
      </c>
      <c r="Y202" s="69">
        <f t="shared" si="73"/>
        <v>9.3399999999999997E-2</v>
      </c>
      <c r="Z202" s="69">
        <f t="shared" si="74"/>
        <v>5.8940999999999999</v>
      </c>
      <c r="AA202" s="69">
        <f t="shared" si="58"/>
        <v>5.8007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9"/>
        <v>0845-21</v>
      </c>
      <c r="AE202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202" s="96" t="str">
        <f t="shared" si="61"/>
        <v>"C:\Program Files (x86)\AstroGrep\AstroGrep.exe" /spath="%USERPROFILE%\AppData\Local\Temp\OnboardLogs" /stypes="app*4044*20160922*" /stext=" 03:.+((SYSTEM_STATE.+slice.+state.+changed )|(ment ac)|(system.+state.+changed )|(\|lc)|(penalty)|(\[timeout)|(PRM\|1\|D)|(kpr)|(kdp))" /e /r /s</v>
      </c>
      <c r="AG202" s="1" t="str">
        <f t="shared" si="62"/>
        <v>NW</v>
      </c>
      <c r="AH202" s="100" t="str">
        <f t="shared" ref="AH202:AH221" si="76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845-21 --locoid 4044 --swversion DE.1.0.7.0 --startMP 204:934 --initTime 2016-09-21T21:01:36 --startdatetime 2016-09-21T21:21:20 --delay 2 --endMP 300:58941 --enddatetime 2016-09-21T21:36:20 --enforcementcount 0 &gt;&gt;C:\Users\stu\Documents\GitHub\eaglep3-reporting\EC\2016-09-21-refined-times.txt</v>
      </c>
      <c r="AI202" s="134" t="str">
        <f t="shared" ref="AI202:AI221" si="77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{"issue":{"subject":"","project_id":79,"tracker_id":40,"status_id":1,"priority_id":2,"assigned_to_id":23,"start_date":"2016-09-21","description":"","custom_fields":[{"id":1,"name":"Subdivision","value":"NW"},{"id":4,"name":"Milepost","value":"5.8941"},{"id":17,"name":"Train ID","value":"845-21"},{"id":16,"name":"Locomotive ID","value":"4044"},{"id":130,"name":"Impact","value":""},{"id":150,"name":"Time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604</v>
      </c>
      <c r="B203" s="7">
        <v>4044</v>
      </c>
      <c r="C203" s="24" t="s">
        <v>106</v>
      </c>
      <c r="D203" s="24" t="s">
        <v>749</v>
      </c>
      <c r="E203" s="15">
        <v>42634.923020833332</v>
      </c>
      <c r="F203" s="15">
        <v>42634.931446759256</v>
      </c>
      <c r="G203" s="7">
        <v>1</v>
      </c>
      <c r="H203" s="15" t="s">
        <v>379</v>
      </c>
      <c r="I203" s="15">
        <v>42634.941886574074</v>
      </c>
      <c r="J203" s="7">
        <v>0</v>
      </c>
      <c r="K203" s="121" t="str">
        <f t="shared" si="50"/>
        <v>4043/4044</v>
      </c>
      <c r="L203" s="24" t="str">
        <f>VLOOKUP(A203,'Trips&amp;Operators'!$C$1:$E$10000,3,FALSE)</f>
        <v>LEVERE</v>
      </c>
      <c r="M203" s="6">
        <f t="shared" si="51"/>
        <v>1.0439814817800652E-2</v>
      </c>
      <c r="N203" s="7">
        <f t="shared" si="71"/>
        <v>15.033333337632939</v>
      </c>
      <c r="O203" s="7"/>
      <c r="P203" s="7"/>
      <c r="Q203" s="25"/>
      <c r="R203" s="25"/>
      <c r="S203" s="37">
        <f t="shared" si="52"/>
        <v>1</v>
      </c>
      <c r="T203" s="52" t="str">
        <f t="shared" si="53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21:09:09-0600',mode:absolute,to:'2016-09-21 23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3" s="54" t="str">
        <f t="shared" si="55"/>
        <v>N</v>
      </c>
      <c r="X203" s="168">
        <f t="shared" si="75"/>
        <v>2</v>
      </c>
      <c r="Y203" s="69">
        <f t="shared" si="73"/>
        <v>9.69E-2</v>
      </c>
      <c r="Z203" s="69">
        <f t="shared" si="74"/>
        <v>5.8939000000000004</v>
      </c>
      <c r="AA203" s="69">
        <f t="shared" si="58"/>
        <v>5.7970000000000006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9"/>
        <v>0847-21</v>
      </c>
      <c r="AE203" s="99" t="str">
        <f t="shared" si="60"/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AF203" s="96" t="str">
        <f t="shared" si="61"/>
        <v>"C:\Program Files (x86)\AstroGrep\AstroGrep.exe" /spath="%USERPROFILE%\AppData\Local\Temp\OnboardLogs" /stypes="app*4044*20160922*" /stext=" 04:.+((SYSTEM_STATE.+slice.+state.+changed )|(ment ac)|(system.+state.+changed )|(\|lc)|(penalty)|(\[timeout)|(PRM\|1\|D)|(kpr)|(kdp))" /e /r /s</v>
      </c>
      <c r="AG203" s="1" t="str">
        <f t="shared" si="62"/>
        <v>NW</v>
      </c>
      <c r="AH203" s="100" t="str">
        <f t="shared" si="76"/>
        <v>"%USERPROFILE%\Documents\GitHub\eaglep3\Utilities\RefineRTDCRunTimes.py" --tripid 847-21 --locoid 4044 --swversion DE.1.0.7.0 --startMP 204:969 --initTime 2016-09-21T22:09:09 --startdatetime 2016-09-21T22:21:17 --delay 1 --endMP 300:58939 --enddatetime 2016-09-21T22:36:19 --enforcementcount 0 &gt;&gt;C:\Users\stu\Documents\GitHub\eaglep3-reporting\EC\2016-09-21-refined-times.txt</v>
      </c>
      <c r="AI203" s="134" t="str">
        <f t="shared" si="77"/>
        <v>echo {"issue":{"subject":"","project_id":79,"tracker_id":40,"status_id":1,"priority_id":2,"assigned_to_id":23,"start_date":"2016-09-21","description":"","custom_fields":[{"id":1,"name":"Subdivision","value":"NW"},{"id":4,"name":"Milepost","value":"5.8939"},{"id":17,"name":"Train ID","value":"847-21"},{"id":16,"name":"Locomotive ID","value":"4044"},{"id":130,"name":"Impact","value":""},{"id":150,"name":"Time of Event (Mountain Time)","value":"22:36:19"},{"id":151,"name":"Denver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580</v>
      </c>
      <c r="B204" s="7">
        <v>4046</v>
      </c>
      <c r="C204" s="24" t="s">
        <v>106</v>
      </c>
      <c r="D204" s="24" t="s">
        <v>683</v>
      </c>
      <c r="E204" s="15">
        <v>42634.782418981478</v>
      </c>
      <c r="F204" s="15">
        <v>42634.793344907404</v>
      </c>
      <c r="G204" s="7">
        <v>2</v>
      </c>
      <c r="H204" s="15" t="s">
        <v>371</v>
      </c>
      <c r="I204" s="15">
        <v>42634.797881944447</v>
      </c>
      <c r="J204" s="7">
        <v>0</v>
      </c>
      <c r="K204" s="121" t="str">
        <f t="shared" si="50"/>
        <v>4045/4046</v>
      </c>
      <c r="L204" s="24" t="str">
        <f>VLOOKUP(A204,'Trips&amp;Operators'!$C$1:$E$10000,3,FALSE)</f>
        <v>HILLS</v>
      </c>
      <c r="M204" s="6">
        <f t="shared" si="51"/>
        <v>4.5370370426098816E-3</v>
      </c>
      <c r="N204" s="7">
        <f t="shared" si="71"/>
        <v>6.5333333413582295</v>
      </c>
      <c r="O204" s="7"/>
      <c r="P204" s="7"/>
      <c r="Q204" s="25"/>
      <c r="R204" s="25"/>
      <c r="S204" s="37">
        <f t="shared" si="52"/>
        <v>1</v>
      </c>
      <c r="T204" s="52" t="str">
        <f t="shared" si="53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54"/>
        <v>https://search-rtdc-monitor-bjffxe2xuh6vdkpspy63sjmuny.us-east-1.es.amazonaws.com/_plugin/kibana/#/discover/Steve-Slow-Train-Analysis-(2080s-and-2083s)?_g=(refreshInterval:(display:Off,section:0,value:0),time:(from:'2016-09-21 17:46:41-0600',mode:absolute,to:'2016-09-21 20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4" s="54" t="str">
        <f t="shared" si="55"/>
        <v>Y</v>
      </c>
      <c r="X204" s="168">
        <f t="shared" si="75"/>
        <v>-544</v>
      </c>
      <c r="Y204" s="69">
        <f t="shared" si="73"/>
        <v>0.05</v>
      </c>
      <c r="Z204" s="69">
        <f t="shared" si="74"/>
        <v>2.3315999999999999</v>
      </c>
      <c r="AA204" s="69">
        <f t="shared" si="58"/>
        <v>2.2816000000000001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9"/>
        <v>0303-21</v>
      </c>
      <c r="AE204" s="99" t="str">
        <f t="shared" si="60"/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AF204" s="96" t="str">
        <f t="shared" si="61"/>
        <v>"C:\Program Files (x86)\AstroGrep\AstroGrep.exe" /spath="%USERPROFILE%\AppData\Local\Temp\OnboardLogs" /stypes="app*4046*20160922*" /stext=" 01:.+((SYSTEM_STATE.+slice.+state.+changed )|(ment ac)|(system.+state.+changed )|(\|lc)|(penalty)|(\[timeout)|(PRM\|1\|D)|(kpr)|(kdp))" /e /r /s</v>
      </c>
      <c r="AG204" s="1" t="str">
        <f t="shared" si="62"/>
        <v>Other</v>
      </c>
      <c r="AH204" s="100" t="str">
        <f t="shared" si="76"/>
        <v>"%USERPROFILE%\Documents\GitHub\eaglep3\Utilities\RefineRTDCRunTimes.py" --tripid 303-21 --locoid 4046 --swversion DE.1.0.7.0 --startMP 204:500 --initTime 2016-09-21T18:46:41 --startdatetime 2016-09-21T19:02:25 --delay 2 --endMP 300:23316 --enddatetime 2016-09-21T19:08:57 --enforcementcount 0 &gt;&gt;C:\Users\stu\Documents\GitHub\eaglep3-reporting\EC\2016-09-21-refined-times.txt</v>
      </c>
      <c r="AI204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{"issue":{"subject":"","project_id":79,"tracker_id":40,"status_id":1,"priority_id":2,"assigned_to_id":23,"start_date":"2016-09-21","description":"","custom_fields":[{"id":1,"name":"Subdivision","value":"Other"},{"id":4,"name":"Milepost","value":"2.3316"},{"id":17,"name":"Train ID","value":"303-21"},{"id":16,"name":"Locomotive ID","value":"4046"},{"id":130,"name":"Impact","value":""},{"id":150,"name":"Time of Event (Mountain Time)","value":"19:08:57"},{"id":151,"name":"Denver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589</v>
      </c>
      <c r="B205" s="7">
        <v>4007</v>
      </c>
      <c r="C205" s="24" t="s">
        <v>106</v>
      </c>
      <c r="D205" s="24" t="s">
        <v>225</v>
      </c>
      <c r="E205" s="15">
        <v>42634.81826388889</v>
      </c>
      <c r="F205" s="15">
        <v>25568.708333333332</v>
      </c>
      <c r="G205" s="7">
        <v>1</v>
      </c>
      <c r="H205" s="15" t="s">
        <v>684</v>
      </c>
      <c r="I205" s="15">
        <v>25568.708333333332</v>
      </c>
      <c r="J205" s="7">
        <v>0</v>
      </c>
      <c r="K205" s="121" t="str">
        <f t="shared" ref="K205:K221" si="78">IF(ISEVEN(B205),(B205-1)&amp;"/"&amp;B205,B205&amp;"/"&amp;(B205+1))</f>
        <v>4007/4008</v>
      </c>
      <c r="L205" s="24" t="str">
        <f>VLOOKUP(A205,'Trips&amp;Operators'!$C$1:$E$10000,3,FALSE)</f>
        <v>STORY</v>
      </c>
      <c r="M205" s="6">
        <f t="shared" ref="M205:M221" si="79">I205-F205</f>
        <v>0</v>
      </c>
      <c r="N205" s="7">
        <f t="shared" si="71"/>
        <v>0</v>
      </c>
      <c r="O205" s="7"/>
      <c r="P205" s="7"/>
      <c r="Q205" s="25"/>
      <c r="R205" s="25"/>
      <c r="S205" s="37">
        <f t="shared" ref="S205:S221" si="80">SUM(U205:U205)/IF(AG205="EC",12,1)</f>
        <v>1</v>
      </c>
      <c r="T205" s="52" t="str">
        <f t="shared" ref="T205:T221" si="81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1" si="82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https://search-rtdc-monitor-bjffxe2xuh6vdkpspy63sjmuny.us-east-1.es.amazonaws.com/_plugin/kibana/#/discover/Steve-Slow-Train-Analysis-(2080s-and-2083s)?_g=(refreshInterval:(display:Off,section:0,value:0),time:(from:'2016-09-21 18:38:18-0600',mode:absolute,to:'1969-12-31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05" s="54" t="str">
        <f t="shared" ref="W205:W221" si="83">IF(AA205&lt;IF(AG205="EC",23,5.65),"Y","N")</f>
        <v>Y</v>
      </c>
      <c r="X205" s="168">
        <f t="shared" si="75"/>
        <v>4</v>
      </c>
      <c r="Y205" s="69">
        <f t="shared" si="73"/>
        <v>4.6600000000000003E-2</v>
      </c>
      <c r="Z205" s="69">
        <f t="shared" si="74"/>
        <v>2.3306</v>
      </c>
      <c r="AA205" s="69">
        <f t="shared" ref="AA205:AA268" si="84">ABS(Z205-Y205)</f>
        <v>2.2839999999999998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1" si="85">IF(LEN(A205)=6,"0"&amp;A205,A205)</f>
        <v>0307-21</v>
      </c>
      <c r="AE205" s="99" t="str">
        <f t="shared" ref="AE205:AE221" si="86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205" s="96" t="str">
        <f t="shared" ref="AF205:AF221" si="8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)|(\|lc)|(penalty)|(\[timeout)|(PRM\|1\|D)|(kpr)|(kdp))" /e /r /s</v>
      </c>
      <c r="AG205" s="1" t="str">
        <f t="shared" ref="AG205:AG221" si="88">IFERROR(IF(VALUE(LEFT(AD205,2))&lt;=2,"EC",IF(OR(VALUE(LEFT(AD205,2))=8,VALUE(LEFT(AD205,2))=18),"NW","Other")),"Other")</f>
        <v>Other</v>
      </c>
      <c r="AH205" s="100" t="str">
        <f t="shared" si="76"/>
        <v>"%USERPROFILE%\Documents\GitHub\eaglep3\Utilities\RefineRTDCRunTimes.py" --tripid 307-21 --locoid 4007 --swversion DE.1.0.7.0 --startMP 204:466 --initTime 2016-09-21T19:38:18 --startdatetime 1969-12-31T17:00:00 --delay 1 --endMP 300:23306 --enddatetime 1969-12-31T17:00:00 --enforcementcount 0 &gt;&gt;C:\Users\stu\Documents\GitHub\eaglep3-reporting\EC\2016-09-21-refined-times.txt</v>
      </c>
      <c r="AI205" s="134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ID","value":"307-21"},{"id":16,"name":"Locomotive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616</v>
      </c>
      <c r="B206" s="7">
        <v>4020</v>
      </c>
      <c r="C206" s="24" t="s">
        <v>106</v>
      </c>
      <c r="D206" s="24" t="s">
        <v>231</v>
      </c>
      <c r="E206" s="15">
        <v>42635.029583333337</v>
      </c>
      <c r="F206" s="15">
        <v>42635.031111111108</v>
      </c>
      <c r="G206" s="7">
        <v>2</v>
      </c>
      <c r="H206" s="15" t="s">
        <v>685</v>
      </c>
      <c r="I206" s="15">
        <v>42635.036990740744</v>
      </c>
      <c r="J206" s="7">
        <v>0</v>
      </c>
      <c r="K206" s="121" t="str">
        <f t="shared" si="78"/>
        <v>4019/4020</v>
      </c>
      <c r="L206" s="24" t="str">
        <f>VLOOKUP(A206,'Trips&amp;Operators'!$C$1:$E$10000,3,FALSE)</f>
        <v>STURGEON</v>
      </c>
      <c r="M206" s="6">
        <f t="shared" si="79"/>
        <v>5.8796296361833811E-3</v>
      </c>
      <c r="N206" s="7">
        <f t="shared" si="71"/>
        <v>8.4666666761040688</v>
      </c>
      <c r="O206" s="7"/>
      <c r="P206" s="7"/>
      <c r="Q206" s="25"/>
      <c r="R206" s="25"/>
      <c r="S206" s="37">
        <f t="shared" si="80"/>
        <v>1</v>
      </c>
      <c r="T206" s="52" t="str">
        <f t="shared" si="81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23:42:36-0600',mode:absolute,to:'2016-09-22 01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6" s="54" t="str">
        <f t="shared" si="83"/>
        <v>Y</v>
      </c>
      <c r="X206" s="168">
        <f t="shared" si="75"/>
        <v>2</v>
      </c>
      <c r="Y206" s="69">
        <f t="shared" si="73"/>
        <v>4.5999999999999999E-2</v>
      </c>
      <c r="Z206" s="69">
        <f t="shared" si="74"/>
        <v>2.3311999999999999</v>
      </c>
      <c r="AA206" s="69">
        <f t="shared" si="84"/>
        <v>2.2852000000000001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85"/>
        <v>0309-21</v>
      </c>
      <c r="AE206" s="99" t="str">
        <f t="shared" si="86"/>
        <v>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 &amp; 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</v>
      </c>
      <c r="AF206" s="96" t="str">
        <f t="shared" si="87"/>
        <v>"C:\Program Files (x86)\AstroGrep\AstroGrep.exe" /spath="%USERPROFILE%\AppData\Local\Temp\OnboardLogs" /stypes="app*4020*20160922*" /stext=" 06:.+((SYSTEM_STATE.+slice.+state.+changed )|(ment ac)|(system.+state.+changed )|(\|lc)|(penalty)|(\[timeout)|(PRM\|1\|D)|(kpr)|(kdp))" /e /r /s</v>
      </c>
      <c r="AG206" s="1" t="str">
        <f t="shared" si="88"/>
        <v>Other</v>
      </c>
      <c r="AH206" s="100" t="str">
        <f t="shared" si="76"/>
        <v>"%USERPROFILE%\Documents\GitHub\eaglep3\Utilities\RefineRTDCRunTimes.py" --tripid 309-21 --locoid 4020 --swversion DE.1.0.7.0 --startMP 204:460 --initTime 2016-09-22T00:42:36 --startdatetime 2016-09-22T00:44:48 --delay 2 --endMP 300:23312 --enddatetime 2016-09-22T00:53:16 --enforcementcount 0 &gt;&gt;C:\Users\stu\Documents\GitHub\eaglep3-reporting\EC\2016-09-21-refined-times.txt</v>
      </c>
      <c r="AI206" s="134" t="str">
        <f t="shared" si="77"/>
        <v>echo {"issue":{"subject":"","project_id":79,"tracker_id":40,"status_id":1,"priority_id":2,"assigned_to_id":23,"start_date":"2016-09-22","description":"","custom_fields":[{"id":1,"name":"Subdivision","value":"Other"},{"id":4,"name":"Milepost","value":"2.3312"},{"id":17,"name":"Train ID","value":"309-21"},{"id":16,"name":"Locomotive ID","value":"4020"},{"id":130,"name":"Impact","value":""},{"id":150,"name":"Time of Event (Mountain Time)","value":"00:53:16"},{"id":151,"name":"Denver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620</v>
      </c>
      <c r="B207" s="7">
        <v>4027</v>
      </c>
      <c r="C207" s="24" t="s">
        <v>106</v>
      </c>
      <c r="D207" s="24" t="s">
        <v>674</v>
      </c>
      <c r="E207" s="15">
        <v>42635.067210648151</v>
      </c>
      <c r="F207" s="15">
        <v>25568.708333333332</v>
      </c>
      <c r="G207" s="7">
        <v>1</v>
      </c>
      <c r="H207" s="15" t="s">
        <v>686</v>
      </c>
      <c r="I207" s="15">
        <v>25568.708333333332</v>
      </c>
      <c r="J207" s="7">
        <v>0</v>
      </c>
      <c r="K207" s="121" t="str">
        <f t="shared" si="78"/>
        <v>4027/4028</v>
      </c>
      <c r="L207" s="24" t="str">
        <f>VLOOKUP(A207,'Trips&amp;Operators'!$C$1:$E$10000,3,FALSE)</f>
        <v>LEVIN</v>
      </c>
      <c r="M207" s="6">
        <f t="shared" si="79"/>
        <v>0</v>
      </c>
      <c r="N207" s="7">
        <f t="shared" si="71"/>
        <v>0</v>
      </c>
      <c r="O207" s="7"/>
      <c r="P207" s="7"/>
      <c r="Q207" s="25"/>
      <c r="R207" s="25"/>
      <c r="S207" s="37">
        <f t="shared" si="80"/>
        <v>1</v>
      </c>
      <c r="T207" s="52" t="str">
        <f t="shared" si="81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https://search-rtdc-monitor-bjffxe2xuh6vdkpspy63sjmuny.us-east-1.es.amazonaws.com/_plugin/kibana/#/discover/Steve-Slow-Train-Analysis-(2080s-and-2083s)?_g=(refreshInterval:(display:Off,section:0,value:0),time:(from:'2016-09-22 00:36:47-0600',mode:absolute,to:'1969-12-31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07" s="54" t="str">
        <f t="shared" si="83"/>
        <v>Y</v>
      </c>
      <c r="X207" s="168">
        <f t="shared" si="75"/>
        <v>4</v>
      </c>
      <c r="Y207" s="69">
        <f t="shared" si="73"/>
        <v>4.8800000000000003E-2</v>
      </c>
      <c r="Z207" s="69">
        <f t="shared" si="74"/>
        <v>2.3298999999999999</v>
      </c>
      <c r="AA207" s="69">
        <f t="shared" si="84"/>
        <v>2.2810999999999999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85"/>
        <v>0313-21</v>
      </c>
      <c r="AE207" s="99" t="str">
        <f t="shared" si="86"/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7" s="96" t="str">
        <f t="shared" si="87"/>
        <v>"C:\Program Files (x86)\AstroGrep\AstroGrep.exe" /spath="%USERPROFILE%\AppData\Local\Temp\OnboardLogs" /stypes="app*4027*19691231*" /stext=" 23:.+((SYSTEM_STATE.+slice.+state.+changed )|(ment ac)|(system.+state.+changed )|(\|lc)|(penalty)|(\[timeout)|(PRM\|1\|D)|(kpr)|(kdp))" /e /r /s</v>
      </c>
      <c r="AG207" s="1" t="str">
        <f t="shared" si="88"/>
        <v>Other</v>
      </c>
      <c r="AH207" s="100" t="str">
        <f t="shared" si="76"/>
        <v>"%USERPROFILE%\Documents\GitHub\eaglep3\Utilities\RefineRTDCRunTimes.py" --tripid 313-21 --locoid 4027 --swversion DE.1.0.7.0 --startMP 204:488 --initTime 2016-09-22T01:36:47 --startdatetime 1969-12-31T17:00:00 --delay 1 --endMP 300:23299 --enddatetime 1969-12-31T17:00:00 --enforcementcount 0 &gt;&gt;C:\Users\stu\Documents\GitHub\eaglep3-reporting\EC\2016-09-21-refined-times.txt</v>
      </c>
      <c r="AI207" s="134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ID","value":"313-21"},{"id":16,"name":"Locomotive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339</v>
      </c>
      <c r="B208" s="7">
        <v>4011</v>
      </c>
      <c r="C208" s="24" t="s">
        <v>106</v>
      </c>
      <c r="D208" s="24" t="s">
        <v>275</v>
      </c>
      <c r="E208" s="15">
        <v>42634.091840277775</v>
      </c>
      <c r="F208" s="15">
        <v>42634.093807870369</v>
      </c>
      <c r="G208" s="7">
        <v>1</v>
      </c>
      <c r="H208" s="15" t="s">
        <v>372</v>
      </c>
      <c r="I208" s="15">
        <v>42634.099456018521</v>
      </c>
      <c r="J208" s="7">
        <v>0</v>
      </c>
      <c r="K208" s="121" t="str">
        <f t="shared" si="78"/>
        <v>4011/4012</v>
      </c>
      <c r="L208" s="24" t="str">
        <f>VLOOKUP(A208,'Trips&amp;Operators'!$C$1:$E$10000,3,FALSE)</f>
        <v>CHANDLER</v>
      </c>
      <c r="M208" s="6">
        <f t="shared" si="79"/>
        <v>5.6481481515220366E-3</v>
      </c>
      <c r="N208" s="7">
        <f t="shared" si="71"/>
        <v>8.1333333381917328</v>
      </c>
      <c r="O208" s="7"/>
      <c r="P208" s="7"/>
      <c r="Q208" s="25"/>
      <c r="R208" s="25"/>
      <c r="S208" s="37">
        <f t="shared" si="80"/>
        <v>1</v>
      </c>
      <c r="T208" s="52" t="str">
        <f t="shared" si="81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01:12:15-0600',mode:absolute,to:'2016-09-21 03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8" s="54" t="str">
        <f t="shared" si="83"/>
        <v>Y</v>
      </c>
      <c r="X208" s="168">
        <f t="shared" si="75"/>
        <v>2</v>
      </c>
      <c r="Y208" s="69">
        <f t="shared" si="73"/>
        <v>4.82E-2</v>
      </c>
      <c r="Z208" s="69">
        <f t="shared" si="74"/>
        <v>2.2827999999999999</v>
      </c>
      <c r="AA208" s="69">
        <f t="shared" si="84"/>
        <v>2.2345999999999999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85"/>
        <v>0315-20</v>
      </c>
      <c r="AE208" s="99" t="str">
        <f t="shared" si="86"/>
        <v>aws s3 cp s3://rtdc.mdm.uploadarchive/RTDC4011/2016-09-21/ "%USERPROFILE%\AppData\Local\Temp\OnboardLogs"\RTDC4011\2016-09-21 --recursive &amp; "%USERPROFILE%\Documents\GitHub\mrs-test-scripts\Headless Mode &amp; Sideloading\WalkAndUnGZ.bat" "%USERPROFILE%\AppData\Local\Temp\OnboardLogs"\RTDC4011\2016-09-21 &amp; aws s3 cp s3://rtdc.mdm.uploadarchive/RTDC4011/2016-09-22/ "%USERPROFILE%\AppData\Local\Temp\OnboardLogs"\RTDC4011\2016-09-22 --recursive &amp; "%USERPROFILE%\Documents\GitHub\mrs-test-scripts\Headless Mode &amp; Sideloading\WalkAndUnGZ.bat" "%USERPROFILE%\AppData\Local\Temp\OnboardLogs"\RTDC4011\2016-09-22</v>
      </c>
      <c r="AF208" s="96" t="str">
        <f t="shared" si="87"/>
        <v>"C:\Program Files (x86)\AstroGrep\AstroGrep.exe" /spath="%USERPROFILE%\AppData\Local\Temp\OnboardLogs" /stypes="app*4011*20160921*" /stext=" 08:.+((SYSTEM_STATE.+slice.+state.+changed )|(ment ac)|(system.+state.+changed )|(\|lc)|(penalty)|(\[timeout)|(PRM\|1\|D)|(kpr)|(kdp))" /e /r /s</v>
      </c>
      <c r="AG208" s="1" t="str">
        <f t="shared" si="88"/>
        <v>Other</v>
      </c>
      <c r="AH208" s="100" t="str">
        <f t="shared" si="76"/>
        <v>"%USERPROFILE%\Documents\GitHub\eaglep3\Utilities\RefineRTDCRunTimes.py" --tripid 315-20 --locoid 4011 --swversion DE.1.0.7.0 --startMP 204:482 --initTime 2016-09-21T02:12:15 --startdatetime 2016-09-21T02:15:05 --delay 1 --endMP 300:22828 --enddatetime 2016-09-21T02:23:13 --enforcementcount 0 &gt;&gt;C:\Users\stu\Documents\GitHub\eaglep3-reporting\EC\2016-09-21-refined-times.txt</v>
      </c>
      <c r="AI208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{"issue":{"subject":"","project_id":79,"tracker_id":40,"status_id":1,"priority_id":2,"assigned_to_id":23,"start_date":"2016-09-21","description":"","custom_fields":[{"id":1,"name":"Subdivision","value":"Other"},{"id":4,"name":"Milepost","value":"2.2828"},{"id":17,"name":"Train ID","value":"315-20"},{"id":16,"name":"Locomotive ID","value":"4011"},{"id":130,"name":"Impact","value":""},{"id":150,"name":"Time of Event (Mountain Time)","value":"02:23:13"},{"id":151,"name":"Denver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455</v>
      </c>
      <c r="B209" s="7">
        <v>4031</v>
      </c>
      <c r="C209" s="24" t="s">
        <v>106</v>
      </c>
      <c r="D209" s="24" t="s">
        <v>762</v>
      </c>
      <c r="E209" s="15">
        <v>42634.357442129629</v>
      </c>
      <c r="F209" s="15">
        <v>42634.358726851853</v>
      </c>
      <c r="G209" s="7">
        <v>1</v>
      </c>
      <c r="H209" s="15" t="s">
        <v>763</v>
      </c>
      <c r="I209" s="15">
        <v>42634.364224537036</v>
      </c>
      <c r="J209" s="7">
        <v>0</v>
      </c>
      <c r="K209" s="121" t="str">
        <f t="shared" si="78"/>
        <v>4031/4032</v>
      </c>
      <c r="L209" s="24" t="str">
        <f>VLOOKUP(A209,'Trips&amp;Operators'!$C$1:$E$10000,3,FALSE)</f>
        <v>STARKS</v>
      </c>
      <c r="M209" s="6">
        <f t="shared" si="79"/>
        <v>5.4976851824903861E-3</v>
      </c>
      <c r="N209" s="7">
        <f t="shared" si="71"/>
        <v>7.9166666627861559</v>
      </c>
      <c r="O209" s="7"/>
      <c r="P209" s="7"/>
      <c r="Q209" s="25"/>
      <c r="R209" s="25"/>
      <c r="S209" s="37">
        <f t="shared" si="80"/>
        <v>1</v>
      </c>
      <c r="T209" s="52" t="str">
        <f t="shared" si="81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07:34:43-0600',mode:absolute,to:'2016-09-21 09:44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9" s="54" t="str">
        <f t="shared" si="83"/>
        <v>Y</v>
      </c>
      <c r="X209" s="168">
        <f t="shared" si="75"/>
        <v>588</v>
      </c>
      <c r="Y209" s="69">
        <f t="shared" si="73"/>
        <v>3.61E-2</v>
      </c>
      <c r="Z209" s="69">
        <f t="shared" si="74"/>
        <v>2.4207999999999998</v>
      </c>
      <c r="AA209" s="69">
        <f t="shared" si="84"/>
        <v>2.3847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85"/>
        <v>0903-21</v>
      </c>
      <c r="AE209" s="99" t="str">
        <f t="shared" si="86"/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AF209" s="96" t="str">
        <f t="shared" si="87"/>
        <v>"C:\Program Files (x86)\AstroGrep\AstroGrep.exe" /spath="%USERPROFILE%\AppData\Local\Temp\OnboardLogs" /stypes="app*4031*20160921*" /stext=" 14:.+((SYSTEM_STATE.+slice.+state.+changed )|(ment ac)|(system.+state.+changed )|(\|lc)|(penalty)|(\[timeout)|(PRM\|1\|D)|(kpr)|(kdp))" /e /r /s</v>
      </c>
      <c r="AG209" s="1" t="str">
        <f t="shared" si="88"/>
        <v>Other</v>
      </c>
      <c r="AH209" s="100" t="str">
        <f t="shared" si="76"/>
        <v>"%USERPROFILE%\Documents\GitHub\eaglep3\Utilities\RefineRTDCRunTimes.py" --tripid 903-21 --locoid 4031 --swversion DE.1.0.7.0 --startMP 204:361 --initTime 2016-09-21T08:34:43 --startdatetime 2016-09-21T08:36:34 --delay 1 --endMP 300:24208 --enddatetime 2016-09-21T08:44:29 --enforcementcount 0 &gt;&gt;C:\Users\stu\Documents\GitHub\eaglep3-reporting\EC\2016-09-21-refined-times.txt</v>
      </c>
      <c r="AI209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{"issue":{"subject":"","project_id":79,"tracker_id":40,"status_id":1,"priority_id":2,"assigned_to_id":23,"start_date":"2016-09-21","description":"","custom_fields":[{"id":1,"name":"Subdivision","value":"Other"},{"id":4,"name":"Milepost","value":"2.4208"},{"id":17,"name":"Train ID","value":"903-21"},{"id":16,"name":"Locomotive ID","value":"4031"},{"id":130,"name":"Impact","value":""},{"id":150,"name":"Time of Event (Mountain Time)","value":"08:44:29"},{"id":151,"name":"Denver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534</v>
      </c>
      <c r="B210" s="7">
        <v>4032</v>
      </c>
      <c r="C210" s="24" t="s">
        <v>106</v>
      </c>
      <c r="D210" s="24" t="s">
        <v>764</v>
      </c>
      <c r="E210" s="15">
        <v>42634.63890046296</v>
      </c>
      <c r="F210" s="15">
        <v>42634.640833333331</v>
      </c>
      <c r="G210" s="7">
        <v>1</v>
      </c>
      <c r="H210" s="15" t="s">
        <v>765</v>
      </c>
      <c r="I210" s="15">
        <v>42634.64099537037</v>
      </c>
      <c r="J210" s="7">
        <v>0</v>
      </c>
      <c r="K210" s="121" t="str">
        <f t="shared" si="78"/>
        <v>4031/4032</v>
      </c>
      <c r="L210" s="24" t="str">
        <f>VLOOKUP(A210,'Trips&amp;Operators'!$C$1:$E$10000,3,FALSE)</f>
        <v>LEVERE</v>
      </c>
      <c r="M210" s="6">
        <f t="shared" si="79"/>
        <v>1.6203703853534535E-4</v>
      </c>
      <c r="N210" s="7">
        <f t="shared" si="71"/>
        <v>0.2333333354908973</v>
      </c>
      <c r="O210" s="7"/>
      <c r="P210" s="7"/>
      <c r="Q210" s="25"/>
      <c r="R210" s="25"/>
      <c r="S210" s="37">
        <f t="shared" si="80"/>
        <v>0</v>
      </c>
      <c r="T210" s="52" t="str">
        <f t="shared" si="81"/>
        <v>Southbound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14:20:01-0600',mode:absolute,to:'2016-09-21 16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0" s="54" t="str">
        <f t="shared" si="83"/>
        <v>Y</v>
      </c>
      <c r="X210" s="168">
        <f t="shared" si="75"/>
        <v>1</v>
      </c>
      <c r="Y210" s="69">
        <f t="shared" si="73"/>
        <v>2.4377</v>
      </c>
      <c r="Z210" s="69">
        <f t="shared" si="74"/>
        <v>2.3868999999999998</v>
      </c>
      <c r="AA210" s="69">
        <f t="shared" si="84"/>
        <v>5.0800000000000178E-2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85"/>
        <v>0904-21</v>
      </c>
      <c r="AE210" s="99" t="str">
        <f t="shared" si="86"/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AF210" s="96" t="str">
        <f t="shared" si="87"/>
        <v>"C:\Program Files (x86)\AstroGrep\AstroGrep.exe" /spath="%USERPROFILE%\AppData\Local\Temp\OnboardLogs" /stypes="app*4032*20160921*" /stext=" 21:.+((SYSTEM_STATE.+slice.+state.+changed )|(ment ac)|(system.+state.+changed )|(\|lc)|(penalty)|(\[timeout)|(PRM\|1\|D)|(kpr)|(kdp))" /e /r /s</v>
      </c>
      <c r="AG210" s="1" t="str">
        <f t="shared" si="88"/>
        <v>Other</v>
      </c>
      <c r="AH210" s="100" t="str">
        <f t="shared" si="76"/>
        <v>"%USERPROFILE%\Documents\GitHub\eaglep3\Utilities\RefineRTDCRunTimes.py" --tripid 904-21 --locoid 4032 --swversion DE.1.0.7.0 --startMP 300:24377 --initTime 2016-09-21T15:20:01 --startdatetime 2016-09-21T15:22:48 --delay 1 --endMP 300:23869 --enddatetime 2016-09-21T15:23:02 --enforcementcount 0 &gt;&gt;C:\Users\stu\Documents\GitHub\eaglep3-reporting\EC\2016-09-21-refined-times.txt</v>
      </c>
      <c r="AI210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{"issue":{"subject":"","project_id":79,"tracker_id":40,"status_id":1,"priority_id":2,"assigned_to_id":23,"start_date":"2016-09-21","description":"","custom_fields":[{"id":1,"name":"Subdivision","value":"Other"},{"id":4,"name":"Milepost","value":"2.3869"},{"id":17,"name":"Train ID","value":"904-21"},{"id":16,"name":"Locomotive ID","value":"4032"},{"id":130,"name":"Impact","value":""},{"id":150,"name":"Time of Event (Mountain Time)","value":"15:23:02"},{"id":151,"name":"Denver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584</v>
      </c>
      <c r="B211" s="7">
        <v>4032</v>
      </c>
      <c r="C211" s="24" t="s">
        <v>106</v>
      </c>
      <c r="D211" s="24" t="s">
        <v>766</v>
      </c>
      <c r="E211" s="15">
        <v>42634.797094907408</v>
      </c>
      <c r="F211" s="15">
        <v>25568.708333333332</v>
      </c>
      <c r="G211" s="7">
        <v>1</v>
      </c>
      <c r="H211" s="15" t="s">
        <v>767</v>
      </c>
      <c r="I211" s="15">
        <v>25568.708333333332</v>
      </c>
      <c r="J211" s="7">
        <v>0</v>
      </c>
      <c r="K211" s="121" t="str">
        <f t="shared" si="78"/>
        <v>4031/4032</v>
      </c>
      <c r="L211" s="24" t="str">
        <f>VLOOKUP(A211,'Trips&amp;Operators'!$C$1:$E$10000,3,FALSE)</f>
        <v>LEVERE</v>
      </c>
      <c r="M211" s="6">
        <f t="shared" si="79"/>
        <v>0</v>
      </c>
      <c r="N211" s="7">
        <f t="shared" si="71"/>
        <v>0</v>
      </c>
      <c r="O211" s="7"/>
      <c r="P211" s="7"/>
      <c r="Q211" s="25"/>
      <c r="R211" s="25"/>
      <c r="S211" s="37">
        <f t="shared" si="80"/>
        <v>0</v>
      </c>
      <c r="T211" s="52" t="str">
        <f t="shared" si="81"/>
        <v>Southbound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18:07:49-0600',mode:absolute,to:'1969-12-31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11" s="54" t="str">
        <f t="shared" si="83"/>
        <v>Y</v>
      </c>
      <c r="X211" s="168">
        <f t="shared" si="75"/>
        <v>2</v>
      </c>
      <c r="Y211" s="69">
        <f t="shared" si="73"/>
        <v>5.8643000000000001</v>
      </c>
      <c r="Z211" s="69">
        <f t="shared" si="74"/>
        <v>2.8795000000000002</v>
      </c>
      <c r="AA211" s="69">
        <f t="shared" si="84"/>
        <v>2.9847999999999999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85"/>
        <v>0906-21</v>
      </c>
      <c r="AE211" s="99" t="str">
        <f t="shared" si="86"/>
        <v>aws s3 cp s3://rtdc.mdm.uploadarchive/RTDC4032/1969-12-31/ "%USERPROFILE%\AppData\Local\Temp\OnboardLogs"\RTDC4032\1969-12-31 --recursive &amp; "%USERPROFILE%\Documents\GitHub\mrs-test-scripts\Headless Mode &amp; Sideloading\WalkAndUnGZ.bat" "%USERPROFILE%\AppData\Local\Temp\OnboardLogs"\RTDC4032\1969-12-31 &amp; aws s3 cp s3://rtdc.mdm.uploadarchive/RTDC4032/1970-01-01/ "%USERPROFILE%\AppData\Local\Temp\OnboardLogs"\RTDC4032\1970-01-01 --recursive &amp; "%USERPROFILE%\Documents\GitHub\mrs-test-scripts\Headless Mode &amp; Sideloading\WalkAndUnGZ.bat" "%USERPROFILE%\AppData\Local\Temp\OnboardLogs"\RTDC4032\1970-01-01</v>
      </c>
      <c r="AF211" s="96" t="str">
        <f t="shared" si="87"/>
        <v>"C:\Program Files (x86)\AstroGrep\AstroGrep.exe" /spath="%USERPROFILE%\AppData\Local\Temp\OnboardLogs" /stypes="app*4032*19691231*" /stext=" 23:.+((SYSTEM_STATE.+slice.+state.+changed )|(ment ac)|(system.+state.+changed )|(\|lc)|(penalty)|(\[timeout)|(PRM\|1\|D)|(kpr)|(kdp))" /e /r /s</v>
      </c>
      <c r="AG211" s="1" t="str">
        <f t="shared" si="88"/>
        <v>Other</v>
      </c>
      <c r="AH211" s="100" t="str">
        <f t="shared" si="76"/>
        <v>"%USERPROFILE%\Documents\GitHub\eaglep3\Utilities\RefineRTDCRunTimes.py" --tripid 906-21 --locoid 4032 --swversion DE.1.0.7.0 --startMP 300:58643 --initTime 2016-09-21T19:07:49 --startdatetime 1969-12-31T17:00:00 --delay 1 --endMP 300:28795 --enddatetime 1969-12-31T17:00:00 --enforcementcount 0 &gt;&gt;C:\Users\stu\Documents\GitHub\eaglep3-reporting\EC\2016-09-21-refined-times.txt</v>
      </c>
      <c r="AI211" s="134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ID","value":"906-21"},{"id":16,"name":"Locomotive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607</v>
      </c>
      <c r="B212" s="7">
        <v>4043</v>
      </c>
      <c r="C212" s="24" t="s">
        <v>106</v>
      </c>
      <c r="D212" s="24" t="s">
        <v>375</v>
      </c>
      <c r="E212" s="15">
        <v>42634.943414351852</v>
      </c>
      <c r="F212" s="15">
        <v>42634.945428240739</v>
      </c>
      <c r="G212" s="7">
        <v>1</v>
      </c>
      <c r="H212" s="15" t="s">
        <v>768</v>
      </c>
      <c r="I212" s="15">
        <v>42634.950381944444</v>
      </c>
      <c r="J212" s="7">
        <v>0</v>
      </c>
      <c r="K212" s="121" t="str">
        <f t="shared" si="78"/>
        <v>4043/4044</v>
      </c>
      <c r="L212" s="24" t="str">
        <f>VLOOKUP(A212,'Trips&amp;Operators'!$C$1:$E$10000,3,FALSE)</f>
        <v>LEVERE</v>
      </c>
      <c r="M212" s="6">
        <f t="shared" si="79"/>
        <v>4.9537037048139609E-3</v>
      </c>
      <c r="N212" s="7">
        <f t="shared" si="71"/>
        <v>7.1333333349321038</v>
      </c>
      <c r="O212" s="7"/>
      <c r="P212" s="7"/>
      <c r="Q212" s="25"/>
      <c r="R212" s="25"/>
      <c r="S212" s="37">
        <f t="shared" si="80"/>
        <v>0</v>
      </c>
      <c r="T212" s="52" t="str">
        <f t="shared" si="81"/>
        <v>Southbound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21:38:31-0600',mode:absolute,to:'2016-09-21 23:48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2" s="54" t="str">
        <f t="shared" si="83"/>
        <v>Y</v>
      </c>
      <c r="X212" s="168">
        <f t="shared" si="75"/>
        <v>2</v>
      </c>
      <c r="Y212" s="69">
        <f t="shared" si="73"/>
        <v>5.8623000000000003</v>
      </c>
      <c r="Z212" s="69">
        <f t="shared" si="74"/>
        <v>2.1745999999999999</v>
      </c>
      <c r="AA212" s="69">
        <f t="shared" si="84"/>
        <v>3.6877000000000004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85"/>
        <v>0908-21</v>
      </c>
      <c r="AE212" s="99" t="str">
        <f t="shared" si="86"/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AF212" s="96" t="str">
        <f t="shared" si="87"/>
        <v>"C:\Program Files (x86)\AstroGrep\AstroGrep.exe" /spath="%USERPROFILE%\AppData\Local\Temp\OnboardLogs" /stypes="app*4043*20160922*" /stext=" 04:.+((SYSTEM_STATE.+slice.+state.+changed )|(ment ac)|(system.+state.+changed )|(\|lc)|(penalty)|(\[timeout)|(PRM\|1\|D)|(kpr)|(kdp))" /e /r /s</v>
      </c>
      <c r="AG212" s="1" t="str">
        <f t="shared" si="88"/>
        <v>Other</v>
      </c>
      <c r="AH212" s="100" t="str">
        <f t="shared" si="76"/>
        <v>"%USERPROFILE%\Documents\GitHub\eaglep3\Utilities\RefineRTDCRunTimes.py" --tripid 908-21 --locoid 4043 --swversion DE.1.0.7.0 --startMP 300:58623 --initTime 2016-09-21T22:38:31 --startdatetime 2016-09-21T22:41:25 --delay 1 --endMP 300:21746 --enddatetime 2016-09-21T22:48:33 --enforcementcount 0 &gt;&gt;C:\Users\stu\Documents\GitHub\eaglep3-reporting\EC\2016-09-21-refined-times.txt</v>
      </c>
      <c r="AI212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{"issue":{"subject":"","project_id":79,"tracker_id":40,"status_id":1,"priority_id":2,"assigned_to_id":23,"start_date":"2016-09-21","description":"","custom_fields":[{"id":1,"name":"Subdivision","value":"Other"},{"id":4,"name":"Milepost","value":"2.1746"},{"id":17,"name":"Train ID","value":"908-21"},{"id":16,"name":"Locomotive ID","value":"4043"},{"id":130,"name":"Impact","value":""},{"id":150,"name":"Time of Event (Mountain Time)","value":"22:48:33"},{"id":151,"name":"Denver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555</v>
      </c>
      <c r="B213" s="7">
        <v>4005</v>
      </c>
      <c r="C213" s="24" t="s">
        <v>106</v>
      </c>
      <c r="D213" s="24" t="s">
        <v>687</v>
      </c>
      <c r="E213" s="15">
        <v>42634.712361111109</v>
      </c>
      <c r="F213" s="15">
        <v>42634.714421296296</v>
      </c>
      <c r="G213" s="7">
        <v>2</v>
      </c>
      <c r="H213" s="15" t="s">
        <v>688</v>
      </c>
      <c r="I213" s="15">
        <v>42634.719907407409</v>
      </c>
      <c r="J213" s="7">
        <v>0</v>
      </c>
      <c r="K213" s="121" t="str">
        <f t="shared" si="78"/>
        <v>4005/4006</v>
      </c>
      <c r="L213" s="24" t="str">
        <f>VLOOKUP(A213,'Trips&amp;Operators'!$C$1:$E$10000,3,FALSE)</f>
        <v>YANAI</v>
      </c>
      <c r="M213" s="6">
        <f t="shared" si="79"/>
        <v>5.4861111129866913E-3</v>
      </c>
      <c r="N213" s="7">
        <f t="shared" si="71"/>
        <v>7.9000000027008355</v>
      </c>
      <c r="O213" s="7"/>
      <c r="P213" s="7"/>
      <c r="Q213" s="25"/>
      <c r="R213" s="25"/>
      <c r="S213" s="37">
        <f t="shared" si="80"/>
        <v>0</v>
      </c>
      <c r="T213" s="52" t="e">
        <f t="shared" si="81"/>
        <v>#VALUE!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16:05:48-0600',mode:absolute,to:'2016-09-21 18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3" s="54" t="str">
        <f t="shared" si="83"/>
        <v>Y</v>
      </c>
      <c r="X213" s="168" t="e">
        <f t="shared" si="75"/>
        <v>#VALUE!</v>
      </c>
      <c r="Y213" s="69">
        <f t="shared" si="73"/>
        <v>2.3546</v>
      </c>
      <c r="Z213" s="69">
        <f t="shared" si="74"/>
        <v>6.1000000000000004E-3</v>
      </c>
      <c r="AA213" s="69">
        <f t="shared" si="84"/>
        <v>2.3485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85"/>
        <v>50-21</v>
      </c>
      <c r="AE213" s="99" t="str">
        <f t="shared" si="86"/>
        <v>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 &amp; 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</v>
      </c>
      <c r="AF213" s="96" t="str">
        <f t="shared" si="87"/>
        <v>"C:\Program Files (x86)\AstroGrep\AstroGrep.exe" /spath="%USERPROFILE%\AppData\Local\Temp\OnboardLogs" /stypes="app*4005*20160921*" /stext=" 23:.+((SYSTEM_STATE.+slice.+state.+changed )|(ment ac)|(system.+state.+changed )|(\|lc)|(penalty)|(\[timeout)|(PRM\|1\|D)|(kpr)|(kdp))" /e /r /s</v>
      </c>
      <c r="AG213" s="1" t="str">
        <f t="shared" si="88"/>
        <v>Other</v>
      </c>
      <c r="AH213" s="100" t="str">
        <f t="shared" si="76"/>
        <v>"%USERPROFILE%\Documents\GitHub\eaglep3\Utilities\RefineRTDCRunTimes.py" --tripid 50-21 --locoid 4005 --swversion DE.1.0.7.0 --startMP 300:23546 --initTime 2016-09-21T17:05:48 --startdatetime 2016-09-21T17:08:46 --delay 2 --endMP 204:61 --enddatetime 2016-09-21T17:16:40 --enforcementcount 0 &gt;&gt;C:\Users\stu\Documents\GitHub\eaglep3-reporting\EC\2016-09-21-refined-times.txt</v>
      </c>
      <c r="AI213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{"issue":{"subject":"","project_id":79,"tracker_id":40,"status_id":1,"priority_id":2,"assigned_to_id":23,"start_date":"2016-09-21","description":"","custom_fields":[{"id":1,"name":"Subdivision","value":"Other"},{"id":4,"name":"Milepost","value":"0.0061"},{"id":17,"name":"Train ID","value":"50-21"},{"id":16,"name":"Locomotive ID","value":"4005"},{"id":130,"name":"Impact","value":""},{"id":150,"name":"Time of Event (Mountain Time)","value":"17:16:40"},{"id":151,"name":"Denver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485</v>
      </c>
      <c r="B214" s="7">
        <v>4038</v>
      </c>
      <c r="C214" s="24" t="s">
        <v>106</v>
      </c>
      <c r="D214" s="24" t="s">
        <v>689</v>
      </c>
      <c r="E214" s="15">
        <v>42634.466249999998</v>
      </c>
      <c r="F214" s="15">
        <v>42634.46802083333</v>
      </c>
      <c r="G214" s="7">
        <v>1</v>
      </c>
      <c r="H214" s="15" t="s">
        <v>690</v>
      </c>
      <c r="I214" s="15">
        <v>42634.468136574076</v>
      </c>
      <c r="J214" s="7">
        <v>0</v>
      </c>
      <c r="K214" s="121" t="str">
        <f t="shared" si="78"/>
        <v>4037/4038</v>
      </c>
      <c r="L214" s="24" t="str">
        <f>VLOOKUP(A214,'Trips&amp;Operators'!$C$1:$E$10000,3,FALSE)</f>
        <v>STAMBAUGH</v>
      </c>
      <c r="M214" s="6">
        <f t="shared" si="79"/>
        <v>1.1574074596865103E-4</v>
      </c>
      <c r="N214" s="7">
        <f t="shared" si="71"/>
        <v>0.16666667419485748</v>
      </c>
      <c r="O214" s="7"/>
      <c r="P214" s="7"/>
      <c r="Q214" s="25"/>
      <c r="R214" s="25"/>
      <c r="S214" s="37">
        <f t="shared" si="80"/>
        <v>0</v>
      </c>
      <c r="T214" s="52" t="e">
        <f t="shared" si="81"/>
        <v>#VALUE!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10:11:24-0600',mode:absolute,to:'2016-09-21 12:14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4" s="54" t="str">
        <f t="shared" si="83"/>
        <v>Y</v>
      </c>
      <c r="X214" s="168" t="e">
        <f t="shared" si="75"/>
        <v>#VALUE!</v>
      </c>
      <c r="Y214" s="69">
        <f t="shared" si="73"/>
        <v>0.14899999999999999</v>
      </c>
      <c r="Z214" s="69">
        <f t="shared" si="74"/>
        <v>0.17710000000000001</v>
      </c>
      <c r="AA214" s="69">
        <f t="shared" si="84"/>
        <v>2.8100000000000014E-2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85"/>
        <v>51-21</v>
      </c>
      <c r="AE214" s="99" t="str">
        <f t="shared" si="86"/>
        <v>aws s3 cp s3://rtdc.mdm.uploadarchive/RTDC4038/2016-09-21/ "%USERPROFILE%\AppData\Local\Temp\OnboardLogs"\RTDC4038\2016-09-21 --recursive &amp; "%USERPROFILE%\Documents\GitHub\mrs-test-scripts\Headless Mode &amp; Sideloading\WalkAndUnGZ.bat" "%USERPROFILE%\AppData\Local\Temp\OnboardLogs"\RTDC4038\2016-09-21 &amp; aws s3 cp s3://rtdc.mdm.uploadarchive/RTDC4038/2016-09-22/ "%USERPROFILE%\AppData\Local\Temp\OnboardLogs"\RTDC4038\2016-09-22 --recursive &amp; "%USERPROFILE%\Documents\GitHub\mrs-test-scripts\Headless Mode &amp; Sideloading\WalkAndUnGZ.bat" "%USERPROFILE%\AppData\Local\Temp\OnboardLogs"\RTDC4038\2016-09-22</v>
      </c>
      <c r="AF214" s="96" t="str">
        <f t="shared" si="87"/>
        <v>"C:\Program Files (x86)\AstroGrep\AstroGrep.exe" /spath="%USERPROFILE%\AppData\Local\Temp\OnboardLogs" /stypes="app*4038*20160921*" /stext=" 17:.+((SYSTEM_STATE.+slice.+state.+changed )|(ment ac)|(system.+state.+changed )|(\|lc)|(penalty)|(\[timeout)|(PRM\|1\|D)|(kpr)|(kdp))" /e /r /s</v>
      </c>
      <c r="AG214" s="1" t="str">
        <f t="shared" si="88"/>
        <v>Other</v>
      </c>
      <c r="AH214" s="100" t="str">
        <f t="shared" si="76"/>
        <v>"%USERPROFILE%\Documents\GitHub\eaglep3\Utilities\RefineRTDCRunTimes.py" --tripid 51-21 --locoid 4038 --swversion DE.1.0.7.0 --startMP 204:1490 --initTime 2016-09-21T11:11:24 --startdatetime 2016-09-21T11:13:57 --delay 1 --endMP 204:1771 --enddatetime 2016-09-21T11:14:07 --enforcementcount 0 &gt;&gt;C:\Users\stu\Documents\GitHub\eaglep3-reporting\EC\2016-09-21-refined-times.txt</v>
      </c>
      <c r="AI214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{"issue":{"subject":"","project_id":79,"tracker_id":40,"status_id":1,"priority_id":2,"assigned_to_id":23,"start_date":"2016-09-21","description":"","custom_fields":[{"id":1,"name":"Subdivision","value":"Other"},{"id":4,"name":"Milepost","value":"0.1771"},{"id":17,"name":"Train ID","value":"51-21"},{"id":16,"name":"Locomotive ID","value":"4038"},{"id":130,"name":"Impact","value":""},{"id":150,"name":"Time of Event (Mountain Time)","value":"11:14:07"},{"id":151,"name":"Denver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481</v>
      </c>
      <c r="B215" s="7">
        <v>4005</v>
      </c>
      <c r="C215" s="24" t="s">
        <v>106</v>
      </c>
      <c r="D215" s="24" t="s">
        <v>691</v>
      </c>
      <c r="E215" s="15">
        <v>42634.458877314813</v>
      </c>
      <c r="F215" s="15">
        <v>42634.459988425922</v>
      </c>
      <c r="G215" s="7">
        <v>1</v>
      </c>
      <c r="H215" s="15" t="s">
        <v>692</v>
      </c>
      <c r="I215" s="15">
        <v>42634.464432870373</v>
      </c>
      <c r="J215" s="7">
        <v>0</v>
      </c>
      <c r="K215" s="121" t="str">
        <f t="shared" si="78"/>
        <v>4005/4006</v>
      </c>
      <c r="L215" s="24" t="str">
        <f>VLOOKUP(A215,'Trips&amp;Operators'!$C$1:$E$10000,3,FALSE)</f>
        <v>HELVIE</v>
      </c>
      <c r="M215" s="6">
        <f t="shared" si="79"/>
        <v>4.4444444502005354E-3</v>
      </c>
      <c r="N215" s="7">
        <f t="shared" si="71"/>
        <v>6.4000000082887709</v>
      </c>
      <c r="O215" s="7"/>
      <c r="P215" s="7"/>
      <c r="Q215" s="25"/>
      <c r="R215" s="25"/>
      <c r="S215" s="37">
        <f t="shared" si="80"/>
        <v>0</v>
      </c>
      <c r="T215" s="52" t="e">
        <f t="shared" si="81"/>
        <v>#VALUE!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10:00:47-0600',mode:absolute,to:'2016-09-21 12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5" s="54" t="str">
        <f t="shared" si="83"/>
        <v>Y</v>
      </c>
      <c r="X215" s="168" t="e">
        <f t="shared" si="75"/>
        <v>#VALUE!</v>
      </c>
      <c r="Y215" s="69">
        <f t="shared" si="73"/>
        <v>1.5359</v>
      </c>
      <c r="Z215" s="69">
        <f t="shared" si="74"/>
        <v>9.1700000000000004E-2</v>
      </c>
      <c r="AA215" s="69">
        <f t="shared" si="84"/>
        <v>1.4441999999999999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85"/>
        <v>52-21</v>
      </c>
      <c r="AE215" s="99" t="str">
        <f t="shared" si="86"/>
        <v>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 &amp; 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</v>
      </c>
      <c r="AF215" s="96" t="str">
        <f t="shared" si="87"/>
        <v>"C:\Program Files (x86)\AstroGrep\AstroGrep.exe" /spath="%USERPROFILE%\AppData\Local\Temp\OnboardLogs" /stypes="app*4005*20160921*" /stext=" 17:.+((SYSTEM_STATE.+slice.+state.+changed )|(ment ac)|(system.+state.+changed )|(\|lc)|(penalty)|(\[timeout)|(PRM\|1\|D)|(kpr)|(kdp))" /e /r /s</v>
      </c>
      <c r="AG215" s="1" t="str">
        <f t="shared" si="88"/>
        <v>Other</v>
      </c>
      <c r="AH215" s="100" t="str">
        <f t="shared" si="76"/>
        <v>"%USERPROFILE%\Documents\GitHub\eaglep3\Utilities\RefineRTDCRunTimes.py" --tripid 52-21 --locoid 4005 --swversion DE.1.0.7.0 --startMP 300:15359 --initTime 2016-09-21T11:00:47 --startdatetime 2016-09-21T11:02:23 --delay 1 --endMP 204:917 --enddatetime 2016-09-21T11:08:47 --enforcementcount 0 &gt;&gt;C:\Users\stu\Documents\GitHub\eaglep3-reporting\EC\2016-09-21-refined-times.txt</v>
      </c>
      <c r="AI215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{"issue":{"subject":"","project_id":79,"tracker_id":40,"status_id":1,"priority_id":2,"assigned_to_id":23,"start_date":"2016-09-21","description":"","custom_fields":[{"id":1,"name":"Subdivision","value":"Other"},{"id":4,"name":"Milepost","value":"0.0917"},{"id":17,"name":"Train ID","value":"52-21"},{"id":16,"name":"Locomotive ID","value":"4005"},{"id":130,"name":"Impact","value":""},{"id":150,"name":"Time of Event (Mountain Time)","value":"11:08:47"},{"id":151,"name":"Denver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487</v>
      </c>
      <c r="B216" s="7">
        <v>4022</v>
      </c>
      <c r="C216" s="24" t="s">
        <v>106</v>
      </c>
      <c r="D216" s="24" t="s">
        <v>693</v>
      </c>
      <c r="E216" s="15">
        <v>42634.471006944441</v>
      </c>
      <c r="F216" s="15">
        <v>42634.47278935185</v>
      </c>
      <c r="G216" s="7">
        <v>1</v>
      </c>
      <c r="H216" s="15" t="s">
        <v>694</v>
      </c>
      <c r="I216" s="15">
        <v>42634.479166666664</v>
      </c>
      <c r="J216" s="7">
        <v>0</v>
      </c>
      <c r="K216" s="121" t="str">
        <f t="shared" si="78"/>
        <v>4021/4022</v>
      </c>
      <c r="L216" s="24" t="str">
        <f>VLOOKUP(A216,'Trips&amp;Operators'!$C$1:$E$10000,3,FALSE)</f>
        <v>STRICKLAND</v>
      </c>
      <c r="M216" s="6">
        <f t="shared" si="79"/>
        <v>6.3773148140171543E-3</v>
      </c>
      <c r="N216" s="7">
        <f t="shared" si="71"/>
        <v>9.1833333321847022</v>
      </c>
      <c r="O216" s="7"/>
      <c r="P216" s="7"/>
      <c r="Q216" s="25"/>
      <c r="R216" s="25"/>
      <c r="S216" s="37">
        <f t="shared" si="80"/>
        <v>0</v>
      </c>
      <c r="T216" s="52" t="e">
        <f t="shared" si="81"/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10:18:15-0600',mode:absolute,to:'2016-09-21 12:30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6" s="54" t="str">
        <f t="shared" si="83"/>
        <v>Y</v>
      </c>
      <c r="X216" s="168" t="e">
        <f t="shared" si="75"/>
        <v>#VALUE!</v>
      </c>
      <c r="Y216" s="69">
        <f t="shared" si="73"/>
        <v>3.39E-2</v>
      </c>
      <c r="Z216" s="69">
        <f t="shared" si="74"/>
        <v>2.4190999999999998</v>
      </c>
      <c r="AA216" s="69">
        <f t="shared" si="84"/>
        <v>2.3851999999999998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85"/>
        <v>53-21</v>
      </c>
      <c r="AE216" s="99" t="str">
        <f t="shared" si="86"/>
        <v>aws s3 cp s3://rtdc.mdm.uploadarchive/RTDC4022/2016-09-21/ "%USERPROFILE%\AppData\Local\Temp\OnboardLogs"\RTDC4022\2016-09-21 --recursive &amp; "%USERPROFILE%\Documents\GitHub\mrs-test-scripts\Headless Mode &amp; Sideloading\WalkAndUnGZ.bat" "%USERPROFILE%\AppData\Local\Temp\OnboardLogs"\RTDC4022\2016-09-21 &amp; aws s3 cp s3://rtdc.mdm.uploadarchive/RTDC4022/2016-09-22/ "%USERPROFILE%\AppData\Local\Temp\OnboardLogs"\RTDC4022\2016-09-22 --recursive &amp; "%USERPROFILE%\Documents\GitHub\mrs-test-scripts\Headless Mode &amp; Sideloading\WalkAndUnGZ.bat" "%USERPROFILE%\AppData\Local\Temp\OnboardLogs"\RTDC4022\2016-09-22</v>
      </c>
      <c r="AF216" s="96" t="str">
        <f t="shared" si="87"/>
        <v>"C:\Program Files (x86)\AstroGrep\AstroGrep.exe" /spath="%USERPROFILE%\AppData\Local\Temp\OnboardLogs" /stypes="app*4022*20160921*" /stext=" 17:.+((SYSTEM_STATE.+slice.+state.+changed )|(ment ac)|(system.+state.+changed )|(\|lc)|(penalty)|(\[timeout)|(PRM\|1\|D)|(kpr)|(kdp))" /e /r /s</v>
      </c>
      <c r="AG216" s="1" t="str">
        <f t="shared" si="88"/>
        <v>Other</v>
      </c>
      <c r="AH216" s="100" t="str">
        <f t="shared" si="76"/>
        <v>"%USERPROFILE%\Documents\GitHub\eaglep3\Utilities\RefineRTDCRunTimes.py" --tripid 53-21 --locoid 4022 --swversion DE.1.0.7.0 --startMP 204:339 --initTime 2016-09-21T11:18:15 --startdatetime 2016-09-21T11:20:49 --delay 1 --endMP 300:24191 --enddatetime 2016-09-21T11:30:00 --enforcementcount 0 &gt;&gt;C:\Users\stu\Documents\GitHub\eaglep3-reporting\EC\2016-09-21-refined-times.txt</v>
      </c>
      <c r="AI216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{"issue":{"subject":"","project_id":79,"tracker_id":40,"status_id":1,"priority_id":2,"assigned_to_id":23,"start_date":"2016-09-21","description":"","custom_fields":[{"id":1,"name":"Subdivision","value":"Other"},{"id":4,"name":"Milepost","value":"2.4191"},{"id":17,"name":"Train ID","value":"53-21"},{"id":16,"name":"Locomotive ID","value":"4022"},{"id":130,"name":"Impact","value":""},{"id":150,"name":"Time of Event (Mountain Time)","value":"11:30:00"},{"id":151,"name":"Denver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565</v>
      </c>
      <c r="B217" s="7">
        <v>4021</v>
      </c>
      <c r="C217" s="24" t="s">
        <v>106</v>
      </c>
      <c r="D217" s="24" t="s">
        <v>695</v>
      </c>
      <c r="E217" s="15">
        <v>42634.74013888889</v>
      </c>
      <c r="F217" s="15">
        <v>42634.744270833333</v>
      </c>
      <c r="G217" s="7">
        <v>5</v>
      </c>
      <c r="H217" s="15" t="s">
        <v>696</v>
      </c>
      <c r="I217" s="15">
        <v>42634.751562500001</v>
      </c>
      <c r="J217" s="7">
        <v>0</v>
      </c>
      <c r="K217" s="121" t="str">
        <f t="shared" si="78"/>
        <v>4021/4022</v>
      </c>
      <c r="L217" s="24" t="str">
        <f>VLOOKUP(A217,'Trips&amp;Operators'!$C$1:$E$10000,3,FALSE)</f>
        <v>COOLAHAN</v>
      </c>
      <c r="M217" s="6">
        <f t="shared" si="79"/>
        <v>7.291666668606922E-3</v>
      </c>
      <c r="N217" s="7">
        <f t="shared" si="71"/>
        <v>10.500000002793968</v>
      </c>
      <c r="O217" s="7"/>
      <c r="P217" s="7"/>
      <c r="Q217" s="25"/>
      <c r="R217" s="25"/>
      <c r="S217" s="37">
        <f t="shared" si="80"/>
        <v>0</v>
      </c>
      <c r="T217" s="52" t="e">
        <f t="shared" si="81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16:45:48-0600',mode:absolute,to:'2016-09-21 19:02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7" s="54" t="str">
        <f t="shared" si="83"/>
        <v>Y</v>
      </c>
      <c r="X217" s="168" t="e">
        <f t="shared" si="75"/>
        <v>#VALUE!</v>
      </c>
      <c r="Y217" s="69">
        <f t="shared" si="73"/>
        <v>2.3370000000000002</v>
      </c>
      <c r="Z217" s="69">
        <f t="shared" si="74"/>
        <v>3.7699999999999997E-2</v>
      </c>
      <c r="AA217" s="69">
        <f t="shared" si="84"/>
        <v>2.2993000000000001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85"/>
        <v>54-21</v>
      </c>
      <c r="AE217" s="99" t="str">
        <f t="shared" si="86"/>
        <v>aws s3 cp s3://rtdc.mdm.uploadarchive/RTDC4021/2016-09-21/ "%USERPROFILE%\AppData\Local\Temp\OnboardLogs"\RTDC4021\2016-09-21 --recursive &amp; "%USERPROFILE%\Documents\GitHub\mrs-test-scripts\Headless Mode &amp; Sideloading\WalkAndUnGZ.bat" "%USERPROFILE%\AppData\Local\Temp\OnboardLogs"\RTDC4021\2016-09-21 &amp; aws s3 cp s3://rtdc.mdm.uploadarchive/RTDC4021/2016-09-22/ "%USERPROFILE%\AppData\Local\Temp\OnboardLogs"\RTDC4021\2016-09-22 --recursive &amp; "%USERPROFILE%\Documents\GitHub\mrs-test-scripts\Headless Mode &amp; Sideloading\WalkAndUnGZ.bat" "%USERPROFILE%\AppData\Local\Temp\OnboardLogs"\RTDC4021\2016-09-22</v>
      </c>
      <c r="AF217" s="96" t="str">
        <f t="shared" si="87"/>
        <v>"C:\Program Files (x86)\AstroGrep\AstroGrep.exe" /spath="%USERPROFILE%\AppData\Local\Temp\OnboardLogs" /stypes="app*4021*20160922*" /stext=" 00:.+((SYSTEM_STATE.+slice.+state.+changed )|(ment ac)|(system.+state.+changed )|(\|lc)|(penalty)|(\[timeout)|(PRM\|1\|D)|(kpr)|(kdp))" /e /r /s</v>
      </c>
      <c r="AG217" s="1" t="str">
        <f t="shared" si="88"/>
        <v>Other</v>
      </c>
      <c r="AH217" s="100" t="str">
        <f t="shared" si="76"/>
        <v>"%USERPROFILE%\Documents\GitHub\eaglep3\Utilities\RefineRTDCRunTimes.py" --tripid 54-21 --locoid 4021 --swversion DE.1.0.7.0 --startMP 300:23370 --initTime 2016-09-21T17:45:48 --startdatetime 2016-09-21T17:51:45 --delay 5 --endMP 204:377 --enddatetime 2016-09-21T18:02:15 --enforcementcount 0 &gt;&gt;C:\Users\stu\Documents\GitHub\eaglep3-reporting\EC\2016-09-21-refined-times.txt</v>
      </c>
      <c r="AI217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{"issue":{"subject":"","project_id":79,"tracker_id":40,"status_id":1,"priority_id":2,"assigned_to_id":23,"start_date":"2016-09-21","description":"","custom_fields":[{"id":1,"name":"Subdivision","value":"Other"},{"id":4,"name":"Milepost","value":"0.0377"},{"id":17,"name":"Train ID","value":"54-21"},{"id":16,"name":"Locomotive ID","value":"4021"},{"id":130,"name":"Impact","value":""},{"id":150,"name":"Time of Event (Mountain Time)","value":"18:02:15"},{"id":151,"name":"Denver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497</v>
      </c>
      <c r="B218" s="7">
        <v>4006</v>
      </c>
      <c r="C218" s="24" t="s">
        <v>106</v>
      </c>
      <c r="D218" s="24" t="s">
        <v>697</v>
      </c>
      <c r="E218" s="15">
        <v>42634.499201388891</v>
      </c>
      <c r="F218" s="15">
        <v>42634.500868055555</v>
      </c>
      <c r="G218" s="7">
        <v>1</v>
      </c>
      <c r="H218" s="15" t="s">
        <v>698</v>
      </c>
      <c r="I218" s="15">
        <v>42634.507222222222</v>
      </c>
      <c r="J218" s="7">
        <v>0</v>
      </c>
      <c r="K218" s="121" t="str">
        <f t="shared" si="78"/>
        <v>4005/4006</v>
      </c>
      <c r="L218" s="24" t="str">
        <f>VLOOKUP(A218,'Trips&amp;Operators'!$C$1:$E$10000,3,FALSE)</f>
        <v>KILLION</v>
      </c>
      <c r="M218" s="6">
        <f t="shared" si="79"/>
        <v>6.3541666677338071E-3</v>
      </c>
      <c r="N218" s="7">
        <f t="shared" si="71"/>
        <v>9.1500000015366822</v>
      </c>
      <c r="O218" s="7"/>
      <c r="P218" s="7"/>
      <c r="Q218" s="25"/>
      <c r="R218" s="25"/>
      <c r="S218" s="37">
        <f t="shared" si="80"/>
        <v>0</v>
      </c>
      <c r="T218" s="52" t="e">
        <f t="shared" si="81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10:58:51-0600',mode:absolute,to:'2016-09-21 13:10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8" s="54" t="str">
        <f t="shared" si="83"/>
        <v>Y</v>
      </c>
      <c r="X218" s="168" t="e">
        <f t="shared" si="75"/>
        <v>#VALUE!</v>
      </c>
      <c r="Y218" s="69">
        <f t="shared" si="73"/>
        <v>0.1229</v>
      </c>
      <c r="Z218" s="69">
        <f t="shared" si="74"/>
        <v>2.4702999999999999</v>
      </c>
      <c r="AA218" s="69">
        <f t="shared" si="84"/>
        <v>2.3473999999999999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85"/>
        <v>56-21</v>
      </c>
      <c r="AE218" s="99" t="str">
        <f t="shared" si="86"/>
        <v>aws s3 cp s3://rtdc.mdm.uploadarchive/RTDC4006/2016-09-21/ "%USERPROFILE%\AppData\Local\Temp\OnboardLogs"\RTDC4006\2016-09-21 --recursive &amp; "%USERPROFILE%\Documents\GitHub\mrs-test-scripts\Headless Mode &amp; Sideloading\WalkAndUnGZ.bat" "%USERPROFILE%\AppData\Local\Temp\OnboardLogs"\RTDC4006\2016-09-21 &amp; aws s3 cp s3://rtdc.mdm.uploadarchive/RTDC4006/2016-09-22/ "%USERPROFILE%\AppData\Local\Temp\OnboardLogs"\RTDC4006\2016-09-22 --recursive &amp; "%USERPROFILE%\Documents\GitHub\mrs-test-scripts\Headless Mode &amp; Sideloading\WalkAndUnGZ.bat" "%USERPROFILE%\AppData\Local\Temp\OnboardLogs"\RTDC4006\2016-09-22</v>
      </c>
      <c r="AF218" s="96" t="str">
        <f t="shared" si="87"/>
        <v>"C:\Program Files (x86)\AstroGrep\AstroGrep.exe" /spath="%USERPROFILE%\AppData\Local\Temp\OnboardLogs" /stypes="app*4006*20160921*" /stext=" 18:.+((SYSTEM_STATE.+slice.+state.+changed )|(ment ac)|(system.+state.+changed )|(\|lc)|(penalty)|(\[timeout)|(PRM\|1\|D)|(kpr)|(kdp))" /e /r /s</v>
      </c>
      <c r="AG218" s="1" t="str">
        <f t="shared" si="88"/>
        <v>Other</v>
      </c>
      <c r="AH218" s="100" t="str">
        <f t="shared" si="76"/>
        <v>"%USERPROFILE%\Documents\GitHub\eaglep3\Utilities\RefineRTDCRunTimes.py" --tripid 56-21 --locoid 4006 --swversion DE.1.0.7.0 --startMP 204:1229 --initTime 2016-09-21T11:58:51 --startdatetime 2016-09-21T12:01:15 --delay 1 --endMP 300:24703 --enddatetime 2016-09-21T12:10:24 --enforcementcount 0 &gt;&gt;C:\Users\stu\Documents\GitHub\eaglep3-reporting\EC\2016-09-21-refined-times.txt</v>
      </c>
      <c r="AI218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{"issue":{"subject":"","project_id":79,"tracker_id":40,"status_id":1,"priority_id":2,"assigned_to_id":23,"start_date":"2016-09-21","description":"","custom_fields":[{"id":1,"name":"Subdivision","value":"Other"},{"id":4,"name":"Milepost","value":"2.4703"},{"id":17,"name":"Train ID","value":"56-21"},{"id":16,"name":"Locomotive ID","value":"4006"},{"id":130,"name":"Impact","value":""},{"id":150,"name":"Time of Event (Mountain Time)","value":"12:10:24"},{"id":151,"name":"Denver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576</v>
      </c>
      <c r="B219" s="7">
        <v>4006</v>
      </c>
      <c r="C219" s="24" t="s">
        <v>106</v>
      </c>
      <c r="D219" s="24" t="s">
        <v>699</v>
      </c>
      <c r="E219" s="15">
        <v>42634.77171296296</v>
      </c>
      <c r="F219" s="15">
        <v>42634.774259259262</v>
      </c>
      <c r="G219" s="7">
        <v>1</v>
      </c>
      <c r="H219" s="15" t="s">
        <v>700</v>
      </c>
      <c r="I219" s="15">
        <v>42634.779351851852</v>
      </c>
      <c r="J219" s="7">
        <v>0</v>
      </c>
      <c r="K219" s="121" t="str">
        <f t="shared" si="78"/>
        <v>4005/4006</v>
      </c>
      <c r="L219" s="24" t="str">
        <f>VLOOKUP(A219,'Trips&amp;Operators'!$C$1:$E$10000,3,FALSE)</f>
        <v>HELVIE</v>
      </c>
      <c r="M219" s="6">
        <f t="shared" si="79"/>
        <v>5.0925925897900015E-3</v>
      </c>
      <c r="N219" s="7">
        <f t="shared" si="71"/>
        <v>7.3333333292976022</v>
      </c>
      <c r="O219" s="7"/>
      <c r="P219" s="7"/>
      <c r="Q219" s="25"/>
      <c r="R219" s="25"/>
      <c r="S219" s="37">
        <f t="shared" si="80"/>
        <v>0</v>
      </c>
      <c r="T219" s="52" t="e">
        <f t="shared" si="81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17:31:16-0600',mode:absolute,to:'2016-09-21 19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9" s="54" t="str">
        <f t="shared" si="83"/>
        <v>Y</v>
      </c>
      <c r="X219" s="168" t="e">
        <f t="shared" si="75"/>
        <v>#VALUE!</v>
      </c>
      <c r="Y219" s="69">
        <f t="shared" si="73"/>
        <v>3.5000000000000003E-2</v>
      </c>
      <c r="Z219" s="69">
        <f t="shared" si="74"/>
        <v>2.4209999999999998</v>
      </c>
      <c r="AA219" s="69">
        <f t="shared" si="84"/>
        <v>2.3859999999999997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85"/>
        <v>60-21</v>
      </c>
      <c r="AE219" s="99" t="str">
        <f t="shared" si="86"/>
        <v>aws s3 cp s3://rtdc.mdm.uploadarchive/RTDC4006/2016-09-21/ "%USERPROFILE%\AppData\Local\Temp\OnboardLogs"\RTDC4006\2016-09-21 --recursive &amp; "%USERPROFILE%\Documents\GitHub\mrs-test-scripts\Headless Mode &amp; Sideloading\WalkAndUnGZ.bat" "%USERPROFILE%\AppData\Local\Temp\OnboardLogs"\RTDC4006\2016-09-21 &amp; aws s3 cp s3://rtdc.mdm.uploadarchive/RTDC4006/2016-09-22/ "%USERPROFILE%\AppData\Local\Temp\OnboardLogs"\RTDC4006\2016-09-22 --recursive &amp; "%USERPROFILE%\Documents\GitHub\mrs-test-scripts\Headless Mode &amp; Sideloading\WalkAndUnGZ.bat" "%USERPROFILE%\AppData\Local\Temp\OnboardLogs"\RTDC4006\2016-09-22</v>
      </c>
      <c r="AF219" s="96" t="str">
        <f t="shared" si="87"/>
        <v>"C:\Program Files (x86)\AstroGrep\AstroGrep.exe" /spath="%USERPROFILE%\AppData\Local\Temp\OnboardLogs" /stypes="app*4006*20160922*" /stext=" 00:.+((SYSTEM_STATE.+slice.+state.+changed )|(ment ac)|(system.+state.+changed )|(\|lc)|(penalty)|(\[timeout)|(PRM\|1\|D)|(kpr)|(kdp))" /e /r /s</v>
      </c>
      <c r="AG219" s="1" t="str">
        <f t="shared" si="88"/>
        <v>Other</v>
      </c>
      <c r="AH219" s="100" t="str">
        <f t="shared" si="76"/>
        <v>"%USERPROFILE%\Documents\GitHub\eaglep3\Utilities\RefineRTDCRunTimes.py" --tripid 60-21 --locoid 4006 --swversion DE.1.0.7.0 --startMP 204:350 --initTime 2016-09-21T18:31:16 --startdatetime 2016-09-21T18:34:56 --delay 1 --endMP 300:24210 --enddatetime 2016-09-21T18:42:16 --enforcementcount 0 &gt;&gt;C:\Users\stu\Documents\GitHub\eaglep3-reporting\EC\2016-09-21-refined-times.txt</v>
      </c>
      <c r="AI219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{"issue":{"subject":"","project_id":79,"tracker_id":40,"status_id":1,"priority_id":2,"assigned_to_id":23,"start_date":"2016-09-21","description":"","custom_fields":[{"id":1,"name":"Subdivision","value":"Other"},{"id":4,"name":"Milepost","value":"2.421"},{"id":17,"name":"Train ID","value":"60-21"},{"id":16,"name":"Locomotive ID","value":"4006"},{"id":130,"name":"Impact","value":""},{"id":150,"name":"Time of Event (Mountain Time)","value":"18:42:16"},{"id":151,"name":"Denver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568</v>
      </c>
      <c r="B220" s="7">
        <v>4014</v>
      </c>
      <c r="C220" s="24" t="s">
        <v>106</v>
      </c>
      <c r="D220" s="24" t="s">
        <v>701</v>
      </c>
      <c r="E220" s="15">
        <v>42634.747384259259</v>
      </c>
      <c r="F220" s="15">
        <v>25568.708333333332</v>
      </c>
      <c r="G220" s="7">
        <v>1</v>
      </c>
      <c r="H220" s="15" t="s">
        <v>702</v>
      </c>
      <c r="I220" s="15">
        <v>25568.708333333332</v>
      </c>
      <c r="J220" s="7">
        <v>0</v>
      </c>
      <c r="K220" s="121" t="str">
        <f t="shared" si="78"/>
        <v>4013/4014</v>
      </c>
      <c r="L220" s="24" t="str">
        <f>VLOOKUP(A220,'Trips&amp;Operators'!$C$1:$E$10000,3,FALSE)</f>
        <v>STAMBAUGH</v>
      </c>
      <c r="M220" s="6">
        <f t="shared" si="79"/>
        <v>0</v>
      </c>
      <c r="N220" s="7">
        <f t="shared" si="71"/>
        <v>0</v>
      </c>
      <c r="O220" s="7"/>
      <c r="P220" s="7"/>
      <c r="Q220" s="25"/>
      <c r="R220" s="25"/>
      <c r="S220" s="37">
        <f t="shared" si="80"/>
        <v>0</v>
      </c>
      <c r="T220" s="52" t="e">
        <f t="shared" si="81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16:56:14-0600',mode:absolute,to:'1969-12-31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20" s="54" t="str">
        <f t="shared" si="83"/>
        <v>Y</v>
      </c>
      <c r="X220" s="168" t="e">
        <f t="shared" si="75"/>
        <v>#VALUE!</v>
      </c>
      <c r="Y220" s="69">
        <f t="shared" si="73"/>
        <v>0.1507</v>
      </c>
      <c r="Z220" s="69">
        <f t="shared" si="74"/>
        <v>2.331</v>
      </c>
      <c r="AA220" s="69">
        <f t="shared" si="84"/>
        <v>2.1802999999999999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85"/>
        <v>63-21</v>
      </c>
      <c r="AE220" s="99" t="str">
        <f t="shared" si="86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20" s="96" t="str">
        <f t="shared" si="87"/>
        <v>"C:\Program Files (x86)\AstroGrep\AstroGrep.exe" /spath="%USERPROFILE%\AppData\Local\Temp\OnboardLogs" /stypes="app*4014*19691231*" /stext=" 23:.+((SYSTEM_STATE.+slice.+state.+changed )|(ment ac)|(system.+state.+changed )|(\|lc)|(penalty)|(\[timeout)|(PRM\|1\|D)|(kpr)|(kdp))" /e /r /s</v>
      </c>
      <c r="AG220" s="1" t="str">
        <f t="shared" si="88"/>
        <v>Other</v>
      </c>
      <c r="AH220" s="100" t="str">
        <f t="shared" si="76"/>
        <v>"%USERPROFILE%\Documents\GitHub\eaglep3\Utilities\RefineRTDCRunTimes.py" --tripid 63-21 --locoid 4014 --swversion DE.1.0.7.0 --startMP 204:1507 --initTime 2016-09-21T17:56:14 --startdatetime 1969-12-31T17:00:00 --delay 1 --endMP 300:23310 --enddatetime 1969-12-31T17:00:00 --enforcementcount 0 &gt;&gt;C:\Users\stu\Documents\GitHub\eaglep3-reporting\EC\2016-09-21-refined-times.txt</v>
      </c>
      <c r="AI220" s="134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ID","value":"63-21"},{"id":16,"name":"Locomotive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566</v>
      </c>
      <c r="B221" s="7">
        <v>4010</v>
      </c>
      <c r="C221" s="24" t="s">
        <v>106</v>
      </c>
      <c r="D221" s="24" t="s">
        <v>769</v>
      </c>
      <c r="E221" s="15">
        <v>42634.740428240744</v>
      </c>
      <c r="F221" s="15">
        <v>42634.741712962961</v>
      </c>
      <c r="G221" s="7">
        <v>1</v>
      </c>
      <c r="H221" s="15" t="s">
        <v>770</v>
      </c>
      <c r="I221" s="15">
        <v>42634.748796296299</v>
      </c>
      <c r="J221" s="7">
        <v>0</v>
      </c>
      <c r="K221" s="121" t="str">
        <f t="shared" si="78"/>
        <v>4009/4010</v>
      </c>
      <c r="L221" s="24" t="str">
        <f>VLOOKUP(A221,'Trips&amp;Operators'!$C$1:$E$10000,3,FALSE)</f>
        <v>CUSHING</v>
      </c>
      <c r="M221" s="6">
        <f t="shared" si="79"/>
        <v>7.0833333375048824E-3</v>
      </c>
      <c r="N221" s="7">
        <f t="shared" si="71"/>
        <v>10.200000006007031</v>
      </c>
      <c r="O221" s="7"/>
      <c r="P221" s="7"/>
      <c r="Q221" s="25"/>
      <c r="R221" s="25"/>
      <c r="S221" s="37">
        <f t="shared" si="80"/>
        <v>0</v>
      </c>
      <c r="T221" s="52" t="e">
        <f t="shared" si="81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82"/>
        <v>https://search-rtdc-monitor-bjffxe2xuh6vdkpspy63sjmuny.us-east-1.es.amazonaws.com/_plugin/kibana/#/discover/Steve-Slow-Train-Analysis-(2080s-and-2083s)?_g=(refreshInterval:(display:Off,section:0,value:0),time:(from:'2016-09-21 16:46:13-0600',mode:absolute,to:'2016-09-21 18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21" s="54" t="str">
        <f t="shared" si="83"/>
        <v>Y</v>
      </c>
      <c r="X221" s="168" t="e">
        <f t="shared" si="75"/>
        <v>#VALUE!</v>
      </c>
      <c r="Y221" s="69">
        <f t="shared" si="73"/>
        <v>2.3035999999999999</v>
      </c>
      <c r="Z221" s="69">
        <f t="shared" si="74"/>
        <v>8.6699999999999999E-2</v>
      </c>
      <c r="AA221" s="69">
        <f t="shared" si="84"/>
        <v>2.2168999999999999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85"/>
        <v>CUSHING-21</v>
      </c>
      <c r="AE221" s="99" t="str">
        <f t="shared" si="86"/>
        <v>aws s3 cp s3://rtdc.mdm.uploadarchive/RTDC4010/2016-09-21/ "%USERPROFILE%\AppData\Local\Temp\OnboardLogs"\RTDC4010\2016-09-21 --recursive &amp; "%USERPROFILE%\Documents\GitHub\mrs-test-scripts\Headless Mode &amp; Sideloading\WalkAndUnGZ.bat" "%USERPROFILE%\AppData\Local\Temp\OnboardLogs"\RTDC4010\2016-09-21 &amp; aws s3 cp s3://rtdc.mdm.uploadarchive/RTDC4010/2016-09-22/ "%USERPROFILE%\AppData\Local\Temp\OnboardLogs"\RTDC4010\2016-09-22 --recursive &amp; "%USERPROFILE%\Documents\GitHub\mrs-test-scripts\Headless Mode &amp; Sideloading\WalkAndUnGZ.bat" "%USERPROFILE%\AppData\Local\Temp\OnboardLogs"\RTDC4010\2016-09-22</v>
      </c>
      <c r="AF221" s="96" t="str">
        <f t="shared" si="87"/>
        <v>"C:\Program Files (x86)\AstroGrep\AstroGrep.exe" /spath="%USERPROFILE%\AppData\Local\Temp\OnboardLogs" /stypes="app*4010*20160921*" /stext=" 23:.+((SYSTEM_STATE.+slice.+state.+changed )|(ment ac)|(system.+state.+changed )|(\|lc)|(penalty)|(\[timeout)|(PRM\|1\|D)|(kpr)|(kdp))" /e /r /s</v>
      </c>
      <c r="AG221" s="1" t="str">
        <f t="shared" si="88"/>
        <v>Other</v>
      </c>
      <c r="AH221" s="100" t="str">
        <f t="shared" si="76"/>
        <v>"%USERPROFILE%\Documents\GitHub\eaglep3\Utilities\RefineRTDCRunTimes.py" --tripid CUSHING-21 --locoid 4010 --swversion DE.1.0.7.0 --startMP 300:23036 --initTime 2016-09-21T17:46:13 --startdatetime 2016-09-21T17:48:04 --delay 1 --endMP 204:867 --enddatetime 2016-09-21T17:58:16 --enforcementcount 0 &gt;&gt;C:\Users\stu\Documents\GitHub\eaglep3-reporting\EC\2016-09-21-refined-times.txt</v>
      </c>
      <c r="AI221" s="134" t="str">
        <f t="shared" si="77"/>
        <v>echo {"issue":{"subject":"","project_id":79,"tracker_id":40,"status_id":1,"priority_id":2,"assigned_to_id":23,"start_date":"2016-09-21","description":"","custom_fields":[{"id":1,"name":"Subdivision","value":"Other"},{"id":4,"name":"Milepost","value":"0.0867"},{"id":17,"name":"Train ID","value":"CUSHING-21"},{"id":16,"name":"Locomotive ID","value":"4010"},{"id":130,"name":"Impact","value":""},{"id":150,"name":"Time of Event (Mountain Time)","value":"17:58:16"},{"id":151,"name":"Denver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</sheetData>
  <autoFilter ref="A12:AG248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48">
    <cfRule type="expression" dxfId="6" priority="262">
      <formula>$O13&gt;0</formula>
    </cfRule>
  </conditionalFormatting>
  <conditionalFormatting sqref="A13:S248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A222:S248 S13:S221 A13:Q221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AK13:AK248</xm:sqref>
        </x14:dataValidation>
        <x14:dataValidation type="list" allowBlank="1" showInputMessage="1" showErrorMessage="1">
          <x14:formula1>
            <xm:f>'Redmine List Values'!$C$2:$C$20</xm:f>
          </x14:formula1>
          <xm:sqref>AL13:AL248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8" workbookViewId="0">
      <selection activeCell="K29" sqref="K2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7.710937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1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61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- 2016-09-21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279</v>
      </c>
    </row>
    <row r="7" spans="1:29" s="1" customFormat="1" x14ac:dyDescent="0.25">
      <c r="A7" s="38">
        <v>42634.248518518521</v>
      </c>
      <c r="B7" s="33" t="s">
        <v>176</v>
      </c>
      <c r="C7" s="33" t="s">
        <v>413</v>
      </c>
      <c r="D7" s="33" t="s">
        <v>239</v>
      </c>
      <c r="E7" s="33" t="s">
        <v>169</v>
      </c>
      <c r="F7" s="49">
        <v>0</v>
      </c>
      <c r="G7" s="49">
        <v>191</v>
      </c>
      <c r="H7" s="49">
        <v>27218</v>
      </c>
      <c r="I7" s="49">
        <v>27098</v>
      </c>
      <c r="J7" s="33" t="s">
        <v>168</v>
      </c>
      <c r="K7" s="49">
        <v>27350</v>
      </c>
      <c r="L7" s="150" t="s">
        <v>53</v>
      </c>
      <c r="M7" s="153">
        <f t="shared" ref="M7:M38" si="0">CONVERT((I7-K7)/10000,"mi","ft")*IF(L7="Increasing Mileposts (1)",-1,1)</f>
        <v>-133.05600000000001</v>
      </c>
      <c r="N7" s="92" t="str">
        <f>VLOOKUP(C7,'Trips&amp;Operators'!$C$1:$E$99999,3,FALSE)</f>
        <v>SPECTOR</v>
      </c>
      <c r="O7" s="174" t="s">
        <v>86</v>
      </c>
      <c r="P7" s="10" t="s">
        <v>324</v>
      </c>
      <c r="Q7" s="33"/>
      <c r="R7" s="108" t="str">
        <f>VLOOKUP(C7,'Train Runs'!$A$13:$AE$10011,31,0)</f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S7" s="111" t="str">
        <f>VLOOKUP(C7,'Train Runs'!$A$13:$AE$10011,22,0)</f>
        <v>https://search-rtdc-monitor-bjffxe2xuh6vdkpspy63sjmuny.us-east-1.es.amazonaws.com/_plugin/kibana/#/discover/Steve-Slow-Train-Analysis-(2080s-and-2083s)?_g=(refreshInterval:(display:Off,section:0,value:0),time:(from:'2016-09-21 04:17:55-0600',mode:absolute,to:'2016-09-21 07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/stypes="*4041*201609211*" /stext=" 11:.+((SYSTEM_STATE.+slice.+state.+changed )|(ment ac)|(system.+state.+changed )|(\|lc)|(penalty)|(\[timeout)|(PRM\|1\|D)|(kpr)|(kdp))" /e /r /s</v>
      </c>
      <c r="U7" s="9" t="str">
        <f t="shared" ref="U7:U38" si="2">MID(B7,13,4)</f>
        <v>4041</v>
      </c>
      <c r="V7" s="38">
        <f t="shared" ref="V7:V38" si="3">A7+6/24</f>
        <v>42634.498518518521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arrival","project_id":79,"tracker_id":40,"status_id":1,"priority_id":2,"assigned_to_id":23,"start_date":"2016-09-21","description":"","custom_fields":[{"id":1,"name":"Subdivision","value":"EC"},{"id":4,"name":"Milepost","value":"2.735"},{"id":17,"name":"Train ID","value":"108-21"},{"id":16,"name":"Locomotive ID","value":"4041"},{"id":130,"name":"Impact","value":""},{"id":150,"name":"Time of Event (Mountain Time)","value":"05:57:52"},{"id":151,"name":"Denver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"%USERPROFILE%\AppData\Local\Temp\OnboardLogs"\RTDC4041\*4041*201609211* | grep -SE "((Enforcement Ac)|(PRM))" -</v>
      </c>
    </row>
    <row r="8" spans="1:29" s="1" customFormat="1" x14ac:dyDescent="0.25">
      <c r="A8" s="38">
        <v>42634.592245370368</v>
      </c>
      <c r="B8" s="33" t="s">
        <v>295</v>
      </c>
      <c r="C8" s="33" t="s">
        <v>515</v>
      </c>
      <c r="D8" s="33" t="s">
        <v>239</v>
      </c>
      <c r="E8" s="33" t="s">
        <v>169</v>
      </c>
      <c r="F8" s="49">
        <v>0</v>
      </c>
      <c r="G8" s="49">
        <v>124</v>
      </c>
      <c r="H8" s="49">
        <v>27244</v>
      </c>
      <c r="I8" s="49">
        <v>27118</v>
      </c>
      <c r="J8" s="33" t="s">
        <v>168</v>
      </c>
      <c r="K8" s="49">
        <v>27350</v>
      </c>
      <c r="L8" s="150" t="s">
        <v>53</v>
      </c>
      <c r="M8" s="153">
        <f t="shared" si="0"/>
        <v>-122.496</v>
      </c>
      <c r="N8" s="92" t="str">
        <f>VLOOKUP(C8,'Trips&amp;Operators'!$C$1:$E$99999,3,FALSE)</f>
        <v>BONDS</v>
      </c>
      <c r="O8" s="174" t="s">
        <v>86</v>
      </c>
      <c r="P8" s="10" t="s">
        <v>324</v>
      </c>
      <c r="Q8" s="33"/>
      <c r="R8" s="108" t="str">
        <f>VLOOKUP(C8,'Train Runs'!$A$13:$AE$10011,31,0)</f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S8" s="111" t="str">
        <f>VLOOKUP(C8,'Train Runs'!$A$13:$AE$10011,22,0)</f>
        <v>https://search-rtdc-monitor-bjffxe2xuh6vdkpspy63sjmuny.us-east-1.es.amazonaws.com/_plugin/kibana/#/discover/Steve-Slow-Train-Analysis-(2080s-and-2083s)?_g=(refreshInterval:(display:Off,section:0,value:0),time:(from:'2016-09-21 12:29:58-0600',mode:absolute,to:'2016-09-21 15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8" s="113" t="str">
        <f t="shared" si="1"/>
        <v>"C:\Program Files (x86)\AstroGrep\AstroGrep.exe" /spath="%USERPROFILE%\AppData\Local\Temp\OnboardLogs" /stypes="*4008*201609212*" /stext=" 20:.+((SYSTEM_STATE.+slice.+state.+changed )|(ment ac)|(system.+state.+changed )|(\|lc)|(penalty)|(\[timeout)|(PRM\|1\|D)|(kpr)|(kdp))" /e /r /s</v>
      </c>
      <c r="U8" s="9" t="str">
        <f t="shared" si="2"/>
        <v>4008</v>
      </c>
      <c r="V8" s="38">
        <f t="shared" si="3"/>
        <v>42634.842245370368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arrival","project_id":79,"tracker_id":40,"status_id":1,"priority_id":2,"assigned_to_id":23,"start_date":"2016-09-21","description":"","custom_fields":[{"id":1,"name":"Subdivision","value":"EC"},{"id":4,"name":"Milepost","value":"2.735"},{"id":17,"name":"Train ID","value":"174-21"},{"id":16,"name":"Locomotive ID","value":"4008"},{"id":130,"name":"Impact","value":""},{"id":150,"name":"Time of Event (Mountain Time)","value":"14:12:50"},{"id":151,"name":"Denver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"%USERPROFILE%\AppData\Local\Temp\OnboardLogs"\RTDC4008\*4008*201609212* | grep -SE "((Enforcement Ac)|(PRM))" -</v>
      </c>
    </row>
    <row r="9" spans="1:29" s="1" customFormat="1" x14ac:dyDescent="0.25">
      <c r="A9" s="38">
        <v>42634.748599537037</v>
      </c>
      <c r="B9" s="33" t="s">
        <v>401</v>
      </c>
      <c r="C9" s="33" t="s">
        <v>564</v>
      </c>
      <c r="D9" s="33" t="s">
        <v>49</v>
      </c>
      <c r="E9" s="33" t="s">
        <v>169</v>
      </c>
      <c r="F9" s="49">
        <v>20</v>
      </c>
      <c r="G9" s="49">
        <v>97</v>
      </c>
      <c r="H9" s="49">
        <v>58053</v>
      </c>
      <c r="I9" s="49">
        <v>58131</v>
      </c>
      <c r="J9" s="33" t="s">
        <v>168</v>
      </c>
      <c r="K9" s="49">
        <v>58118</v>
      </c>
      <c r="L9" s="150" t="s">
        <v>52</v>
      </c>
      <c r="M9" s="153">
        <f t="shared" si="0"/>
        <v>-6.8639999999999999</v>
      </c>
      <c r="N9" s="92" t="str">
        <f>VLOOKUP(C9,'Trips&amp;Operators'!$C$1:$E$99999,3,FALSE)</f>
        <v>YANAI</v>
      </c>
      <c r="O9" s="174" t="s">
        <v>86</v>
      </c>
      <c r="P9" s="10" t="s">
        <v>324</v>
      </c>
      <c r="Q9" s="33"/>
      <c r="R9" s="108" t="str">
        <f>VLOOKUP(C9,'Train Runs'!$A$13:$AE$10011,31,0)</f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S9" s="111" t="str">
        <f>VLOOKUP(C9,'Train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16:42:47-0600',mode:absolute,to:'2016-09-21 18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9" s="113" t="str">
        <f t="shared" si="1"/>
        <v>"C:\Program Files (x86)\AstroGrep\AstroGrep.exe" /spath="%USERPROFILE%\AppData\Local\Temp\OnboardLogs" /stypes="*4016*201609212*" /stext=" 23:.+((SYSTEM_STATE.+slice.+state.+changed )|(ment ac)|(system.+state.+changed )|(\|lc)|(penalty)|(\[timeout)|(PRM\|1\|D)|(kpr)|(kdp))" /e /r /s</v>
      </c>
      <c r="U9" s="9" t="str">
        <f t="shared" si="2"/>
        <v>4016</v>
      </c>
      <c r="V9" s="38">
        <f t="shared" si="3"/>
        <v>42634.998599537037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arrival","project_id":79,"tracker_id":40,"status_id":1,"priority_id":2,"assigned_to_id":23,"start_date":"2016-09-21","description":"","custom_fields":[{"id":1,"name":"Subdivision","value":"EC"},{"id":4,"name":"Milepost","value":"5.8118"},{"id":17,"name":"Train ID","value":"213-21"},{"id":16,"name":"Locomotive ID","value":"4016"},{"id":130,"name":"Impact","value":""},{"id":150,"name":"Time of Event (Mountain Time)","value":"17:57:59"},{"id":151,"name":"Denver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"%USERPROFILE%\AppData\Local\Temp\OnboardLogs"\RTDC4016\*4016*201609212* | grep -SE "((Enforcement Ac)|(PRM))" -</v>
      </c>
    </row>
    <row r="10" spans="1:29" s="1" customFormat="1" x14ac:dyDescent="0.25">
      <c r="A10" s="38">
        <v>42634.647326388891</v>
      </c>
      <c r="B10" s="33" t="s">
        <v>181</v>
      </c>
      <c r="C10" s="33" t="s">
        <v>531</v>
      </c>
      <c r="D10" s="33" t="s">
        <v>49</v>
      </c>
      <c r="E10" s="33" t="s">
        <v>169</v>
      </c>
      <c r="F10" s="49">
        <v>0</v>
      </c>
      <c r="G10" s="49">
        <v>65</v>
      </c>
      <c r="H10" s="49">
        <v>58265</v>
      </c>
      <c r="I10" s="49">
        <v>58382</v>
      </c>
      <c r="J10" s="33" t="s">
        <v>168</v>
      </c>
      <c r="K10" s="49">
        <v>58783</v>
      </c>
      <c r="L10" s="150" t="s">
        <v>52</v>
      </c>
      <c r="M10" s="153">
        <f t="shared" si="0"/>
        <v>211.72800000000001</v>
      </c>
      <c r="N10" s="92" t="str">
        <f>VLOOKUP(C10,'Trips&amp;Operators'!$C$1:$E$99999,3,FALSE)</f>
        <v>HILLS</v>
      </c>
      <c r="O10" s="174" t="s">
        <v>86</v>
      </c>
      <c r="P10" s="10" t="s">
        <v>776</v>
      </c>
      <c r="Q10" s="33"/>
      <c r="R10" s="108" t="str">
        <f>VLOOKUP(C10,'Train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10" s="111" t="str">
        <f>VLOOKUP(C10,'Train Runs'!$A$13:$AE$10011,22,0)</f>
        <v>https://search-rtdc-monitor-bjffxe2xuh6vdkpspy63sjmuny.us-east-1.es.amazonaws.com/_plugin/kibana/#/discover/Steve-Slow-Train-Analysis-(2080s-and-2083s)?_g=(refreshInterval:(display:Off,section:0,value:0),time:(from:'2016-09-21 14:10:09-0600',mode:absolute,to:'2016-09-21 17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0" s="113" t="str">
        <f t="shared" si="1"/>
        <v>"C:\Program Files (x86)\AstroGrep\AstroGrep.exe" /spath="%USERPROFILE%\AppData\Local\Temp\OnboardLogs" /stypes="*4046*201609212*" /stext=" 21:.+((SYSTEM_STATE.+slice.+state.+changed )|(ment ac)|(system.+state.+changed )|(\|lc)|(penalty)|(\[timeout)|(PRM\|1\|D)|(kpr)|(kdp))" /e /r /s</v>
      </c>
      <c r="U10" s="9" t="str">
        <f t="shared" si="2"/>
        <v>4046</v>
      </c>
      <c r="V10" s="38">
        <f t="shared" si="3"/>
        <v>42634.897326388891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{"issue":{"subject":"Form C","project_id":79,"tracker_id":40,"status_id":1,"priority_id":2,"assigned_to_id":23,"start_date":"2016-09-21","description":"","custom_fields":[{"id":1,"name":"Subdivision","value":"EC"},{"id":4,"name":"Milepost","value":"5.8783"},{"id":17,"name":"Train ID","value":"193-21"},{"id":16,"name":"Locomotive ID","value":"4046"},{"id":130,"name":"Impact","value":""},{"id":150,"name":"Time of Event (Mountain Time)","value":"15:32:09"},{"id":151,"name":"Denver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"%USERPROFILE%\AppData\Local\Temp\OnboardLogs"\RTDC4046\*4046*201609212* | grep -SE "((Enforcement Ac)|(PRM))" -</v>
      </c>
    </row>
    <row r="11" spans="1:29" s="1" customFormat="1" x14ac:dyDescent="0.25">
      <c r="A11" s="38">
        <v>42634.72078703704</v>
      </c>
      <c r="B11" s="33" t="s">
        <v>181</v>
      </c>
      <c r="C11" s="33" t="s">
        <v>553</v>
      </c>
      <c r="D11" s="33" t="s">
        <v>49</v>
      </c>
      <c r="E11" s="33" t="s">
        <v>169</v>
      </c>
      <c r="F11" s="49">
        <v>0</v>
      </c>
      <c r="G11" s="49">
        <v>28</v>
      </c>
      <c r="H11" s="49">
        <v>58682</v>
      </c>
      <c r="I11" s="49">
        <v>58707</v>
      </c>
      <c r="J11" s="33" t="s">
        <v>168</v>
      </c>
      <c r="K11" s="49">
        <v>58783</v>
      </c>
      <c r="L11" s="150" t="s">
        <v>52</v>
      </c>
      <c r="M11" s="153">
        <f t="shared" si="0"/>
        <v>40.128</v>
      </c>
      <c r="N11" s="92" t="str">
        <f>VLOOKUP(C11,'Trips&amp;Operators'!$C$1:$E$99999,3,FALSE)</f>
        <v>HILLS</v>
      </c>
      <c r="O11" s="174" t="s">
        <v>86</v>
      </c>
      <c r="P11" s="10" t="s">
        <v>776</v>
      </c>
      <c r="Q11" s="33"/>
      <c r="R11" s="108" t="str">
        <f>VLOOKUP(C11,'Train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11" s="111" t="str">
        <f>VLOOKUP(C11,'Train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16:00:44-0600',mode:absolute,to:'2016-09-21 18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1" s="113" t="str">
        <f t="shared" si="1"/>
        <v>"C:\Program Files (x86)\AstroGrep\AstroGrep.exe" /spath="%USERPROFILE%\AppData\Local\Temp\OnboardLogs" /stypes="*4046*201609212*" /stext=" 23:.+((SYSTEM_STATE.+slice.+state.+changed )|(ment ac)|(system.+state.+changed )|(\|lc)|(penalty)|(\[timeout)|(PRM\|1\|D)|(kpr)|(kdp))" /e /r /s</v>
      </c>
      <c r="U11" s="9" t="str">
        <f t="shared" si="2"/>
        <v>4046</v>
      </c>
      <c r="V11" s="38">
        <f t="shared" si="3"/>
        <v>42634.97078703704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{"issue":{"subject":"Form C","project_id":79,"tracker_id":40,"status_id":1,"priority_id":2,"assigned_to_id":23,"start_date":"2016-09-21","description":"","custom_fields":[{"id":1,"name":"Subdivision","value":"EC"},{"id":4,"name":"Milepost","value":"5.8783"},{"id":17,"name":"Train ID","value":"207-21"},{"id":16,"name":"Locomotive ID","value":"4046"},{"id":130,"name":"Impact","value":""},{"id":150,"name":"Time of Event (Mountain Time)","value":"17:17:56"},{"id":151,"name":"Denver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"%USERPROFILE%\AppData\Local\Temp\OnboardLogs"\RTDC4046\*4046*201609212* | grep -SE "((Enforcement Ac)|(PRM))" -</v>
      </c>
    </row>
    <row r="12" spans="1:29" s="1" customFormat="1" x14ac:dyDescent="0.25">
      <c r="A12" s="38">
        <v>42634.748217592591</v>
      </c>
      <c r="B12" s="33" t="s">
        <v>401</v>
      </c>
      <c r="C12" s="33" t="s">
        <v>564</v>
      </c>
      <c r="D12" s="33" t="s">
        <v>49</v>
      </c>
      <c r="E12" s="33" t="s">
        <v>169</v>
      </c>
      <c r="F12" s="49">
        <v>0</v>
      </c>
      <c r="G12" s="49">
        <v>300</v>
      </c>
      <c r="H12" s="49">
        <v>57073</v>
      </c>
      <c r="I12" s="49">
        <v>57824</v>
      </c>
      <c r="J12" s="33" t="s">
        <v>168</v>
      </c>
      <c r="K12" s="49">
        <v>58783</v>
      </c>
      <c r="L12" s="150" t="s">
        <v>52</v>
      </c>
      <c r="M12" s="153">
        <f t="shared" si="0"/>
        <v>506.35199999999998</v>
      </c>
      <c r="N12" s="92" t="str">
        <f>VLOOKUP(C12,'Trips&amp;Operators'!$C$1:$E$99999,3,FALSE)</f>
        <v>YANAI</v>
      </c>
      <c r="O12" s="174" t="s">
        <v>86</v>
      </c>
      <c r="P12" s="10" t="s">
        <v>776</v>
      </c>
      <c r="Q12" s="33"/>
      <c r="R12" s="108" t="str">
        <f>VLOOKUP(C12,'Train Runs'!$A$13:$AE$10011,31,0)</f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S12" s="111" t="str">
        <f>VLOOKUP(C12,'Train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16:42:47-0600',mode:absolute,to:'2016-09-21 18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2" s="113" t="str">
        <f t="shared" si="1"/>
        <v>"C:\Program Files (x86)\AstroGrep\AstroGrep.exe" /spath="%USERPROFILE%\AppData\Local\Temp\OnboardLogs" /stypes="*4016*201609212*" /stext=" 23:.+((SYSTEM_STATE.+slice.+state.+changed )|(ment ac)|(system.+state.+changed )|(\|lc)|(penalty)|(\[timeout)|(PRM\|1\|D)|(kpr)|(kdp))" /e /r /s</v>
      </c>
      <c r="U12" s="9" t="str">
        <f t="shared" si="2"/>
        <v>4016</v>
      </c>
      <c r="V12" s="38">
        <f t="shared" si="3"/>
        <v>42634.998217592591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{"issue":{"subject":"Form C","project_id":79,"tracker_id":40,"status_id":1,"priority_id":2,"assigned_to_id":23,"start_date":"2016-09-21","description":"","custom_fields":[{"id":1,"name":"Subdivision","value":"EC"},{"id":4,"name":"Milepost","value":"5.8783"},{"id":17,"name":"Train ID","value":"213-21"},{"id":16,"name":"Locomotive ID","value":"4016"},{"id":130,"name":"Impact","value":""},{"id":150,"name":"Time of Event (Mountain Time)","value":"17:57:26"},{"id":151,"name":"Denver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"%USERPROFILE%\AppData\Local\Temp\OnboardLogs"\RTDC4016\*4016*201609212* | grep -SE "((Enforcement Ac)|(PRM))" -</v>
      </c>
    </row>
    <row r="13" spans="1:29" s="1" customFormat="1" x14ac:dyDescent="0.25">
      <c r="A13" s="38">
        <v>42634.66578703704</v>
      </c>
      <c r="B13" s="33" t="s">
        <v>295</v>
      </c>
      <c r="C13" s="33" t="s">
        <v>533</v>
      </c>
      <c r="D13" s="33" t="s">
        <v>49</v>
      </c>
      <c r="E13" s="33" t="s">
        <v>169</v>
      </c>
      <c r="F13" s="49">
        <v>0</v>
      </c>
      <c r="G13" s="49">
        <v>41</v>
      </c>
      <c r="H13" s="49">
        <v>59009</v>
      </c>
      <c r="I13" s="49">
        <v>58968</v>
      </c>
      <c r="J13" s="33" t="s">
        <v>168</v>
      </c>
      <c r="K13" s="49">
        <v>58904</v>
      </c>
      <c r="L13" s="150" t="s">
        <v>53</v>
      </c>
      <c r="M13" s="153">
        <f t="shared" si="0"/>
        <v>33.792000000000002</v>
      </c>
      <c r="N13" s="92" t="str">
        <f>VLOOKUP(C13,'Trips&amp;Operators'!$C$1:$E$99999,3,FALSE)</f>
        <v>BONDS</v>
      </c>
      <c r="O13" s="174" t="s">
        <v>86</v>
      </c>
      <c r="P13" s="10" t="s">
        <v>776</v>
      </c>
      <c r="Q13" s="33"/>
      <c r="R13" s="108" t="str">
        <f>VLOOKUP(C13,'Train Runs'!$A$13:$AE$10011,31,0)</f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S13" s="111" t="str">
        <f>VLOOKUP(C13,'Train Runs'!$A$13:$AE$10011,22,0)</f>
        <v>https://search-rtdc-monitor-bjffxe2xuh6vdkpspy63sjmuny.us-east-1.es.amazonaws.com/_plugin/kibana/#/discover/Steve-Slow-Train-Analysis-(2080s-and-2083s)?_g=(refreshInterval:(display:Off,section:0,value:0),time:(from:'2016-09-21 14:16:25-0600',mode:absolute,to:'2016-09-21 17:13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13" s="113" t="str">
        <f t="shared" si="1"/>
        <v>"C:\Program Files (x86)\AstroGrep\AstroGrep.exe" /spath="%USERPROFILE%\AppData\Local\Temp\OnboardLogs" /stypes="*4008*201609212*" /stext=" 21:.+((SYSTEM_STATE.+slice.+state.+changed )|(ment ac)|(system.+state.+changed )|(\|lc)|(penalty)|(\[timeout)|(PRM\|1\|D)|(kpr)|(kdp))" /e /r /s</v>
      </c>
      <c r="U13" s="9" t="str">
        <f t="shared" si="2"/>
        <v>4008</v>
      </c>
      <c r="V13" s="38">
        <f t="shared" si="3"/>
        <v>42634.91578703704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{"issue":{"subject":"Form C","project_id":79,"tracker_id":40,"status_id":1,"priority_id":2,"assigned_to_id":23,"start_date":"2016-09-21","description":"","custom_fields":[{"id":1,"name":"Subdivision","value":"EC"},{"id":4,"name":"Milepost","value":"5.8904"},{"id":17,"name":"Train ID","value":"188-21"},{"id":16,"name":"Locomotive ID","value":"4008"},{"id":130,"name":"Impact","value":""},{"id":150,"name":"Time of Event (Mountain Time)","value":"15:58:44"},{"id":151,"name":"Denver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"%USERPROFILE%\AppData\Local\Temp\OnboardLogs"\RTDC4008\*4008*201609212* | grep -SE "((Enforcement Ac)|(PRM))" -</v>
      </c>
    </row>
    <row r="14" spans="1:29" s="1" customFormat="1" x14ac:dyDescent="0.25">
      <c r="A14" s="38">
        <v>42634.502916666665</v>
      </c>
      <c r="B14" s="33" t="s">
        <v>181</v>
      </c>
      <c r="C14" s="33" t="s">
        <v>494</v>
      </c>
      <c r="D14" s="33" t="s">
        <v>49</v>
      </c>
      <c r="E14" s="33" t="s">
        <v>169</v>
      </c>
      <c r="F14" s="49">
        <v>0</v>
      </c>
      <c r="G14" s="49">
        <v>44</v>
      </c>
      <c r="H14" s="49">
        <v>62934</v>
      </c>
      <c r="I14" s="49">
        <v>62984</v>
      </c>
      <c r="J14" s="33" t="s">
        <v>168</v>
      </c>
      <c r="K14" s="49">
        <v>63068</v>
      </c>
      <c r="L14" s="150" t="s">
        <v>52</v>
      </c>
      <c r="M14" s="153">
        <f t="shared" si="0"/>
        <v>44.351999999999997</v>
      </c>
      <c r="N14" s="92" t="str">
        <f>VLOOKUP(C14,'Trips&amp;Operators'!$C$1:$E$99999,3,FALSE)</f>
        <v>HILLS</v>
      </c>
      <c r="O14" s="174" t="s">
        <v>86</v>
      </c>
      <c r="P14" s="10" t="s">
        <v>776</v>
      </c>
      <c r="Q14" s="33"/>
      <c r="R14" s="108" t="str">
        <f>VLOOKUP(C14,'Train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14" s="111" t="str">
        <f>VLOOKUP(C14,'Train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10:40:37-0600',mode:absolute,to:'2016-09-21 13:27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4" s="113" t="str">
        <f t="shared" si="1"/>
        <v>"C:\Program Files (x86)\AstroGrep\AstroGrep.exe" /spath="%USERPROFILE%\AppData\Local\Temp\OnboardLogs" /stypes="*4046*201609211*" /stext=" 18:.+((SYSTEM_STATE.+slice.+state.+changed )|(ment ac)|(system.+state.+changed )|(\|lc)|(penalty)|(\[timeout)|(PRM\|1\|D)|(kpr)|(kdp))" /e /r /s</v>
      </c>
      <c r="U14" s="9" t="str">
        <f t="shared" si="2"/>
        <v>4046</v>
      </c>
      <c r="V14" s="38">
        <f t="shared" si="3"/>
        <v>42634.752916666665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{"issue":{"subject":"Form C","project_id":79,"tracker_id":40,"status_id":1,"priority_id":2,"assigned_to_id":23,"start_date":"2016-09-21","description":"","custom_fields":[{"id":1,"name":"Subdivision","value":"EC"},{"id":4,"name":"Milepost","value":"6.3068"},{"id":17,"name":"Train ID","value":"165-21"},{"id":16,"name":"Locomotive ID","value":"4046"},{"id":130,"name":"Impact","value":""},{"id":150,"name":"Time of Event (Mountain Time)","value":"12:04:12"},{"id":151,"name":"Denver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"%USERPROFILE%\AppData\Local\Temp\OnboardLogs"\RTDC4046\*4046*201609211* | grep -SE "((Enforcement Ac)|(PRM))" -</v>
      </c>
    </row>
    <row r="15" spans="1:29" s="1" customFormat="1" x14ac:dyDescent="0.25">
      <c r="A15" s="38">
        <v>42634.395671296297</v>
      </c>
      <c r="B15" s="33" t="s">
        <v>255</v>
      </c>
      <c r="C15" s="33" t="s">
        <v>461</v>
      </c>
      <c r="D15" s="33" t="s">
        <v>105</v>
      </c>
      <c r="E15" s="33" t="s">
        <v>169</v>
      </c>
      <c r="F15" s="49">
        <v>0</v>
      </c>
      <c r="G15" s="49">
        <v>302</v>
      </c>
      <c r="H15" s="49">
        <v>109119</v>
      </c>
      <c r="I15" s="49">
        <v>108895</v>
      </c>
      <c r="J15" s="33" t="s">
        <v>168</v>
      </c>
      <c r="K15" s="49">
        <v>109135</v>
      </c>
      <c r="L15" s="150" t="s">
        <v>53</v>
      </c>
      <c r="M15" s="153">
        <f t="shared" si="0"/>
        <v>-126.72</v>
      </c>
      <c r="N15" s="92" t="str">
        <f>VLOOKUP(C15,'Trips&amp;Operators'!$C$1:$E$99999,3,FALSE)</f>
        <v>KILLION</v>
      </c>
      <c r="O15" s="174" t="s">
        <v>86</v>
      </c>
      <c r="P15" s="10" t="s">
        <v>324</v>
      </c>
      <c r="Q15" s="33"/>
      <c r="R15" s="108" t="str">
        <f>VLOOKUP(C15,'Train Runs'!$A$13:$AE$10011,31,0)</f>
        <v>aws s3 cp s3://rtdc.mdm.uploadarchive/RTDC4045/2016-09-21/ "%USERPROFILE%\AppData\Local\Temp\OnboardLogs"\RTDC4045\2016-09-21 --recursive &amp; "%USERPROFILE%\Documents\GitHub\mrs-test-scripts\Headless Mode &amp; Sideloading\WalkAndUnGZ.bat" "%USERPROFILE%\AppData\Local\Temp\OnboardLogs"\RTDC4045\2016-09-21 &amp; aws s3 cp s3://rtdc.mdm.uploadarchive/RTDC4045/2016-09-22/ "%USERPROFILE%\AppData\Local\Temp\OnboardLogs"\RTDC4045\2016-09-22 --recursive &amp; "%USERPROFILE%\Documents\GitHub\mrs-test-scripts\Headless Mode &amp; Sideloading\WalkAndUnGZ.bat" "%USERPROFILE%\AppData\Local\Temp\OnboardLogs"\RTDC4045\2016-09-22</v>
      </c>
      <c r="S15" s="111" t="str">
        <f>VLOOKUP(C15,'Train Runs'!$A$13:$AE$10011,22,0)</f>
        <v>https://search-rtdc-monitor-bjffxe2xuh6vdkpspy63sjmuny.us-east-1.es.amazonaws.com/_plugin/kibana/#/discover/Steve-Slow-Train-Analysis-(2080s-and-2083s)?_g=(refreshInterval:(display:Off,section:0,value:0),time:(from:'2016-09-21 08:02:11-0600',mode:absolute,to:'2016-09-21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5" s="113" t="str">
        <f t="shared" si="1"/>
        <v>"C:\Program Files (x86)\AstroGrep\AstroGrep.exe" /spath="%USERPROFILE%\AppData\Local\Temp\OnboardLogs" /stypes="*4045*201609211*" /stext=" 15:.+((SYSTEM_STATE.+slice.+state.+changed )|(ment ac)|(system.+state.+changed )|(\|lc)|(penalty)|(\[timeout)|(PRM\|1\|D)|(kpr)|(kdp))" /e /r /s</v>
      </c>
      <c r="U15" s="9" t="str">
        <f t="shared" si="2"/>
        <v>4045</v>
      </c>
      <c r="V15" s="38">
        <f t="shared" si="3"/>
        <v>42634.645671296297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{"issue":{"subject":"Early arrival","project_id":79,"tracker_id":40,"status_id":1,"priority_id":2,"assigned_to_id":23,"start_date":"2016-09-21","description":"","custom_fields":[{"id":1,"name":"Subdivision","value":"EC"},{"id":4,"name":"Milepost","value":"10.9135"},{"id":17,"name":"Train ID","value":"138-21"},{"id":16,"name":"Locomotive ID","value":"4045"},{"id":130,"name":"Impact","value":""},{"id":150,"name":"Time of Event (Mountain Time)","value":"09:29:46"},{"id":151,"name":"Denver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"%USERPROFILE%\AppData\Local\Temp\OnboardLogs"\RTDC4045\*4045*201609211* | grep -SE "((Enforcement Ac)|(PRM))" -</v>
      </c>
    </row>
    <row r="16" spans="1:29" s="1" customFormat="1" x14ac:dyDescent="0.25">
      <c r="A16" s="38">
        <v>42634.906388888892</v>
      </c>
      <c r="B16" s="33" t="s">
        <v>176</v>
      </c>
      <c r="C16" s="33" t="s">
        <v>599</v>
      </c>
      <c r="D16" s="33" t="s">
        <v>239</v>
      </c>
      <c r="E16" s="33" t="s">
        <v>169</v>
      </c>
      <c r="F16" s="49">
        <v>0</v>
      </c>
      <c r="G16" s="49">
        <v>352</v>
      </c>
      <c r="H16" s="49">
        <v>108992</v>
      </c>
      <c r="I16" s="49">
        <v>108020</v>
      </c>
      <c r="J16" s="33" t="s">
        <v>168</v>
      </c>
      <c r="K16" s="49">
        <v>109135</v>
      </c>
      <c r="L16" s="150" t="s">
        <v>53</v>
      </c>
      <c r="M16" s="153">
        <f t="shared" si="0"/>
        <v>-588.72</v>
      </c>
      <c r="N16" s="92" t="str">
        <f>VLOOKUP(C16,'Trips&amp;Operators'!$C$1:$E$99999,3,FALSE)</f>
        <v>COOLAHAN</v>
      </c>
      <c r="O16" s="174" t="s">
        <v>86</v>
      </c>
      <c r="P16" s="10" t="s">
        <v>324</v>
      </c>
      <c r="Q16" s="33"/>
      <c r="R16" s="108" t="str">
        <f>VLOOKUP(C16,'Train Runs'!$A$13:$AE$10011,31,0)</f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S16" s="111" t="str">
        <f>VLOOKUP(C16,'Train Runs'!$A$13:$AE$10011,22,0)</f>
        <v>https://search-rtdc-monitor-bjffxe2xuh6vdkpspy63sjmuny.us-east-1.es.amazonaws.com/_plugin/kibana/#/discover/Steve-Slow-Train-Analysis-(2080s-and-2083s)?_g=(refreshInterval:(display:Off,section:0,value:0),time:(from:'2016-09-21 20:20:47-0600',mode:absolute,to:'2016-09-21 23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6" s="113" t="str">
        <f t="shared" si="1"/>
        <v>"C:\Program Files (x86)\AstroGrep\AstroGrep.exe" /spath="%USERPROFILE%\AppData\Local\Temp\OnboardLogs" /stypes="*4041*201609220*" /stext=" 03:.+((SYSTEM_STATE.+slice.+state.+changed )|(ment ac)|(system.+state.+changed )|(\|lc)|(penalty)|(\[timeout)|(PRM\|1\|D)|(kpr)|(kdp))" /e /r /s</v>
      </c>
      <c r="U16" s="9" t="str">
        <f t="shared" si="2"/>
        <v>4041</v>
      </c>
      <c r="V16" s="38">
        <f t="shared" si="3"/>
        <v>42635.156388888892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{"issue":{"subject":"Early arrival","project_id":79,"tracker_id":40,"status_id":1,"priority_id":2,"assigned_to_id":23,"start_date":"2016-09-21","description":"","custom_fields":[{"id":1,"name":"Subdivision","value":"EC"},{"id":4,"name":"Milepost","value":"10.9135"},{"id":17,"name":"Train ID","value":"228-21"},{"id":16,"name":"Locomotive ID","value":"4041"},{"id":130,"name":"Impact","value":""},{"id":150,"name":"Time of Event (Mountain Time)","value":"21:45:12"},{"id":151,"name":"Denver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"%USERPROFILE%\AppData\Local\Temp\OnboardLogs"\RTDC4041\*4041*201609220* | grep -SE "((Enforcement Ac)|(PRM))" -</v>
      </c>
    </row>
    <row r="17" spans="1:29" s="1" customFormat="1" x14ac:dyDescent="0.25">
      <c r="A17" s="38">
        <v>42634.316678240742</v>
      </c>
      <c r="B17" s="33" t="s">
        <v>434</v>
      </c>
      <c r="C17" s="33" t="s">
        <v>435</v>
      </c>
      <c r="D17" s="33" t="s">
        <v>105</v>
      </c>
      <c r="E17" s="33" t="s">
        <v>56</v>
      </c>
      <c r="F17" s="49">
        <v>150</v>
      </c>
      <c r="G17" s="49">
        <v>201</v>
      </c>
      <c r="H17" s="49">
        <v>3770</v>
      </c>
      <c r="I17" s="49">
        <v>3370</v>
      </c>
      <c r="J17" s="33" t="s">
        <v>57</v>
      </c>
      <c r="K17" s="49">
        <v>4677</v>
      </c>
      <c r="L17" s="150" t="s">
        <v>53</v>
      </c>
      <c r="M17" s="153">
        <f t="shared" si="0"/>
        <v>-690.09600000000012</v>
      </c>
      <c r="N17" s="92" t="str">
        <f>VLOOKUP(C17,'Trips&amp;Operators'!$C$1:$E$99999,3,FALSE)</f>
        <v>STRICKLAND</v>
      </c>
      <c r="O17" s="174" t="s">
        <v>86</v>
      </c>
      <c r="P17" s="10"/>
      <c r="Q17" s="33"/>
      <c r="R17" s="108" t="str">
        <f>VLOOKUP(C17,'Train Runs'!$A$13:$AE$10011,31,0)</f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S17" s="111" t="str">
        <f>VLOOKUP(C17,'Train Runs'!$A$13:$AE$10011,22,0)</f>
        <v>https://search-rtdc-monitor-bjffxe2xuh6vdkpspy63sjmuny.us-east-1.es.amazonaws.com/_plugin/kibana/#/discover/Steve-Slow-Train-Analysis-(2080s-and-2083s)?_g=(refreshInterval:(display:Off,section:0,value:0),time:(from:'2016-09-21 05:49:21-0600',mode:absolute,to:'2016-09-21 08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17" s="113" t="str">
        <f t="shared" si="1"/>
        <v>"C:\Program Files (x86)\AstroGrep\AstroGrep.exe" /spath="%USERPROFILE%\AppData\Local\Temp\OnboardLogs" /stypes="*4028*201609211*" /stext=" 13:.+((SYSTEM_STATE.+slice.+state.+changed )|(ment ac)|(system.+state.+changed )|(\|lc)|(penalty)|(\[timeout)|(PRM\|1\|D)|(kpr)|(kdp))" /e /r /s</v>
      </c>
      <c r="U17" s="9" t="str">
        <f t="shared" si="2"/>
        <v>4028</v>
      </c>
      <c r="V17" s="38">
        <f t="shared" si="3"/>
        <v>42634.566678240742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{"issue":{"subject":"","project_id":79,"tracker_id":40,"status_id":1,"priority_id":2,"assigned_to_id":23,"start_date":"2016-09-21","description":"","custom_fields":[{"id":1,"name":"Subdivision","value":"EC"},{"id":4,"name":"Milepost","value":"0.4677"},{"id":17,"name":"Train ID","value":"120-21"},{"id":16,"name":"Locomotive ID","value":"4028"},{"id":130,"name":"Impact","value":""},{"id":150,"name":"Time of Event (Mountain Time)","value":"07:36:01"},{"id":151,"name":"Denver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"%USERPROFILE%\AppData\Local\Temp\OnboardLogs"\RTDC4028\*4028*201609211* | grep -SE "((Enforcement Ac)|(PRM))" -</v>
      </c>
    </row>
    <row r="18" spans="1:29" s="1" customFormat="1" x14ac:dyDescent="0.25">
      <c r="A18" s="38">
        <v>42634.732152777775</v>
      </c>
      <c r="B18" s="33" t="s">
        <v>327</v>
      </c>
      <c r="C18" s="33" t="s">
        <v>552</v>
      </c>
      <c r="D18" s="33" t="s">
        <v>49</v>
      </c>
      <c r="E18" s="33" t="s">
        <v>56</v>
      </c>
      <c r="F18" s="49">
        <v>300</v>
      </c>
      <c r="G18" s="49">
        <v>475</v>
      </c>
      <c r="H18" s="49">
        <v>24772</v>
      </c>
      <c r="I18" s="49">
        <v>23246</v>
      </c>
      <c r="J18" s="33" t="s">
        <v>57</v>
      </c>
      <c r="K18" s="49">
        <v>21848</v>
      </c>
      <c r="L18" s="150" t="s">
        <v>53</v>
      </c>
      <c r="M18" s="153">
        <f t="shared" si="0"/>
        <v>738.14400000000001</v>
      </c>
      <c r="N18" s="92" t="str">
        <f>VLOOKUP(C18,'Trips&amp;Operators'!$C$1:$E$99999,3,FALSE)</f>
        <v>STORY</v>
      </c>
      <c r="O18" s="174" t="s">
        <v>86</v>
      </c>
      <c r="P18" s="10"/>
      <c r="Q18" s="33"/>
      <c r="R18" s="108" t="str">
        <f>VLOOKUP(C18,'Train Runs'!$A$13:$AE$10011,31,0)</f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S18" s="111" t="str">
        <f>VLOOKUP(C18,'Train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15:46:18-0600',mode:absolute,to:'2016-09-21 18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8" s="113" t="str">
        <f t="shared" si="1"/>
        <v>"C:\Program Files (x86)\AstroGrep\AstroGrep.exe" /spath="%USERPROFILE%\AppData\Local\Temp\OnboardLogs" /stypes="*4015*201609212*" /stext=" 23:.+((SYSTEM_STATE.+slice.+state.+changed )|(ment ac)|(system.+state.+changed )|(\|lc)|(penalty)|(\[timeout)|(PRM\|1\|D)|(kpr)|(kdp))" /e /r /s</v>
      </c>
      <c r="U18" s="9" t="str">
        <f t="shared" si="2"/>
        <v>4015</v>
      </c>
      <c r="V18" s="38">
        <f t="shared" si="3"/>
        <v>42634.982152777775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{"issue":{"subject":"","project_id":79,"tracker_id":40,"status_id":1,"priority_id":2,"assigned_to_id":23,"start_date":"2016-09-21","description":"","custom_fields":[{"id":1,"name":"Subdivision","value":"EC"},{"id":4,"name":"Milepost","value":"2.1848"},{"id":17,"name":"Train ID","value":"200-21"},{"id":16,"name":"Locomotive ID","value":"4015"},{"id":130,"name":"Impact","value":""},{"id":150,"name":"Time of Event (Mountain Time)","value":"17:34:18"},{"id":151,"name":"Denver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"%USERPROFILE%\AppData\Local\Temp\OnboardLogs"\RTDC4015\*4015*201609212* | grep -SE "((Enforcement Ac)|(PRM))" -</v>
      </c>
    </row>
    <row r="19" spans="1:29" s="1" customFormat="1" x14ac:dyDescent="0.25">
      <c r="A19" s="38">
        <v>42634.255567129629</v>
      </c>
      <c r="B19" s="33" t="s">
        <v>404</v>
      </c>
      <c r="C19" s="33" t="s">
        <v>422</v>
      </c>
      <c r="D19" s="33" t="s">
        <v>49</v>
      </c>
      <c r="E19" s="33" t="s">
        <v>56</v>
      </c>
      <c r="F19" s="49">
        <v>200</v>
      </c>
      <c r="G19" s="49">
        <v>259</v>
      </c>
      <c r="H19" s="49">
        <v>26970</v>
      </c>
      <c r="I19" s="49">
        <v>27425</v>
      </c>
      <c r="J19" s="33" t="s">
        <v>57</v>
      </c>
      <c r="K19" s="49">
        <v>27333</v>
      </c>
      <c r="L19" s="150" t="s">
        <v>52</v>
      </c>
      <c r="M19" s="153">
        <f t="shared" si="0"/>
        <v>-48.576000000000001</v>
      </c>
      <c r="N19" s="92" t="str">
        <f>VLOOKUP(C19,'Trips&amp;Operators'!$C$1:$E$99999,3,FALSE)</f>
        <v>STRICKLAND</v>
      </c>
      <c r="O19" s="174" t="s">
        <v>86</v>
      </c>
      <c r="P19" s="10"/>
      <c r="Q19" s="33"/>
      <c r="R19" s="108" t="str">
        <f>VLOOKUP(C19,'Train Runs'!$A$13:$AE$10011,31,0)</f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S19" s="111" t="str">
        <f>VLOOKUP(C19,'Train Runs'!$A$13:$AE$10011,22,0)</f>
        <v>https://search-rtdc-monitor-bjffxe2xuh6vdkpspy63sjmuny.us-east-1.es.amazonaws.com/_plugin/kibana/#/discover/Steve-Slow-Train-Analysis-(2080s-and-2083s)?_g=(refreshInterval:(display:Off,section:0,value:0),time:(from:'2016-09-21 04:56:36-0600',mode:absolute,to:'2016-09-21 07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9" s="113" t="str">
        <f t="shared" si="1"/>
        <v>"C:\Program Files (x86)\AstroGrep\AstroGrep.exe" /spath="%USERPROFILE%\AppData\Local\Temp\OnboardLogs" /stypes="*4027*201609211*" /stext=" 12:.+((SYSTEM_STATE.+slice.+state.+changed )|(ment ac)|(system.+state.+changed )|(\|lc)|(penalty)|(\[timeout)|(PRM\|1\|D)|(kpr)|(kdp))" /e /r /s</v>
      </c>
      <c r="U19" s="9" t="str">
        <f t="shared" si="2"/>
        <v>4027</v>
      </c>
      <c r="V19" s="38">
        <f t="shared" si="3"/>
        <v>42634.505567129629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{"issue":{"subject":"","project_id":79,"tracker_id":40,"status_id":1,"priority_id":2,"assigned_to_id":23,"start_date":"2016-09-21","description":"","custom_fields":[{"id":1,"name":"Subdivision","value":"EC"},{"id":4,"name":"Milepost","value":"2.7333"},{"id":17,"name":"Train ID","value":"119-21"},{"id":16,"name":"Locomotive ID","value":"4027"},{"id":130,"name":"Impact","value":""},{"id":150,"name":"Time of Event (Mountain Time)","value":"06:08:01"},{"id":151,"name":"Denver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"%USERPROFILE%\AppData\Local\Temp\OnboardLogs"\RTDC4027\*4027*201609211* | grep -SE "((Enforcement Ac)|(PRM))" -</v>
      </c>
    </row>
    <row r="20" spans="1:29" s="1" customFormat="1" x14ac:dyDescent="0.25">
      <c r="A20" s="38">
        <v>42634.388738425929</v>
      </c>
      <c r="B20" s="33" t="s">
        <v>434</v>
      </c>
      <c r="C20" s="33" t="s">
        <v>456</v>
      </c>
      <c r="D20" s="33" t="s">
        <v>49</v>
      </c>
      <c r="E20" s="33" t="s">
        <v>56</v>
      </c>
      <c r="F20" s="49">
        <v>200</v>
      </c>
      <c r="G20" s="49">
        <v>269</v>
      </c>
      <c r="H20" s="49">
        <v>31224</v>
      </c>
      <c r="I20" s="49">
        <v>30631</v>
      </c>
      <c r="J20" s="33" t="s">
        <v>57</v>
      </c>
      <c r="K20" s="49">
        <v>30562</v>
      </c>
      <c r="L20" s="150" t="s">
        <v>53</v>
      </c>
      <c r="M20" s="153">
        <f t="shared" si="0"/>
        <v>36.432000000000002</v>
      </c>
      <c r="N20" s="92" t="str">
        <f>VLOOKUP(C20,'Trips&amp;Operators'!$C$1:$E$99999,3,FALSE)</f>
        <v>STRICKLAND</v>
      </c>
      <c r="O20" s="174" t="s">
        <v>86</v>
      </c>
      <c r="P20" s="10"/>
      <c r="Q20" s="33"/>
      <c r="R20" s="108" t="str">
        <f>VLOOKUP(C20,'Train Runs'!$A$13:$AE$10011,31,0)</f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S20" s="111" t="str">
        <f>VLOOKUP(C20,'Train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07:36:39-0600',mode:absolute,to:'2016-09-21 10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0" s="113" t="str">
        <f t="shared" si="1"/>
        <v>"C:\Program Files (x86)\AstroGrep\AstroGrep.exe" /spath="%USERPROFILE%\AppData\Local\Temp\OnboardLogs" /stypes="*4028*201609211*" /stext=" 15:.+((SYSTEM_STATE.+slice.+state.+changed )|(ment ac)|(system.+state.+changed )|(\|lc)|(penalty)|(\[timeout)|(PRM\|1\|D)|(kpr)|(kdp))" /e /r /s</v>
      </c>
      <c r="U20" s="9" t="str">
        <f t="shared" si="2"/>
        <v>4028</v>
      </c>
      <c r="V20" s="38">
        <f t="shared" si="3"/>
        <v>42634.638738425929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{"issue":{"subject":"","project_id":79,"tracker_id":40,"status_id":1,"priority_id":2,"assigned_to_id":23,"start_date":"2016-09-21","description":"","custom_fields":[{"id":1,"name":"Subdivision","value":"EC"},{"id":4,"name":"Milepost","value":"3.0562"},{"id":17,"name":"Train ID","value":"134-21"},{"id":16,"name":"Locomotive ID","value":"4028"},{"id":130,"name":"Impact","value":""},{"id":150,"name":"Time of Event (Mountain Time)","value":"09:19:47"},{"id":151,"name":"Denver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"%USERPROFILE%\AppData\Local\Temp\OnboardLogs"\RTDC4028\*4028*201609211* | grep -SE "((Enforcement Ac)|(PRM))" -</v>
      </c>
    </row>
    <row r="21" spans="1:29" x14ac:dyDescent="0.25">
      <c r="A21" s="38">
        <v>42634.344918981478</v>
      </c>
      <c r="B21" s="33" t="s">
        <v>404</v>
      </c>
      <c r="C21" s="33" t="s">
        <v>445</v>
      </c>
      <c r="D21" s="33" t="s">
        <v>105</v>
      </c>
      <c r="E21" s="33" t="s">
        <v>56</v>
      </c>
      <c r="F21" s="49">
        <v>700</v>
      </c>
      <c r="G21" s="49">
        <v>754</v>
      </c>
      <c r="H21" s="49">
        <v>174514</v>
      </c>
      <c r="I21" s="49">
        <v>177437</v>
      </c>
      <c r="J21" s="33" t="s">
        <v>57</v>
      </c>
      <c r="K21" s="49">
        <v>161962</v>
      </c>
      <c r="L21" s="150" t="s">
        <v>52</v>
      </c>
      <c r="M21" s="153">
        <f t="shared" si="0"/>
        <v>-8170.8</v>
      </c>
      <c r="N21" s="92" t="str">
        <f>VLOOKUP(C21,'Trips&amp;Operators'!$C$1:$E$99999,3,FALSE)</f>
        <v>STRICKLAND</v>
      </c>
      <c r="O21" s="174" t="s">
        <v>86</v>
      </c>
      <c r="P21" s="10"/>
      <c r="Q21" s="33"/>
      <c r="R21" s="108" t="str">
        <f>VLOOKUP(C21,'Train Runs'!$A$13:$AE$10011,31,0)</f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S21" s="111" t="str">
        <f>VLOOKUP(C21,'Train Runs'!$A$13:$AE$10011,22,0)</f>
        <v>https://search-rtdc-monitor-bjffxe2xuh6vdkpspy63sjmuny.us-east-1.es.amazonaws.com/_plugin/kibana/#/discover/Steve-Slow-Train-Analysis-(2080s-and-2083s)?_g=(refreshInterval:(display:Off,section:0,value:0),time:(from:'2016-09-21 06:42:03-0600',mode:absolute,to:'2016-09-21 09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1" s="113" t="str">
        <f t="shared" si="1"/>
        <v>"C:\Program Files (x86)\AstroGrep\AstroGrep.exe" /spath="%USERPROFILE%\AppData\Local\Temp\OnboardLogs" /stypes="*4027*201609211*" /stext=" 14:.+((SYSTEM_STATE.+slice.+state.+changed )|(ment ac)|(system.+state.+changed )|(\|lc)|(penalty)|(\[timeout)|(PRM\|1\|D)|(kpr)|(kdp))" /e /r /s</v>
      </c>
      <c r="U21" s="9" t="str">
        <f t="shared" si="2"/>
        <v>4027</v>
      </c>
      <c r="V21" s="38">
        <f t="shared" si="3"/>
        <v>42634.594918981478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{"issue":{"subject":"","project_id":79,"tracker_id":40,"status_id":1,"priority_id":2,"assigned_to_id":23,"start_date":"2016-09-21","description":"","custom_fields":[{"id":1,"name":"Subdivision","value":"EC"},{"id":4,"name":"Milepost","value":"16.1962"},{"id":17,"name":"Train ID","value":"133-21"},{"id":16,"name":"Locomotive ID","value":"4027"},{"id":130,"name":"Impact","value":""},{"id":150,"name":"Time of Event (Mountain Time)","value":"08:16:41"},{"id":151,"name":"Denver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"%USERPROFILE%\AppData\Local\Temp\OnboardLogs"\RTDC4027\*4027*201609211* | grep -SE "((Enforcement Ac)|(PRM))" -</v>
      </c>
    </row>
    <row r="22" spans="1:29" x14ac:dyDescent="0.25">
      <c r="A22" s="38">
        <v>42634.199791666666</v>
      </c>
      <c r="B22" s="33" t="s">
        <v>404</v>
      </c>
      <c r="C22" s="33" t="s">
        <v>405</v>
      </c>
      <c r="D22" s="33" t="s">
        <v>49</v>
      </c>
      <c r="E22" s="33" t="s">
        <v>56</v>
      </c>
      <c r="F22" s="49">
        <v>600</v>
      </c>
      <c r="G22" s="49">
        <v>668</v>
      </c>
      <c r="H22" s="49">
        <v>182220</v>
      </c>
      <c r="I22" s="49">
        <v>184788</v>
      </c>
      <c r="J22" s="33" t="s">
        <v>57</v>
      </c>
      <c r="K22" s="49">
        <v>183829</v>
      </c>
      <c r="L22" s="150" t="s">
        <v>52</v>
      </c>
      <c r="M22" s="153">
        <f t="shared" si="0"/>
        <v>-506.35199999999998</v>
      </c>
      <c r="N22" s="92" t="str">
        <f>VLOOKUP(C22,'Trips&amp;Operators'!$C$1:$E$99999,3,FALSE)</f>
        <v>STRICKLAND</v>
      </c>
      <c r="O22" s="174" t="s">
        <v>86</v>
      </c>
      <c r="P22" s="10"/>
      <c r="Q22" s="33"/>
      <c r="R22" s="108" t="str">
        <f>VLOOKUP(C22,'Train Runs'!$A$13:$AE$10011,31,0)</f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S22" s="111" t="str">
        <f>VLOOKUP(C22,'Train Runs'!$A$13:$AE$10011,22,0)</f>
        <v>https://search-rtdc-monitor-bjffxe2xuh6vdkpspy63sjmuny.us-east-1.es.amazonaws.com/_plugin/kibana/#/discover/Steve-Slow-Train-Analysis-(2080s-and-2083s)?_g=(refreshInterval:(display:Off,section:0,value:0),time:(from:'2016-09-21 03:10:51-0600',mode:absolute,to:'2016-09-21 05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2" s="113" t="str">
        <f t="shared" si="1"/>
        <v>"C:\Program Files (x86)\AstroGrep\AstroGrep.exe" /spath="%USERPROFILE%\AppData\Local\Temp\OnboardLogs" /stypes="*4027*201609211*" /stext=" 10:.+((SYSTEM_STATE.+slice.+state.+changed )|(ment ac)|(system.+state.+changed )|(\|lc)|(penalty)|(\[timeout)|(PRM\|1\|D)|(kpr)|(kdp))" /e /r /s</v>
      </c>
      <c r="U22" s="9" t="str">
        <f t="shared" si="2"/>
        <v>4027</v>
      </c>
      <c r="V22" s="38">
        <f t="shared" si="3"/>
        <v>42634.449791666666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{"issue":{"subject":"","project_id":79,"tracker_id":40,"status_id":1,"priority_id":2,"assigned_to_id":23,"start_date":"2016-09-21","description":"","custom_fields":[{"id":1,"name":"Subdivision","value":"EC"},{"id":4,"name":"Milepost","value":"18.3829"},{"id":17,"name":"Train ID","value":"105-21"},{"id":16,"name":"Locomotive ID","value":"4027"},{"id":130,"name":"Impact","value":""},{"id":150,"name":"Time of Event (Mountain Time)","value":"04:47:42"},{"id":151,"name":"Denver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"%USERPROFILE%\AppData\Local\Temp\OnboardLogs"\RTDC4027\*4027*201609211* | grep -SE "((Enforcement Ac)|(PRM))" -</v>
      </c>
    </row>
    <row r="23" spans="1:29" x14ac:dyDescent="0.25">
      <c r="A23" s="38">
        <v>42634.29420138889</v>
      </c>
      <c r="B23" s="33" t="s">
        <v>434</v>
      </c>
      <c r="C23" s="33" t="s">
        <v>435</v>
      </c>
      <c r="D23" s="33" t="s">
        <v>105</v>
      </c>
      <c r="E23" s="33" t="s">
        <v>56</v>
      </c>
      <c r="F23" s="49">
        <v>700</v>
      </c>
      <c r="G23" s="49">
        <v>751</v>
      </c>
      <c r="H23" s="49">
        <v>175405</v>
      </c>
      <c r="I23" s="49">
        <v>172493</v>
      </c>
      <c r="J23" s="33" t="s">
        <v>57</v>
      </c>
      <c r="K23" s="49">
        <v>183829</v>
      </c>
      <c r="L23" s="150" t="s">
        <v>53</v>
      </c>
      <c r="M23" s="153">
        <f t="shared" si="0"/>
        <v>-5985.4080000000004</v>
      </c>
      <c r="N23" s="92" t="str">
        <f>VLOOKUP(C23,'Trips&amp;Operators'!$C$1:$E$99999,3,FALSE)</f>
        <v>STRICKLAND</v>
      </c>
      <c r="O23" s="174" t="s">
        <v>86</v>
      </c>
      <c r="P23" s="10"/>
      <c r="Q23" s="33"/>
      <c r="R23" s="108" t="str">
        <f>VLOOKUP(C23,'Train Runs'!$A$13:$AE$10011,31,0)</f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S23" s="111" t="str">
        <f>VLOOKUP(C23,'Train Runs'!$A$13:$AE$10011,22,0)</f>
        <v>https://search-rtdc-monitor-bjffxe2xuh6vdkpspy63sjmuny.us-east-1.es.amazonaws.com/_plugin/kibana/#/discover/Steve-Slow-Train-Analysis-(2080s-and-2083s)?_g=(refreshInterval:(display:Off,section:0,value:0),time:(from:'2016-09-21 05:49:21-0600',mode:absolute,to:'2016-09-21 08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3" s="113" t="str">
        <f t="shared" si="1"/>
        <v>"C:\Program Files (x86)\AstroGrep\AstroGrep.exe" /spath="%USERPROFILE%\AppData\Local\Temp\OnboardLogs" /stypes="*4028*201609211*" /stext=" 13:.+((SYSTEM_STATE.+slice.+state.+changed )|(ment ac)|(system.+state.+changed )|(\|lc)|(penalty)|(\[timeout)|(PRM\|1\|D)|(kpr)|(kdp))" /e /r /s</v>
      </c>
      <c r="U23" s="9" t="str">
        <f t="shared" si="2"/>
        <v>4028</v>
      </c>
      <c r="V23" s="38">
        <f t="shared" si="3"/>
        <v>42634.54420138889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{"issue":{"subject":"","project_id":79,"tracker_id":40,"status_id":1,"priority_id":2,"assigned_to_id":23,"start_date":"2016-09-21","description":"","custom_fields":[{"id":1,"name":"Subdivision","value":"EC"},{"id":4,"name":"Milepost","value":"18.3829"},{"id":17,"name":"Train ID","value":"120-21"},{"id":16,"name":"Locomotive ID","value":"4028"},{"id":130,"name":"Impact","value":""},{"id":150,"name":"Time of Event (Mountain Time)","value":"07:03:39"},{"id":151,"name":"Denver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"%USERPROFILE%\AppData\Local\Temp\OnboardLogs"\RTDC4028\*4028*201609211* | grep -SE "((Enforcement Ac)|(PRM))" -</v>
      </c>
    </row>
    <row r="24" spans="1:29" ht="15" customHeight="1" x14ac:dyDescent="0.25">
      <c r="A24" s="38">
        <v>42634.484050925923</v>
      </c>
      <c r="B24" s="33" t="s">
        <v>294</v>
      </c>
      <c r="C24" s="33" t="s">
        <v>488</v>
      </c>
      <c r="D24" s="33" t="s">
        <v>105</v>
      </c>
      <c r="E24" s="33" t="s">
        <v>56</v>
      </c>
      <c r="F24" s="49">
        <v>700</v>
      </c>
      <c r="G24" s="49">
        <v>750</v>
      </c>
      <c r="H24" s="49">
        <v>179214</v>
      </c>
      <c r="I24" s="49">
        <v>175369</v>
      </c>
      <c r="J24" s="33" t="s">
        <v>57</v>
      </c>
      <c r="K24" s="49">
        <v>183829</v>
      </c>
      <c r="L24" s="150" t="s">
        <v>53</v>
      </c>
      <c r="M24" s="153">
        <f t="shared" si="0"/>
        <v>-4466.88</v>
      </c>
      <c r="N24" s="92" t="str">
        <f>VLOOKUP(C24,'Trips&amp;Operators'!$C$1:$E$99999,3,FALSE)</f>
        <v>STARKS</v>
      </c>
      <c r="O24" s="174" t="s">
        <v>86</v>
      </c>
      <c r="P24" s="10"/>
      <c r="Q24" s="33"/>
      <c r="R24" s="108" t="str">
        <f>VLOOKUP(C24,'Train Runs'!$A$13:$AE$10011,31,0)</f>
        <v>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 &amp; aws s3 cp s3://rtdc.mdm.uploadarchive/RTDC4001/2016-09-22/ "%USERPROFILE%\AppData\Local\Temp\OnboardLogs"\RTDC4001\2016-09-22 --recursive &amp; "%USERPROFILE%\Documents\GitHub\mrs-test-scripts\Headless Mode &amp; Sideloading\WalkAndUnGZ.bat" "%USERPROFILE%\AppData\Local\Temp\OnboardLogs"\RTDC4001\2016-09-22</v>
      </c>
      <c r="S24" s="111" t="str">
        <f>VLOOKUP(C24,'Train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10:27:51-0600',mode:absolute,to:'2016-09-21 13:11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4" s="113" t="str">
        <f t="shared" si="1"/>
        <v>"C:\Program Files (x86)\AstroGrep\AstroGrep.exe" /spath="%USERPROFILE%\AppData\Local\Temp\OnboardLogs" /stypes="*4001*201609211*" /stext=" 17:.+((SYSTEM_STATE.+slice.+state.+changed )|(ment ac)|(system.+state.+changed )|(\|lc)|(penalty)|(\[timeout)|(PRM\|1\|D)|(kpr)|(kdp))" /e /r /s</v>
      </c>
      <c r="U24" s="9" t="str">
        <f t="shared" si="2"/>
        <v>4001</v>
      </c>
      <c r="V24" s="38">
        <f t="shared" si="3"/>
        <v>42634.734050925923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{"issue":{"subject":"","project_id":79,"tracker_id":40,"status_id":1,"priority_id":2,"assigned_to_id":23,"start_date":"2016-09-21","description":"","custom_fields":[{"id":1,"name":"Subdivision","value":"EC"},{"id":4,"name":"Milepost","value":"18.3829"},{"id":17,"name":"Train ID","value":"156-21"},{"id":16,"name":"Locomotive ID","value":"4001"},{"id":130,"name":"Impact","value":""},{"id":150,"name":"Time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"%USERPROFILE%\AppData\Local\Temp\OnboardLogs"\RTDC4001\*4001*201609211* | grep -SE "((Enforcement Ac)|(PRM))" -</v>
      </c>
    </row>
    <row r="25" spans="1:29" x14ac:dyDescent="0.25">
      <c r="A25" s="38">
        <v>42634.424328703702</v>
      </c>
      <c r="B25" s="33" t="s">
        <v>404</v>
      </c>
      <c r="C25" s="33" t="s">
        <v>467</v>
      </c>
      <c r="D25" s="33" t="s">
        <v>49</v>
      </c>
      <c r="E25" s="33" t="s">
        <v>56</v>
      </c>
      <c r="F25" s="49">
        <v>450</v>
      </c>
      <c r="G25" s="49">
        <v>552</v>
      </c>
      <c r="H25" s="49">
        <v>188713</v>
      </c>
      <c r="I25" s="49">
        <v>190932</v>
      </c>
      <c r="J25" s="33" t="s">
        <v>57</v>
      </c>
      <c r="K25" s="49">
        <v>190834</v>
      </c>
      <c r="L25" s="150" t="s">
        <v>52</v>
      </c>
      <c r="M25" s="153">
        <f t="shared" si="0"/>
        <v>-51.744</v>
      </c>
      <c r="N25" s="92" t="str">
        <f>VLOOKUP(C25,'Trips&amp;Operators'!$C$1:$E$99999,3,FALSE)</f>
        <v>STRICKLAND</v>
      </c>
      <c r="O25" s="174" t="s">
        <v>86</v>
      </c>
      <c r="P25" s="10"/>
      <c r="Q25" s="33"/>
      <c r="R25" s="108" t="str">
        <f>VLOOKUP(C25,'Train Runs'!$A$13:$AE$10011,31,0)</f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S25" s="111" t="str">
        <f>VLOOKUP(C25,'Train Runs'!$A$13:$AE$10011,22,0)</f>
        <v>https://search-rtdc-monitor-bjffxe2xuh6vdkpspy63sjmuny.us-east-1.es.amazonaws.com/_plugin/kibana/#/discover/Steve-Slow-Train-Analysis-(2080s-and-2083s)?_g=(refreshInterval:(display:Off,section:0,value:0),time:(from:'2016-09-21 08:30:35-0600',mode:absolute,to:'2016-09-21 11:18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5" s="113" t="str">
        <f t="shared" si="1"/>
        <v>"C:\Program Files (x86)\AstroGrep\AstroGrep.exe" /spath="%USERPROFILE%\AppData\Local\Temp\OnboardLogs" /stypes="*4027*201609211*" /stext=" 16:.+((SYSTEM_STATE.+slice.+state.+changed )|(ment ac)|(system.+state.+changed )|(\|lc)|(penalty)|(\[timeout)|(PRM\|1\|D)|(kpr)|(kdp))" /e /r /s</v>
      </c>
      <c r="U25" s="9" t="str">
        <f t="shared" si="2"/>
        <v>4027</v>
      </c>
      <c r="V25" s="38">
        <f t="shared" si="3"/>
        <v>42634.674328703702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{"issue":{"subject":"","project_id":79,"tracker_id":40,"status_id":1,"priority_id":2,"assigned_to_id":23,"start_date":"2016-09-21","description":"","custom_fields":[{"id":1,"name":"Subdivision","value":"EC"},{"id":4,"name":"Milepost","value":"19.0834"},{"id":17,"name":"Train ID","value":"147-21"},{"id":16,"name":"Locomotive ID","value":"4027"},{"id":130,"name":"Impact","value":""},{"id":150,"name":"Time of Event (Mountain Time)","value":"10:11:02"},{"id":151,"name":"Denver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5" t="str">
        <f t="shared" si="7"/>
        <v>grep -hSE -A100 "Enforcement Action" "%USERPROFILE%\AppData\Local\Temp\OnboardLogs"\RTDC4027\*4027*201609211* | grep -SE "((Enforcement Ac)|(PRM))" -</v>
      </c>
    </row>
    <row r="26" spans="1:29" x14ac:dyDescent="0.25">
      <c r="A26" s="38">
        <v>42634.585578703707</v>
      </c>
      <c r="B26" s="33" t="s">
        <v>181</v>
      </c>
      <c r="C26" s="33" t="s">
        <v>514</v>
      </c>
      <c r="D26" s="33" t="s">
        <v>49</v>
      </c>
      <c r="E26" s="33" t="s">
        <v>56</v>
      </c>
      <c r="F26" s="49">
        <v>550</v>
      </c>
      <c r="G26" s="49">
        <v>800</v>
      </c>
      <c r="H26" s="49">
        <v>217956</v>
      </c>
      <c r="I26" s="49">
        <v>222193</v>
      </c>
      <c r="J26" s="33" t="s">
        <v>57</v>
      </c>
      <c r="K26" s="49">
        <v>222090</v>
      </c>
      <c r="L26" s="150" t="s">
        <v>52</v>
      </c>
      <c r="M26" s="153">
        <f t="shared" si="0"/>
        <v>-54.384</v>
      </c>
      <c r="N26" s="92" t="str">
        <f>VLOOKUP(C26,'Trips&amp;Operators'!$C$1:$E$99999,3,FALSE)</f>
        <v>HILLS</v>
      </c>
      <c r="O26" s="174" t="s">
        <v>86</v>
      </c>
      <c r="P26" s="10"/>
      <c r="Q26" s="33"/>
      <c r="R26" s="108" t="str">
        <f>VLOOKUP(C26,'Train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26" s="111" t="str">
        <f>VLOOKUP(C26,'Train Runs'!$A$13:$AE$10011,22,0)</f>
        <v>https://search-rtdc-monitor-bjffxe2xuh6vdkpspy63sjmuny.us-east-1.es.amazonaws.com/_plugin/kibana/#/discover/Steve-Slow-Train-Analysis-(2080s-and-2083s)?_g=(refreshInterval:(display:Off,section:0,value:0),time:(from:'2016-09-21 12:23:47-0600',mode:absolute,to:'2016-09-21 15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6" s="113" t="str">
        <f t="shared" si="1"/>
        <v>"C:\Program Files (x86)\AstroGrep\AstroGrep.exe" /spath="%USERPROFILE%\AppData\Local\Temp\OnboardLogs" /stypes="*4046*201609212*" /stext=" 20:.+((SYSTEM_STATE.+slice.+state.+changed )|(ment ac)|(system.+state.+changed )|(\|lc)|(penalty)|(\[timeout)|(PRM\|1\|D)|(kpr)|(kdp))" /e /r /s</v>
      </c>
      <c r="U26" s="9" t="str">
        <f t="shared" si="2"/>
        <v>4046</v>
      </c>
      <c r="V26" s="38">
        <f t="shared" si="3"/>
        <v>42634.835578703707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{"issue":{"subject":"","project_id":79,"tracker_id":40,"status_id":1,"priority_id":2,"assigned_to_id":23,"start_date":"2016-09-21","description":"","custom_fields":[{"id":1,"name":"Subdivision","value":"EC"},{"id":4,"name":"Milepost","value":"22.209"},{"id":17,"name":"Train ID","value":"179-21"},{"id":16,"name":"Locomotive ID","value":"4046"},{"id":130,"name":"Impact","value":""},{"id":150,"name":"Time of Event (Mountain Time)","value":"14:03:14"},{"id":151,"name":"Denver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"%USERPROFILE%\AppData\Local\Temp\OnboardLogs"\RTDC4046\*4046*201609212* | grep -SE "((Enforcement Ac)|(PRM))" -</v>
      </c>
    </row>
    <row r="27" spans="1:29" x14ac:dyDescent="0.25">
      <c r="A27" s="38">
        <v>42634.441608796296</v>
      </c>
      <c r="B27" s="33" t="s">
        <v>181</v>
      </c>
      <c r="C27" s="33" t="s">
        <v>471</v>
      </c>
      <c r="D27" s="33" t="s">
        <v>49</v>
      </c>
      <c r="E27" s="33" t="s">
        <v>56</v>
      </c>
      <c r="F27" s="49">
        <v>150</v>
      </c>
      <c r="G27" s="49">
        <v>304</v>
      </c>
      <c r="H27" s="49">
        <v>228554</v>
      </c>
      <c r="I27" s="49">
        <v>229348</v>
      </c>
      <c r="J27" s="33" t="s">
        <v>57</v>
      </c>
      <c r="K27" s="49">
        <v>230436</v>
      </c>
      <c r="L27" s="150" t="s">
        <v>52</v>
      </c>
      <c r="M27" s="153">
        <f t="shared" si="0"/>
        <v>574.46400000000006</v>
      </c>
      <c r="N27" s="92" t="str">
        <f>VLOOKUP(C27,'Trips&amp;Operators'!$C$1:$E$99999,3,FALSE)</f>
        <v>KILLION</v>
      </c>
      <c r="O27" s="174" t="s">
        <v>86</v>
      </c>
      <c r="P27" s="10"/>
      <c r="Q27" s="33"/>
      <c r="R27" s="108" t="str">
        <f>VLOOKUP(C27,'Train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27" s="111" t="str">
        <f>VLOOKUP(C27,'Train Runs'!$A$13:$AE$10011,22,0)</f>
        <v>https://search-rtdc-monitor-bjffxe2xuh6vdkpspy63sjmuny.us-east-1.es.amazonaws.com/_plugin/kibana/#/discover/Steve-Slow-Train-Analysis-(2080s-and-2083s)?_g=(refreshInterval:(display:Off,section:0,value:0),time:(from:'2016-09-21 08:58:48-0600',mode:absolute,to:'2016-09-21 11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7" s="113" t="str">
        <f t="shared" si="1"/>
        <v>"C:\Program Files (x86)\AstroGrep\AstroGrep.exe" /spath="%USERPROFILE%\AppData\Local\Temp\OnboardLogs" /stypes="*4046*201609211*" /stext=" 16:.+((SYSTEM_STATE.+slice.+state.+changed )|(ment ac)|(system.+state.+changed )|(\|lc)|(penalty)|(\[timeout)|(PRM\|1\|D)|(kpr)|(kdp))" /e /r /s</v>
      </c>
      <c r="U27" s="9" t="str">
        <f t="shared" si="2"/>
        <v>4046</v>
      </c>
      <c r="V27" s="38">
        <f t="shared" si="3"/>
        <v>42634.691608796296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{"issue":{"subject":"","project_id":79,"tracker_id":40,"status_id":1,"priority_id":2,"assigned_to_id":23,"start_date":"2016-09-21","description":"","custom_fields":[{"id":1,"name":"Subdivision","value":"EC"},{"id":4,"name":"Milepost","value":"23.0436"},{"id":17,"name":"Train ID","value":"151-21"},{"id":16,"name":"Locomotive ID","value":"4046"},{"id":130,"name":"Impact","value":""},{"id":150,"name":"Time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"%USERPROFILE%\AppData\Local\Temp\OnboardLogs"\RTDC4046\*4046*201609211* | grep -SE "((Enforcement Ac)|(PRM))" -</v>
      </c>
    </row>
    <row r="28" spans="1:29" x14ac:dyDescent="0.25">
      <c r="A28" s="38">
        <v>42634.360439814816</v>
      </c>
      <c r="B28" s="33" t="s">
        <v>165</v>
      </c>
      <c r="C28" s="33" t="s">
        <v>454</v>
      </c>
      <c r="D28" s="33" t="s">
        <v>49</v>
      </c>
      <c r="E28" s="33" t="s">
        <v>54</v>
      </c>
      <c r="F28" s="49">
        <v>0</v>
      </c>
      <c r="G28" s="49">
        <v>151</v>
      </c>
      <c r="H28" s="49">
        <v>20315</v>
      </c>
      <c r="I28" s="49">
        <v>20617</v>
      </c>
      <c r="J28" s="33" t="s">
        <v>55</v>
      </c>
      <c r="K28" s="49">
        <v>20617</v>
      </c>
      <c r="L28" s="150" t="s">
        <v>52</v>
      </c>
      <c r="M28" s="153">
        <f t="shared" si="0"/>
        <v>0</v>
      </c>
      <c r="N28" s="92" t="str">
        <f>VLOOKUP(C28,'Trips&amp;Operators'!$C$1:$E$99999,3,FALSE)</f>
        <v>ROCHA</v>
      </c>
      <c r="O28" s="174" t="s">
        <v>86</v>
      </c>
      <c r="P28" s="10" t="s">
        <v>783</v>
      </c>
      <c r="Q28" s="33"/>
      <c r="R28" s="108" t="str">
        <f>VLOOKUP(C28,'Train Runs'!$A$13:$AE$10011,31,0)</f>
        <v>aws s3 cp s3://rtdc.mdm.uploadarchive/RTDC4020/2016-09-21/ "%USERPROFILE%\AppData\Local\Temp\OnboardLogs"\RTDC4020\2016-09-21 --recursive &amp; "%USERPROFILE%\Documents\GitHub\mrs-test-scripts\Headless Mode &amp; Sideloading\WalkAndUnGZ.bat" "%USERPROFILE%\AppData\Local\Temp\OnboardLogs"\RTDC4020\2016-09-21 &amp; aws s3 cp s3://rtdc.mdm.uploadarchive/RTDC4020/2016-09-22/ "%USERPROFILE%\AppData\Local\Temp\OnboardLogs"\RTDC4020\2016-09-22 --recursive &amp; "%USERPROFILE%\Documents\GitHub\mrs-test-scripts\Headless Mode &amp; Sideloading\WalkAndUnGZ.bat" "%USERPROFILE%\AppData\Local\Temp\OnboardLogs"\RTDC4020\2016-09-22</v>
      </c>
      <c r="S28" s="111" t="str">
        <f>VLOOKUP(C28,'Train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07:37:19-0600',mode:absolute,to:'2016-09-21 10:15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8" s="113" t="str">
        <f t="shared" si="1"/>
        <v>"C:\Program Files (x86)\AstroGrep\AstroGrep.exe" /spath="%USERPROFILE%\AppData\Local\Temp\OnboardLogs" /stypes="*4020*201609211*" /stext=" 14:.+((SYSTEM_STATE.+slice.+state.+changed )|(ment ac)|(system.+state.+changed )|(\|lc)|(penalty)|(\[timeout)|(PRM\|1\|D)|(kpr)|(kdp))" /e /r /s</v>
      </c>
      <c r="U28" s="9" t="str">
        <f t="shared" si="2"/>
        <v>4020</v>
      </c>
      <c r="V28" s="38">
        <f t="shared" si="3"/>
        <v>42634.610439814816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{"issue":{"subject":"Operator selected incorrect track (MAIN 2, should have MAIN 1)","project_id":79,"tracker_id":40,"status_id":1,"priority_id":2,"assigned_to_id":23,"start_date":"2016-09-21","description":"At 2016/09/21 08:38:30, EC0206RH 22-2T 2N was STOP &amp; PROCEED, seems like this wasn't expected. Anything odd here?","custom_fields":[{"id":1,"name":"Subdivision","value":"EC"},{"id":4,"name":"Milepost","value":"2.0617"},{"id":17,"name":"Train ID","value":"139-21"},{"id":16,"name":"Locomotive ID","value":"4020"},{"id":130,"name":"Impact","value":"Enforcement"},{"id":150,"name":"Time of Event (Mountain Time)","value":"08:39:02"},{"id":151,"name":"Denver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8" s="55" t="s">
        <v>779</v>
      </c>
      <c r="AA28" s="55" t="s">
        <v>138</v>
      </c>
      <c r="AB28" s="23" t="s">
        <v>143</v>
      </c>
      <c r="AC28" s="175" t="str">
        <f t="shared" si="7"/>
        <v>grep -hSE -A100 "Enforcement Action" "%USERPROFILE%\AppData\Local\Temp\OnboardLogs"\RTDC4020\*4020*201609211* | grep -SE "((Enforcement Ac)|(PRM))" -</v>
      </c>
    </row>
    <row r="29" spans="1:29" x14ac:dyDescent="0.25">
      <c r="A29" s="38">
        <v>42634.687881944446</v>
      </c>
      <c r="B29" s="33" t="s">
        <v>289</v>
      </c>
      <c r="C29" s="33" t="s">
        <v>544</v>
      </c>
      <c r="D29" s="33" t="s">
        <v>49</v>
      </c>
      <c r="E29" s="33" t="s">
        <v>54</v>
      </c>
      <c r="F29" s="49">
        <v>0</v>
      </c>
      <c r="G29" s="49">
        <v>139</v>
      </c>
      <c r="H29" s="49">
        <v>50410</v>
      </c>
      <c r="I29" s="49">
        <v>50584</v>
      </c>
      <c r="J29" s="33" t="s">
        <v>55</v>
      </c>
      <c r="K29" s="49">
        <v>50746</v>
      </c>
      <c r="L29" s="150" t="s">
        <v>52</v>
      </c>
      <c r="M29" s="153">
        <f t="shared" si="0"/>
        <v>85.536000000000001</v>
      </c>
      <c r="N29" s="92" t="str">
        <f>VLOOKUP(C29,'Trips&amp;Operators'!$C$1:$E$99999,3,FALSE)</f>
        <v>BONDS</v>
      </c>
      <c r="O29" s="174" t="s">
        <v>280</v>
      </c>
      <c r="P29" s="10" t="s">
        <v>780</v>
      </c>
      <c r="Q29" s="33"/>
      <c r="R29" s="108" t="str">
        <f>VLOOKUP(C29,'Train Runs'!$A$13:$AE$10011,31,0)</f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S29" s="111" t="str">
        <f>VLOOKUP(C29,'Train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15:15:40-0600',mode:absolute,to:'2016-09-21 18:00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29" s="113" t="str">
        <f t="shared" si="1"/>
        <v>"C:\Program Files (x86)\AstroGrep\AstroGrep.exe" /spath="%USERPROFILE%\AppData\Local\Temp\OnboardLogs" /stypes="*4007*201609212*" /stext=" 22:.+((SYSTEM_STATE.+slice.+state.+changed )|(ment ac)|(system.+state.+changed )|(\|lc)|(penalty)|(\[timeout)|(PRM\|1\|D)|(kpr)|(kdp))" /e /r /s</v>
      </c>
      <c r="U29" s="9" t="str">
        <f t="shared" si="2"/>
        <v>4007</v>
      </c>
      <c r="V29" s="38">
        <f t="shared" si="3"/>
        <v>42634.937881944446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{"issue":{"subject":"Triplex-induced comm failure","project_id":79,"tracker_id":40,"status_id":1,"priority_id":2,"assigned_to_id":23,"start_date":"2016-09-21","description":"At 2016/09/21 22:18:16.698 UTC, since CPU-1 was down, CPU-2 and 3 fought for Primary and confused the Slot10, and induced a comm failure","custom_fields":[{"id":1,"name":"Subdivision","value":"EC"},{"id":4,"name":"Milepost","value":"5.0746"},{"id":17,"name":"Train ID","value":"201-21"},{"id":16,"name":"Locomotive ID","value":"4007"},{"id":130,"name":"Impact","value":"Enforcement"},{"id":150,"name":"Time of Event (Mountain Time)","value":"16:30:33"},{"id":151,"name":"Denver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9" s="55" t="s">
        <v>781</v>
      </c>
      <c r="AA29" s="55" t="s">
        <v>138</v>
      </c>
      <c r="AB29" s="23" t="s">
        <v>248</v>
      </c>
      <c r="AC29" s="175" t="str">
        <f t="shared" si="7"/>
        <v>grep -hSE -A100 "Enforcement Action" "%USERPROFILE%\AppData\Local\Temp\OnboardLogs"\RTDC4007\*4007*201609212* | grep -SE "((Enforcement Ac)|(PRM))" -</v>
      </c>
    </row>
    <row r="30" spans="1:29" x14ac:dyDescent="0.25">
      <c r="A30" s="38">
        <v>42634.461585648147</v>
      </c>
      <c r="B30" s="33" t="s">
        <v>292</v>
      </c>
      <c r="C30" s="33" t="s">
        <v>476</v>
      </c>
      <c r="D30" s="33" t="s">
        <v>49</v>
      </c>
      <c r="E30" s="33" t="s">
        <v>54</v>
      </c>
      <c r="F30" s="49">
        <v>0</v>
      </c>
      <c r="G30" s="49">
        <v>483</v>
      </c>
      <c r="H30" s="49">
        <v>104085</v>
      </c>
      <c r="I30" s="49">
        <v>105863</v>
      </c>
      <c r="J30" s="33" t="s">
        <v>55</v>
      </c>
      <c r="K30" s="49">
        <v>107939</v>
      </c>
      <c r="L30" s="150" t="s">
        <v>52</v>
      </c>
      <c r="M30" s="153">
        <f t="shared" si="0"/>
        <v>1096.1279999999999</v>
      </c>
      <c r="N30" s="92" t="str">
        <f>VLOOKUP(C30,'Trips&amp;Operators'!$C$1:$E$99999,3,FALSE)</f>
        <v>STARKS</v>
      </c>
      <c r="O30" s="174" t="s">
        <v>86</v>
      </c>
      <c r="P30" s="10" t="s">
        <v>782</v>
      </c>
      <c r="Q30" s="33"/>
      <c r="R30" s="108" t="str">
        <f>VLOOKUP(C30,'Train Runs'!$A$13:$AE$10011,31,0)</f>
        <v>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 &amp; aws s3 cp s3://rtdc.mdm.uploadarchive/RTDC4002/2016-09-22/ "%USERPROFILE%\AppData\Local\Temp\OnboardLogs"\RTDC4002\2016-09-22 --recursive &amp; "%USERPROFILE%\Documents\GitHub\mrs-test-scripts\Headless Mode &amp; Sideloading\WalkAndUnGZ.bat" "%USERPROFILE%\AppData\Local\Temp\OnboardLogs"\RTDC4002\2016-09-22</v>
      </c>
      <c r="S30" s="111" t="str">
        <f>VLOOKUP(C30,'Train Runs'!$A$13:$AE$10011,22,0)</f>
        <v>https://search-rtdc-monitor-bjffxe2xuh6vdkpspy63sjmuny.us-east-1.es.amazonaws.com/_plugin/kibana/#/discover/Steve-Slow-Train-Analysis-(2080s-and-2083s)?_g=(refreshInterval:(display:Off,section:0,value:0),time:(from:'2016-09-21 09:31:49-0600',mode:absolute,to:'2016-09-21 12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0" s="113" t="str">
        <f t="shared" si="1"/>
        <v>"C:\Program Files (x86)\AstroGrep\AstroGrep.exe" /spath="%USERPROFILE%\AppData\Local\Temp\OnboardLogs" /stypes="*4002*201609211*" /stext=" 17:.+((SYSTEM_STATE.+slice.+state.+changed )|(ment ac)|(system.+state.+changed )|(\|lc)|(penalty)|(\[timeout)|(PRM\|1\|D)|(kpr)|(kdp))" /e /r /s</v>
      </c>
      <c r="U30" s="9" t="str">
        <f t="shared" si="2"/>
        <v>4002</v>
      </c>
      <c r="V30" s="38">
        <f t="shared" si="3"/>
        <v>42634.711585648147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{"issue":{"subject":"Chambers 2N STOP, cleared afterward","project_id":79,"tracker_id":40,"status_id":1,"priority_id":2,"assigned_to_id":23,"start_date":"2016-09-21","description":"","custom_fields":[{"id":1,"name":"Subdivision","value":"EC"},{"id":4,"name":"Milepost","value":"10.7939"},{"id":17,"name":"Train ID","value":"155-21"},{"id":16,"name":"Locomotive ID","value":"4002"},{"id":130,"name":"Impact","value":""},{"id":150,"name":"Time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"%USERPROFILE%\AppData\Local\Temp\OnboardLogs"\RTDC4002\*4002*201609211* | grep -SE "((Enforcement Ac)|(PRM))" -</v>
      </c>
    </row>
    <row r="31" spans="1:29" ht="15" customHeight="1" x14ac:dyDescent="0.25">
      <c r="A31" s="38">
        <v>42634.749305555553</v>
      </c>
      <c r="B31" s="33" t="s">
        <v>401</v>
      </c>
      <c r="C31" s="33" t="s">
        <v>564</v>
      </c>
      <c r="D31" s="33" t="s">
        <v>49</v>
      </c>
      <c r="E31" s="33" t="s">
        <v>54</v>
      </c>
      <c r="F31" s="49">
        <v>0</v>
      </c>
      <c r="G31" s="49">
        <v>83</v>
      </c>
      <c r="H31" s="49">
        <v>58173</v>
      </c>
      <c r="I31" s="49">
        <v>58232</v>
      </c>
      <c r="J31" s="33" t="s">
        <v>55</v>
      </c>
      <c r="K31" s="49">
        <v>107939</v>
      </c>
      <c r="L31" s="150" t="s">
        <v>52</v>
      </c>
      <c r="M31" s="153">
        <f t="shared" si="0"/>
        <v>26245.295999999998</v>
      </c>
      <c r="N31" s="92" t="str">
        <f>VLOOKUP(C31,'Trips&amp;Operators'!$C$1:$E$99999,3,FALSE)</f>
        <v>YANAI</v>
      </c>
      <c r="O31" s="174" t="s">
        <v>86</v>
      </c>
      <c r="P31" s="10" t="s">
        <v>782</v>
      </c>
      <c r="Q31" s="33"/>
      <c r="R31" s="108" t="str">
        <f>VLOOKUP(C31,'Train Runs'!$A$13:$AE$10011,31,0)</f>
        <v>aws s3 cp s3://rtdc.mdm.uploadarchive/RTDC4016/2016-09-21/ "%USERPROFILE%\AppData\Local\Temp\OnboardLogs"\RTDC4016\2016-09-21 --recursive &amp; "%USERPROFILE%\Documents\GitHub\mrs-test-scripts\Headless Mode &amp; Sideloading\WalkAndUnGZ.bat" "%USERPROFILE%\AppData\Local\Temp\OnboardLogs"\RTDC4016\2016-09-21 &amp; aws s3 cp s3://rtdc.mdm.uploadarchive/RTDC4016/2016-09-22/ "%USERPROFILE%\AppData\Local\Temp\OnboardLogs"\RTDC4016\2016-09-22 --recursive &amp; "%USERPROFILE%\Documents\GitHub\mrs-test-scripts\Headless Mode &amp; Sideloading\WalkAndUnGZ.bat" "%USERPROFILE%\AppData\Local\Temp\OnboardLogs"\RTDC4016\2016-09-22</v>
      </c>
      <c r="S31" s="111" t="str">
        <f>VLOOKUP(C31,'Train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16:42:47-0600',mode:absolute,to:'2016-09-21 18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1" s="113" t="str">
        <f t="shared" si="1"/>
        <v>"C:\Program Files (x86)\AstroGrep\AstroGrep.exe" /spath="%USERPROFILE%\AppData\Local\Temp\OnboardLogs" /stypes="*4016*201609212*" /stext=" 23:.+((SYSTEM_STATE.+slice.+state.+changed )|(ment ac)|(system.+state.+changed )|(\|lc)|(penalty)|(\[timeout)|(PRM\|1\|D)|(kpr)|(kdp))" /e /r /s</v>
      </c>
      <c r="U31" s="9" t="str">
        <f t="shared" si="2"/>
        <v>4016</v>
      </c>
      <c r="V31" s="38">
        <f t="shared" si="3"/>
        <v>42634.999305555553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{"issue":{"subject":"Chambers 2N STOP, cleared afterward","project_id":79,"tracker_id":40,"status_id":1,"priority_id":2,"assigned_to_id":23,"start_date":"2016-09-21","description":"","custom_fields":[{"id":1,"name":"Subdivision","value":"EC"},{"id":4,"name":"Milepost","value":"10.7939"},{"id":17,"name":"Train ID","value":"213-21"},{"id":16,"name":"Locomotive ID","value":"4016"},{"id":130,"name":"Impact","value":""},{"id":150,"name":"Time of Event (Mountain Time)","value":"17:59:00"},{"id":151,"name":"Denver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"%USERPROFILE%\AppData\Local\Temp\OnboardLogs"\RTDC4016\*4016*201609212* | grep -SE "((Enforcement Ac)|(PRM))" -</v>
      </c>
    </row>
    <row r="32" spans="1:29" x14ac:dyDescent="0.25">
      <c r="A32" s="38">
        <v>42634.716666666667</v>
      </c>
      <c r="B32" s="33" t="s">
        <v>327</v>
      </c>
      <c r="C32" s="33" t="s">
        <v>552</v>
      </c>
      <c r="D32" s="33" t="s">
        <v>49</v>
      </c>
      <c r="E32" s="33" t="s">
        <v>54</v>
      </c>
      <c r="F32" s="49">
        <v>0</v>
      </c>
      <c r="G32" s="49">
        <v>542</v>
      </c>
      <c r="H32" s="49">
        <v>131354</v>
      </c>
      <c r="I32" s="49">
        <v>129562</v>
      </c>
      <c r="J32" s="33" t="s">
        <v>55</v>
      </c>
      <c r="K32" s="49">
        <v>127587</v>
      </c>
      <c r="L32" s="150" t="s">
        <v>53</v>
      </c>
      <c r="M32" s="153">
        <f t="shared" si="0"/>
        <v>1042.8</v>
      </c>
      <c r="N32" s="92" t="str">
        <f>VLOOKUP(C32,'Trips&amp;Operators'!$C$1:$E$99999,3,FALSE)</f>
        <v>STORY</v>
      </c>
      <c r="O32" s="174" t="s">
        <v>86</v>
      </c>
      <c r="P32" s="10" t="s">
        <v>388</v>
      </c>
      <c r="Q32" s="33"/>
      <c r="R32" s="108" t="str">
        <f>VLOOKUP(C32,'Train Runs'!$A$13:$AE$10011,31,0)</f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S32" s="111" t="str">
        <f>VLOOKUP(C32,'Train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15:46:18-0600',mode:absolute,to:'2016-09-21 18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2" s="113" t="str">
        <f t="shared" si="1"/>
        <v>"C:\Program Files (x86)\AstroGrep\AstroGrep.exe" /spath="%USERPROFILE%\AppData\Local\Temp\OnboardLogs" /stypes="*4015*201609212*" /stext=" 23:.+((SYSTEM_STATE.+slice.+state.+changed )|(ment ac)|(system.+state.+changed )|(\|lc)|(penalty)|(\[timeout)|(PRM\|1\|D)|(kpr)|(kdp))" /e /r /s</v>
      </c>
      <c r="U32" s="9" t="str">
        <f t="shared" si="2"/>
        <v>4015</v>
      </c>
      <c r="V32" s="38">
        <f t="shared" si="3"/>
        <v>42634.966666666667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{"issue":{"subject":"40th 4S STOP, cleared afterward","project_id":79,"tracker_id":40,"status_id":1,"priority_id":2,"assigned_to_id":23,"start_date":"2016-09-21","description":"","custom_fields":[{"id":1,"name":"Subdivision","value":"EC"},{"id":4,"name":"Milepost","value":"12.7587"},{"id":17,"name":"Train ID","value":"200-21"},{"id":16,"name":"Locomotive ID","value":"4015"},{"id":130,"name":"Impact","value":""},{"id":150,"name":"Time of Event (Mountain Time)","value":"17:12:00"},{"id":151,"name":"Denver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"%USERPROFILE%\AppData\Local\Temp\OnboardLogs"\RTDC4015\*4015*201609212* | grep -SE "((Enforcement Ac)|(PRM))" -</v>
      </c>
    </row>
    <row r="33" spans="1:29" ht="15" customHeight="1" x14ac:dyDescent="0.25">
      <c r="A33" s="38">
        <v>42634.746655092589</v>
      </c>
      <c r="B33" s="33" t="s">
        <v>176</v>
      </c>
      <c r="C33" s="33" t="s">
        <v>561</v>
      </c>
      <c r="D33" s="33" t="s">
        <v>49</v>
      </c>
      <c r="E33" s="33" t="s">
        <v>54</v>
      </c>
      <c r="F33" s="49">
        <v>0</v>
      </c>
      <c r="G33" s="49">
        <v>378</v>
      </c>
      <c r="H33" s="49">
        <v>130103</v>
      </c>
      <c r="I33" s="49">
        <v>128982</v>
      </c>
      <c r="J33" s="33" t="s">
        <v>55</v>
      </c>
      <c r="K33" s="49">
        <v>127587</v>
      </c>
      <c r="L33" s="150" t="s">
        <v>53</v>
      </c>
      <c r="M33" s="153">
        <f t="shared" si="0"/>
        <v>736.56</v>
      </c>
      <c r="N33" s="92" t="str">
        <f>VLOOKUP(C33,'Trips&amp;Operators'!$C$1:$E$99999,3,FALSE)</f>
        <v>HELVIE</v>
      </c>
      <c r="O33" s="174" t="s">
        <v>86</v>
      </c>
      <c r="P33" s="10" t="s">
        <v>388</v>
      </c>
      <c r="Q33" s="33"/>
      <c r="R33" s="108" t="str">
        <f>VLOOKUP(C33,'Train Runs'!$A$13:$AE$10011,31,0)</f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S33" s="111" t="str">
        <f>VLOOKUP(C33,'Train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16:33:14-0600',mode:absolute,to:'2016-09-21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3" s="113" t="str">
        <f t="shared" si="1"/>
        <v>"C:\Program Files (x86)\AstroGrep\AstroGrep.exe" /spath="%USERPROFILE%\AppData\Local\Temp\OnboardLogs" /stypes="*4041*201609212*" /stext=" 23:.+((SYSTEM_STATE.+slice.+state.+changed )|(ment ac)|(system.+state.+changed )|(\|lc)|(penalty)|(\[timeout)|(PRM\|1\|D)|(kpr)|(kdp))" /e /r /s</v>
      </c>
      <c r="U33" s="9" t="str">
        <f t="shared" si="2"/>
        <v>4041</v>
      </c>
      <c r="V33" s="38">
        <f t="shared" si="3"/>
        <v>42634.996655092589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{"issue":{"subject":"40th 4S STOP, cleared afterward","project_id":79,"tracker_id":40,"status_id":1,"priority_id":2,"assigned_to_id":23,"start_date":"2016-09-21","description":"","custom_fields":[{"id":1,"name":"Subdivision","value":"EC"},{"id":4,"name":"Milepost","value":"12.7587"},{"id":17,"name":"Train ID","value":"206-21"},{"id":16,"name":"Locomotive ID","value":"4041"},{"id":130,"name":"Impact","value":""},{"id":150,"name":"Time of Event (Mountain Time)","value":"17:55:11"},{"id":151,"name":"Denver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"%USERPROFILE%\AppData\Local\Temp\OnboardLogs"\RTDC4041\*4041*201609212* | grep -SE "((Enforcement Ac)|(PRM))" -</v>
      </c>
    </row>
    <row r="34" spans="1:29" x14ac:dyDescent="0.25">
      <c r="A34" s="38">
        <v>42634.730868055558</v>
      </c>
      <c r="B34" s="33" t="s">
        <v>181</v>
      </c>
      <c r="C34" s="33" t="s">
        <v>553</v>
      </c>
      <c r="D34" s="33" t="s">
        <v>49</v>
      </c>
      <c r="E34" s="33" t="s">
        <v>54</v>
      </c>
      <c r="F34" s="49">
        <v>0</v>
      </c>
      <c r="G34" s="49">
        <v>602</v>
      </c>
      <c r="H34" s="49">
        <v>151612</v>
      </c>
      <c r="I34" s="49">
        <v>154110</v>
      </c>
      <c r="J34" s="33" t="s">
        <v>55</v>
      </c>
      <c r="K34" s="49">
        <v>155600</v>
      </c>
      <c r="L34" s="150" t="s">
        <v>52</v>
      </c>
      <c r="M34" s="153">
        <f t="shared" si="0"/>
        <v>786.72</v>
      </c>
      <c r="N34" s="92" t="str">
        <f>VLOOKUP(C34,'Trips&amp;Operators'!$C$1:$E$99999,3,FALSE)</f>
        <v>HILLS</v>
      </c>
      <c r="O34" s="174" t="s">
        <v>86</v>
      </c>
      <c r="P34" s="10" t="s">
        <v>777</v>
      </c>
      <c r="Q34" s="33"/>
      <c r="R34" s="108" t="str">
        <f>VLOOKUP(C34,'Train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34" s="111" t="str">
        <f>VLOOKUP(C34,'Train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16:00:44-0600',mode:absolute,to:'2016-09-21 18:45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34" s="113" t="str">
        <f t="shared" si="1"/>
        <v>"C:\Program Files (x86)\AstroGrep\AstroGrep.exe" /spath="%USERPROFILE%\AppData\Local\Temp\OnboardLogs" /stypes="*4046*201609212*" /stext=" 23:.+((SYSTEM_STATE.+slice.+state.+changed )|(ment ac)|(system.+state.+changed )|(\|lc)|(penalty)|(\[timeout)|(PRM\|1\|D)|(kpr)|(kdp))" /e /r /s</v>
      </c>
      <c r="U34" s="9" t="str">
        <f t="shared" si="2"/>
        <v>4046</v>
      </c>
      <c r="V34" s="38">
        <f t="shared" si="3"/>
        <v>42634.980868055558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{"issue":{"subject":"61st 2N STOP, cleared afterward","project_id":79,"tracker_id":40,"status_id":1,"priority_id":2,"assigned_to_id":23,"start_date":"2016-09-21","description":"","custom_fields":[{"id":1,"name":"Subdivision","value":"EC"},{"id":4,"name":"Milepost","value":"15.56"},{"id":17,"name":"Train ID","value":"207-21"},{"id":16,"name":"Locomotive ID","value":"4046"},{"id":130,"name":"Impact","value":""},{"id":150,"name":"Time of Event (Mountain Time)","value":"17:32:27"},{"id":151,"name":"Denver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"%USERPROFILE%\AppData\Local\Temp\OnboardLogs"\RTDC4046\*4046*201609212* | grep -SE "((Enforcement Ac)|(PRM))" -</v>
      </c>
    </row>
    <row r="35" spans="1:29" x14ac:dyDescent="0.25">
      <c r="A35" s="38">
        <v>42634.220173611109</v>
      </c>
      <c r="B35" s="33" t="s">
        <v>243</v>
      </c>
      <c r="C35" s="33" t="s">
        <v>411</v>
      </c>
      <c r="D35" s="33" t="s">
        <v>49</v>
      </c>
      <c r="E35" s="33" t="s">
        <v>54</v>
      </c>
      <c r="F35" s="49">
        <v>0</v>
      </c>
      <c r="G35" s="49">
        <v>348</v>
      </c>
      <c r="H35" s="49">
        <v>194015</v>
      </c>
      <c r="I35" s="49">
        <v>193229</v>
      </c>
      <c r="J35" s="33" t="s">
        <v>55</v>
      </c>
      <c r="K35" s="49">
        <v>191723</v>
      </c>
      <c r="L35" s="150" t="s">
        <v>53</v>
      </c>
      <c r="M35" s="153">
        <f t="shared" si="0"/>
        <v>795.16800000000001</v>
      </c>
      <c r="N35" s="92" t="str">
        <f>VLOOKUP(C35,'Trips&amp;Operators'!$C$1:$E$99999,3,FALSE)</f>
        <v>STRICKLAND</v>
      </c>
      <c r="O35" s="174" t="s">
        <v>86</v>
      </c>
      <c r="P35" s="10" t="s">
        <v>778</v>
      </c>
      <c r="Q35" s="33"/>
      <c r="R35" s="108" t="str">
        <f>VLOOKUP(C35,'Train Runs'!$A$13:$AE$10011,31,0)</f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S35" s="111" t="str">
        <f>VLOOKUP(C35,'Train Runs'!$A$13:$AE$10011,22,0)</f>
        <v>https://search-rtdc-monitor-bjffxe2xuh6vdkpspy63sjmuny.us-east-1.es.amazonaws.com/_plugin/kibana/#/discover/Steve-Slow-Train-Analysis-(2080s-and-2083s)?_g=(refreshInterval:(display:Off,section:0,value:0),time:(from:'2016-09-21 03:59:05-0600',mode:absolute,to:'2016-09-21 06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5" s="113" t="str">
        <f t="shared" si="1"/>
        <v>"C:\Program Files (x86)\AstroGrep\AstroGrep.exe" /spath="%USERPROFILE%\AppData\Local\Temp\OnboardLogs" /stypes="*4043*201609211*" /stext=" 11:.+((SYSTEM_STATE.+slice.+state.+changed )|(ment ac)|(system.+state.+changed )|(\|lc)|(penalty)|(\[timeout)|(PRM\|1\|D)|(kpr)|(kdp))" /e /r /s</v>
      </c>
      <c r="U35" s="9" t="str">
        <f t="shared" si="2"/>
        <v>4043</v>
      </c>
      <c r="V35" s="38">
        <f t="shared" si="3"/>
        <v>42634.470173611109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{"issue":{"subject":"Pena 4S STOP, cleared afterward","project_id":79,"tracker_id":40,"status_id":1,"priority_id":2,"assigned_to_id":23,"start_date":"2016-09-21","description":"","custom_fields":[{"id":1,"name":"Subdivision","value":"EC"},{"id":4,"name":"Milepost","value":"19.1723"},{"id":17,"name":"Train ID","value":"106-21"},{"id":16,"name":"Locomotive ID","value":"4043"},{"id":130,"name":"Impact","value":""},{"id":150,"name":"Time of Event (Mountain Time)","value":"05:17:03"},{"id":151,"name":"Denver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"%USERPROFILE%\AppData\Local\Temp\OnboardLogs"\RTDC4043\*4043*201609211* | grep -SE "((Enforcement Ac)|(PRM))" -</v>
      </c>
    </row>
    <row r="36" spans="1:29" x14ac:dyDescent="0.25">
      <c r="A36" s="38">
        <v>42634.245520833334</v>
      </c>
      <c r="B36" s="33" t="s">
        <v>243</v>
      </c>
      <c r="C36" s="33" t="s">
        <v>411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196</v>
      </c>
      <c r="I36" s="49">
        <v>141</v>
      </c>
      <c r="J36" s="33" t="s">
        <v>51</v>
      </c>
      <c r="K36" s="49">
        <v>1</v>
      </c>
      <c r="L36" s="150" t="s">
        <v>53</v>
      </c>
      <c r="M36" s="153">
        <f t="shared" si="0"/>
        <v>73.92</v>
      </c>
      <c r="N36" s="92" t="str">
        <f>VLOOKUP(C36,'Trips&amp;Operators'!$C$1:$E$99999,3,FALSE)</f>
        <v>STRICKLAND</v>
      </c>
      <c r="O36" s="174" t="s">
        <v>86</v>
      </c>
      <c r="P36" s="10"/>
      <c r="Q36" s="33"/>
      <c r="R36" s="108" t="str">
        <f>VLOOKUP(C36,'Train Runs'!$A$13:$AE$10011,31,0)</f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S36" s="111" t="str">
        <f>VLOOKUP(C36,'Train Runs'!$A$13:$AE$10011,22,0)</f>
        <v>https://search-rtdc-monitor-bjffxe2xuh6vdkpspy63sjmuny.us-east-1.es.amazonaws.com/_plugin/kibana/#/discover/Steve-Slow-Train-Analysis-(2080s-and-2083s)?_g=(refreshInterval:(display:Off,section:0,value:0),time:(from:'2016-09-21 03:59:05-0600',mode:absolute,to:'2016-09-21 06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6" s="113" t="str">
        <f t="shared" si="1"/>
        <v>"C:\Program Files (x86)\AstroGrep\AstroGrep.exe" /spath="%USERPROFILE%\AppData\Local\Temp\OnboardLogs" /stypes="*4043*201609211*" /stext=" 11:.+((SYSTEM_STATE.+slice.+state.+changed )|(ment ac)|(system.+state.+changed )|(\|lc)|(penalty)|(\[timeout)|(PRM\|1\|D)|(kpr)|(kdp))" /e /r /s</v>
      </c>
      <c r="U36" s="9" t="str">
        <f t="shared" si="2"/>
        <v>4043</v>
      </c>
      <c r="V36" s="38">
        <f t="shared" si="3"/>
        <v>42634.495520833334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ID","value":"106-21"},{"id":16,"name":"Locomotive ID","value":"4043"},{"id":130,"name":"Impact","value":""},{"id":150,"name":"Time of Event (Mountain Time)","value":"05:53:33"},{"id":151,"name":"Denver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"%USERPROFILE%\AppData\Local\Temp\OnboardLogs"\RTDC4043\*4043*201609211* | grep -SE "((Enforcement Ac)|(PRM))" -</v>
      </c>
    </row>
    <row r="37" spans="1:29" ht="15" customHeight="1" x14ac:dyDescent="0.25">
      <c r="A37" s="38">
        <v>42634.30605324074</v>
      </c>
      <c r="B37" s="33" t="s">
        <v>295</v>
      </c>
      <c r="C37" s="33" t="s">
        <v>429</v>
      </c>
      <c r="D37" s="33" t="s">
        <v>49</v>
      </c>
      <c r="E37" s="33" t="s">
        <v>50</v>
      </c>
      <c r="F37" s="49">
        <v>0</v>
      </c>
      <c r="G37" s="49">
        <v>39</v>
      </c>
      <c r="H37" s="49">
        <v>145</v>
      </c>
      <c r="I37" s="49">
        <v>114</v>
      </c>
      <c r="J37" s="33" t="s">
        <v>51</v>
      </c>
      <c r="K37" s="49">
        <v>1</v>
      </c>
      <c r="L37" s="150" t="s">
        <v>53</v>
      </c>
      <c r="M37" s="153">
        <f t="shared" si="0"/>
        <v>59.664000000000001</v>
      </c>
      <c r="N37" s="92" t="str">
        <f>VLOOKUP(C37,'Trips&amp;Operators'!$C$1:$E$99999,3,FALSE)</f>
        <v>ACKERMAN</v>
      </c>
      <c r="O37" s="174" t="s">
        <v>86</v>
      </c>
      <c r="P37" s="10"/>
      <c r="Q37" s="33"/>
      <c r="R37" s="108" t="str">
        <f>VLOOKUP(C37,'Train Runs'!$A$13:$AE$10011,31,0)</f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S37" s="111" t="str">
        <f>VLOOKUP(C37,'Train Runs'!$A$13:$AE$10011,22,0)</f>
        <v>https://search-rtdc-monitor-bjffxe2xuh6vdkpspy63sjmuny.us-east-1.es.amazonaws.com/_plugin/kibana/#/discover/Steve-Slow-Train-Analysis-(2080s-and-2083s)?_g=(refreshInterval:(display:Off,section:0,value:0),time:(from:'2016-09-21 05:32:52-0600',mode:absolute,to:'2016-09-21 08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7" s="113" t="str">
        <f t="shared" si="1"/>
        <v>"C:\Program Files (x86)\AstroGrep\AstroGrep.exe" /spath="%USERPROFILE%\AppData\Local\Temp\OnboardLogs" /stypes="*4008*201609211*" /stext=" 13:.+((SYSTEM_STATE.+slice.+state.+changed )|(ment ac)|(system.+state.+changed )|(\|lc)|(penalty)|(\[timeout)|(PRM\|1\|D)|(kpr)|(kdp))" /e /r /s</v>
      </c>
      <c r="U37" s="9" t="str">
        <f t="shared" si="2"/>
        <v>4008</v>
      </c>
      <c r="V37" s="38">
        <f t="shared" si="3"/>
        <v>42634.55605324074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ID","value":"118-21"},{"id":16,"name":"Locomotive ID","value":"4008"},{"id":130,"name":"Impact","value":""},{"id":150,"name":"Time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"%USERPROFILE%\AppData\Local\Temp\OnboardLogs"\RTDC4008\*4008*201609211* | grep -SE "((Enforcement Ac)|(PRM))" -</v>
      </c>
    </row>
    <row r="38" spans="1:29" x14ac:dyDescent="0.25">
      <c r="A38" s="38">
        <v>42634.382407407407</v>
      </c>
      <c r="B38" s="33" t="s">
        <v>295</v>
      </c>
      <c r="C38" s="33" t="s">
        <v>452</v>
      </c>
      <c r="D38" s="33" t="s">
        <v>49</v>
      </c>
      <c r="E38" s="33" t="s">
        <v>50</v>
      </c>
      <c r="F38" s="49">
        <v>0</v>
      </c>
      <c r="G38" s="49">
        <v>49</v>
      </c>
      <c r="H38" s="49">
        <v>149</v>
      </c>
      <c r="I38" s="49">
        <v>130</v>
      </c>
      <c r="J38" s="33" t="s">
        <v>51</v>
      </c>
      <c r="K38" s="49">
        <v>1</v>
      </c>
      <c r="L38" s="150" t="s">
        <v>53</v>
      </c>
      <c r="M38" s="153">
        <f t="shared" si="0"/>
        <v>68.111999999999995</v>
      </c>
      <c r="N38" s="92" t="str">
        <f>VLOOKUP(C38,'Trips&amp;Operators'!$C$1:$E$99999,3,FALSE)</f>
        <v>ACKERMAN</v>
      </c>
      <c r="O38" s="174" t="s">
        <v>86</v>
      </c>
      <c r="P38" s="10"/>
      <c r="Q38" s="33"/>
      <c r="R38" s="108" t="str">
        <f>VLOOKUP(C38,'Train Runs'!$A$13:$AE$10011,31,0)</f>
        <v>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 &amp; aws s3 cp s3://rtdc.mdm.uploadarchive/RTDC4008/2016-09-22/ "%USERPROFILE%\AppData\Local\Temp\OnboardLogs"\RTDC4008\2016-09-22 --recursive &amp; "%USERPROFILE%\Documents\GitHub\mrs-test-scripts\Headless Mode &amp; Sideloading\WalkAndUnGZ.bat" "%USERPROFILE%\AppData\Local\Temp\OnboardLogs"\RTDC4008\2016-09-22</v>
      </c>
      <c r="S38" s="111" t="str">
        <f>VLOOKUP(C38,'Train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07:18:41-0600',mode:absolute,to:'2016-09-21 10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8" s="113" t="str">
        <f t="shared" si="1"/>
        <v>"C:\Program Files (x86)\AstroGrep\AstroGrep.exe" /spath="%USERPROFILE%\AppData\Local\Temp\OnboardLogs" /stypes="*4008*201609211*" /stext=" 15:.+((SYSTEM_STATE.+slice.+state.+changed )|(ment ac)|(system.+state.+changed )|(\|lc)|(penalty)|(\[timeout)|(PRM\|1\|D)|(kpr)|(kdp))" /e /r /s</v>
      </c>
      <c r="U38" s="9" t="str">
        <f t="shared" si="2"/>
        <v>4008</v>
      </c>
      <c r="V38" s="38">
        <f t="shared" si="3"/>
        <v>42634.632407407407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ID","value":"132-21"},{"id":16,"name":"Locomotive ID","value":"4008"},{"id":130,"name":"Impact","value":""},{"id":150,"name":"Time of Event (Mountain Time)","value":"09:10:40"},{"id":151,"name":"Denver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"%USERPROFILE%\AppData\Local\Temp\OnboardLogs"\RTDC4008\*4008*201609211* | grep -SE "((Enforcement Ac)|(PRM))" -</v>
      </c>
    </row>
    <row r="39" spans="1:29" x14ac:dyDescent="0.25">
      <c r="A39" s="38">
        <v>42634.662152777775</v>
      </c>
      <c r="B39" s="33" t="s">
        <v>327</v>
      </c>
      <c r="C39" s="33" t="s">
        <v>530</v>
      </c>
      <c r="D39" s="33" t="s">
        <v>49</v>
      </c>
      <c r="E39" s="33" t="s">
        <v>50</v>
      </c>
      <c r="F39" s="49">
        <v>0</v>
      </c>
      <c r="G39" s="49">
        <v>61</v>
      </c>
      <c r="H39" s="49">
        <v>234</v>
      </c>
      <c r="I39" s="49">
        <v>169</v>
      </c>
      <c r="J39" s="33" t="s">
        <v>51</v>
      </c>
      <c r="K39" s="49">
        <v>1</v>
      </c>
      <c r="L39" s="150" t="s">
        <v>53</v>
      </c>
      <c r="M39" s="153">
        <f t="shared" ref="M39:M70" si="8">CONVERT((I39-K39)/10000,"mi","ft")*IF(L39="Increasing Mileposts (1)",-1,1)</f>
        <v>88.703999999999994</v>
      </c>
      <c r="N39" s="92" t="str">
        <f>VLOOKUP(C39,'Trips&amp;Operators'!$C$1:$E$99999,3,FALSE)</f>
        <v>STORY</v>
      </c>
      <c r="O39" s="174" t="s">
        <v>86</v>
      </c>
      <c r="P39" s="10"/>
      <c r="Q39" s="33"/>
      <c r="R39" s="108" t="str">
        <f>VLOOKUP(C39,'Train Runs'!$A$13:$AE$10011,31,0)</f>
        <v>aws s3 cp s3://rtdc.mdm.uploadarchive/RTDC4015/2016-09-21/ "%USERPROFILE%\AppData\Local\Temp\OnboardLogs"\RTDC4015\2016-09-21 --recursive &amp; "%USERPROFILE%\Documents\GitHub\mrs-test-scripts\Headless Mode &amp; Sideloading\WalkAndUnGZ.bat" "%USERPROFILE%\AppData\Local\Temp\OnboardLogs"\RTDC4015\2016-09-21 &amp; aws s3 cp s3://rtdc.mdm.uploadarchive/RTDC4015/2016-09-22/ "%USERPROFILE%\AppData\Local\Temp\OnboardLogs"\RTDC4015\2016-09-22 --recursive &amp; "%USERPROFILE%\Documents\GitHub\mrs-test-scripts\Headless Mode &amp; Sideloading\WalkAndUnGZ.bat" "%USERPROFILE%\AppData\Local\Temp\OnboardLogs"\RTDC4015\2016-09-22</v>
      </c>
      <c r="S39" s="111" t="str">
        <f>VLOOKUP(C39,'Train Runs'!$A$13:$AE$10011,22,0)</f>
        <v>https://search-rtdc-monitor-bjffxe2xuh6vdkpspy63sjmuny.us-east-1.es.amazonaws.com/_plugin/kibana/#/discover/Steve-Slow-Train-Analysis-(2080s-and-2083s)?_g=(refreshInterval:(display:Off,section:0,value:0),time:(from:'2016-09-21 14:00:46-0600',mode:absolute,to:'2016-09-21 16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9" s="113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/stypes="*4015*201609212*" /stext=" 21:.+((SYSTEM_STATE.+slice.+state.+changed )|(ment ac)|(system.+state.+changed )|(\|lc)|(penalty)|(\[timeout)|(PRM\|1\|D)|(kpr)|(kdp))" /e /r /s</v>
      </c>
      <c r="U39" s="9" t="str">
        <f t="shared" ref="U39:U68" si="10">MID(B39,13,4)</f>
        <v>4015</v>
      </c>
      <c r="V39" s="38">
        <f t="shared" ref="V39:V68" si="11">A39+6/24</f>
        <v>42634.912152777775</v>
      </c>
      <c r="W39" s="52" t="str">
        <f t="shared" ref="W39:W68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8" si="13">IF(AND(E39="TRACK WARRANT AUTHORITY",G39&lt;10),"OMIT","KEEP")</f>
        <v>KEEP</v>
      </c>
      <c r="Y39" s="134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ID","value":"186-21"},{"id":16,"name":"Locomotive ID","value":"4015"},{"id":130,"name":"Impact","value":""},{"id":150,"name":"Time of Event (Mountain Time)","value":"15:53:30"},{"id":151,"name":"Denver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ref="AC39:AC68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"%USERPROFILE%\AppData\Local\Temp\OnboardLogs"\RTDC4015\*4015*201609212* | grep -SE "((Enforcement Ac)|(PRM))" -</v>
      </c>
    </row>
    <row r="40" spans="1:29" x14ac:dyDescent="0.25">
      <c r="A40" s="38">
        <v>42634.754803240743</v>
      </c>
      <c r="B40" s="33" t="s">
        <v>434</v>
      </c>
      <c r="C40" s="33" t="s">
        <v>558</v>
      </c>
      <c r="D40" s="33" t="s">
        <v>49</v>
      </c>
      <c r="E40" s="33" t="s">
        <v>50</v>
      </c>
      <c r="F40" s="49">
        <v>0</v>
      </c>
      <c r="G40" s="49">
        <v>66</v>
      </c>
      <c r="H40" s="49">
        <v>214</v>
      </c>
      <c r="I40" s="49">
        <v>154</v>
      </c>
      <c r="J40" s="33" t="s">
        <v>51</v>
      </c>
      <c r="K40" s="49">
        <v>1</v>
      </c>
      <c r="L40" s="150" t="s">
        <v>53</v>
      </c>
      <c r="M40" s="153">
        <f t="shared" si="8"/>
        <v>80.784000000000006</v>
      </c>
      <c r="N40" s="92" t="str">
        <f>VLOOKUP(C40,'Trips&amp;Operators'!$C$1:$E$99999,3,FALSE)</f>
        <v>BARTLETT</v>
      </c>
      <c r="O40" s="174" t="s">
        <v>86</v>
      </c>
      <c r="P40" s="10"/>
      <c r="Q40" s="33"/>
      <c r="R40" s="108" t="str">
        <f>VLOOKUP(C40,'Train Runs'!$A$13:$AE$10011,31,0)</f>
        <v>aws s3 cp s3://rtdc.mdm.uploadarchive/RTDC4028/2016-09-21/ "%USERPROFILE%\AppData\Local\Temp\OnboardLogs"\RTDC4028\2016-09-21 --recursive &amp; "%USERPROFILE%\Documents\GitHub\mrs-test-scripts\Headless Mode &amp; Sideloading\WalkAndUnGZ.bat" "%USERPROFILE%\AppData\Local\Temp\OnboardLogs"\RTDC4028\2016-09-21 &amp; aws s3 cp s3://rtdc.mdm.uploadarchive/RTDC4028/2016-09-22/ "%USERPROFILE%\AppData\Local\Temp\OnboardLogs"\RTDC4028\2016-09-22 --recursive &amp; "%USERPROFILE%\Documents\GitHub\mrs-test-scripts\Headless Mode &amp; Sideloading\WalkAndUnGZ.bat" "%USERPROFILE%\AppData\Local\Temp\OnboardLogs"\RTDC4028\2016-09-22</v>
      </c>
      <c r="S40" s="111" t="str">
        <f>VLOOKUP(C40,'Train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16:13:49-0600',mode:absolute,to:'2016-09-21 19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40" s="113" t="str">
        <f t="shared" si="9"/>
        <v>"C:\Program Files (x86)\AstroGrep\AstroGrep.exe" /spath="%USERPROFILE%\AppData\Local\Temp\OnboardLogs" /stypes="*4028*201609220*" /stext=" 00:.+((SYSTEM_STATE.+slice.+state.+changed )|(ment ac)|(system.+state.+changed )|(\|lc)|(penalty)|(\[timeout)|(PRM\|1\|D)|(kpr)|(kdp))" /e /r /s</v>
      </c>
      <c r="U40" s="9" t="str">
        <f t="shared" si="10"/>
        <v>4028</v>
      </c>
      <c r="V40" s="38">
        <f t="shared" si="11"/>
        <v>42635.004803240743</v>
      </c>
      <c r="W40" s="52" t="str">
        <f t="shared" si="12"/>
        <v>EC</v>
      </c>
      <c r="X40" s="52" t="str">
        <f t="shared" si="13"/>
        <v>KEEP</v>
      </c>
      <c r="Y40" s="134" t="str">
        <f t="shared" si="14"/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ID","value":"204-21"},{"id":16,"name":"Locomotive ID","value":"4028"},{"id":130,"name":"Impact","value":""},{"id":150,"name":"Time of Event (Mountain Time)","value":"18:06:55"},{"id":151,"name":"Denver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15"/>
        <v>grep -hSE -A100 "Enforcement Action" "%USERPROFILE%\AppData\Local\Temp\OnboardLogs"\RTDC4028\*4028*201609220* | grep -SE "((Enforcement Ac)|(PRM))" -</v>
      </c>
    </row>
    <row r="41" spans="1:29" x14ac:dyDescent="0.25">
      <c r="A41" s="38">
        <v>42634.835949074077</v>
      </c>
      <c r="B41" s="33" t="s">
        <v>176</v>
      </c>
      <c r="C41" s="33" t="s">
        <v>586</v>
      </c>
      <c r="D41" s="33" t="s">
        <v>49</v>
      </c>
      <c r="E41" s="33" t="s">
        <v>50</v>
      </c>
      <c r="F41" s="49">
        <v>0</v>
      </c>
      <c r="G41" s="49">
        <v>62</v>
      </c>
      <c r="H41" s="49">
        <v>200</v>
      </c>
      <c r="I41" s="49">
        <v>143</v>
      </c>
      <c r="J41" s="33" t="s">
        <v>51</v>
      </c>
      <c r="K41" s="49">
        <v>1</v>
      </c>
      <c r="L41" s="150" t="s">
        <v>53</v>
      </c>
      <c r="M41" s="153">
        <f t="shared" si="8"/>
        <v>74.975999999999999</v>
      </c>
      <c r="N41" s="92" t="str">
        <f>VLOOKUP(C41,'Trips&amp;Operators'!$C$1:$E$99999,3,FALSE)</f>
        <v>COOLAHAN</v>
      </c>
      <c r="O41" s="174" t="s">
        <v>86</v>
      </c>
      <c r="P41" s="10"/>
      <c r="Q41" s="33"/>
      <c r="R41" s="108" t="str">
        <f>VLOOKUP(C41,'Train Runs'!$A$13:$AE$10011,31,0)</f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S41" s="111" t="str">
        <f>VLOOKUP(C41,'Train Runs'!$A$13:$AE$10011,22,0)</f>
        <v>https://search-rtdc-monitor-bjffxe2xuh6vdkpspy63sjmuny.us-east-1.es.amazonaws.com/_plugin/kibana/#/discover/Steve-Slow-Train-Analysis-(2080s-and-2083s)?_g=(refreshInterval:(display:Off,section:0,value:0),time:(from:'2016-09-21 18:19:06-0600',mode:absolute,to:'2016-09-21 21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41" s="113" t="str">
        <f t="shared" si="9"/>
        <v>"C:\Program Files (x86)\AstroGrep\AstroGrep.exe" /spath="%USERPROFILE%\AppData\Local\Temp\OnboardLogs" /stypes="*4041*201609220*" /stext=" 02:.+((SYSTEM_STATE.+slice.+state.+changed )|(ment ac)|(system.+state.+changed )|(\|lc)|(penalty)|(\[timeout)|(PRM\|1\|D)|(kpr)|(kdp))" /e /r /s</v>
      </c>
      <c r="U41" s="9" t="str">
        <f t="shared" si="10"/>
        <v>4041</v>
      </c>
      <c r="V41" s="38">
        <f t="shared" si="11"/>
        <v>42635.085949074077</v>
      </c>
      <c r="W41" s="52" t="str">
        <f t="shared" si="12"/>
        <v>EC</v>
      </c>
      <c r="X41" s="52" t="str">
        <f t="shared" si="13"/>
        <v>KEEP</v>
      </c>
      <c r="Y41" s="134" t="str">
        <f t="shared" si="14"/>
        <v>echo {"issue":{"subject":"","project_id":79,"tracker_id":40,"status_id":1,"priority_id":2,"assigned_to_id":23,"start_date":"2016-09-21","description":"","custom_fields":[{"id":1,"name":"Subdivision","value":"EC"},{"id":4,"name":"Milepost","value":"0.0001"},{"id":17,"name":"Train ID","value":"220-21"},{"id":16,"name":"Locomotive ID","value":"4041"},{"id":130,"name":"Impact","value":""},{"id":150,"name":"Time of Event (Mountain Time)","value":"20:03:46"},{"id":151,"name":"Denver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15"/>
        <v>grep -hSE -A100 "Enforcement Action" "%USERPROFILE%\AppData\Local\Temp\OnboardLogs"\RTDC4041\*4041*201609220* | grep -SE "((Enforcement Ac)|(PRM))" -</v>
      </c>
    </row>
    <row r="42" spans="1:29" x14ac:dyDescent="0.25">
      <c r="A42" s="38">
        <v>42635.002615740741</v>
      </c>
      <c r="B42" s="33" t="s">
        <v>176</v>
      </c>
      <c r="C42" s="33" t="s">
        <v>610</v>
      </c>
      <c r="D42" s="33" t="s">
        <v>49</v>
      </c>
      <c r="E42" s="33" t="s">
        <v>50</v>
      </c>
      <c r="F42" s="49">
        <v>0</v>
      </c>
      <c r="G42" s="49">
        <v>58</v>
      </c>
      <c r="H42" s="49">
        <v>218</v>
      </c>
      <c r="I42" s="49">
        <v>156</v>
      </c>
      <c r="J42" s="33" t="s">
        <v>51</v>
      </c>
      <c r="K42" s="49">
        <v>1</v>
      </c>
      <c r="L42" s="150" t="s">
        <v>53</v>
      </c>
      <c r="M42" s="153">
        <f t="shared" si="8"/>
        <v>81.84</v>
      </c>
      <c r="N42" s="92" t="str">
        <f>VLOOKUP(C42,'Trips&amp;Operators'!$C$1:$E$99999,3,FALSE)</f>
        <v>COOLAHAN</v>
      </c>
      <c r="O42" s="174" t="s">
        <v>86</v>
      </c>
      <c r="P42" s="10"/>
      <c r="Q42" s="33"/>
      <c r="R42" s="108" t="str">
        <f>VLOOKUP(C42,'Train Runs'!$A$13:$AE$10011,31,0)</f>
        <v>aws s3 cp s3://rtdc.mdm.uploadarchive/RTDC4041/2016-09-21/ "%USERPROFILE%\AppData\Local\Temp\OnboardLogs"\RTDC4041\2016-09-21 --recursive &amp; "%USERPROFILE%\Documents\GitHub\mrs-test-scripts\Headless Mode &amp; Sideloading\WalkAndUnGZ.bat" "%USERPROFILE%\AppData\Local\Temp\OnboardLogs"\RTDC4041\2016-09-21 &amp; aws s3 cp s3://rtdc.mdm.uploadarchive/RTDC4041/2016-09-22/ "%USERPROFILE%\AppData\Local\Temp\OnboardLogs"\RTDC4041\2016-09-22 --recursive &amp; "%USERPROFILE%\Documents\GitHub\mrs-test-scripts\Headless Mode &amp; Sideloading\WalkAndUnGZ.bat" "%USERPROFILE%\AppData\Local\Temp\OnboardLogs"\RTDC4041\2016-09-22</v>
      </c>
      <c r="S42" s="111" t="str">
        <f>VLOOKUP(C42,'Train Runs'!$A$13:$AE$10011,22,0)</f>
        <v>https://search-rtdc-monitor-bjffxe2xuh6vdkpspy63sjmuny.us-east-1.es.amazonaws.com/_plugin/kibana/#/discover/Steve-Slow-Train-Analysis-(2080s-and-2083s)?_g=(refreshInterval:(display:Off,section:0,value:0),time:(from:'2016-09-21 22:19:12-0600',mode:absolute,to:'2016-09-22 01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42" s="113" t="str">
        <f t="shared" si="9"/>
        <v>"C:\Program Files (x86)\AstroGrep\AstroGrep.exe" /spath="%USERPROFILE%\AppData\Local\Temp\OnboardLogs" /stypes="*4041*201609220*" /stext=" 06:.+((SYSTEM_STATE.+slice.+state.+changed )|(ment ac)|(system.+state.+changed )|(\|lc)|(penalty)|(\[timeout)|(PRM\|1\|D)|(kpr)|(kdp))" /e /r /s</v>
      </c>
      <c r="U42" s="9" t="str">
        <f t="shared" si="10"/>
        <v>4041</v>
      </c>
      <c r="V42" s="38">
        <f t="shared" si="11"/>
        <v>42635.252615740741</v>
      </c>
      <c r="W42" s="52" t="str">
        <f t="shared" si="12"/>
        <v>EC</v>
      </c>
      <c r="X42" s="52" t="str">
        <f t="shared" si="13"/>
        <v>KEEP</v>
      </c>
      <c r="Y42" s="134" t="str">
        <f t="shared" si="14"/>
        <v>echo {"issue":{"subject":"","project_id":79,"tracker_id":40,"status_id":1,"priority_id":2,"assigned_to_id":23,"start_date":"2016-09-22","description":"","custom_fields":[{"id":1,"name":"Subdivision","value":"EC"},{"id":4,"name":"Milepost","value":"0.0001"},{"id":17,"name":"Train ID","value":"236-21"},{"id":16,"name":"Locomotive ID","value":"4041"},{"id":130,"name":"Impact","value":""},{"id":150,"name":"Time of Event (Mountain Time)","value":"00:03:46"},{"id":151,"name":"Denver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15"/>
        <v>grep -hSE -A100 "Enforcement Action" "%USERPROFILE%\AppData\Local\Temp\OnboardLogs"\RTDC4041\*4041*201609220* | grep -SE "((Enforcement Ac)|(PRM))" -</v>
      </c>
    </row>
    <row r="43" spans="1:29" x14ac:dyDescent="0.25">
      <c r="A43" s="38">
        <v>42634.204953703702</v>
      </c>
      <c r="B43" s="33" t="s">
        <v>404</v>
      </c>
      <c r="C43" s="33" t="s">
        <v>405</v>
      </c>
      <c r="D43" s="33" t="s">
        <v>49</v>
      </c>
      <c r="E43" s="33" t="s">
        <v>50</v>
      </c>
      <c r="F43" s="49">
        <v>0</v>
      </c>
      <c r="G43" s="49">
        <v>82</v>
      </c>
      <c r="H43" s="49">
        <v>233184</v>
      </c>
      <c r="I43" s="49">
        <v>233282</v>
      </c>
      <c r="J43" s="33" t="s">
        <v>51</v>
      </c>
      <c r="K43" s="49">
        <v>233491</v>
      </c>
      <c r="L43" s="150" t="s">
        <v>52</v>
      </c>
      <c r="M43" s="153">
        <f t="shared" si="8"/>
        <v>110.352</v>
      </c>
      <c r="N43" s="92" t="str">
        <f>VLOOKUP(C43,'Trips&amp;Operators'!$C$1:$E$99999,3,FALSE)</f>
        <v>STRICKLAND</v>
      </c>
      <c r="O43" s="174" t="s">
        <v>86</v>
      </c>
      <c r="P43" s="10"/>
      <c r="Q43" s="33"/>
      <c r="R43" s="108" t="str">
        <f>VLOOKUP(C43,'Train Runs'!$A$13:$AE$10011,31,0)</f>
        <v>aws s3 cp s3://rtdc.mdm.uploadarchive/RTDC4027/2016-09-21/ "%USERPROFILE%\AppData\Local\Temp\OnboardLogs"\RTDC4027\2016-09-21 --recursive &amp; "%USERPROFILE%\Documents\GitHub\mrs-test-scripts\Headless Mode &amp; Sideloading\WalkAndUnGZ.bat" "%USERPROFILE%\AppData\Local\Temp\OnboardLogs"\RTDC4027\2016-09-21 &amp; aws s3 cp s3://rtdc.mdm.uploadarchive/RTDC4027/2016-09-22/ "%USERPROFILE%\AppData\Local\Temp\OnboardLogs"\RTDC4027\2016-09-22 --recursive &amp; "%USERPROFILE%\Documents\GitHub\mrs-test-scripts\Headless Mode &amp; Sideloading\WalkAndUnGZ.bat" "%USERPROFILE%\AppData\Local\Temp\OnboardLogs"\RTDC4027\2016-09-22</v>
      </c>
      <c r="S43" s="111" t="str">
        <f>VLOOKUP(C43,'Train Runs'!$A$13:$AE$10011,22,0)</f>
        <v>https://search-rtdc-monitor-bjffxe2xuh6vdkpspy63sjmuny.us-east-1.es.amazonaws.com/_plugin/kibana/#/discover/Steve-Slow-Train-Analysis-(2080s-and-2083s)?_g=(refreshInterval:(display:Off,section:0,value:0),time:(from:'2016-09-21 03:10:51-0600',mode:absolute,to:'2016-09-21 05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43" s="113" t="str">
        <f t="shared" si="9"/>
        <v>"C:\Program Files (x86)\AstroGrep\AstroGrep.exe" /spath="%USERPROFILE%\AppData\Local\Temp\OnboardLogs" /stypes="*4027*201609211*" /stext=" 10:.+((SYSTEM_STATE.+slice.+state.+changed )|(ment ac)|(system.+state.+changed )|(\|lc)|(penalty)|(\[timeout)|(PRM\|1\|D)|(kpr)|(kdp))" /e /r /s</v>
      </c>
      <c r="U43" s="9" t="str">
        <f t="shared" si="10"/>
        <v>4027</v>
      </c>
      <c r="V43" s="38">
        <f t="shared" si="11"/>
        <v>42634.454953703702</v>
      </c>
      <c r="W43" s="52" t="str">
        <f t="shared" si="12"/>
        <v>EC</v>
      </c>
      <c r="X43" s="52" t="str">
        <f t="shared" si="13"/>
        <v>KEEP</v>
      </c>
      <c r="Y43" s="134" t="str">
        <f t="shared" si="14"/>
        <v>echo {"issue":{"subject":"","project_id":79,"tracker_id":40,"status_id":1,"priority_id":2,"assigned_to_id":23,"start_date":"2016-09-21","description":"","custom_fields":[{"id":1,"name":"Subdivision","value":"EC"},{"id":4,"name":"Milepost","value":"23.3491"},{"id":17,"name":"Train ID","value":"105-21"},{"id":16,"name":"Locomotive ID","value":"4027"},{"id":130,"name":"Impact","value":""},{"id":150,"name":"Time of Event (Mountain Time)","value":"04:55:08"},{"id":151,"name":"Denver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15"/>
        <v>grep -hSE -A100 "Enforcement Action" "%USERPROFILE%\AppData\Local\Temp\OnboardLogs"\RTDC4027\*4027*201609211* | grep -SE "((Enforcement Ac)|(PRM))" -</v>
      </c>
    </row>
    <row r="44" spans="1:29" x14ac:dyDescent="0.25">
      <c r="A44" s="38">
        <v>42634.29515046296</v>
      </c>
      <c r="B44" s="33" t="s">
        <v>181</v>
      </c>
      <c r="C44" s="33" t="s">
        <v>428</v>
      </c>
      <c r="D44" s="33" t="s">
        <v>49</v>
      </c>
      <c r="E44" s="33" t="s">
        <v>50</v>
      </c>
      <c r="F44" s="49">
        <v>0</v>
      </c>
      <c r="G44" s="49">
        <v>99</v>
      </c>
      <c r="H44" s="49">
        <v>233100</v>
      </c>
      <c r="I44" s="49">
        <v>233229</v>
      </c>
      <c r="J44" s="33" t="s">
        <v>51</v>
      </c>
      <c r="K44" s="49">
        <v>233491</v>
      </c>
      <c r="L44" s="150" t="s">
        <v>52</v>
      </c>
      <c r="M44" s="153">
        <f t="shared" si="8"/>
        <v>138.33600000000001</v>
      </c>
      <c r="N44" s="92" t="str">
        <f>VLOOKUP(C44,'Trips&amp;Operators'!$C$1:$E$99999,3,FALSE)</f>
        <v>KILLION</v>
      </c>
      <c r="O44" s="174" t="s">
        <v>86</v>
      </c>
      <c r="P44" s="10"/>
      <c r="Q44" s="33"/>
      <c r="R44" s="108" t="str">
        <f>VLOOKUP(C44,'Train Runs'!$A$13:$AE$10011,31,0)</f>
        <v>aws s3 cp s3://rtdc.mdm.uploadarchive/RTDC4046/2016-09-21/ "%USERPROFILE%\AppData\Local\Temp\OnboardLogs"\RTDC4046\2016-09-21 --recursive &amp; "%USERPROFILE%\Documents\GitHub\mrs-test-scripts\Headless Mode &amp; Sideloading\WalkAndUnGZ.bat" "%USERPROFILE%\AppData\Local\Temp\OnboardLogs"\RTDC4046\2016-09-21 &amp; aws s3 cp s3://rtdc.mdm.uploadarchive/RTDC4046/2016-09-22/ "%USERPROFILE%\AppData\Local\Temp\OnboardLogs"\RTDC4046\2016-09-22 --recursive &amp; "%USERPROFILE%\Documents\GitHub\mrs-test-scripts\Headless Mode &amp; Sideloading\WalkAndUnGZ.bat" "%USERPROFILE%\AppData\Local\Temp\OnboardLogs"\RTDC4046\2016-09-22</v>
      </c>
      <c r="S44" s="111" t="str">
        <f>VLOOKUP(C44,'Train Runs'!$A$13:$AE$10011,22,0)</f>
        <v>https://search-rtdc-monitor-bjffxe2xuh6vdkpspy63sjmuny.us-east-1.es.amazonaws.com/_plugin/kibana/#/discover/Steve-Slow-Train-Analysis-(2080s-and-2083s)?_g=(refreshInterval:(display:Off,section:0,value:0),time:(from:'2016-09-21 05:25:46-0600',mode:absolute,to:'2016-09-21 08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4" s="113" t="str">
        <f t="shared" si="9"/>
        <v>"C:\Program Files (x86)\AstroGrep\AstroGrep.exe" /spath="%USERPROFILE%\AppData\Local\Temp\OnboardLogs" /stypes="*4046*201609211*" /stext=" 13:.+((SYSTEM_STATE.+slice.+state.+changed )|(ment ac)|(system.+state.+changed )|(\|lc)|(penalty)|(\[timeout)|(PRM\|1\|D)|(kpr)|(kdp))" /e /r /s</v>
      </c>
      <c r="U44" s="9" t="str">
        <f t="shared" si="10"/>
        <v>4046</v>
      </c>
      <c r="V44" s="38">
        <f t="shared" si="11"/>
        <v>42634.54515046296</v>
      </c>
      <c r="W44" s="52" t="str">
        <f t="shared" si="12"/>
        <v>EC</v>
      </c>
      <c r="X44" s="52" t="str">
        <f t="shared" si="13"/>
        <v>KEEP</v>
      </c>
      <c r="Y44" s="134" t="str">
        <f t="shared" si="14"/>
        <v>echo {"issue":{"subject":"","project_id":79,"tracker_id":40,"status_id":1,"priority_id":2,"assigned_to_id":23,"start_date":"2016-09-21","description":"","custom_fields":[{"id":1,"name":"Subdivision","value":"EC"},{"id":4,"name":"Milepost","value":"23.3491"},{"id":17,"name":"Train ID","value":"123-21"},{"id":16,"name":"Locomotive ID","value":"4046"},{"id":130,"name":"Impact","value":""},{"id":150,"name":"Time of Event (Mountain Time)","value":"07:05:01"},{"id":151,"name":"Denver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15"/>
        <v>grep -hSE -A100 "Enforcement Action" "%USERPROFILE%\AppData\Local\Temp\OnboardLogs"\RTDC4046\*4046*201609211* | grep -SE "((Enforcement Ac)|(PRM))" -</v>
      </c>
    </row>
    <row r="45" spans="1:29" x14ac:dyDescent="0.25">
      <c r="A45" s="38">
        <v>42634.556944444441</v>
      </c>
      <c r="B45" s="33" t="s">
        <v>289</v>
      </c>
      <c r="C45" s="33" t="s">
        <v>506</v>
      </c>
      <c r="D45" s="33" t="s">
        <v>49</v>
      </c>
      <c r="E45" s="33" t="s">
        <v>50</v>
      </c>
      <c r="F45" s="49">
        <v>0</v>
      </c>
      <c r="G45" s="49">
        <v>58</v>
      </c>
      <c r="H45" s="49">
        <v>233291</v>
      </c>
      <c r="I45" s="49">
        <v>233337</v>
      </c>
      <c r="J45" s="33" t="s">
        <v>51</v>
      </c>
      <c r="K45" s="49">
        <v>233491</v>
      </c>
      <c r="L45" s="150" t="s">
        <v>52</v>
      </c>
      <c r="M45" s="153">
        <f t="shared" si="8"/>
        <v>81.311999999999998</v>
      </c>
      <c r="N45" s="92" t="str">
        <f>VLOOKUP(C45,'Trips&amp;Operators'!$C$1:$E$99999,3,FALSE)</f>
        <v>BONDS</v>
      </c>
      <c r="O45" s="174" t="s">
        <v>86</v>
      </c>
      <c r="P45" s="10"/>
      <c r="Q45" s="33"/>
      <c r="R45" s="108" t="str">
        <f>VLOOKUP(C45,'Train Runs'!$A$13:$AE$10011,31,0)</f>
        <v>aws s3 cp s3://rtdc.mdm.uploadarchive/RTDC4007/2016-09-21/ "%USERPROFILE%\AppData\Local\Temp\OnboardLogs"\RTDC4007\2016-09-21 --recursive &amp; "%USERPROFILE%\Documents\GitHub\mrs-test-scripts\Headless Mode &amp; Sideloading\WalkAndUnGZ.bat" "%USERPROFILE%\AppData\Local\Temp\OnboardLogs"\RTDC4007\2016-09-21 &amp; aws s3 cp s3://rtdc.mdm.uploadarchive/RTDC4007/2016-09-22/ "%USERPROFILE%\AppData\Local\Temp\OnboardLogs"\RTDC4007\2016-09-22 --recursive &amp; "%USERPROFILE%\Documents\GitHub\mrs-test-scripts\Headless Mode &amp; Sideloading\WalkAndUnGZ.bat" "%USERPROFILE%\AppData\Local\Temp\OnboardLogs"\RTDC4007\2016-09-22</v>
      </c>
      <c r="S45" s="111" t="str">
        <f>VLOOKUP(C45,'Train Runs'!$A$13:$AE$10011,22,0)</f>
        <v>https://search-rtdc-monitor-bjffxe2xuh6vdkpspy63sjmuny.us-east-1.es.amazonaws.com/_plugin/kibana/#/discover/Steve-Slow-Train-Analysis-(2080s-and-2083s)?_g=(refreshInterval:(display:Off,section:0,value:0),time:(from:'2016-09-21 11:41:54-0600',mode:absolute,to:'2016-09-21 14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45" s="113" t="str">
        <f t="shared" si="9"/>
        <v>"C:\Program Files (x86)\AstroGrep\AstroGrep.exe" /spath="%USERPROFILE%\AppData\Local\Temp\OnboardLogs" /stypes="*4007*201609211*" /stext=" 19:.+((SYSTEM_STATE.+slice.+state.+changed )|(ment ac)|(system.+state.+changed )|(\|lc)|(penalty)|(\[timeout)|(PRM\|1\|D)|(kpr)|(kdp))" /e /r /s</v>
      </c>
      <c r="U45" s="9" t="str">
        <f t="shared" si="10"/>
        <v>4007</v>
      </c>
      <c r="V45" s="38">
        <f t="shared" si="11"/>
        <v>42634.806944444441</v>
      </c>
      <c r="W45" s="52" t="str">
        <f t="shared" si="12"/>
        <v>EC</v>
      </c>
      <c r="X45" s="52" t="str">
        <f t="shared" si="13"/>
        <v>KEEP</v>
      </c>
      <c r="Y45" s="134" t="str">
        <f t="shared" si="14"/>
        <v>echo {"issue":{"subject":"","project_id":79,"tracker_id":40,"status_id":1,"priority_id":2,"assigned_to_id":23,"start_date":"2016-09-21","description":"","custom_fields":[{"id":1,"name":"Subdivision","value":"EC"},{"id":4,"name":"Milepost","value":"23.3491"},{"id":17,"name":"Train ID","value":"173-21"},{"id":16,"name":"Locomotive ID","value":"4007"},{"id":130,"name":"Impact","value":""},{"id":150,"name":"Time of Event (Mountain Time)","value":"13:22:00"},{"id":151,"name":"Denver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5" t="str">
        <f t="shared" si="15"/>
        <v>grep -hSE -A100 "Enforcement Action" "%USERPROFILE%\AppData\Local\Temp\OnboardLogs"\RTDC4007\*4007*201609211* | grep -SE "((Enforcement Ac)|(PRM))" -</v>
      </c>
    </row>
    <row r="46" spans="1:29" x14ac:dyDescent="0.25">
      <c r="A46" s="38">
        <v>42634.393865740742</v>
      </c>
      <c r="B46" s="33" t="s">
        <v>242</v>
      </c>
      <c r="C46" s="33" t="s">
        <v>464</v>
      </c>
      <c r="D46" s="33" t="s">
        <v>49</v>
      </c>
      <c r="E46" s="33" t="s">
        <v>56</v>
      </c>
      <c r="F46" s="49">
        <v>300</v>
      </c>
      <c r="G46" s="49">
        <v>382</v>
      </c>
      <c r="H46" s="49">
        <v>19444</v>
      </c>
      <c r="I46" s="49">
        <v>20506</v>
      </c>
      <c r="J46" s="33" t="s">
        <v>57</v>
      </c>
      <c r="K46" s="49">
        <v>21299</v>
      </c>
      <c r="L46" s="150" t="s">
        <v>52</v>
      </c>
      <c r="M46" s="153">
        <f t="shared" si="8"/>
        <v>418.70400000000001</v>
      </c>
      <c r="N46" s="92" t="str">
        <f>VLOOKUP(C46,'Trips&amp;Operators'!$C$1:$E$99999,3,FALSE)</f>
        <v>GEBRETEKLE</v>
      </c>
      <c r="O46" s="174" t="s">
        <v>86</v>
      </c>
      <c r="P46" s="10"/>
      <c r="Q46" s="33"/>
      <c r="R46" s="108" t="str">
        <f>VLOOKUP(C46,'Train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46" s="111" t="str">
        <f>VLOOKUP(C46,'Train Runs'!$A$13:$AE$10011,22,0)</f>
        <v>https://search-rtdc-monitor-bjffxe2xuh6vdkpspy63sjmuny.us-east-1.es.amazonaws.com/_plugin/kibana/#/discover/Steve-Slow-Train-Analysis-(2080s-and-2083s)?_g=(refreshInterval:(display:Off,section:0,value:0),time:(from:'2016-09-21 08:17:53-0600',mode:absolute,to:'2016-09-21 10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6" s="113" t="str">
        <f t="shared" si="9"/>
        <v>"C:\Program Files (x86)\AstroGrep\AstroGrep.exe" /spath="%USERPROFILE%\AppData\Local\Temp\OnboardLogs" /stypes="*4044*201609211*" /stext=" 15:.+((SYSTEM_STATE.+slice.+state.+changed )|(ment ac)|(system.+state.+changed )|(\|lc)|(penalty)|(\[timeout)|(PRM\|1\|D)|(kpr)|(kdp))" /e /r /s</v>
      </c>
      <c r="U46" s="9" t="str">
        <f t="shared" si="10"/>
        <v>4044</v>
      </c>
      <c r="V46" s="38">
        <f t="shared" si="11"/>
        <v>42634.643865740742</v>
      </c>
      <c r="W46" s="52" t="str">
        <f t="shared" si="12"/>
        <v>NW</v>
      </c>
      <c r="X46" s="52" t="str">
        <f t="shared" si="13"/>
        <v>KEEP</v>
      </c>
      <c r="Y46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{"issue":{"subject":"","project_id":79,"tracker_id":40,"status_id":1,"priority_id":2,"assigned_to_id":23,"start_date":"2016-09-21","description":"","custom_fields":[{"id":1,"name":"Subdivision","value":"NW"},{"id":4,"name":"Milepost","value":"2.1299"},{"id":17,"name":"Train ID","value":"813-21"},{"id":16,"name":"Locomotive ID","value":"4044"},{"id":130,"name":"Impact","value":""},{"id":150,"name":"Time of Event (Mountain Time)","value":"09:27:10"},{"id":151,"name":"Denver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5" t="str">
        <f t="shared" si="15"/>
        <v>grep -hSE -A100 "Enforcement Action" "%USERPROFILE%\AppData\Local\Temp\OnboardLogs"\RTDC4044\*4044*201609211* | grep -SE "((Enforcement Ac)|(PRM))" -</v>
      </c>
    </row>
    <row r="47" spans="1:29" x14ac:dyDescent="0.25">
      <c r="A47" s="38">
        <v>42634.749768518515</v>
      </c>
      <c r="B47" s="33" t="s">
        <v>419</v>
      </c>
      <c r="C47" s="33" t="s">
        <v>562</v>
      </c>
      <c r="D47" s="33" t="s">
        <v>105</v>
      </c>
      <c r="E47" s="33" t="s">
        <v>56</v>
      </c>
      <c r="F47" s="49">
        <v>300</v>
      </c>
      <c r="G47" s="49">
        <v>358</v>
      </c>
      <c r="H47" s="49">
        <v>23794</v>
      </c>
      <c r="I47" s="49">
        <v>24706</v>
      </c>
      <c r="J47" s="33" t="s">
        <v>57</v>
      </c>
      <c r="K47" s="49">
        <v>21299</v>
      </c>
      <c r="L47" s="150" t="s">
        <v>52</v>
      </c>
      <c r="M47" s="153">
        <f t="shared" si="8"/>
        <v>-1798.896</v>
      </c>
      <c r="N47" s="92" t="str">
        <f>VLOOKUP(C47,'Trips&amp;Operators'!$C$1:$E$99999,3,FALSE)</f>
        <v>LEVERE</v>
      </c>
      <c r="O47" s="174" t="s">
        <v>86</v>
      </c>
      <c r="P47" s="10"/>
      <c r="Q47" s="33"/>
      <c r="R47" s="108" t="str">
        <f>VLOOKUP(C47,'Train Runs'!$A$13:$AE$10011,31,0)</f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S47" s="111" t="str">
        <f>VLOOKUP(C47,'Train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16:42:00-0600',mode:absolute,to:'2016-09-21 19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7" s="113" t="str">
        <f t="shared" si="9"/>
        <v>"C:\Program Files (x86)\AstroGrep\AstroGrep.exe" /spath="%USERPROFILE%\AppData\Local\Temp\OnboardLogs" /stypes="*4031*201609212*" /stext=" 23:.+((SYSTEM_STATE.+slice.+state.+changed )|(ment ac)|(system.+state.+changed )|(\|lc)|(penalty)|(\[timeout)|(PRM\|1\|D)|(kpr)|(kdp))" /e /r /s</v>
      </c>
      <c r="U47" s="9" t="str">
        <f t="shared" si="10"/>
        <v>4031</v>
      </c>
      <c r="V47" s="38">
        <f t="shared" si="11"/>
        <v>42634.999768518515</v>
      </c>
      <c r="W47" s="52" t="str">
        <f t="shared" si="12"/>
        <v>NW</v>
      </c>
      <c r="X47" s="52" t="str">
        <f t="shared" si="13"/>
        <v>KEEP</v>
      </c>
      <c r="Y47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{"issue":{"subject":"","project_id":79,"tracker_id":40,"status_id":1,"priority_id":2,"assigned_to_id":23,"start_date":"2016-09-21","description":"","custom_fields":[{"id":1,"name":"Subdivision","value":"NW"},{"id":4,"name":"Milepost","value":"2.1299"},{"id":17,"name":"Train ID","value":"835-21"},{"id":16,"name":"Locomotive ID","value":"4031"},{"id":130,"name":"Impact","value":""},{"id":150,"name":"Time of Event (Mountain Time)","value":"17:59:40"},{"id":151,"name":"Denver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15"/>
        <v>grep -hSE -A100 "Enforcement Action" "%USERPROFILE%\AppData\Local\Temp\OnboardLogs"\RTDC4031\*4031*201609212* | grep -SE "((Enforcement Ac)|(PRM))" -</v>
      </c>
    </row>
    <row r="48" spans="1:29" x14ac:dyDescent="0.25">
      <c r="A48" s="38">
        <v>42634.708854166667</v>
      </c>
      <c r="B48" s="33" t="s">
        <v>419</v>
      </c>
      <c r="C48" s="33" t="s">
        <v>551</v>
      </c>
      <c r="D48" s="33" t="s">
        <v>105</v>
      </c>
      <c r="E48" s="33" t="s">
        <v>56</v>
      </c>
      <c r="F48" s="49">
        <v>400</v>
      </c>
      <c r="G48" s="49">
        <v>452</v>
      </c>
      <c r="H48" s="49">
        <v>43500</v>
      </c>
      <c r="I48" s="49">
        <v>44951</v>
      </c>
      <c r="J48" s="33" t="s">
        <v>57</v>
      </c>
      <c r="K48" s="49">
        <v>41797</v>
      </c>
      <c r="L48" s="150" t="s">
        <v>52</v>
      </c>
      <c r="M48" s="153">
        <f t="shared" si="8"/>
        <v>-1665.3119999999999</v>
      </c>
      <c r="N48" s="92" t="str">
        <f>VLOOKUP(C48,'Trips&amp;Operators'!$C$1:$E$99999,3,FALSE)</f>
        <v>LEVERE</v>
      </c>
      <c r="O48" s="174" t="s">
        <v>86</v>
      </c>
      <c r="P48" s="10"/>
      <c r="Q48" s="33"/>
      <c r="R48" s="108" t="str">
        <f>VLOOKUP(C48,'Train Runs'!$A$13:$AE$10011,31,0)</f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S48" s="111" t="str">
        <f>VLOOKUP(C48,'Train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15:42:04-0600',mode:absolute,to:'2016-09-21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8" s="113" t="str">
        <f t="shared" si="9"/>
        <v>"C:\Program Files (x86)\AstroGrep\AstroGrep.exe" /spath="%USERPROFILE%\AppData\Local\Temp\OnboardLogs" /stypes="*4031*201609212*" /stext=" 23:.+((SYSTEM_STATE.+slice.+state.+changed )|(ment ac)|(system.+state.+changed )|(\|lc)|(penalty)|(\[timeout)|(PRM\|1\|D)|(kpr)|(kdp))" /e /r /s</v>
      </c>
      <c r="U48" s="9" t="str">
        <f t="shared" si="10"/>
        <v>4031</v>
      </c>
      <c r="V48" s="38">
        <f t="shared" si="11"/>
        <v>42634.958854166667</v>
      </c>
      <c r="W48" s="52" t="str">
        <f t="shared" si="12"/>
        <v>NW</v>
      </c>
      <c r="X48" s="52" t="str">
        <f t="shared" si="13"/>
        <v>KEEP</v>
      </c>
      <c r="Y48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{"issue":{"subject":"","project_id":79,"tracker_id":40,"status_id":1,"priority_id":2,"assigned_to_id":23,"start_date":"2016-09-21","description":"","custom_fields":[{"id":1,"name":"Subdivision","value":"NW"},{"id":4,"name":"Milepost","value":"4.1797"},{"id":17,"name":"Train ID","value":"831-21"},{"id":16,"name":"Locomotive ID","value":"4031"},{"id":130,"name":"Impact","value":""},{"id":150,"name":"Time of Event (Mountain Time)","value":"17:00:45"},{"id":151,"name":"Denver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15"/>
        <v>grep -hSE -A100 "Enforcement Action" "%USERPROFILE%\AppData\Local\Temp\OnboardLogs"\RTDC4031\*4031*201609212* | grep -SE "((Enforcement Ac)|(PRM))" -</v>
      </c>
    </row>
    <row r="49" spans="1:29" x14ac:dyDescent="0.25">
      <c r="A49" s="38">
        <v>42634.321863425925</v>
      </c>
      <c r="B49" s="33" t="s">
        <v>430</v>
      </c>
      <c r="C49" s="33" t="s">
        <v>444</v>
      </c>
      <c r="D49" s="33" t="s">
        <v>105</v>
      </c>
      <c r="E49" s="33" t="s">
        <v>56</v>
      </c>
      <c r="F49" s="49">
        <v>150</v>
      </c>
      <c r="G49" s="49">
        <v>202</v>
      </c>
      <c r="H49" s="49">
        <v>56995</v>
      </c>
      <c r="I49" s="49">
        <v>56640</v>
      </c>
      <c r="J49" s="33" t="s">
        <v>57</v>
      </c>
      <c r="K49" s="49">
        <v>59050</v>
      </c>
      <c r="L49" s="150" t="s">
        <v>53</v>
      </c>
      <c r="M49" s="153">
        <f t="shared" si="8"/>
        <v>-1272.48</v>
      </c>
      <c r="N49" s="92" t="str">
        <f>VLOOKUP(C49,'Trips&amp;Operators'!$C$1:$E$99999,3,FALSE)</f>
        <v>GEBRETEKLE</v>
      </c>
      <c r="O49" s="174" t="s">
        <v>86</v>
      </c>
      <c r="P49" s="10"/>
      <c r="Q49" s="33"/>
      <c r="R49" s="108" t="str">
        <f>VLOOKUP(C49,'Train Runs'!$A$13:$AE$10011,31,0)</f>
        <v>aws s3 cp s3://rtdc.mdm.uploadarchive/RTDC4037/2016-09-21/ "%USERPROFILE%\AppData\Local\Temp\OnboardLogs"\RTDC4037\2016-09-21 --recursive &amp; "%USERPROFILE%\Documents\GitHub\mrs-test-scripts\Headless Mode &amp; Sideloading\WalkAndUnGZ.bat" "%USERPROFILE%\AppData\Local\Temp\OnboardLogs"\RTDC4037\2016-09-21 &amp; aws s3 cp s3://rtdc.mdm.uploadarchive/RTDC4037/2016-09-22/ "%USERPROFILE%\AppData\Local\Temp\OnboardLogs"\RTDC4037\2016-09-22 --recursive &amp; "%USERPROFILE%\Documents\GitHub\mrs-test-scripts\Headless Mode &amp; Sideloading\WalkAndUnGZ.bat" "%USERPROFILE%\AppData\Local\Temp\OnboardLogs"\RTDC4037\2016-09-22</v>
      </c>
      <c r="S49" s="111" t="str">
        <f>VLOOKUP(C49,'Train Runs'!$A$13:$AE$10011,22,0)</f>
        <v>https://search-rtdc-monitor-bjffxe2xuh6vdkpspy63sjmuny.us-east-1.es.amazonaws.com/_plugin/kibana/#/discover/Steve-Slow-Train-Analysis-(2080s-and-2083s)?_g=(refreshInterval:(display:Off,section:0,value:0),time:(from:'2016-09-21 06:36:45-0600',mode:absolute,to:'2016-09-21 09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49" s="113" t="str">
        <f t="shared" si="9"/>
        <v>"C:\Program Files (x86)\AstroGrep\AstroGrep.exe" /spath="%USERPROFILE%\AppData\Local\Temp\OnboardLogs" /stypes="*4037*201609211*" /stext=" 13:.+((SYSTEM_STATE.+slice.+state.+changed )|(ment ac)|(system.+state.+changed )|(\|lc)|(penalty)|(\[timeout)|(PRM\|1\|D)|(kpr)|(kdp))" /e /r /s</v>
      </c>
      <c r="U49" s="9" t="str">
        <f t="shared" si="10"/>
        <v>4037</v>
      </c>
      <c r="V49" s="38">
        <f t="shared" si="11"/>
        <v>42634.571863425925</v>
      </c>
      <c r="W49" s="52" t="str">
        <f t="shared" si="12"/>
        <v>NW</v>
      </c>
      <c r="X49" s="52" t="str">
        <f t="shared" si="13"/>
        <v>KEEP</v>
      </c>
      <c r="Y49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{"issue":{"subject":"","project_id":79,"tracker_id":40,"status_id":1,"priority_id":2,"assigned_to_id":23,"start_date":"2016-09-21","description":"","custom_fields":[{"id":1,"name":"Subdivision","value":"NW"},{"id":4,"name":"Milepost","value":"5.905"},{"id":17,"name":"Train ID","value":"808-21"},{"id":16,"name":"Locomotive ID","value":"4037"},{"id":130,"name":"Impact","value":""},{"id":150,"name":"Time of Event (Mountain Time)","value":"07:43:29"},{"id":151,"name":"Denver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5" t="str">
        <f t="shared" si="15"/>
        <v>grep -hSE -A100 "Enforcement Action" "%USERPROFILE%\AppData\Local\Temp\OnboardLogs"\RTDC4037\*4037*201609211* | grep -SE "((Enforcement Ac)|(PRM))" -</v>
      </c>
    </row>
    <row r="50" spans="1:29" x14ac:dyDescent="0.25">
      <c r="A50" s="38">
        <v>42634.34275462963</v>
      </c>
      <c r="B50" s="33" t="s">
        <v>414</v>
      </c>
      <c r="C50" s="33" t="s">
        <v>450</v>
      </c>
      <c r="D50" s="33" t="s">
        <v>105</v>
      </c>
      <c r="E50" s="33" t="s">
        <v>56</v>
      </c>
      <c r="F50" s="49">
        <v>150</v>
      </c>
      <c r="G50" s="49">
        <v>202</v>
      </c>
      <c r="H50" s="49">
        <v>56762</v>
      </c>
      <c r="I50" s="49">
        <v>56352</v>
      </c>
      <c r="J50" s="33" t="s">
        <v>57</v>
      </c>
      <c r="K50" s="49">
        <v>59050</v>
      </c>
      <c r="L50" s="150" t="s">
        <v>53</v>
      </c>
      <c r="M50" s="153">
        <f t="shared" si="8"/>
        <v>-1424.5439999999999</v>
      </c>
      <c r="N50" s="92" t="str">
        <f>VLOOKUP(C50,'Trips&amp;Operators'!$C$1:$E$99999,3,FALSE)</f>
        <v>STARKS</v>
      </c>
      <c r="O50" s="174" t="s">
        <v>86</v>
      </c>
      <c r="P50" s="10"/>
      <c r="Q50" s="33"/>
      <c r="R50" s="108" t="str">
        <f>VLOOKUP(C50,'Train Runs'!$A$13:$AE$10011,31,0)</f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S50" s="111" t="str">
        <f>VLOOKUP(C50,'Train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07:07:20-0600',mode:absolute,to:'2016-09-21 09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50" s="113" t="str">
        <f t="shared" si="9"/>
        <v>"C:\Program Files (x86)\AstroGrep\AstroGrep.exe" /spath="%USERPROFILE%\AppData\Local\Temp\OnboardLogs" /stypes="*4032*201609211*" /stext=" 14:.+((SYSTEM_STATE.+slice.+state.+changed )|(ment ac)|(system.+state.+changed )|(\|lc)|(penalty)|(\[timeout)|(PRM\|1\|D)|(kpr)|(kdp))" /e /r /s</v>
      </c>
      <c r="U50" s="9" t="str">
        <f t="shared" si="10"/>
        <v>4032</v>
      </c>
      <c r="V50" s="38">
        <f t="shared" si="11"/>
        <v>42634.59275462963</v>
      </c>
      <c r="W50" s="52" t="str">
        <f t="shared" si="12"/>
        <v>NW</v>
      </c>
      <c r="X50" s="52" t="str">
        <f t="shared" si="13"/>
        <v>KEEP</v>
      </c>
      <c r="Y50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{"issue":{"subject":"","project_id":79,"tracker_id":40,"status_id":1,"priority_id":2,"assigned_to_id":23,"start_date":"2016-09-21","description":"","custom_fields":[{"id":1,"name":"Subdivision","value":"NW"},{"id":4,"name":"Milepost","value":"5.905"},{"id":17,"name":"Train ID","value":"810-21"},{"id":16,"name":"Locomotive ID","value":"4032"},{"id":130,"name":"Impact","value":""},{"id":150,"name":"Time of Event (Mountain Time)","value":"08:13:34"},{"id":151,"name":"Denver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 t="shared" si="15"/>
        <v>grep -hSE -A100 "Enforcement Action" "%USERPROFILE%\AppData\Local\Temp\OnboardLogs"\RTDC4032\*4032*201609211* | grep -SE "((Enforcement Ac)|(PRM))" -</v>
      </c>
    </row>
    <row r="51" spans="1:29" x14ac:dyDescent="0.25">
      <c r="A51" s="38">
        <v>42634.234097222223</v>
      </c>
      <c r="B51" s="33" t="s">
        <v>414</v>
      </c>
      <c r="C51" s="33" t="s">
        <v>415</v>
      </c>
      <c r="D51" s="33" t="s">
        <v>49</v>
      </c>
      <c r="E51" s="33" t="s">
        <v>340</v>
      </c>
      <c r="F51" s="49">
        <v>100</v>
      </c>
      <c r="G51" s="49">
        <v>183</v>
      </c>
      <c r="H51" s="49">
        <v>12022</v>
      </c>
      <c r="I51" s="49">
        <v>11566</v>
      </c>
      <c r="J51" s="33" t="s">
        <v>168</v>
      </c>
      <c r="K51" s="49">
        <v>11000</v>
      </c>
      <c r="L51" s="150" t="s">
        <v>53</v>
      </c>
      <c r="M51" s="153">
        <f t="shared" si="8"/>
        <v>298.84800000000001</v>
      </c>
      <c r="N51" s="92" t="str">
        <f>VLOOKUP(C51,'Trips&amp;Operators'!$C$1:$E$99999,3,FALSE)</f>
        <v>STARKS</v>
      </c>
      <c r="O51" s="174" t="s">
        <v>86</v>
      </c>
      <c r="P51" s="10"/>
      <c r="Q51" s="33"/>
      <c r="R51" s="108" t="str">
        <f>VLOOKUP(C51,'Train Runs'!$A$13:$AE$10011,31,0)</f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S51" s="111" t="str">
        <f>VLOOKUP(C51,'Train Runs'!$A$13:$AE$10011,22,0)</f>
        <v>https://search-rtdc-monitor-bjffxe2xuh6vdkpspy63sjmuny.us-east-1.es.amazonaws.com/_plugin/kibana/#/discover/Steve-Slow-Train-Analysis-(2080s-and-2083s)?_g=(refreshInterval:(display:Off,section:0,value:0),time:(from:'2016-09-21 04:25:00-0600',mode:absolute,to:'2016-09-21 06:42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51" s="113" t="str">
        <f t="shared" si="9"/>
        <v>"C:\Program Files (x86)\AstroGrep\AstroGrep.exe" /spath="%USERPROFILE%\AppData\Local\Temp\OnboardLogs" /stypes="*4032*201609211*" /stext=" 11:.+((SYSTEM_STATE.+slice.+state.+changed )|(ment ac)|(system.+state.+changed )|(\|lc)|(penalty)|(\[timeout)|(PRM\|1\|D)|(kpr)|(kdp))" /e /r /s</v>
      </c>
      <c r="U51" s="9" t="str">
        <f t="shared" si="10"/>
        <v>4032</v>
      </c>
      <c r="V51" s="38">
        <f t="shared" si="11"/>
        <v>42634.484097222223</v>
      </c>
      <c r="W51" s="52" t="str">
        <f t="shared" si="12"/>
        <v>NW</v>
      </c>
      <c r="X51" s="52" t="str">
        <f t="shared" si="13"/>
        <v>KEEP</v>
      </c>
      <c r="Y51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{"issue":{"subject":"","project_id":79,"tracker_id":40,"status_id":1,"priority_id":2,"assigned_to_id":23,"start_date":"2016-09-21","description":"","custom_fields":[{"id":1,"name":"Subdivision","value":"NW"},{"id":4,"name":"Milepost","value":"1.1"},{"id":17,"name":"Train ID","value":"800-21"},{"id":16,"name":"Locomotive ID","value":"4032"},{"id":130,"name":"Impact","value":""},{"id":150,"name":"Time of Event (Mountain Time)","value":"05:37:06"},{"id":151,"name":"Denver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5" t="str">
        <f t="shared" si="15"/>
        <v>grep -hSE -A100 "Enforcement Action" "%USERPROFILE%\AppData\Local\Temp\OnboardLogs"\RTDC4032\*4032*201609211* | grep -SE "((Enforcement Ac)|(PRM))" -</v>
      </c>
    </row>
    <row r="52" spans="1:29" x14ac:dyDescent="0.25">
      <c r="A52" s="38">
        <v>42634.354942129627</v>
      </c>
      <c r="B52" s="33" t="s">
        <v>414</v>
      </c>
      <c r="C52" s="33" t="s">
        <v>450</v>
      </c>
      <c r="D52" s="33" t="s">
        <v>49</v>
      </c>
      <c r="E52" s="33" t="s">
        <v>50</v>
      </c>
      <c r="F52" s="49">
        <v>0</v>
      </c>
      <c r="G52" s="49">
        <v>32</v>
      </c>
      <c r="H52" s="49">
        <v>84</v>
      </c>
      <c r="I52" s="49">
        <v>43</v>
      </c>
      <c r="J52" s="33" t="s">
        <v>51</v>
      </c>
      <c r="K52" s="49">
        <v>1</v>
      </c>
      <c r="L52" s="150" t="s">
        <v>53</v>
      </c>
      <c r="M52" s="153">
        <f t="shared" si="8"/>
        <v>22.175999999999998</v>
      </c>
      <c r="N52" s="92" t="str">
        <f>VLOOKUP(C52,'Trips&amp;Operators'!$C$1:$E$99999,3,FALSE)</f>
        <v>STARKS</v>
      </c>
      <c r="O52" s="174" t="s">
        <v>86</v>
      </c>
      <c r="P52" s="10"/>
      <c r="Q52" s="33"/>
      <c r="R52" s="108" t="str">
        <f>VLOOKUP(C52,'Train Runs'!$A$13:$AE$10011,31,0)</f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S52" s="111" t="str">
        <f>VLOOKUP(C52,'Train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07:07:20-0600',mode:absolute,to:'2016-09-21 09:31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52" s="113" t="str">
        <f t="shared" si="9"/>
        <v>"C:\Program Files (x86)\AstroGrep\AstroGrep.exe" /spath="%USERPROFILE%\AppData\Local\Temp\OnboardLogs" /stypes="*4032*201609211*" /stext=" 14:.+((SYSTEM_STATE.+slice.+state.+changed )|(ment ac)|(system.+state.+changed )|(\|lc)|(penalty)|(\[timeout)|(PRM\|1\|D)|(kpr)|(kdp))" /e /r /s</v>
      </c>
      <c r="U52" s="9" t="str">
        <f t="shared" si="10"/>
        <v>4032</v>
      </c>
      <c r="V52" s="38">
        <f t="shared" si="11"/>
        <v>42634.604942129627</v>
      </c>
      <c r="W52" s="52" t="str">
        <f t="shared" si="12"/>
        <v>NW</v>
      </c>
      <c r="X52" s="52" t="str">
        <f t="shared" si="13"/>
        <v>KEEP</v>
      </c>
      <c r="Y52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{"issue":{"subject":"","project_id":79,"tracker_id":40,"status_id":1,"priority_id":2,"assigned_to_id":23,"start_date":"2016-09-21","description":"","custom_fields":[{"id":1,"name":"Subdivision","value":"NW"},{"id":4,"name":"Milepost","value":"0.0001"},{"id":17,"name":"Train ID","value":"810-21"},{"id":16,"name":"Locomotive ID","value":"4032"},{"id":130,"name":"Impact","value":""},{"id":150,"name":"Time of Event (Mountain Time)","value":"08:31:07"},{"id":151,"name":"Denver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5" t="str">
        <f t="shared" si="15"/>
        <v>grep -hSE -A100 "Enforcement Action" "%USERPROFILE%\AppData\Local\Temp\OnboardLogs"\RTDC4032\*4032*201609211* | grep -SE "((Enforcement Ac)|(PRM))" -</v>
      </c>
    </row>
    <row r="53" spans="1:29" x14ac:dyDescent="0.25">
      <c r="A53" s="38">
        <v>42634.455405092594</v>
      </c>
      <c r="B53" s="33" t="s">
        <v>243</v>
      </c>
      <c r="C53" s="33" t="s">
        <v>478</v>
      </c>
      <c r="D53" s="33" t="s">
        <v>49</v>
      </c>
      <c r="E53" s="33" t="s">
        <v>50</v>
      </c>
      <c r="F53" s="49">
        <v>0</v>
      </c>
      <c r="G53" s="49">
        <v>49</v>
      </c>
      <c r="H53" s="49">
        <v>731</v>
      </c>
      <c r="I53" s="49">
        <v>694</v>
      </c>
      <c r="J53" s="33" t="s">
        <v>51</v>
      </c>
      <c r="K53" s="49">
        <v>575</v>
      </c>
      <c r="L53" s="150" t="s">
        <v>53</v>
      </c>
      <c r="M53" s="153">
        <f t="shared" si="8"/>
        <v>62.832000000000001</v>
      </c>
      <c r="N53" s="92" t="str">
        <f>VLOOKUP(C53,'Trips&amp;Operators'!$C$1:$E$99999,3,FALSE)</f>
        <v>GEBRETEKLE</v>
      </c>
      <c r="O53" s="174" t="s">
        <v>86</v>
      </c>
      <c r="P53" s="10"/>
      <c r="Q53" s="33"/>
      <c r="R53" s="108" t="str">
        <f>VLOOKUP(C53,'Train Runs'!$A$13:$AE$10011,31,0)</f>
        <v>aws s3 cp s3://rtdc.mdm.uploadarchive/RTDC4043/2016-09-21/ "%USERPROFILE%\AppData\Local\Temp\OnboardLogs"\RTDC4043\2016-09-21 --recursive &amp; "%USERPROFILE%\Documents\GitHub\mrs-test-scripts\Headless Mode &amp; Sideloading\WalkAndUnGZ.bat" "%USERPROFILE%\AppData\Local\Temp\OnboardLogs"\RTDC4043\2016-09-21 &amp; aws s3 cp s3://rtdc.mdm.uploadarchive/RTDC4043/2016-09-22/ "%USERPROFILE%\AppData\Local\Temp\OnboardLogs"\RTDC4043\2016-09-22 --recursive &amp; "%USERPROFILE%\Documents\GitHub\mrs-test-scripts\Headless Mode &amp; Sideloading\WalkAndUnGZ.bat" "%USERPROFILE%\AppData\Local\Temp\OnboardLogs"\RTDC4043\2016-09-22</v>
      </c>
      <c r="S53" s="111" t="str">
        <f>VLOOKUP(C53,'Train Runs'!$A$13:$AE$10011,22,0)</f>
        <v>https://search-rtdc-monitor-bjffxe2xuh6vdkpspy63sjmuny.us-east-1.es.amazonaws.com/_plugin/kibana/#/discover/Steve-Slow-Train-Analysis-(2080s-and-2083s)?_g=(refreshInterval:(display:Off,section:0,value:0),time:(from:'2016-09-21 09:38:03-0600',mode:absolute,to:'2016-09-21 11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53" s="113" t="str">
        <f t="shared" si="9"/>
        <v>"C:\Program Files (x86)\AstroGrep\AstroGrep.exe" /spath="%USERPROFILE%\AppData\Local\Temp\OnboardLogs" /stypes="*4043*201609211*" /stext=" 16:.+((SYSTEM_STATE.+slice.+state.+changed )|(ment ac)|(system.+state.+changed )|(\|lc)|(penalty)|(\[timeout)|(PRM\|1\|D)|(kpr)|(kdp))" /e /r /s</v>
      </c>
      <c r="U53" s="9" t="str">
        <f t="shared" si="10"/>
        <v>4043</v>
      </c>
      <c r="V53" s="38">
        <f t="shared" si="11"/>
        <v>42634.705405092594</v>
      </c>
      <c r="W53" s="52" t="str">
        <f t="shared" si="12"/>
        <v>NW</v>
      </c>
      <c r="X53" s="52" t="str">
        <f t="shared" si="13"/>
        <v>KEEP</v>
      </c>
      <c r="Y53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{"issue":{"subject":"","project_id":79,"tracker_id":40,"status_id":1,"priority_id":2,"assigned_to_id":23,"start_date":"2016-09-21","description":"","custom_fields":[{"id":1,"name":"Subdivision","value":"NW"},{"id":4,"name":"Milepost","value":"0.0575"},{"id":17,"name":"Train ID","value":"816-21"},{"id":16,"name":"Locomotive ID","value":"4043"},{"id":130,"name":"Impact","value":""},{"id":150,"name":"Time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5" t="str">
        <f t="shared" si="15"/>
        <v>grep -hSE -A100 "Enforcement Action" "%USERPROFILE%\AppData\Local\Temp\OnboardLogs"\RTDC4043\*4043*201609211* | grep -SE "((Enforcement Ac)|(PRM))" -</v>
      </c>
    </row>
    <row r="54" spans="1:29" x14ac:dyDescent="0.25">
      <c r="A54" s="38">
        <v>42634.336481481485</v>
      </c>
      <c r="B54" s="33" t="s">
        <v>419</v>
      </c>
      <c r="C54" s="33" t="s">
        <v>447</v>
      </c>
      <c r="D54" s="33" t="s">
        <v>49</v>
      </c>
      <c r="E54" s="33" t="s">
        <v>50</v>
      </c>
      <c r="F54" s="49">
        <v>0</v>
      </c>
      <c r="G54" s="49">
        <v>59</v>
      </c>
      <c r="H54" s="49">
        <v>58835</v>
      </c>
      <c r="I54" s="49">
        <v>58875</v>
      </c>
      <c r="J54" s="33" t="s">
        <v>51</v>
      </c>
      <c r="K54" s="49">
        <v>59048</v>
      </c>
      <c r="L54" s="150" t="s">
        <v>52</v>
      </c>
      <c r="M54" s="153">
        <f t="shared" si="8"/>
        <v>91.343999999999994</v>
      </c>
      <c r="N54" s="92" t="str">
        <f>VLOOKUP(C54,'Trips&amp;Operators'!$C$1:$E$99999,3,FALSE)</f>
        <v>STARKS</v>
      </c>
      <c r="O54" s="174" t="s">
        <v>86</v>
      </c>
      <c r="P54" s="10"/>
      <c r="Q54" s="33"/>
      <c r="R54" s="108" t="str">
        <f>VLOOKUP(C54,'Train Runs'!$A$13:$AE$10011,31,0)</f>
        <v>aws s3 cp s3://rtdc.mdm.uploadarchive/RTDC4031/2016-09-21/ "%USERPROFILE%\AppData\Local\Temp\OnboardLogs"\RTDC4031\2016-09-21 --recursive &amp; "%USERPROFILE%\Documents\GitHub\mrs-test-scripts\Headless Mode &amp; Sideloading\WalkAndUnGZ.bat" "%USERPROFILE%\AppData\Local\Temp\OnboardLogs"\RTDC4031\2016-09-21 &amp; aws s3 cp s3://rtdc.mdm.uploadarchive/RTDC4031/2016-09-22/ "%USERPROFILE%\AppData\Local\Temp\OnboardLogs"\RTDC4031\2016-09-22 --recursive &amp; "%USERPROFILE%\Documents\GitHub\mrs-test-scripts\Headless Mode &amp; Sideloading\WalkAndUnGZ.bat" "%USERPROFILE%\AppData\Local\Temp\OnboardLogs"\RTDC4031\2016-09-22</v>
      </c>
      <c r="S54" s="111" t="str">
        <f>VLOOKUP(C54,'Train Runs'!$A$13:$AE$10011,22,0)</f>
        <v>https://search-rtdc-monitor-bjffxe2xuh6vdkpspy63sjmuny.us-east-1.es.amazonaws.com/_plugin/kibana/#/discover/Steve-Slow-Train-Analysis-(2080s-and-2083s)?_g=(refreshInterval:(display:Off,section:0,value:0),time:(from:'2016-09-21 06:46:21-0600',mode:absolute,to:'2016-09-21 09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54" s="113" t="str">
        <f t="shared" si="9"/>
        <v>"C:\Program Files (x86)\AstroGrep\AstroGrep.exe" /spath="%USERPROFILE%\AppData\Local\Temp\OnboardLogs" /stypes="*4031*201609211*" /stext=" 14:.+((SYSTEM_STATE.+slice.+state.+changed )|(ment ac)|(system.+state.+changed )|(\|lc)|(penalty)|(\[timeout)|(PRM\|1\|D)|(kpr)|(kdp))" /e /r /s</v>
      </c>
      <c r="U54" s="9" t="str">
        <f t="shared" si="10"/>
        <v>4031</v>
      </c>
      <c r="V54" s="38">
        <f t="shared" si="11"/>
        <v>42634.586481481485</v>
      </c>
      <c r="W54" s="52" t="str">
        <f t="shared" si="12"/>
        <v>NW</v>
      </c>
      <c r="X54" s="52" t="str">
        <f t="shared" si="13"/>
        <v>KEEP</v>
      </c>
      <c r="Y54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ID","value":"809-21"},{"id":16,"name":"Locomotive ID","value":"4031"},{"id":130,"name":"Impact","value":""},{"id":150,"name":"Time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5" t="str">
        <f t="shared" si="15"/>
        <v>grep -hSE -A100 "Enforcement Action" "%USERPROFILE%\AppData\Local\Temp\OnboardLogs"\RTDC4031\*4031*201609211* | grep -SE "((Enforcement Ac)|(PRM))" -</v>
      </c>
    </row>
    <row r="55" spans="1:29" x14ac:dyDescent="0.25">
      <c r="A55" s="38">
        <v>42634.36273148148</v>
      </c>
      <c r="B55" s="33" t="s">
        <v>242</v>
      </c>
      <c r="C55" s="33" t="s">
        <v>453</v>
      </c>
      <c r="D55" s="33" t="s">
        <v>49</v>
      </c>
      <c r="E55" s="33" t="s">
        <v>50</v>
      </c>
      <c r="F55" s="49">
        <v>0</v>
      </c>
      <c r="G55" s="49">
        <v>11</v>
      </c>
      <c r="H55" s="49">
        <v>59020</v>
      </c>
      <c r="I55" s="49">
        <v>59022</v>
      </c>
      <c r="J55" s="33" t="s">
        <v>51</v>
      </c>
      <c r="K55" s="49">
        <v>59048</v>
      </c>
      <c r="L55" s="150" t="s">
        <v>52</v>
      </c>
      <c r="M55" s="153">
        <f t="shared" si="8"/>
        <v>13.728</v>
      </c>
      <c r="N55" s="92" t="str">
        <f>VLOOKUP(C55,'Trips&amp;Operators'!$C$1:$E$99999,3,FALSE)</f>
        <v>GEBRETEKLE</v>
      </c>
      <c r="O55" s="174" t="s">
        <v>86</v>
      </c>
      <c r="P55" s="10"/>
      <c r="Q55" s="33"/>
      <c r="R55" s="108" t="str">
        <f>VLOOKUP(C55,'Train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55" s="111" t="str">
        <f>VLOOKUP(C55,'Train Runs'!$A$13:$AE$10011,22,0)</f>
        <v>https://search-rtdc-monitor-bjffxe2xuh6vdkpspy63sjmuny.us-east-1.es.amazonaws.com/_plugin/kibana/#/discover/Steve-Slow-Train-Analysis-(2080s-and-2083s)?_g=(refreshInterval:(display:Off,section:0,value:0),time:(from:'2016-09-21 07:27:08-0600',mode:absolute,to:'2016-09-21 09:42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5" s="113" t="str">
        <f t="shared" si="9"/>
        <v>"C:\Program Files (x86)\AstroGrep\AstroGrep.exe" /spath="%USERPROFILE%\AppData\Local\Temp\OnboardLogs" /stypes="*4044*201609211*" /stext=" 14:.+((SYSTEM_STATE.+slice.+state.+changed )|(ment ac)|(system.+state.+changed )|(\|lc)|(penalty)|(\[timeout)|(PRM\|1\|D)|(kpr)|(kdp))" /e /r /s</v>
      </c>
      <c r="U55" s="9" t="str">
        <f t="shared" si="10"/>
        <v>4044</v>
      </c>
      <c r="V55" s="38">
        <f t="shared" si="11"/>
        <v>42634.61273148148</v>
      </c>
      <c r="W55" s="52" t="str">
        <f t="shared" si="12"/>
        <v>NW</v>
      </c>
      <c r="X55" s="52" t="str">
        <f t="shared" si="13"/>
        <v>KEEP</v>
      </c>
      <c r="Y55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ID","value":"811-21"},{"id":16,"name":"Locomotive ID","value":"4044"},{"id":130,"name":"Impact","value":""},{"id":150,"name":"Time of Event (Mountain Time)","value":"08:42:20"},{"id":151,"name":"Denver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5" t="str">
        <f t="shared" si="15"/>
        <v>grep -hSE -A100 "Enforcement Action" "%USERPROFILE%\AppData\Local\Temp\OnboardLogs"\RTDC4044\*4044*201609211* | grep -SE "((Enforcement Ac)|(PRM))" -</v>
      </c>
    </row>
    <row r="56" spans="1:29" x14ac:dyDescent="0.25">
      <c r="A56" s="38">
        <v>42634.44121527778</v>
      </c>
      <c r="B56" s="33" t="s">
        <v>242</v>
      </c>
      <c r="C56" s="33" t="s">
        <v>474</v>
      </c>
      <c r="D56" s="33" t="s">
        <v>49</v>
      </c>
      <c r="E56" s="33" t="s">
        <v>50</v>
      </c>
      <c r="F56" s="49">
        <v>0</v>
      </c>
      <c r="G56" s="49">
        <v>24</v>
      </c>
      <c r="H56" s="49">
        <v>58975</v>
      </c>
      <c r="I56" s="49">
        <v>58986</v>
      </c>
      <c r="J56" s="33" t="s">
        <v>51</v>
      </c>
      <c r="K56" s="49">
        <v>59048</v>
      </c>
      <c r="L56" s="150" t="s">
        <v>52</v>
      </c>
      <c r="M56" s="153">
        <f t="shared" si="8"/>
        <v>32.735999999999997</v>
      </c>
      <c r="N56" s="92" t="str">
        <f>VLOOKUP(C56,'Trips&amp;Operators'!$C$1:$E$99999,3,FALSE)</f>
        <v>GEBRETEKLE</v>
      </c>
      <c r="O56" s="174" t="s">
        <v>86</v>
      </c>
      <c r="P56" s="10"/>
      <c r="Q56" s="33"/>
      <c r="R56" s="108" t="str">
        <f>VLOOKUP(C56,'Train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56" s="111" t="str">
        <f>VLOOKUP(C56,'Train Runs'!$A$13:$AE$10011,22,0)</f>
        <v>https://search-rtdc-monitor-bjffxe2xuh6vdkpspy63sjmuny.us-east-1.es.amazonaws.com/_plugin/kibana/#/discover/Steve-Slow-Train-Analysis-(2080s-and-2083s)?_g=(refreshInterval:(display:Off,section:0,value:0),time:(from:'2016-09-21 09:18:31-0600',mode:absolute,to:'2016-09-21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6" s="113" t="str">
        <f t="shared" si="9"/>
        <v>"C:\Program Files (x86)\AstroGrep\AstroGrep.exe" /spath="%USERPROFILE%\AppData\Local\Temp\OnboardLogs" /stypes="*4044*201609211*" /stext=" 16:.+((SYSTEM_STATE.+slice.+state.+changed )|(ment ac)|(system.+state.+changed )|(\|lc)|(penalty)|(\[timeout)|(PRM\|1\|D)|(kpr)|(kdp))" /e /r /s</v>
      </c>
      <c r="U56" s="9" t="str">
        <f t="shared" si="10"/>
        <v>4044</v>
      </c>
      <c r="V56" s="38">
        <f t="shared" si="11"/>
        <v>42634.69121527778</v>
      </c>
      <c r="W56" s="52" t="str">
        <f t="shared" si="12"/>
        <v>NW</v>
      </c>
      <c r="X56" s="52" t="str">
        <f t="shared" si="13"/>
        <v>KEEP</v>
      </c>
      <c r="Y56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ID","value":"815-21"},{"id":16,"name":"Locomotive ID","value":"4044"},{"id":130,"name":"Impact","value":""},{"id":150,"name":"Time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5" t="str">
        <f t="shared" si="15"/>
        <v>grep -hSE -A100 "Enforcement Action" "%USERPROFILE%\AppData\Local\Temp\OnboardLogs"\RTDC4044\*4044*201609211* | grep -SE "((Enforcement Ac)|(PRM))" -</v>
      </c>
    </row>
    <row r="57" spans="1:29" x14ac:dyDescent="0.25">
      <c r="A57" s="38">
        <v>42634.60796296296</v>
      </c>
      <c r="B57" s="33" t="s">
        <v>242</v>
      </c>
      <c r="C57" s="33" t="s">
        <v>523</v>
      </c>
      <c r="D57" s="33" t="s">
        <v>49</v>
      </c>
      <c r="E57" s="33" t="s">
        <v>50</v>
      </c>
      <c r="F57" s="49">
        <v>0</v>
      </c>
      <c r="G57" s="49">
        <v>23</v>
      </c>
      <c r="H57" s="49">
        <v>59025</v>
      </c>
      <c r="I57" s="49">
        <v>59033</v>
      </c>
      <c r="J57" s="33" t="s">
        <v>51</v>
      </c>
      <c r="K57" s="49">
        <v>59048</v>
      </c>
      <c r="L57" s="150" t="s">
        <v>52</v>
      </c>
      <c r="M57" s="153">
        <f t="shared" si="8"/>
        <v>7.92</v>
      </c>
      <c r="N57" s="92" t="str">
        <f>VLOOKUP(C57,'Trips&amp;Operators'!$C$1:$E$99999,3,FALSE)</f>
        <v>MOSES</v>
      </c>
      <c r="O57" s="174" t="s">
        <v>86</v>
      </c>
      <c r="P57" s="10"/>
      <c r="Q57" s="33"/>
      <c r="R57" s="108" t="str">
        <f>VLOOKUP(C57,'Train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57" s="111" t="str">
        <f>VLOOKUP(C57,'Train Runs'!$A$13:$AE$10011,22,0)</f>
        <v>https://search-rtdc-monitor-bjffxe2xuh6vdkpspy63sjmuny.us-east-1.es.amazonaws.com/_plugin/kibana/#/discover/Steve-Slow-Train-Analysis-(2080s-and-2083s)?_g=(refreshInterval:(display:Off,section:0,value:0),time:(from:'2016-09-21 13:14:27-0600',mode:absolute,to:'2016-09-21 15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7" s="113" t="str">
        <f t="shared" si="9"/>
        <v>"C:\Program Files (x86)\AstroGrep\AstroGrep.exe" /spath="%USERPROFILE%\AppData\Local\Temp\OnboardLogs" /stypes="*4044*201609212*" /stext=" 20:.+((SYSTEM_STATE.+slice.+state.+changed )|(ment ac)|(system.+state.+changed )|(\|lc)|(penalty)|(\[timeout)|(PRM\|1\|D)|(kpr)|(kdp))" /e /r /s</v>
      </c>
      <c r="U57" s="9" t="str">
        <f t="shared" si="10"/>
        <v>4044</v>
      </c>
      <c r="V57" s="38">
        <f t="shared" si="11"/>
        <v>42634.85796296296</v>
      </c>
      <c r="W57" s="52" t="str">
        <f t="shared" si="12"/>
        <v>NW</v>
      </c>
      <c r="X57" s="52" t="str">
        <f t="shared" si="13"/>
        <v>KEEP</v>
      </c>
      <c r="Y57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ID","value":"823-21"},{"id":16,"name":"Locomotive ID","value":"4044"},{"id":130,"name":"Impact","value":""},{"id":150,"name":"Time of Event (Mountain Time)","value":"14:35:28"},{"id":151,"name":"Denver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5" t="str">
        <f t="shared" si="15"/>
        <v>grep -hSE -A100 "Enforcement Action" "%USERPROFILE%\AppData\Local\Temp\OnboardLogs"\RTDC4044\*4044*201609212* | grep -SE "((Enforcement Ac)|(PRM))" -</v>
      </c>
    </row>
    <row r="58" spans="1:29" x14ac:dyDescent="0.25">
      <c r="A58" s="38">
        <v>42634.690393518518</v>
      </c>
      <c r="B58" s="33" t="s">
        <v>242</v>
      </c>
      <c r="C58" s="33" t="s">
        <v>545</v>
      </c>
      <c r="D58" s="33" t="s">
        <v>49</v>
      </c>
      <c r="E58" s="33" t="s">
        <v>50</v>
      </c>
      <c r="F58" s="49">
        <v>0</v>
      </c>
      <c r="G58" s="49">
        <v>136</v>
      </c>
      <c r="H58" s="49">
        <v>57848</v>
      </c>
      <c r="I58" s="49">
        <v>58110</v>
      </c>
      <c r="J58" s="33" t="s">
        <v>51</v>
      </c>
      <c r="K58" s="49">
        <v>59048</v>
      </c>
      <c r="L58" s="150" t="s">
        <v>52</v>
      </c>
      <c r="M58" s="153">
        <f t="shared" si="8"/>
        <v>495.26400000000001</v>
      </c>
      <c r="N58" s="92" t="str">
        <f>VLOOKUP(C58,'Trips&amp;Operators'!$C$1:$E$99999,3,FALSE)</f>
        <v>MOSES</v>
      </c>
      <c r="O58" s="174" t="s">
        <v>86</v>
      </c>
      <c r="P58" s="10"/>
      <c r="Q58" s="33"/>
      <c r="R58" s="108" t="str">
        <f>VLOOKUP(C58,'Train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58" s="111" t="str">
        <f>VLOOKUP(C58,'Train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15:15:46-0600',mode:absolute,to:'2016-09-21 17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8" s="113" t="str">
        <f t="shared" si="9"/>
        <v>"C:\Program Files (x86)\AstroGrep\AstroGrep.exe" /spath="%USERPROFILE%\AppData\Local\Temp\OnboardLogs" /stypes="*4044*201609212*" /stext=" 22:.+((SYSTEM_STATE.+slice.+state.+changed )|(ment ac)|(system.+state.+changed )|(\|lc)|(penalty)|(\[timeout)|(PRM\|1\|D)|(kpr)|(kdp))" /e /r /s</v>
      </c>
      <c r="U58" s="9" t="str">
        <f t="shared" si="10"/>
        <v>4044</v>
      </c>
      <c r="V58" s="38">
        <f t="shared" si="11"/>
        <v>42634.940393518518</v>
      </c>
      <c r="W58" s="52" t="str">
        <f t="shared" si="12"/>
        <v>NW</v>
      </c>
      <c r="X58" s="52" t="str">
        <f t="shared" si="13"/>
        <v>KEEP</v>
      </c>
      <c r="Y58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ID","value":"829-21"},{"id":16,"name":"Locomotive ID","value":"4044"},{"id":130,"name":"Impact","value":""},{"id":150,"name":"Time of Event (Mountain Time)","value":"16:34:10"},{"id":151,"name":"Denver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5" t="str">
        <f t="shared" si="15"/>
        <v>grep -hSE -A100 "Enforcement Action" "%USERPROFILE%\AppData\Local\Temp\OnboardLogs"\RTDC4044\*4044*201609212* | grep -SE "((Enforcement Ac)|(PRM))" -</v>
      </c>
    </row>
    <row r="59" spans="1:29" x14ac:dyDescent="0.25">
      <c r="A59" s="38">
        <v>42634.691134259258</v>
      </c>
      <c r="B59" s="33" t="s">
        <v>242</v>
      </c>
      <c r="C59" s="33" t="s">
        <v>545</v>
      </c>
      <c r="D59" s="33" t="s">
        <v>49</v>
      </c>
      <c r="E59" s="33" t="s">
        <v>50</v>
      </c>
      <c r="F59" s="49">
        <v>0</v>
      </c>
      <c r="G59" s="49">
        <v>79</v>
      </c>
      <c r="H59" s="49">
        <v>58800</v>
      </c>
      <c r="I59" s="49">
        <v>58894</v>
      </c>
      <c r="J59" s="33" t="s">
        <v>51</v>
      </c>
      <c r="K59" s="49">
        <v>59048</v>
      </c>
      <c r="L59" s="150" t="s">
        <v>52</v>
      </c>
      <c r="M59" s="153">
        <f t="shared" si="8"/>
        <v>81.311999999999998</v>
      </c>
      <c r="N59" s="92" t="str">
        <f>VLOOKUP(C59,'Trips&amp;Operators'!$C$1:$E$99999,3,FALSE)</f>
        <v>MOSES</v>
      </c>
      <c r="O59" s="174" t="s">
        <v>86</v>
      </c>
      <c r="P59" s="10"/>
      <c r="Q59" s="33"/>
      <c r="R59" s="108" t="str">
        <f>VLOOKUP(C59,'Train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59" s="111" t="str">
        <f>VLOOKUP(C59,'Train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15:15:46-0600',mode:absolute,to:'2016-09-21 17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9" s="113" t="str">
        <f t="shared" si="9"/>
        <v>"C:\Program Files (x86)\AstroGrep\AstroGrep.exe" /spath="%USERPROFILE%\AppData\Local\Temp\OnboardLogs" /stypes="*4044*201609212*" /stext=" 22:.+((SYSTEM_STATE.+slice.+state.+changed )|(ment ac)|(system.+state.+changed )|(\|lc)|(penalty)|(\[timeout)|(PRM\|1\|D)|(kpr)|(kdp))" /e /r /s</v>
      </c>
      <c r="U59" s="9" t="str">
        <f t="shared" si="10"/>
        <v>4044</v>
      </c>
      <c r="V59" s="38">
        <f t="shared" si="11"/>
        <v>42634.941134259258</v>
      </c>
      <c r="W59" s="52" t="str">
        <f t="shared" si="12"/>
        <v>NW</v>
      </c>
      <c r="X59" s="52" t="str">
        <f t="shared" si="13"/>
        <v>KEEP</v>
      </c>
      <c r="Y59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ID","value":"829-21"},{"id":16,"name":"Locomotive ID","value":"4044"},{"id":130,"name":"Impact","value":""},{"id":150,"name":"Time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5" t="str">
        <f t="shared" si="15"/>
        <v>grep -hSE -A100 "Enforcement Action" "%USERPROFILE%\AppData\Local\Temp\OnboardLogs"\RTDC4044\*4044*201609212* | grep -SE "((Enforcement Ac)|(PRM))" -</v>
      </c>
    </row>
    <row r="60" spans="1:29" x14ac:dyDescent="0.25">
      <c r="A60" s="38">
        <v>42634.691504629627</v>
      </c>
      <c r="B60" s="33" t="s">
        <v>242</v>
      </c>
      <c r="C60" s="33" t="s">
        <v>545</v>
      </c>
      <c r="D60" s="33" t="s">
        <v>49</v>
      </c>
      <c r="E60" s="33" t="s">
        <v>50</v>
      </c>
      <c r="F60" s="49">
        <v>0</v>
      </c>
      <c r="G60" s="49">
        <v>30</v>
      </c>
      <c r="H60" s="49">
        <v>58916</v>
      </c>
      <c r="I60" s="49">
        <v>58950</v>
      </c>
      <c r="J60" s="33" t="s">
        <v>51</v>
      </c>
      <c r="K60" s="49">
        <v>59048</v>
      </c>
      <c r="L60" s="150" t="s">
        <v>52</v>
      </c>
      <c r="M60" s="153">
        <f t="shared" si="8"/>
        <v>51.744</v>
      </c>
      <c r="N60" s="92" t="str">
        <f>VLOOKUP(C60,'Trips&amp;Operators'!$C$1:$E$99999,3,FALSE)</f>
        <v>MOSES</v>
      </c>
      <c r="O60" s="174" t="s">
        <v>86</v>
      </c>
      <c r="P60" s="10"/>
      <c r="Q60" s="33"/>
      <c r="R60" s="108" t="str">
        <f>VLOOKUP(C60,'Train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60" s="111" t="str">
        <f>VLOOKUP(C60,'Train Runs'!$A$13:$AE$10011,22,0)</f>
        <v>https://search-rtdc-monitor-bjffxe2xuh6vdkpspy63sjmuny.us-east-1.es.amazonaws.com/_plugin/kibana/#/discover/Steve-Slow-Train-Analysis-(2080s-and-2083s)?_g=(refreshInterval:(display:Off,section:0,value:0),time:(from:'2016-09-21 15:15:46-0600',mode:absolute,to:'2016-09-21 17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60" s="113" t="str">
        <f t="shared" si="9"/>
        <v>"C:\Program Files (x86)\AstroGrep\AstroGrep.exe" /spath="%USERPROFILE%\AppData\Local\Temp\OnboardLogs" /stypes="*4044*201609212*" /stext=" 22:.+((SYSTEM_STATE.+slice.+state.+changed )|(ment ac)|(system.+state.+changed )|(\|lc)|(penalty)|(\[timeout)|(PRM\|1\|D)|(kpr)|(kdp))" /e /r /s</v>
      </c>
      <c r="U60" s="9" t="str">
        <f t="shared" si="10"/>
        <v>4044</v>
      </c>
      <c r="V60" s="38">
        <f t="shared" si="11"/>
        <v>42634.941504629627</v>
      </c>
      <c r="W60" s="52" t="str">
        <f t="shared" si="12"/>
        <v>NW</v>
      </c>
      <c r="X60" s="52" t="str">
        <f t="shared" si="13"/>
        <v>KEEP</v>
      </c>
      <c r="Y60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ID","value":"829-21"},{"id":16,"name":"Locomotive ID","value":"4044"},{"id":130,"name":"Impact","value":""},{"id":150,"name":"Time of Event (Mountain Time)","value":"16:35:46"},{"id":151,"name":"Denver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5" t="str">
        <f t="shared" si="15"/>
        <v>grep -hSE -A100 "Enforcement Action" "%USERPROFILE%\AppData\Local\Temp\OnboardLogs"\RTDC4044\*4044*201609212* | grep -SE "((Enforcement Ac)|(PRM))" -</v>
      </c>
    </row>
    <row r="61" spans="1:29" x14ac:dyDescent="0.25">
      <c r="A61" s="38">
        <v>42634.774571759262</v>
      </c>
      <c r="B61" s="33" t="s">
        <v>242</v>
      </c>
      <c r="C61" s="33" t="s">
        <v>573</v>
      </c>
      <c r="D61" s="33" t="s">
        <v>49</v>
      </c>
      <c r="E61" s="33" t="s">
        <v>50</v>
      </c>
      <c r="F61" s="49">
        <v>0</v>
      </c>
      <c r="G61" s="49">
        <v>39</v>
      </c>
      <c r="H61" s="49">
        <v>58960</v>
      </c>
      <c r="I61" s="49">
        <v>58988</v>
      </c>
      <c r="J61" s="33" t="s">
        <v>51</v>
      </c>
      <c r="K61" s="49">
        <v>59048</v>
      </c>
      <c r="L61" s="150" t="s">
        <v>52</v>
      </c>
      <c r="M61" s="153">
        <f t="shared" si="8"/>
        <v>31.68</v>
      </c>
      <c r="N61" s="92" t="str">
        <f>VLOOKUP(C61,'Trips&amp;Operators'!$C$1:$E$99999,3,FALSE)</f>
        <v>MOSES</v>
      </c>
      <c r="O61" s="174" t="s">
        <v>86</v>
      </c>
      <c r="P61" s="10"/>
      <c r="Q61" s="33"/>
      <c r="R61" s="108" t="str">
        <f>VLOOKUP(C61,'Train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61" s="111" t="str">
        <f>VLOOKUP(C61,'Train Runs'!$A$13:$AE$10011,22,0)</f>
        <v>https://search-rtdc-monitor-bjffxe2xuh6vdkpspy63sjmuny.us-east-1.es.amazonaws.com/_plugin/kibana/#/discover/Steve-Slow-Train-Analysis-(2080s-and-2083s)?_g=(refreshInterval:(display:Off,section:0,value:0),time:(from:'2016-09-21 17:18:33-0600',mode:absolute,to:'2016-09-21 19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61" s="113" t="str">
        <f t="shared" si="9"/>
        <v>"C:\Program Files (x86)\AstroGrep\AstroGrep.exe" /spath="%USERPROFILE%\AppData\Local\Temp\OnboardLogs" /stypes="*4044*201609220*" /stext=" 00:.+((SYSTEM_STATE.+slice.+state.+changed )|(ment ac)|(system.+state.+changed )|(\|lc)|(penalty)|(\[timeout)|(PRM\|1\|D)|(kpr)|(kdp))" /e /r /s</v>
      </c>
      <c r="U61" s="9" t="str">
        <f t="shared" si="10"/>
        <v>4044</v>
      </c>
      <c r="V61" s="38">
        <f t="shared" si="11"/>
        <v>42635.024571759262</v>
      </c>
      <c r="W61" s="52" t="str">
        <f t="shared" si="12"/>
        <v>NW</v>
      </c>
      <c r="X61" s="52" t="str">
        <f t="shared" si="13"/>
        <v>KEEP</v>
      </c>
      <c r="Y61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ID","value":"837-21"},{"id":16,"name":"Locomotive ID","value":"4044"},{"id":130,"name":"Impact","value":""},{"id":150,"name":"Time of Event (Mountain Time)","value":"18:35:23"},{"id":151,"name":"Denver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5" t="str">
        <f t="shared" si="15"/>
        <v>grep -hSE -A100 "Enforcement Action" "%USERPROFILE%\AppData\Local\Temp\OnboardLogs"\RTDC4044\*4044*201609220* | grep -SE "((Enforcement Ac)|(PRM))" -</v>
      </c>
    </row>
    <row r="62" spans="1:29" x14ac:dyDescent="0.25">
      <c r="A62" s="38">
        <v>42634.857812499999</v>
      </c>
      <c r="B62" s="33" t="s">
        <v>242</v>
      </c>
      <c r="C62" s="33" t="s">
        <v>592</v>
      </c>
      <c r="D62" s="33" t="s">
        <v>49</v>
      </c>
      <c r="E62" s="33" t="s">
        <v>50</v>
      </c>
      <c r="F62" s="49">
        <v>0</v>
      </c>
      <c r="G62" s="49">
        <v>33</v>
      </c>
      <c r="H62" s="49">
        <v>58982</v>
      </c>
      <c r="I62" s="49">
        <v>59016</v>
      </c>
      <c r="J62" s="33" t="s">
        <v>51</v>
      </c>
      <c r="K62" s="49">
        <v>59048</v>
      </c>
      <c r="L62" s="150" t="s">
        <v>52</v>
      </c>
      <c r="M62" s="153">
        <f t="shared" si="8"/>
        <v>16.896000000000001</v>
      </c>
      <c r="N62" s="92" t="str">
        <f>VLOOKUP(C62,'Trips&amp;Operators'!$C$1:$E$99999,3,FALSE)</f>
        <v>MOSES</v>
      </c>
      <c r="O62" s="174" t="s">
        <v>86</v>
      </c>
      <c r="P62" s="10"/>
      <c r="Q62" s="33"/>
      <c r="R62" s="108" t="str">
        <f>VLOOKUP(C62,'Train Runs'!$A$13:$AE$10011,31,0)</f>
        <v>aws s3 cp s3://rtdc.mdm.uploadarchive/RTDC4044/2016-09-21/ "%USERPROFILE%\AppData\Local\Temp\OnboardLogs"\RTDC4044\2016-09-21 --recursive &amp; "%USERPROFILE%\Documents\GitHub\mrs-test-scripts\Headless Mode &amp; Sideloading\WalkAndUnGZ.bat" "%USERPROFILE%\AppData\Local\Temp\OnboardLogs"\RTDC4044\2016-09-21 &amp; aws s3 cp s3://rtdc.mdm.uploadarchive/RTDC4044/2016-09-22/ "%USERPROFILE%\AppData\Local\Temp\OnboardLogs"\RTDC4044\2016-09-22 --recursive &amp; "%USERPROFILE%\Documents\GitHub\mrs-test-scripts\Headless Mode &amp; Sideloading\WalkAndUnGZ.bat" "%USERPROFILE%\AppData\Local\Temp\OnboardLogs"\RTDC4044\2016-09-22</v>
      </c>
      <c r="S62" s="111" t="str">
        <f>VLOOKUP(C62,'Train Runs'!$A$13:$AE$10011,22,0)</f>
        <v>https://search-rtdc-monitor-bjffxe2xuh6vdkpspy63sjmuny.us-east-1.es.amazonaws.com/_plugin/kibana/#/discover/Steve-Slow-Train-Analysis-(2080s-and-2083s)?_g=(refreshInterval:(display:Off,section:0,value:0),time:(from:'2016-09-21 19:15:16-0600',mode:absolute,to:'2016-09-21 21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62" s="113" t="str">
        <f t="shared" si="9"/>
        <v>"C:\Program Files (x86)\AstroGrep\AstroGrep.exe" /spath="%USERPROFILE%\AppData\Local\Temp\OnboardLogs" /stypes="*4044*201609220*" /stext=" 02:.+((SYSTEM_STATE.+slice.+state.+changed )|(ment ac)|(system.+state.+changed )|(\|lc)|(penalty)|(\[timeout)|(PRM\|1\|D)|(kpr)|(kdp))" /e /r /s</v>
      </c>
      <c r="U62" s="9" t="str">
        <f t="shared" si="10"/>
        <v>4044</v>
      </c>
      <c r="V62" s="38">
        <f t="shared" si="11"/>
        <v>42635.107812499999</v>
      </c>
      <c r="W62" s="52" t="str">
        <f t="shared" si="12"/>
        <v>NW</v>
      </c>
      <c r="X62" s="52" t="str">
        <f t="shared" si="13"/>
        <v>KEEP</v>
      </c>
      <c r="Y62" s="134" t="str">
        <f t="shared" si="14"/>
        <v>echo {"issue":{"subject":"","project_id":79,"tracker_id":40,"status_id":1,"priority_id":2,"assigned_to_id":23,"start_date":"2016-09-21","description":"","custom_fields":[{"id":1,"name":"Subdivision","value":"NW"},{"id":4,"name":"Milepost","value":"5.9048"},{"id":17,"name":"Train ID","value":"843-21"},{"id":16,"name":"Locomotive ID","value":"4044"},{"id":130,"name":"Impact","value":""},{"id":150,"name":"Time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5" t="str">
        <f t="shared" si="15"/>
        <v>grep -hSE -A100 "Enforcement Action" "%USERPROFILE%\AppData\Local\Temp\OnboardLogs"\RTDC4044\*4044*201609220* | grep -SE "((Enforcement Ac)|(PRM))" -</v>
      </c>
    </row>
    <row r="63" spans="1:29" x14ac:dyDescent="0.25">
      <c r="A63" s="38">
        <v>42634.477766203701</v>
      </c>
      <c r="B63" s="33" t="s">
        <v>330</v>
      </c>
      <c r="C63" s="33" t="s">
        <v>487</v>
      </c>
      <c r="D63" s="33" t="s">
        <v>49</v>
      </c>
      <c r="E63" s="33" t="s">
        <v>56</v>
      </c>
      <c r="F63" s="49">
        <v>300</v>
      </c>
      <c r="G63" s="49">
        <v>353</v>
      </c>
      <c r="H63" s="49">
        <v>20555</v>
      </c>
      <c r="I63" s="49">
        <v>21543</v>
      </c>
      <c r="J63" s="33" t="s">
        <v>57</v>
      </c>
      <c r="K63" s="49">
        <v>21314</v>
      </c>
      <c r="L63" s="150" t="s">
        <v>52</v>
      </c>
      <c r="M63" s="153">
        <f t="shared" si="8"/>
        <v>-120.91200000000001</v>
      </c>
      <c r="N63" s="92" t="str">
        <f>VLOOKUP(C63,'Trips&amp;Operators'!$C$1:$E$99999,3,FALSE)</f>
        <v>STRICKLAND</v>
      </c>
      <c r="O63" s="174" t="s">
        <v>86</v>
      </c>
      <c r="P63" s="10"/>
      <c r="Q63" s="33"/>
      <c r="R63" s="108" t="str">
        <f>VLOOKUP(C63,'Train Runs'!$A$13:$AE$10011,31,0)</f>
        <v>aws s3 cp s3://rtdc.mdm.uploadarchive/RTDC4022/2016-09-21/ "%USERPROFILE%\AppData\Local\Temp\OnboardLogs"\RTDC4022\2016-09-21 --recursive &amp; "%USERPROFILE%\Documents\GitHub\mrs-test-scripts\Headless Mode &amp; Sideloading\WalkAndUnGZ.bat" "%USERPROFILE%\AppData\Local\Temp\OnboardLogs"\RTDC4022\2016-09-21 &amp; aws s3 cp s3://rtdc.mdm.uploadarchive/RTDC4022/2016-09-22/ "%USERPROFILE%\AppData\Local\Temp\OnboardLogs"\RTDC4022\2016-09-22 --recursive &amp; "%USERPROFILE%\Documents\GitHub\mrs-test-scripts\Headless Mode &amp; Sideloading\WalkAndUnGZ.bat" "%USERPROFILE%\AppData\Local\Temp\OnboardLogs"\RTDC4022\2016-09-22</v>
      </c>
      <c r="S63" s="111" t="str">
        <f>VLOOKUP(C63,'Train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10:18:15-0600',mode:absolute,to:'2016-09-21 12:30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T63" s="113" t="str">
        <f t="shared" si="9"/>
        <v>"C:\Program Files (x86)\AstroGrep\AstroGrep.exe" /spath="%USERPROFILE%\AppData\Local\Temp\OnboardLogs" /stypes="*4022*201609211*" /stext=" 17:.+((SYSTEM_STATE.+slice.+state.+changed )|(ment ac)|(system.+state.+changed )|(\|lc)|(penalty)|(\[timeout)|(PRM\|1\|D)|(kpr)|(kdp))" /e /r /s</v>
      </c>
      <c r="U63" s="9" t="str">
        <f t="shared" si="10"/>
        <v>4022</v>
      </c>
      <c r="V63" s="38">
        <f t="shared" si="11"/>
        <v>42634.727766203701</v>
      </c>
      <c r="W63" s="52" t="str">
        <f t="shared" si="12"/>
        <v>Other</v>
      </c>
      <c r="X63" s="52" t="str">
        <f t="shared" si="13"/>
        <v>KEEP</v>
      </c>
      <c r="Y63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{"issue":{"subject":"","project_id":79,"tracker_id":40,"status_id":1,"priority_id":2,"assigned_to_id":23,"start_date":"2016-09-21","description":"","custom_fields":[{"id":1,"name":"Subdivision","value":"Other"},{"id":4,"name":"Milepost","value":"2.1314"},{"id":17,"name":"Train ID","value":"53-21"},{"id":16,"name":"Locomotive ID","value":"4022"},{"id":130,"name":"Impact","value":""},{"id":150,"name":"Time of Event (Mountain Time)","value":"11:27:59"},{"id":151,"name":"Denver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5" t="str">
        <f t="shared" si="15"/>
        <v>grep -hSE -A100 "Enforcement Action" "%USERPROFILE%\AppData\Local\Temp\OnboardLogs"\RTDC4022\*4022*201609211* | grep -SE "((Enforcement Ac)|(PRM))" -</v>
      </c>
    </row>
    <row r="64" spans="1:29" x14ac:dyDescent="0.25">
      <c r="A64" s="38">
        <v>42634.468136574076</v>
      </c>
      <c r="B64" s="33" t="s">
        <v>257</v>
      </c>
      <c r="C64" s="33" t="s">
        <v>485</v>
      </c>
      <c r="D64" s="33" t="s">
        <v>105</v>
      </c>
      <c r="E64" s="33" t="s">
        <v>54</v>
      </c>
      <c r="F64" s="49">
        <v>0</v>
      </c>
      <c r="G64" s="49">
        <v>32</v>
      </c>
      <c r="H64" s="49">
        <v>1747</v>
      </c>
      <c r="I64" s="49">
        <v>1803</v>
      </c>
      <c r="J64" s="33" t="s">
        <v>55</v>
      </c>
      <c r="K64" s="49">
        <v>1692</v>
      </c>
      <c r="L64" s="150" t="s">
        <v>52</v>
      </c>
      <c r="M64" s="153">
        <f t="shared" si="8"/>
        <v>-58.607999999999997</v>
      </c>
      <c r="N64" s="92" t="str">
        <f>VLOOKUP(C64,'Trips&amp;Operators'!$C$1:$E$99999,3,FALSE)</f>
        <v>STAMBAUGH</v>
      </c>
      <c r="O64" s="174" t="s">
        <v>86</v>
      </c>
      <c r="P64" s="10"/>
      <c r="Q64" s="33"/>
      <c r="R64" s="108" t="str">
        <f>VLOOKUP(C64,'Train Runs'!$A$13:$AE$10011,31,0)</f>
        <v>aws s3 cp s3://rtdc.mdm.uploadarchive/RTDC4038/2016-09-21/ "%USERPROFILE%\AppData\Local\Temp\OnboardLogs"\RTDC4038\2016-09-21 --recursive &amp; "%USERPROFILE%\Documents\GitHub\mrs-test-scripts\Headless Mode &amp; Sideloading\WalkAndUnGZ.bat" "%USERPROFILE%\AppData\Local\Temp\OnboardLogs"\RTDC4038\2016-09-21 &amp; aws s3 cp s3://rtdc.mdm.uploadarchive/RTDC4038/2016-09-22/ "%USERPROFILE%\AppData\Local\Temp\OnboardLogs"\RTDC4038\2016-09-22 --recursive &amp; "%USERPROFILE%\Documents\GitHub\mrs-test-scripts\Headless Mode &amp; Sideloading\WalkAndUnGZ.bat" "%USERPROFILE%\AppData\Local\Temp\OnboardLogs"\RTDC4038\2016-09-22</v>
      </c>
      <c r="S64" s="111" t="str">
        <f>VLOOKUP(C64,'Train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10:11:24-0600',mode:absolute,to:'2016-09-21 12:14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64" s="113" t="str">
        <f t="shared" si="9"/>
        <v>"C:\Program Files (x86)\AstroGrep\AstroGrep.exe" /spath="%USERPROFILE%\AppData\Local\Temp\OnboardLogs" /stypes="*4038*201609211*" /stext=" 17:.+((SYSTEM_STATE.+slice.+state.+changed )|(ment ac)|(system.+state.+changed )|(\|lc)|(penalty)|(\[timeout)|(PRM\|1\|D)|(kpr)|(kdp))" /e /r /s</v>
      </c>
      <c r="U64" s="9" t="str">
        <f t="shared" si="10"/>
        <v>4038</v>
      </c>
      <c r="V64" s="38">
        <f t="shared" si="11"/>
        <v>42634.718136574076</v>
      </c>
      <c r="W64" s="52" t="str">
        <f t="shared" si="12"/>
        <v>Other</v>
      </c>
      <c r="X64" s="52" t="str">
        <f t="shared" si="13"/>
        <v>KEEP</v>
      </c>
      <c r="Y64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{"issue":{"subject":"","project_id":79,"tracker_id":40,"status_id":1,"priority_id":2,"assigned_to_id":23,"start_date":"2016-09-21","description":"","custom_fields":[{"id":1,"name":"Subdivision","value":"Other"},{"id":4,"name":"Milepost","value":"0.1692"},{"id":17,"name":"Train ID","value":"51-21"},{"id":16,"name":"Locomotive ID","value":"4038"},{"id":130,"name":"Impact","value":""},{"id":150,"name":"Time of Event (Mountain Time)","value":"11:14:07"},{"id":151,"name":"Denver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5" t="str">
        <f t="shared" si="15"/>
        <v>grep -hSE -A100 "Enforcement Action" "%USERPROFILE%\AppData\Local\Temp\OnboardLogs"\RTDC4038\*4038*201609211* | grep -SE "((Enforcement Ac)|(PRM))" -</v>
      </c>
    </row>
    <row r="65" spans="1:29" x14ac:dyDescent="0.25">
      <c r="A65" s="38">
        <v>42634.641006944446</v>
      </c>
      <c r="B65" s="33" t="s">
        <v>414</v>
      </c>
      <c r="C65" s="33" t="s">
        <v>534</v>
      </c>
      <c r="D65" s="33" t="s">
        <v>105</v>
      </c>
      <c r="E65" s="33" t="s">
        <v>54</v>
      </c>
      <c r="F65" s="49">
        <v>0</v>
      </c>
      <c r="G65" s="49">
        <v>104</v>
      </c>
      <c r="H65" s="49">
        <v>24012</v>
      </c>
      <c r="I65" s="49">
        <v>23838</v>
      </c>
      <c r="J65" s="33" t="s">
        <v>55</v>
      </c>
      <c r="K65" s="49">
        <v>24199</v>
      </c>
      <c r="L65" s="150" t="s">
        <v>53</v>
      </c>
      <c r="M65" s="153">
        <f t="shared" si="8"/>
        <v>-190.608</v>
      </c>
      <c r="N65" s="92" t="str">
        <f>VLOOKUP(C65,'Trips&amp;Operators'!$C$1:$E$99999,3,FALSE)</f>
        <v>LEVERE</v>
      </c>
      <c r="O65" s="174" t="s">
        <v>86</v>
      </c>
      <c r="P65" s="10"/>
      <c r="Q65" s="33"/>
      <c r="R65" s="108" t="str">
        <f>VLOOKUP(C65,'Train Runs'!$A$13:$AE$10011,31,0)</f>
        <v>aws s3 cp s3://rtdc.mdm.uploadarchive/RTDC4032/2016-09-21/ "%USERPROFILE%\AppData\Local\Temp\OnboardLogs"\RTDC4032\2016-09-21 --recursive &amp; "%USERPROFILE%\Documents\GitHub\mrs-test-scripts\Headless Mode &amp; Sideloading\WalkAndUnGZ.bat" "%USERPROFILE%\AppData\Local\Temp\OnboardLogs"\RTDC4032\2016-09-21 &amp; aws s3 cp s3://rtdc.mdm.uploadarchive/RTDC4032/2016-09-22/ "%USERPROFILE%\AppData\Local\Temp\OnboardLogs"\RTDC4032\2016-09-22 --recursive &amp; "%USERPROFILE%\Documents\GitHub\mrs-test-scripts\Headless Mode &amp; Sideloading\WalkAndUnGZ.bat" "%USERPROFILE%\AppData\Local\Temp\OnboardLogs"\RTDC4032\2016-09-22</v>
      </c>
      <c r="S65" s="111" t="str">
        <f>VLOOKUP(C65,'Train Runs'!$A$13:$AE$10011,22,0)</f>
        <v>https://search-rtdc-monitor-bjffxe2xuh6vdkpspy63sjmuny.us-east-1.es.amazonaws.com/_plugin/kibana/#/discover/Steve-Slow-Train-Analysis-(2080s-and-2083s)?_g=(refreshInterval:(display:Off,section:0,value:0),time:(from:'2016-09-21 14:20:01-0600',mode:absolute,to:'2016-09-21 16:23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65" s="113" t="str">
        <f t="shared" si="9"/>
        <v>"C:\Program Files (x86)\AstroGrep\AstroGrep.exe" /spath="%USERPROFILE%\AppData\Local\Temp\OnboardLogs" /stypes="*4032*201609212*" /stext=" 21:.+((SYSTEM_STATE.+slice.+state.+changed )|(ment ac)|(system.+state.+changed )|(\|lc)|(penalty)|(\[timeout)|(PRM\|1\|D)|(kpr)|(kdp))" /e /r /s</v>
      </c>
      <c r="U65" s="9" t="str">
        <f t="shared" si="10"/>
        <v>4032</v>
      </c>
      <c r="V65" s="38">
        <f t="shared" si="11"/>
        <v>42634.891006944446</v>
      </c>
      <c r="W65" s="52" t="str">
        <f t="shared" si="12"/>
        <v>Other</v>
      </c>
      <c r="X65" s="52" t="str">
        <f t="shared" si="13"/>
        <v>KEEP</v>
      </c>
      <c r="Y65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{"issue":{"subject":"","project_id":79,"tracker_id":40,"status_id":1,"priority_id":2,"assigned_to_id":23,"start_date":"2016-09-21","description":"","custom_fields":[{"id":1,"name":"Subdivision","value":"Other"},{"id":4,"name":"Milepost","value":"2.4199"},{"id":17,"name":"Train ID","value":"904-21"},{"id":16,"name":"Locomotive ID","value":"4032"},{"id":130,"name":"Impact","value":""},{"id":150,"name":"Time of Event (Mountain Time)","value":"15:23:03"},{"id":151,"name":"Denver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5" t="str">
        <f t="shared" si="15"/>
        <v>grep -hSE -A100 "Enforcement Action" "%USERPROFILE%\AppData\Local\Temp\OnboardLogs"\RTDC4032\*4032*201609212* | grep -SE "((Enforcement Ac)|(PRM))" -</v>
      </c>
    </row>
    <row r="66" spans="1:29" x14ac:dyDescent="0.25">
      <c r="A66" s="38">
        <v>42634.719907407409</v>
      </c>
      <c r="B66" s="33" t="s">
        <v>334</v>
      </c>
      <c r="C66" s="33" t="s">
        <v>555</v>
      </c>
      <c r="D66" s="33" t="s">
        <v>49</v>
      </c>
      <c r="E66" s="33" t="s">
        <v>50</v>
      </c>
      <c r="F66" s="49">
        <v>0</v>
      </c>
      <c r="G66" s="49">
        <v>21</v>
      </c>
      <c r="H66" s="49">
        <v>35</v>
      </c>
      <c r="I66" s="49">
        <v>26</v>
      </c>
      <c r="J66" s="33" t="s">
        <v>51</v>
      </c>
      <c r="K66" s="49">
        <v>1</v>
      </c>
      <c r="L66" s="150" t="s">
        <v>53</v>
      </c>
      <c r="M66" s="153">
        <f t="shared" si="8"/>
        <v>13.2</v>
      </c>
      <c r="N66" s="92" t="str">
        <f>VLOOKUP(C66,'Trips&amp;Operators'!$C$1:$E$99999,3,FALSE)</f>
        <v>YANAI</v>
      </c>
      <c r="O66" s="174" t="s">
        <v>86</v>
      </c>
      <c r="P66" s="10"/>
      <c r="Q66" s="33"/>
      <c r="R66" s="108" t="str">
        <f>VLOOKUP(C66,'Train Runs'!$A$13:$AE$10011,31,0)</f>
        <v>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 &amp; 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</v>
      </c>
      <c r="S66" s="111" t="str">
        <f>VLOOKUP(C66,'Train Runs'!$A$13:$AE$10011,22,0)</f>
        <v>https://search-rtdc-monitor-bjffxe2xuh6vdkpspy63sjmuny.us-east-1.es.amazonaws.com/_plugin/kibana/#/discover/Steve-Slow-Train-Analysis-(2080s-and-2083s)?_g=(refreshInterval:(display:Off,section:0,value:0),time:(from:'2016-09-21 16:05:48-0600',mode:absolute,to:'2016-09-21 18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6" s="113" t="str">
        <f t="shared" si="9"/>
        <v>"C:\Program Files (x86)\AstroGrep\AstroGrep.exe" /spath="%USERPROFILE%\AppData\Local\Temp\OnboardLogs" /stypes="*4005*201609212*" /stext=" 23:.+((SYSTEM_STATE.+slice.+state.+changed )|(ment ac)|(system.+state.+changed )|(\|lc)|(penalty)|(\[timeout)|(PRM\|1\|D)|(kpr)|(kdp))" /e /r /s</v>
      </c>
      <c r="U66" s="9" t="str">
        <f t="shared" si="10"/>
        <v>4005</v>
      </c>
      <c r="V66" s="38">
        <f t="shared" si="11"/>
        <v>42634.969907407409</v>
      </c>
      <c r="W66" s="52" t="str">
        <f t="shared" si="12"/>
        <v>Other</v>
      </c>
      <c r="X66" s="52" t="str">
        <f t="shared" si="13"/>
        <v>KEEP</v>
      </c>
      <c r="Y66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{"issue":{"subject":"","project_id":79,"tracker_id":40,"status_id":1,"priority_id":2,"assigned_to_id":23,"start_date":"2016-09-21","description":"","custom_fields":[{"id":1,"name":"Subdivision","value":"Other"},{"id":4,"name":"Milepost","value":"0.0001"},{"id":17,"name":"Train ID","value":"50-21"},{"id":16,"name":"Locomotive ID","value":"4005"},{"id":130,"name":"Impact","value":""},{"id":150,"name":"Time of Event (Mountain Time)","value":"17:16:40"},{"id":151,"name":"Denver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  <c r="AC66" s="175" t="str">
        <f t="shared" si="15"/>
        <v>grep -hSE -A100 "Enforcement Action" "%USERPROFILE%\AppData\Local\Temp\OnboardLogs"\RTDC4005\*4005*201609212* | grep -SE "((Enforcement Ac)|(PRM))" -</v>
      </c>
    </row>
    <row r="67" spans="1:29" x14ac:dyDescent="0.25">
      <c r="A67" s="38">
        <v>42634.464432870373</v>
      </c>
      <c r="B67" s="33" t="s">
        <v>334</v>
      </c>
      <c r="C67" s="33" t="s">
        <v>481</v>
      </c>
      <c r="D67" s="33" t="s">
        <v>49</v>
      </c>
      <c r="E67" s="33" t="s">
        <v>50</v>
      </c>
      <c r="F67" s="49">
        <v>0</v>
      </c>
      <c r="G67" s="49">
        <v>59</v>
      </c>
      <c r="H67" s="49">
        <v>1030</v>
      </c>
      <c r="I67" s="49">
        <v>969</v>
      </c>
      <c r="J67" s="33" t="s">
        <v>51</v>
      </c>
      <c r="K67" s="49">
        <v>826</v>
      </c>
      <c r="L67" s="150" t="s">
        <v>53</v>
      </c>
      <c r="M67" s="153">
        <f t="shared" si="8"/>
        <v>75.504000000000005</v>
      </c>
      <c r="N67" s="92" t="str">
        <f>VLOOKUP(C67,'Trips&amp;Operators'!$C$1:$E$99999,3,FALSE)</f>
        <v>HELVIE</v>
      </c>
      <c r="O67" s="174" t="s">
        <v>86</v>
      </c>
      <c r="P67" s="10"/>
      <c r="Q67" s="33"/>
      <c r="R67" s="108" t="str">
        <f>VLOOKUP(C67,'Train Runs'!$A$13:$AE$10011,31,0)</f>
        <v>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 &amp; 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</v>
      </c>
      <c r="S67" s="111" t="str">
        <f>VLOOKUP(C67,'Train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10:00:47-0600',mode:absolute,to:'2016-09-21 12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7" s="113" t="str">
        <f t="shared" si="9"/>
        <v>"C:\Program Files (x86)\AstroGrep\AstroGrep.exe" /spath="%USERPROFILE%\AppData\Local\Temp\OnboardLogs" /stypes="*4005*201609211*" /stext=" 17:.+((SYSTEM_STATE.+slice.+state.+changed )|(ment ac)|(system.+state.+changed )|(\|lc)|(penalty)|(\[timeout)|(PRM\|1\|D)|(kpr)|(kdp))" /e /r /s</v>
      </c>
      <c r="U67" s="9" t="str">
        <f t="shared" si="10"/>
        <v>4005</v>
      </c>
      <c r="V67" s="38">
        <f t="shared" si="11"/>
        <v>42634.714432870373</v>
      </c>
      <c r="W67" s="52" t="str">
        <f t="shared" si="12"/>
        <v>Other</v>
      </c>
      <c r="X67" s="52" t="str">
        <f t="shared" si="13"/>
        <v>KEEP</v>
      </c>
      <c r="Y67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{"issue":{"subject":"","project_id":79,"tracker_id":40,"status_id":1,"priority_id":2,"assigned_to_id":23,"start_date":"2016-09-21","description":"","custom_fields":[{"id":1,"name":"Subdivision","value":"Other"},{"id":4,"name":"Milepost","value":"0.0826"},{"id":17,"name":"Train ID","value":"52-21"},{"id":16,"name":"Locomotive ID","value":"4005"},{"id":130,"name":"Impact","value":""},{"id":150,"name":"Time of Event (Mountain Time)","value":"11:08:47"},{"id":151,"name":"Denver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5"/>
      <c r="AA67" s="55"/>
      <c r="AB67" s="23"/>
      <c r="AC67" s="175" t="str">
        <f t="shared" si="15"/>
        <v>grep -hSE -A100 "Enforcement Action" "%USERPROFILE%\AppData\Local\Temp\OnboardLogs"\RTDC4005\*4005*201609211* | grep -SE "((Enforcement Ac)|(PRM))" -</v>
      </c>
    </row>
    <row r="68" spans="1:29" x14ac:dyDescent="0.25">
      <c r="A68" s="38">
        <v>42634.464849537035</v>
      </c>
      <c r="B68" s="33" t="s">
        <v>334</v>
      </c>
      <c r="C68" s="33" t="s">
        <v>481</v>
      </c>
      <c r="D68" s="33" t="s">
        <v>49</v>
      </c>
      <c r="E68" s="33" t="s">
        <v>50</v>
      </c>
      <c r="F68" s="49">
        <v>0</v>
      </c>
      <c r="G68" s="49">
        <v>29</v>
      </c>
      <c r="H68" s="49">
        <v>900</v>
      </c>
      <c r="I68" s="49">
        <v>885</v>
      </c>
      <c r="J68" s="33" t="s">
        <v>51</v>
      </c>
      <c r="K68" s="49">
        <v>826</v>
      </c>
      <c r="L68" s="150" t="s">
        <v>53</v>
      </c>
      <c r="M68" s="153">
        <f t="shared" si="8"/>
        <v>31.152000000000001</v>
      </c>
      <c r="N68" s="92" t="str">
        <f>VLOOKUP(C68,'Trips&amp;Operators'!$C$1:$E$99999,3,FALSE)</f>
        <v>HELVIE</v>
      </c>
      <c r="O68" s="174" t="s">
        <v>86</v>
      </c>
      <c r="P68" s="10"/>
      <c r="Q68" s="33"/>
      <c r="R68" s="108" t="str">
        <f>VLOOKUP(C68,'Train Runs'!$A$13:$AE$10011,31,0)</f>
        <v>aws s3 cp s3://rtdc.mdm.uploadarchive/RTDC4005/2016-09-21/ "%USERPROFILE%\AppData\Local\Temp\OnboardLogs"\RTDC4005\2016-09-21 --recursive &amp; "%USERPROFILE%\Documents\GitHub\mrs-test-scripts\Headless Mode &amp; Sideloading\WalkAndUnGZ.bat" "%USERPROFILE%\AppData\Local\Temp\OnboardLogs"\RTDC4005\2016-09-21 &amp; aws s3 cp s3://rtdc.mdm.uploadarchive/RTDC4005/2016-09-22/ "%USERPROFILE%\AppData\Local\Temp\OnboardLogs"\RTDC4005\2016-09-22 --recursive &amp; "%USERPROFILE%\Documents\GitHub\mrs-test-scripts\Headless Mode &amp; Sideloading\WalkAndUnGZ.bat" "%USERPROFILE%\AppData\Local\Temp\OnboardLogs"\RTDC4005\2016-09-22</v>
      </c>
      <c r="S68" s="111" t="str">
        <f>VLOOKUP(C68,'Train Runs'!$A$13:$AE$10011,22,0)</f>
        <v>https://search-rtdc-monitor-bjffxe2xuh6vdkpspy63sjmuny.us-east-1.es.amazonaws.com/_plugin/kibana/#/discover/Steve-Slow-Train-Analysis-(2080s-and-2083s)?_g=(refreshInterval:(display:Off,section:0,value:0),time:(from:'2016-09-21 10:00:47-0600',mode:absolute,to:'2016-09-21 12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8" s="113" t="str">
        <f t="shared" si="9"/>
        <v>"C:\Program Files (x86)\AstroGrep\AstroGrep.exe" /spath="%USERPROFILE%\AppData\Local\Temp\OnboardLogs" /stypes="*4005*201609211*" /stext=" 17:.+((SYSTEM_STATE.+slice.+state.+changed )|(ment ac)|(system.+state.+changed )|(\|lc)|(penalty)|(\[timeout)|(PRM\|1\|D)|(kpr)|(kdp))" /e /r /s</v>
      </c>
      <c r="U68" s="9" t="str">
        <f t="shared" si="10"/>
        <v>4005</v>
      </c>
      <c r="V68" s="38">
        <f t="shared" si="11"/>
        <v>42634.714849537035</v>
      </c>
      <c r="W68" s="52" t="str">
        <f t="shared" si="12"/>
        <v>Other</v>
      </c>
      <c r="X68" s="52" t="str">
        <f t="shared" si="13"/>
        <v>KEEP</v>
      </c>
      <c r="Y68" s="134" t="str">
        <f t="shared" si="14"/>
        <v>echo {"issue":{"subject":"","project_id":79,"tracker_id":40,"status_id":1,"priority_id":2,"assigned_to_id":23,"start_date":"2016-09-21","description":"","custom_fields":[{"id":1,"name":"Subdivision","value":"Other"},{"id":4,"name":"Milepost","value":"0.0826"},{"id":17,"name":"Train ID","value":"52-21"},{"id":16,"name":"Locomotive ID","value":"4005"},{"id":130,"name":"Impact","value":""},{"id":150,"name":"Time of Event (Mountain Time)","value":"11:09:23"},{"id":151,"name":"Denver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5"/>
      <c r="AA68" s="55"/>
      <c r="AB68" s="23"/>
      <c r="AC68" s="175" t="str">
        <f t="shared" si="15"/>
        <v>grep -hSE -A100 "Enforcement Action" "%USERPROFILE%\AppData\Local\Temp\OnboardLogs"\RTDC4005\*4005*201609211* | grep -SE "((Enforcement Ac)|(PRM))" -</v>
      </c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9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2016-09-21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-21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-21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-21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-21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-21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-21%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395</v>
      </c>
      <c r="B1" s="23" t="s">
        <v>396</v>
      </c>
      <c r="C1" s="23" t="s">
        <v>0</v>
      </c>
      <c r="D1" s="23" t="s">
        <v>397</v>
      </c>
      <c r="E1" s="23" t="s">
        <v>398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42634.036666666667</v>
      </c>
      <c r="B2" s="23" t="s">
        <v>329</v>
      </c>
      <c r="C2" s="23" t="s">
        <v>335</v>
      </c>
      <c r="D2" s="23">
        <v>1230000</v>
      </c>
      <c r="E2" s="23" t="s">
        <v>259</v>
      </c>
      <c r="F2" s="23" t="str">
        <f t="shared" ref="F2:F65" si="0">B2</f>
        <v>rtdc.l.rtdc.4013:itc</v>
      </c>
      <c r="G2" s="8">
        <f t="shared" ref="G2:G65" si="1">A2</f>
        <v>42634.036666666667</v>
      </c>
    </row>
    <row r="3" spans="1:7" x14ac:dyDescent="0.25">
      <c r="A3" s="8">
        <v>42634.047384259262</v>
      </c>
      <c r="B3" s="23" t="s">
        <v>171</v>
      </c>
      <c r="C3" s="23" t="s">
        <v>336</v>
      </c>
      <c r="D3" s="23">
        <v>1290000</v>
      </c>
      <c r="E3" s="23" t="s">
        <v>173</v>
      </c>
      <c r="F3" s="23" t="str">
        <f t="shared" si="0"/>
        <v>rtdc.l.rtdc.4025:itc</v>
      </c>
      <c r="G3" s="8">
        <f t="shared" si="1"/>
        <v>42634.047384259262</v>
      </c>
    </row>
    <row r="4" spans="1:7" x14ac:dyDescent="0.25">
      <c r="A4" s="8">
        <v>42634.058506944442</v>
      </c>
      <c r="B4" s="23" t="s">
        <v>272</v>
      </c>
      <c r="C4" s="23" t="s">
        <v>337</v>
      </c>
      <c r="D4" s="23">
        <v>1800000</v>
      </c>
      <c r="E4" s="23" t="s">
        <v>260</v>
      </c>
      <c r="F4" s="23" t="str">
        <f t="shared" si="0"/>
        <v>rtdc.l.rtdc.4012:itc</v>
      </c>
      <c r="G4" s="8">
        <f t="shared" si="1"/>
        <v>42634.058506944442</v>
      </c>
    </row>
    <row r="5" spans="1:7" x14ac:dyDescent="0.25">
      <c r="A5" s="8">
        <v>42634.066331018519</v>
      </c>
      <c r="B5" s="23" t="s">
        <v>325</v>
      </c>
      <c r="C5" s="23" t="s">
        <v>338</v>
      </c>
      <c r="D5" s="23">
        <v>1230000</v>
      </c>
      <c r="E5" s="23" t="s">
        <v>259</v>
      </c>
      <c r="F5" s="23" t="str">
        <f t="shared" si="0"/>
        <v>rtdc.l.rtdc.4014:itc</v>
      </c>
      <c r="G5" s="8">
        <f t="shared" si="1"/>
        <v>42634.066331018519</v>
      </c>
    </row>
    <row r="6" spans="1:7" x14ac:dyDescent="0.25">
      <c r="A6" s="8">
        <v>42634.092199074075</v>
      </c>
      <c r="B6" s="23" t="s">
        <v>270</v>
      </c>
      <c r="C6" s="23" t="s">
        <v>339</v>
      </c>
      <c r="D6" s="23">
        <v>1800000</v>
      </c>
      <c r="E6" s="23" t="s">
        <v>260</v>
      </c>
      <c r="F6" s="23" t="str">
        <f t="shared" si="0"/>
        <v>rtdc.l.rtdc.4011:itc</v>
      </c>
      <c r="G6" s="8">
        <f t="shared" si="1"/>
        <v>42634.092199074075</v>
      </c>
    </row>
    <row r="7" spans="1:7" x14ac:dyDescent="0.25">
      <c r="A7" s="8">
        <v>42634.131539351853</v>
      </c>
      <c r="B7" s="23" t="s">
        <v>165</v>
      </c>
      <c r="C7" s="23" t="s">
        <v>399</v>
      </c>
      <c r="D7" s="23">
        <v>2010000</v>
      </c>
      <c r="E7" s="23" t="s">
        <v>400</v>
      </c>
      <c r="F7" s="23" t="str">
        <f t="shared" si="0"/>
        <v>rtdc.l.rtdc.4020:itc</v>
      </c>
      <c r="G7" s="8">
        <f t="shared" si="1"/>
        <v>42634.131539351853</v>
      </c>
    </row>
    <row r="8" spans="1:7" x14ac:dyDescent="0.25">
      <c r="A8" s="8">
        <v>42634.15179398148</v>
      </c>
      <c r="B8" s="23" t="s">
        <v>401</v>
      </c>
      <c r="C8" s="23" t="s">
        <v>402</v>
      </c>
      <c r="D8" s="23">
        <v>1260000</v>
      </c>
      <c r="E8" s="23" t="s">
        <v>290</v>
      </c>
      <c r="F8" s="23" t="str">
        <f t="shared" si="0"/>
        <v>rtdc.l.rtdc.4016:itc</v>
      </c>
      <c r="G8" s="8">
        <f t="shared" si="1"/>
        <v>42634.15179398148</v>
      </c>
    </row>
    <row r="9" spans="1:7" ht="15.75" thickBot="1" x14ac:dyDescent="0.3">
      <c r="A9" s="27">
        <v>42634.172731481478</v>
      </c>
      <c r="B9" s="23" t="s">
        <v>294</v>
      </c>
      <c r="C9" s="23" t="s">
        <v>403</v>
      </c>
      <c r="D9" s="23">
        <v>2010000</v>
      </c>
      <c r="E9" s="23" t="s">
        <v>400</v>
      </c>
      <c r="F9" s="23" t="str">
        <f t="shared" si="0"/>
        <v>rtdc.l.rtdc.4001:itc</v>
      </c>
      <c r="G9" s="8">
        <f t="shared" si="1"/>
        <v>42634.172731481478</v>
      </c>
    </row>
    <row r="10" spans="1:7" x14ac:dyDescent="0.25">
      <c r="A10" s="8">
        <v>42634.174791666665</v>
      </c>
      <c r="B10" s="23" t="s">
        <v>404</v>
      </c>
      <c r="C10" s="23" t="s">
        <v>405</v>
      </c>
      <c r="D10" s="23">
        <v>1760000</v>
      </c>
      <c r="E10" s="23" t="s">
        <v>406</v>
      </c>
      <c r="F10" s="23" t="str">
        <f t="shared" si="0"/>
        <v>rtdc.l.rtdc.4027:itc</v>
      </c>
      <c r="G10" s="8">
        <f t="shared" si="1"/>
        <v>42634.174791666665</v>
      </c>
    </row>
    <row r="11" spans="1:7" x14ac:dyDescent="0.25">
      <c r="A11" s="8">
        <v>42634.180879629632</v>
      </c>
      <c r="B11" s="23" t="s">
        <v>178</v>
      </c>
      <c r="C11" s="23" t="s">
        <v>407</v>
      </c>
      <c r="D11" s="23">
        <v>1090000</v>
      </c>
      <c r="E11" s="23" t="s">
        <v>293</v>
      </c>
      <c r="F11" s="23" t="str">
        <f t="shared" si="0"/>
        <v>rtdc.l.rtdc.4042:itc</v>
      </c>
      <c r="G11" s="8">
        <f t="shared" si="1"/>
        <v>42634.180879629632</v>
      </c>
    </row>
    <row r="12" spans="1:7" x14ac:dyDescent="0.25">
      <c r="A12" s="8">
        <v>42634.191157407404</v>
      </c>
      <c r="B12" s="23" t="s">
        <v>295</v>
      </c>
      <c r="C12" s="23" t="s">
        <v>408</v>
      </c>
      <c r="D12" s="23">
        <v>1260000</v>
      </c>
      <c r="E12" s="23" t="s">
        <v>290</v>
      </c>
      <c r="F12" s="23" t="str">
        <f t="shared" si="0"/>
        <v>rtdc.l.rtdc.4008:itc</v>
      </c>
      <c r="G12" s="8">
        <f t="shared" si="1"/>
        <v>42634.191157407404</v>
      </c>
    </row>
    <row r="13" spans="1:7" x14ac:dyDescent="0.25">
      <c r="A13" s="8">
        <v>42634.194143518522</v>
      </c>
      <c r="B13" s="23" t="s">
        <v>181</v>
      </c>
      <c r="C13" s="23" t="s">
        <v>409</v>
      </c>
      <c r="D13" s="23">
        <v>2030000</v>
      </c>
      <c r="E13" s="23" t="s">
        <v>271</v>
      </c>
      <c r="F13" s="23" t="str">
        <f t="shared" si="0"/>
        <v>rtdc.l.rtdc.4046:itc</v>
      </c>
      <c r="G13" s="8">
        <f t="shared" si="1"/>
        <v>42634.194143518522</v>
      </c>
    </row>
    <row r="14" spans="1:7" x14ac:dyDescent="0.25">
      <c r="A14" s="8">
        <v>42634.206550925926</v>
      </c>
      <c r="B14" s="23" t="s">
        <v>165</v>
      </c>
      <c r="C14" s="23" t="s">
        <v>410</v>
      </c>
      <c r="D14" s="23">
        <v>900000</v>
      </c>
      <c r="E14" s="23" t="s">
        <v>328</v>
      </c>
      <c r="F14" s="23" t="str">
        <f t="shared" si="0"/>
        <v>rtdc.l.rtdc.4020:itc</v>
      </c>
      <c r="G14" s="8">
        <f t="shared" si="1"/>
        <v>42634.206550925926</v>
      </c>
    </row>
    <row r="15" spans="1:7" x14ac:dyDescent="0.25">
      <c r="A15" s="8">
        <v>42634.208437499998</v>
      </c>
      <c r="B15" s="23" t="s">
        <v>243</v>
      </c>
      <c r="C15" s="23" t="s">
        <v>411</v>
      </c>
      <c r="D15" s="23">
        <v>1760000</v>
      </c>
      <c r="E15" s="23" t="s">
        <v>406</v>
      </c>
      <c r="F15" s="23" t="str">
        <f t="shared" si="0"/>
        <v>rtdc.l.rtdc.4043:itc</v>
      </c>
      <c r="G15" s="8">
        <f t="shared" si="1"/>
        <v>42634.208437499998</v>
      </c>
    </row>
    <row r="16" spans="1:7" x14ac:dyDescent="0.25">
      <c r="A16" s="8">
        <v>42634.21603009259</v>
      </c>
      <c r="B16" s="23" t="s">
        <v>292</v>
      </c>
      <c r="C16" s="23" t="s">
        <v>412</v>
      </c>
      <c r="D16" s="23">
        <v>2010000</v>
      </c>
      <c r="E16" s="23" t="s">
        <v>400</v>
      </c>
      <c r="F16" s="23" t="str">
        <f t="shared" si="0"/>
        <v>rtdc.l.rtdc.4002:itc</v>
      </c>
      <c r="G16" s="8">
        <f t="shared" si="1"/>
        <v>42634.21603009259</v>
      </c>
    </row>
    <row r="17" spans="1:7" x14ac:dyDescent="0.25">
      <c r="A17" s="8">
        <v>42634.217129629629</v>
      </c>
      <c r="B17" s="23" t="s">
        <v>292</v>
      </c>
      <c r="C17" s="23" t="s">
        <v>412</v>
      </c>
      <c r="D17" s="23">
        <v>2010000</v>
      </c>
      <c r="E17" s="23" t="s">
        <v>400</v>
      </c>
      <c r="F17" s="23" t="str">
        <f t="shared" si="0"/>
        <v>rtdc.l.rtdc.4002:itc</v>
      </c>
      <c r="G17" s="8">
        <f t="shared" si="1"/>
        <v>42634.217129629629</v>
      </c>
    </row>
    <row r="18" spans="1:7" x14ac:dyDescent="0.25">
      <c r="A18" s="8">
        <v>42634.222118055557</v>
      </c>
      <c r="B18" s="23" t="s">
        <v>176</v>
      </c>
      <c r="C18" s="23" t="s">
        <v>413</v>
      </c>
      <c r="D18" s="23">
        <v>1090000</v>
      </c>
      <c r="E18" s="23" t="s">
        <v>293</v>
      </c>
      <c r="F18" s="23" t="str">
        <f t="shared" si="0"/>
        <v>rtdc.l.rtdc.4041:itc</v>
      </c>
      <c r="G18" s="8">
        <f t="shared" si="1"/>
        <v>42634.222118055557</v>
      </c>
    </row>
    <row r="19" spans="1:7" x14ac:dyDescent="0.25">
      <c r="A19" s="8">
        <v>42634.22619212963</v>
      </c>
      <c r="B19" s="23" t="s">
        <v>414</v>
      </c>
      <c r="C19" s="23" t="s">
        <v>415</v>
      </c>
      <c r="D19" s="23">
        <v>1110000</v>
      </c>
      <c r="E19" s="23" t="s">
        <v>281</v>
      </c>
      <c r="F19" s="23" t="str">
        <f t="shared" si="0"/>
        <v>rtdc.l.rtdc.4032:itc</v>
      </c>
      <c r="G19" s="8">
        <f t="shared" si="1"/>
        <v>42634.22619212963</v>
      </c>
    </row>
    <row r="20" spans="1:7" x14ac:dyDescent="0.25">
      <c r="A20" s="8">
        <v>42634.227152777778</v>
      </c>
      <c r="B20" s="23" t="s">
        <v>401</v>
      </c>
      <c r="C20" s="23" t="s">
        <v>416</v>
      </c>
      <c r="D20" s="23">
        <v>1190000</v>
      </c>
      <c r="E20" s="23" t="s">
        <v>291</v>
      </c>
      <c r="F20" s="23" t="str">
        <f t="shared" si="0"/>
        <v>rtdc.l.rtdc.4016:itc</v>
      </c>
      <c r="G20" s="8">
        <f t="shared" si="1"/>
        <v>42634.227152777778</v>
      </c>
    </row>
    <row r="21" spans="1:7" x14ac:dyDescent="0.25">
      <c r="A21" s="8">
        <v>42634.227847222224</v>
      </c>
      <c r="B21" s="23" t="s">
        <v>255</v>
      </c>
      <c r="C21" s="23" t="s">
        <v>417</v>
      </c>
      <c r="D21" s="23">
        <v>2030000</v>
      </c>
      <c r="E21" s="23" t="s">
        <v>271</v>
      </c>
      <c r="F21" s="23" t="str">
        <f t="shared" si="0"/>
        <v>rtdc.l.rtdc.4045:itc</v>
      </c>
      <c r="G21" s="8">
        <f t="shared" si="1"/>
        <v>42634.227847222224</v>
      </c>
    </row>
    <row r="22" spans="1:7" x14ac:dyDescent="0.25">
      <c r="A22" s="29">
        <v>42634.234814814816</v>
      </c>
      <c r="B22" s="23" t="s">
        <v>289</v>
      </c>
      <c r="C22" s="23" t="s">
        <v>418</v>
      </c>
      <c r="D22" s="23">
        <v>1260000</v>
      </c>
      <c r="E22" s="23" t="s">
        <v>290</v>
      </c>
      <c r="F22" s="23" t="str">
        <f t="shared" si="0"/>
        <v>rtdc.l.rtdc.4007:itc</v>
      </c>
      <c r="G22" s="8">
        <f t="shared" si="1"/>
        <v>42634.234814814816</v>
      </c>
    </row>
    <row r="23" spans="1:7" x14ac:dyDescent="0.25">
      <c r="A23" s="8">
        <v>42634.241701388892</v>
      </c>
      <c r="B23" s="23" t="s">
        <v>419</v>
      </c>
      <c r="C23" s="23" t="s">
        <v>420</v>
      </c>
      <c r="D23" s="23">
        <v>1110000</v>
      </c>
      <c r="E23" s="23" t="s">
        <v>281</v>
      </c>
      <c r="F23" s="23" t="str">
        <f t="shared" si="0"/>
        <v>rtdc.l.rtdc.4031:itc</v>
      </c>
      <c r="G23" s="8">
        <f t="shared" si="1"/>
        <v>42634.241701388892</v>
      </c>
    </row>
    <row r="24" spans="1:7" x14ac:dyDescent="0.25">
      <c r="A24" s="8">
        <v>42634.242951388886</v>
      </c>
      <c r="B24" s="23" t="s">
        <v>419</v>
      </c>
      <c r="C24" s="23" t="s">
        <v>420</v>
      </c>
      <c r="D24" s="23">
        <v>1110000</v>
      </c>
      <c r="E24" s="23" t="s">
        <v>281</v>
      </c>
      <c r="F24" s="23" t="str">
        <f t="shared" si="0"/>
        <v>rtdc.l.rtdc.4031:itc</v>
      </c>
      <c r="G24" s="8">
        <f t="shared" si="1"/>
        <v>42634.242951388886</v>
      </c>
    </row>
    <row r="25" spans="1:7" x14ac:dyDescent="0.25">
      <c r="A25" s="8">
        <v>42634.24622685185</v>
      </c>
      <c r="B25" s="23" t="s">
        <v>164</v>
      </c>
      <c r="C25" s="23" t="s">
        <v>421</v>
      </c>
      <c r="D25" s="23">
        <v>900000</v>
      </c>
      <c r="E25" s="23" t="s">
        <v>328</v>
      </c>
      <c r="F25" s="23" t="str">
        <f t="shared" si="0"/>
        <v>rtdc.l.rtdc.4019:itc</v>
      </c>
      <c r="G25" s="8">
        <f t="shared" si="1"/>
        <v>42634.24622685185</v>
      </c>
    </row>
    <row r="26" spans="1:7" x14ac:dyDescent="0.25">
      <c r="A26" s="8">
        <v>42634.248159722221</v>
      </c>
      <c r="B26" s="23" t="s">
        <v>404</v>
      </c>
      <c r="C26" s="23" t="s">
        <v>422</v>
      </c>
      <c r="D26" s="23">
        <v>1760000</v>
      </c>
      <c r="E26" s="23" t="s">
        <v>406</v>
      </c>
      <c r="F26" s="23" t="str">
        <f t="shared" si="0"/>
        <v>rtdc.l.rtdc.4027:itc</v>
      </c>
      <c r="G26" s="8">
        <f t="shared" si="1"/>
        <v>42634.248159722221</v>
      </c>
    </row>
    <row r="27" spans="1:7" x14ac:dyDescent="0.25">
      <c r="A27" s="8">
        <v>42634.252129629633</v>
      </c>
      <c r="B27" s="23" t="s">
        <v>294</v>
      </c>
      <c r="C27" s="23" t="s">
        <v>423</v>
      </c>
      <c r="D27" s="23">
        <v>2010000</v>
      </c>
      <c r="E27" s="23" t="s">
        <v>400</v>
      </c>
      <c r="F27" s="23" t="str">
        <f t="shared" si="0"/>
        <v>rtdc.l.rtdc.4001:itc</v>
      </c>
      <c r="G27" s="8">
        <f t="shared" si="1"/>
        <v>42634.252129629633</v>
      </c>
    </row>
    <row r="28" spans="1:7" x14ac:dyDescent="0.25">
      <c r="A28" s="8">
        <v>42634.25644675926</v>
      </c>
      <c r="B28" s="23" t="s">
        <v>414</v>
      </c>
      <c r="C28" s="23" t="s">
        <v>424</v>
      </c>
      <c r="D28" s="23">
        <v>1110000</v>
      </c>
      <c r="E28" s="23" t="s">
        <v>281</v>
      </c>
      <c r="F28" s="23" t="str">
        <f t="shared" si="0"/>
        <v>rtdc.l.rtdc.4032:itc</v>
      </c>
      <c r="G28" s="8">
        <f t="shared" si="1"/>
        <v>42634.25644675926</v>
      </c>
    </row>
    <row r="29" spans="1:7" x14ac:dyDescent="0.25">
      <c r="A29" s="8">
        <v>42634.258553240739</v>
      </c>
      <c r="B29" s="23" t="s">
        <v>178</v>
      </c>
      <c r="C29" s="23" t="s">
        <v>425</v>
      </c>
      <c r="D29" s="23">
        <v>1090000</v>
      </c>
      <c r="E29" s="23" t="s">
        <v>293</v>
      </c>
      <c r="F29" s="23" t="str">
        <f t="shared" si="0"/>
        <v>rtdc.l.rtdc.4042:itc</v>
      </c>
      <c r="G29" s="8">
        <f t="shared" si="1"/>
        <v>42634.258553240739</v>
      </c>
    </row>
    <row r="30" spans="1:7" x14ac:dyDescent="0.25">
      <c r="A30" s="8">
        <v>42634.261134259257</v>
      </c>
      <c r="B30" s="23" t="s">
        <v>257</v>
      </c>
      <c r="C30" s="23" t="s">
        <v>426</v>
      </c>
      <c r="D30" s="23">
        <v>1100000</v>
      </c>
      <c r="E30" s="23" t="s">
        <v>326</v>
      </c>
      <c r="F30" s="23" t="str">
        <f t="shared" si="0"/>
        <v>rtdc.l.rtdc.4038:itc</v>
      </c>
      <c r="G30" s="8">
        <f t="shared" si="1"/>
        <v>42634.261134259257</v>
      </c>
    </row>
    <row r="31" spans="1:7" x14ac:dyDescent="0.25">
      <c r="A31" s="8">
        <v>42634.262314814812</v>
      </c>
      <c r="B31" s="23" t="s">
        <v>327</v>
      </c>
      <c r="C31" s="23" t="s">
        <v>427</v>
      </c>
      <c r="D31" s="23">
        <v>1190000</v>
      </c>
      <c r="E31" s="23" t="s">
        <v>291</v>
      </c>
      <c r="F31" s="23" t="str">
        <f t="shared" si="0"/>
        <v>rtdc.l.rtdc.4015:itc</v>
      </c>
      <c r="G31" s="8">
        <f t="shared" si="1"/>
        <v>42634.262314814812</v>
      </c>
    </row>
    <row r="32" spans="1:7" x14ac:dyDescent="0.25">
      <c r="A32" s="8">
        <v>42634.268530092595</v>
      </c>
      <c r="B32" s="23" t="s">
        <v>181</v>
      </c>
      <c r="C32" s="23" t="s">
        <v>428</v>
      </c>
      <c r="D32" s="23">
        <v>2030000</v>
      </c>
      <c r="E32" s="23" t="s">
        <v>271</v>
      </c>
      <c r="F32" s="23" t="str">
        <f t="shared" si="0"/>
        <v>rtdc.l.rtdc.4046:itc</v>
      </c>
      <c r="G32" s="8">
        <f t="shared" si="1"/>
        <v>42634.268530092595</v>
      </c>
    </row>
    <row r="33" spans="1:7" x14ac:dyDescent="0.25">
      <c r="A33" s="8">
        <v>42634.273333333331</v>
      </c>
      <c r="B33" s="23" t="s">
        <v>295</v>
      </c>
      <c r="C33" s="23" t="s">
        <v>429</v>
      </c>
      <c r="D33" s="23">
        <v>1260000</v>
      </c>
      <c r="E33" s="23" t="s">
        <v>290</v>
      </c>
      <c r="F33" s="23" t="str">
        <f t="shared" si="0"/>
        <v>rtdc.l.rtdc.4008:itc</v>
      </c>
      <c r="G33" s="8">
        <f t="shared" si="1"/>
        <v>42634.273333333331</v>
      </c>
    </row>
    <row r="34" spans="1:7" x14ac:dyDescent="0.25">
      <c r="A34" s="8">
        <v>42634.27684027778</v>
      </c>
      <c r="B34" s="23" t="s">
        <v>430</v>
      </c>
      <c r="C34" s="23" t="s">
        <v>431</v>
      </c>
      <c r="D34" s="23">
        <v>1100000</v>
      </c>
      <c r="E34" s="23" t="s">
        <v>326</v>
      </c>
      <c r="F34" s="23" t="str">
        <f t="shared" si="0"/>
        <v>rtdc.l.rtdc.4037:itc</v>
      </c>
      <c r="G34" s="8">
        <f t="shared" si="1"/>
        <v>42634.27684027778</v>
      </c>
    </row>
    <row r="35" spans="1:7" x14ac:dyDescent="0.25">
      <c r="A35" s="8">
        <v>42634.278761574074</v>
      </c>
      <c r="B35" s="23" t="s">
        <v>165</v>
      </c>
      <c r="C35" s="23" t="s">
        <v>432</v>
      </c>
      <c r="D35" s="23">
        <v>900000</v>
      </c>
      <c r="E35" s="23" t="s">
        <v>328</v>
      </c>
      <c r="F35" s="23" t="str">
        <f t="shared" si="0"/>
        <v>rtdc.l.rtdc.4020:itc</v>
      </c>
      <c r="G35" s="8">
        <f t="shared" si="1"/>
        <v>42634.278761574074</v>
      </c>
    </row>
    <row r="36" spans="1:7" x14ac:dyDescent="0.25">
      <c r="A36" s="8">
        <v>42634.282349537039</v>
      </c>
      <c r="B36" s="23" t="s">
        <v>419</v>
      </c>
      <c r="C36" s="23" t="s">
        <v>433</v>
      </c>
      <c r="D36" s="23">
        <v>1110000</v>
      </c>
      <c r="E36" s="23" t="s">
        <v>281</v>
      </c>
      <c r="F36" s="23" t="str">
        <f t="shared" si="0"/>
        <v>rtdc.l.rtdc.4031:itc</v>
      </c>
      <c r="G36" s="8">
        <f t="shared" si="1"/>
        <v>42634.282349537039</v>
      </c>
    </row>
    <row r="37" spans="1:7" x14ac:dyDescent="0.25">
      <c r="A37" s="8">
        <v>42634.28497685185</v>
      </c>
      <c r="B37" s="23" t="s">
        <v>434</v>
      </c>
      <c r="C37" s="23" t="s">
        <v>435</v>
      </c>
      <c r="D37" s="23">
        <v>1760000</v>
      </c>
      <c r="E37" s="23" t="s">
        <v>406</v>
      </c>
      <c r="F37" s="23" t="str">
        <f t="shared" si="0"/>
        <v>rtdc.l.rtdc.4028:itc</v>
      </c>
      <c r="G37" s="8">
        <f t="shared" si="1"/>
        <v>42634.28497685185</v>
      </c>
    </row>
    <row r="38" spans="1:7" x14ac:dyDescent="0.25">
      <c r="A38" s="8">
        <v>42634.289571759262</v>
      </c>
      <c r="B38" s="23" t="s">
        <v>292</v>
      </c>
      <c r="C38" s="23" t="s">
        <v>436</v>
      </c>
      <c r="D38" s="23">
        <v>2010000</v>
      </c>
      <c r="E38" s="23" t="s">
        <v>400</v>
      </c>
      <c r="F38" s="23" t="str">
        <f t="shared" si="0"/>
        <v>rtdc.l.rtdc.4002:itc</v>
      </c>
      <c r="G38" s="8">
        <f t="shared" si="1"/>
        <v>42634.289571759262</v>
      </c>
    </row>
    <row r="39" spans="1:7" x14ac:dyDescent="0.25">
      <c r="A39" s="8">
        <v>42634.296053240738</v>
      </c>
      <c r="B39" s="23" t="s">
        <v>176</v>
      </c>
      <c r="C39" s="23" t="s">
        <v>437</v>
      </c>
      <c r="D39" s="23">
        <v>1090000</v>
      </c>
      <c r="E39" s="23" t="s">
        <v>293</v>
      </c>
      <c r="F39" s="23" t="str">
        <f t="shared" si="0"/>
        <v>rtdc.l.rtdc.4041:itc</v>
      </c>
      <c r="G39" s="8">
        <f t="shared" si="1"/>
        <v>42634.296053240738</v>
      </c>
    </row>
    <row r="40" spans="1:7" x14ac:dyDescent="0.25">
      <c r="A40" s="8">
        <v>42634.296539351853</v>
      </c>
      <c r="B40" s="28" t="s">
        <v>414</v>
      </c>
      <c r="C40" s="23" t="s">
        <v>438</v>
      </c>
      <c r="D40" s="23">
        <v>1110000</v>
      </c>
      <c r="E40" s="23" t="s">
        <v>281</v>
      </c>
      <c r="F40" s="23" t="str">
        <f t="shared" si="0"/>
        <v>rtdc.l.rtdc.4032:itc</v>
      </c>
      <c r="G40" s="8">
        <f t="shared" si="1"/>
        <v>42634.296539351853</v>
      </c>
    </row>
    <row r="41" spans="1:7" x14ac:dyDescent="0.25">
      <c r="A41" s="8">
        <v>42634.301099537035</v>
      </c>
      <c r="B41" s="23" t="s">
        <v>401</v>
      </c>
      <c r="C41" s="23" t="s">
        <v>439</v>
      </c>
      <c r="D41" s="23">
        <v>1190000</v>
      </c>
      <c r="E41" s="23" t="s">
        <v>291</v>
      </c>
      <c r="F41" s="23" t="str">
        <f t="shared" si="0"/>
        <v>rtdc.l.rtdc.4016:itc</v>
      </c>
      <c r="G41" s="8">
        <f t="shared" si="1"/>
        <v>42634.301099537035</v>
      </c>
    </row>
    <row r="42" spans="1:7" x14ac:dyDescent="0.25">
      <c r="A42" s="8">
        <v>42634.303726851853</v>
      </c>
      <c r="B42" s="23" t="s">
        <v>255</v>
      </c>
      <c r="C42" s="23" t="s">
        <v>440</v>
      </c>
      <c r="D42" s="23">
        <v>2030000</v>
      </c>
      <c r="E42" s="23" t="s">
        <v>271</v>
      </c>
      <c r="F42" s="23" t="str">
        <f t="shared" si="0"/>
        <v>rtdc.l.rtdc.4045:itc</v>
      </c>
      <c r="G42" s="8">
        <f t="shared" si="1"/>
        <v>42634.303726851853</v>
      </c>
    </row>
    <row r="43" spans="1:7" x14ac:dyDescent="0.25">
      <c r="A43" s="8">
        <v>42634.304444444446</v>
      </c>
      <c r="B43" s="23" t="s">
        <v>257</v>
      </c>
      <c r="C43" s="23" t="s">
        <v>441</v>
      </c>
      <c r="D43" s="23">
        <v>1100000</v>
      </c>
      <c r="E43" s="23" t="s">
        <v>326</v>
      </c>
      <c r="F43" s="23" t="str">
        <f t="shared" si="0"/>
        <v>rtdc.l.rtdc.4038:itc</v>
      </c>
      <c r="G43" s="8">
        <f t="shared" si="1"/>
        <v>42634.304444444446</v>
      </c>
    </row>
    <row r="44" spans="1:7" x14ac:dyDescent="0.25">
      <c r="A44" s="8">
        <v>42634.30846064815</v>
      </c>
      <c r="B44" s="23" t="s">
        <v>289</v>
      </c>
      <c r="C44" s="23" t="s">
        <v>442</v>
      </c>
      <c r="D44" s="23">
        <v>1260000</v>
      </c>
      <c r="E44" s="23" t="s">
        <v>290</v>
      </c>
      <c r="F44" s="23" t="str">
        <f t="shared" si="0"/>
        <v>rtdc.l.rtdc.4007:itc</v>
      </c>
      <c r="G44" s="8">
        <f t="shared" si="1"/>
        <v>42634.30846064815</v>
      </c>
    </row>
    <row r="45" spans="1:7" x14ac:dyDescent="0.25">
      <c r="A45" s="8">
        <v>42634.314259259256</v>
      </c>
      <c r="B45" s="23" t="s">
        <v>164</v>
      </c>
      <c r="C45" s="23" t="s">
        <v>443</v>
      </c>
      <c r="D45" s="23">
        <v>900000</v>
      </c>
      <c r="E45" s="23" t="s">
        <v>328</v>
      </c>
      <c r="F45" s="23" t="str">
        <f t="shared" si="0"/>
        <v>rtdc.l.rtdc.4019:itc</v>
      </c>
      <c r="G45" s="8">
        <f t="shared" si="1"/>
        <v>42634.314259259256</v>
      </c>
    </row>
    <row r="46" spans="1:7" x14ac:dyDescent="0.25">
      <c r="A46" s="8">
        <v>42634.31758101852</v>
      </c>
      <c r="B46" s="23" t="s">
        <v>430</v>
      </c>
      <c r="C46" s="23" t="s">
        <v>444</v>
      </c>
      <c r="D46" s="23">
        <v>1100000</v>
      </c>
      <c r="E46" s="23" t="s">
        <v>326</v>
      </c>
      <c r="F46" s="23" t="str">
        <f t="shared" si="0"/>
        <v>rtdc.l.rtdc.4037:itc</v>
      </c>
      <c r="G46" s="8">
        <f t="shared" si="1"/>
        <v>42634.31758101852</v>
      </c>
    </row>
    <row r="47" spans="1:7" x14ac:dyDescent="0.25">
      <c r="A47" s="8">
        <v>42634.32130787037</v>
      </c>
      <c r="B47" s="23" t="s">
        <v>404</v>
      </c>
      <c r="C47" s="23" t="s">
        <v>445</v>
      </c>
      <c r="D47" s="23">
        <v>1760000</v>
      </c>
      <c r="E47" s="23" t="s">
        <v>406</v>
      </c>
      <c r="F47" s="23" t="str">
        <f t="shared" si="0"/>
        <v>rtdc.l.rtdc.4027:itc</v>
      </c>
      <c r="G47" s="8">
        <f t="shared" si="1"/>
        <v>42634.32130787037</v>
      </c>
    </row>
    <row r="48" spans="1:7" x14ac:dyDescent="0.25">
      <c r="A48" s="8">
        <v>42634.323518518519</v>
      </c>
      <c r="B48" s="23" t="s">
        <v>294</v>
      </c>
      <c r="C48" s="23" t="s">
        <v>446</v>
      </c>
      <c r="D48" s="23">
        <v>2010000</v>
      </c>
      <c r="E48" s="23" t="s">
        <v>400</v>
      </c>
      <c r="F48" s="23" t="str">
        <f t="shared" si="0"/>
        <v>rtdc.l.rtdc.4001:itc</v>
      </c>
      <c r="G48" s="8">
        <f t="shared" si="1"/>
        <v>42634.323518518519</v>
      </c>
    </row>
    <row r="49" spans="1:7" x14ac:dyDescent="0.25">
      <c r="A49" s="8">
        <v>42634.324212962965</v>
      </c>
      <c r="B49" s="23" t="s">
        <v>419</v>
      </c>
      <c r="C49" s="23" t="s">
        <v>447</v>
      </c>
      <c r="D49" s="23">
        <v>1110000</v>
      </c>
      <c r="E49" s="23" t="s">
        <v>281</v>
      </c>
      <c r="F49" s="23" t="str">
        <f t="shared" si="0"/>
        <v>rtdc.l.rtdc.4031:itc</v>
      </c>
      <c r="G49" s="8">
        <f t="shared" si="1"/>
        <v>42634.324212962965</v>
      </c>
    </row>
    <row r="50" spans="1:7" x14ac:dyDescent="0.25">
      <c r="A50" s="8">
        <v>42634.330671296295</v>
      </c>
      <c r="B50" s="23" t="s">
        <v>178</v>
      </c>
      <c r="C50" s="23" t="s">
        <v>448</v>
      </c>
      <c r="D50" s="23">
        <v>1090000</v>
      </c>
      <c r="E50" s="23" t="s">
        <v>293</v>
      </c>
      <c r="F50" s="23" t="str">
        <f t="shared" si="0"/>
        <v>rtdc.l.rtdc.4042:itc</v>
      </c>
      <c r="G50" s="8">
        <f t="shared" si="1"/>
        <v>42634.330671296295</v>
      </c>
    </row>
    <row r="51" spans="1:7" x14ac:dyDescent="0.25">
      <c r="A51" s="8">
        <v>42634.336504629631</v>
      </c>
      <c r="B51" s="23" t="s">
        <v>327</v>
      </c>
      <c r="C51" s="23" t="s">
        <v>449</v>
      </c>
      <c r="D51" s="23">
        <v>1190000</v>
      </c>
      <c r="E51" s="23" t="s">
        <v>291</v>
      </c>
      <c r="F51" s="23" t="str">
        <f t="shared" si="0"/>
        <v>rtdc.l.rtdc.4015:itc</v>
      </c>
      <c r="G51" s="8">
        <f t="shared" si="1"/>
        <v>42634.336504629631</v>
      </c>
    </row>
    <row r="52" spans="1:7" x14ac:dyDescent="0.25">
      <c r="A52" s="8">
        <v>42634.338969907411</v>
      </c>
      <c r="B52" s="23" t="s">
        <v>414</v>
      </c>
      <c r="C52" s="23" t="s">
        <v>450</v>
      </c>
      <c r="D52" s="23">
        <v>1110000</v>
      </c>
      <c r="E52" s="23" t="s">
        <v>281</v>
      </c>
      <c r="F52" s="23" t="str">
        <f t="shared" si="0"/>
        <v>rtdc.l.rtdc.4032:itc</v>
      </c>
      <c r="G52" s="8">
        <f t="shared" si="1"/>
        <v>42634.338969907411</v>
      </c>
    </row>
    <row r="53" spans="1:7" x14ac:dyDescent="0.25">
      <c r="A53" s="8">
        <v>42634.339722222219</v>
      </c>
      <c r="B53" s="23" t="s">
        <v>181</v>
      </c>
      <c r="C53" s="23" t="s">
        <v>451</v>
      </c>
      <c r="D53" s="23">
        <v>2030000</v>
      </c>
      <c r="E53" s="23" t="s">
        <v>271</v>
      </c>
      <c r="F53" s="23" t="str">
        <f t="shared" si="0"/>
        <v>rtdc.l.rtdc.4046:itc</v>
      </c>
      <c r="G53" s="8">
        <f t="shared" si="1"/>
        <v>42634.339722222219</v>
      </c>
    </row>
    <row r="54" spans="1:7" x14ac:dyDescent="0.25">
      <c r="A54" s="8">
        <v>42634.346898148149</v>
      </c>
      <c r="B54" s="23" t="s">
        <v>295</v>
      </c>
      <c r="C54" s="23" t="s">
        <v>452</v>
      </c>
      <c r="D54" s="23">
        <v>1260000</v>
      </c>
      <c r="E54" s="23" t="s">
        <v>290</v>
      </c>
      <c r="F54" s="23" t="str">
        <f t="shared" si="0"/>
        <v>rtdc.l.rtdc.4008:itc</v>
      </c>
      <c r="G54" s="8">
        <f t="shared" si="1"/>
        <v>42634.346898148149</v>
      </c>
    </row>
    <row r="55" spans="1:7" x14ac:dyDescent="0.25">
      <c r="A55" s="8">
        <v>42634.351504629631</v>
      </c>
      <c r="B55" s="23" t="s">
        <v>242</v>
      </c>
      <c r="C55" s="23" t="s">
        <v>453</v>
      </c>
      <c r="D55" s="23">
        <v>1100000</v>
      </c>
      <c r="E55" s="23" t="s">
        <v>326</v>
      </c>
      <c r="F55" s="23" t="str">
        <f t="shared" si="0"/>
        <v>rtdc.l.rtdc.4044:itc</v>
      </c>
      <c r="G55" s="8">
        <f t="shared" si="1"/>
        <v>42634.351504629631</v>
      </c>
    </row>
    <row r="56" spans="1:7" x14ac:dyDescent="0.25">
      <c r="A56" s="8">
        <v>42634.352627314816</v>
      </c>
      <c r="B56" s="23" t="s">
        <v>242</v>
      </c>
      <c r="C56" s="23" t="s">
        <v>453</v>
      </c>
      <c r="D56" s="23">
        <v>1100000</v>
      </c>
      <c r="E56" s="23" t="s">
        <v>326</v>
      </c>
      <c r="F56" s="23" t="str">
        <f t="shared" si="0"/>
        <v>rtdc.l.rtdc.4044:itc</v>
      </c>
      <c r="G56" s="8">
        <f t="shared" si="1"/>
        <v>42634.352627314816</v>
      </c>
    </row>
    <row r="57" spans="1:7" x14ac:dyDescent="0.25">
      <c r="A57" s="8">
        <v>42634.355624999997</v>
      </c>
      <c r="B57" s="23" t="s">
        <v>165</v>
      </c>
      <c r="C57" s="23" t="s">
        <v>454</v>
      </c>
      <c r="D57" s="23">
        <v>900000</v>
      </c>
      <c r="E57" s="23" t="s">
        <v>328</v>
      </c>
      <c r="F57" s="23" t="str">
        <f t="shared" si="0"/>
        <v>rtdc.l.rtdc.4020:itc</v>
      </c>
      <c r="G57" s="8">
        <f t="shared" si="1"/>
        <v>42634.355624999997</v>
      </c>
    </row>
    <row r="58" spans="1:7" x14ac:dyDescent="0.25">
      <c r="A58" s="8">
        <v>42634.357835648145</v>
      </c>
      <c r="B58" s="23" t="s">
        <v>419</v>
      </c>
      <c r="C58" s="23" t="s">
        <v>455</v>
      </c>
      <c r="D58" s="23">
        <v>1110000</v>
      </c>
      <c r="E58" s="23" t="s">
        <v>281</v>
      </c>
      <c r="F58" s="23" t="str">
        <f t="shared" si="0"/>
        <v>rtdc.l.rtdc.4031:itc</v>
      </c>
      <c r="G58" s="8">
        <f t="shared" si="1"/>
        <v>42634.357835648145</v>
      </c>
    </row>
    <row r="59" spans="1:7" x14ac:dyDescent="0.25">
      <c r="A59" s="8">
        <v>42634.359409722223</v>
      </c>
      <c r="B59" s="23" t="s">
        <v>434</v>
      </c>
      <c r="C59" s="23" t="s">
        <v>456</v>
      </c>
      <c r="D59" s="23">
        <v>1760000</v>
      </c>
      <c r="E59" s="23" t="s">
        <v>406</v>
      </c>
      <c r="F59" s="23" t="str">
        <f t="shared" si="0"/>
        <v>rtdc.l.rtdc.4028:itc</v>
      </c>
      <c r="G59" s="8">
        <f t="shared" si="1"/>
        <v>42634.359409722223</v>
      </c>
    </row>
    <row r="60" spans="1:7" x14ac:dyDescent="0.25">
      <c r="A60" s="8">
        <v>42634.359525462962</v>
      </c>
      <c r="B60" s="23" t="s">
        <v>165</v>
      </c>
      <c r="C60" s="23" t="s">
        <v>454</v>
      </c>
      <c r="D60" s="23">
        <v>900000</v>
      </c>
      <c r="E60" s="23" t="s">
        <v>328</v>
      </c>
      <c r="F60" s="23" t="str">
        <f t="shared" si="0"/>
        <v>rtdc.l.rtdc.4020:itc</v>
      </c>
      <c r="G60" s="8">
        <f t="shared" si="1"/>
        <v>42634.359525462962</v>
      </c>
    </row>
    <row r="61" spans="1:7" x14ac:dyDescent="0.25">
      <c r="A61" s="8">
        <v>42634.363310185188</v>
      </c>
      <c r="B61" s="23" t="s">
        <v>292</v>
      </c>
      <c r="C61" s="23" t="s">
        <v>457</v>
      </c>
      <c r="D61" s="23">
        <v>1360000</v>
      </c>
      <c r="E61" s="23" t="s">
        <v>458</v>
      </c>
      <c r="F61" s="23" t="str">
        <f t="shared" si="0"/>
        <v>rtdc.l.rtdc.4002:itc</v>
      </c>
      <c r="G61" s="8">
        <f t="shared" si="1"/>
        <v>42634.363310185188</v>
      </c>
    </row>
    <row r="62" spans="1:7" x14ac:dyDescent="0.25">
      <c r="A62" s="8">
        <v>42634.364120370374</v>
      </c>
      <c r="B62" s="23" t="s">
        <v>243</v>
      </c>
      <c r="C62" s="23" t="s">
        <v>459</v>
      </c>
      <c r="D62" s="23">
        <v>1100000</v>
      </c>
      <c r="E62" s="23" t="s">
        <v>326</v>
      </c>
      <c r="F62" s="23" t="str">
        <f t="shared" si="0"/>
        <v>rtdc.l.rtdc.4043:itc</v>
      </c>
      <c r="G62" s="8">
        <f t="shared" si="1"/>
        <v>42634.364120370374</v>
      </c>
    </row>
    <row r="63" spans="1:7" x14ac:dyDescent="0.25">
      <c r="A63" s="8">
        <v>42634.369050925925</v>
      </c>
      <c r="B63" s="23" t="s">
        <v>176</v>
      </c>
      <c r="C63" s="23" t="s">
        <v>460</v>
      </c>
      <c r="D63" s="23">
        <v>1090000</v>
      </c>
      <c r="E63" s="23" t="s">
        <v>293</v>
      </c>
      <c r="F63" s="23" t="str">
        <f t="shared" si="0"/>
        <v>rtdc.l.rtdc.4041:itc</v>
      </c>
      <c r="G63" s="8">
        <f t="shared" si="1"/>
        <v>42634.369050925925</v>
      </c>
    </row>
    <row r="64" spans="1:7" x14ac:dyDescent="0.25">
      <c r="A64" s="29">
        <v>42634.37703703704</v>
      </c>
      <c r="B64" s="23" t="s">
        <v>255</v>
      </c>
      <c r="C64" s="23" t="s">
        <v>461</v>
      </c>
      <c r="D64" s="23">
        <v>2030000</v>
      </c>
      <c r="E64" s="23" t="s">
        <v>271</v>
      </c>
      <c r="F64" s="23" t="str">
        <f t="shared" si="0"/>
        <v>rtdc.l.rtdc.4045:itc</v>
      </c>
      <c r="G64" s="8">
        <f t="shared" si="1"/>
        <v>42634.37703703704</v>
      </c>
    </row>
    <row r="65" spans="1:7" x14ac:dyDescent="0.25">
      <c r="A65" s="8">
        <v>42634.377187500002</v>
      </c>
      <c r="B65" s="23" t="s">
        <v>401</v>
      </c>
      <c r="C65" s="23" t="s">
        <v>462</v>
      </c>
      <c r="D65" s="23">
        <v>1190000</v>
      </c>
      <c r="E65" s="23" t="s">
        <v>291</v>
      </c>
      <c r="F65" s="23" t="str">
        <f t="shared" si="0"/>
        <v>rtdc.l.rtdc.4016:itc</v>
      </c>
      <c r="G65" s="8">
        <f t="shared" si="1"/>
        <v>42634.377187500002</v>
      </c>
    </row>
    <row r="66" spans="1:7" x14ac:dyDescent="0.25">
      <c r="A66" s="8">
        <v>42634.384270833332</v>
      </c>
      <c r="B66" s="23" t="s">
        <v>289</v>
      </c>
      <c r="C66" s="23" t="s">
        <v>463</v>
      </c>
      <c r="D66" s="23">
        <v>1260000</v>
      </c>
      <c r="E66" s="23" t="s">
        <v>290</v>
      </c>
      <c r="F66" s="23" t="str">
        <f t="shared" ref="F66:F129" si="2">B66</f>
        <v>rtdc.l.rtdc.4007:itc</v>
      </c>
      <c r="G66" s="8">
        <f t="shared" ref="G66:G129" si="3">A66</f>
        <v>42634.384270833332</v>
      </c>
    </row>
    <row r="67" spans="1:7" x14ac:dyDescent="0.25">
      <c r="A67" s="8">
        <v>42634.387858796297</v>
      </c>
      <c r="B67" s="23" t="s">
        <v>242</v>
      </c>
      <c r="C67" s="23" t="s">
        <v>464</v>
      </c>
      <c r="D67" s="23">
        <v>1100000</v>
      </c>
      <c r="E67" s="23" t="s">
        <v>326</v>
      </c>
      <c r="F67" s="23" t="str">
        <f t="shared" si="2"/>
        <v>rtdc.l.rtdc.4044:itc</v>
      </c>
      <c r="G67" s="8">
        <f t="shared" si="3"/>
        <v>42634.387858796297</v>
      </c>
    </row>
    <row r="68" spans="1:7" x14ac:dyDescent="0.25">
      <c r="A68" s="8">
        <v>42634.389710648145</v>
      </c>
      <c r="B68" s="23" t="s">
        <v>164</v>
      </c>
      <c r="C68" s="23" t="s">
        <v>465</v>
      </c>
      <c r="D68" s="23">
        <v>900000</v>
      </c>
      <c r="E68" s="23" t="s">
        <v>328</v>
      </c>
      <c r="F68" s="23" t="str">
        <f t="shared" si="2"/>
        <v>rtdc.l.rtdc.4019:itc</v>
      </c>
      <c r="G68" s="8">
        <f t="shared" si="3"/>
        <v>42634.389710648145</v>
      </c>
    </row>
    <row r="69" spans="1:7" x14ac:dyDescent="0.25">
      <c r="A69" s="8">
        <v>42634.393240740741</v>
      </c>
      <c r="B69" s="23" t="s">
        <v>294</v>
      </c>
      <c r="C69" s="23" t="s">
        <v>466</v>
      </c>
      <c r="D69" s="23">
        <v>1360000</v>
      </c>
      <c r="E69" s="23" t="s">
        <v>458</v>
      </c>
      <c r="F69" s="23" t="str">
        <f t="shared" si="2"/>
        <v>rtdc.l.rtdc.4001:itc</v>
      </c>
      <c r="G69" s="8">
        <f t="shared" si="3"/>
        <v>42634.393240740741</v>
      </c>
    </row>
    <row r="70" spans="1:7" x14ac:dyDescent="0.25">
      <c r="A70" s="8">
        <v>42634.396782407406</v>
      </c>
      <c r="B70" s="23" t="s">
        <v>404</v>
      </c>
      <c r="C70" s="23" t="s">
        <v>467</v>
      </c>
      <c r="D70" s="23">
        <v>1760000</v>
      </c>
      <c r="E70" s="23" t="s">
        <v>406</v>
      </c>
      <c r="F70" s="23" t="str">
        <f t="shared" si="2"/>
        <v>rtdc.l.rtdc.4027:itc</v>
      </c>
      <c r="G70" s="8">
        <f t="shared" si="3"/>
        <v>42634.396782407406</v>
      </c>
    </row>
    <row r="71" spans="1:7" x14ac:dyDescent="0.25">
      <c r="A71" s="8">
        <v>42634.402349537035</v>
      </c>
      <c r="B71" s="23" t="s">
        <v>243</v>
      </c>
      <c r="C71" s="23" t="s">
        <v>468</v>
      </c>
      <c r="D71" s="23">
        <v>1100000</v>
      </c>
      <c r="E71" s="23" t="s">
        <v>326</v>
      </c>
      <c r="F71" s="23" t="str">
        <f t="shared" si="2"/>
        <v>rtdc.l.rtdc.4043:itc</v>
      </c>
      <c r="G71" s="8">
        <f t="shared" si="3"/>
        <v>42634.402349537035</v>
      </c>
    </row>
    <row r="72" spans="1:7" x14ac:dyDescent="0.25">
      <c r="A72" s="8">
        <v>42634.403414351851</v>
      </c>
      <c r="B72" s="23" t="s">
        <v>178</v>
      </c>
      <c r="C72" s="23" t="s">
        <v>469</v>
      </c>
      <c r="D72" s="23">
        <v>1090000</v>
      </c>
      <c r="E72" s="23" t="s">
        <v>293</v>
      </c>
      <c r="F72" s="23" t="str">
        <f t="shared" si="2"/>
        <v>rtdc.l.rtdc.4042:itc</v>
      </c>
      <c r="G72" s="8">
        <f t="shared" si="3"/>
        <v>42634.403414351851</v>
      </c>
    </row>
    <row r="73" spans="1:7" x14ac:dyDescent="0.25">
      <c r="A73" s="8">
        <v>42634.405416666668</v>
      </c>
      <c r="B73" s="23" t="s">
        <v>164</v>
      </c>
      <c r="C73" s="23" t="s">
        <v>465</v>
      </c>
      <c r="D73" s="23">
        <v>900000</v>
      </c>
      <c r="E73" s="23" t="s">
        <v>328</v>
      </c>
      <c r="F73" s="23" t="str">
        <f t="shared" si="2"/>
        <v>rtdc.l.rtdc.4019:itc</v>
      </c>
      <c r="G73" s="8">
        <f t="shared" si="3"/>
        <v>42634.405416666668</v>
      </c>
    </row>
    <row r="74" spans="1:7" x14ac:dyDescent="0.25">
      <c r="A74" s="8">
        <v>42634.409548611111</v>
      </c>
      <c r="B74" s="23" t="s">
        <v>327</v>
      </c>
      <c r="C74" s="23" t="s">
        <v>470</v>
      </c>
      <c r="D74" s="23">
        <v>1190000</v>
      </c>
      <c r="E74" s="23" t="s">
        <v>291</v>
      </c>
      <c r="F74" s="23" t="str">
        <f t="shared" si="2"/>
        <v>rtdc.l.rtdc.4015:itc</v>
      </c>
      <c r="G74" s="8">
        <f t="shared" si="3"/>
        <v>42634.409548611111</v>
      </c>
    </row>
    <row r="75" spans="1:7" x14ac:dyDescent="0.25">
      <c r="A75" s="8">
        <v>42634.415300925924</v>
      </c>
      <c r="B75" s="23" t="s">
        <v>181</v>
      </c>
      <c r="C75" s="23" t="s">
        <v>461</v>
      </c>
      <c r="D75" s="23">
        <v>2030000</v>
      </c>
      <c r="E75" s="23" t="s">
        <v>271</v>
      </c>
      <c r="F75" s="23" t="str">
        <f t="shared" si="2"/>
        <v>rtdc.l.rtdc.4046:itc</v>
      </c>
      <c r="G75" s="8">
        <f t="shared" si="3"/>
        <v>42634.415300925924</v>
      </c>
    </row>
    <row r="76" spans="1:7" x14ac:dyDescent="0.25">
      <c r="A76" s="8">
        <v>42634.416284722225</v>
      </c>
      <c r="B76" s="23" t="s">
        <v>181</v>
      </c>
      <c r="C76" s="23" t="s">
        <v>471</v>
      </c>
      <c r="D76" s="23">
        <v>2030000</v>
      </c>
      <c r="E76" s="23" t="s">
        <v>271</v>
      </c>
      <c r="F76" s="23" t="str">
        <f t="shared" si="2"/>
        <v>rtdc.l.rtdc.4046:itc</v>
      </c>
      <c r="G76" s="8">
        <f t="shared" si="3"/>
        <v>42634.416284722225</v>
      </c>
    </row>
    <row r="77" spans="1:7" x14ac:dyDescent="0.25">
      <c r="A77" s="8">
        <v>42634.418715277781</v>
      </c>
      <c r="B77" s="23" t="s">
        <v>295</v>
      </c>
      <c r="C77" s="23" t="s">
        <v>472</v>
      </c>
      <c r="D77" s="23">
        <v>1260000</v>
      </c>
      <c r="E77" s="23" t="s">
        <v>290</v>
      </c>
      <c r="F77" s="23" t="str">
        <f t="shared" si="2"/>
        <v>rtdc.l.rtdc.4008:itc</v>
      </c>
      <c r="G77" s="8">
        <f t="shared" si="3"/>
        <v>42634.418715277781</v>
      </c>
    </row>
    <row r="78" spans="1:7" x14ac:dyDescent="0.25">
      <c r="A78" s="8">
        <v>42634.426516203705</v>
      </c>
      <c r="B78" s="23" t="s">
        <v>165</v>
      </c>
      <c r="C78" s="23" t="s">
        <v>473</v>
      </c>
      <c r="D78" s="23">
        <v>900000</v>
      </c>
      <c r="E78" s="23" t="s">
        <v>328</v>
      </c>
      <c r="F78" s="23" t="str">
        <f t="shared" si="2"/>
        <v>rtdc.l.rtdc.4020:itc</v>
      </c>
      <c r="G78" s="8">
        <f t="shared" si="3"/>
        <v>42634.426516203705</v>
      </c>
    </row>
    <row r="79" spans="1:7" x14ac:dyDescent="0.25">
      <c r="A79" s="8">
        <v>42634.430069444446</v>
      </c>
      <c r="B79" s="23" t="s">
        <v>242</v>
      </c>
      <c r="C79" s="23" t="s">
        <v>474</v>
      </c>
      <c r="D79" s="23">
        <v>1100000</v>
      </c>
      <c r="E79" s="23" t="s">
        <v>326</v>
      </c>
      <c r="F79" s="23" t="str">
        <f t="shared" si="2"/>
        <v>rtdc.l.rtdc.4044:itc</v>
      </c>
      <c r="G79" s="8">
        <f t="shared" si="3"/>
        <v>42634.430069444446</v>
      </c>
    </row>
    <row r="80" spans="1:7" x14ac:dyDescent="0.25">
      <c r="A80" s="8">
        <v>42634.432060185187</v>
      </c>
      <c r="B80" s="23" t="s">
        <v>434</v>
      </c>
      <c r="C80" s="23" t="s">
        <v>475</v>
      </c>
      <c r="D80" s="23">
        <v>1760000</v>
      </c>
      <c r="E80" s="23" t="s">
        <v>406</v>
      </c>
      <c r="F80" s="23" t="str">
        <f t="shared" si="2"/>
        <v>rtdc.l.rtdc.4028:itc</v>
      </c>
      <c r="G80" s="8">
        <f t="shared" si="3"/>
        <v>42634.432060185187</v>
      </c>
    </row>
    <row r="81" spans="1:7" x14ac:dyDescent="0.25">
      <c r="A81" s="8">
        <v>42634.440474537034</v>
      </c>
      <c r="B81" s="23" t="s">
        <v>292</v>
      </c>
      <c r="C81" s="23" t="s">
        <v>476</v>
      </c>
      <c r="D81" s="23">
        <v>1110000</v>
      </c>
      <c r="E81" s="23" t="s">
        <v>281</v>
      </c>
      <c r="F81" s="23" t="str">
        <f t="shared" si="2"/>
        <v>rtdc.l.rtdc.4002:itc</v>
      </c>
      <c r="G81" s="8">
        <f t="shared" si="3"/>
        <v>42634.440474537034</v>
      </c>
    </row>
    <row r="82" spans="1:7" x14ac:dyDescent="0.25">
      <c r="A82" s="8">
        <v>42634.442094907405</v>
      </c>
      <c r="B82" s="23" t="s">
        <v>176</v>
      </c>
      <c r="C82" s="23" t="s">
        <v>477</v>
      </c>
      <c r="D82" s="23">
        <v>1090000</v>
      </c>
      <c r="E82" s="23" t="s">
        <v>293</v>
      </c>
      <c r="F82" s="23" t="str">
        <f t="shared" si="2"/>
        <v>rtdc.l.rtdc.4041:itc</v>
      </c>
      <c r="G82" s="8">
        <f t="shared" si="3"/>
        <v>42634.442094907405</v>
      </c>
    </row>
    <row r="83" spans="1:7" x14ac:dyDescent="0.25">
      <c r="A83" s="8">
        <v>42634.443564814814</v>
      </c>
      <c r="B83" s="23" t="s">
        <v>243</v>
      </c>
      <c r="C83" s="23" t="s">
        <v>478</v>
      </c>
      <c r="D83" s="23">
        <v>1100000</v>
      </c>
      <c r="E83" s="23" t="s">
        <v>326</v>
      </c>
      <c r="F83" s="23" t="str">
        <f t="shared" si="2"/>
        <v>rtdc.l.rtdc.4043:itc</v>
      </c>
      <c r="G83" s="8">
        <f t="shared" si="3"/>
        <v>42634.443564814814</v>
      </c>
    </row>
    <row r="84" spans="1:7" x14ac:dyDescent="0.25">
      <c r="A84" s="8">
        <v>42634.4453125</v>
      </c>
      <c r="B84" s="23" t="s">
        <v>401</v>
      </c>
      <c r="C84" s="23" t="s">
        <v>479</v>
      </c>
      <c r="D84" s="23">
        <v>1190000</v>
      </c>
      <c r="E84" s="23" t="s">
        <v>291</v>
      </c>
      <c r="F84" s="23" t="str">
        <f t="shared" si="2"/>
        <v>rtdc.l.rtdc.4016:itc</v>
      </c>
      <c r="G84" s="8">
        <f t="shared" si="3"/>
        <v>42634.4453125</v>
      </c>
    </row>
    <row r="85" spans="1:7" x14ac:dyDescent="0.25">
      <c r="A85" s="8">
        <v>42634.447083333333</v>
      </c>
      <c r="B85" s="23" t="s">
        <v>255</v>
      </c>
      <c r="C85" s="23" t="s">
        <v>480</v>
      </c>
      <c r="D85" s="23">
        <v>2030000</v>
      </c>
      <c r="E85" s="23" t="s">
        <v>271</v>
      </c>
      <c r="F85" s="23" t="str">
        <f t="shared" si="2"/>
        <v>rtdc.l.rtdc.4045:itc</v>
      </c>
      <c r="G85" s="8">
        <f t="shared" si="3"/>
        <v>42634.447083333333</v>
      </c>
    </row>
    <row r="86" spans="1:7" x14ac:dyDescent="0.25">
      <c r="A86" s="8">
        <v>42634.453136574077</v>
      </c>
      <c r="B86" s="23" t="s">
        <v>334</v>
      </c>
      <c r="C86" s="23" t="s">
        <v>481</v>
      </c>
      <c r="D86" s="23">
        <v>1540000</v>
      </c>
      <c r="E86" s="23" t="s">
        <v>331</v>
      </c>
      <c r="F86" s="23" t="str">
        <f t="shared" si="2"/>
        <v>rtdc.l.rtdc.4005:itc</v>
      </c>
      <c r="G86" s="8">
        <f t="shared" si="3"/>
        <v>42634.453136574077</v>
      </c>
    </row>
    <row r="87" spans="1:7" x14ac:dyDescent="0.25">
      <c r="A87" s="8">
        <v>42634.454895833333</v>
      </c>
      <c r="B87" s="23" t="s">
        <v>334</v>
      </c>
      <c r="C87" s="23" t="s">
        <v>481</v>
      </c>
      <c r="D87" s="23">
        <v>1540000</v>
      </c>
      <c r="E87" s="23" t="s">
        <v>331</v>
      </c>
      <c r="F87" s="23" t="str">
        <f t="shared" si="2"/>
        <v>rtdc.l.rtdc.4005:itc</v>
      </c>
      <c r="G87" s="8">
        <f t="shared" si="3"/>
        <v>42634.454895833333</v>
      </c>
    </row>
    <row r="88" spans="1:7" x14ac:dyDescent="0.25">
      <c r="A88" s="8">
        <v>42634.459247685183</v>
      </c>
      <c r="B88" s="23" t="s">
        <v>334</v>
      </c>
      <c r="C88" s="23" t="s">
        <v>481</v>
      </c>
      <c r="D88" s="23">
        <v>1540000</v>
      </c>
      <c r="E88" s="23" t="s">
        <v>331</v>
      </c>
      <c r="F88" s="23" t="str">
        <f t="shared" si="2"/>
        <v>rtdc.l.rtdc.4005:itc</v>
      </c>
      <c r="G88" s="8">
        <f t="shared" si="3"/>
        <v>42634.459247685183</v>
      </c>
    </row>
    <row r="89" spans="1:7" x14ac:dyDescent="0.25">
      <c r="A89" s="8">
        <v>42634.459444444445</v>
      </c>
      <c r="B89" s="23" t="s">
        <v>289</v>
      </c>
      <c r="C89" s="23" t="s">
        <v>482</v>
      </c>
      <c r="D89" s="23">
        <v>1300000</v>
      </c>
      <c r="E89" s="23" t="s">
        <v>121</v>
      </c>
      <c r="F89" s="23" t="str">
        <f t="shared" si="2"/>
        <v>rtdc.l.rtdc.4007:itc</v>
      </c>
      <c r="G89" s="8">
        <f t="shared" si="3"/>
        <v>42634.459444444445</v>
      </c>
    </row>
    <row r="90" spans="1:7" x14ac:dyDescent="0.25">
      <c r="A90" s="8">
        <v>42634.461215277777</v>
      </c>
      <c r="B90" s="23" t="s">
        <v>289</v>
      </c>
      <c r="C90" s="23" t="s">
        <v>482</v>
      </c>
      <c r="D90" s="23">
        <v>940000</v>
      </c>
      <c r="E90" s="23" t="s">
        <v>297</v>
      </c>
      <c r="F90" s="23" t="str">
        <f t="shared" si="2"/>
        <v>rtdc.l.rtdc.4007:itc</v>
      </c>
      <c r="G90" s="8">
        <f t="shared" si="3"/>
        <v>42634.461215277777</v>
      </c>
    </row>
    <row r="91" spans="1:7" x14ac:dyDescent="0.25">
      <c r="A91" s="8">
        <v>42634.462164351855</v>
      </c>
      <c r="B91" s="23" t="s">
        <v>242</v>
      </c>
      <c r="C91" s="23" t="s">
        <v>483</v>
      </c>
      <c r="D91" s="23">
        <v>1100000</v>
      </c>
      <c r="E91" s="23" t="s">
        <v>326</v>
      </c>
      <c r="F91" s="23" t="str">
        <f t="shared" si="2"/>
        <v>rtdc.l.rtdc.4044:itc</v>
      </c>
      <c r="G91" s="8">
        <f t="shared" si="3"/>
        <v>42634.462164351855</v>
      </c>
    </row>
    <row r="92" spans="1:7" x14ac:dyDescent="0.25">
      <c r="A92" s="8">
        <v>42634.464189814818</v>
      </c>
      <c r="B92" s="23" t="s">
        <v>164</v>
      </c>
      <c r="C92" s="23" t="s">
        <v>484</v>
      </c>
      <c r="D92" s="23">
        <v>900000</v>
      </c>
      <c r="E92" s="23" t="s">
        <v>328</v>
      </c>
      <c r="F92" s="23" t="str">
        <f t="shared" si="2"/>
        <v>rtdc.l.rtdc.4019:itc</v>
      </c>
      <c r="G92" s="8">
        <f t="shared" si="3"/>
        <v>42634.464189814818</v>
      </c>
    </row>
    <row r="93" spans="1:7" x14ac:dyDescent="0.25">
      <c r="A93" s="8">
        <v>42634.466724537036</v>
      </c>
      <c r="B93" s="23" t="s">
        <v>257</v>
      </c>
      <c r="C93" s="23" t="s">
        <v>485</v>
      </c>
      <c r="D93" s="23">
        <v>2000000</v>
      </c>
      <c r="E93" s="23" t="s">
        <v>122</v>
      </c>
      <c r="F93" s="23" t="str">
        <f t="shared" si="2"/>
        <v>rtdc.l.rtdc.4038:itc</v>
      </c>
      <c r="G93" s="8">
        <f t="shared" si="3"/>
        <v>42634.466724537036</v>
      </c>
    </row>
    <row r="94" spans="1:7" x14ac:dyDescent="0.25">
      <c r="A94" s="8">
        <v>42634.467499999999</v>
      </c>
      <c r="B94" s="23" t="s">
        <v>404</v>
      </c>
      <c r="C94" s="23" t="s">
        <v>486</v>
      </c>
      <c r="D94" s="23">
        <v>1280000</v>
      </c>
      <c r="E94" s="23" t="s">
        <v>273</v>
      </c>
      <c r="F94" s="23" t="str">
        <f t="shared" si="2"/>
        <v>rtdc.l.rtdc.4027:itc</v>
      </c>
      <c r="G94" s="8">
        <f t="shared" si="3"/>
        <v>42634.467499999999</v>
      </c>
    </row>
    <row r="95" spans="1:7" x14ac:dyDescent="0.25">
      <c r="A95" s="8">
        <v>42634.471770833334</v>
      </c>
      <c r="B95" s="23" t="s">
        <v>330</v>
      </c>
      <c r="C95" s="23" t="s">
        <v>487</v>
      </c>
      <c r="D95" s="23">
        <v>1760000</v>
      </c>
      <c r="E95" s="23" t="s">
        <v>406</v>
      </c>
      <c r="F95" s="23" t="str">
        <f t="shared" si="2"/>
        <v>rtdc.l.rtdc.4022:itc</v>
      </c>
      <c r="G95" s="8">
        <f t="shared" si="3"/>
        <v>42634.471770833334</v>
      </c>
    </row>
    <row r="96" spans="1:7" x14ac:dyDescent="0.25">
      <c r="A96" s="8">
        <v>42634.47824074074</v>
      </c>
      <c r="B96" s="23" t="s">
        <v>294</v>
      </c>
      <c r="C96" s="23" t="s">
        <v>488</v>
      </c>
      <c r="D96" s="23">
        <v>1110000</v>
      </c>
      <c r="E96" s="23" t="s">
        <v>281</v>
      </c>
      <c r="F96" s="23" t="str">
        <f t="shared" si="2"/>
        <v>rtdc.l.rtdc.4001:itc</v>
      </c>
      <c r="G96" s="8">
        <f t="shared" si="3"/>
        <v>42634.47824074074</v>
      </c>
    </row>
    <row r="97" spans="1:7" x14ac:dyDescent="0.25">
      <c r="A97" s="8">
        <v>42634.47859953704</v>
      </c>
      <c r="B97" s="23" t="s">
        <v>171</v>
      </c>
      <c r="C97" s="23" t="s">
        <v>489</v>
      </c>
      <c r="D97" s="23">
        <v>0</v>
      </c>
      <c r="E97" s="23" t="s">
        <v>490</v>
      </c>
      <c r="F97" s="23" t="str">
        <f t="shared" si="2"/>
        <v>rtdc.l.rtdc.4025:itc</v>
      </c>
      <c r="G97" s="8">
        <f t="shared" si="3"/>
        <v>42634.47859953704</v>
      </c>
    </row>
    <row r="98" spans="1:7" x14ac:dyDescent="0.25">
      <c r="A98" s="8">
        <v>42634.479560185187</v>
      </c>
      <c r="B98" s="23" t="s">
        <v>178</v>
      </c>
      <c r="C98" s="23" t="s">
        <v>491</v>
      </c>
      <c r="D98" s="23">
        <v>1540000</v>
      </c>
      <c r="E98" s="23" t="s">
        <v>331</v>
      </c>
      <c r="F98" s="23" t="str">
        <f t="shared" si="2"/>
        <v>rtdc.l.rtdc.4042:itc</v>
      </c>
      <c r="G98" s="8">
        <f t="shared" si="3"/>
        <v>42634.479560185187</v>
      </c>
    </row>
    <row r="99" spans="1:7" x14ac:dyDescent="0.25">
      <c r="A99" s="8">
        <v>42634.484803240739</v>
      </c>
      <c r="B99" s="23" t="s">
        <v>327</v>
      </c>
      <c r="C99" s="23" t="s">
        <v>492</v>
      </c>
      <c r="D99" s="23">
        <v>1190000</v>
      </c>
      <c r="E99" s="23" t="s">
        <v>291</v>
      </c>
      <c r="F99" s="23" t="str">
        <f t="shared" si="2"/>
        <v>rtdc.l.rtdc.4015:itc</v>
      </c>
      <c r="G99" s="8">
        <f t="shared" si="3"/>
        <v>42634.484803240739</v>
      </c>
    </row>
    <row r="100" spans="1:7" x14ac:dyDescent="0.25">
      <c r="A100" s="8">
        <v>42634.48641203704</v>
      </c>
      <c r="B100" s="23" t="s">
        <v>243</v>
      </c>
      <c r="C100" s="23" t="s">
        <v>493</v>
      </c>
      <c r="D100" s="23">
        <v>1100000</v>
      </c>
      <c r="E100" s="23" t="s">
        <v>326</v>
      </c>
      <c r="F100" s="23" t="str">
        <f t="shared" si="2"/>
        <v>rtdc.l.rtdc.4043:itc</v>
      </c>
      <c r="G100" s="8">
        <f t="shared" si="3"/>
        <v>42634.48641203704</v>
      </c>
    </row>
    <row r="101" spans="1:7" x14ac:dyDescent="0.25">
      <c r="A101" s="8">
        <v>42634.487210648149</v>
      </c>
      <c r="B101" s="23" t="s">
        <v>181</v>
      </c>
      <c r="C101" s="23" t="s">
        <v>494</v>
      </c>
      <c r="D101" s="23">
        <v>2220000</v>
      </c>
      <c r="E101" s="23" t="s">
        <v>495</v>
      </c>
      <c r="F101" s="23" t="str">
        <f t="shared" si="2"/>
        <v>rtdc.l.rtdc.4046:itc</v>
      </c>
      <c r="G101" s="8">
        <f t="shared" si="3"/>
        <v>42634.487210648149</v>
      </c>
    </row>
    <row r="102" spans="1:7" x14ac:dyDescent="0.25">
      <c r="A102" s="8">
        <v>42634.496493055558</v>
      </c>
      <c r="B102" s="23" t="s">
        <v>295</v>
      </c>
      <c r="C102" s="23" t="s">
        <v>496</v>
      </c>
      <c r="D102" s="23">
        <v>940000</v>
      </c>
      <c r="E102" s="23" t="s">
        <v>297</v>
      </c>
      <c r="F102" s="23" t="str">
        <f t="shared" si="2"/>
        <v>rtdc.l.rtdc.4008:itc</v>
      </c>
      <c r="G102" s="8">
        <f t="shared" si="3"/>
        <v>42634.496493055558</v>
      </c>
    </row>
    <row r="103" spans="1:7" x14ac:dyDescent="0.25">
      <c r="A103" s="8">
        <v>42634.497939814813</v>
      </c>
      <c r="B103" s="23" t="s">
        <v>332</v>
      </c>
      <c r="C103" s="23" t="s">
        <v>497</v>
      </c>
      <c r="D103" s="23">
        <v>2030000</v>
      </c>
      <c r="E103" s="23" t="s">
        <v>271</v>
      </c>
      <c r="F103" s="23" t="str">
        <f t="shared" si="2"/>
        <v>rtdc.l.rtdc.4006:itc</v>
      </c>
      <c r="G103" s="8">
        <f t="shared" si="3"/>
        <v>42634.497939814813</v>
      </c>
    </row>
    <row r="104" spans="1:7" x14ac:dyDescent="0.25">
      <c r="A104" s="8">
        <v>42634.498229166667</v>
      </c>
      <c r="B104" s="23" t="s">
        <v>295</v>
      </c>
      <c r="C104" s="23" t="s">
        <v>496</v>
      </c>
      <c r="D104" s="23">
        <v>940000</v>
      </c>
      <c r="E104" s="23" t="s">
        <v>297</v>
      </c>
      <c r="F104" s="23" t="str">
        <f t="shared" si="2"/>
        <v>rtdc.l.rtdc.4008:itc</v>
      </c>
      <c r="G104" s="8">
        <f t="shared" si="3"/>
        <v>42634.498229166667</v>
      </c>
    </row>
    <row r="105" spans="1:7" x14ac:dyDescent="0.25">
      <c r="A105" s="8">
        <v>42634.498993055553</v>
      </c>
      <c r="B105" s="23" t="s">
        <v>295</v>
      </c>
      <c r="C105" s="23" t="s">
        <v>496</v>
      </c>
      <c r="D105" s="23">
        <v>940000</v>
      </c>
      <c r="E105" s="23" t="s">
        <v>297</v>
      </c>
      <c r="F105" s="23" t="str">
        <f t="shared" si="2"/>
        <v>rtdc.l.rtdc.4008:itc</v>
      </c>
      <c r="G105" s="8">
        <f t="shared" si="3"/>
        <v>42634.498993055553</v>
      </c>
    </row>
    <row r="106" spans="1:7" x14ac:dyDescent="0.25">
      <c r="A106" s="8">
        <v>42634.499768518515</v>
      </c>
      <c r="B106" s="23" t="s">
        <v>332</v>
      </c>
      <c r="C106" s="23" t="s">
        <v>497</v>
      </c>
      <c r="D106" s="23">
        <v>2030000</v>
      </c>
      <c r="E106" s="23" t="s">
        <v>271</v>
      </c>
      <c r="F106" s="23" t="str">
        <f t="shared" si="2"/>
        <v>rtdc.l.rtdc.4006:itc</v>
      </c>
      <c r="G106" s="8">
        <f t="shared" si="3"/>
        <v>42634.499768518515</v>
      </c>
    </row>
    <row r="107" spans="1:7" x14ac:dyDescent="0.25">
      <c r="A107" s="8">
        <v>42634.500150462962</v>
      </c>
      <c r="B107" s="23" t="s">
        <v>171</v>
      </c>
      <c r="C107" s="23" t="s">
        <v>489</v>
      </c>
      <c r="D107" s="23">
        <v>0</v>
      </c>
      <c r="E107" s="23" t="s">
        <v>490</v>
      </c>
      <c r="F107" s="23" t="str">
        <f t="shared" si="2"/>
        <v>rtdc.l.rtdc.4025:itc</v>
      </c>
      <c r="G107" s="8">
        <f t="shared" si="3"/>
        <v>42634.500150462962</v>
      </c>
    </row>
    <row r="108" spans="1:7" x14ac:dyDescent="0.25">
      <c r="A108" s="8">
        <v>42634.502303240741</v>
      </c>
      <c r="B108" s="23" t="s">
        <v>434</v>
      </c>
      <c r="C108" s="23" t="s">
        <v>498</v>
      </c>
      <c r="D108" s="23">
        <v>1280000</v>
      </c>
      <c r="E108" s="23" t="s">
        <v>273</v>
      </c>
      <c r="F108" s="23" t="str">
        <f t="shared" si="2"/>
        <v>rtdc.l.rtdc.4028:itc</v>
      </c>
      <c r="G108" s="8">
        <f t="shared" si="3"/>
        <v>42634.502303240741</v>
      </c>
    </row>
    <row r="109" spans="1:7" x14ac:dyDescent="0.25">
      <c r="A109" s="8">
        <v>42634.503229166665</v>
      </c>
      <c r="B109" s="23" t="s">
        <v>165</v>
      </c>
      <c r="C109" s="23" t="s">
        <v>499</v>
      </c>
      <c r="D109" s="23">
        <v>1140000</v>
      </c>
      <c r="E109" s="23" t="s">
        <v>298</v>
      </c>
      <c r="F109" s="23" t="str">
        <f t="shared" si="2"/>
        <v>rtdc.l.rtdc.4020:itc</v>
      </c>
      <c r="G109" s="8">
        <f t="shared" si="3"/>
        <v>42634.503229166665</v>
      </c>
    </row>
    <row r="110" spans="1:7" x14ac:dyDescent="0.25">
      <c r="A110" s="8">
        <v>42634.511157407411</v>
      </c>
      <c r="B110" s="23" t="s">
        <v>242</v>
      </c>
      <c r="C110" s="23" t="s">
        <v>500</v>
      </c>
      <c r="D110" s="23">
        <v>1100000</v>
      </c>
      <c r="E110" s="23" t="s">
        <v>326</v>
      </c>
      <c r="F110" s="23" t="str">
        <f t="shared" si="2"/>
        <v>rtdc.l.rtdc.4044:itc</v>
      </c>
      <c r="G110" s="8">
        <f t="shared" si="3"/>
        <v>42634.511157407411</v>
      </c>
    </row>
    <row r="111" spans="1:7" x14ac:dyDescent="0.25">
      <c r="A111" s="8">
        <v>42634.51158564815</v>
      </c>
      <c r="B111" s="23" t="s">
        <v>172</v>
      </c>
      <c r="C111" s="23" t="s">
        <v>489</v>
      </c>
      <c r="D111" s="23">
        <v>0</v>
      </c>
      <c r="E111" s="23" t="s">
        <v>490</v>
      </c>
      <c r="F111" s="23" t="str">
        <f t="shared" si="2"/>
        <v>rtdc.l.rtdc.4026:itc</v>
      </c>
      <c r="G111" s="8">
        <f t="shared" si="3"/>
        <v>42634.51158564815</v>
      </c>
    </row>
    <row r="112" spans="1:7" x14ac:dyDescent="0.25">
      <c r="A112" s="8">
        <v>42634.512106481481</v>
      </c>
      <c r="B112" s="23" t="s">
        <v>292</v>
      </c>
      <c r="C112" s="23" t="s">
        <v>501</v>
      </c>
      <c r="D112" s="23">
        <v>1770000</v>
      </c>
      <c r="E112" s="23" t="s">
        <v>274</v>
      </c>
      <c r="F112" s="23" t="str">
        <f t="shared" si="2"/>
        <v>rtdc.l.rtdc.4002:itc</v>
      </c>
      <c r="G112" s="8">
        <f t="shared" si="3"/>
        <v>42634.512106481481</v>
      </c>
    </row>
    <row r="113" spans="1:7" x14ac:dyDescent="0.25">
      <c r="A113" s="8">
        <v>42634.51353009259</v>
      </c>
      <c r="B113" s="23" t="s">
        <v>176</v>
      </c>
      <c r="C113" s="23" t="s">
        <v>502</v>
      </c>
      <c r="D113" s="23">
        <v>2370000</v>
      </c>
      <c r="E113" s="23" t="s">
        <v>299</v>
      </c>
      <c r="F113" s="23" t="str">
        <f t="shared" si="2"/>
        <v>rtdc.l.rtdc.4041:itc</v>
      </c>
      <c r="G113" s="8">
        <f t="shared" si="3"/>
        <v>42634.51353009259</v>
      </c>
    </row>
    <row r="114" spans="1:7" x14ac:dyDescent="0.25">
      <c r="A114" s="8">
        <v>42634.521307870367</v>
      </c>
      <c r="B114" s="23" t="s">
        <v>255</v>
      </c>
      <c r="C114" s="23" t="s">
        <v>503</v>
      </c>
      <c r="D114" s="23">
        <v>2220000</v>
      </c>
      <c r="E114" s="23" t="s">
        <v>495</v>
      </c>
      <c r="F114" s="23" t="str">
        <f t="shared" si="2"/>
        <v>rtdc.l.rtdc.4045:itc</v>
      </c>
      <c r="G114" s="8">
        <f t="shared" si="3"/>
        <v>42634.521307870367</v>
      </c>
    </row>
    <row r="115" spans="1:7" x14ac:dyDescent="0.25">
      <c r="A115" s="8">
        <v>42634.522175925929</v>
      </c>
      <c r="B115" s="23" t="s">
        <v>401</v>
      </c>
      <c r="C115" s="23" t="s">
        <v>504</v>
      </c>
      <c r="D115" s="23">
        <v>1740000</v>
      </c>
      <c r="E115" s="23" t="s">
        <v>333</v>
      </c>
      <c r="F115" s="23" t="str">
        <f t="shared" si="2"/>
        <v>rtdc.l.rtdc.4016:itc</v>
      </c>
      <c r="G115" s="8">
        <f t="shared" si="3"/>
        <v>42634.522175925929</v>
      </c>
    </row>
    <row r="116" spans="1:7" x14ac:dyDescent="0.25">
      <c r="A116" s="8">
        <v>42634.526944444442</v>
      </c>
      <c r="B116" s="23" t="s">
        <v>243</v>
      </c>
      <c r="C116" s="23" t="s">
        <v>505</v>
      </c>
      <c r="D116" s="23">
        <v>1100000</v>
      </c>
      <c r="E116" s="23" t="s">
        <v>326</v>
      </c>
      <c r="F116" s="23" t="str">
        <f t="shared" si="2"/>
        <v>rtdc.l.rtdc.4043:itc</v>
      </c>
      <c r="G116" s="8">
        <f t="shared" si="3"/>
        <v>42634.526944444442</v>
      </c>
    </row>
    <row r="117" spans="1:7" x14ac:dyDescent="0.25">
      <c r="A117" s="8">
        <v>42634.529490740744</v>
      </c>
      <c r="B117" s="23" t="s">
        <v>289</v>
      </c>
      <c r="C117" s="23" t="s">
        <v>506</v>
      </c>
      <c r="D117" s="23">
        <v>940000</v>
      </c>
      <c r="E117" s="23" t="s">
        <v>297</v>
      </c>
      <c r="F117" s="23" t="str">
        <f t="shared" si="2"/>
        <v>rtdc.l.rtdc.4007:itc</v>
      </c>
      <c r="G117" s="8">
        <f t="shared" si="3"/>
        <v>42634.529490740744</v>
      </c>
    </row>
    <row r="118" spans="1:7" x14ac:dyDescent="0.25">
      <c r="A118" s="8">
        <v>42634.535428240742</v>
      </c>
      <c r="B118" s="23" t="s">
        <v>164</v>
      </c>
      <c r="C118" s="23" t="s">
        <v>507</v>
      </c>
      <c r="D118" s="23">
        <v>1140000</v>
      </c>
      <c r="E118" s="23" t="s">
        <v>298</v>
      </c>
      <c r="F118" s="23" t="str">
        <f t="shared" si="2"/>
        <v>rtdc.l.rtdc.4019:itc</v>
      </c>
      <c r="G118" s="8">
        <f t="shared" si="3"/>
        <v>42634.535428240742</v>
      </c>
    </row>
    <row r="119" spans="1:7" x14ac:dyDescent="0.25">
      <c r="A119" s="8">
        <v>42634.541747685187</v>
      </c>
      <c r="B119" s="23" t="s">
        <v>404</v>
      </c>
      <c r="C119" s="23" t="s">
        <v>508</v>
      </c>
      <c r="D119" s="23">
        <v>1280000</v>
      </c>
      <c r="E119" s="23" t="s">
        <v>273</v>
      </c>
      <c r="F119" s="23" t="str">
        <f t="shared" si="2"/>
        <v>rtdc.l.rtdc.4027:itc</v>
      </c>
      <c r="G119" s="8">
        <f t="shared" si="3"/>
        <v>42634.541747685187</v>
      </c>
    </row>
    <row r="120" spans="1:7" x14ac:dyDescent="0.25">
      <c r="A120" s="8">
        <v>42634.545312499999</v>
      </c>
      <c r="B120" s="23" t="s">
        <v>294</v>
      </c>
      <c r="C120" s="23" t="s">
        <v>509</v>
      </c>
      <c r="D120" s="23">
        <v>1770000</v>
      </c>
      <c r="E120" s="23" t="s">
        <v>274</v>
      </c>
      <c r="F120" s="23" t="str">
        <f t="shared" si="2"/>
        <v>rtdc.l.rtdc.4001:itc</v>
      </c>
      <c r="G120" s="8">
        <f t="shared" si="3"/>
        <v>42634.545312499999</v>
      </c>
    </row>
    <row r="121" spans="1:7" x14ac:dyDescent="0.25">
      <c r="A121" s="8">
        <v>42634.547222222223</v>
      </c>
      <c r="B121" s="23" t="s">
        <v>178</v>
      </c>
      <c r="C121" s="23" t="s">
        <v>510</v>
      </c>
      <c r="D121" s="23">
        <v>1540000</v>
      </c>
      <c r="E121" s="23" t="s">
        <v>331</v>
      </c>
      <c r="F121" s="23" t="str">
        <f t="shared" si="2"/>
        <v>rtdc.l.rtdc.4042:itc</v>
      </c>
      <c r="G121" s="8">
        <f t="shared" si="3"/>
        <v>42634.547222222223</v>
      </c>
    </row>
    <row r="122" spans="1:7" x14ac:dyDescent="0.25">
      <c r="A122" s="8">
        <v>42634.547349537039</v>
      </c>
      <c r="B122" s="28" t="s">
        <v>242</v>
      </c>
      <c r="C122" s="23" t="s">
        <v>511</v>
      </c>
      <c r="D122" s="23">
        <v>2040000</v>
      </c>
      <c r="E122" s="23" t="s">
        <v>512</v>
      </c>
      <c r="F122" s="23" t="str">
        <f t="shared" si="2"/>
        <v>rtdc.l.rtdc.4044:itc</v>
      </c>
      <c r="G122" s="8">
        <f t="shared" si="3"/>
        <v>42634.547349537039</v>
      </c>
    </row>
    <row r="123" spans="1:7" x14ac:dyDescent="0.25">
      <c r="A123" s="8">
        <v>42634.551747685182</v>
      </c>
      <c r="B123" s="23" t="s">
        <v>327</v>
      </c>
      <c r="C123" s="23" t="s">
        <v>513</v>
      </c>
      <c r="D123" s="23">
        <v>1740000</v>
      </c>
      <c r="E123" s="23" t="s">
        <v>333</v>
      </c>
      <c r="F123" s="23" t="str">
        <f t="shared" si="2"/>
        <v>rtdc.l.rtdc.4015:itc</v>
      </c>
      <c r="G123" s="8">
        <f t="shared" si="3"/>
        <v>42634.551747685182</v>
      </c>
    </row>
    <row r="124" spans="1:7" x14ac:dyDescent="0.25">
      <c r="A124" s="8">
        <v>42634.558530092596</v>
      </c>
      <c r="B124" s="23" t="s">
        <v>181</v>
      </c>
      <c r="C124" s="23" t="s">
        <v>514</v>
      </c>
      <c r="D124" s="23">
        <v>2220000</v>
      </c>
      <c r="E124" s="23" t="s">
        <v>495</v>
      </c>
      <c r="F124" s="23" t="str">
        <f t="shared" si="2"/>
        <v>rtdc.l.rtdc.4046:itc</v>
      </c>
      <c r="G124" s="8">
        <f t="shared" si="3"/>
        <v>42634.558530092596</v>
      </c>
    </row>
    <row r="125" spans="1:7" x14ac:dyDescent="0.25">
      <c r="A125" s="8">
        <v>42634.562893518516</v>
      </c>
      <c r="B125" s="23" t="s">
        <v>295</v>
      </c>
      <c r="C125" s="23" t="s">
        <v>515</v>
      </c>
      <c r="D125" s="23">
        <v>940000</v>
      </c>
      <c r="E125" s="23" t="s">
        <v>297</v>
      </c>
      <c r="F125" s="23" t="str">
        <f t="shared" si="2"/>
        <v>rtdc.l.rtdc.4008:itc</v>
      </c>
      <c r="G125" s="8">
        <f t="shared" si="3"/>
        <v>42634.562893518516</v>
      </c>
    </row>
    <row r="126" spans="1:7" x14ac:dyDescent="0.25">
      <c r="A126" s="8">
        <v>42634.568831018521</v>
      </c>
      <c r="B126" s="23" t="s">
        <v>243</v>
      </c>
      <c r="C126" s="23" t="s">
        <v>516</v>
      </c>
      <c r="D126" s="23">
        <v>2040000</v>
      </c>
      <c r="E126" s="23" t="s">
        <v>512</v>
      </c>
      <c r="F126" s="23" t="str">
        <f t="shared" si="2"/>
        <v>rtdc.l.rtdc.4043:itc</v>
      </c>
      <c r="G126" s="8">
        <f t="shared" si="3"/>
        <v>42634.568831018521</v>
      </c>
    </row>
    <row r="127" spans="1:7" x14ac:dyDescent="0.25">
      <c r="A127" s="8">
        <v>42634.570208333331</v>
      </c>
      <c r="B127" s="23" t="s">
        <v>434</v>
      </c>
      <c r="C127" s="23" t="s">
        <v>517</v>
      </c>
      <c r="D127" s="23">
        <v>1280000</v>
      </c>
      <c r="E127" s="23" t="s">
        <v>273</v>
      </c>
      <c r="F127" s="23" t="str">
        <f t="shared" si="2"/>
        <v>rtdc.l.rtdc.4028:itc</v>
      </c>
      <c r="G127" s="8">
        <f t="shared" si="3"/>
        <v>42634.570208333331</v>
      </c>
    </row>
    <row r="128" spans="1:7" x14ac:dyDescent="0.25">
      <c r="A128" s="8">
        <v>42634.571099537039</v>
      </c>
      <c r="B128" s="23" t="s">
        <v>165</v>
      </c>
      <c r="C128" s="23" t="s">
        <v>518</v>
      </c>
      <c r="D128" s="23">
        <v>1140000</v>
      </c>
      <c r="E128" s="23" t="s">
        <v>298</v>
      </c>
      <c r="F128" s="23" t="str">
        <f t="shared" si="2"/>
        <v>rtdc.l.rtdc.4020:itc</v>
      </c>
      <c r="G128" s="8">
        <f t="shared" si="3"/>
        <v>42634.571099537039</v>
      </c>
    </row>
    <row r="129" spans="1:7" x14ac:dyDescent="0.25">
      <c r="A129" s="8">
        <v>42634.579131944447</v>
      </c>
      <c r="B129" s="23" t="s">
        <v>292</v>
      </c>
      <c r="C129" s="23" t="s">
        <v>519</v>
      </c>
      <c r="D129" s="23">
        <v>1770000</v>
      </c>
      <c r="E129" s="23" t="s">
        <v>274</v>
      </c>
      <c r="F129" s="23" t="str">
        <f t="shared" si="2"/>
        <v>rtdc.l.rtdc.4002:itc</v>
      </c>
      <c r="G129" s="8">
        <f t="shared" si="3"/>
        <v>42634.579131944447</v>
      </c>
    </row>
    <row r="130" spans="1:7" x14ac:dyDescent="0.25">
      <c r="A130" s="8">
        <v>42634.587997685187</v>
      </c>
      <c r="B130" s="23" t="s">
        <v>176</v>
      </c>
      <c r="C130" s="23" t="s">
        <v>520</v>
      </c>
      <c r="D130" s="23">
        <v>1540000</v>
      </c>
      <c r="E130" s="23" t="s">
        <v>331</v>
      </c>
      <c r="F130" s="23" t="str">
        <f t="shared" ref="F130:F193" si="4">B130</f>
        <v>rtdc.l.rtdc.4041:itc</v>
      </c>
      <c r="G130" s="8">
        <f t="shared" ref="G130:G193" si="5">A130</f>
        <v>42634.587997685187</v>
      </c>
    </row>
    <row r="131" spans="1:7" x14ac:dyDescent="0.25">
      <c r="A131" s="8">
        <v>42634.588541666664</v>
      </c>
      <c r="B131" s="23" t="s">
        <v>401</v>
      </c>
      <c r="C131" s="23" t="s">
        <v>521</v>
      </c>
      <c r="D131" s="23">
        <v>1740000</v>
      </c>
      <c r="E131" s="23" t="s">
        <v>333</v>
      </c>
      <c r="F131" s="23" t="str">
        <f t="shared" si="4"/>
        <v>rtdc.l.rtdc.4016:itc</v>
      </c>
      <c r="G131" s="8">
        <f t="shared" si="5"/>
        <v>42634.588541666664</v>
      </c>
    </row>
    <row r="132" spans="1:7" x14ac:dyDescent="0.25">
      <c r="A132" s="8">
        <v>42634.590092592596</v>
      </c>
      <c r="B132" s="23" t="s">
        <v>255</v>
      </c>
      <c r="C132" s="23" t="s">
        <v>522</v>
      </c>
      <c r="D132" s="23">
        <v>2220000</v>
      </c>
      <c r="E132" s="23" t="s">
        <v>495</v>
      </c>
      <c r="F132" s="23" t="str">
        <f t="shared" si="4"/>
        <v>rtdc.l.rtdc.4045:itc</v>
      </c>
      <c r="G132" s="8">
        <f t="shared" si="5"/>
        <v>42634.590092592596</v>
      </c>
    </row>
    <row r="133" spans="1:7" x14ac:dyDescent="0.25">
      <c r="A133" s="8">
        <v>42634.593773148146</v>
      </c>
      <c r="B133" s="23" t="s">
        <v>242</v>
      </c>
      <c r="C133" s="23" t="s">
        <v>523</v>
      </c>
      <c r="D133" s="23">
        <v>2040000</v>
      </c>
      <c r="E133" s="23" t="s">
        <v>512</v>
      </c>
      <c r="F133" s="23" t="str">
        <f t="shared" si="4"/>
        <v>rtdc.l.rtdc.4044:itc</v>
      </c>
      <c r="G133" s="8">
        <f t="shared" si="5"/>
        <v>42634.593773148146</v>
      </c>
    </row>
    <row r="134" spans="1:7" x14ac:dyDescent="0.25">
      <c r="A134" s="8">
        <v>42634.599432870367</v>
      </c>
      <c r="B134" s="23" t="s">
        <v>289</v>
      </c>
      <c r="C134" s="23" t="s">
        <v>524</v>
      </c>
      <c r="D134" s="23">
        <v>940000</v>
      </c>
      <c r="E134" s="23" t="s">
        <v>297</v>
      </c>
      <c r="F134" s="23" t="str">
        <f t="shared" si="4"/>
        <v>rtdc.l.rtdc.4007:itc</v>
      </c>
      <c r="G134" s="8">
        <f t="shared" si="5"/>
        <v>42634.599432870367</v>
      </c>
    </row>
    <row r="135" spans="1:7" x14ac:dyDescent="0.25">
      <c r="A135" s="8">
        <v>42634.608796296299</v>
      </c>
      <c r="B135" s="23" t="s">
        <v>164</v>
      </c>
      <c r="C135" s="23" t="s">
        <v>525</v>
      </c>
      <c r="D135" s="23">
        <v>1140000</v>
      </c>
      <c r="E135" s="23" t="s">
        <v>298</v>
      </c>
      <c r="F135" s="23" t="str">
        <f t="shared" si="4"/>
        <v>rtdc.l.rtdc.4019:itc</v>
      </c>
      <c r="G135" s="8">
        <f t="shared" si="5"/>
        <v>42634.608796296299</v>
      </c>
    </row>
    <row r="136" spans="1:7" x14ac:dyDescent="0.25">
      <c r="A136" s="8">
        <v>42634.609733796293</v>
      </c>
      <c r="B136" s="23" t="s">
        <v>243</v>
      </c>
      <c r="C136" s="23" t="s">
        <v>526</v>
      </c>
      <c r="D136" s="23">
        <v>2040000</v>
      </c>
      <c r="E136" s="23" t="s">
        <v>512</v>
      </c>
      <c r="F136" s="23" t="str">
        <f t="shared" si="4"/>
        <v>rtdc.l.rtdc.4043:itc</v>
      </c>
      <c r="G136" s="8">
        <f t="shared" si="5"/>
        <v>42634.609733796293</v>
      </c>
    </row>
    <row r="137" spans="1:7" x14ac:dyDescent="0.25">
      <c r="A137" s="8">
        <v>42634.610069444447</v>
      </c>
      <c r="B137" s="23" t="s">
        <v>404</v>
      </c>
      <c r="C137" s="23" t="s">
        <v>527</v>
      </c>
      <c r="D137" s="23">
        <v>1280000</v>
      </c>
      <c r="E137" s="23" t="s">
        <v>273</v>
      </c>
      <c r="F137" s="23" t="str">
        <f t="shared" si="4"/>
        <v>rtdc.l.rtdc.4027:itc</v>
      </c>
      <c r="G137" s="8">
        <f t="shared" si="5"/>
        <v>42634.610069444447</v>
      </c>
    </row>
    <row r="138" spans="1:7" x14ac:dyDescent="0.25">
      <c r="A138" s="8">
        <v>42634.617858796293</v>
      </c>
      <c r="B138" s="23" t="s">
        <v>294</v>
      </c>
      <c r="C138" s="23" t="s">
        <v>528</v>
      </c>
      <c r="D138" s="23">
        <v>1770000</v>
      </c>
      <c r="E138" s="23" t="s">
        <v>274</v>
      </c>
      <c r="F138" s="23" t="str">
        <f t="shared" si="4"/>
        <v>rtdc.l.rtdc.4001:itc</v>
      </c>
      <c r="G138" s="8">
        <f t="shared" si="5"/>
        <v>42634.617858796293</v>
      </c>
    </row>
    <row r="139" spans="1:7" x14ac:dyDescent="0.25">
      <c r="A139" s="8">
        <v>42634.621168981481</v>
      </c>
      <c r="B139" s="23" t="s">
        <v>178</v>
      </c>
      <c r="C139" s="23" t="s">
        <v>529</v>
      </c>
      <c r="D139" s="23">
        <v>1540000</v>
      </c>
      <c r="E139" s="23" t="s">
        <v>331</v>
      </c>
      <c r="F139" s="23" t="str">
        <f t="shared" si="4"/>
        <v>rtdc.l.rtdc.4042:itc</v>
      </c>
      <c r="G139" s="8">
        <f t="shared" si="5"/>
        <v>42634.621168981481</v>
      </c>
    </row>
    <row r="140" spans="1:7" x14ac:dyDescent="0.25">
      <c r="A140" s="8">
        <v>42634.626168981478</v>
      </c>
      <c r="B140" s="23" t="s">
        <v>327</v>
      </c>
      <c r="C140" s="23" t="s">
        <v>530</v>
      </c>
      <c r="D140" s="23">
        <v>1740000</v>
      </c>
      <c r="E140" s="23" t="s">
        <v>333</v>
      </c>
      <c r="F140" s="23" t="str">
        <f t="shared" si="4"/>
        <v>rtdc.l.rtdc.4015:itc</v>
      </c>
      <c r="G140" s="8">
        <f t="shared" si="5"/>
        <v>42634.626168981478</v>
      </c>
    </row>
    <row r="141" spans="1:7" x14ac:dyDescent="0.25">
      <c r="A141" s="8">
        <v>42634.632384259261</v>
      </c>
      <c r="B141" s="23" t="s">
        <v>181</v>
      </c>
      <c r="C141" s="23" t="s">
        <v>531</v>
      </c>
      <c r="D141" s="23">
        <v>2220000</v>
      </c>
      <c r="E141" s="23" t="s">
        <v>495</v>
      </c>
      <c r="F141" s="23" t="str">
        <f t="shared" si="4"/>
        <v>rtdc.l.rtdc.4046:itc</v>
      </c>
      <c r="G141" s="8">
        <f t="shared" si="5"/>
        <v>42634.632384259261</v>
      </c>
    </row>
    <row r="142" spans="1:7" x14ac:dyDescent="0.25">
      <c r="A142" s="8">
        <v>42634.633425925924</v>
      </c>
      <c r="B142" s="23" t="s">
        <v>242</v>
      </c>
      <c r="C142" s="23" t="s">
        <v>532</v>
      </c>
      <c r="D142" s="23">
        <v>2040000</v>
      </c>
      <c r="E142" s="23" t="s">
        <v>512</v>
      </c>
      <c r="F142" s="23" t="str">
        <f t="shared" si="4"/>
        <v>rtdc.l.rtdc.4044:itc</v>
      </c>
      <c r="G142" s="8">
        <f t="shared" si="5"/>
        <v>42634.633425925924</v>
      </c>
    </row>
    <row r="143" spans="1:7" x14ac:dyDescent="0.25">
      <c r="A143" s="8">
        <v>42634.636932870373</v>
      </c>
      <c r="B143" s="23" t="s">
        <v>295</v>
      </c>
      <c r="C143" s="23" t="s">
        <v>533</v>
      </c>
      <c r="D143" s="23">
        <v>940000</v>
      </c>
      <c r="E143" s="23" t="s">
        <v>297</v>
      </c>
      <c r="F143" s="23" t="str">
        <f t="shared" si="4"/>
        <v>rtdc.l.rtdc.4008:itc</v>
      </c>
      <c r="G143" s="8">
        <f t="shared" si="5"/>
        <v>42634.636932870373</v>
      </c>
    </row>
    <row r="144" spans="1:7" x14ac:dyDescent="0.25">
      <c r="A144" s="8">
        <v>42634.639537037037</v>
      </c>
      <c r="B144" s="23" t="s">
        <v>414</v>
      </c>
      <c r="C144" s="23" t="s">
        <v>534</v>
      </c>
      <c r="D144" s="23">
        <v>1180000</v>
      </c>
      <c r="E144" s="23" t="s">
        <v>282</v>
      </c>
      <c r="F144" s="23" t="str">
        <f t="shared" si="4"/>
        <v>rtdc.l.rtdc.4032:itc</v>
      </c>
      <c r="G144" s="8">
        <f t="shared" si="5"/>
        <v>42634.639537037037</v>
      </c>
    </row>
    <row r="145" spans="1:7" x14ac:dyDescent="0.25">
      <c r="A145" s="8">
        <v>42634.642893518518</v>
      </c>
      <c r="B145" s="23" t="s">
        <v>434</v>
      </c>
      <c r="C145" s="23" t="s">
        <v>535</v>
      </c>
      <c r="D145" s="23">
        <v>1280000</v>
      </c>
      <c r="E145" s="23" t="s">
        <v>273</v>
      </c>
      <c r="F145" s="23" t="str">
        <f t="shared" si="4"/>
        <v>rtdc.l.rtdc.4028:itc</v>
      </c>
      <c r="G145" s="8">
        <f t="shared" si="5"/>
        <v>42634.642893518518</v>
      </c>
    </row>
    <row r="146" spans="1:7" x14ac:dyDescent="0.25">
      <c r="A146" s="8">
        <v>42634.644502314812</v>
      </c>
      <c r="B146" s="23" t="s">
        <v>165</v>
      </c>
      <c r="C146" s="23" t="s">
        <v>536</v>
      </c>
      <c r="D146" s="23">
        <v>1140000</v>
      </c>
      <c r="E146" s="23" t="s">
        <v>298</v>
      </c>
      <c r="F146" s="23" t="str">
        <f t="shared" si="4"/>
        <v>rtdc.l.rtdc.4020:itc</v>
      </c>
      <c r="G146" s="8">
        <f t="shared" si="5"/>
        <v>42634.644502314812</v>
      </c>
    </row>
    <row r="147" spans="1:7" x14ac:dyDescent="0.25">
      <c r="A147" s="8">
        <v>42634.650208333333</v>
      </c>
      <c r="B147" s="23" t="s">
        <v>419</v>
      </c>
      <c r="C147" s="23" t="s">
        <v>537</v>
      </c>
      <c r="D147" s="23">
        <v>1180000</v>
      </c>
      <c r="E147" s="23" t="s">
        <v>282</v>
      </c>
      <c r="F147" s="23" t="str">
        <f t="shared" si="4"/>
        <v>rtdc.l.rtdc.4031:itc</v>
      </c>
      <c r="G147" s="8">
        <f t="shared" si="5"/>
        <v>42634.650208333333</v>
      </c>
    </row>
    <row r="148" spans="1:7" x14ac:dyDescent="0.25">
      <c r="A148" s="8">
        <v>42634.652199074073</v>
      </c>
      <c r="B148" s="23" t="s">
        <v>243</v>
      </c>
      <c r="C148" s="23" t="s">
        <v>538</v>
      </c>
      <c r="D148" s="23">
        <v>2040000</v>
      </c>
      <c r="E148" s="23" t="s">
        <v>512</v>
      </c>
      <c r="F148" s="23" t="str">
        <f t="shared" si="4"/>
        <v>rtdc.l.rtdc.4043:itc</v>
      </c>
      <c r="G148" s="8">
        <f t="shared" si="5"/>
        <v>42634.652199074073</v>
      </c>
    </row>
    <row r="149" spans="1:7" x14ac:dyDescent="0.25">
      <c r="A149" s="8">
        <v>42634.656319444446</v>
      </c>
      <c r="B149" s="23" t="s">
        <v>292</v>
      </c>
      <c r="C149" s="23" t="s">
        <v>539</v>
      </c>
      <c r="D149" s="23">
        <v>1770000</v>
      </c>
      <c r="E149" s="23" t="s">
        <v>274</v>
      </c>
      <c r="F149" s="23" t="str">
        <f t="shared" si="4"/>
        <v>rtdc.l.rtdc.4002:itc</v>
      </c>
      <c r="G149" s="8">
        <f t="shared" si="5"/>
        <v>42634.656319444446</v>
      </c>
    </row>
    <row r="150" spans="1:7" x14ac:dyDescent="0.25">
      <c r="A150" s="8">
        <v>42634.659386574072</v>
      </c>
      <c r="B150" s="23" t="s">
        <v>176</v>
      </c>
      <c r="C150" s="23" t="s">
        <v>540</v>
      </c>
      <c r="D150" s="23">
        <v>1540000</v>
      </c>
      <c r="E150" s="23" t="s">
        <v>331</v>
      </c>
      <c r="F150" s="23" t="str">
        <f t="shared" si="4"/>
        <v>rtdc.l.rtdc.4041:itc</v>
      </c>
      <c r="G150" s="8">
        <f t="shared" si="5"/>
        <v>42634.659386574072</v>
      </c>
    </row>
    <row r="151" spans="1:7" x14ac:dyDescent="0.25">
      <c r="A151" s="8">
        <v>42634.664398148147</v>
      </c>
      <c r="B151" s="23" t="s">
        <v>401</v>
      </c>
      <c r="C151" s="23" t="s">
        <v>541</v>
      </c>
      <c r="D151" s="23">
        <v>1740000</v>
      </c>
      <c r="E151" s="23" t="s">
        <v>333</v>
      </c>
      <c r="F151" s="23" t="str">
        <f t="shared" si="4"/>
        <v>rtdc.l.rtdc.4016:itc</v>
      </c>
      <c r="G151" s="8">
        <f t="shared" si="5"/>
        <v>42634.664398148147</v>
      </c>
    </row>
    <row r="152" spans="1:7" x14ac:dyDescent="0.25">
      <c r="A152" s="8">
        <v>42634.668611111112</v>
      </c>
      <c r="B152" s="23" t="s">
        <v>255</v>
      </c>
      <c r="C152" s="23" t="s">
        <v>542</v>
      </c>
      <c r="D152" s="23">
        <v>2220000</v>
      </c>
      <c r="E152" s="23" t="s">
        <v>495</v>
      </c>
      <c r="F152" s="23" t="str">
        <f t="shared" si="4"/>
        <v>rtdc.l.rtdc.4045:itc</v>
      </c>
      <c r="G152" s="8">
        <f t="shared" si="5"/>
        <v>42634.668611111112</v>
      </c>
    </row>
    <row r="153" spans="1:7" x14ac:dyDescent="0.25">
      <c r="A153" s="8">
        <v>42634.672199074077</v>
      </c>
      <c r="B153" s="23" t="s">
        <v>414</v>
      </c>
      <c r="C153" s="23" t="s">
        <v>543</v>
      </c>
      <c r="D153" s="23">
        <v>1180000</v>
      </c>
      <c r="E153" s="23" t="s">
        <v>282</v>
      </c>
      <c r="F153" s="23" t="str">
        <f t="shared" si="4"/>
        <v>rtdc.l.rtdc.4032:itc</v>
      </c>
      <c r="G153" s="8">
        <f t="shared" si="5"/>
        <v>42634.672199074077</v>
      </c>
    </row>
    <row r="154" spans="1:7" x14ac:dyDescent="0.25">
      <c r="A154" s="8">
        <v>42634.677847222221</v>
      </c>
      <c r="B154" s="23" t="s">
        <v>289</v>
      </c>
      <c r="C154" s="23" t="s">
        <v>544</v>
      </c>
      <c r="D154" s="23">
        <v>940000</v>
      </c>
      <c r="E154" s="23" t="s">
        <v>297</v>
      </c>
      <c r="F154" s="23" t="str">
        <f t="shared" si="4"/>
        <v>rtdc.l.rtdc.4007:itc</v>
      </c>
      <c r="G154" s="8">
        <f t="shared" si="5"/>
        <v>42634.677847222221</v>
      </c>
    </row>
    <row r="155" spans="1:7" x14ac:dyDescent="0.25">
      <c r="A155" s="8">
        <v>42634.678101851852</v>
      </c>
      <c r="B155" s="23" t="s">
        <v>242</v>
      </c>
      <c r="C155" s="23" t="s">
        <v>545</v>
      </c>
      <c r="D155" s="23">
        <v>2040000</v>
      </c>
      <c r="E155" s="23" t="s">
        <v>512</v>
      </c>
      <c r="F155" s="23" t="str">
        <f t="shared" si="4"/>
        <v>rtdc.l.rtdc.4044:itc</v>
      </c>
      <c r="G155" s="8">
        <f t="shared" si="5"/>
        <v>42634.678101851852</v>
      </c>
    </row>
    <row r="156" spans="1:7" x14ac:dyDescent="0.25">
      <c r="A156" s="8">
        <v>42634.679814814815</v>
      </c>
      <c r="B156" s="23" t="s">
        <v>164</v>
      </c>
      <c r="C156" s="23" t="s">
        <v>546</v>
      </c>
      <c r="D156" s="23">
        <v>1140000</v>
      </c>
      <c r="E156" s="23" t="s">
        <v>298</v>
      </c>
      <c r="F156" s="23" t="str">
        <f t="shared" si="4"/>
        <v>rtdc.l.rtdc.4019:itc</v>
      </c>
      <c r="G156" s="8">
        <f t="shared" si="5"/>
        <v>42634.679814814815</v>
      </c>
    </row>
    <row r="157" spans="1:7" x14ac:dyDescent="0.25">
      <c r="A157" s="8">
        <v>42634.68677083333</v>
      </c>
      <c r="B157" s="23" t="s">
        <v>404</v>
      </c>
      <c r="C157" s="23" t="s">
        <v>547</v>
      </c>
      <c r="D157" s="23">
        <v>1280000</v>
      </c>
      <c r="E157" s="23" t="s">
        <v>273</v>
      </c>
      <c r="F157" s="23" t="str">
        <f t="shared" si="4"/>
        <v>rtdc.l.rtdc.4027:itc</v>
      </c>
      <c r="G157" s="8">
        <f t="shared" si="5"/>
        <v>42634.68677083333</v>
      </c>
    </row>
    <row r="158" spans="1:7" x14ac:dyDescent="0.25">
      <c r="A158" s="8">
        <v>42634.691099537034</v>
      </c>
      <c r="B158" s="23" t="s">
        <v>294</v>
      </c>
      <c r="C158" s="23" t="s">
        <v>548</v>
      </c>
      <c r="D158" s="23">
        <v>1770000</v>
      </c>
      <c r="E158" s="23" t="s">
        <v>274</v>
      </c>
      <c r="F158" s="23" t="str">
        <f t="shared" si="4"/>
        <v>rtdc.l.rtdc.4001:itc</v>
      </c>
      <c r="G158" s="8">
        <f t="shared" si="5"/>
        <v>42634.691099537034</v>
      </c>
    </row>
    <row r="159" spans="1:7" x14ac:dyDescent="0.25">
      <c r="A159" s="8">
        <v>42634.693032407406</v>
      </c>
      <c r="B159" s="23" t="s">
        <v>243</v>
      </c>
      <c r="C159" s="23" t="s">
        <v>549</v>
      </c>
      <c r="D159" s="23">
        <v>2040000</v>
      </c>
      <c r="E159" s="23" t="s">
        <v>512</v>
      </c>
      <c r="F159" s="23" t="str">
        <f t="shared" si="4"/>
        <v>rtdc.l.rtdc.4043:itc</v>
      </c>
      <c r="G159" s="8">
        <f t="shared" si="5"/>
        <v>42634.693032407406</v>
      </c>
    </row>
    <row r="160" spans="1:7" x14ac:dyDescent="0.25">
      <c r="A160" s="8">
        <v>42634.695706018516</v>
      </c>
      <c r="B160" s="23" t="s">
        <v>178</v>
      </c>
      <c r="C160" s="23" t="s">
        <v>550</v>
      </c>
      <c r="D160" s="23">
        <v>1540000</v>
      </c>
      <c r="E160" s="23" t="s">
        <v>331</v>
      </c>
      <c r="F160" s="23" t="str">
        <f t="shared" si="4"/>
        <v>rtdc.l.rtdc.4042:itc</v>
      </c>
      <c r="G160" s="8">
        <f t="shared" si="5"/>
        <v>42634.695706018516</v>
      </c>
    </row>
    <row r="161" spans="1:7" x14ac:dyDescent="0.25">
      <c r="A161" s="8">
        <v>42634.696284722224</v>
      </c>
      <c r="B161" s="23" t="s">
        <v>419</v>
      </c>
      <c r="C161" s="23" t="s">
        <v>551</v>
      </c>
      <c r="D161" s="23">
        <v>1180000</v>
      </c>
      <c r="E161" s="23" t="s">
        <v>282</v>
      </c>
      <c r="F161" s="23" t="str">
        <f t="shared" si="4"/>
        <v>rtdc.l.rtdc.4031:itc</v>
      </c>
      <c r="G161" s="8">
        <f t="shared" si="5"/>
        <v>42634.696284722224</v>
      </c>
    </row>
    <row r="162" spans="1:7" x14ac:dyDescent="0.25">
      <c r="A162" s="8">
        <v>42634.699178240742</v>
      </c>
      <c r="B162" s="23" t="s">
        <v>327</v>
      </c>
      <c r="C162" s="23" t="s">
        <v>552</v>
      </c>
      <c r="D162" s="23">
        <v>1740000</v>
      </c>
      <c r="E162" s="23" t="s">
        <v>333</v>
      </c>
      <c r="F162" s="23" t="str">
        <f t="shared" si="4"/>
        <v>rtdc.l.rtdc.4015:itc</v>
      </c>
      <c r="G162" s="8">
        <f t="shared" si="5"/>
        <v>42634.699178240742</v>
      </c>
    </row>
    <row r="163" spans="1:7" x14ac:dyDescent="0.25">
      <c r="A163" s="8">
        <v>42634.709305555552</v>
      </c>
      <c r="B163" s="23" t="s">
        <v>181</v>
      </c>
      <c r="C163" s="23" t="s">
        <v>553</v>
      </c>
      <c r="D163" s="23">
        <v>2220000</v>
      </c>
      <c r="E163" s="23" t="s">
        <v>495</v>
      </c>
      <c r="F163" s="23" t="str">
        <f t="shared" si="4"/>
        <v>rtdc.l.rtdc.4046:itc</v>
      </c>
      <c r="G163" s="8">
        <f t="shared" si="5"/>
        <v>42634.709305555552</v>
      </c>
    </row>
    <row r="164" spans="1:7" x14ac:dyDescent="0.25">
      <c r="A164" s="8">
        <v>42634.711087962962</v>
      </c>
      <c r="B164" s="23" t="s">
        <v>295</v>
      </c>
      <c r="C164" s="23" t="s">
        <v>554</v>
      </c>
      <c r="D164" s="23">
        <v>940000</v>
      </c>
      <c r="E164" s="23" t="s">
        <v>297</v>
      </c>
      <c r="F164" s="23" t="str">
        <f t="shared" si="4"/>
        <v>rtdc.l.rtdc.4008:itc</v>
      </c>
      <c r="G164" s="8">
        <f t="shared" si="5"/>
        <v>42634.711087962962</v>
      </c>
    </row>
    <row r="165" spans="1:7" x14ac:dyDescent="0.25">
      <c r="A165" s="8">
        <v>42634.712800925925</v>
      </c>
      <c r="B165" s="23" t="s">
        <v>334</v>
      </c>
      <c r="C165" s="23" t="s">
        <v>555</v>
      </c>
      <c r="D165" s="23">
        <v>1230000</v>
      </c>
      <c r="E165" s="23" t="s">
        <v>259</v>
      </c>
      <c r="F165" s="23" t="str">
        <f t="shared" si="4"/>
        <v>rtdc.l.rtdc.4005:itc</v>
      </c>
      <c r="G165" s="8">
        <f t="shared" si="5"/>
        <v>42634.712800925925</v>
      </c>
    </row>
    <row r="166" spans="1:7" x14ac:dyDescent="0.25">
      <c r="A166" s="8">
        <v>42634.715092592596</v>
      </c>
      <c r="B166" s="23" t="s">
        <v>414</v>
      </c>
      <c r="C166" s="23" t="s">
        <v>556</v>
      </c>
      <c r="D166" s="23">
        <v>1180000</v>
      </c>
      <c r="E166" s="23" t="s">
        <v>282</v>
      </c>
      <c r="F166" s="23" t="str">
        <f t="shared" si="4"/>
        <v>rtdc.l.rtdc.4032:itc</v>
      </c>
      <c r="G166" s="8">
        <f t="shared" si="5"/>
        <v>42634.715092592596</v>
      </c>
    </row>
    <row r="167" spans="1:7" x14ac:dyDescent="0.25">
      <c r="A167" s="8">
        <v>42634.718368055554</v>
      </c>
      <c r="B167" s="23" t="s">
        <v>242</v>
      </c>
      <c r="C167" s="23" t="s">
        <v>557</v>
      </c>
      <c r="D167" s="23">
        <v>2040000</v>
      </c>
      <c r="E167" s="23" t="s">
        <v>512</v>
      </c>
      <c r="F167" s="23" t="str">
        <f t="shared" si="4"/>
        <v>rtdc.l.rtdc.4044:itc</v>
      </c>
      <c r="G167" s="8">
        <f t="shared" si="5"/>
        <v>42634.718368055554</v>
      </c>
    </row>
    <row r="168" spans="1:7" x14ac:dyDescent="0.25">
      <c r="A168" s="8">
        <v>42634.7184375</v>
      </c>
      <c r="B168" s="23" t="s">
        <v>434</v>
      </c>
      <c r="C168" s="23" t="s">
        <v>558</v>
      </c>
      <c r="D168" s="23">
        <v>1280000</v>
      </c>
      <c r="E168" s="23" t="s">
        <v>273</v>
      </c>
      <c r="F168" s="23" t="str">
        <f t="shared" si="4"/>
        <v>rtdc.l.rtdc.4028:itc</v>
      </c>
      <c r="G168" s="8">
        <f t="shared" si="5"/>
        <v>42634.7184375</v>
      </c>
    </row>
    <row r="169" spans="1:7" x14ac:dyDescent="0.25">
      <c r="A169" s="8">
        <v>42634.720694444448</v>
      </c>
      <c r="B169" s="23" t="s">
        <v>165</v>
      </c>
      <c r="C169" s="23" t="s">
        <v>559</v>
      </c>
      <c r="D169" s="23">
        <v>1480000</v>
      </c>
      <c r="E169" s="23" t="s">
        <v>244</v>
      </c>
      <c r="F169" s="23" t="str">
        <f t="shared" si="4"/>
        <v>rtdc.l.rtdc.4020:itc</v>
      </c>
      <c r="G169" s="8">
        <f t="shared" si="5"/>
        <v>42634.720694444448</v>
      </c>
    </row>
    <row r="170" spans="1:7" x14ac:dyDescent="0.25">
      <c r="A170" s="8">
        <v>42634.728819444441</v>
      </c>
      <c r="B170" s="23" t="s">
        <v>292</v>
      </c>
      <c r="C170" s="23" t="s">
        <v>560</v>
      </c>
      <c r="D170" s="23">
        <v>1140000</v>
      </c>
      <c r="E170" s="23" t="s">
        <v>298</v>
      </c>
      <c r="F170" s="23" t="str">
        <f t="shared" si="4"/>
        <v>rtdc.l.rtdc.4002:itc</v>
      </c>
      <c r="G170" s="8">
        <f t="shared" si="5"/>
        <v>42634.728819444441</v>
      </c>
    </row>
    <row r="171" spans="1:7" x14ac:dyDescent="0.25">
      <c r="A171" s="8">
        <v>42634.731759259259</v>
      </c>
      <c r="B171" s="23" t="s">
        <v>176</v>
      </c>
      <c r="C171" s="23" t="s">
        <v>561</v>
      </c>
      <c r="D171" s="23">
        <v>1540000</v>
      </c>
      <c r="E171" s="23" t="s">
        <v>331</v>
      </c>
      <c r="F171" s="23" t="str">
        <f t="shared" si="4"/>
        <v>rtdc.l.rtdc.4041:itc</v>
      </c>
      <c r="G171" s="8">
        <f t="shared" si="5"/>
        <v>42634.731759259259</v>
      </c>
    </row>
    <row r="172" spans="1:7" x14ac:dyDescent="0.25">
      <c r="A172" s="8">
        <v>42634.737939814811</v>
      </c>
      <c r="B172" s="23" t="s">
        <v>419</v>
      </c>
      <c r="C172" s="23" t="s">
        <v>562</v>
      </c>
      <c r="D172" s="23">
        <v>1180000</v>
      </c>
      <c r="E172" s="23" t="s">
        <v>282</v>
      </c>
      <c r="F172" s="23" t="str">
        <f t="shared" si="4"/>
        <v>rtdc.l.rtdc.4031:itc</v>
      </c>
      <c r="G172" s="8">
        <f t="shared" si="5"/>
        <v>42634.737939814811</v>
      </c>
    </row>
    <row r="173" spans="1:7" x14ac:dyDescent="0.25">
      <c r="A173" s="8">
        <v>42634.738009259258</v>
      </c>
      <c r="B173" s="23" t="s">
        <v>243</v>
      </c>
      <c r="C173" s="23" t="s">
        <v>563</v>
      </c>
      <c r="D173" s="23">
        <v>2040000</v>
      </c>
      <c r="E173" s="23" t="s">
        <v>512</v>
      </c>
      <c r="F173" s="23" t="str">
        <f t="shared" si="4"/>
        <v>rtdc.l.rtdc.4043:itc</v>
      </c>
      <c r="G173" s="8">
        <f t="shared" si="5"/>
        <v>42634.738009259258</v>
      </c>
    </row>
    <row r="174" spans="1:7" x14ac:dyDescent="0.25">
      <c r="A174" s="8">
        <v>42634.738622685189</v>
      </c>
      <c r="B174" s="23" t="s">
        <v>401</v>
      </c>
      <c r="C174" s="23" t="s">
        <v>564</v>
      </c>
      <c r="D174" s="23">
        <v>1230000</v>
      </c>
      <c r="E174" s="23" t="s">
        <v>259</v>
      </c>
      <c r="F174" s="23" t="str">
        <f t="shared" si="4"/>
        <v>rtdc.l.rtdc.4016:itc</v>
      </c>
      <c r="G174" s="8">
        <f t="shared" si="5"/>
        <v>42634.738622685189</v>
      </c>
    </row>
    <row r="175" spans="1:7" x14ac:dyDescent="0.25">
      <c r="A175" s="8">
        <v>42634.740752314814</v>
      </c>
      <c r="B175" s="23" t="s">
        <v>296</v>
      </c>
      <c r="C175" s="23" t="s">
        <v>565</v>
      </c>
      <c r="D175" s="23">
        <v>1290000</v>
      </c>
      <c r="E175" s="23" t="s">
        <v>173</v>
      </c>
      <c r="F175" s="23" t="str">
        <f t="shared" si="4"/>
        <v>rtdc.l.rtdc.4021:itc</v>
      </c>
      <c r="G175" s="8">
        <f t="shared" si="5"/>
        <v>42634.740752314814</v>
      </c>
    </row>
    <row r="176" spans="1:7" x14ac:dyDescent="0.25">
      <c r="A176" s="8">
        <v>42634.740891203706</v>
      </c>
      <c r="B176" s="23" t="s">
        <v>177</v>
      </c>
      <c r="C176" s="23" t="s">
        <v>566</v>
      </c>
      <c r="D176" s="23">
        <v>1200000</v>
      </c>
      <c r="E176" s="23" t="s">
        <v>182</v>
      </c>
      <c r="F176" s="23" t="str">
        <f t="shared" si="4"/>
        <v>rtdc.l.rtdc.4010:itc</v>
      </c>
      <c r="G176" s="8">
        <f t="shared" si="5"/>
        <v>42634.740891203706</v>
      </c>
    </row>
    <row r="177" spans="1:7" x14ac:dyDescent="0.25">
      <c r="A177" s="8">
        <v>42634.741701388892</v>
      </c>
      <c r="B177" s="23" t="s">
        <v>255</v>
      </c>
      <c r="C177" s="23" t="s">
        <v>567</v>
      </c>
      <c r="D177" s="23">
        <v>2220000</v>
      </c>
      <c r="E177" s="23" t="s">
        <v>495</v>
      </c>
      <c r="F177" s="23" t="str">
        <f t="shared" si="4"/>
        <v>rtdc.l.rtdc.4045:itc</v>
      </c>
      <c r="G177" s="8">
        <f t="shared" si="5"/>
        <v>42634.741701388892</v>
      </c>
    </row>
    <row r="178" spans="1:7" x14ac:dyDescent="0.25">
      <c r="A178" s="8">
        <v>42634.747731481482</v>
      </c>
      <c r="B178" s="23" t="s">
        <v>325</v>
      </c>
      <c r="C178" s="23" t="s">
        <v>568</v>
      </c>
      <c r="D178" s="23">
        <v>2000000</v>
      </c>
      <c r="E178" s="23" t="s">
        <v>122</v>
      </c>
      <c r="F178" s="23" t="str">
        <f t="shared" si="4"/>
        <v>rtdc.l.rtdc.4014:itc</v>
      </c>
      <c r="G178" s="8">
        <f t="shared" si="5"/>
        <v>42634.747731481482</v>
      </c>
    </row>
    <row r="179" spans="1:7" x14ac:dyDescent="0.25">
      <c r="A179" s="8">
        <v>42634.750300925924</v>
      </c>
      <c r="B179" s="23" t="s">
        <v>289</v>
      </c>
      <c r="C179" s="23" t="s">
        <v>569</v>
      </c>
      <c r="D179" s="23">
        <v>1740000</v>
      </c>
      <c r="E179" s="23" t="s">
        <v>333</v>
      </c>
      <c r="F179" s="23" t="str">
        <f t="shared" si="4"/>
        <v>rtdc.l.rtdc.4007:itc</v>
      </c>
      <c r="G179" s="8">
        <f t="shared" si="5"/>
        <v>42634.750300925924</v>
      </c>
    </row>
    <row r="180" spans="1:7" x14ac:dyDescent="0.25">
      <c r="A180" s="8">
        <v>42634.753796296296</v>
      </c>
      <c r="B180" s="23" t="s">
        <v>164</v>
      </c>
      <c r="C180" s="23" t="s">
        <v>570</v>
      </c>
      <c r="D180" s="23">
        <v>1480000</v>
      </c>
      <c r="E180" s="23" t="s">
        <v>244</v>
      </c>
      <c r="F180" s="23" t="str">
        <f t="shared" si="4"/>
        <v>rtdc.l.rtdc.4019:itc</v>
      </c>
      <c r="G180" s="8">
        <f t="shared" si="5"/>
        <v>42634.753796296296</v>
      </c>
    </row>
    <row r="181" spans="1:7" x14ac:dyDescent="0.25">
      <c r="A181" s="8">
        <v>42634.757233796299</v>
      </c>
      <c r="B181" s="23" t="s">
        <v>414</v>
      </c>
      <c r="C181" s="23" t="s">
        <v>571</v>
      </c>
      <c r="D181" s="23">
        <v>1180000</v>
      </c>
      <c r="E181" s="23" t="s">
        <v>282</v>
      </c>
      <c r="F181" s="23" t="str">
        <f t="shared" si="4"/>
        <v>rtdc.l.rtdc.4032:itc</v>
      </c>
      <c r="G181" s="8">
        <f t="shared" si="5"/>
        <v>42634.757233796299</v>
      </c>
    </row>
    <row r="182" spans="1:7" x14ac:dyDescent="0.25">
      <c r="A182" s="8">
        <v>42634.757962962962</v>
      </c>
      <c r="B182" s="23" t="s">
        <v>404</v>
      </c>
      <c r="C182" s="23" t="s">
        <v>572</v>
      </c>
      <c r="D182" s="23">
        <v>1300000</v>
      </c>
      <c r="E182" s="23" t="s">
        <v>121</v>
      </c>
      <c r="F182" s="23" t="str">
        <f t="shared" si="4"/>
        <v>rtdc.l.rtdc.4027:itc</v>
      </c>
      <c r="G182" s="8">
        <f t="shared" si="5"/>
        <v>42634.757962962962</v>
      </c>
    </row>
    <row r="183" spans="1:7" x14ac:dyDescent="0.25">
      <c r="A183" s="8">
        <v>42634.763368055559</v>
      </c>
      <c r="B183" s="23" t="s">
        <v>242</v>
      </c>
      <c r="C183" s="23" t="s">
        <v>573</v>
      </c>
      <c r="D183" s="23">
        <v>2040000</v>
      </c>
      <c r="E183" s="23" t="s">
        <v>512</v>
      </c>
      <c r="F183" s="23" t="str">
        <f t="shared" si="4"/>
        <v>rtdc.l.rtdc.4044:itc</v>
      </c>
      <c r="G183" s="8">
        <f t="shared" si="5"/>
        <v>42634.763368055559</v>
      </c>
    </row>
    <row r="184" spans="1:7" x14ac:dyDescent="0.25">
      <c r="A184" s="8">
        <v>42634.765092592592</v>
      </c>
      <c r="B184" s="23" t="s">
        <v>294</v>
      </c>
      <c r="C184" s="23" t="s">
        <v>574</v>
      </c>
      <c r="D184" s="23">
        <v>1140000</v>
      </c>
      <c r="E184" s="23" t="s">
        <v>298</v>
      </c>
      <c r="F184" s="23" t="str">
        <f t="shared" si="4"/>
        <v>rtdc.l.rtdc.4001:itc</v>
      </c>
      <c r="G184" s="8">
        <f t="shared" si="5"/>
        <v>42634.765092592592</v>
      </c>
    </row>
    <row r="185" spans="1:7" x14ac:dyDescent="0.25">
      <c r="A185" s="8">
        <v>42634.769988425927</v>
      </c>
      <c r="B185" s="23" t="s">
        <v>178</v>
      </c>
      <c r="C185" s="23" t="s">
        <v>575</v>
      </c>
      <c r="D185" s="23">
        <v>1290000</v>
      </c>
      <c r="E185" s="23" t="s">
        <v>173</v>
      </c>
      <c r="F185" s="23" t="str">
        <f t="shared" si="4"/>
        <v>rtdc.l.rtdc.4042:itc</v>
      </c>
      <c r="G185" s="8">
        <f t="shared" si="5"/>
        <v>42634.769988425927</v>
      </c>
    </row>
    <row r="186" spans="1:7" x14ac:dyDescent="0.25">
      <c r="A186" s="8">
        <v>42634.772129629629</v>
      </c>
      <c r="B186" s="23" t="s">
        <v>332</v>
      </c>
      <c r="C186" s="23" t="s">
        <v>576</v>
      </c>
      <c r="D186" s="23">
        <v>1540000</v>
      </c>
      <c r="E186" s="23" t="s">
        <v>331</v>
      </c>
      <c r="F186" s="23" t="str">
        <f t="shared" si="4"/>
        <v>rtdc.l.rtdc.4006:itc</v>
      </c>
      <c r="G186" s="8">
        <f t="shared" si="5"/>
        <v>42634.772129629629</v>
      </c>
    </row>
    <row r="187" spans="1:7" x14ac:dyDescent="0.25">
      <c r="A187" s="8">
        <v>42634.775706018518</v>
      </c>
      <c r="B187" s="23" t="s">
        <v>327</v>
      </c>
      <c r="C187" s="23" t="s">
        <v>577</v>
      </c>
      <c r="D187" s="23">
        <v>1230000</v>
      </c>
      <c r="E187" s="23" t="s">
        <v>259</v>
      </c>
      <c r="F187" s="23" t="str">
        <f t="shared" si="4"/>
        <v>rtdc.l.rtdc.4015:itc</v>
      </c>
      <c r="G187" s="8">
        <f t="shared" si="5"/>
        <v>42634.775706018518</v>
      </c>
    </row>
    <row r="188" spans="1:7" x14ac:dyDescent="0.25">
      <c r="A188" s="8">
        <v>42634.776736111111</v>
      </c>
      <c r="B188" s="23" t="s">
        <v>243</v>
      </c>
      <c r="C188" s="23" t="s">
        <v>578</v>
      </c>
      <c r="D188" s="23">
        <v>2040000</v>
      </c>
      <c r="E188" s="23" t="s">
        <v>512</v>
      </c>
      <c r="F188" s="23" t="str">
        <f t="shared" si="4"/>
        <v>rtdc.l.rtdc.4043:itc</v>
      </c>
      <c r="G188" s="8">
        <f t="shared" si="5"/>
        <v>42634.776736111111</v>
      </c>
    </row>
    <row r="189" spans="1:7" x14ac:dyDescent="0.25">
      <c r="A189" s="8">
        <v>42634.781446759262</v>
      </c>
      <c r="B189" s="23" t="s">
        <v>419</v>
      </c>
      <c r="C189" s="23" t="s">
        <v>579</v>
      </c>
      <c r="D189" s="23">
        <v>1180000</v>
      </c>
      <c r="E189" s="23" t="s">
        <v>282</v>
      </c>
      <c r="F189" s="23" t="str">
        <f t="shared" si="4"/>
        <v>rtdc.l.rtdc.4031:itc</v>
      </c>
      <c r="G189" s="8">
        <f t="shared" si="5"/>
        <v>42634.781446759262</v>
      </c>
    </row>
    <row r="190" spans="1:7" x14ac:dyDescent="0.25">
      <c r="A190" s="8">
        <v>42634.782905092594</v>
      </c>
      <c r="B190" s="23" t="s">
        <v>181</v>
      </c>
      <c r="C190" s="23" t="s">
        <v>580</v>
      </c>
      <c r="D190" s="23">
        <v>2220000</v>
      </c>
      <c r="E190" s="23" t="s">
        <v>495</v>
      </c>
      <c r="F190" s="23" t="str">
        <f t="shared" si="4"/>
        <v>rtdc.l.rtdc.4046:itc</v>
      </c>
      <c r="G190" s="8">
        <f t="shared" si="5"/>
        <v>42634.782905092594</v>
      </c>
    </row>
    <row r="191" spans="1:7" x14ac:dyDescent="0.25">
      <c r="A191" s="8">
        <v>42634.783773148149</v>
      </c>
      <c r="B191" s="23" t="s">
        <v>295</v>
      </c>
      <c r="C191" s="23" t="s">
        <v>581</v>
      </c>
      <c r="D191" s="23">
        <v>1740000</v>
      </c>
      <c r="E191" s="23" t="s">
        <v>333</v>
      </c>
      <c r="F191" s="23" t="str">
        <f t="shared" si="4"/>
        <v>rtdc.l.rtdc.4008:itc</v>
      </c>
      <c r="G191" s="8">
        <f t="shared" si="5"/>
        <v>42634.783773148149</v>
      </c>
    </row>
    <row r="192" spans="1:7" x14ac:dyDescent="0.25">
      <c r="A192" s="8">
        <v>42634.792592592596</v>
      </c>
      <c r="B192" s="23" t="s">
        <v>165</v>
      </c>
      <c r="C192" s="23" t="s">
        <v>582</v>
      </c>
      <c r="D192" s="23">
        <v>1480000</v>
      </c>
      <c r="E192" s="23" t="s">
        <v>244</v>
      </c>
      <c r="F192" s="23" t="str">
        <f t="shared" si="4"/>
        <v>rtdc.l.rtdc.4020:itc</v>
      </c>
      <c r="G192" s="8">
        <f t="shared" si="5"/>
        <v>42634.792592592596</v>
      </c>
    </row>
    <row r="193" spans="1:7" x14ac:dyDescent="0.25">
      <c r="A193" s="8">
        <v>42634.795092592591</v>
      </c>
      <c r="B193" s="23" t="s">
        <v>434</v>
      </c>
      <c r="C193" s="23" t="s">
        <v>583</v>
      </c>
      <c r="D193" s="23">
        <v>1300000</v>
      </c>
      <c r="E193" s="23" t="s">
        <v>121</v>
      </c>
      <c r="F193" s="23" t="str">
        <f t="shared" si="4"/>
        <v>rtdc.l.rtdc.4028:itc</v>
      </c>
      <c r="G193" s="8">
        <f t="shared" si="5"/>
        <v>42634.795092592591</v>
      </c>
    </row>
    <row r="194" spans="1:7" x14ac:dyDescent="0.25">
      <c r="A194" s="8">
        <v>42634.797534722224</v>
      </c>
      <c r="B194" s="23" t="s">
        <v>414</v>
      </c>
      <c r="C194" s="23" t="s">
        <v>584</v>
      </c>
      <c r="D194" s="23">
        <v>1180000</v>
      </c>
      <c r="E194" s="23" t="s">
        <v>282</v>
      </c>
      <c r="F194" s="23" t="str">
        <f t="shared" ref="F194:F235" si="6">B194</f>
        <v>rtdc.l.rtdc.4032:itc</v>
      </c>
      <c r="G194" s="8">
        <f t="shared" ref="G194:G235" si="7">A194</f>
        <v>42634.797534722224</v>
      </c>
    </row>
    <row r="195" spans="1:7" x14ac:dyDescent="0.25">
      <c r="A195" s="8">
        <v>42634.802430555559</v>
      </c>
      <c r="B195" s="23" t="s">
        <v>242</v>
      </c>
      <c r="C195" s="23" t="s">
        <v>585</v>
      </c>
      <c r="D195" s="23">
        <v>2040000</v>
      </c>
      <c r="E195" s="23" t="s">
        <v>512</v>
      </c>
      <c r="F195" s="23" t="str">
        <f t="shared" si="6"/>
        <v>rtdc.l.rtdc.4044:itc</v>
      </c>
      <c r="G195" s="8">
        <f t="shared" si="7"/>
        <v>42634.802430555559</v>
      </c>
    </row>
    <row r="196" spans="1:7" x14ac:dyDescent="0.25">
      <c r="A196" s="8">
        <v>42634.805520833332</v>
      </c>
      <c r="B196" s="23" t="s">
        <v>176</v>
      </c>
      <c r="C196" s="23" t="s">
        <v>586</v>
      </c>
      <c r="D196" s="23">
        <v>1290000</v>
      </c>
      <c r="E196" s="23" t="s">
        <v>173</v>
      </c>
      <c r="F196" s="23" t="str">
        <f t="shared" si="6"/>
        <v>rtdc.l.rtdc.4041:itc</v>
      </c>
      <c r="G196" s="8">
        <f t="shared" si="7"/>
        <v>42634.805520833332</v>
      </c>
    </row>
    <row r="197" spans="1:7" x14ac:dyDescent="0.25">
      <c r="A197" s="8">
        <v>42634.807800925926</v>
      </c>
      <c r="B197" s="23" t="s">
        <v>401</v>
      </c>
      <c r="C197" s="23" t="s">
        <v>587</v>
      </c>
      <c r="D197" s="23">
        <v>1230000</v>
      </c>
      <c r="E197" s="23" t="s">
        <v>259</v>
      </c>
      <c r="F197" s="23" t="str">
        <f t="shared" si="6"/>
        <v>rtdc.l.rtdc.4016:itc</v>
      </c>
      <c r="G197" s="8">
        <f t="shared" si="7"/>
        <v>42634.807800925926</v>
      </c>
    </row>
    <row r="198" spans="1:7" x14ac:dyDescent="0.25">
      <c r="A198" s="8">
        <v>42634.818414351852</v>
      </c>
      <c r="B198" s="23" t="s">
        <v>243</v>
      </c>
      <c r="C198" s="23" t="s">
        <v>588</v>
      </c>
      <c r="D198" s="23">
        <v>2040000</v>
      </c>
      <c r="E198" s="23" t="s">
        <v>512</v>
      </c>
      <c r="F198" s="23" t="str">
        <f t="shared" si="6"/>
        <v>rtdc.l.rtdc.4043:itc</v>
      </c>
      <c r="G198" s="8">
        <f t="shared" si="7"/>
        <v>42634.818414351852</v>
      </c>
    </row>
    <row r="199" spans="1:7" x14ac:dyDescent="0.25">
      <c r="A199" s="8">
        <v>42634.818749999999</v>
      </c>
      <c r="B199" s="23" t="s">
        <v>289</v>
      </c>
      <c r="C199" s="23" t="s">
        <v>589</v>
      </c>
      <c r="D199" s="23">
        <v>1740000</v>
      </c>
      <c r="E199" s="23" t="s">
        <v>333</v>
      </c>
      <c r="F199" s="23" t="str">
        <f t="shared" si="6"/>
        <v>rtdc.l.rtdc.4007:itc</v>
      </c>
      <c r="G199" s="8">
        <f t="shared" si="7"/>
        <v>42634.818749999999</v>
      </c>
    </row>
    <row r="200" spans="1:7" x14ac:dyDescent="0.25">
      <c r="A200" s="8">
        <v>42634.827106481483</v>
      </c>
      <c r="B200" s="23" t="s">
        <v>164</v>
      </c>
      <c r="C200" s="23" t="s">
        <v>590</v>
      </c>
      <c r="D200" s="23">
        <v>1480000</v>
      </c>
      <c r="E200" s="23" t="s">
        <v>244</v>
      </c>
      <c r="F200" s="23" t="str">
        <f t="shared" si="6"/>
        <v>rtdc.l.rtdc.4019:itc</v>
      </c>
      <c r="G200" s="8">
        <f t="shared" si="7"/>
        <v>42634.827106481483</v>
      </c>
    </row>
    <row r="201" spans="1:7" x14ac:dyDescent="0.25">
      <c r="A201" s="8">
        <v>42634.832268518519</v>
      </c>
      <c r="B201" s="23" t="s">
        <v>404</v>
      </c>
      <c r="C201" s="23" t="s">
        <v>591</v>
      </c>
      <c r="D201" s="23">
        <v>1300000</v>
      </c>
      <c r="E201" s="23" t="s">
        <v>121</v>
      </c>
      <c r="F201" s="23" t="str">
        <f t="shared" si="6"/>
        <v>rtdc.l.rtdc.4027:itc</v>
      </c>
      <c r="G201" s="8">
        <f t="shared" si="7"/>
        <v>42634.832268518519</v>
      </c>
    </row>
    <row r="202" spans="1:7" x14ac:dyDescent="0.25">
      <c r="A202" s="29">
        <v>42634.844409722224</v>
      </c>
      <c r="B202" s="23" t="s">
        <v>242</v>
      </c>
      <c r="C202" s="23" t="s">
        <v>592</v>
      </c>
      <c r="D202" s="23">
        <v>2040000</v>
      </c>
      <c r="E202" s="23" t="s">
        <v>512</v>
      </c>
      <c r="F202" s="23" t="str">
        <f t="shared" si="6"/>
        <v>rtdc.l.rtdc.4044:itc</v>
      </c>
      <c r="G202" s="8">
        <f t="shared" si="7"/>
        <v>42634.844409722224</v>
      </c>
    </row>
    <row r="203" spans="1:7" x14ac:dyDescent="0.25">
      <c r="A203" s="8">
        <v>42634.848796296297</v>
      </c>
      <c r="B203" s="23" t="s">
        <v>327</v>
      </c>
      <c r="C203" s="23" t="s">
        <v>593</v>
      </c>
      <c r="D203" s="23">
        <v>1230000</v>
      </c>
      <c r="E203" s="23" t="s">
        <v>259</v>
      </c>
      <c r="F203" s="23" t="str">
        <f t="shared" si="6"/>
        <v>rtdc.l.rtdc.4015:itc</v>
      </c>
      <c r="G203" s="8">
        <f t="shared" si="7"/>
        <v>42634.848796296297</v>
      </c>
    </row>
    <row r="204" spans="1:7" x14ac:dyDescent="0.25">
      <c r="A204" s="8">
        <v>42634.85193287037</v>
      </c>
      <c r="B204" s="23" t="s">
        <v>178</v>
      </c>
      <c r="C204" s="23" t="s">
        <v>594</v>
      </c>
      <c r="D204" s="23">
        <v>1290000</v>
      </c>
      <c r="E204" s="23" t="s">
        <v>173</v>
      </c>
      <c r="F204" s="23" t="str">
        <f t="shared" si="6"/>
        <v>rtdc.l.rtdc.4042:itc</v>
      </c>
      <c r="G204" s="8">
        <f t="shared" si="7"/>
        <v>42634.85193287037</v>
      </c>
    </row>
    <row r="205" spans="1:7" x14ac:dyDescent="0.25">
      <c r="A205" s="8">
        <v>42634.859733796293</v>
      </c>
      <c r="B205" s="23" t="s">
        <v>243</v>
      </c>
      <c r="C205" s="23" t="s">
        <v>595</v>
      </c>
      <c r="D205" s="23">
        <v>2040000</v>
      </c>
      <c r="E205" s="23" t="s">
        <v>512</v>
      </c>
      <c r="F205" s="23" t="str">
        <f t="shared" si="6"/>
        <v>rtdc.l.rtdc.4043:itc</v>
      </c>
      <c r="G205" s="8">
        <f t="shared" si="7"/>
        <v>42634.859733796293</v>
      </c>
    </row>
    <row r="206" spans="1:7" x14ac:dyDescent="0.25">
      <c r="A206" s="8">
        <v>42634.869664351849</v>
      </c>
      <c r="B206" s="23" t="s">
        <v>434</v>
      </c>
      <c r="C206" s="23" t="s">
        <v>596</v>
      </c>
      <c r="D206" s="23">
        <v>1300000</v>
      </c>
      <c r="E206" s="23" t="s">
        <v>121</v>
      </c>
      <c r="F206" s="23" t="str">
        <f t="shared" si="6"/>
        <v>rtdc.l.rtdc.4028:itc</v>
      </c>
      <c r="G206" s="8">
        <f t="shared" si="7"/>
        <v>42634.869664351849</v>
      </c>
    </row>
    <row r="207" spans="1:7" x14ac:dyDescent="0.25">
      <c r="A207" s="8">
        <v>42634.871678240743</v>
      </c>
      <c r="B207" s="23" t="s">
        <v>165</v>
      </c>
      <c r="C207" s="23" t="s">
        <v>597</v>
      </c>
      <c r="D207" s="23">
        <v>1480000</v>
      </c>
      <c r="E207" s="23" t="s">
        <v>244</v>
      </c>
      <c r="F207" s="23" t="str">
        <f t="shared" si="6"/>
        <v>rtdc.l.rtdc.4020:itc</v>
      </c>
      <c r="G207" s="8">
        <f t="shared" si="7"/>
        <v>42634.871678240743</v>
      </c>
    </row>
    <row r="208" spans="1:7" x14ac:dyDescent="0.25">
      <c r="A208" s="8">
        <v>42634.877106481479</v>
      </c>
      <c r="B208" s="23" t="s">
        <v>242</v>
      </c>
      <c r="C208" s="23" t="s">
        <v>598</v>
      </c>
      <c r="D208" s="23">
        <v>1180000</v>
      </c>
      <c r="E208" s="23" t="s">
        <v>282</v>
      </c>
      <c r="F208" s="23" t="str">
        <f t="shared" si="6"/>
        <v>rtdc.l.rtdc.4044:itc</v>
      </c>
      <c r="G208" s="8">
        <f t="shared" si="7"/>
        <v>42634.877106481479</v>
      </c>
    </row>
    <row r="209" spans="1:7" x14ac:dyDescent="0.25">
      <c r="A209" s="8">
        <v>42634.890231481484</v>
      </c>
      <c r="B209" s="23" t="s">
        <v>176</v>
      </c>
      <c r="C209" s="23" t="s">
        <v>599</v>
      </c>
      <c r="D209" s="23">
        <v>1290000</v>
      </c>
      <c r="E209" s="23" t="s">
        <v>173</v>
      </c>
      <c r="F209" s="23" t="str">
        <f t="shared" si="6"/>
        <v>rtdc.l.rtdc.4041:itc</v>
      </c>
      <c r="G209" s="8">
        <f t="shared" si="7"/>
        <v>42634.890231481484</v>
      </c>
    </row>
    <row r="210" spans="1:7" x14ac:dyDescent="0.25">
      <c r="A210" s="8">
        <v>42634.893564814818</v>
      </c>
      <c r="B210" s="23" t="s">
        <v>401</v>
      </c>
      <c r="C210" s="23" t="s">
        <v>600</v>
      </c>
      <c r="D210" s="23">
        <v>1230000</v>
      </c>
      <c r="E210" s="23" t="s">
        <v>259</v>
      </c>
      <c r="F210" s="23" t="str">
        <f t="shared" si="6"/>
        <v>rtdc.l.rtdc.4016:itc</v>
      </c>
      <c r="G210" s="8">
        <f t="shared" si="7"/>
        <v>42634.893564814818</v>
      </c>
    </row>
    <row r="211" spans="1:7" x14ac:dyDescent="0.25">
      <c r="A211" s="8">
        <v>42634.902997685182</v>
      </c>
      <c r="B211" s="23" t="s">
        <v>243</v>
      </c>
      <c r="C211" s="23" t="s">
        <v>601</v>
      </c>
      <c r="D211" s="23">
        <v>1180000</v>
      </c>
      <c r="E211" s="23" t="s">
        <v>282</v>
      </c>
      <c r="F211" s="23" t="str">
        <f t="shared" si="6"/>
        <v>rtdc.l.rtdc.4043:itc</v>
      </c>
      <c r="G211" s="8">
        <f t="shared" si="7"/>
        <v>42634.902997685182</v>
      </c>
    </row>
    <row r="212" spans="1:7" x14ac:dyDescent="0.25">
      <c r="A212" s="8">
        <v>42634.908692129633</v>
      </c>
      <c r="B212" s="23" t="s">
        <v>164</v>
      </c>
      <c r="C212" s="23" t="s">
        <v>602</v>
      </c>
      <c r="D212" s="23">
        <v>1480000</v>
      </c>
      <c r="E212" s="23" t="s">
        <v>244</v>
      </c>
      <c r="F212" s="23" t="str">
        <f t="shared" si="6"/>
        <v>rtdc.l.rtdc.4019:itc</v>
      </c>
      <c r="G212" s="8">
        <f t="shared" si="7"/>
        <v>42634.908692129633</v>
      </c>
    </row>
    <row r="213" spans="1:7" x14ac:dyDescent="0.25">
      <c r="A213" s="8">
        <v>42634.91333333333</v>
      </c>
      <c r="B213" s="23" t="s">
        <v>404</v>
      </c>
      <c r="C213" s="23" t="s">
        <v>603</v>
      </c>
      <c r="D213" s="23">
        <v>1300000</v>
      </c>
      <c r="E213" s="23" t="s">
        <v>121</v>
      </c>
      <c r="F213" s="23" t="str">
        <f t="shared" si="6"/>
        <v>rtdc.l.rtdc.4027:itc</v>
      </c>
      <c r="G213" s="8">
        <f t="shared" si="7"/>
        <v>42634.91333333333</v>
      </c>
    </row>
    <row r="214" spans="1:7" x14ac:dyDescent="0.25">
      <c r="A214" s="8">
        <v>42634.923564814817</v>
      </c>
      <c r="B214" s="23" t="s">
        <v>242</v>
      </c>
      <c r="C214" s="23" t="s">
        <v>604</v>
      </c>
      <c r="D214" s="23">
        <v>1180000</v>
      </c>
      <c r="E214" s="23" t="s">
        <v>282</v>
      </c>
      <c r="F214" s="23" t="str">
        <f t="shared" si="6"/>
        <v>rtdc.l.rtdc.4044:itc</v>
      </c>
      <c r="G214" s="8">
        <f t="shared" si="7"/>
        <v>42634.923564814817</v>
      </c>
    </row>
    <row r="215" spans="1:7" x14ac:dyDescent="0.25">
      <c r="A215" s="8">
        <v>42634.93241898148</v>
      </c>
      <c r="B215" s="23" t="s">
        <v>327</v>
      </c>
      <c r="C215" s="23" t="s">
        <v>605</v>
      </c>
      <c r="D215" s="23">
        <v>1230000</v>
      </c>
      <c r="E215" s="23" t="s">
        <v>259</v>
      </c>
      <c r="F215" s="23" t="str">
        <f t="shared" si="6"/>
        <v>rtdc.l.rtdc.4015:itc</v>
      </c>
      <c r="G215" s="8">
        <f t="shared" si="7"/>
        <v>42634.93241898148</v>
      </c>
    </row>
    <row r="216" spans="1:7" x14ac:dyDescent="0.25">
      <c r="A216" s="8">
        <v>42634.935277777775</v>
      </c>
      <c r="B216" s="23" t="s">
        <v>178</v>
      </c>
      <c r="C216" s="23" t="s">
        <v>606</v>
      </c>
      <c r="D216" s="23">
        <v>1290000</v>
      </c>
      <c r="E216" s="23" t="s">
        <v>173</v>
      </c>
      <c r="F216" s="23" t="str">
        <f t="shared" si="6"/>
        <v>rtdc.l.rtdc.4042:itc</v>
      </c>
      <c r="G216" s="8">
        <f t="shared" si="7"/>
        <v>42634.935277777775</v>
      </c>
    </row>
    <row r="217" spans="1:7" x14ac:dyDescent="0.25">
      <c r="A217" s="8">
        <v>42634.943854166668</v>
      </c>
      <c r="B217" s="23" t="s">
        <v>243</v>
      </c>
      <c r="C217" s="23" t="s">
        <v>607</v>
      </c>
      <c r="D217" s="23">
        <v>1180000</v>
      </c>
      <c r="E217" s="23" t="s">
        <v>282</v>
      </c>
      <c r="F217" s="23" t="str">
        <f t="shared" si="6"/>
        <v>rtdc.l.rtdc.4043:itc</v>
      </c>
      <c r="G217" s="8">
        <f t="shared" si="7"/>
        <v>42634.943854166668</v>
      </c>
    </row>
    <row r="218" spans="1:7" x14ac:dyDescent="0.25">
      <c r="A218" s="8">
        <v>42634.951550925929</v>
      </c>
      <c r="B218" s="23" t="s">
        <v>434</v>
      </c>
      <c r="C218" s="23" t="s">
        <v>608</v>
      </c>
      <c r="D218" s="23">
        <v>1300000</v>
      </c>
      <c r="E218" s="23" t="s">
        <v>121</v>
      </c>
      <c r="F218" s="23" t="str">
        <f t="shared" si="6"/>
        <v>rtdc.l.rtdc.4028:itc</v>
      </c>
      <c r="G218" s="8">
        <f t="shared" si="7"/>
        <v>42634.951550925929</v>
      </c>
    </row>
    <row r="219" spans="1:7" x14ac:dyDescent="0.25">
      <c r="A219" s="8">
        <v>42634.952627314815</v>
      </c>
      <c r="B219" s="23" t="s">
        <v>165</v>
      </c>
      <c r="C219" s="23" t="s">
        <v>609</v>
      </c>
      <c r="D219" s="23">
        <v>1480000</v>
      </c>
      <c r="E219" s="23" t="s">
        <v>244</v>
      </c>
      <c r="F219" s="23" t="str">
        <f t="shared" si="6"/>
        <v>rtdc.l.rtdc.4020:itc</v>
      </c>
      <c r="G219" s="8">
        <f t="shared" si="7"/>
        <v>42634.952627314815</v>
      </c>
    </row>
    <row r="220" spans="1:7" x14ac:dyDescent="0.25">
      <c r="A220" s="8">
        <v>42634.972210648149</v>
      </c>
      <c r="B220" s="23" t="s">
        <v>176</v>
      </c>
      <c r="C220" s="23" t="s">
        <v>610</v>
      </c>
      <c r="D220" s="23">
        <v>1290000</v>
      </c>
      <c r="E220" s="23" t="s">
        <v>173</v>
      </c>
      <c r="F220" s="23" t="str">
        <f t="shared" si="6"/>
        <v>rtdc.l.rtdc.4041:itc</v>
      </c>
      <c r="G220" s="8">
        <f t="shared" si="7"/>
        <v>42634.972210648149</v>
      </c>
    </row>
    <row r="221" spans="1:7" x14ac:dyDescent="0.25">
      <c r="A221" s="8">
        <v>42634.976342592592</v>
      </c>
      <c r="B221" s="23" t="s">
        <v>401</v>
      </c>
      <c r="C221" s="23" t="s">
        <v>611</v>
      </c>
      <c r="D221" s="23">
        <v>1230000</v>
      </c>
      <c r="E221" s="23" t="s">
        <v>259</v>
      </c>
      <c r="F221" s="23" t="str">
        <f t="shared" si="6"/>
        <v>rtdc.l.rtdc.4016:itc</v>
      </c>
      <c r="G221" s="8">
        <f t="shared" si="7"/>
        <v>42634.976342592592</v>
      </c>
    </row>
    <row r="222" spans="1:7" x14ac:dyDescent="0.25">
      <c r="A222" s="8">
        <v>42634.987650462965</v>
      </c>
      <c r="B222" s="23" t="s">
        <v>164</v>
      </c>
      <c r="C222" s="23" t="s">
        <v>612</v>
      </c>
      <c r="D222" s="23">
        <v>1480000</v>
      </c>
      <c r="E222" s="23" t="s">
        <v>244</v>
      </c>
      <c r="F222" s="23" t="str">
        <f t="shared" si="6"/>
        <v>rtdc.l.rtdc.4019:itc</v>
      </c>
      <c r="G222" s="8">
        <f t="shared" si="7"/>
        <v>42634.987650462965</v>
      </c>
    </row>
    <row r="223" spans="1:7" x14ac:dyDescent="0.25">
      <c r="A223" s="8">
        <v>42634.99417824074</v>
      </c>
      <c r="B223" s="23" t="s">
        <v>404</v>
      </c>
      <c r="C223" s="23" t="s">
        <v>613</v>
      </c>
      <c r="D223" s="23">
        <v>1300000</v>
      </c>
      <c r="E223" s="23" t="s">
        <v>121</v>
      </c>
      <c r="F223" s="23" t="str">
        <f t="shared" si="6"/>
        <v>rtdc.l.rtdc.4027:itc</v>
      </c>
      <c r="G223" s="8">
        <f t="shared" si="7"/>
        <v>42634.99417824074</v>
      </c>
    </row>
    <row r="224" spans="1:7" x14ac:dyDescent="0.25">
      <c r="A224" s="8">
        <v>42635.005462962959</v>
      </c>
      <c r="B224" t="s">
        <v>327</v>
      </c>
      <c r="C224" t="s">
        <v>614</v>
      </c>
      <c r="D224">
        <v>1230000</v>
      </c>
      <c r="E224" t="s">
        <v>259</v>
      </c>
      <c r="F224" s="23" t="str">
        <f t="shared" si="6"/>
        <v>rtdc.l.rtdc.4015:itc</v>
      </c>
      <c r="G224" s="8">
        <f t="shared" si="7"/>
        <v>42635.005462962959</v>
      </c>
    </row>
    <row r="225" spans="1:7" x14ac:dyDescent="0.25">
      <c r="A225" s="8">
        <v>42635.015879629631</v>
      </c>
      <c r="B225" t="s">
        <v>327</v>
      </c>
      <c r="C225" t="s">
        <v>614</v>
      </c>
      <c r="D225">
        <v>1230000</v>
      </c>
      <c r="E225" t="s">
        <v>259</v>
      </c>
      <c r="F225" s="23" t="str">
        <f t="shared" si="6"/>
        <v>rtdc.l.rtdc.4015:itc</v>
      </c>
      <c r="G225" s="8">
        <f t="shared" si="7"/>
        <v>42635.015879629631</v>
      </c>
    </row>
    <row r="226" spans="1:7" x14ac:dyDescent="0.25">
      <c r="A226" s="8">
        <v>42635.018506944441</v>
      </c>
      <c r="B226" t="s">
        <v>178</v>
      </c>
      <c r="C226" t="s">
        <v>615</v>
      </c>
      <c r="D226">
        <v>1290000</v>
      </c>
      <c r="E226" t="s">
        <v>173</v>
      </c>
      <c r="F226" s="23" t="str">
        <f t="shared" si="6"/>
        <v>rtdc.l.rtdc.4042:itc</v>
      </c>
      <c r="G226" s="8">
        <f t="shared" si="7"/>
        <v>42635.018506944441</v>
      </c>
    </row>
    <row r="227" spans="1:7" x14ac:dyDescent="0.25">
      <c r="A227" s="8">
        <v>42635.028599537036</v>
      </c>
      <c r="B227" t="s">
        <v>165</v>
      </c>
      <c r="C227" t="s">
        <v>616</v>
      </c>
      <c r="D227">
        <v>1480000</v>
      </c>
      <c r="E227" t="s">
        <v>244</v>
      </c>
      <c r="F227" s="23" t="str">
        <f t="shared" si="6"/>
        <v>rtdc.l.rtdc.4020:itc</v>
      </c>
      <c r="G227" s="8">
        <f t="shared" si="7"/>
        <v>42635.028599537036</v>
      </c>
    </row>
    <row r="228" spans="1:7" x14ac:dyDescent="0.25">
      <c r="A228" s="8">
        <v>42635.029988425929</v>
      </c>
      <c r="B228" t="s">
        <v>165</v>
      </c>
      <c r="C228" t="s">
        <v>616</v>
      </c>
      <c r="D228">
        <v>1480000</v>
      </c>
      <c r="E228" t="s">
        <v>244</v>
      </c>
      <c r="F228" s="23" t="str">
        <f t="shared" si="6"/>
        <v>rtdc.l.rtdc.4020:itc</v>
      </c>
      <c r="G228" s="8">
        <f t="shared" si="7"/>
        <v>42635.029988425929</v>
      </c>
    </row>
    <row r="229" spans="1:7" x14ac:dyDescent="0.25">
      <c r="A229" s="8">
        <v>42635.032557870371</v>
      </c>
      <c r="B229" t="s">
        <v>434</v>
      </c>
      <c r="C229" t="s">
        <v>617</v>
      </c>
      <c r="D229">
        <v>1300000</v>
      </c>
      <c r="E229" t="s">
        <v>121</v>
      </c>
      <c r="F229" s="23" t="str">
        <f t="shared" si="6"/>
        <v>rtdc.l.rtdc.4028:itc</v>
      </c>
      <c r="G229" s="8">
        <f t="shared" si="7"/>
        <v>42635.032557870371</v>
      </c>
    </row>
    <row r="230" spans="1:7" x14ac:dyDescent="0.25">
      <c r="A230" s="8">
        <v>42635.046412037038</v>
      </c>
      <c r="B230" t="s">
        <v>401</v>
      </c>
      <c r="C230" t="s">
        <v>618</v>
      </c>
      <c r="D230">
        <v>1230000</v>
      </c>
      <c r="E230" t="s">
        <v>259</v>
      </c>
      <c r="F230" s="23" t="str">
        <f t="shared" si="6"/>
        <v>rtdc.l.rtdc.4016:itc</v>
      </c>
      <c r="G230" s="8">
        <f t="shared" si="7"/>
        <v>42635.046412037038</v>
      </c>
    </row>
    <row r="231" spans="1:7" x14ac:dyDescent="0.25">
      <c r="A231" s="8">
        <v>42635.055613425924</v>
      </c>
      <c r="B231" t="s">
        <v>176</v>
      </c>
      <c r="C231" t="s">
        <v>619</v>
      </c>
      <c r="D231">
        <v>1290000</v>
      </c>
      <c r="E231" t="s">
        <v>173</v>
      </c>
      <c r="F231" s="23" t="str">
        <f t="shared" si="6"/>
        <v>rtdc.l.rtdc.4041:itc</v>
      </c>
      <c r="G231" s="8">
        <f t="shared" si="7"/>
        <v>42635.055613425924</v>
      </c>
    </row>
    <row r="232" spans="1:7" x14ac:dyDescent="0.25">
      <c r="A232" s="8">
        <v>42635.067523148151</v>
      </c>
      <c r="B232" t="s">
        <v>404</v>
      </c>
      <c r="C232" t="s">
        <v>620</v>
      </c>
      <c r="D232">
        <v>1300000</v>
      </c>
      <c r="E232" t="s">
        <v>121</v>
      </c>
      <c r="F232" s="23" t="str">
        <f t="shared" si="6"/>
        <v>rtdc.l.rtdc.4027:itc</v>
      </c>
      <c r="G232" s="8">
        <f t="shared" si="7"/>
        <v>42635.067523148151</v>
      </c>
    </row>
    <row r="233" spans="1:7" x14ac:dyDescent="0.25">
      <c r="A233" s="8">
        <v>42635.088993055557</v>
      </c>
      <c r="B233" t="s">
        <v>178</v>
      </c>
      <c r="C233" t="s">
        <v>621</v>
      </c>
      <c r="D233">
        <v>1290000</v>
      </c>
      <c r="E233" t="s">
        <v>173</v>
      </c>
      <c r="F233" s="23" t="str">
        <f t="shared" si="6"/>
        <v>rtdc.l.rtdc.4042:itc</v>
      </c>
      <c r="G233" s="8">
        <f t="shared" si="7"/>
        <v>42635.088993055557</v>
      </c>
    </row>
    <row r="234" spans="1:7" x14ac:dyDescent="0.25">
      <c r="F234" s="23">
        <f t="shared" si="6"/>
        <v>0</v>
      </c>
      <c r="G234" s="8">
        <f t="shared" si="7"/>
        <v>0</v>
      </c>
    </row>
    <row r="235" spans="1:7" x14ac:dyDescent="0.25">
      <c r="A235" s="8">
        <v>42630.078773148147</v>
      </c>
      <c r="B235" t="s">
        <v>258</v>
      </c>
      <c r="C235" t="s">
        <v>261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242</v>
      </c>
      <c r="C236" t="s">
        <v>262</v>
      </c>
      <c r="D236">
        <v>1800000</v>
      </c>
      <c r="E236" t="s">
        <v>260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263</v>
      </c>
      <c r="D237">
        <v>1480000</v>
      </c>
      <c r="E237" t="s">
        <v>244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256</v>
      </c>
      <c r="C238" t="s">
        <v>264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232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319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68.260000000000005</v>
      </c>
      <c r="B2" s="154">
        <v>0.86</v>
      </c>
      <c r="C2" s="154">
        <v>41.09</v>
      </c>
      <c r="D2" s="169">
        <v>42634</v>
      </c>
      <c r="E2" s="154">
        <v>0.37</v>
      </c>
      <c r="F2" s="154" t="s">
        <v>389</v>
      </c>
      <c r="G2" s="154">
        <v>258.82</v>
      </c>
      <c r="H2" s="154">
        <v>0</v>
      </c>
      <c r="I2" s="154">
        <v>0</v>
      </c>
      <c r="K2" s="154">
        <v>1013.49</v>
      </c>
      <c r="L2" s="154" t="s">
        <v>390</v>
      </c>
      <c r="M2" s="154">
        <v>68.260000000000005</v>
      </c>
      <c r="N2" s="154">
        <v>1474437600</v>
      </c>
      <c r="O2" s="154">
        <v>1.24</v>
      </c>
      <c r="P2" s="154">
        <v>204</v>
      </c>
      <c r="Q2" s="154">
        <v>4.21</v>
      </c>
    </row>
    <row r="3" spans="1:17" x14ac:dyDescent="0.25">
      <c r="A3" s="154">
        <v>66.709999999999994</v>
      </c>
      <c r="B3" s="154">
        <v>0.82</v>
      </c>
      <c r="C3" s="154">
        <v>41.85</v>
      </c>
      <c r="D3" s="169">
        <v>42634.041666666664</v>
      </c>
      <c r="E3" s="154">
        <v>0.4</v>
      </c>
      <c r="F3" s="154" t="s">
        <v>389</v>
      </c>
      <c r="G3" s="154">
        <v>258.12</v>
      </c>
      <c r="H3" s="154">
        <v>0</v>
      </c>
      <c r="I3" s="154">
        <v>0</v>
      </c>
      <c r="K3" s="154">
        <v>1013.68</v>
      </c>
      <c r="L3" s="154" t="s">
        <v>390</v>
      </c>
      <c r="M3" s="154">
        <v>66.709999999999994</v>
      </c>
      <c r="N3" s="154">
        <v>1474441200</v>
      </c>
      <c r="O3" s="154">
        <v>1.24</v>
      </c>
      <c r="P3" s="154">
        <v>223</v>
      </c>
      <c r="Q3" s="154">
        <v>4.96</v>
      </c>
    </row>
    <row r="4" spans="1:17" x14ac:dyDescent="0.25">
      <c r="A4" s="154">
        <v>65.790000000000006</v>
      </c>
      <c r="B4" s="154">
        <v>0.78</v>
      </c>
      <c r="C4" s="154">
        <v>42.72</v>
      </c>
      <c r="D4" s="169">
        <v>42634.083333333336</v>
      </c>
      <c r="E4" s="154">
        <v>0.43</v>
      </c>
      <c r="F4" s="154" t="s">
        <v>389</v>
      </c>
      <c r="G4" s="154">
        <v>257.41000000000003</v>
      </c>
      <c r="H4" s="154">
        <v>0</v>
      </c>
      <c r="I4" s="154">
        <v>0</v>
      </c>
      <c r="K4" s="154">
        <v>1013.89</v>
      </c>
      <c r="L4" s="154" t="s">
        <v>390</v>
      </c>
      <c r="M4" s="154">
        <v>65.790000000000006</v>
      </c>
      <c r="N4" s="154">
        <v>1474444800</v>
      </c>
      <c r="O4" s="154">
        <v>1.24</v>
      </c>
      <c r="P4" s="154">
        <v>208</v>
      </c>
      <c r="Q4" s="154">
        <v>4.71</v>
      </c>
    </row>
    <row r="5" spans="1:17" x14ac:dyDescent="0.25">
      <c r="A5" s="154">
        <v>64.650000000000006</v>
      </c>
      <c r="B5" s="154">
        <v>0.68</v>
      </c>
      <c r="C5" s="154">
        <v>43.91</v>
      </c>
      <c r="D5" s="169">
        <v>42634.125</v>
      </c>
      <c r="E5" s="154">
        <v>0.47</v>
      </c>
      <c r="F5" s="154" t="s">
        <v>389</v>
      </c>
      <c r="G5" s="154">
        <v>256.70999999999998</v>
      </c>
      <c r="H5" s="154">
        <v>0</v>
      </c>
      <c r="I5" s="154">
        <v>0</v>
      </c>
      <c r="K5" s="154">
        <v>1014.2</v>
      </c>
      <c r="L5" s="154" t="s">
        <v>390</v>
      </c>
      <c r="M5" s="154">
        <v>64.650000000000006</v>
      </c>
      <c r="N5" s="154">
        <v>1474448400</v>
      </c>
      <c r="O5" s="154">
        <v>1.24</v>
      </c>
      <c r="P5" s="154">
        <v>202</v>
      </c>
      <c r="Q5" s="154">
        <v>5.21</v>
      </c>
    </row>
    <row r="6" spans="1:17" x14ac:dyDescent="0.25">
      <c r="A6" s="154">
        <v>63.14</v>
      </c>
      <c r="B6" s="154">
        <v>0.76</v>
      </c>
      <c r="C6" s="154">
        <v>43.53</v>
      </c>
      <c r="D6" s="169">
        <v>42634.166666666664</v>
      </c>
      <c r="E6" s="154">
        <v>0.49</v>
      </c>
      <c r="F6" s="154" t="s">
        <v>389</v>
      </c>
      <c r="G6" s="154">
        <v>256.98</v>
      </c>
      <c r="H6" s="154">
        <v>0</v>
      </c>
      <c r="I6" s="154">
        <v>0</v>
      </c>
      <c r="K6" s="154">
        <v>1013.83</v>
      </c>
      <c r="L6" s="154" t="s">
        <v>390</v>
      </c>
      <c r="M6" s="154">
        <v>63.14</v>
      </c>
      <c r="N6" s="154">
        <v>1474452000</v>
      </c>
      <c r="O6" s="154">
        <v>1.24</v>
      </c>
      <c r="P6" s="154">
        <v>207</v>
      </c>
      <c r="Q6" s="154">
        <v>4.49</v>
      </c>
    </row>
    <row r="7" spans="1:17" x14ac:dyDescent="0.25">
      <c r="A7" s="154">
        <v>61.95</v>
      </c>
      <c r="B7" s="154">
        <v>0.83</v>
      </c>
      <c r="C7" s="154">
        <v>43.32</v>
      </c>
      <c r="D7" s="169">
        <v>42634.208333333336</v>
      </c>
      <c r="E7" s="154">
        <v>0.5</v>
      </c>
      <c r="F7" s="154" t="s">
        <v>389</v>
      </c>
      <c r="G7" s="154">
        <v>257.64</v>
      </c>
      <c r="H7" s="154">
        <v>0</v>
      </c>
      <c r="I7" s="154">
        <v>0</v>
      </c>
      <c r="K7" s="154">
        <v>1013.42</v>
      </c>
      <c r="L7" s="154" t="s">
        <v>390</v>
      </c>
      <c r="M7" s="154">
        <v>61.95</v>
      </c>
      <c r="N7" s="154">
        <v>1474455600</v>
      </c>
      <c r="O7" s="154">
        <v>1.24</v>
      </c>
      <c r="P7" s="154">
        <v>208</v>
      </c>
      <c r="Q7" s="154">
        <v>4.05</v>
      </c>
    </row>
    <row r="8" spans="1:17" x14ac:dyDescent="0.25">
      <c r="A8" s="154">
        <v>61.32</v>
      </c>
      <c r="B8" s="154">
        <v>0.86</v>
      </c>
      <c r="C8" s="154">
        <v>43.12</v>
      </c>
      <c r="D8" s="169">
        <v>42634.25</v>
      </c>
      <c r="E8" s="154">
        <v>0.51</v>
      </c>
      <c r="F8" s="154" t="s">
        <v>389</v>
      </c>
      <c r="G8" s="154">
        <v>258.17</v>
      </c>
      <c r="H8" s="154">
        <v>0</v>
      </c>
      <c r="I8" s="154">
        <v>0</v>
      </c>
      <c r="K8" s="154">
        <v>1013.21</v>
      </c>
      <c r="L8" s="154" t="s">
        <v>390</v>
      </c>
      <c r="M8" s="154">
        <v>61.32</v>
      </c>
      <c r="N8" s="154">
        <v>1474459200</v>
      </c>
      <c r="O8" s="154">
        <v>1.24</v>
      </c>
      <c r="P8" s="154">
        <v>221</v>
      </c>
      <c r="Q8" s="154">
        <v>3.47</v>
      </c>
    </row>
    <row r="9" spans="1:17" x14ac:dyDescent="0.25">
      <c r="A9" s="154">
        <v>61.76</v>
      </c>
      <c r="B9" s="154">
        <v>0.85</v>
      </c>
      <c r="C9" s="154">
        <v>44.12</v>
      </c>
      <c r="D9" s="169">
        <v>42634.291666666664</v>
      </c>
      <c r="E9" s="154">
        <v>0.52</v>
      </c>
      <c r="F9" s="154" t="s">
        <v>389</v>
      </c>
      <c r="G9" s="154">
        <v>258.3</v>
      </c>
      <c r="H9" s="154">
        <v>0</v>
      </c>
      <c r="I9" s="154">
        <v>0</v>
      </c>
      <c r="K9" s="154">
        <v>1013.26</v>
      </c>
      <c r="L9" s="154" t="s">
        <v>390</v>
      </c>
      <c r="M9" s="154">
        <v>61.76</v>
      </c>
      <c r="N9" s="154">
        <v>1474462800</v>
      </c>
      <c r="O9" s="154">
        <v>1.24</v>
      </c>
      <c r="P9" s="154">
        <v>243</v>
      </c>
      <c r="Q9" s="154">
        <v>1.47</v>
      </c>
    </row>
    <row r="10" spans="1:17" x14ac:dyDescent="0.25">
      <c r="A10" s="154">
        <v>63.05</v>
      </c>
      <c r="B10" s="154">
        <v>0.83</v>
      </c>
      <c r="C10" s="154">
        <v>44.89</v>
      </c>
      <c r="D10" s="169">
        <v>42634.333333333336</v>
      </c>
      <c r="E10" s="154">
        <v>0.51</v>
      </c>
      <c r="F10" s="154" t="s">
        <v>389</v>
      </c>
      <c r="G10" s="154">
        <v>258.3</v>
      </c>
      <c r="H10" s="154">
        <v>0</v>
      </c>
      <c r="I10" s="154">
        <v>0</v>
      </c>
      <c r="K10" s="154">
        <v>1013.43</v>
      </c>
      <c r="L10" s="154" t="s">
        <v>390</v>
      </c>
      <c r="M10" s="154">
        <v>63.05</v>
      </c>
      <c r="N10" s="154">
        <v>1474466400</v>
      </c>
      <c r="O10" s="154">
        <v>1.24</v>
      </c>
      <c r="P10" s="154">
        <v>249</v>
      </c>
      <c r="Q10" s="154">
        <v>1.84</v>
      </c>
    </row>
    <row r="11" spans="1:17" x14ac:dyDescent="0.25">
      <c r="A11" s="154">
        <v>67.180000000000007</v>
      </c>
      <c r="B11" s="154">
        <v>0.87</v>
      </c>
      <c r="C11" s="154">
        <v>45.74</v>
      </c>
      <c r="D11" s="169">
        <v>42634.375</v>
      </c>
      <c r="E11" s="154">
        <v>0.46</v>
      </c>
      <c r="F11" s="154" t="s">
        <v>389</v>
      </c>
      <c r="G11" s="154">
        <v>258.36</v>
      </c>
      <c r="H11" s="154">
        <v>0</v>
      </c>
      <c r="I11" s="154">
        <v>0</v>
      </c>
      <c r="K11" s="154">
        <v>1013.49</v>
      </c>
      <c r="L11" s="154" t="s">
        <v>390</v>
      </c>
      <c r="M11" s="154">
        <v>67.180000000000007</v>
      </c>
      <c r="N11" s="154">
        <v>1474470000</v>
      </c>
      <c r="O11" s="154">
        <v>1.24</v>
      </c>
      <c r="P11" s="154">
        <v>281</v>
      </c>
      <c r="Q11" s="154">
        <v>2.08</v>
      </c>
    </row>
    <row r="12" spans="1:17" x14ac:dyDescent="0.25">
      <c r="A12" s="154">
        <v>71.319999999999993</v>
      </c>
      <c r="B12" s="154">
        <v>0.7</v>
      </c>
      <c r="C12" s="154">
        <v>45.98</v>
      </c>
      <c r="D12" s="169">
        <v>42634.416666666664</v>
      </c>
      <c r="E12" s="154">
        <v>0.4</v>
      </c>
      <c r="F12" s="154" t="s">
        <v>389</v>
      </c>
      <c r="G12" s="154">
        <v>258.66000000000003</v>
      </c>
      <c r="H12" s="154">
        <v>0</v>
      </c>
      <c r="I12" s="154">
        <v>0</v>
      </c>
      <c r="K12" s="154">
        <v>1013.35</v>
      </c>
      <c r="L12" s="154" t="s">
        <v>390</v>
      </c>
      <c r="M12" s="154">
        <v>71.319999999999993</v>
      </c>
      <c r="N12" s="154">
        <v>1474473600</v>
      </c>
      <c r="O12" s="154">
        <v>1.24</v>
      </c>
      <c r="P12" s="154">
        <v>345</v>
      </c>
      <c r="Q12" s="154">
        <v>2.46</v>
      </c>
    </row>
    <row r="13" spans="1:17" x14ac:dyDescent="0.25">
      <c r="A13" s="154">
        <v>74.64</v>
      </c>
      <c r="B13" s="154">
        <v>0.61</v>
      </c>
      <c r="C13" s="154">
        <v>45.34</v>
      </c>
      <c r="D13" s="169">
        <v>42634.458333333336</v>
      </c>
      <c r="E13" s="154">
        <v>0.35</v>
      </c>
      <c r="F13" s="154" t="s">
        <v>389</v>
      </c>
      <c r="G13" s="154">
        <v>259.01</v>
      </c>
      <c r="H13" s="154">
        <v>0</v>
      </c>
      <c r="I13" s="154">
        <v>0</v>
      </c>
      <c r="K13" s="154">
        <v>1013.07</v>
      </c>
      <c r="L13" s="154" t="s">
        <v>390</v>
      </c>
      <c r="M13" s="154">
        <v>74.64</v>
      </c>
      <c r="N13" s="154">
        <v>1474477200</v>
      </c>
      <c r="O13" s="154">
        <v>1.24</v>
      </c>
      <c r="P13" s="154">
        <v>11</v>
      </c>
      <c r="Q13" s="154">
        <v>2.95</v>
      </c>
    </row>
    <row r="14" spans="1:17" x14ac:dyDescent="0.25">
      <c r="A14" s="154">
        <v>77.510000000000005</v>
      </c>
      <c r="B14" s="154">
        <v>0.56000000000000005</v>
      </c>
      <c r="C14" s="154">
        <v>44.61</v>
      </c>
      <c r="D14" s="169">
        <v>42634.5</v>
      </c>
      <c r="E14" s="154">
        <v>0.31</v>
      </c>
      <c r="F14" s="154" t="s">
        <v>389</v>
      </c>
      <c r="G14" s="154">
        <v>259.11</v>
      </c>
      <c r="H14" s="154">
        <v>0</v>
      </c>
      <c r="I14" s="154">
        <v>0</v>
      </c>
      <c r="K14" s="154">
        <v>1012.66</v>
      </c>
      <c r="L14" s="154" t="s">
        <v>390</v>
      </c>
      <c r="M14" s="154">
        <v>77.510000000000005</v>
      </c>
      <c r="N14" s="154">
        <v>1474480800</v>
      </c>
      <c r="O14" s="154">
        <v>1.24</v>
      </c>
      <c r="P14" s="154">
        <v>32</v>
      </c>
      <c r="Q14" s="154">
        <v>3.71</v>
      </c>
    </row>
    <row r="15" spans="1:17" x14ac:dyDescent="0.25">
      <c r="A15" s="154">
        <v>79.13</v>
      </c>
      <c r="B15" s="154">
        <v>0.56000000000000005</v>
      </c>
      <c r="C15" s="154">
        <v>43.3</v>
      </c>
      <c r="D15" s="169">
        <v>42634.541666666664</v>
      </c>
      <c r="E15" s="154">
        <v>0.28000000000000003</v>
      </c>
      <c r="F15" s="154" t="s">
        <v>389</v>
      </c>
      <c r="G15" s="154">
        <v>258.67</v>
      </c>
      <c r="H15" s="154">
        <v>0</v>
      </c>
      <c r="I15" s="154">
        <v>0</v>
      </c>
      <c r="K15" s="154">
        <v>1012.03</v>
      </c>
      <c r="L15" s="154" t="s">
        <v>390</v>
      </c>
      <c r="M15" s="154">
        <v>79.13</v>
      </c>
      <c r="N15" s="154">
        <v>1474484400</v>
      </c>
      <c r="O15" s="154">
        <v>1.24</v>
      </c>
      <c r="P15" s="154">
        <v>40</v>
      </c>
      <c r="Q15" s="154">
        <v>4.53</v>
      </c>
    </row>
    <row r="16" spans="1:17" x14ac:dyDescent="0.25">
      <c r="A16" s="154">
        <v>79.150000000000006</v>
      </c>
      <c r="B16" s="154">
        <v>0.57999999999999996</v>
      </c>
      <c r="C16" s="154">
        <v>43.41</v>
      </c>
      <c r="D16" s="169">
        <v>42634.583333333336</v>
      </c>
      <c r="E16" s="154">
        <v>0.27</v>
      </c>
      <c r="F16" s="154" t="s">
        <v>389</v>
      </c>
      <c r="G16" s="154">
        <v>257.97000000000003</v>
      </c>
      <c r="H16" s="154">
        <v>0</v>
      </c>
      <c r="I16" s="154">
        <v>0</v>
      </c>
      <c r="K16" s="154">
        <v>1011.21</v>
      </c>
      <c r="L16" s="154" t="s">
        <v>390</v>
      </c>
      <c r="M16" s="154">
        <v>80.239999999999995</v>
      </c>
      <c r="N16" s="154">
        <v>1474488000</v>
      </c>
      <c r="O16" s="154">
        <v>1.24</v>
      </c>
      <c r="P16" s="154">
        <v>48</v>
      </c>
      <c r="Q16" s="154">
        <v>3.97</v>
      </c>
    </row>
    <row r="17" spans="1:17" x14ac:dyDescent="0.25">
      <c r="A17" s="154">
        <v>79.290000000000006</v>
      </c>
      <c r="B17" s="154">
        <v>0.47</v>
      </c>
      <c r="C17" s="154">
        <v>42.41</v>
      </c>
      <c r="D17" s="169">
        <v>42634.625</v>
      </c>
      <c r="E17" s="154">
        <v>0.26</v>
      </c>
      <c r="F17" s="154" t="s">
        <v>320</v>
      </c>
      <c r="G17" s="154">
        <v>257.51</v>
      </c>
      <c r="H17" s="154">
        <v>0</v>
      </c>
      <c r="I17" s="154">
        <v>0</v>
      </c>
      <c r="K17" s="154">
        <v>1010.72</v>
      </c>
      <c r="L17" s="154" t="s">
        <v>391</v>
      </c>
      <c r="M17" s="154">
        <v>80.61</v>
      </c>
      <c r="N17" s="154">
        <v>1474491600</v>
      </c>
      <c r="O17" s="154">
        <v>7.9</v>
      </c>
      <c r="P17" s="154">
        <v>56</v>
      </c>
      <c r="Q17" s="154">
        <v>3.78</v>
      </c>
    </row>
    <row r="18" spans="1:17" x14ac:dyDescent="0.25">
      <c r="A18" s="154">
        <v>78.92</v>
      </c>
      <c r="B18" s="154">
        <v>0.56999999999999995</v>
      </c>
      <c r="C18" s="154">
        <v>43.07</v>
      </c>
      <c r="D18" s="169">
        <v>42634.666666666664</v>
      </c>
      <c r="E18" s="154">
        <v>0.28000000000000003</v>
      </c>
      <c r="F18" s="154" t="s">
        <v>320</v>
      </c>
      <c r="G18" s="154">
        <v>257.67</v>
      </c>
      <c r="H18" s="154">
        <v>0</v>
      </c>
      <c r="I18" s="154">
        <v>0</v>
      </c>
      <c r="K18" s="154">
        <v>1010.6</v>
      </c>
      <c r="L18" s="154" t="s">
        <v>391</v>
      </c>
      <c r="M18" s="154">
        <v>78.92</v>
      </c>
      <c r="N18" s="154">
        <v>1474495200</v>
      </c>
      <c r="O18" s="154">
        <v>7.94</v>
      </c>
      <c r="P18" s="154">
        <v>52</v>
      </c>
      <c r="Q18" s="154">
        <v>2.25</v>
      </c>
    </row>
    <row r="19" spans="1:17" x14ac:dyDescent="0.25">
      <c r="A19" s="154">
        <v>77.78</v>
      </c>
      <c r="B19" s="154">
        <v>0.68</v>
      </c>
      <c r="C19" s="154">
        <v>44.85</v>
      </c>
      <c r="D19" s="169">
        <v>42634.708333333336</v>
      </c>
      <c r="E19" s="154">
        <v>0.31</v>
      </c>
      <c r="F19" s="154" t="s">
        <v>320</v>
      </c>
      <c r="G19" s="154">
        <v>258.07</v>
      </c>
      <c r="H19" s="154">
        <v>0</v>
      </c>
      <c r="I19" s="154">
        <v>0</v>
      </c>
      <c r="K19" s="154">
        <v>1010.63</v>
      </c>
      <c r="L19" s="154" t="s">
        <v>323</v>
      </c>
      <c r="M19" s="154">
        <v>77.78</v>
      </c>
      <c r="N19" s="154">
        <v>1474498800</v>
      </c>
      <c r="O19" s="154">
        <v>9.25</v>
      </c>
      <c r="P19" s="154">
        <v>208</v>
      </c>
      <c r="Q19" s="154">
        <v>1.1599999999999999</v>
      </c>
    </row>
    <row r="20" spans="1:17" x14ac:dyDescent="0.25">
      <c r="A20" s="154">
        <v>76.2</v>
      </c>
      <c r="B20" s="154">
        <v>0.76</v>
      </c>
      <c r="C20" s="154">
        <v>44.84</v>
      </c>
      <c r="D20" s="169">
        <v>42634.75</v>
      </c>
      <c r="E20" s="154">
        <v>0.33</v>
      </c>
      <c r="F20" s="154" t="s">
        <v>320</v>
      </c>
      <c r="G20" s="154">
        <v>258.11</v>
      </c>
      <c r="H20" s="154">
        <v>1.1000000000000001E-3</v>
      </c>
      <c r="I20" s="154">
        <v>0.01</v>
      </c>
      <c r="J20" s="154" t="s">
        <v>321</v>
      </c>
      <c r="K20" s="154">
        <v>1010.75</v>
      </c>
      <c r="L20" s="154" t="s">
        <v>323</v>
      </c>
      <c r="M20" s="154">
        <v>76.2</v>
      </c>
      <c r="N20" s="154">
        <v>1474502400</v>
      </c>
      <c r="O20" s="154">
        <v>9.33</v>
      </c>
      <c r="P20" s="154">
        <v>205</v>
      </c>
      <c r="Q20" s="154">
        <v>1.06</v>
      </c>
    </row>
    <row r="21" spans="1:17" x14ac:dyDescent="0.25">
      <c r="A21" s="154">
        <v>72.86</v>
      </c>
      <c r="B21" s="154">
        <v>0.56000000000000005</v>
      </c>
      <c r="C21" s="154">
        <v>43.85</v>
      </c>
      <c r="D21" s="169">
        <v>42634.791666666664</v>
      </c>
      <c r="E21" s="154">
        <v>0.35</v>
      </c>
      <c r="F21" s="154" t="s">
        <v>322</v>
      </c>
      <c r="G21" s="154">
        <v>257.45999999999998</v>
      </c>
      <c r="H21" s="154">
        <v>0</v>
      </c>
      <c r="I21" s="154">
        <v>0</v>
      </c>
      <c r="K21" s="154">
        <v>1010.5</v>
      </c>
      <c r="L21" s="154" t="s">
        <v>391</v>
      </c>
      <c r="M21" s="154">
        <v>72.86</v>
      </c>
      <c r="N21" s="154">
        <v>1474506000</v>
      </c>
      <c r="O21" s="154">
        <v>9.43</v>
      </c>
      <c r="P21" s="154">
        <v>169</v>
      </c>
      <c r="Q21" s="154">
        <v>1.99</v>
      </c>
    </row>
    <row r="22" spans="1:17" x14ac:dyDescent="0.25">
      <c r="A22" s="154">
        <v>70.22</v>
      </c>
      <c r="B22" s="154">
        <v>0.34</v>
      </c>
      <c r="C22" s="154">
        <v>45.35</v>
      </c>
      <c r="D22" s="169">
        <v>42634.833333333336</v>
      </c>
      <c r="E22" s="154">
        <v>0.41</v>
      </c>
      <c r="F22" s="154" t="s">
        <v>322</v>
      </c>
      <c r="G22" s="154">
        <v>256.45</v>
      </c>
      <c r="H22" s="154">
        <v>0</v>
      </c>
      <c r="I22" s="154">
        <v>0</v>
      </c>
      <c r="K22" s="154">
        <v>1010.39</v>
      </c>
      <c r="L22" s="154" t="s">
        <v>391</v>
      </c>
      <c r="M22" s="154">
        <v>70.22</v>
      </c>
      <c r="N22" s="154">
        <v>1474509600</v>
      </c>
      <c r="O22" s="154">
        <v>9.57</v>
      </c>
      <c r="P22" s="154">
        <v>147</v>
      </c>
      <c r="Q22" s="154">
        <v>2.25</v>
      </c>
    </row>
    <row r="23" spans="1:17" x14ac:dyDescent="0.25">
      <c r="A23" s="154">
        <v>67.05</v>
      </c>
      <c r="B23" s="154">
        <v>0.18</v>
      </c>
      <c r="C23" s="154">
        <v>45.22</v>
      </c>
      <c r="D23" s="169">
        <v>42634.875</v>
      </c>
      <c r="E23" s="154">
        <v>0.45</v>
      </c>
      <c r="F23" s="154" t="s">
        <v>392</v>
      </c>
      <c r="G23" s="154">
        <v>255.46</v>
      </c>
      <c r="H23" s="154">
        <v>0</v>
      </c>
      <c r="I23" s="154">
        <v>0</v>
      </c>
      <c r="K23" s="154">
        <v>1010.46</v>
      </c>
      <c r="L23" s="154" t="s">
        <v>393</v>
      </c>
      <c r="M23" s="154">
        <v>67.05</v>
      </c>
      <c r="N23" s="154">
        <v>1474513200</v>
      </c>
      <c r="O23" s="154">
        <v>9.7100000000000009</v>
      </c>
      <c r="P23" s="154">
        <v>192</v>
      </c>
      <c r="Q23" s="154">
        <v>1.82</v>
      </c>
    </row>
    <row r="24" spans="1:17" x14ac:dyDescent="0.25">
      <c r="A24" s="154">
        <v>64.7</v>
      </c>
      <c r="B24" s="154">
        <v>0.18</v>
      </c>
      <c r="C24" s="154">
        <v>45.59</v>
      </c>
      <c r="D24" s="169">
        <v>42634.916666666664</v>
      </c>
      <c r="E24" s="154">
        <v>0.5</v>
      </c>
      <c r="F24" s="154" t="s">
        <v>392</v>
      </c>
      <c r="G24" s="154">
        <v>254.54</v>
      </c>
      <c r="H24" s="154">
        <v>0</v>
      </c>
      <c r="I24" s="154">
        <v>0</v>
      </c>
      <c r="K24" s="154">
        <v>1010.8</v>
      </c>
      <c r="L24" s="154" t="s">
        <v>393</v>
      </c>
      <c r="M24" s="154">
        <v>64.7</v>
      </c>
      <c r="N24" s="154">
        <v>1474516800</v>
      </c>
      <c r="O24" s="154">
        <v>9.77</v>
      </c>
      <c r="P24" s="154">
        <v>184</v>
      </c>
      <c r="Q24" s="154">
        <v>2.23</v>
      </c>
    </row>
    <row r="25" spans="1:17" x14ac:dyDescent="0.25">
      <c r="A25" s="154">
        <v>62.15</v>
      </c>
      <c r="B25" s="154">
        <v>0.16</v>
      </c>
      <c r="C25" s="154">
        <v>45.5</v>
      </c>
      <c r="D25" s="169">
        <v>42634.958333333336</v>
      </c>
      <c r="E25" s="154">
        <v>0.54</v>
      </c>
      <c r="F25" s="154" t="s">
        <v>392</v>
      </c>
      <c r="G25" s="154">
        <v>253.63</v>
      </c>
      <c r="H25" s="154">
        <v>0</v>
      </c>
      <c r="I25" s="154">
        <v>0</v>
      </c>
      <c r="K25" s="154">
        <v>1011.33</v>
      </c>
      <c r="L25" s="154" t="s">
        <v>393</v>
      </c>
      <c r="M25" s="154">
        <v>62.15</v>
      </c>
      <c r="N25" s="154">
        <v>1474520400</v>
      </c>
      <c r="O25" s="154">
        <v>9.74</v>
      </c>
      <c r="P25" s="154">
        <v>185</v>
      </c>
      <c r="Q25" s="154">
        <v>1.78</v>
      </c>
    </row>
    <row r="26" spans="1:17" x14ac:dyDescent="0.25">
      <c r="A26" s="154">
        <v>61.12</v>
      </c>
      <c r="B26" s="154">
        <v>0.23</v>
      </c>
      <c r="C26" s="154">
        <v>45.83</v>
      </c>
      <c r="D26" s="169">
        <v>42635</v>
      </c>
      <c r="E26" s="154">
        <v>0.56999999999999995</v>
      </c>
      <c r="F26" s="154" t="s">
        <v>392</v>
      </c>
      <c r="G26" s="154">
        <v>252.95</v>
      </c>
      <c r="H26" s="154">
        <v>0</v>
      </c>
      <c r="I26" s="154">
        <v>0</v>
      </c>
      <c r="K26" s="154">
        <v>1011.87</v>
      </c>
      <c r="L26" s="154" t="s">
        <v>393</v>
      </c>
      <c r="M26" s="154">
        <v>61.12</v>
      </c>
      <c r="N26" s="154">
        <v>1474524000</v>
      </c>
      <c r="O26" s="154">
        <v>9.75</v>
      </c>
      <c r="P26" s="154">
        <v>222</v>
      </c>
      <c r="Q26" s="154">
        <v>1.89</v>
      </c>
    </row>
    <row r="27" spans="1:17" x14ac:dyDescent="0.25">
      <c r="A27" s="154">
        <v>59.6</v>
      </c>
      <c r="B27" s="154">
        <v>0.24</v>
      </c>
      <c r="C27" s="154">
        <v>44.7</v>
      </c>
      <c r="D27" s="169">
        <v>42635.041666666664</v>
      </c>
      <c r="E27" s="154">
        <v>0.57999999999999996</v>
      </c>
      <c r="F27" s="154" t="s">
        <v>392</v>
      </c>
      <c r="G27" s="154">
        <v>252.8</v>
      </c>
      <c r="H27" s="154">
        <v>0</v>
      </c>
      <c r="I27" s="154">
        <v>0</v>
      </c>
      <c r="K27" s="154">
        <v>1012.4</v>
      </c>
      <c r="L27" s="154" t="s">
        <v>393</v>
      </c>
      <c r="M27" s="154">
        <v>59.6</v>
      </c>
      <c r="N27" s="154">
        <v>1474527600</v>
      </c>
      <c r="O27" s="154">
        <v>9.76</v>
      </c>
      <c r="P27" s="154">
        <v>229</v>
      </c>
      <c r="Q27" s="154">
        <v>1.81</v>
      </c>
    </row>
    <row r="28" spans="1:17" x14ac:dyDescent="0.25">
      <c r="A28" s="154">
        <v>58.55</v>
      </c>
      <c r="B28" s="154">
        <v>0.27</v>
      </c>
      <c r="C28" s="154">
        <v>43.58</v>
      </c>
      <c r="D28" s="169">
        <v>42635.083333333336</v>
      </c>
      <c r="E28" s="154">
        <v>0.56999999999999995</v>
      </c>
      <c r="F28" s="154" t="s">
        <v>322</v>
      </c>
      <c r="G28" s="154">
        <v>252.65</v>
      </c>
      <c r="H28" s="154">
        <v>0</v>
      </c>
      <c r="I28" s="154">
        <v>0</v>
      </c>
      <c r="K28" s="154">
        <v>1012.87</v>
      </c>
      <c r="L28" s="154" t="s">
        <v>391</v>
      </c>
      <c r="M28" s="154">
        <v>58.55</v>
      </c>
      <c r="N28" s="154">
        <v>1474531200</v>
      </c>
      <c r="O28" s="154">
        <v>9.76</v>
      </c>
      <c r="P28" s="154">
        <v>257</v>
      </c>
      <c r="Q28" s="154">
        <v>1.85</v>
      </c>
    </row>
    <row r="29" spans="1:17" x14ac:dyDescent="0.25">
      <c r="A29" s="154">
        <v>58.02</v>
      </c>
      <c r="B29" s="154">
        <v>0.34</v>
      </c>
      <c r="C29" s="154">
        <v>43.2</v>
      </c>
      <c r="D29" s="169">
        <v>42635.125</v>
      </c>
      <c r="E29" s="154">
        <v>0.57999999999999996</v>
      </c>
      <c r="F29" s="154" t="s">
        <v>322</v>
      </c>
      <c r="G29" s="154">
        <v>252.5</v>
      </c>
      <c r="H29" s="154">
        <v>0</v>
      </c>
      <c r="I29" s="154">
        <v>0</v>
      </c>
      <c r="K29" s="154">
        <v>1013.34</v>
      </c>
      <c r="L29" s="154" t="s">
        <v>391</v>
      </c>
      <c r="M29" s="154">
        <v>58.02</v>
      </c>
      <c r="N29" s="154">
        <v>1474534800</v>
      </c>
      <c r="O29" s="154">
        <v>9.49</v>
      </c>
      <c r="P29" s="154">
        <v>247</v>
      </c>
      <c r="Q29" s="154">
        <v>1.88</v>
      </c>
    </row>
    <row r="31" spans="1:17" x14ac:dyDescent="0.25">
      <c r="A31" s="154" t="s">
        <v>394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42634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C:\Users\stu\Documents\GitHub\eaglep3-reporting\EC\2016-09-21-refined-times.txt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248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249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2016-09-22T15:56:05Z</dcterms:modified>
</cp:coreProperties>
</file>